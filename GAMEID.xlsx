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rand\Videos\ZE PC PROJECT\"/>
    </mc:Choice>
  </mc:AlternateContent>
  <xr:revisionPtr revIDLastSave="0" documentId="13_ncr:1_{12C51EC7-AA77-4C6C-8956-86F34B6BBA36}" xr6:coauthVersionLast="47" xr6:coauthVersionMax="47" xr10:uidLastSave="{00000000-0000-0000-0000-000000000000}"/>
  <bookViews>
    <workbookView xWindow="-110" yWindow="-110" windowWidth="19420" windowHeight="11020" activeTab="2" xr2:uid="{00000000-000D-0000-FFFF-FFFF00000000}"/>
  </bookViews>
  <sheets>
    <sheet name="Player_count" sheetId="3" r:id="rId1"/>
    <sheet name="TableMain (2)" sheetId="4" r:id="rId2"/>
    <sheet name="TableMain" sheetId="2" r:id="rId3"/>
    <sheet name="Sheet1" sheetId="1" r:id="rId4"/>
  </sheets>
  <definedNames>
    <definedName name="ExternalData_1" localSheetId="2" hidden="1">TableMain!$A$1:$I$970</definedName>
    <definedName name="ExternalData_2" localSheetId="1" hidden="1">'TableMain (2)'!$A$1:$I$6784</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70" i="2" l="1"/>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A6023-DCE1-401C-B728-F9D416DDB8D5}" keepAlive="1" name="Query - TableMain" description="Connection to the 'TableMain' query in the workbook." type="5" refreshedVersion="8" background="1" saveData="1">
    <dbPr connection="Provider=Microsoft.Mashup.OleDb.1;Data Source=$Workbook$;Location=TableMain;Extended Properties=&quot;&quot;" command="SELECT * FROM [TableMain]"/>
  </connection>
  <connection id="2" xr16:uid="{B0251E81-C8AC-4CD6-8B8A-F46DF6E9AA60}" keepAlive="1" name="Query - TableMain (2)" description="Connection to the 'TableMain (2)' query in the workbook." type="5" refreshedVersion="8" background="1" saveData="1">
    <dbPr connection="Provider=Microsoft.Mashup.OleDb.1;Data Source=$Workbook$;Location=&quot;TableMain (2)&quot;;Extended Properties=&quot;&quot;" command="SELECT * FROM [TableMain (2)]"/>
  </connection>
</connections>
</file>

<file path=xl/sharedStrings.xml><?xml version="1.0" encoding="utf-8"?>
<sst xmlns="http://schemas.openxmlformats.org/spreadsheetml/2006/main" count="31077" uniqueCount="2121">
  <si>
    <t>AppID</t>
  </si>
  <si>
    <t>Name</t>
  </si>
  <si>
    <t>Release_Date</t>
  </si>
  <si>
    <t>Peak_CCU</t>
  </si>
  <si>
    <t>Linux</t>
  </si>
  <si>
    <t>Genres</t>
  </si>
  <si>
    <t>Tags</t>
  </si>
  <si>
    <t>CCU Rank</t>
  </si>
  <si>
    <t>Rec_GPU</t>
  </si>
  <si>
    <t>Multi-player,Cross-Platform Multiplayer,Steam Trading Cards,Steam Workshop,In-App Purchases,Adjustable Text Size,Camera Comfort,Color Alternatives,Custom Volume Controls,Playable without Timed Input,Stereo Sound,Surround Sound,Valve Anti-Cheat enabled,Stats,Remote Play on Phone,Remote Play on Tablet,Remote Play on TV,Steam Timeline</t>
  </si>
  <si>
    <t>Action,Free To Play</t>
  </si>
  <si>
    <t>Dota 2</t>
  </si>
  <si>
    <t>Multi-player,Co-op,Steam Trading Cards,Steam Workshop,SteamVR Collectibles,In-App Purchases,Camera Comfort,Color Alternatives,Custom Volume Controls,Valve Anti-Cheat enabled,Steam Timeline</t>
  </si>
  <si>
    <t>Action,Strategy,Free To Play</t>
  </si>
  <si>
    <t>Radeon Vega 11</t>
  </si>
  <si>
    <t>PUBG: BATTLEGROUNDS</t>
  </si>
  <si>
    <t>Multi-player,PvP,Online PvP,Stats,Remote Play on Phone,Remote Play on Tablet</t>
  </si>
  <si>
    <t>Action,Adventure,Massively Multiplayer,Free To Play</t>
  </si>
  <si>
    <t>RX 580</t>
  </si>
  <si>
    <t>Bongo Cat</t>
  </si>
  <si>
    <t>Single-player,Multi-player,Co-op,Online Co-op,Steam Achievements,Partial Controller Support,Stats</t>
  </si>
  <si>
    <t>Casual,Indie,Massively Multiplayer,Simulation,Free To Play</t>
  </si>
  <si>
    <t>ELDEN RING NIGHTREIGN</t>
  </si>
  <si>
    <t>Single-player,Multi-player,Co-op,Online Co-op,Steam Achievements,Full controller support,Camera Comfort,Custom Volume Controls,Playable without Timed Input,Stereo Sound,Surround Sound,Steam Cloud,Family Sharing</t>
  </si>
  <si>
    <t>Action,RPG</t>
  </si>
  <si>
    <t>GTX 1070</t>
  </si>
  <si>
    <t>Rust</t>
  </si>
  <si>
    <t>Multi-player,MMO,PvP,Online PvP,Co-op,Online Co-op,Cross-Platform Multiplayer,Steam Achievements,Steam Trading Cards,Steam Workshop,In-App Purchases,Valve Anti-Cheat enabled,Stats,Remote Play on Tablet</t>
  </si>
  <si>
    <t>Action,Adventure,Indie,Massively Multiplayer,RPG</t>
  </si>
  <si>
    <t>RTX 3060</t>
  </si>
  <si>
    <t>Apex Legends</t>
  </si>
  <si>
    <t>Multi-player,PvP,Online PvP,Co-op,Online Co-op,Steam Achievements,Full controller support,Steam Trading Cards,In-App Purchases,Chat Speech-to-text,Playable without Timed Input</t>
  </si>
  <si>
    <t>Action,Adventure,Free To Play</t>
  </si>
  <si>
    <t>GTX 970</t>
  </si>
  <si>
    <t>Marvel Rivals</t>
  </si>
  <si>
    <t>Multi-player,PvP,Online PvP,Co-op,Online Co-op,Cross-Platform Multiplayer,Steam Achievements,Full controller support,In-App Purchases</t>
  </si>
  <si>
    <t>RTX 2060</t>
  </si>
  <si>
    <t>Wallpaper Engine</t>
  </si>
  <si>
    <t>Steam Achievements,Steam Trading Cards,Steam Workshop,Steam Workshop,Includes level editor</t>
  </si>
  <si>
    <t>Casual,Indie,Animation &amp; Modeling,Design &amp; Illustration,Photo Editing,Utilities</t>
  </si>
  <si>
    <t>RX 560</t>
  </si>
  <si>
    <t>DELTARUNE</t>
  </si>
  <si>
    <t>Single-player,Full controller support,Steam Cloud,Family Sharing</t>
  </si>
  <si>
    <t>Indie,RPG</t>
  </si>
  <si>
    <t>Grand Theft Auto V Legacy</t>
  </si>
  <si>
    <t>Single-player,Multi-player,PvP,Online PvP,Co-op,Online Co-op,Steam Achievements,Full controller support,Remote Play on Phone,Remote Play on Tablet,Remote Play on TV</t>
  </si>
  <si>
    <t>Action,Adventure</t>
  </si>
  <si>
    <t>Call of Duty</t>
  </si>
  <si>
    <t>Single-player,Multi-player,PvP,Online PvP,Co-op,Online Co-op,Cross-Platform Multiplayer,Steam Achievements,Captions available,In-App Purchases,Adjustable Text Size,Camera Comfort,Color Alternatives,Custom Volume Controls,Playable without Timed Input,Stereo Sound,Subtitle Options,Surround Sound,Partial Controller Support,HDR available</t>
  </si>
  <si>
    <t>Action</t>
  </si>
  <si>
    <t>RX 6600 XT</t>
  </si>
  <si>
    <t>NARAKA: BLADEPOINT</t>
  </si>
  <si>
    <t>Multi-player,PvP,Online PvP,Steam Achievements,Steam Trading Cards,In-App Purchases,Partial Controller Support,HDR available</t>
  </si>
  <si>
    <t>GTX 1060</t>
  </si>
  <si>
    <t>Baldur's Gate 3</t>
  </si>
  <si>
    <t>Single-player,Multi-player,Co-op,Online Co-op,LAN Co-op,Cross-Platform Multiplayer,Steam Achievements,Full controller support,Steam Trading Cards,Adjustable Text Size,Camera Comfort,Color Alternatives,Custom Volume Controls,Adjustable Difficulty,Playable without Timed Input,Save Anytime,Stereo Sound,Subtitle Options,Surround Sound,Steam Cloud,Remote Play on TV,Remote Play Together,Family Sharing</t>
  </si>
  <si>
    <t>Adventure,RPG,Strategy</t>
  </si>
  <si>
    <t>RX 5700 XT</t>
  </si>
  <si>
    <t>HELLDIVERS 2</t>
  </si>
  <si>
    <t>Multi-player,Co-op,Online Co-op,Steam Achievements,In-App Purchases,Adjustable Text Size,Camera Comfort,Chat Speech-to-text,Chat Text-to-speech,Color Alternatives,Custom Volume Controls,Adjustable Difficulty,Narrated Game Menus,Playable without Timed Input,Stereo Sound,Subtitle Options,Surround Sound,Partial Controller Support,Family Sharing</t>
  </si>
  <si>
    <t>Tom Clancy's Rainbow Six Siege X</t>
  </si>
  <si>
    <t>Single-player,Multi-player,PvP,Online PvP,Co-op,Online Co-op,Full controller support,Steam Trading Cards,In-App Purchases,Remote Play on Phone,Remote Play on Tablet</t>
  </si>
  <si>
    <t>Stardew Valley</t>
  </si>
  <si>
    <t>Single-player,Multi-player,Co-op,Online Co-op,LAN Co-op,Shared/Split Screen Co-op,Shared/Split Screen,Steam Achievements,Full controller support,Steam Trading Cards,Steam Cloud,Remote Play on Phone,Remote Play on Tablet,Remote Play Together,Family Sharing</t>
  </si>
  <si>
    <t>Indie,RPG,Simulation</t>
  </si>
  <si>
    <t>War Thunder</t>
  </si>
  <si>
    <t>Single-player,Multi-player,MMO,PvP,Online PvP,Co-op,Online Co-op,Cross-Platform Multiplayer,Steam Achievements,Full controller support,VR Supported,Steam Trading Cards,In-App Purchases,Adjustable Text Size,Camera Comfort,Color Alternatives,Custom Volume Controls,Playable without Timed Input,Stereo Sound,Surround Sound,Remote Play on Phone,Remote Play on Tablet</t>
  </si>
  <si>
    <t>Action,Massively Multiplayer,Simulation,Free To Play</t>
  </si>
  <si>
    <t>RX 570</t>
  </si>
  <si>
    <t>Football Manager 2024</t>
  </si>
  <si>
    <t>Single-player,Multi-player,Steam Achievements,Steam Cloud,Family Sharing</t>
  </si>
  <si>
    <t>Simulation,Sports,Strategy</t>
  </si>
  <si>
    <t>Dead by Daylight</t>
  </si>
  <si>
    <t>Multi-player,PvP,Online PvP,Co-op,Online Co-op,Cross-Platform Multiplayer,Steam Achievements,Full controller support,Steam Trading Cards,Steam Cloud,Remote Play on Phone,Remote Play on Tablet,Remote Play on TV,Family Sharing</t>
  </si>
  <si>
    <t>Team Fortress 2</t>
  </si>
  <si>
    <t>Multi-player,Cross-Platform Multiplayer,Steam Achievements,Steam Trading Cards,Captions available,Steam Workshop,In-App Purchases,Camera Comfort,Color Alternatives,Custom Volume Controls,Stereo Sound,Surround Sound,Partial Controller Support,Valve Anti-Cheat enabled,Stats,Includes level editor,Commentary available,Remote Play on Phone,Remote Play on Tablet</t>
  </si>
  <si>
    <t>EA SPORTS FC 25</t>
  </si>
  <si>
    <t>Single-player,Multi-player,PvP,Online PvP,Shared/Split Screen PvP,Co-op,Online Co-op,Shared/Split Screen Co-op,Shared/Split Screen,Cross-Platform Multiplayer,Steam Achievements,Full controller support,In-App Purchases,Adjustable Difficulty,Keyboard Only Option,Stereo Sound,Remote Play Together,HDR available</t>
  </si>
  <si>
    <t>Simulation,Sports</t>
  </si>
  <si>
    <t>RX 5600 XT</t>
  </si>
  <si>
    <t>Crosshair X</t>
  </si>
  <si>
    <t>Captions available,Steam Workshop,Partial Controller Support,Steam Cloud</t>
  </si>
  <si>
    <t>Action,Adventure,Indie,Animation &amp; Modeling,Design &amp; Illustration,Education,Photo Editing,Utilities,Game Development</t>
  </si>
  <si>
    <t>Grand Theft Auto V Enhanced</t>
  </si>
  <si>
    <t>Single-player,Multi-player,PvP,Online PvP,Co-op,Online Co-op,Steam Achievements,In-App Purchases,Partial Controller Support,Remote Play on Phone,Remote Play on Tablet</t>
  </si>
  <si>
    <t>Action,Adventure,Racing</t>
  </si>
  <si>
    <t>DayZ</t>
  </si>
  <si>
    <t>Multi-player,MMO,PvP,Online PvP,Co-op,Online Co-op,Steam Achievements,Steam Trading Cards,Steam Workshop,Steam Cloud,Valve Anti-Cheat enabled</t>
  </si>
  <si>
    <t>Action,Adventure,Massively Multiplayer</t>
  </si>
  <si>
    <t>Warframe</t>
  </si>
  <si>
    <t>Single-player,Multi-player,Co-op,Online Co-op,Cross-Platform Multiplayer,Steam Achievements,Full controller support,Steam Trading Cards,Steam Workshop,In-App Purchases,Camera Comfort,Color Alternatives,Custom Volume Controls,Playable without Timed Input,Stereo Sound,Surround Sound,Remote Play on Phone,Remote Play on Tablet,Remote Play on TV,HDR available</t>
  </si>
  <si>
    <t>Action,RPG,Free To Play</t>
  </si>
  <si>
    <t>VRChat</t>
  </si>
  <si>
    <t>Multi-player,MMO,PvP,Online PvP,Co-op,Online Co-op,Cross-Platform Multiplayer,Full controller support,Tracked Controller Support,VR Supported,In-App Purchases</t>
  </si>
  <si>
    <t>Adventure,Casual,Massively Multiplayer,Simulation,Sports,Free To Play,Early Access</t>
  </si>
  <si>
    <t>R.E.P.O.</t>
  </si>
  <si>
    <t>Single-player,Multi-player,Co-op,Online Co-op,Camera Comfort,Custom Volume Controls,Playable without Timed Input,Stereo Sound,Steam Cloud,Family Sharing</t>
  </si>
  <si>
    <t>Action,Early Access</t>
  </si>
  <si>
    <t>Hearts of Iron IV</t>
  </si>
  <si>
    <t>Single-player,Multi-player,Co-op,Cross-Platform Multiplayer,Steam Achievements,Steam Trading Cards,Steam Workshop,Steam Cloud,Remote Play on Tablet,Family Sharing</t>
  </si>
  <si>
    <t>Simulation,Strategy</t>
  </si>
  <si>
    <t>Don't Starve Together</t>
  </si>
  <si>
    <t>Single-player,Multi-player,PvP,Online PvP,LAN PvP,Co-op,Online Co-op,LAN Co-op,Full controller support,Steam Trading Cards,Steam Workshop,In-App Purchases,Adjustable Text Size,Camera Comfort,Color Alternatives,Custom Volume Controls,Adjustable Difficulty,Keyboard Only Option,Mouse Only Option,Playable without Timed Input,Save Anytime,Stereo Sound,Remote Play on Phone,Remote Play on Tablet,Remote Play on TV,Family Sharing</t>
  </si>
  <si>
    <t>Action,Adventure,Indie,RPG,Simulation,Strategy</t>
  </si>
  <si>
    <t>Red Dead Redemption 2</t>
  </si>
  <si>
    <t>ELDEN RING</t>
  </si>
  <si>
    <t>Single-player,Multi-player,PvP,Online PvP,Co-op,Online Co-op,Steam Achievements,Full controller support,Steam Trading Cards,Camera Comfort,Custom Volume Controls,Playable without Timed Input,Save Anytime,Stereo Sound,Surround Sound,Steam Cloud,Family Sharing</t>
  </si>
  <si>
    <t>Clicker Cuties - Anime Idler</t>
  </si>
  <si>
    <t>Single-player,Steam Achievements</t>
  </si>
  <si>
    <t>Casual,Indie,RPG,Simulation,Free To Play</t>
  </si>
  <si>
    <t>Radeon Vega 8</t>
  </si>
  <si>
    <t>Clair Obscur: Expedition 33</t>
  </si>
  <si>
    <t>Single-player,Steam Achievements,Full controller support,Adjustable Text Size,Custom Volume Controls,Adjustable Difficulty,Stereo Sound,Subtitle Options,Surround Sound,Steam Cloud,Family Sharing</t>
  </si>
  <si>
    <t>RTX 3060 Ti</t>
  </si>
  <si>
    <t>Geometry Dash</t>
  </si>
  <si>
    <t>Single-player,Steam Achievements,Steam Trading Cards,Partial Controller Support,Includes level editor,Remote Play on Phone,Remote Play on Tablet,Family Sharing</t>
  </si>
  <si>
    <t>Action,Indie</t>
  </si>
  <si>
    <t>NBA 2K25</t>
  </si>
  <si>
    <t>Single-player,Multi-player,PvP,Online PvP,Shared/Split Screen PvP,Co-op,Online Co-op,Shared/Split Screen Co-op,Shared/Split Screen,Steam Achievements,In-App Purchases,Partial Controller Support,Steam Cloud,Remote Play Together,Family Sharing</t>
  </si>
  <si>
    <t>RTX 2070</t>
  </si>
  <si>
    <t>PAYDAY 2</t>
  </si>
  <si>
    <t>Single-player,Multi-player,Co-op,Online Co-op,Steam Achievements,Full controller support,Tracked Controller Support,VR Supported,Steam Trading Cards,In-App Purchases,Camera Comfort,Custom Volume Controls,Adjustable Difficulty,Playable without Timed Input,Stereo Sound,Steam Cloud,Remote Play on Phone,Remote Play on Tablet,Remote Play on TV,Family Sharing</t>
  </si>
  <si>
    <t>Sid Meier's Civilization VI</t>
  </si>
  <si>
    <t>Single-player,Multi-player,PvP,Online PvP,LAN PvP,Shared/Split Screen PvP,Shared/Split Screen,Cross-Platform Multiplayer,Steam Achievements,Steam Trading Cards,Steam Workshop,In-App Purchases,Steam Turn Notifications,Remote Play on Tablet,Remote Play Together,Family Sharing</t>
  </si>
  <si>
    <t>Strategy</t>
  </si>
  <si>
    <t>The Sims 4</t>
  </si>
  <si>
    <t>Single-player,Steam Trading Cards,Mouse Only Option,Playable without Timed Input,Save Anytime,Stereo Sound,Surround Sound,Remote Play on Tablet</t>
  </si>
  <si>
    <t>Adventure,Casual,Simulation,Free To Play</t>
  </si>
  <si>
    <t>Left 4 Dead 2</t>
  </si>
  <si>
    <t>Single-player,Multi-player,PvP,Online PvP,Co-op,Online Co-op,Steam Achievements,Full controller support,Steam Trading Cards,Captions available,Steam Workshop,Camera Comfort,Color Alternatives,Custom Volume Controls,Adjustable Difficulty,Playable without Timed Input,Stereo Sound,Surround Sound,Steam Cloud,Valve Anti-Cheat enabled,Stats,Includes Source SDK,Commentary available,Remote Play on Phone,Remote Play on Tablet,Remote Play on TV,Remote Play Together,Family Sharing,Steam Timeline</t>
  </si>
  <si>
    <t>The Elder Scrolls V: Skyrim Special Edition</t>
  </si>
  <si>
    <t>Single-player,Steam Achievements,Playable without Timed Input,Save Anytime,Stereo Sound,Surround Sound,Partial Controller Support,Steam Cloud,Remote Play on Phone,Remote Play on Tablet,Family Sharing</t>
  </si>
  <si>
    <t>RPG</t>
  </si>
  <si>
    <t>GTX 1050 Ti</t>
  </si>
  <si>
    <t>Destiny 2</t>
  </si>
  <si>
    <t>Single-player,Multi-player,PvP,Online PvP,Co-op,Online Co-op,Steam Achievements,In-App Purchases,Color Alternatives,Custom Volume Controls,Subtitle Options,Partial Controller Support</t>
  </si>
  <si>
    <t>Terraria</t>
  </si>
  <si>
    <t>Single-player,Multi-player,PvP,Online PvP,Co-op,Online Co-op,Steam Achievements,Full controller support,Steam Trading Cards,Steam Cloud,Remote Play on Phone,Remote Play on Tablet,Remote Play on TV,Family Sharing</t>
  </si>
  <si>
    <t>Action,Adventure,Indie,RPG</t>
  </si>
  <si>
    <t>Project Zomboid</t>
  </si>
  <si>
    <t>Single-player,Multi-player,PvP,Online PvP,Co-op,Online Co-op,Shared/Split Screen Co-op,Shared/Split Screen,Cross-Platform Multiplayer,Steam Trading Cards,Steam Workshop,Partial Controller Support,Remote Play Together,Family Sharing</t>
  </si>
  <si>
    <t>Indie,RPG,Simulation,Early Access</t>
  </si>
  <si>
    <t>Schedule I</t>
  </si>
  <si>
    <t>Single-player,Multi-player,Co-op,Online Co-op,Steam Achievements,Adjustable Text Size,Camera Comfort,Custom Volume Controls,Save Anytime,Stereo Sound,Steam Cloud,Family Sharing</t>
  </si>
  <si>
    <t>Action,Indie,Simulation,Strategy,Early Access</t>
  </si>
  <si>
    <t>Cyberpunk 2077</t>
  </si>
  <si>
    <t>Single-player,Steam Achievements,Full controller support,Steam Trading Cards,Adjustable Text Size,Camera Comfort,Color Alternatives,Custom Volume Controls,Adjustable Difficulty,Playable without Timed Input,Save Anytime,Stereo Sound,Subtitle Options,Surround Sound,Steam Cloud,Family Sharing</t>
  </si>
  <si>
    <t>RTX 2060 SUPER</t>
  </si>
  <si>
    <t>ARK: Survival Evolved</t>
  </si>
  <si>
    <t>Single-player,Multi-player,MMO,Co-op,Steam Achievements,Full controller support,Steam Workshop,Steam Cloud,Valve Anti-Cheat enabled,Includes level editor,Remote Play on Tablet,Family Sharing</t>
  </si>
  <si>
    <t>Rocket League</t>
  </si>
  <si>
    <t>Single-player,Multi-player,PvP,Online PvP,Shared/Split Screen PvP,Co-op,Online Co-op,Shared/Split Screen Co-op,Shared/Split Screen,Cross-Platform Multiplayer,Steam Achievements,Steam Trading Cards,Steam Workshop,Partial Controller Support,Steam Cloud,Stats,Remote Play on Phone,Remote Play on Tablet,Remote Play on TV,Remote Play Together,Family Sharing</t>
  </si>
  <si>
    <t>Action,Indie,Racing,Sports</t>
  </si>
  <si>
    <t>FINAL FANTASY XIV Online</t>
  </si>
  <si>
    <t>Single-player,Multi-player,MMO,PvP,Online PvP,Co-op,Online Co-op,Cross-Platform Multiplayer,Adjustable Text Size,Custom Volume Controls,Keyboard Only Option,Save Anytime,Stereo Sound,Surround Sound,Partial Controller Support,Remote Play on Tablet,Family Sharing</t>
  </si>
  <si>
    <t>Massively Multiplayer,RPG</t>
  </si>
  <si>
    <t>FANTASY LIFE i: The Girl Who Steals Time</t>
  </si>
  <si>
    <t>Single-player,Multi-player,Co-op,Online Co-op,Cross-Platform Multiplayer,Steam Achievements,Full controller support,Steam Cloud,HDR available,Family Sharing</t>
  </si>
  <si>
    <t>RimWorld</t>
  </si>
  <si>
    <t>Single-player,Steam Workshop,Partial Controller Support,Steam Cloud,Remote Play on Tablet,Family Sharing</t>
  </si>
  <si>
    <t>Indie,Simulation,Strategy</t>
  </si>
  <si>
    <t>Intel UHD Graphics</t>
  </si>
  <si>
    <t>Garry's Mod</t>
  </si>
  <si>
    <t>Single-player,Multi-player,PvP,Online PvP,LAN PvP,Co-op,Online Co-op,LAN Co-op,Cross-Platform Multiplayer,Steam Achievements,Steam Trading Cards,Captions available,Steam Workshop,Color Alternatives,Custom Volume Controls,Adjustable Difficulty,Playable without Timed Input,Save Anytime,Stereo Sound,Steam Cloud,Valve Anti-Cheat enabled,Includes level editor,Includes Source SDK,Remote Play on Tablet,Family Sharing</t>
  </si>
  <si>
    <t>Casual,Indie,Simulation</t>
  </si>
  <si>
    <t>Palworld</t>
  </si>
  <si>
    <t>Single-player,Multi-player,Co-op,Online Co-op,Cross-Platform Multiplayer,Steam Achievements,Full controller support,Steam Trading Cards,Steam Workshop,Steam Cloud,Family Sharing</t>
  </si>
  <si>
    <t>Action,Adventure,Indie,RPG,Early Access</t>
  </si>
  <si>
    <t>Lost Ark</t>
  </si>
  <si>
    <t>Single-player,Multi-player,MMO,PvP,Online PvP,Co-op,Online Co-op,Steam Achievements,In-App Purchases,Adjustable Text Size,Camera Comfort,Color Alternatives,Custom Volume Controls,Keyboard Only Option,Playable without Timed Input,Save Anytime,Partial Controller Support</t>
  </si>
  <si>
    <t>Action,Adventure,Massively Multiplayer,RPG,Free To Play</t>
  </si>
  <si>
    <t>GTX 1660 SUPER</t>
  </si>
  <si>
    <t>Euro Truck Simulator 2</t>
  </si>
  <si>
    <t>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on Phone,Remote Play on Tablet,Remote Play Together,Family Sharing</t>
  </si>
  <si>
    <t>Indie,Simulation</t>
  </si>
  <si>
    <t>GTX 1660</t>
  </si>
  <si>
    <t>Balatro</t>
  </si>
  <si>
    <t>Single-player,Steam Achievements,Full controller support,Steam Trading Cards,Color Alternatives,Custom Volume Controls,Mouse Only Option,Playable without Timed Input,Touch Only Option,Steam Cloud,Family Sharing</t>
  </si>
  <si>
    <t>Casual,Indie,Strategy</t>
  </si>
  <si>
    <t>7 Days to Die</t>
  </si>
  <si>
    <t>Single-player,Multi-player,PvP,Online PvP,LAN PvP,Co-op,Online Co-op,LAN Co-op,Cross-Platform Multiplayer,Steam Achievements,Full controller support,Steam Trading Cards,Includes level editor,Remote Play on Tablet,Remote Play on TV,Family Sharing</t>
  </si>
  <si>
    <t>Total War: WARHAMMER III</t>
  </si>
  <si>
    <t>Single-player,Multi-player,PvP,Online PvP,LAN PvP,Co-op,Online Co-op,LAN Co-op,Steam Achievements,Steam Trading Cards,Camera Comfort,Color Alternatives,Custom Volume Controls,Adjustable Difficulty,Playable without Timed Input,Save Anytime,Stereo Sound,Surround Sound,Steam Cloud,Family Sharing</t>
  </si>
  <si>
    <t>Action,Strategy</t>
  </si>
  <si>
    <t>GTX 1660 Ti</t>
  </si>
  <si>
    <t>Path of Exile 2</t>
  </si>
  <si>
    <t>Single-player,Multi-player,MMO,Co-op,Online Co-op,Full controller support,HDR available</t>
  </si>
  <si>
    <t>Action,Adventure,Massively Multiplayer,RPG,Early Access</t>
  </si>
  <si>
    <t>Factorio</t>
  </si>
  <si>
    <t>Single-player,Multi-player,Co-op,Online Co-op,LAN Co-op,Cross-Platform Multiplayer,Steam Achievements,Adjustable Text Size,Camera Comfort,Custom Volume Controls,Adjustable Difficulty,Playable without Timed Input,Save Anytime,Subtitle Options,Partial Controller Support,Steam Cloud,Includes level editor,Remote Play on Tablet,Family Sharing</t>
  </si>
  <si>
    <t>Casual,Indie,Simulation,Strategy</t>
  </si>
  <si>
    <t>The Elder Scrolls Online</t>
  </si>
  <si>
    <t>Multi-player,MMO,PvP,Online PvP,Co-op,Online Co-op,Steam Trading Cards,Captions available,In-App Purchases,Camera Comfort,Custom Volume Controls,Playable without Timed Input,Stereo Sound,Surround Sound,Partial Controller Support,HDR available,Family Sharing</t>
  </si>
  <si>
    <t>Action,Adventure,Massively Multiplayer,RPG</t>
  </si>
  <si>
    <t>The Witcher 3: Wild Hunt</t>
  </si>
  <si>
    <t>Single-player,Steam Achievements,Steam Trading Cards,Steam Workshop,Adjustable Text Size,Camera Comfort,Color Alternatives,Custom Volume Controls,Adjustable Difficulty,Playable without Timed Input,Save Anytime,Stereo Sound,Surround Sound,Partial Controller Support,Steam Cloud,Remote Play on Tablet,Remote Play on TV,Family Sharing</t>
  </si>
  <si>
    <t>BeamNG.drive</t>
  </si>
  <si>
    <t>Single-player,Steam Achievements,Steam Trading Cards,Camera Comfort,Custom Volume Controls,Keyboard Only Option,Stereo Sound,Surround Sound,Partial Controller Support,Steam Cloud,Includes level editor,Remote Play on Phone,Remote Play on Tablet,Remote Play Together,Family Sharing</t>
  </si>
  <si>
    <t>Racing,Simulation,Early Access</t>
  </si>
  <si>
    <t>RX 6700</t>
  </si>
  <si>
    <t>Soundpad</t>
  </si>
  <si>
    <t>Family Sharing</t>
  </si>
  <si>
    <t>Audio Production,Utilities</t>
  </si>
  <si>
    <t>Slay the Spire</t>
  </si>
  <si>
    <t>Single-player,Steam Achievements,Full controller support,Steam Trading Cards,Steam Workshop,Adjustable Text Size,Custom Volume Controls,Mouse Only Option,Playable without Timed Input,Save Anytime,Touch Only Option,Steam Cloud,Stats,Steam Leaderboards,Remote Play on Phone,Remote Play on Tablet,Remote Play on TV,Family Sharing</t>
  </si>
  <si>
    <t>Indie,Strategy</t>
  </si>
  <si>
    <t>Black Myth: Wukong</t>
  </si>
  <si>
    <t>Single-player,Steam Achievements,Full controller support,Steam Trading Cards,Playable without Timed Input,Stereo Sound,Surround Sound,Steam Cloud,Family Sharing</t>
  </si>
  <si>
    <t>Action,Adventure,RPG</t>
  </si>
  <si>
    <t>Russian Fishing 4</t>
  </si>
  <si>
    <t>Single-player,Multi-player,MMO,PvP,Online PvP,Steam Achievements,In-App Purchases,Stats</t>
  </si>
  <si>
    <t>Adventure,Casual,Massively Multiplayer,RPG,Simulation,Sports,Free To Play</t>
  </si>
  <si>
    <t>Street Fighter 6</t>
  </si>
  <si>
    <t>Single-player,Multi-player,PvP,Online PvP,Shared/Split Screen PvP,Shared/Split Screen,Cross-Platform Multiplayer,Steam Achievements,Steam Trading Cards,In-App Purchases,Camera Comfort,Custom Volume Controls,Adjustable Difficulty,Keyboard Only Option,Save Anytime,Stereo Sound,Surround Sound,Partial Controller Support,Steam Cloud,Family Sharing</t>
  </si>
  <si>
    <t>The Binding of Isaac: Rebirth</t>
  </si>
  <si>
    <t>Single-player,Multi-player,Shared/Split Screen,Steam Achievements,Full controller support,Steam Trading Cards,Steam Cloud,Remote Play on TV,Remote Play Together,Family Sharing</t>
  </si>
  <si>
    <t>Mount &amp; Blade II: Bannerlord</t>
  </si>
  <si>
    <t>Single-player,Multi-player,PvP,Online PvP,Steam Achievements,Steam Trading Cards,Steam Workshop,Partial Controller Support,Steam Cloud,Includes level editor,Remote Play on Tablet,Family Sharing</t>
  </si>
  <si>
    <t>Action,Indie,RPG,Simulation,Strategy</t>
  </si>
  <si>
    <t>Valheim</t>
  </si>
  <si>
    <t>Single-player,Multi-player,Co-op,Online Co-op,Full controller support,Camera Comfort,Custom Volume Controls,Adjustable Difficulty,Save Anytime,Stereo Sound,Steam Cloud,Remote Play on Tablet,Family Sharing</t>
  </si>
  <si>
    <t>The Elder Scrolls IV: Oblivion Remastered</t>
  </si>
  <si>
    <t>Single-player,Steam Achievements,Steam Trading Cards,Custom Volume Controls,Playable without Timed Input,Stereo Sound,Surround Sound,Partial Controller Support,Steam Cloud,Family Sharing</t>
  </si>
  <si>
    <t>RX 6800 XT</t>
  </si>
  <si>
    <t>Black Desert</t>
  </si>
  <si>
    <t>Multi-player,MMO,PvP,Online PvP,Co-op,Online Co-op,Steam Trading Cards,In-App Purchases,Partial Controller Support</t>
  </si>
  <si>
    <t>Action,Adventure,Massively Multiplayer,RPG,Strategy</t>
  </si>
  <si>
    <t>Crusader Kings III</t>
  </si>
  <si>
    <t>Single-player,Multi-player,PvP,Online PvP,Steam Achievements,Steam Trading Cards,Steam Workshop,Steam Cloud,Remote Play on Tablet,Family Sharing</t>
  </si>
  <si>
    <t>RPG,Simulation,Strategy</t>
  </si>
  <si>
    <t>Brawlhalla</t>
  </si>
  <si>
    <t>Single-player,Multi-player,PvP,Online PvP,Shared/Split Screen PvP,Co-op,Online Co-op,Shared/Split Screen Co-op,Shared/Split Screen,Cross-Platform Multiplayer,Steam Achievements,Steam Trading Cards,Partial Controller Support,Remote Play on Phone,Remote Play on Tablet,Remote Play on TV,Remote Play Together</t>
  </si>
  <si>
    <t>Action,Indie,Free To Play</t>
  </si>
  <si>
    <t>Stellaris</t>
  </si>
  <si>
    <t>Single-player,Multi-player,Cross-Platform Multiplayer,Steam Achievements,Steam Trading Cards,Steam Workshop,Steam Cloud,Family Sharing</t>
  </si>
  <si>
    <t>Age of Empires II: Definitive Edition</t>
  </si>
  <si>
    <t>Single-player,Multi-player,PvP,Online PvP,LAN PvP,Co-op,Online Co-op,LAN Co-op,Cross-Platform Multiplayer,Steam Achievements,Steam Trading Cards,Steam Cloud,Includes level editor,Family Sharing</t>
  </si>
  <si>
    <t>Farming Simulator 25</t>
  </si>
  <si>
    <t>Single-player,Multi-player,Co-op,Online Co-op,Steam Achievements,Full controller support,Steam Cloud,Family Sharing</t>
  </si>
  <si>
    <t>Simulation</t>
  </si>
  <si>
    <t>eFootball</t>
  </si>
  <si>
    <t>Single-player,Multi-player,PvP,Online PvP,Shared/Split Screen PvP,Co-op,Online Co-op,Shared/Split Screen Co-op,Shared/Split Screen,Cross-Platform Multiplayer,In-App Purchases,Partial Controller Support</t>
  </si>
  <si>
    <t>Simulation,Sports,Free To Play</t>
  </si>
  <si>
    <t>Satisfactory</t>
  </si>
  <si>
    <t>Single-player,Multi-player,Co-op,Online Co-op,Cross-Platform Multiplayer,Steam Achievements,Adjustable Text Size,Camera Comfort,Color Alternatives,Custom Volume Controls,Adjustable Difficulty,Playable without Timed Input,Save Anytime,Stereo Sound,Surround Sound,Partial Controller Support,Steam Cloud,Remote Play on Tablet,Family Sharing</t>
  </si>
  <si>
    <t>Adventure,Indie,Simulation,Strategy</t>
  </si>
  <si>
    <t>Monster Hunter Wilds</t>
  </si>
  <si>
    <t>Single-player,Multi-player,Co-op,Online Co-op,Cross-Platform Multiplayer,Steam Achievements,Full controller support,Steam Trading Cards,Adjustable Text Size,Camera Comfort,Color Alternatives,Custom Volume Controls,Keyboard Only Option,Stereo Sound,Subtitle Options,Surround Sound,Steam Cloud,HDR available,Family Sharing</t>
  </si>
  <si>
    <t>Europa Universalis IV</t>
  </si>
  <si>
    <t>Single-player,Multi-player,PvP,Online PvP,Co-op,Online Co-op,Cross-Platform Multiplayer,Steam Achievements,Steam Trading Cards,Steam Workshop,Steam Cloud,Family Sharing</t>
  </si>
  <si>
    <t>Eternal Return</t>
  </si>
  <si>
    <t>Multi-player,PvP,Online PvP,Steam Trading Cards,In-App Purchases,Camera Comfort,Color Alternatives,Custom Volume Controls,Playable without Timed Input</t>
  </si>
  <si>
    <t>Indie,Strategy,Free To Play</t>
  </si>
  <si>
    <t>No Man's Sky</t>
  </si>
  <si>
    <t>Single-player,Multi-player,PvP,Online PvP,Co-op,Online Co-op,Cross-Platform Multiplayer,Steam Achievements,Full controller support,Tracked Controller Support,VR Supported,Steam Trading Cards,Adjustable Text Size,Camera Comfort,Chat Speech-to-text,Color Alternatives,Custom Volume Controls,Adjustable Difficulty,Playable without Timed Input,Save Anytime,Stereo Sound,Subtitle Options,Surround Sound,Steam Cloud,Remote Play on Tablet,Remote Play on TV,HDR available,Family Sharing</t>
  </si>
  <si>
    <t>Sid Meier's Civilization V</t>
  </si>
  <si>
    <t>Single-player,Multi-player,Steam Achievements,Steam Trading Cards,Steam Cloud,Remote Play on Tablet,Family Sharing</t>
  </si>
  <si>
    <t>ARK: Survival Ascended</t>
  </si>
  <si>
    <t>Single-player,Multi-player,MMO,PvP,Online PvP,LAN PvP,Co-op,Online Co-op,LAN Co-op,Shared/Split Screen Co-op,Shared/Split Screen,Cross-Platform Multiplayer,Steam Achievements,Full controller support,Includes level editor,Remote Play Together,Family Sharing</t>
  </si>
  <si>
    <t>Action,Adventure,Indie,Massively Multiplayer,RPG,Early Access</t>
  </si>
  <si>
    <t>RX 6800</t>
  </si>
  <si>
    <t>Monster Hunter: World</t>
  </si>
  <si>
    <t>Single-player,Multi-player,Co-op,Steam Achievements,Steam Trading Cards,Adjustable Text Size,Camera Comfort,Custom Volume Controls,Keyboard Only Option,Stereo Sound,Surround Sound,Partial Controller Support,Steam Cloud,Stats,Steam Leaderboards,Remote Play on Tablet,HDR available,Family Sharing</t>
  </si>
  <si>
    <t>Arma Reforger</t>
  </si>
  <si>
    <t>Single-player,Multi-player,PvP,Online PvP,Co-op,Online Co-op,Cross-Platform Multiplayer,Steam Achievements,Full controller support,Captions available,Steam Cloud</t>
  </si>
  <si>
    <t>Action,Simulation,Strategy</t>
  </si>
  <si>
    <t>GTX 1070 Ti</t>
  </si>
  <si>
    <t>Fallout 4</t>
  </si>
  <si>
    <t>Single-player,Steam Achievements,Full controller support,Playable without Timed Input,Save Anytime,Stereo Sound,Surround Sound,Steam Cloud,Remote Play on Phone,Remote Play on Tablet,Remote Play on TV,Family Sharing</t>
  </si>
  <si>
    <t>IdleOn</t>
  </si>
  <si>
    <t>Single-player,Multi-player,MMO,Co-op,Online Co-op,Cross-Platform Multiplayer,Steam Achievements,In-App Purchases</t>
  </si>
  <si>
    <t>Casual,Indie,Massively Multiplayer,RPG,Simulation,Free To Play</t>
  </si>
  <si>
    <t>V Rising</t>
  </si>
  <si>
    <t>Single-player,Multi-player,PvP,Online PvP,LAN PvP,Co-op,Online Co-op,LAN Co-op,Steam Achievements,Camera Comfort,Custom Volume Controls,Adjustable Difficulty,Playable without Timed Input,Save Anytime,Stereo Sound,Subtitle Options,Surround Sound,Partial Controller Support,Steam Cloud,Family Sharing</t>
  </si>
  <si>
    <t>Enshrouded</t>
  </si>
  <si>
    <t>Single-player,Multi-player,Co-op,Online Co-op,Steam Achievements,Full controller support,Adjustable Text Size,Camera Comfort,Color Alternatives,Custom Volume Controls,Adjustable Difficulty,Stereo Sound,Steam Cloud,Family Sharing</t>
  </si>
  <si>
    <t>RTX 2070 SUPER</t>
  </si>
  <si>
    <t>Unturned</t>
  </si>
  <si>
    <t>Single-player,Multi-player,PvP,Online PvP,LAN PvP,Co-op,Online Co-op,LAN Co-op,Steam Achievements,Steam Trading Cards,Steam Workshop,In-App Purchases,Camera Comfort,Custom Volume Controls,Adjustable Difficulty,Playable without Timed Input,Stereo Sound,Steam Cloud,Valve Anti-Cheat enabled,Stats,Includes level editor,Remote Play on Tablet</t>
  </si>
  <si>
    <t>Action,Adventure,Casual,Indie,Free To Play</t>
  </si>
  <si>
    <t>VTube Studio</t>
  </si>
  <si>
    <t>Single-player,Steam Workshop</t>
  </si>
  <si>
    <t>Indie,Animation &amp; Modeling,Video Production</t>
  </si>
  <si>
    <t>Forza Horizon 5</t>
  </si>
  <si>
    <t>Single-player,Multi-player,PvP,Online PvP,Co-op,Online Co-op,Cross-Platform Multiplayer,Steam Achievements,Full controller support,Steam Trading Cards,Steam Cloud,HDR available,Family Sharing</t>
  </si>
  <si>
    <t>Action,Adventure,Racing,Simulation,Sports</t>
  </si>
  <si>
    <t>Phasmophobia</t>
  </si>
  <si>
    <t>Single-player,Multi-player,Co-op,Online Co-op,Steam Achievements,Full controller support,Tracked Controller Support,VR Supported,Steam Trading Cards,Camera Comfort,Adjustable Difficulty,Playable without Timed Input,Stereo Sound,Surround Sound,Steam Cloud,Remote Play on Phone,Remote Play on Tablet,Family Sharing</t>
  </si>
  <si>
    <t>Action,Indie,Early Access</t>
  </si>
  <si>
    <t>Cookie Clicker</t>
  </si>
  <si>
    <t>Single-player,Steam Achievements,Steam Workshop,Steam Cloud,Family Sharing</t>
  </si>
  <si>
    <t>Tom Clancy's The Division 2</t>
  </si>
  <si>
    <t>Single-player,Multi-player,PvP,Online PvP,Co-op,Online Co-op,Steam Achievements,Captions available,In-App Purchases,Partial Controller Support,HDR available</t>
  </si>
  <si>
    <t>RX 480</t>
  </si>
  <si>
    <t>STAR WARS Battlefront II</t>
  </si>
  <si>
    <t>Single-player,Multi-player,PvP,Online PvP,Steam Achievements,Steam Trading Cards</t>
  </si>
  <si>
    <t>Squad</t>
  </si>
  <si>
    <t>Multi-player,PvP,Online PvP,Co-op,Online Co-op,Steam Trading Cards,Steam Workshop,Partial Controller Support,Valve Anti-Cheat enabled</t>
  </si>
  <si>
    <t>Action,Indie,Massively Multiplayer,Strategy</t>
  </si>
  <si>
    <t>Assetto Corsa</t>
  </si>
  <si>
    <t>Single-player,Multi-player,PvP,Online PvP,Steam Achievements,VR Supported,Partial Controller Support,Steam Leaderboards,Includes level editor,Family Sharing</t>
  </si>
  <si>
    <t>Indie,Racing,Simulation,Sports</t>
  </si>
  <si>
    <t>Cities: Skylines</t>
  </si>
  <si>
    <t>Single-player,Steam Achievements,Steam Trading Cards,Steam Workshop,Steam Cloud,Includes level editor,Remote Play on Tablet,Family Sharing</t>
  </si>
  <si>
    <t>GTX 1050</t>
  </si>
  <si>
    <t>Diablo IV</t>
  </si>
  <si>
    <t>Single-player,Multi-player,PvP,Online PvP,Co-op,Online Co-op,Cross-Platform Multiplayer,Steam Achievements,Full controller support,In-App Purchases,Adjustable Text Size,Camera Comfort,Color Alternatives,Adjustable Difficulty,Keyboard Only Option,Mouse Only Option,Narrated Game Menus,Playable without Timed Input,Save Anytime,Stereo Sound,Subtitle Options</t>
  </si>
  <si>
    <t>Fallout 76</t>
  </si>
  <si>
    <t>Multi-player,MMO,PvP,Online PvP,Co-op,Online Co-op,Steam Achievements,In-App Purchases,Playable without Timed Input,Stereo Sound,Surround Sound,Partial Controller Support,Remote Play on Tablet</t>
  </si>
  <si>
    <t>Borderlands 2</t>
  </si>
  <si>
    <t>Single-player,Multi-player,Co-op,Steam Achievements,Full controller support,Steam Trading Cards,Steam Cloud,Remote Play on Phone,Remote Play on Tablet,Remote Play on TV,Family Sharing</t>
  </si>
  <si>
    <t>SCUM</t>
  </si>
  <si>
    <t>Single-player,Multi-player,MMO,PvP,Online PvP,Co-op,Online Co-op,Steam Achievements,Steam Trading Cards,Camera Comfort,Custom Volume Controls,Adjustable Difficulty,Stereo Sound,Surround Sound,Stats</t>
  </si>
  <si>
    <t>Action,Adventure,Indie,Massively Multiplayer</t>
  </si>
  <si>
    <t>World of Warships</t>
  </si>
  <si>
    <t>Multi-player,MMO,PvP,Online PvP,Co-op,Online Co-op,Steam Achievements,Steam Trading Cards,In-App Purchases,Adjustable Text Size,Camera Comfort,Color Alternatives,Custom Volume Controls,Playable without Timed Input,Steam Cloud</t>
  </si>
  <si>
    <t>Action,Massively Multiplayer,Simulation,Strategy,Free To Play</t>
  </si>
  <si>
    <t>YoloMouse - Game Cursor Changer</t>
  </si>
  <si>
    <t>Steam Workshop,Adjustable Text Size,Camera Comfort,Color Alternatives,Adjustable Difficulty,Keyboard Only Option,Mouse Only Option,Playable without Timed Input,Save Anytime,Includes level editor</t>
  </si>
  <si>
    <t>Animation &amp; Modeling,Design &amp; Illustration,Education,Software Training,Utilities</t>
  </si>
  <si>
    <t>Albion Online</t>
  </si>
  <si>
    <t>Multi-player,MMO,PvP,Online PvP,Cross-Platform Multiplayer,Steam Achievements,In-App Purchases,Partial Controller Support</t>
  </si>
  <si>
    <t>Massively Multiplayer,RPG,Free To Play</t>
  </si>
  <si>
    <t>Tainted Grail: The Fall of Avalon</t>
  </si>
  <si>
    <t>Single-player,Steam Achievements,Full controller support,Steam Trading Cards,Steam Cloud,Family Sharing</t>
  </si>
  <si>
    <t>RoadCraft</t>
  </si>
  <si>
    <t>Single-player,Multi-player,Co-op,Online Co-op,Cross-Platform Multiplayer,Steam Achievements,Full controller support,Steam Trading Cards,Camera Comfort,Custom Volume Controls,Playable without Timed Input,Save Anytime,Stereo Sound,Surround Sound,Steam Cloud,Family Sharing</t>
  </si>
  <si>
    <t>Adventure,Simulation</t>
  </si>
  <si>
    <t>MapleStory</t>
  </si>
  <si>
    <t>Single-player,Multi-player,MMO,Co-op,Steam Trading Cards</t>
  </si>
  <si>
    <t>Action,Adventure,Casual,Massively Multiplayer,RPG,Free To Play</t>
  </si>
  <si>
    <t>Risk of Rain 2</t>
  </si>
  <si>
    <t>Single-player,Multi-player,PvP,Online PvP,Co-op,Online Co-op,Full controller support,Steam Trading Cards,Adjustable Text Size,Camera Comfort,Custom Volume Controls,Adjustable Difficulty,Stereo Sound,Surround Sound,Steam Cloud,Steam Leaderboards,Remote Play on Phone,Remote Play on Tablet,Remote Play on TV,Family Sharing</t>
  </si>
  <si>
    <t>Sultan's Game</t>
  </si>
  <si>
    <t>Single-player,Steam Achievements,Full controller support,Steam Trading Cards,Steam Workshop,Steam Cloud,Family Sharing</t>
  </si>
  <si>
    <t>Adventure,Indie,RPG,Simulation,Strategy</t>
  </si>
  <si>
    <t>Oxygen Not Included</t>
  </si>
  <si>
    <t>Single-player,Steam Trading Cards,Family Sharing</t>
  </si>
  <si>
    <t>Gray Zone Warfare</t>
  </si>
  <si>
    <t>Multi-player,MMO,PvP,Online PvP,Co-op,Online Co-op,Custom Volume Controls,Playable without Timed Input,Stereo Sound,Surround Sound</t>
  </si>
  <si>
    <t>Action,Massively Multiplayer,Simulation,Early Access</t>
  </si>
  <si>
    <t>RTX 2080 Ti</t>
  </si>
  <si>
    <t>Bloons TD 6</t>
  </si>
  <si>
    <t>Single-player,Multi-player,Co-op,Online Co-op,Steam Achievements,In-App Purchases,Remote Play on Phone,Remote Play on Tablet,Family Sharing</t>
  </si>
  <si>
    <t>The Planet Crafter</t>
  </si>
  <si>
    <t>Single-player,Multi-player,Co-op,Online Co-op,Steam Achievements,Full controller support,Family Sharing</t>
  </si>
  <si>
    <t>Adventure</t>
  </si>
  <si>
    <t>Counter-Strike</t>
  </si>
  <si>
    <t>Multi-player,PvP,Online PvP,Shared/Split Screen PvP,Color Alternatives,Custom Volume Controls,Keyboard Only Option,Stereo Sound,Valve Anti-Cheat enabled,Family Sharing</t>
  </si>
  <si>
    <t>Warhammer 40,000: Darktide</t>
  </si>
  <si>
    <t>Multi-player,Co-op,Online Co-op,Cross-Platform Multiplayer,Steam Achievements,Captions available,In-App Purchases,Partial Controller Support,Family Sharing</t>
  </si>
  <si>
    <t>Arma 3</t>
  </si>
  <si>
    <t>Single-player,Multi-player,PvP,Online PvP,LAN PvP,Co-op,Online Co-op,LAN Co-op,Steam Achievements,Steam Trading Cards,Captions available,Steam Workshop,Stats,Steam Leaderboards,Includes level editor,Steam Timeline</t>
  </si>
  <si>
    <t>Age of Empires IV: Anniversary Edition</t>
  </si>
  <si>
    <t>Single-player,Multi-player,PvP,Online PvP,Co-op,Online Co-op,Cross-Platform Multiplayer,Steam Achievements,Family Sharing</t>
  </si>
  <si>
    <t>Kingdom Come: Deliverance II</t>
  </si>
  <si>
    <t>Single-player,Steam Achievements,Full controller support,Steam Trading Cards,Custom Volume Controls,Playable without Timed Input,Stereo Sound,Surround Sound,Steam Cloud,Family Sharing</t>
  </si>
  <si>
    <t>RTX 4070</t>
  </si>
  <si>
    <t>9 Kings</t>
  </si>
  <si>
    <t>Single-player,Steam Achievements,Steam Trading Cards,Camera Comfort,Custom Volume Controls,Adjustable Difficulty,Mouse Only Option,Save Anytime,Touch Only Option,Steam Cloud,Family Sharing</t>
  </si>
  <si>
    <t>RPG,Strategy,Early Access</t>
  </si>
  <si>
    <t>Warhammer 40,000: Space Marine 2</t>
  </si>
  <si>
    <t>Single-player,Multi-player,PvP,Online PvP,Co-op,Online Co-op,Cross-Platform Multiplayer,Steam Achievements,Full controller support,Steam Trading Cards,Adjustable Text Size,Camera Comfort,Color Alternatives,Custom Volume Controls,Adjustable Difficulty,Stereo Sound,Subtitle Options,Surround Sound,Steam Cloud,Family Sharing</t>
  </si>
  <si>
    <t>Sekiro: Shadows Die Twice - GOTY Edition</t>
  </si>
  <si>
    <t>Single-player,Steam Achievements,Full controller support,Steam Trading Cards,Steam Cloud,Remote Play on Tablet,Remote Play on TV,Family Sharing</t>
  </si>
  <si>
    <t>American Truck Simulator</t>
  </si>
  <si>
    <t>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Together,Family Sharing</t>
  </si>
  <si>
    <t>STAR WARS: The Old Republic</t>
  </si>
  <si>
    <t>Multi-player,MMO,PvP,Co-op,Steam Achievements,Steam Trading Cards,In-App Purchases</t>
  </si>
  <si>
    <t>Monster Train 2</t>
  </si>
  <si>
    <t>Single-player,Steam Achievements,Full controller support,Steam Trading Cards,Camera Comfort,Custom Volume Controls,Adjustable Difficulty,Keyboard Only Option,Mouse Only Option,Playable without Timed Input,Save Anytime,Steam Cloud,Family Sharing</t>
  </si>
  <si>
    <t>GTX 1080</t>
  </si>
  <si>
    <t>Brotato</t>
  </si>
  <si>
    <t>Single-player,Multi-player,Co-op,Shared/Split Screen Co-op,Shared/Split Screen,Steam Achievements,Full controller support,Steam Trading Cards,Steam Workshop,Steam Cloud,Remote Play on TV,Remote Play Together,Family Sharing</t>
  </si>
  <si>
    <t>Action,Casual,Indie,RPG</t>
  </si>
  <si>
    <t>Battlefield V</t>
  </si>
  <si>
    <t>Single-player,Multi-player,PvP,Online PvP,Steam Achievements,Full controller support,Steam Trading Cards,HDR available</t>
  </si>
  <si>
    <t>Battlefield 1</t>
  </si>
  <si>
    <t>Action,Massively Multiplayer</t>
  </si>
  <si>
    <t>Hunt: Showdown 1896</t>
  </si>
  <si>
    <t>Multi-player,PvP,Online PvP,Co-op,Online Co-op,Steam Achievements,Full controller support,Steam Trading Cards,In-App Purchases,Steam Leaderboards,Remote Play on Tablet,Remote Play on TV</t>
  </si>
  <si>
    <t>Lethal Company</t>
  </si>
  <si>
    <t>Single-player,Multi-player,Co-op,Online Co-op,Custom Volume Controls,Stereo Sound,Partial Controller Support,Family Sharing</t>
  </si>
  <si>
    <t>Action,Adventure,Indie,Early Access</t>
  </si>
  <si>
    <t>Counter-Strike: Source</t>
  </si>
  <si>
    <t>Multi-player,Cross-Platform Multiplayer,Steam Achievements,Camera Comfort,Color Alternatives,Custom Volume Controls,Stereo Sound,Subtitle Options,Surround Sound,Steam Cloud,Valve Anti-Cheat enabled,Stats,Includes Source SDK,Family Sharing</t>
  </si>
  <si>
    <t>The Isle</t>
  </si>
  <si>
    <t>Multi-player,MMO,PvP,Online PvP,Partial Controller Support,Valve Anti-Cheat enabled</t>
  </si>
  <si>
    <t>Action,Adventure,Indie,Massively Multiplayer,Simulation,Early Access</t>
  </si>
  <si>
    <t>Sid Meier's Civilization VII</t>
  </si>
  <si>
    <t>Single-player,Multi-player,PvP,Online PvP,LAN PvP,Cross-Platform Multiplayer,Steam Achievements,Full controller support,Steam Trading Cards,Steam Workshop,Adjustable Text Size,Camera Comfort,Chat Text-to-speech,Color Alternatives,Custom Volume Controls,Adjustable Difficulty,Mouse Only Option,Narrated Game Menus,Playable without Timed Input,Save Anytime,Stereo Sound,Surround Sound,Touch Only Option,HDR available,Family Sharing</t>
  </si>
  <si>
    <t>Rune Factory: Guardians of Azuma</t>
  </si>
  <si>
    <t>Last Epoch</t>
  </si>
  <si>
    <t>Single-player,Multi-player,Co-op,Online Co-op,Full controller support,In-App Purchases,Steam Cloud</t>
  </si>
  <si>
    <t>Hogwarts Legacy</t>
  </si>
  <si>
    <t>Single-player,Steam Achievements,Full controller support,In-App Purchases,Adjustable Text Size,Camera Comfort,Custom Volume Controls,Narrated Game Menus,Save Anytime,Stereo Sound,Surround Sound,Steam Cloud,HDR available,Family Sharing</t>
  </si>
  <si>
    <t>World of Tanks Blitz</t>
  </si>
  <si>
    <t>Multi-player,MMO,PvP,Online PvP,Co-op,Online Co-op,Cross-Platform Multiplayer,Steam Trading Cards,In-App Purchases,Camera Comfort,Color Alternatives,Custom Volume Controls,Save Anytime,Stereo Sound,Touch Only Option</t>
  </si>
  <si>
    <t>Conan Exiles</t>
  </si>
  <si>
    <t>Single-player,Multi-player,PvP,Online PvP,Co-op,Online Co-op,Steam Achievements,Full controller support,Steam Trading Cards,Steam Workshop,Remote Play on Tablet,Remote Play on TV,Family Sharing</t>
  </si>
  <si>
    <t>Action,Adventure,Massively Multiplayer,RPG,Simulation,Strategy</t>
  </si>
  <si>
    <t>New World: Aeternum</t>
  </si>
  <si>
    <t>Multi-player,MMO,PvP,Online PvP,Co-op,Online Co-op,Steam Achievements,In-App Purchases,Adjustable Text Size,Camera Comfort,Chat Speech-to-text,Chat Text-to-speech,Color Alternatives,Custom Volume Controls,Keyboard Only Option,Playable without Timed Input,Save Anytime,Stereo Sound,Subtitle Options,Surround Sound,Partial Controller Support</t>
  </si>
  <si>
    <t>Split Fiction</t>
  </si>
  <si>
    <t>Multi-player,Co-op,Online Co-op,Shared/Split Screen Co-op,Shared/Split Screen,Cross-Platform Multiplayer,Steam Achievements,Full controller support,Steam Trading Cards,Captions available,Camera Comfort,Color Alternatives,Stereo Sound,Surround Sound,Steam Cloud,Remote Play Together,HDR available,Family Sharing</t>
  </si>
  <si>
    <t>RTX 3070</t>
  </si>
  <si>
    <t>Sea of Thieves: 2025 Edition</t>
  </si>
  <si>
    <t>Multi-player,PvP,Online PvP,Co-op,Online Co-op,Cross-Platform Multiplayer,Steam Achievements,Steam Trading Cards,In-App Purchases,Partial Controller Support,Remote Play on Phone,Remote Play on Tablet,Family Sharing</t>
  </si>
  <si>
    <t>GTX 1080 Ti</t>
  </si>
  <si>
    <t>Farming Simulator 22</t>
  </si>
  <si>
    <t>Single-player,Multi-player,Co-op,Online Co-op,Cross-Platform Multiplayer,Steam Achievements,Full controller support,Steam Trading Cards,Steam Cloud,Remote Play on TV,Family Sharing</t>
  </si>
  <si>
    <t>Call of Duty: Black Ops III</t>
  </si>
  <si>
    <t>Single-player,Multi-player,Co-op,Shared/Split Screen,Steam Achievements,Full controller support,Steam Trading Cards,Steam Workshop,Valve Anti-Cheat enabled,Steam Leaderboards,Remote Play on Phone,Remote Play on Tablet,Remote Play on TV,Remote Play Together,Family Sharing</t>
  </si>
  <si>
    <t>Kenshi</t>
  </si>
  <si>
    <t>Single-player,Steam Trading Cards,Steam Workshop,Includes level editor,Family Sharing</t>
  </si>
  <si>
    <t>Cities: Skylines II</t>
  </si>
  <si>
    <t>Single-player,Steam Achievements,Full controller support,Steam Cloud,Family Sharing</t>
  </si>
  <si>
    <t>RTX 3080</t>
  </si>
  <si>
    <t>F1 25</t>
  </si>
  <si>
    <t>Single-player,Multi-player,PvP,Online PvP,LAN PvP,Shared/Split Screen PvP,Co-op,Online Co-op,LAN Co-op,Shared/Split Screen,Cross-Platform Multiplayer,Steam Achievements,Full controller support,VR Supported,Steam Workshop,In-App Purchases,Adjustable Difficulty,Keyboard Only Option,Playable without Timed Input,Stereo Sound,Surround Sound,Steam Cloud,HDR available,Family Sharing</t>
  </si>
  <si>
    <t>Racing,Simulation,Sports</t>
  </si>
  <si>
    <t>Aimlabs</t>
  </si>
  <si>
    <t>Single-player,Steam Achievements,Full controller support,Steam Workshop,In-App Purchases,Steam Cloud,Stats,Steam Leaderboards,Includes level editor</t>
  </si>
  <si>
    <t>Action,Adventure,Casual,Indie,Simulation,Free To Play</t>
  </si>
  <si>
    <t>Deep Rock Galactic</t>
  </si>
  <si>
    <t>Single-player,Multi-player,Co-op,Online Co-op,Steam Achievements,Full controller support,Steam Trading Cards,Captions available,Camera Comfort,Color Alternatives,Custom Volume Controls,Adjustable Difficulty,Playable without Timed Input,Stereo Sound,Subtitle Options,Steam Cloud,Remote Play on Tablet,Remote Play on TV,Family Sharing</t>
  </si>
  <si>
    <t>Palia</t>
  </si>
  <si>
    <t>Single-player,Multi-player,Co-op,Online Co-op,Cross-Platform Multiplayer,Steam Achievements,In-App Purchases,Partial Controller Support</t>
  </si>
  <si>
    <t>Adventure,Casual,Indie,RPG,Simulation,Free To Play</t>
  </si>
  <si>
    <t>DSX</t>
  </si>
  <si>
    <t>Single-player,Steam Achievements,Steam Workshop,Partial Controller Support,Steam Cloud</t>
  </si>
  <si>
    <t>Action,Adventure,Indie,Simulation,Utilities</t>
  </si>
  <si>
    <t>EA SPORTS FC 24</t>
  </si>
  <si>
    <t>Tabletop Simulator</t>
  </si>
  <si>
    <t>Single-player,Multi-player,PvP,Online PvP,Shared/Split Screen PvP,Co-op,Online Co-op,Shared/Split Screen Co-op,Shared/Split Screen,Cross-Platform Multiplayer,Steam Achievements,Full controller support,Tracked Controller Support,VR Supported,Steam Trading Cards,Steam Workshop,Steam Cloud,Includes level editor,Remote Play Together,Family Sharing</t>
  </si>
  <si>
    <t>Casual,Indie,RPG,Simulation,Strategy</t>
  </si>
  <si>
    <t>It Takes Two</t>
  </si>
  <si>
    <t>Multi-player,Co-op,Online Co-op,Shared/Split Screen Co-op,Shared/Split Screen,Steam Achievements,Full controller support,Steam Trading Cards,Stereo Sound,Surround Sound,Steam Cloud,Remote Play Together</t>
  </si>
  <si>
    <t>GTX 980</t>
  </si>
  <si>
    <t>Persona 5 Royal</t>
  </si>
  <si>
    <t>SMITE 2</t>
  </si>
  <si>
    <t>Action,Adventure,Casual,Massively Multiplayer,RPG,Strategy,Free To Play,Early Access</t>
  </si>
  <si>
    <t>Dying Light</t>
  </si>
  <si>
    <t>Single-player,Multi-player,PvP,Online PvP,Co-op,Online Co-op,Steam Achievements,Full controller support,Steam Trading Cards,Steam Workshop,Steam Cloud,Valve Anti-Cheat enabled,Includes level editor,Remote Play on Tablet,Remote Play on TV,Family Sharing</t>
  </si>
  <si>
    <t>Hollow Knight</t>
  </si>
  <si>
    <t>Single-player,Steam Achievements,Full controller support,Steam Trading Cards,Steam Cloud,Remote Play on Phone,Remote Play on Tablet,Remote Play on TV,Family Sharing</t>
  </si>
  <si>
    <t>Action,Adventure,Indie</t>
  </si>
  <si>
    <t>Elite Dangerous</t>
  </si>
  <si>
    <t>Single-player,Multi-player,MMO,Co-op,VR Supported,VR Support,In-App Purchases,Partial Controller Support,Remote Play on Tablet,Family Sharing</t>
  </si>
  <si>
    <t>KARDS - The WW2 Card Game</t>
  </si>
  <si>
    <t>Single-player,Multi-player,PvP,Online PvP,In-App Purchases,Remote Play on Tablet</t>
  </si>
  <si>
    <t>Casual,Indie,Strategy,Free To Play</t>
  </si>
  <si>
    <t>Supermarket Together</t>
  </si>
  <si>
    <t>Single-player,Multi-player,Co-op,Online Co-op,Steam Achievements,Steam Cloud</t>
  </si>
  <si>
    <t>Casual,Indie,Simulation,Free To Play</t>
  </si>
  <si>
    <t>Raft</t>
  </si>
  <si>
    <t>Single-player,Multi-player,Co-op,Online Co-op,Steam Achievements,Steam Cloud,Family Sharing</t>
  </si>
  <si>
    <t>Adventure,Indie,Simulation</t>
  </si>
  <si>
    <t>SCP: Secret Laboratory</t>
  </si>
  <si>
    <t>Multi-player,PvP,Online PvP,Steam Achievements,Steam Cloud,Valve Anti-Cheat enabled</t>
  </si>
  <si>
    <t>Action,Casual,Indie,RPG,Free To Play</t>
  </si>
  <si>
    <t>Path of Exile</t>
  </si>
  <si>
    <t>Single-player,Multi-player,MMO,PvP,Online PvP,Co-op,Online Co-op,Steam Achievements,Full controller support,Steam Trading Cards,In-App Purchases,Remote Play on Tablet</t>
  </si>
  <si>
    <t>Action,Adventure,Indie,Massively Multiplayer,RPG,Free To Play</t>
  </si>
  <si>
    <t>Victoria 3</t>
  </si>
  <si>
    <t>Single-player,Multi-player,PvP,Online PvP,Cross-Platform Multiplayer,Steam Achievements,Steam Workshop,Color Alternatives,Custom Volume Controls,Adjustable Difficulty,Keyboard Only Option,Mouse Only Option,Playable without Timed Input,Save Anytime,Stereo Sound,Surround Sound,Steam Cloud,Family Sharing</t>
  </si>
  <si>
    <t>Melvor Idle</t>
  </si>
  <si>
    <t>Single-player,Steam Achievements,Steam Trading Cards,Family Sharing</t>
  </si>
  <si>
    <t>Adventure,Casual,Indie,RPG</t>
  </si>
  <si>
    <t>Killing Floor 2</t>
  </si>
  <si>
    <t>Single-player,Multi-player,PvP,Online PvP,Co-op,Online Co-op,Steam Achievements,Full controller support,Steam Trading Cards,Steam Workshop,In-App Purchases,Valve Anti-Cheat enabled,Includes level editor,Remote Play on Tablet,Remote Play on TV,Family Sharing</t>
  </si>
  <si>
    <t>Total War: THREE KINGDOMS</t>
  </si>
  <si>
    <t>People Playground</t>
  </si>
  <si>
    <t>Single-player,Steam Achievements,Steam Trading Cards,Steam Workshop,Steam Cloud,Family Sharing</t>
  </si>
  <si>
    <t>Action,Casual,Indie,Simulation</t>
  </si>
  <si>
    <t>Sons Of The Forest</t>
  </si>
  <si>
    <t>Action,Adventure,Indie,Simulation</t>
  </si>
  <si>
    <t>TEKKEN 8</t>
  </si>
  <si>
    <t>Single-player,Multi-player,PvP,Online PvP,Shared/Split Screen PvP,Shared/Split Screen,Steam Achievements,Steam Trading Cards,Partial Controller Support,Steam Cloud,Family Sharing</t>
  </si>
  <si>
    <t>The Last of Us Part II Remastered</t>
  </si>
  <si>
    <t>Single-player,Steam Achievements,Full controller support,Adjustable Text Size,Camera Comfort,Color Alternatives,Custom Volume Controls,Adjustable Difficulty,Narrated Game Menus,Save Anytime,Stereo Sound,Subtitle Options,Surround Sound,Steam Cloud,HDR available,Family Sharing</t>
  </si>
  <si>
    <t>Captain of Industry</t>
  </si>
  <si>
    <t>Single-player,Adjustable Text Size,Camera Comfort,Custom Volume Controls,Adjustable Difficulty,Mouse Only Option,Playable without Timed Input,Save Anytime,Stereo Sound,Steam Cloud,Includes level editor,Family Sharing</t>
  </si>
  <si>
    <t>Indie,Simulation,Strategy,Early Access</t>
  </si>
  <si>
    <t>Blue Prince</t>
  </si>
  <si>
    <t>Adventure,Indie,Strategy</t>
  </si>
  <si>
    <t>RX 5700</t>
  </si>
  <si>
    <t>DARK SOULS III</t>
  </si>
  <si>
    <t>Single-player,Multi-player,Co-op,Steam Achievements,Full controller support,Steam Trading Cards,Camera Comfort,Custom Volume Controls,Playable without Timed Input,Save Anytime,Stereo Sound,Surround Sound,Remote Play on Phone,Remote Play on Tablet,Remote Play on TV,Family Sharing</t>
  </si>
  <si>
    <t>POPUCOM</t>
  </si>
  <si>
    <t>Multi-player,Co-op,Online Co-op,Shared/Split Screen Co-op,Shared/Split Screen,Steam Achievements,Color Alternatives,Custom Volume Controls,Surround Sound,Partial Controller Support,Steam Cloud,Remote Play Together,Family Sharing</t>
  </si>
  <si>
    <t>Action,Adventure,Casual</t>
  </si>
  <si>
    <t>Ready or Not</t>
  </si>
  <si>
    <t>Single-player,Multi-player,Co-op,Online Co-op,Steam Achievements,Full controller support,Steam Cloud</t>
  </si>
  <si>
    <t>Dying Light 2 Stay Human: Reloaded Edition</t>
  </si>
  <si>
    <t>Single-player,Multi-player,Co-op,Online Co-op,Steam Achievements,Full controller support,Steam Trading Cards,Steam Cloud,Remote Play on TV,Family Sharing</t>
  </si>
  <si>
    <t>Space Engineers</t>
  </si>
  <si>
    <t>Single-player,Multi-player,PvP,Online PvP,Co-op,Cross-Platform Multiplayer,Steam Achievements,Steam Workshop,Partial Controller Support,Steam Cloud,Includes level editor,Family Sharing</t>
  </si>
  <si>
    <t>Action,Indie,Simulation,Strategy</t>
  </si>
  <si>
    <t>Football Manager 2023</t>
  </si>
  <si>
    <t>The Last of Us Part I</t>
  </si>
  <si>
    <t>Single-player,Steam Achievements,Full controller support,Steam Trading Cards,Adjustable Text Size,Camera Comfort,Color Alternatives,Custom Volume Controls,Adjustable Difficulty,Narrated Game Menus,Save Anytime,Stereo Sound,Subtitle Options,Surround Sound,Steam Cloud,Remote Play on TV,Family Sharing</t>
  </si>
  <si>
    <t>ｬｼｰｷｫ Tale of Immortal</t>
  </si>
  <si>
    <t>Single-player,Steam Achievements,Full controller support,Steam Workshop,Steam Cloud,Remote Play on Tablet,Family Sharing</t>
  </si>
  <si>
    <t>Action,Adventure,Indie,RPG,Simulation</t>
  </si>
  <si>
    <t>Total War: ROME II - Emperor Edition</t>
  </si>
  <si>
    <t>Single-player,Multi-player,PvP,Online PvP,LAN PvP,Co-op,Online Co-op,LAN Co-op,Steam Trading Cards,Camera Comfort,Custom Volume Controls,Adjustable Difficulty,Playable without Timed Input,Save Anytime,Stereo Sound,Surround Sound,Steam Cloud,Family Sharing</t>
  </si>
  <si>
    <t>Fallout: New Vegas</t>
  </si>
  <si>
    <t>Single-player,Steam Achievements,Partial Controller Support,Steam Leaderboards,Remote Play on Phone,Remote Play on Tablet,Family Sharing</t>
  </si>
  <si>
    <t>Timberborn</t>
  </si>
  <si>
    <t>Single-player,Steam Workshop,Adjustable Text Size,Camera Comfort,Custom Volume Controls,Adjustable Difficulty,Mouse Only Option,Playable without Timed Input,Save Anytime,Stereo Sound,Steam Cloud,Includes level editor,Family Sharing</t>
  </si>
  <si>
    <t>World of Tanks</t>
  </si>
  <si>
    <t>Multi-player,MMO,PvP,Online PvP,Steam Achievements,Steam Trading Cards,In-App Purchases,Color Alternatives,Custom Volume Controls,Playable without Timed Input,Stereo Sound,Surround Sound</t>
  </si>
  <si>
    <t>GTX 1650</t>
  </si>
  <si>
    <t>Darkest Dungeon</t>
  </si>
  <si>
    <t>Single-player,Steam Achievements,Steam Trading Cards,Partial Controller Support,Steam Cloud,Remote Play on Tablet,Family Sharing</t>
  </si>
  <si>
    <t>Indie,RPG,Strategy</t>
  </si>
  <si>
    <t>Among Us</t>
  </si>
  <si>
    <t>Multi-player,PvP,Online PvP,LAN PvP,Co-op,Online Co-op,LAN Co-op,Cross-Platform Multiplayer,Steam Achievements,Full controller support,Steam Trading Cards,In-App Purchases,Remote Play on Phone,Remote Play on Tablet,Family Sharing</t>
  </si>
  <si>
    <t>Casual</t>
  </si>
  <si>
    <t>Resident Evil 4</t>
  </si>
  <si>
    <t>Single-player,Steam Achievements,Full controller support,Steam Trading Cards,Steam Cloud,HDR available,Family Sharing</t>
  </si>
  <si>
    <t>The Outlast Trials</t>
  </si>
  <si>
    <t>Single-player,Multi-player,Co-op,Online Co-op,Full controller support,Family Sharing</t>
  </si>
  <si>
    <t>Starfield</t>
  </si>
  <si>
    <t>Single-player,Steam Achievements,Full controller support,Steam Trading Cards,Color Alternatives,Playable without Timed Input,Stereo Sound,Surround Sound,Steam Cloud,Family Sharing</t>
  </si>
  <si>
    <t>EVE Online</t>
  </si>
  <si>
    <t>Multi-player,MMO,PvP,Online PvP,Co-op,Online Co-op,Steam Trading Cards,Adjustable Text Size,Color Alternatives,Custom Volume Controls,Stereo Sound,Surround Sound</t>
  </si>
  <si>
    <t>Action,Massively Multiplayer,RPG,Strategy,Free To Play</t>
  </si>
  <si>
    <t>Core Keeper</t>
  </si>
  <si>
    <t>Single-player,Multi-player,Co-op,Online Co-op,Full controller support,Steam Cloud,Family Sharing</t>
  </si>
  <si>
    <t>MONSTER HUNTER RISE</t>
  </si>
  <si>
    <t>Single-player,Multi-player,Co-op,Online Co-op,Steam Achievements,Full controller support,Steam Trading Cards,Steam Cloud,HDR available,Family Sharing</t>
  </si>
  <si>
    <t>MX Bikes</t>
  </si>
  <si>
    <t>Single-player,Multi-player,PvP,Online PvP,LAN PvP,Partial Controller Support,Family Sharing</t>
  </si>
  <si>
    <t>Racing,Simulation,Sports,Early Access</t>
  </si>
  <si>
    <t>Fish Idle 2: Underwater Mystery</t>
  </si>
  <si>
    <t>Single-player</t>
  </si>
  <si>
    <t>Adventure,Casual,Indie,Free To Play</t>
  </si>
  <si>
    <t>Disney Dreamlight Valley</t>
  </si>
  <si>
    <t>Single-player,Multi-player,Full controller support,In-App Purchases,Camera Comfort,Custom Volume Controls,Playable without Timed Input,Save Anytime,Stereo Sound,Subtitle Options,Family Sharing</t>
  </si>
  <si>
    <t>Action,Adventure,Casual,RPG,Simulation</t>
  </si>
  <si>
    <t>Warhammer 40,000: Rogue Trader</t>
  </si>
  <si>
    <t>Single-player,Multi-player,Co-op,Online Co-op,Cross-Platform Multiplayer,Steam Achievements,Steam Trading Cards,Steam Workshop,Adjustable Text Size,Custom Volume Controls,Mouse Only Option,Save Anytime,Stereo Sound,Subtitle Options,Surround Sound,Partial Controller Support,Steam Cloud,Family Sharing</t>
  </si>
  <si>
    <t>Action,Adventure,Indie,RPG,Strategy</t>
  </si>
  <si>
    <t>The Spell Brigade</t>
  </si>
  <si>
    <t>Single-player,Multi-player,Co-op,Online Co-op,Steam Achievements,Partial Controller Support,Steam Cloud,Family Sharing</t>
  </si>
  <si>
    <t>Action,Casual,Indie,Free To Play,Early Access</t>
  </si>
  <si>
    <t>DOOM: The Dark Ages</t>
  </si>
  <si>
    <t>Single-player,Steam Achievements,Full controller support,Steam Trading Cards,Color Alternatives,Adjustable Difficulty,Surround Sound,Steam Cloud,HDR available,Family Sharing</t>
  </si>
  <si>
    <t>Divinity: Original Sin 2 - Definitive Edition</t>
  </si>
  <si>
    <t>Single-player,Multi-player,PvP,Online PvP,Shared/Split Screen PvP,Co-op,Online Co-op,Shared/Split Screen Co-op,Shared/Split Screen,Steam Achievements,Full controller support,Steam Trading Cards,Captions available,Steam Workshop,Steam Cloud,Includes level editor,Remote Play on Tablet,Remote Play on TV,Remote Play Together,Family Sharing</t>
  </si>
  <si>
    <t>Transport Fever 2</t>
  </si>
  <si>
    <t>Single-player,Steam Achievements,Full controller support,Steam Workshop,Family Sharing</t>
  </si>
  <si>
    <t>Tower of Babel: Survivors of Chaos</t>
  </si>
  <si>
    <t>Action,RPG,Early Access</t>
  </si>
  <si>
    <t>NGU IDLE</t>
  </si>
  <si>
    <t>Single-player,Steam Achievements,In-App Purchases,Steam Cloud,Remote Play on Tablet</t>
  </si>
  <si>
    <t>Adventure,Indie,Simulation,Free To Play</t>
  </si>
  <si>
    <t>Hell Let Loose</t>
  </si>
  <si>
    <t>Multi-player,PvP,Online PvP,Steam Achievements,Partial Controller Support,Family Sharing</t>
  </si>
  <si>
    <t>Action,Indie,Massively Multiplayer,Simulation,Strategy</t>
  </si>
  <si>
    <t>DAVE THE DIVER</t>
  </si>
  <si>
    <t>Adventure,Casual,RPG,Simulation</t>
  </si>
  <si>
    <t>Drive Beyond Horizons</t>
  </si>
  <si>
    <t>Single-player,Multi-player,Co-op,Online Co-op,Steam Achievements,Steam Cloud,Steam Leaderboards,Family Sharing</t>
  </si>
  <si>
    <t>Action,Adventure,Casual,Indie,Racing,Simulation,Early Access</t>
  </si>
  <si>
    <t>Halo: The Master Chief Collection</t>
  </si>
  <si>
    <t>Single-player,Multi-player,PvP,Online PvP,LAN PvP,Co-op,Online Co-op,LAN Co-op,Cross-Platform Multiplayer,Steam Achievements,Full controller support,Steam Trading Cards,Steam Workshop,Remote Play on Phone,Remote Play on Tablet,Remote Play on TV,Family Sharing</t>
  </si>
  <si>
    <t>OVR Advanced Settings</t>
  </si>
  <si>
    <t>Tracked Controller Support,VR Only</t>
  </si>
  <si>
    <t>Utilities</t>
  </si>
  <si>
    <t>Undertale</t>
  </si>
  <si>
    <t>Single-player,Steam Trading Cards,Remote Play on Phone,Remote Play on Tablet,Family Sharing</t>
  </si>
  <si>
    <t>Your Chronicle</t>
  </si>
  <si>
    <t>Single-player,Steam Achievements,In-App Purchases,Steam Cloud</t>
  </si>
  <si>
    <t>RPG,Free To Play</t>
  </si>
  <si>
    <t>Car Dealer Simulator</t>
  </si>
  <si>
    <t>Shop Titans</t>
  </si>
  <si>
    <t>Single-player,Multi-player,MMO,Co-op,Online Co-op,Cross-Platform Multiplayer,Steam Achievements,Steam Trading Cards,In-App Purchases</t>
  </si>
  <si>
    <t>Adventure,Casual,RPG,Simulation,Free To Play</t>
  </si>
  <si>
    <t>TAIKU MANSION</t>
  </si>
  <si>
    <t>Single-player,Steam Achievements,Steam Trading Cards,Captions available,Family Sharing</t>
  </si>
  <si>
    <t>Guild Wars 2</t>
  </si>
  <si>
    <t>Multi-player,MMO,PvP,Online PvP,Co-op,Online Co-op,In-App Purchases</t>
  </si>
  <si>
    <t>Adventure,Massively Multiplayer,RPG,Free To Play</t>
  </si>
  <si>
    <t>Microsoft Flight Simulator (2020) 40th Anniversary Edition</t>
  </si>
  <si>
    <t>Single-player,Multi-player,Steam Achievements,Full controller support,VR Supported,In-App Purchases,HDR available,Family Sharing</t>
  </si>
  <si>
    <t>Astral Party</t>
  </si>
  <si>
    <t>Multi-player,PvP,Online PvP,Co-op,Online Co-op,In-App Purchases</t>
  </si>
  <si>
    <t>Casual,Indie,RPG,Strategy</t>
  </si>
  <si>
    <t>Borderlands 3</t>
  </si>
  <si>
    <t>Single-player,Multi-player,Co-op,Online Co-op,LAN Co-op,Cross-Platform Multiplayer,Steam Achievements,Full controller support,Steam Trading Cards,Steam Cloud,Remote Play on Phone,Remote Play on Tablet,Remote Play on TV,Family Sharing</t>
  </si>
  <si>
    <t>RX 590</t>
  </si>
  <si>
    <t>SnowRunner</t>
  </si>
  <si>
    <t>Single-player,Multi-player,Co-op,Online Co-op,Steam Achievements,Full controller support,Steam Trading Cards,Camera Comfort,Custom Volume Controls,Playable without Timed Input,Save Anytime,Stereo Sound,Surround Sound,Steam Cloud,Remote Play on Phone,Remote Play on Tablet,Family Sharing</t>
  </si>
  <si>
    <t>XCOM 2</t>
  </si>
  <si>
    <t>Single-player,Steam Achievements,Steam Trading Cards,Steam Workshop,Steam Cloud,Remote Play on Tablet,Family Sharing</t>
  </si>
  <si>
    <t>ULTRAKILL</t>
  </si>
  <si>
    <t>Party Animals</t>
  </si>
  <si>
    <t>Single-player,Multi-player,PvP,Online PvP,Shared/Split Screen PvP,Co-op,Online Co-op,Shared/Split Screen Co-op,Shared/Split Screen,Cross-Platform Multiplayer,Steam Achievements,Full controller support,In-App Purchases,Remote Play Together,Family Sharing</t>
  </si>
  <si>
    <t>Action,Casual,Indie</t>
  </si>
  <si>
    <t>Guilty as Sock!</t>
  </si>
  <si>
    <t>Multi-player,PvP,Online PvP,Steam Achievements,Family Sharing</t>
  </si>
  <si>
    <t>Casual,Simulation</t>
  </si>
  <si>
    <t>Mount &amp; Blade: Warband</t>
  </si>
  <si>
    <t>Single-player,Multi-player,Steam Achievements,Steam Trading Cards,Steam Workshop,Family Sharing</t>
  </si>
  <si>
    <t>Cell to Singularity - Evolution Never Ends</t>
  </si>
  <si>
    <t>Single-player,Steam Achievements,In-App Purchases,Partial Controller Support,Steam Cloud</t>
  </si>
  <si>
    <t>Casual,Simulation,Free To Play</t>
  </si>
  <si>
    <t>Idle Champions of the Forgotten Realms</t>
  </si>
  <si>
    <t>Single-player,Steam Achievements,Steam Trading Cards,In-App Purchases,Remote Play on Tablet</t>
  </si>
  <si>
    <t>Action,Adventure,Indie,Strategy,Free To Play</t>
  </si>
  <si>
    <t>Age of Empires III: Definitive Edition</t>
  </si>
  <si>
    <t>Single-player,Multi-player,PvP,Online PvP,LAN PvP,Cross-Platform Multiplayer,Steam Achievements,Steam Trading Cards,Steam Cloud</t>
  </si>
  <si>
    <t>Strategy,Free To Play</t>
  </si>
  <si>
    <t>Vampire Survivors</t>
  </si>
  <si>
    <t>Single-player,Multi-player,Co-op,Online Co-op,Steam Achievements,Full controller support,Steam Trading Cards,Steam Cloud,Remote Play Together,Family Sharing</t>
  </si>
  <si>
    <t>Stumble Guys</t>
  </si>
  <si>
    <t>Multi-player,PvP,Online PvP,Cross-Platform Multiplayer,In-App Purchases,Partial Controller Support</t>
  </si>
  <si>
    <t>Action,Casual,Indie,Massively Multiplayer,Racing,Free To Play</t>
  </si>
  <si>
    <t>Crab Game</t>
  </si>
  <si>
    <t>Multi-player,PvP,Online PvP,Co-op,Online Co-op</t>
  </si>
  <si>
    <t>Action,Casual,Free To Play,Indie,Racing</t>
  </si>
  <si>
    <t>The Forest</t>
  </si>
  <si>
    <t>Single-player,Multi-player,Co-op,Online Co-op,LAN Co-op,Tracked Controller Support,VR Supported,Partial Controller Support,Steam Cloud,Family Sharing</t>
  </si>
  <si>
    <t>DARK SOULS: REMASTERED</t>
  </si>
  <si>
    <t>Single-player,Multi-player,Steam Achievements,Full controller support,Remote Play on Phone,Remote Play on Tablet,Remote Play on TV,Family Sharing</t>
  </si>
  <si>
    <t>SUPER DISTRO</t>
  </si>
  <si>
    <t>Single-player,Steam Achievements,Full controller support,Steam Trading Cards,Family Sharing</t>
  </si>
  <si>
    <t>Foxhole</t>
  </si>
  <si>
    <t>Multi-player,MMO,PvP,Online PvP,Valve Anti-Cheat enabled</t>
  </si>
  <si>
    <t>Action,Indie,Massively Multiplayer,RPG,Strategy</t>
  </si>
  <si>
    <t>STAR WARS Empire at War - Gold Pack</t>
  </si>
  <si>
    <t>Single-player,Multi-player,PvP,Online PvP,Steam Cloud,Family Sharing</t>
  </si>
  <si>
    <t>Total War: MEDIEVAL II ' Definitive Edition</t>
  </si>
  <si>
    <t>Single-player,Multi-player,Steam Trading Cards,Family Sharing</t>
  </si>
  <si>
    <t>Anno 1800</t>
  </si>
  <si>
    <t>Single-player,Multi-player,PvP,Online PvP,Co-op,Online Co-op,Steam Achievements,Steam Trading Cards,Captions available</t>
  </si>
  <si>
    <t>Fishing Planet</t>
  </si>
  <si>
    <t>Single-player,Multi-player,MMO,PvP,Online PvP,Co-op,Online Co-op,Steam Achievements,Full controller support,Steam Trading Cards,In-App Purchases,Remote Play on TV</t>
  </si>
  <si>
    <t>Massively Multiplayer,Simulation,Sports,Free To Play</t>
  </si>
  <si>
    <t>RTX 4060</t>
  </si>
  <si>
    <t>Battlefield 2042</t>
  </si>
  <si>
    <t>Multi-player,PvP,Online PvP,Co-op,Online Co-op,Steam Achievements,Full controller support,Steam Trading Cards,In-App Purchases,Color Alternatives,Custom Volume Controls,Stereo Sound,Surround Sound,HDR available</t>
  </si>
  <si>
    <t>Soulmask</t>
  </si>
  <si>
    <t>Single-player,Multi-player,PvP,Online PvP,LAN PvP,Co-op,Online Co-op,LAN Co-op,Steam Achievements,Steam Workshop,Partial Controller Support,Steam Cloud,Family Sharing</t>
  </si>
  <si>
    <t>Adventure,Indie,Massively Multiplayer,RPG,Simulation,Free To Play,Early Access</t>
  </si>
  <si>
    <t>They Are Billions</t>
  </si>
  <si>
    <t>Single-player,Steam Achievements,Steam Trading Cards,Steam Workshop,Steam Cloud,Stats,Steam Leaderboards,Includes level editor,Remote Play on Tablet,Family Sharing</t>
  </si>
  <si>
    <t>Subnautica</t>
  </si>
  <si>
    <t>Single-player,Steam Achievements,Full controller support,VR Supported,Steam Trading Cards,VR Support,Steam Cloud,Remote Play on TV,Family Sharing</t>
  </si>
  <si>
    <t>Adventure,Indie</t>
  </si>
  <si>
    <t>Dyson Sphere Program</t>
  </si>
  <si>
    <t>Single-player,Steam Achievements,Family Sharing</t>
  </si>
  <si>
    <t>DDNet</t>
  </si>
  <si>
    <t>Single-player,Multi-player,Co-op,Online Co-op,LAN Co-op,Cross-Platform Multiplayer,Includes level editor</t>
  </si>
  <si>
    <t>Plants vs. Zombies GOTY Edition</t>
  </si>
  <si>
    <t>Single-player,Steam Achievements,Remote Play on Phone,Remote Play on Tablet,Family Sharing</t>
  </si>
  <si>
    <t>HITMAN World of Assassination</t>
  </si>
  <si>
    <t>Single-player,Steam Achievements,Full controller support,Tracked Controller Support,VR Supported,Custom Volume Controls,Playable without Timed Input,Stereo Sound,Subtitle Options,Surround Sound,Steam Cloud,Family Sharing</t>
  </si>
  <si>
    <t>Game of Thrones: Kingsroad</t>
  </si>
  <si>
    <t>Single-player,Multi-player,Co-op,Online Co-op,In-App Purchases,Partial Controller Support</t>
  </si>
  <si>
    <t>Action,Adventure,RPG,Free To Play</t>
  </si>
  <si>
    <t>Assassin's Creed Odyssey</t>
  </si>
  <si>
    <t>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Phone,Remote Play on Tablet,HDR available</t>
  </si>
  <si>
    <t>Workers &amp; Resources: Soviet Republic</t>
  </si>
  <si>
    <t>Single-player,Steam Achievements,Steam Trading Cards,Steam Workshop,Adjustable Text Size,Camera Comfort,Custom Volume Controls,Adjustable Difficulty,Save Anytime,Partial Controller Support,Steam Cloud,Includes level editor,Family Sharing</t>
  </si>
  <si>
    <t>Ravenswatch</t>
  </si>
  <si>
    <t>The Long Dark</t>
  </si>
  <si>
    <t>Single-player,Steam Achievements,Full controller support,Steam Trading Cards,Steam Cloud,Remote Play on TV,Family Sharing</t>
  </si>
  <si>
    <t>Enlisted</t>
  </si>
  <si>
    <t>Multi-player,MMO,PvP,Online PvP,Co-op,Online Co-op,Cross-Platform Multiplayer,Steam Achievements,Full controller support,In-App Purchases,Adjustable Text Size,Camera Comfort,Custom Volume Controls,Playable without Timed Input</t>
  </si>
  <si>
    <t>Action,Massively Multiplayer,Free To Play</t>
  </si>
  <si>
    <t>Dead Cells</t>
  </si>
  <si>
    <t>Single-player,Steam Achievements,Full controller support,Steam Trading Cards,Steam Workshop,Steam Cloud,Remote Play on Phone,Remote Play on Tablet,Remote Play on TV,Family Sharing</t>
  </si>
  <si>
    <t>PowerWash Simulator</t>
  </si>
  <si>
    <t>Single-player,Multi-player,Co-op,Online Co-op,Cross-Platform Multiplayer,Steam Achievements,Full controller support,Steam Trading Cards,Steam Cloud,Family Sharing</t>
  </si>
  <si>
    <t>House Flipper 2</t>
  </si>
  <si>
    <t>Single-player,Multi-player,Co-op,Online Co-op,LAN Co-op,Cross-Platform Multiplayer,Steam Achievements,Full controller support,Steam Trading Cards,Custom Volume Controls,Playable without Timed Input,Save Anytime,Stereo Sound,Steam Cloud,Includes level editor,Family Sharing</t>
  </si>
  <si>
    <t>Legend of Heroes: Three Kingdoms</t>
  </si>
  <si>
    <t>Single-player,Steam Achievements,Steam Cloud,Family Sharing</t>
  </si>
  <si>
    <t>Indie,RPG,Simulation,Strategy,Early Access</t>
  </si>
  <si>
    <t>Cash Cleaner Simulator</t>
  </si>
  <si>
    <t>Single-player,Steam Achievements,Full controller support,Steam Trading Cards,Color Alternatives,Custom Volume Controls,Playable without Timed Input,Save Anytime,Stereo Sound,Surround Sound,Steam Cloud,Family Sharing</t>
  </si>
  <si>
    <t>Kingdom Come: Deliverance</t>
  </si>
  <si>
    <t>Planet Zoo</t>
  </si>
  <si>
    <t>Single-player,Steam Achievements,Steam Trading Cards,Steam Workshop,Steam Cloud,HDR available,Family Sharing</t>
  </si>
  <si>
    <t>Casual,Simulation,Strategy</t>
  </si>
  <si>
    <t xml:space="preserve">RuneScape </t>
  </si>
  <si>
    <t>Multi-player,MMO,Cross-Platform Multiplayer,Steam Achievements,In-App Purchases,Adjustable Text Size,Camera Comfort,Color Alternatives,Custom Volume Controls,Save Anytime,Subtitle Options,Touch Only Option</t>
  </si>
  <si>
    <t>Supermarket Simulator</t>
  </si>
  <si>
    <t>GUILTY GEAR -STRIVE-</t>
  </si>
  <si>
    <t>Single-player,Multi-player,PvP,Online PvP,Shared/Split Screen PvP,Shared/Split Screen,Steam Achievements,Full controller support,Steam Cloud,Remote Play Together,Family Sharing</t>
  </si>
  <si>
    <t>Dinkum</t>
  </si>
  <si>
    <t>Adventure,Casual,Indie,RPG,Simulation</t>
  </si>
  <si>
    <t>Mass Effect Legendary Edition</t>
  </si>
  <si>
    <t>Single-player,Steam Achievements,Full controller support,Steam Trading Cards,Adjustable Difficulty,Stereo Sound,Surround Sound,Remote Play on TV</t>
  </si>
  <si>
    <t>S.T.A.L.K.E.R. 2: Heart of Chornobyl</t>
  </si>
  <si>
    <t>Single-player,Steam Achievements,Steam Trading Cards,Steam Workshop,Partial Controller Support,Steam Cloud,HDR available,Family Sharing</t>
  </si>
  <si>
    <t>RTX 3070 Ti</t>
  </si>
  <si>
    <t>shapez 2</t>
  </si>
  <si>
    <t>Single-player,Adjustable Text Size,Camera Comfort,Color Alternatives,Custom Volume Controls,Adjustable Difficulty,Keyboard Only Option,Mouse Only Option,Playable without Timed Input,Save Anytime,Subtitle Options,Steam Cloud,Family Sharing</t>
  </si>
  <si>
    <t>Casual,Indie,Simulation,Strategy,Early Access</t>
  </si>
  <si>
    <t>Grounded</t>
  </si>
  <si>
    <t>Single-player,Multi-player,Co-op,Online Co-op,Full controller support,Steam Trading Cards,Steam Cloud,Remote Play on Tablet,Family Sharing</t>
  </si>
  <si>
    <t>MyDockFinder</t>
  </si>
  <si>
    <t>Steam Achievements,Steam Workshop,Steam Cloud</t>
  </si>
  <si>
    <t>Grim Dawn</t>
  </si>
  <si>
    <t>Single-player,Multi-player,Co-op,Online Co-op,LAN Co-op,Steam Achievements,Full controller support,Steam Trading Cards,Steam Cloud,Remote Play on Tablet,Remote Play on TV,Family Sharing</t>
  </si>
  <si>
    <t>Barotrauma</t>
  </si>
  <si>
    <t>Single-player,Multi-player,PvP,Online PvP,Co-op,Online Co-op,Steam Achievements,Steam Trading Cards,Steam Workshop,Steam Cloud,Includes level editor,Family Sharing,Steam Timeline</t>
  </si>
  <si>
    <t>STAR WARS Jedi: Survivor</t>
  </si>
  <si>
    <t>Single-player,Steam Achievements,Full controller support,Captions available,Color Alternatives,Custom Volume Controls,Adjustable Difficulty,Stereo Sound,HDR available</t>
  </si>
  <si>
    <t>Detroit: Become Human</t>
  </si>
  <si>
    <t>Single-player,Steam Achievements,Full controller support,Steam Cloud,Remote Play on TV,Family Sharing</t>
  </si>
  <si>
    <t>Company of Heroes 2</t>
  </si>
  <si>
    <t>Single-player,Multi-player,PvP,Online PvP,Co-op,Online Co-op,Steam Achievements,Steam Trading Cards,Steam Workshop,Steam Cloud,Stats,Family Sharing</t>
  </si>
  <si>
    <t>Hellslave</t>
  </si>
  <si>
    <t>Single-player,Steam Achievements,Full controller support,Family Sharing</t>
  </si>
  <si>
    <t>Adventure,Indie,RPG,Strategy</t>
  </si>
  <si>
    <t>Age of Empires II (Retired)</t>
  </si>
  <si>
    <t>Single-player,Multi-player,Steam Achievements,Steam Trading Cards,Captions available,Steam Workshop,Steam Cloud,Stats,Steam Leaderboards,Includes level editor,Family Sharing</t>
  </si>
  <si>
    <t>Halo Infinite</t>
  </si>
  <si>
    <t>Multi-player,PvP,Online PvP,LAN PvP,Cross-Platform Multiplayer,Steam Achievements,Full controller support,In-App Purchases,Steam Cloud,Includes level editor,Remote Play on TV</t>
  </si>
  <si>
    <t>Sephiria</t>
  </si>
  <si>
    <t>DOOM Eternal</t>
  </si>
  <si>
    <t>Single-player,Multi-player,PvP,Online PvP,Steam Achievements,Steam Trading Cards,Color Alternatives,Adjustable Difficulty,Stereo Sound,Surround Sound,Partial Controller Support,Steam Cloud,Remote Play on Phone,Remote Play on Tablet,HDR available,Family Sharing</t>
  </si>
  <si>
    <t>Tiny Pasture</t>
  </si>
  <si>
    <t>Hades</t>
  </si>
  <si>
    <t>Single-player,Steam Achievements,Full controller support,Steam Trading Cards,Captions available,Steam Cloud,Remote Play on Phone,Remote Play on Tablet,Remote Play on TV,Family Sharing</t>
  </si>
  <si>
    <t>Action,Indie,RPG</t>
  </si>
  <si>
    <t>Devil May Cry 5</t>
  </si>
  <si>
    <t>Single-player,Multi-player,Co-op,Online Co-op,Steam Achievements,Full controller support,Steam Trading Cards,Steam Cloud,Remote Play on TV,HDR available,Family Sharing</t>
  </si>
  <si>
    <t>Crossout</t>
  </si>
  <si>
    <t>Multi-player,MMO,PvP,Online PvP,Co-op,Online Co-op,Steam Achievements,Full controller support,Steam Trading Cards,In-App Purchases,Camera Comfort,Color Alternatives,Custom Volume Controls,Playable without Timed Input,Stereo Sound,Subtitle Options,Remote Play on Tablet,Remote Play on TV</t>
  </si>
  <si>
    <t>Action,Adventure,Massively Multiplayer,Racing,Free To Play</t>
  </si>
  <si>
    <t>Call to Arms - Gates of Hell: Ostfront</t>
  </si>
  <si>
    <t>Single-player,Multi-player,PvP,Online PvP,Co-op,Online Co-op,Steam Achievements,Steam Trading Cards,Steam Workshop,Camera Comfort,Custom Volume Controls,Adjustable Difficulty,Playable without Timed Input,Stereo Sound,Surround Sound,Partial Controller Support,Steam Cloud,Stats,Steam Leaderboards,Includes level editor,Family Sharing</t>
  </si>
  <si>
    <t>theHunter: Call of the Wild</t>
  </si>
  <si>
    <t>Single-player,Multi-player,Co-op,Online Co-op,Steam Achievements,Full controller support,In-App Purchases,Steam Cloud,Family Sharing</t>
  </si>
  <si>
    <t>Adventure,Simulation,Sports</t>
  </si>
  <si>
    <t>Red Dead Online</t>
  </si>
  <si>
    <t>Multi-player,PvP,Online PvP,Co-op,Online Co-op,Steam Achievements,In-App Purchases,Partial Controller Support,Remote Play on Phone,Remote Play on Tablet</t>
  </si>
  <si>
    <t>Company of Heroes 3</t>
  </si>
  <si>
    <t>Single-player,Multi-player,PvP,Online PvP,Co-op,Online Co-op,Steam Achievements,Steam Trading Cards,Steam Workshop,Stats,Family Sharing</t>
  </si>
  <si>
    <t>OVR Toolkit - Desktop Overlay</t>
  </si>
  <si>
    <t>Tracked Controller Support,VR Only,Steam Workshop,Partial Controller Support</t>
  </si>
  <si>
    <t>RISK: Global Domination</t>
  </si>
  <si>
    <t>Single-player,Multi-player,PvP,Online PvP,Shared/Split Screen PvP,Co-op,Online Co-op,Shared/Split Screen Co-op,Shared/Split Screen,Cross-Platform Multiplayer,Steam Achievements,In-App Purchases,Remote Play on Phone,Remote Play on Tablet,Remote Play Together</t>
  </si>
  <si>
    <t>Casual,Strategy,Free To Play</t>
  </si>
  <si>
    <t>FOR HONOR</t>
  </si>
  <si>
    <t>Single-player,Multi-player,PvP,Online PvP,Co-op,Online Co-op,Steam Achievements,Steam Trading Cards,In-App Purchases,Partial Controller Support</t>
  </si>
  <si>
    <t>X4: Foundations</t>
  </si>
  <si>
    <t>Single-player,Steam Achievements,Full controller support,Steam Trading Cards,Steam Workshop,Adjustable Text Size,Camera Comfort,Color Alternatives,Custom Volume Controls,Playable without Timed Input,Save Anytime,Stereo Sound,Steam Cloud,Family Sharing</t>
  </si>
  <si>
    <t>Warhammer: Vermintide 2</t>
  </si>
  <si>
    <t>Single-player,Multi-player,Co-op,Online Co-op,Steam Achievements,Full controller support,Steam Trading Cards,Family Sharing</t>
  </si>
  <si>
    <t>Grand Theft Auto IV: The Complete Edition</t>
  </si>
  <si>
    <t>Single-player,Multi-player,Partial Controller Support,Remote Play on Phone,Remote Play on Tablet</t>
  </si>
  <si>
    <t>Overcooked! 2</t>
  </si>
  <si>
    <t>Single-player,Multi-player,PvP,Online PvP,Shared/Split Screen PvP,Co-op,Online Co-op,Shared/Split Screen Co-op,Shared/Split Screen,Steam Achievements,Full controller support,Steam Trading Cards,Steam Cloud,Remote Play on Phone,Remote Play on Tablet,Remote Play on TV,Remote Play Together,Family Sharing</t>
  </si>
  <si>
    <t>Cuphead</t>
  </si>
  <si>
    <t>Single-player,Multi-player,Co-op,Shared/Split Screen Co-op,Shared/Split Screen,Steam Achievements,Full controller support,Steam Trading Cards,Steam Cloud,Remote Play on Phone,Remote Play on Tablet,Remote Play on TV,Remote Play Together,Family Sharing</t>
  </si>
  <si>
    <t>F1 24</t>
  </si>
  <si>
    <t>Single-player,Multi-player,PvP,Online PvP,LAN PvP,Shared/Split Screen PvP,Co-op,Online Co-op,LAN Co-op,Shared/Split Screen,Steam Achievements,Full controller support,VR Supported,Steam Workshop,In-App Purchases,Adjustable Difficulty,Keyboard Only Option,Playable without Timed Input,Stereo Sound,Surround Sound,Steam Cloud,HDR available,Family Sharing</t>
  </si>
  <si>
    <t>Racing,Sports</t>
  </si>
  <si>
    <t>Myth of Empires</t>
  </si>
  <si>
    <t>Single-player,Multi-player,MMO,PvP,Online PvP,LAN PvP,Co-op,Online Co-op,LAN Co-op,Steam Achievements,Steam Workshop,In-App Purchases,HDR available</t>
  </si>
  <si>
    <t>The Slormancer</t>
  </si>
  <si>
    <t>Total War: EMPIRE ' Definitive Edition</t>
  </si>
  <si>
    <t>Single-player,Multi-player,PvP,Online PvP,LAN PvP,Co-op,Online Co-op,LAN Co-op,Steam Achievements,Steam Trading Cards,Camera Comfort,Custom Volume Controls,Adjustable Difficulty,Playable without Timed Input,Save Anytime,Stereo Sound,Stats,Family Sharing</t>
  </si>
  <si>
    <t>Ghost of Tsushima DIRECTOR'S CUT</t>
  </si>
  <si>
    <t>Single-player,Multi-player,PvP,Online PvP,Co-op,Online Co-op,Steam Achievements,Full controller support,Steam Trading Cards,Adjustable Text Size,Camera Comfort,Color Alternatives,Custom Volume Controls,Adjustable Difficulty,Playable without Timed Input,Save Anytime,Stereo Sound,Subtitle Options,Surround Sound,Steam Cloud,HDR available,Family Sharing</t>
  </si>
  <si>
    <t>Clicker Heroes</t>
  </si>
  <si>
    <t>Single-player,Steam Achievements,Steam Trading Cards,In-App Purchases,Camera Comfort,Mouse Only Option,Playable without Timed Input,Save Anytime,Touch Only Option,Steam Cloud,Stats</t>
  </si>
  <si>
    <t>Adventure,Casual,Indie,RPG,Simulation,Strategy,Free To Play</t>
  </si>
  <si>
    <t>Noita</t>
  </si>
  <si>
    <t>Single-player,Steam Achievements,Steam Workshop,Partial Controller Support,Steam Cloud,Family Sharing</t>
  </si>
  <si>
    <t>Gems of War - Puzzle RPG</t>
  </si>
  <si>
    <t>Single-player,Multi-player,Cross-Platform Multiplayer,Steam Achievements,Steam Trading Cards,In-App Purchases,Partial Controller Support,Steam Cloud</t>
  </si>
  <si>
    <t>Action,Adventure,Casual,RPG,Strategy,Free To Play</t>
  </si>
  <si>
    <t>Teardown</t>
  </si>
  <si>
    <t>Single-player,Steam Achievements,Full controller support,Steam Workshop,Steam Cloud,Includes level editor,Remote Play on Tablet,Family Sharing</t>
  </si>
  <si>
    <t>Manor Lords</t>
  </si>
  <si>
    <t>Single-player,Steam Achievements,Adjustable Text Size,Camera Comfort,Custom Volume Controls,Adjustable Difficulty,Mouse Only Option,Save Anytime,Stereo Sound,Steam Cloud,Family Sharing</t>
  </si>
  <si>
    <t>Simulation,Strategy,Early Access</t>
  </si>
  <si>
    <t>Portal 2</t>
  </si>
  <si>
    <t>Single-player,Multi-player,Co-op,Online Co-op,Shared/Split Screen Co-op,Shared/Split Screen,Steam Achievements,Full controller support,Steam Trading Cards,Captions available,Steam Workshop,Steam Workshop,Camera Comfort,Custom Volume Controls,Playable without Timed Input,Save Anytime,Stereo Sound,Surround Sound,Steam Cloud,Stats,Includes level editor,Commentary available,Remote Play on Phone,Remote Play on Tablet,Remote Play on TV,Remote Play Together,Family Sharing</t>
  </si>
  <si>
    <t>Pathfinder: Wrath of the Righteous - Enhanced Edition</t>
  </si>
  <si>
    <t>Single-player,Steam Achievements,Full controller support,Steam Trading Cards,Custom Volume Controls,Adjustable Difficulty,Mouse Only Option,Playable without Timed Input,Save Anytime,Stereo Sound,Touch Only Option,Steam Cloud,Remote Play on TV,Family Sharing</t>
  </si>
  <si>
    <t>A Dance of Fire and Ice</t>
  </si>
  <si>
    <t>Single-player,Steam Achievements,Steam Workshop,Partial Controller Support,Steam Cloud,Includes level editor,Remote Play on Phone,Remote Play on Tablet,Family Sharing</t>
  </si>
  <si>
    <t>Indie</t>
  </si>
  <si>
    <t>SurrounDead</t>
  </si>
  <si>
    <t>Single-player,Steam Achievements,Steam Trading Cards,Camera Comfort,Custom Volume Controls,Adjustable Difficulty,Playable without Timed Input,Save Anytime,Stereo Sound,Surround Sound,Family Sharing</t>
  </si>
  <si>
    <t>Yu-Gi-Oh! Duel Links</t>
  </si>
  <si>
    <t>Single-player,Multi-player,PvP,Online PvP,Cross-Platform Multiplayer,Steam Achievements,Steam Trading Cards,In-App Purchases</t>
  </si>
  <si>
    <t>Realm of the Mad God Exalt</t>
  </si>
  <si>
    <t>Multi-player,MMO,Co-op,Online Co-op,In-App Purchases,Stats</t>
  </si>
  <si>
    <t>SMITE</t>
  </si>
  <si>
    <t>Multi-player,PvP,Steam Achievements,Full controller support,Steam Trading Cards,In-App Purchases</t>
  </si>
  <si>
    <t>Action,Adventure,Casual,Indie,Massively Multiplayer,RPG,Simulation,Strategy,Free To Play</t>
  </si>
  <si>
    <t>Kerbal Space Program</t>
  </si>
  <si>
    <t>Single-player,Steam Trading Cards,Steam Workshop,Partial Controller Support,Steam Cloud,Family Sharing</t>
  </si>
  <si>
    <t>Hades II</t>
  </si>
  <si>
    <t>Single-player,Steam Achievements,Full controller support,Steam Trading Cards,Captions available,Steam Cloud,Family Sharing</t>
  </si>
  <si>
    <t>Everlusting Life</t>
  </si>
  <si>
    <t>Single-player,Multi-player,PvP,Online PvP,Steam Achievements,In-App Purchases</t>
  </si>
  <si>
    <t>Action,Adventure,Massively Multiplayer,RPG,Strategy,Free To Play</t>
  </si>
  <si>
    <t>ROMANCE OF THE THREE KINGDOMS XIV</t>
  </si>
  <si>
    <t>Single-player,Steam Achievements,Steam Trading Cards,Steam Cloud,Family Sharing</t>
  </si>
  <si>
    <t>Insurgency: Sandstorm</t>
  </si>
  <si>
    <t>Multi-player,PvP,Online PvP,Co-op,Online Co-op,Cross-Platform Multiplayer,Steam Achievements,Full controller support,Steam Trading Cards,Steam Cloud,Stats,Family Sharing</t>
  </si>
  <si>
    <t>EA SPORTS Madden NFL 25</t>
  </si>
  <si>
    <t>Single-player,Multi-player,PvP,Online PvP,Shared/Split Screen PvP,Co-op,Online Co-op,Shared/Split Screen Co-op,Shared/Split Screen,Cross-Platform Multiplayer,Steam Achievements,Full controller support,In-App Purchases,Chat Speech-to-text,Custom Volume Controls,Adjustable Difficulty,Keyboard Only Option,Stereo Sound,Surround Sound,Remote Play Together</t>
  </si>
  <si>
    <t>FINAL FANTASY VII REBIRTH</t>
  </si>
  <si>
    <t>RX 6700 XT</t>
  </si>
  <si>
    <t>Predecessor</t>
  </si>
  <si>
    <t>Single-player,Multi-player,PvP,Online PvP,Co-op,Online Co-op,Cross-Platform Multiplayer,Full controller support,In-App Purchases</t>
  </si>
  <si>
    <t>Backpack Battles</t>
  </si>
  <si>
    <t>Multi-player,PvP,Online PvP,Steam Achievements,Full controller support,Steam Trading Cards,Steam Cloud,Family Sharing</t>
  </si>
  <si>
    <t>PGA TOUR 2K25</t>
  </si>
  <si>
    <t>Single-player,Multi-player,PvP,Online PvP,Shared/Split Screen PvP,Co-op,Online Co-op,Shared/Split Screen,Steam Achievements,Full controller support,In-App Purchases,HDR available,Family Sharing</t>
  </si>
  <si>
    <t>RPG,Simulation,Sports</t>
  </si>
  <si>
    <t>Firestone ' Idle Clicker Online RPG</t>
  </si>
  <si>
    <t>Single-player,Multi-player,Cross-Platform Multiplayer,Steam Achievements,Steam Trading Cards,In-App Purchases,Steam Cloud,Stats,Remote Play on Phone,Remote Play on Tablet</t>
  </si>
  <si>
    <t>Casual,Indie,RPG,Free To Play</t>
  </si>
  <si>
    <t>Escape the Backrooms</t>
  </si>
  <si>
    <t>Single-player,Multi-player,Co-op,Online Co-op,Steam Achievements,Camera Comfort,Custom Volume Controls,Adjustable Difficulty,Playable without Timed Input,Stereo Sound,Partial Controller Support,Steam Cloud,HDR available,Family Sharing</t>
  </si>
  <si>
    <t>Metaphor: ReFantazio</t>
  </si>
  <si>
    <t>Single-player,Steam Achievements,Full controller support,Steam Trading Cards,Camera Comfort,Adjustable Difficulty,Keyboard Only Option,Playable without Timed Input,Stereo Sound,Surround Sound,Steam Cloud,Family Sharing</t>
  </si>
  <si>
    <t>Mechabellum</t>
  </si>
  <si>
    <t>Single-player,Multi-player,PvP,Online PvP,Co-op,Online Co-op,Family Sharing</t>
  </si>
  <si>
    <t>RTX 2080</t>
  </si>
  <si>
    <t>Spirit City: Lofi Sessions</t>
  </si>
  <si>
    <t>Single-player,Steam Achievements,Steam Trading Cards,Steam Cloud,Stats,Family Sharing</t>
  </si>
  <si>
    <t>Football Manager 2022</t>
  </si>
  <si>
    <t>Granblue Fantasy Versus: Rising</t>
  </si>
  <si>
    <t>Single-player,Multi-player,PvP,Online PvP,Shared/Split Screen PvP,Shared/Split Screen,Partial Controller Support,Steam Cloud,Remote Play Together,Family Sharing</t>
  </si>
  <si>
    <t>KovaaK's</t>
  </si>
  <si>
    <t>Single-player,Steam Achievements,Steam Workshop,Stats,Steam Leaderboards,Includes level editor,Family Sharing</t>
  </si>
  <si>
    <t>Action,Indie,Simulation</t>
  </si>
  <si>
    <t>Age of Wonders 4</t>
  </si>
  <si>
    <t>Single-player,Multi-player,PvP,Online PvP,Co-op,Online Co-op,Cross-Platform Multiplayer,Steam Achievements,Steam Workshop,Camera Comfort,Chat Speech-to-text,Chat Text-to-speech,Custom Volume Controls,Adjustable Difficulty,Playable without Timed Input,Save Anytime,Stereo Sound,Surround Sound,Partial Controller Support,Steam Cloud,Remote Play Together,Family Sharing</t>
  </si>
  <si>
    <t>RPG,Strategy</t>
  </si>
  <si>
    <t>Frostpunk</t>
  </si>
  <si>
    <t>Single-player,Steam Achievements,Steam Trading Cards,Steam Cloud,Remote Play on Phone,Remote Play on Tablet,Family Sharing</t>
  </si>
  <si>
    <t>Persona 3 Reload</t>
  </si>
  <si>
    <t>Single-player,Steam Achievements,Full controller support,Steam Trading Cards,Custom Volume Controls,Adjustable Difficulty,Keyboard Only Option,Playable without Timed Input,Stereo Sound,Surround Sound,Steam Cloud,Family Sharing</t>
  </si>
  <si>
    <t>Cauldron</t>
  </si>
  <si>
    <t>Single-player,Steam Achievements,Full controller support,Custom Volume Controls,Save Anytime,Steam Cloud,Family Sharing</t>
  </si>
  <si>
    <t>Adventure,Casual,Indie,RPG,Simulation,Strategy</t>
  </si>
  <si>
    <t>Wandering Sword</t>
  </si>
  <si>
    <t>Single-player,Steam Achievements,Partial Controller Support,Steam Cloud,Family Sharing</t>
  </si>
  <si>
    <t>World War Z</t>
  </si>
  <si>
    <t>Single-player,Multi-player,PvP,Online PvP,Co-op,Online Co-op,Cross-Platform Multiplayer,Steam Achievements,Full controller support,Steam Cloud,Family Sharing</t>
  </si>
  <si>
    <t>TCG Card Shop Simulator</t>
  </si>
  <si>
    <t>Single-player,Steam Achievements,Full controller support,Steam Trading Cards,Camera Comfort,Custom Volume Controls,Playable without Timed Input,Save Anytime,Steam Cloud,Family Sharing</t>
  </si>
  <si>
    <t>Simulation,Early Access</t>
  </si>
  <si>
    <t>CarX Drift Racing Online</t>
  </si>
  <si>
    <t>Single-player,Multi-player,PvP,Online PvP,Co-op,Online Co-op,Cross-Platform Multiplayer,Steam Achievements,VR Supported,Steam Trading Cards,Steam Workshop,Camera Comfort,Custom Volume Controls,Adjustable Difficulty,Keyboard Only Option,Playable without Timed Input,Stereo Sound,Partial Controller Support,Steam Cloud,Includes level editor,Remote Play on Phone,Remote Play on Tablet,Family Sharing</t>
  </si>
  <si>
    <t>Massively Multiplayer,Racing,Simulation,Sports</t>
  </si>
  <si>
    <t>Green Hell</t>
  </si>
  <si>
    <t>Single-player,Multi-player,Co-op,Online Co-op,Steam Achievements,Steam Trading Cards,Adjustable Text Size,Camera Comfort,Custom Volume Controls,Adjustable Difficulty,Playable without Timed Input,Stereo Sound,Subtitle Options,Partial Controller Support,Steam Cloud,Remote Play on Tablet,Family Sharing</t>
  </si>
  <si>
    <t>House of Legacy</t>
  </si>
  <si>
    <t>Adventure,RPG,Simulation,Strategy,Early Access</t>
  </si>
  <si>
    <t>Wartales</t>
  </si>
  <si>
    <t>Microsoft Flight Simulator 2024</t>
  </si>
  <si>
    <t>Single-player,Multi-player,Cross-Platform Multiplayer,Steam Achievements,In-App Purchases,Partial Controller Support,HDR available,Family Sharing</t>
  </si>
  <si>
    <t>Leaf Blower Revolution - Idle Game</t>
  </si>
  <si>
    <t>Single-player,Steam Achievements,Steam Trading Cards,In-App Purchases,Steam Cloud,Stats</t>
  </si>
  <si>
    <t>Casual,Indie,Free To Play</t>
  </si>
  <si>
    <t>Fields of Mistria</t>
  </si>
  <si>
    <t>Single-player,Full controller support,Family Sharing</t>
  </si>
  <si>
    <t>DARK SOULS II: Scholar of the First Sin</t>
  </si>
  <si>
    <t>Single-player,Multi-player,Co-op,Steam Achievements,Full controller support,Remote Play on Phone,Remote Play on Tablet,Remote Play on TV,Family Sharing</t>
  </si>
  <si>
    <t>SAO Utils: Beta</t>
  </si>
  <si>
    <t>Steam Workshop,Steam Cloud</t>
  </si>
  <si>
    <t>Utilities,Early Access</t>
  </si>
  <si>
    <t>DEATH STRANDING DIRECTOR'S CUT</t>
  </si>
  <si>
    <t>Single-player,Steam Achievements,Full controller support,Steam Trading Cards,Adjustable Text Size,Camera Comfort,Custom Volume Controls,Adjustable Difficulty,Playable without Timed Input,Save Anytime,Stereo Sound,Subtitle Options,Surround Sound,Steam Cloud,HDR available,Family Sharing</t>
  </si>
  <si>
    <t>Assassin's Creed Origins</t>
  </si>
  <si>
    <t>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Tablet,HDR available</t>
  </si>
  <si>
    <t>Days Gone</t>
  </si>
  <si>
    <t>Single-player,Steam Achievements,Full controller support,Adjustable Text Size,Camera Comfort,Color Alternatives,Custom Volume Controls,Adjustable Difficulty,Narrated Game Menus,Playable without Timed Input,Save Anytime,Stereo Sound,Subtitle Options,Surround Sound,Steam Cloud,Family Sharing</t>
  </si>
  <si>
    <t>God of War Ragnarﾃｶk</t>
  </si>
  <si>
    <t>Single-player,Steam Achievements,Full controller support,Adjustable Text Size,Camera Comfort,Color Alternatives,Custom Volume Controls,Adjustable Difficulty,Narrated Game Menus,Playable without Timed Input,Save Anytime,Stereo Sound,Subtitle Options,Surround Sound,Steam Cloud,HDR available,Family Sharing</t>
  </si>
  <si>
    <t>DOOM</t>
  </si>
  <si>
    <t>Single-player,Multi-player,Co-op,Steam Achievements,Steam Trading Cards,Color Alternatives,Stereo Sound,Surround Sound,Partial Controller Support,Steam Cloud,Remote Play on Phone,Remote Play on Tablet,Family Sharing</t>
  </si>
  <si>
    <t>WorldBox - God Simulator</t>
  </si>
  <si>
    <t>Single-player,Steam Workshop,Steam Cloud,Includes level editor,Family Sharing</t>
  </si>
  <si>
    <t>Indie,Simulation,Early Access</t>
  </si>
  <si>
    <t>Batman: Arkham Knight</t>
  </si>
  <si>
    <t>Single-player,Steam Achievements,Full controller support,Steam Trading Cards,Steam Cloud,Steam Leaderboards,Remote Play on Phone,Remote Play on Tablet,Remote Play on TV,Family Sharing</t>
  </si>
  <si>
    <t>Summer Memories</t>
  </si>
  <si>
    <t>Single-player,Steam Trading Cards,Steam Cloud,Family Sharing</t>
  </si>
  <si>
    <t>Adventure,RPG</t>
  </si>
  <si>
    <t>REMNANT II</t>
  </si>
  <si>
    <t>Void War</t>
  </si>
  <si>
    <t>FTL: Faster Than Light</t>
  </si>
  <si>
    <t>Single-player,Steam Achievements,Steam Trading Cards,Remote Play on Phone,Remote Play on Tablet,Family Sharing</t>
  </si>
  <si>
    <t>Chivalry 2</t>
  </si>
  <si>
    <t>Multi-player,PvP,Online PvP,Cross-Platform Multiplayer,Steam Achievements,Steam Trading Cards,In-App Purchases,Partial Controller Support</t>
  </si>
  <si>
    <t>Age of Mythology: Retold</t>
  </si>
  <si>
    <t>Single-player,Multi-player,PvP,Online PvP,Co-op,Online Co-op,Cross-Platform Multiplayer,Steam Achievements,Partial Controller Support,Steam Cloud,Includes level editor,Family Sharing</t>
  </si>
  <si>
    <t>Half-Life 2</t>
  </si>
  <si>
    <t>Single-player,Steam Achievements,Full controller support,Steam Trading Cards,Captions available,Steam Workshop,Camera Comfort,Custom Volume Controls,Adjustable Difficulty,Playable without Timed Input,Save Anytime,Stereo Sound,Subtitle Options,Surround Sound,Steam Cloud,Includes Source SDK,Commentary available,Remote Play on Phone,Remote Play on Tablet,Remote Play Together,Family Sharing,Steam Timeline</t>
  </si>
  <si>
    <t>Tinkerlands</t>
  </si>
  <si>
    <t>Action,Adventure,Casual,Indie,RPG,Simulation,Strategy,Early Access</t>
  </si>
  <si>
    <t>Sniper Elite 5</t>
  </si>
  <si>
    <t>Single-player,Multi-player,PvP,Online PvP,Co-op,Online Co-op,Cross-Platform Multiplayer,Steam Achievements,Steam Trading Cards,In-App Purchases,Adjustable Text Size,Camera Comfort,Color Alternatives,Adjustable Difficulty,Keyboard Only Option,Playable without Timed Input,Save Anytime,Subtitle Options,Partial Controller Support,Steam Cloud,Family Sharing</t>
  </si>
  <si>
    <t>Cult of the Lamb</t>
  </si>
  <si>
    <t>Single-player,Multi-player,Co-op,Shared/Split Screen Co-op,Shared/Split Screen,Steam Achievements,Full controller support,Steam Trading Cards,Adjustable Text Size,Camera Comfort,Custom Volume Controls,Adjustable Difficulty,Playable without Timed Input,Subtitle Options,Steam Cloud,Remote Play Together,Family Sharing</t>
  </si>
  <si>
    <t>Action,Adventure,Indie,Strategy</t>
  </si>
  <si>
    <t>Lobotomy Corporation | Monster Management Simulation</t>
  </si>
  <si>
    <t>Single-player,Family Sharing</t>
  </si>
  <si>
    <t>Single-player,Steam Achievements,Steam Workshop,Steam Workshop,Steam Cloud,Family Sharing</t>
  </si>
  <si>
    <t>The Hundred Line -Last Defense Academy-</t>
  </si>
  <si>
    <t>Rec Room</t>
  </si>
  <si>
    <t>Multi-player,MMO,PvP,Online PvP,Co-op,Online Co-op,Cross-Platform Multiplayer,Full controller support,Tracked Controller Support,VR Supported,SteamVR Collectibles,In-App Purchases,Includes level editor</t>
  </si>
  <si>
    <t>Adventure,Casual,Massively Multiplayer,Free To Play</t>
  </si>
  <si>
    <t>My Time at Sandrock</t>
  </si>
  <si>
    <t>Plague Inc: Evolved</t>
  </si>
  <si>
    <t>Single-player,Multi-player,PvP,Online PvP,Co-op,Online Co-op,Steam Achievements,Steam Trading Cards,Steam Workshop,Camera Comfort,Custom Volume Controls,Adjustable Difficulty,Mouse Only Option,Playable without Timed Input,Save Anytime,Stereo Sound,Partial Controller Support,Steam Cloud,Stats,Steam Leaderboards,Includes level editor,Remote Play on Tablet,Family Sharing</t>
  </si>
  <si>
    <t>ICARUS</t>
  </si>
  <si>
    <t>Single-player,Multi-player,Co-op,Online Co-op,Steam Achievements,Steam Trading Cards,Steam Cloud,Family Sharing</t>
  </si>
  <si>
    <t>Action,Adventure,Simulation</t>
  </si>
  <si>
    <t>Multiverse Loot Hunter</t>
  </si>
  <si>
    <t>Ranch Simulator: Build, Hunt, Farm</t>
  </si>
  <si>
    <t>Single-player,Multi-player,PvP,Online PvP,Co-op,Online Co-op,Full controller support,Steam Cloud,Family Sharing</t>
  </si>
  <si>
    <t>Stormworks: Build and Rescue</t>
  </si>
  <si>
    <t>Single-player,Multi-player,PvP,Online PvP,Co-op,Online Co-op,Steam Workshop,Partial Controller Support,Family Sharing</t>
  </si>
  <si>
    <t>RX 550</t>
  </si>
  <si>
    <t>Assetto Corsa Competizione</t>
  </si>
  <si>
    <t>Single-player,Multi-player,PvP,Online PvP,LAN PvP,VR Supported,Partial Controller Support,Family Sharing</t>
  </si>
  <si>
    <t>Don't Starve</t>
  </si>
  <si>
    <t>Single-player,Full controller support,Steam Trading Cards,Steam Workshop,Steam Cloud,Remote Play on Phone,Remote Play on Tablet,Remote Play on TV,Family Sharing</t>
  </si>
  <si>
    <t>ONE PIECE Bounty Rush</t>
  </si>
  <si>
    <t>Single-player,Multi-player,PvP,Online PvP,Co-op,Online Co-op,Steam Achievements,Full controller support,In-App Purchases</t>
  </si>
  <si>
    <t>Total War: WARHAMMER II</t>
  </si>
  <si>
    <t>Single-player,Multi-player,PvP,Online PvP,LAN PvP,Co-op,Online Co-op,LAN Co-op,Steam Achievements,Steam Trading Cards,Steam Workshop,Camera Comfort,Color Alternatives,Custom Volume Controls,Adjustable Difficulty,Playable without Timed Input,Save Anytime,Stereo Sound,Surround Sound,Remote Play on Tablet,Family Sharing</t>
  </si>
  <si>
    <t>The Elder Scrolls V: Skyrim</t>
  </si>
  <si>
    <t>Single-player,Steam Achievements,Steam Trading Cards,Steam Workshop,Partial Controller Support,Steam Cloud,Family Sharing</t>
  </si>
  <si>
    <t>Abiotic Factor</t>
  </si>
  <si>
    <t>Single-player,Multi-player,Co-op,Online Co-op,LAN Co-op,Cross-Platform Multiplayer,Steam Achievements,Full controller support,Steam Trading Cards,Adjustable Text Size,Camera Comfort,Custom Volume Controls,Adjustable Difficulty,Playable without Timed Input,Save Anytime,Stereo Sound,Subtitle Options,Surround Sound,Family Sharing</t>
  </si>
  <si>
    <t>Action,Adventure,RPG,Simulation</t>
  </si>
  <si>
    <t>BATTLETECH</t>
  </si>
  <si>
    <t>Single-player,Multi-player,PvP,Online PvP,Cross-Platform Multiplayer,Steam Achievements,Steam Trading Cards,Steam Cloud,Remote Play Together,Family Sharing</t>
  </si>
  <si>
    <t>Action,Adventure,Strategy</t>
  </si>
  <si>
    <t>Tom Clancy's Ghost Recon Wildlands</t>
  </si>
  <si>
    <t>Single-player,Multi-player,Co-op,Steam Achievements,Steam Trading Cards,In-App Purchases,Partial Controller Support</t>
  </si>
  <si>
    <t>Nioh 2 ' The Complete Edition</t>
  </si>
  <si>
    <t>Single-player,Multi-player,Co-op,Online Co-op,Steam Achievements,Steam Trading Cards,Partial Controller Support,Steam Cloud,Stats,Steam Leaderboards,HDR available,Family Sharing</t>
  </si>
  <si>
    <t>Tom Clancy's Ghost Recon Breakpoint</t>
  </si>
  <si>
    <t>Single-player,Multi-player,Co-op,Online Co-op,Steam Achievements,Captions available,Partial Controller Support,HDR available</t>
  </si>
  <si>
    <t>Gunfire Reborn</t>
  </si>
  <si>
    <t>Single-player,Multi-player,Co-op,Online Co-op,Steam Achievements,Full controller support,Steam Trading Cards,Steam Cloud,Remote Play on Phone,Remote Play on Tablet,Family Sharing</t>
  </si>
  <si>
    <t>Tower Dominion</t>
  </si>
  <si>
    <t>RTX 3050</t>
  </si>
  <si>
    <t>Total War: ATTILA</t>
  </si>
  <si>
    <t>Single-player,Multi-player,PvP,Online PvP,LAN PvP,Co-op,Online Co-op,LAN Co-op,Steam Achievements,Steam Trading Cards,Camera Comfort,Custom Volume Controls,Adjustable Difficulty,Playable without Timed Input,Save Anytime,Stereo Sound,Surround Sound,Steam Cloud,Family Sharing</t>
  </si>
  <si>
    <t>Knight Online</t>
  </si>
  <si>
    <t>Single-player,Multi-player,MMO,Steam Trading Cards,In-App Purchases</t>
  </si>
  <si>
    <t>Action,Adventure,Free To Play,Massively Multiplayer,RPG</t>
  </si>
  <si>
    <t>ｱｹｮ｢-The Jianghu</t>
  </si>
  <si>
    <t>Single-player,Multi-player,PvP,Online PvP,Co-op,Online Co-op,Steam Achievements</t>
  </si>
  <si>
    <t>Action,Adventure,Indie,Massively Multiplayer,Free To Play</t>
  </si>
  <si>
    <t>GTX 980 Ti</t>
  </si>
  <si>
    <t>Jurassic World Evolution 2</t>
  </si>
  <si>
    <t>Single-player,Steam Achievements,Full controller support,Steam Cloud,Stats,HDR available,Family Sharing</t>
  </si>
  <si>
    <t>Middle-earth: Shadow of War</t>
  </si>
  <si>
    <t>Single-player,Steam Achievements,Full controller support,Steam Trading Cards,In-App Purchases,Steam Cloud,Family Sharing</t>
  </si>
  <si>
    <t>Phantasy Star Online 2 New Genesis</t>
  </si>
  <si>
    <t>Multi-player,Co-op,Online Co-op,Cross-Platform Multiplayer,Steam Achievements,In-App Purchases,Partial Controller Support,Remote Play on Tablet</t>
  </si>
  <si>
    <t>Action,Massively Multiplayer,RPG,Free To Play</t>
  </si>
  <si>
    <t>Civilization IV: Beyond the Sword</t>
  </si>
  <si>
    <t>Metro Exodus</t>
  </si>
  <si>
    <t>Shakes and Fidget</t>
  </si>
  <si>
    <t>Single-player,Multi-player,MMO,Cross-Platform Multiplayer,Steam Trading Cards,In-App Purchases,Camera Comfort,Custom Volume Controls,Mouse Only Option</t>
  </si>
  <si>
    <t>Adventure,Casual,Indie,Massively Multiplayer,RPG,Strategy,Free To Play</t>
  </si>
  <si>
    <t>Need for Speed Heat</t>
  </si>
  <si>
    <t>Single-player,Multi-player,PvP,Online PvP,Co-op,Online Co-op,Cross-Platform Multiplayer,Steam Achievements,Steam Trading Cards,Partial Controller Support,Remote Play on Tablet,HDR available</t>
  </si>
  <si>
    <t>Action,Adventure,Racing,Sports</t>
  </si>
  <si>
    <t>Sid Meier's Civilization III Complete</t>
  </si>
  <si>
    <t>Single-player,Multi-player,Includes level editor,Family Sharing</t>
  </si>
  <si>
    <t>God of War</t>
  </si>
  <si>
    <t>Single-player,Steam Achievements,Full controller support,Adjustable Text Size,Camera Comfort,Color Alternatives,Custom Volume Controls,Adjustable Difficulty,Keyboard Only Option,Narrated Game Menus,Playable without Timed Input,Save Anytime,Stereo Sound,Subtitle Options,Surround Sound,Steam Cloud,Remote Play on TV,Family Sharing</t>
  </si>
  <si>
    <t>Assassin's Creed Valhalla</t>
  </si>
  <si>
    <t>Single-player,Steam Achievements,Captions available,In-App Purchases,Adjustable Text Size,Camera Comfort,Color Alternatives,Custom Volume Controls,Adjustable Difficulty,Keyboard Only Option,Mouse Only Option,Narrated Game Menus,Playable without Timed Input,Save Anytime,Stereo Sound,Surround Sound,Partial Controller Support,HDR available</t>
  </si>
  <si>
    <t>Crusader Kings II</t>
  </si>
  <si>
    <t>Single-player,Multi-player,Steam Trading Cards</t>
  </si>
  <si>
    <t>RPG,Simulation,Strategy,Free To Play</t>
  </si>
  <si>
    <t>Medieval Dynasty</t>
  </si>
  <si>
    <t>Single-player,Multi-player,Co-op,Online Co-op,Steam Achievements,Full controller support,Steam Trading Cards,Steam Cloud,Family Sharing</t>
  </si>
  <si>
    <t>Lies of P</t>
  </si>
  <si>
    <t>Single-player,Steam Achievements,Full controller support,Camera Comfort,Color Alternatives,Custom Volume Controls,Adjustable Difficulty,Save Anytime,Stereo Sound,Surround Sound,Steam Cloud,Family Sharing</t>
  </si>
  <si>
    <t>RX 6500 XT</t>
  </si>
  <si>
    <t>STAR WARS Jedi: Fallen Order</t>
  </si>
  <si>
    <t>Single-player,Steam Achievements,Full controller support,Steam Trading Cards,Adjustable Difficulty,Stereo Sound,Surround Sound,Remote Play on Tablet,Remote Play on TV,HDR available</t>
  </si>
  <si>
    <t>BLEACH Brave Souls</t>
  </si>
  <si>
    <t>Single-player,Multi-player,Co-op,Online Co-op,Cross-Platform Multiplayer,In-App Purchases,Partial Controller Support</t>
  </si>
  <si>
    <t>Action,Casual,RPG,Free To Play</t>
  </si>
  <si>
    <t>Marvel's Spider-Man 2</t>
  </si>
  <si>
    <t>Car Mechanic Simulator 2021</t>
  </si>
  <si>
    <t>Single-player,Steam Achievements,Steam Trading Cards,Steam Workshop,Partial Controller Support,Steam Cloud,Stats,Includes level editor,Family Sharing</t>
  </si>
  <si>
    <t>Racing,Simulation</t>
  </si>
  <si>
    <t>METAL GEAR SOLID V: THE PHANTOM PAIN</t>
  </si>
  <si>
    <t>Single-player,Multi-player,Steam Achievements,Full controller support,Steam Trading Cards,Captions available,In-App Purchases,Steam Cloud,Steam Leaderboards,Remote Play on Phone,Remote Play on Tablet,Remote Play on TV,Family Sharing</t>
  </si>
  <si>
    <t>Coral Island</t>
  </si>
  <si>
    <t>Single-player,Multi-player,Co-op,Online Co-op,Cross-Platform Multiplayer,Steam Achievements,Full controller support,Steam Cloud,Family Sharing</t>
  </si>
  <si>
    <t>Warhammer 40,000: Gladius - Relics of War</t>
  </si>
  <si>
    <t>Single-player,Multi-player,PvP,Online PvP,LAN PvP,Shared/Split Screen PvP,Co-op,Online Co-op,LAN Co-op,Shared/Split Screen Co-op,Shared/Split Screen,Cross-Platform Multiplayer,Steam Achievements,Steam Trading Cards,Steam Workshop,Partial Controller Support,Steam Cloud,Remote Play Together,Family Sharing</t>
  </si>
  <si>
    <t>FIFA 22</t>
  </si>
  <si>
    <t>Single-player,Multi-player,MMO,PvP,Online PvP,Shared/Split Screen PvP,Co-op,Online Co-op,Shared/Split Screen Co-op,Shared/Split Screen,Steam Achievements,In-App Purchases,Partial Controller Support</t>
  </si>
  <si>
    <t>DYNASTY WARRIORS: ORIGINS</t>
  </si>
  <si>
    <t>Single-player,Steam Achievements,Full controller support,Steam Trading Cards,Color Alternatives,Custom Volume Controls,Adjustable Difficulty,Stereo Sound,Surround Sound,Steam Cloud,HDR available,Family Sharing</t>
  </si>
  <si>
    <t>Action,RPG,Strategy</t>
  </si>
  <si>
    <t>Granado Espada</t>
  </si>
  <si>
    <t>Multi-player,MMO,PvP,Online PvP,Steam Trading Cards,In-App Purchases</t>
  </si>
  <si>
    <t>House Flipper</t>
  </si>
  <si>
    <t>Single-player,Steam Achievements,Full controller support,Steam Trading Cards,Steam Workshop,Steam Cloud,Remote Play on Tablet,Family Sharing</t>
  </si>
  <si>
    <t>Kingdom Two Crowns</t>
  </si>
  <si>
    <t>Single-player,Multi-player,Co-op,Online Co-op,Shared/Split Screen Co-op,Shared/Split Screen,Steam Achievements,Full controller support,Steam Cloud,Remote Play on Phone,Remote Play on Tablet,Remote Play on TV,Remote Play Together,Family Sharing</t>
  </si>
  <si>
    <t>Inscryption</t>
  </si>
  <si>
    <t>Idle Slayer</t>
  </si>
  <si>
    <t>Single-player,Steam Achievements,Steam Trading Cards,In-App Purchases,HDR available</t>
  </si>
  <si>
    <t>Deep Rock Galactic: Survivor</t>
  </si>
  <si>
    <t>Single-player,Steam Achievements,Full controller support,Steam Trading Cards,Camera Comfort,Custom Volume Controls,Adjustable Difficulty,Playable without Timed Input,Stereo Sound,Steam Cloud,Remote Play on TV,Family Sharing</t>
  </si>
  <si>
    <t>Totally Accurate Battle Simulator</t>
  </si>
  <si>
    <t>Single-player,Multi-player,PvP,Online PvP,Steam Achievements,Partial Controller Support,Remote Play on Phone,Remote Play on Tablet,Remote Play Together,Family Sharing</t>
  </si>
  <si>
    <t>Library Of Ruina</t>
  </si>
  <si>
    <t>Single-player,Steam Achievements,Steam Workshop,Partial Controller Support,Steam Cloud,Remote Play on Tablet,Family Sharing</t>
  </si>
  <si>
    <t>Far Cry 5</t>
  </si>
  <si>
    <t>Single-player,Multi-player,Co-op,Online Co-op,Steam Achievements,Steam Trading Cards,Captions available,In-App Purchases,Partial Controller Support,Includes level editor,HDR available</t>
  </si>
  <si>
    <t>Back 4 Blood</t>
  </si>
  <si>
    <t>Single-player,Multi-player,PvP,Online PvP,Co-op,Online Co-op,Full controller support,HDR available,Family Sharing</t>
  </si>
  <si>
    <t>Resident Evil Village</t>
  </si>
  <si>
    <t>Transformice</t>
  </si>
  <si>
    <t>Multi-player,MMO,Steam Achievements,Steam Trading Cards,Includes level editor</t>
  </si>
  <si>
    <t>Free To Play,Indie,Massively Multiplayer</t>
  </si>
  <si>
    <t>Nya Nya Nya Girls (ﾊｻﾊｻﾊｻ)_(=^ｽ･ﾏｽ･^=)_(ﾊｻﾊｻﾊｻ)</t>
  </si>
  <si>
    <t>Casual,Indie</t>
  </si>
  <si>
    <t>State of Decay 2: Juggernaut Edition</t>
  </si>
  <si>
    <t>Single-player,Multi-player,Co-op,Online Co-op,Cross-Platform Multiplayer,Steam Achievements,Full controller support,Steam Trading Cards,Captions available,Steam Cloud,Family Sharing</t>
  </si>
  <si>
    <t>Action,RPG,Simulation</t>
  </si>
  <si>
    <t>War Robots</t>
  </si>
  <si>
    <t>Multi-player,PvP,Online PvP,Steam Trading Cards,In-App Purchases,Custom Volume Controls,Stereo Sound,Surround Sound</t>
  </si>
  <si>
    <t>EA SPORTS FIFA 23</t>
  </si>
  <si>
    <t>Single-player,Multi-player,PvP,Online PvP,Shared/Split Screen PvP,Co-op,Online Co-op,Shared/Split Screen Co-op,Shared/Split Screen,Cross-Platform Multiplayer,Steam Achievements,Full controller support,In-App Purchases</t>
  </si>
  <si>
    <t>Elin</t>
  </si>
  <si>
    <t>Single-player,Multi-player,Steam Workshop,Family Sharing</t>
  </si>
  <si>
    <t>The Sims 3</t>
  </si>
  <si>
    <t>F1 Manager 2024</t>
  </si>
  <si>
    <t>Single-player,Steam Achievements,Steam Trading Cards,Partial Controller Support,Steam Cloud,Family Sharing</t>
  </si>
  <si>
    <t>Deadzone: Rogue</t>
  </si>
  <si>
    <t>Single-player,Multi-player,Co-op,Online Co-op,Cross-Platform Multiplayer,Steam Achievements,Full controller support,Custom Volume Controls,Adjustable Difficulty,Playable without Timed Input,Stereo Sound,Steam Cloud,Family Sharing</t>
  </si>
  <si>
    <t>Laundry Store Simulator</t>
  </si>
  <si>
    <t>The First Berserker: Khazan</t>
  </si>
  <si>
    <t>Bellwright</t>
  </si>
  <si>
    <t>Single-player,Multi-player,Co-op,Online Co-op,Steam Achievements,Custom Volume Controls,Adjustable Difficulty,Playable without Timed Input,Save Anytime,Stereo Sound,Partial Controller Support,Steam Cloud,HDR available,Family Sharing</t>
  </si>
  <si>
    <t>Action,RPG,Simulation,Strategy,Early Access</t>
  </si>
  <si>
    <t>Stream Avatars</t>
  </si>
  <si>
    <t>Steam Workshop,Includes level editor</t>
  </si>
  <si>
    <t>Animation &amp; Modeling,Audio Production,Design &amp; Illustration,Utilities,Video Production,Web Publishing</t>
  </si>
  <si>
    <t>Planet Coaster 2</t>
  </si>
  <si>
    <t>Single-player,Multi-player,Steam Achievements,Full controller support,Steam Trading Cards,Steam Cloud,HDR available,Family Sharing</t>
  </si>
  <si>
    <t>Heroes of Might &amp; Magic III - HD Edition</t>
  </si>
  <si>
    <t>Single-player,Multi-player,Steam Achievements,Includes level editor,Remote Play on Tablet,Family Sharing</t>
  </si>
  <si>
    <t>Metro 2033 Redux</t>
  </si>
  <si>
    <t>Skul: The Hero Slayer</t>
  </si>
  <si>
    <t>Single-player,Full controller support,Steam Cloud,Remote Play on Phone,Remote Play on Tablet,Remote Play on TV,Family Sharing</t>
  </si>
  <si>
    <t>Marvel's Spider-Man Remastered</t>
  </si>
  <si>
    <t>Single-player,Steam Achievements,Adjustable Text Size,Camera Comfort,Color Alternatives,Custom Volume Controls,Adjustable Difficulty,Playable without Timed Input,Save Anytime,Stereo Sound,Subtitle Options,Surround Sound,Partial Controller Support,Steam Cloud,Remote Play on TV,Family Sharing</t>
  </si>
  <si>
    <t>Rusty's Retirement</t>
  </si>
  <si>
    <t>Single-player,Steam Achievements,Steam Trading Cards,Adjustable Text Size,Custom Volume Controls,Playable without Timed Input,Save Anytime,Steam Cloud,Family Sharing</t>
  </si>
  <si>
    <t>Celeste</t>
  </si>
  <si>
    <t>Titanfall 2</t>
  </si>
  <si>
    <t>Single-player,Multi-player,PvP,Online PvP,Steam Achievements,Full controller support,Steam Trading Cards,Remote Play on Phone,Remote Play on Tablet,Remote Play on TV</t>
  </si>
  <si>
    <t>Enter the Gungeon</t>
  </si>
  <si>
    <t>Single-player,Multi-player,Shared/Split Screen,Steam Achievements,Full controller support,Steam Cloud,Remote Play on Phone,Remote Play on Tablet,Remote Play on TV,Remote Play Together,Family Sharing</t>
  </si>
  <si>
    <t>Northgard: Definitive Edition</t>
  </si>
  <si>
    <t>Single-player,Multi-player,PvP,Online PvP,Co-op,Online Co-op,Steam Achievements,Steam Trading Cards,Steam Workshop,Steam Workshop,Steam Cloud,Includes level editor,Family Sharing</t>
  </si>
  <si>
    <t>Chillquarium</t>
  </si>
  <si>
    <t>Single-player,Steam Achievements,Steam Cloud,Stats,Family Sharing</t>
  </si>
  <si>
    <t>Feed the Cups</t>
  </si>
  <si>
    <t>Single-player,Multi-player,Co-op,Online Co-op,Shared/Split Screen Co-op,Shared/Split Screen,Steam Achievements,Full controller support,Steam Cloud,Remote Play Together,Family Sharing</t>
  </si>
  <si>
    <t>Casual,Indie,Simulation,Early Access</t>
  </si>
  <si>
    <t>Idling to Rule the Gods</t>
  </si>
  <si>
    <t>Single-player,Steam Achievements,Steam Trading Cards,In-App Purchases,Steam Leaderboards</t>
  </si>
  <si>
    <t>Casual,Indie,Simulation,Strategy,Free To Play</t>
  </si>
  <si>
    <t>The Elder Scrolls IV: Oblivion Game of the Year Edition (2009)</t>
  </si>
  <si>
    <t>Single-player,Steam Cloud,Family Sharing</t>
  </si>
  <si>
    <t>Chained Together</t>
  </si>
  <si>
    <t>Single-player,Multi-player,Co-op,Online Co-op,Shared/Split Screen Co-op,Shared/Split Screen,Partial Controller Support,Remote Play Together,Family Sharing</t>
  </si>
  <si>
    <t>Adventure,Casual,Indie,Simulation</t>
  </si>
  <si>
    <t>Battlefield 4</t>
  </si>
  <si>
    <t>Mortal Kombat 1</t>
  </si>
  <si>
    <t>Single-player,Multi-player,PvP,Online PvP,Shared/Split Screen PvP,Shared/Split Screen,Cross-Platform Multiplayer,Steam Achievements,Full controller support,Steam Trading Cards,In-App Purchases,Chat Speech-to-text,Chat Text-to-speech,Custom Volume Controls,Keyboard Only Option,Narrated Game Menus,Stereo Sound,Subtitle Options,Surround Sound,Steam Cloud,Remote Play on TV,Remote Play Together,HDR available,Family Sharing</t>
  </si>
  <si>
    <t>Beasts of Bermuda</t>
  </si>
  <si>
    <t>Multi-player,PvP,Online PvP,Full controller support,Family Sharing</t>
  </si>
  <si>
    <t>Adventure,Indie,Massively Multiplayer,Simulation,Early Access</t>
  </si>
  <si>
    <t>RX 6600</t>
  </si>
  <si>
    <t>Romance of the Three Kingdoms XI with Power Up Kit</t>
  </si>
  <si>
    <t>Hello Kitty Island Adventure</t>
  </si>
  <si>
    <t>Action,Adventure,Casual,Indie,RPG,Simulation</t>
  </si>
  <si>
    <t>Resident Evil 2</t>
  </si>
  <si>
    <t>Single-player,Steam Achievements,Full controller support,Steam Trading Cards,Steam Cloud,Remote Play on Tablet,Remote Play on TV,HDR available,Family Sharing</t>
  </si>
  <si>
    <t>Football Manager 2021</t>
  </si>
  <si>
    <t>Shadowverse CCG</t>
  </si>
  <si>
    <t>Single-player,Multi-player,PvP,Online PvP,Cross-Platform Multiplayer,In-App Purchases</t>
  </si>
  <si>
    <t>Lost Castle 2</t>
  </si>
  <si>
    <t>Single-player,Multi-player,Co-op,Online Co-op,Shared/Split Screen Co-op,Shared/Split Screen,Steam Achievements,Partial Controller Support,Steam Cloud,Stats,Remote Play Together,Family Sharing</t>
  </si>
  <si>
    <t>HudSight - crosshair overlay</t>
  </si>
  <si>
    <t>Steam Achievements,Steam Workshop</t>
  </si>
  <si>
    <t>Action,Education,Software Training,Utilities,Video Production</t>
  </si>
  <si>
    <t>AdVenture Capitalist</t>
  </si>
  <si>
    <t>Single-player,Steam Achievements,Steam Trading Cards,Steam Cloud</t>
  </si>
  <si>
    <t>Cornerpond</t>
  </si>
  <si>
    <t>BlazBlue Entropy Effect</t>
  </si>
  <si>
    <t>Single-player,Multi-player,Co-op,Online Co-op,LAN Co-op,Shared/Split Screen Co-op,Shared/Split Screen,Steam Achievements,Full controller support,Steam Cloud,Family Sharing</t>
  </si>
  <si>
    <t>Pummel Party</t>
  </si>
  <si>
    <t>Single-player,Multi-player,PvP,Online PvP,Shared/Split Screen PvP,Shared/Split Screen,Steam Achievements,Full controller support,Steam Workshop,Includes level editor,Remote Play on Phone,Remote Play on Tablet,Remote Play on TV,Remote Play Together,Family Sharing</t>
  </si>
  <si>
    <t>Battle Brothers</t>
  </si>
  <si>
    <t>Single-player,Steam Achievements,Steam Trading Cards,Steam Cloud,Remote Play on Tablet,Family Sharing</t>
  </si>
  <si>
    <t>Farm Together 2</t>
  </si>
  <si>
    <t>Single-player,Multi-player,Co-op,Online Co-op,Shared/Split Screen Co-op,Shared/Split Screen,Cross-Platform Multiplayer,Steam Achievements,Full controller support,Steam Trading Cards,Adjustable Text Size,Camera Comfort,Color Alternatives,Custom Volume Controls,Playable without Timed Input,Save Anytime,Stereo Sound,Surround Sound,Steam Cloud,Remote Play on TV,Remote Play Together,Family Sharing</t>
  </si>
  <si>
    <t>Lords Mobile: Kingdom Wars</t>
  </si>
  <si>
    <t>Multi-player,MMO,PvP,Online PvP,Cross-Platform Multiplayer,In-App Purchases,Remote Play on Phone,Remote Play on Tablet</t>
  </si>
  <si>
    <t>Massively Multiplayer,RPG,Strategy,Free To Play</t>
  </si>
  <si>
    <t>Star Trek Online</t>
  </si>
  <si>
    <t>Multi-player,MMO,Co-op,Full controller support,In-App Purchases</t>
  </si>
  <si>
    <t>Darkest Dungeon II</t>
  </si>
  <si>
    <t>Old School RuneScape</t>
  </si>
  <si>
    <t>Multi-player,MMO,Cross-Platform Multiplayer,Steam Achievements,Steam Trading Cards,In-App Purchases</t>
  </si>
  <si>
    <t>Source Filmmaker</t>
  </si>
  <si>
    <t>Steam Workshop</t>
  </si>
  <si>
    <t>Animation &amp; Modeling,Video Production</t>
  </si>
  <si>
    <t>Out of the Park Baseball 26</t>
  </si>
  <si>
    <t>Single-player,Multi-player,MMO,PvP,Online PvP,Cross-Platform Multiplayer,Steam Achievements,Steam Trading Cards,Steam Workshop,In-App Purchases,Family Sharing</t>
  </si>
  <si>
    <t>Indie,Simulation,Sports,Strategy</t>
  </si>
  <si>
    <t>My Summer Car</t>
  </si>
  <si>
    <t>Indie,Racing,Simulation</t>
  </si>
  <si>
    <t>inZOI</t>
  </si>
  <si>
    <t>Single-player,Partial Controller Support,Steam Cloud,Family Sharing</t>
  </si>
  <si>
    <t>Adventure,Casual,Simulation,Early Access</t>
  </si>
  <si>
    <t>Paladins</t>
  </si>
  <si>
    <t>Multi-player,PvP,Online PvP,Cross-Platform Multiplayer,Steam Achievements,Full controller support,Steam Trading Cards,In-App Purchases,Remote Play on Phone,Remote Play on Tablet</t>
  </si>
  <si>
    <t>Action,Adventure,Massively Multiplayer,Strategy,Free To Play</t>
  </si>
  <si>
    <t>Mortal Kombatﾂ11</t>
  </si>
  <si>
    <t>Single-player,Multi-player,PvP,Online PvP,Shared/Split Screen PvP,Steam Achievements,Full controller support,Steam Trading Cards,In-App Purchases,Custom Volume Controls,Keyboard Only Option,Narrated Game Menus,Stereo Sound,Surround Sound,Steam Cloud,Remote Play on Phone,Remote Play on Tablet,Remote Play on TV,Remote Play Together,HDR available,Family Sharing</t>
  </si>
  <si>
    <t>Godot Engine</t>
  </si>
  <si>
    <t>Partial Controller Support,Includes level editor</t>
  </si>
  <si>
    <t>Game Development</t>
  </si>
  <si>
    <t>Dead Island 2</t>
  </si>
  <si>
    <t>Single-player,Multi-player,Co-op,Online Co-op,Steam Achievements,Full controller support,Steam Trading Cards,Adjustable Text Size,Camera Comfort,Custom Volume Controls,Adjustable Difficulty,Keyboard Only Option,Stereo Sound,Subtitle Options,Steam Cloud,Family Sharing</t>
  </si>
  <si>
    <t>Football Manager 2020</t>
  </si>
  <si>
    <t>Single-player,Multi-player,Steam Achievements,Steam Workshop,Steam Cloud,Steam Leaderboards,Family Sharing</t>
  </si>
  <si>
    <t>ARMORED CORE VI FIRES OF RUBICON</t>
  </si>
  <si>
    <t>Single-player,Multi-player,PvP,Online PvP,Steam Achievements,Steam Trading Cards,Camera Comfort,Custom Volume Controls,Playable without Timed Input,Stereo Sound,Surround Sound,Partial Controller Support,Steam Cloud,Family Sharing</t>
  </si>
  <si>
    <t>Z1 Battle Royale</t>
  </si>
  <si>
    <t>Multi-player,PvP,Online PvP,In-App Purchases</t>
  </si>
  <si>
    <t>Action,Adventure,Free To Play,Massively Multiplayer</t>
  </si>
  <si>
    <t>Dota Underlords</t>
  </si>
  <si>
    <t>Single-player,Multi-player,PvP,Online PvP,Cross-Platform Multiplayer,Color Alternatives,Custom Volume Controls,Keyboard Only Option,Mouse Only Option,Playable without Timed Input,Stereo Sound,Surround Sound,Touch Only Option,Partial Controller Support,Steam Cloud,Remote Play on Phone,Remote Play on Tablet</t>
  </si>
  <si>
    <t>Horizon Forbidden West Complete Edition</t>
  </si>
  <si>
    <t>Single-player,Steam Achievements,Full controller support,Adjustable Text Size,Camera Comfort,Color Alternatives,Custom Volume Controls,Adjustable Difficulty,Stereo Sound,Subtitle Options,Surround Sound,Steam Cloud,HDR available,Family Sharing</t>
  </si>
  <si>
    <t>Fallout Shelter</t>
  </si>
  <si>
    <t>Single-player,Steam Achievements,Full controller support,In-App Purchases,Playable without Timed Input,Stereo Sound,Steam Cloud,Stats</t>
  </si>
  <si>
    <t>RPG,Simulation,Free To Play</t>
  </si>
  <si>
    <t>Coin Push RPG</t>
  </si>
  <si>
    <t>Single-player,Steam Achievements,Steam Trading Cards,Steam Cloud,Steam Leaderboards,Family Sharing</t>
  </si>
  <si>
    <t>Granblue Fantasy: Relink</t>
  </si>
  <si>
    <t>Farthest Frontier</t>
  </si>
  <si>
    <t>Single-player,Steam Workshop,Family Sharing</t>
  </si>
  <si>
    <t>Stay Out</t>
  </si>
  <si>
    <t>Multi-player,MMO,PvP,Online PvP,In-App Purchases,Remote Play on Tablet</t>
  </si>
  <si>
    <t>Action,Indie,Massively Multiplayer,RPG,Free To Play,Early Access</t>
  </si>
  <si>
    <t>Action Taimanin</t>
  </si>
  <si>
    <t>Single-player,Multi-player,MMO,PvP,Online PvP,In-App Purchases,Partial Controller Support,Remote Play on Phone,Remote Play on Tablet</t>
  </si>
  <si>
    <t>Empyrion - Galactic Survival</t>
  </si>
  <si>
    <t>Single-player,Multi-player,PvP,Online PvP,Co-op,Online Co-op,LAN Co-op,Steam Workshop,Partial Controller Support,Family Sharing</t>
  </si>
  <si>
    <t>Travellers Rest</t>
  </si>
  <si>
    <t>Adventure,Casual,Indie,RPG,Simulation,Early Access</t>
  </si>
  <si>
    <t>The Scroll Of Taiwu</t>
  </si>
  <si>
    <t>Single-player,Steam Workshop,Remote Play on Tablet,Family Sharing</t>
  </si>
  <si>
    <t>Adventure,Casual,Indie,RPG,Strategy,Early Access</t>
  </si>
  <si>
    <t>ASTRONEER</t>
  </si>
  <si>
    <t>Single-player,Multi-player,Co-op,Online Co-op,Steam Achievements,Full controller support,Steam Cloud,Remote Play on Tablet,Remote Play on TV,Family Sharing</t>
  </si>
  <si>
    <t>Le Mans Ultimate</t>
  </si>
  <si>
    <t>Single-player,Multi-player,PvP,Online PvP,VR Supported,Partial Controller Support,Family Sharing</t>
  </si>
  <si>
    <t>Farming Simulator 19</t>
  </si>
  <si>
    <t>Single-player,Multi-player,Co-op,Online Co-op,Steam Achievements,Full controller support,Steam Trading Cards,Steam Cloud,Remote Play on Tablet,Remote Play on TV,Family Sharing</t>
  </si>
  <si>
    <t>Brick Rigs</t>
  </si>
  <si>
    <t>Single-player,Multi-player,PvP,Online PvP,Steam Trading Cards,Steam Workshop,Partial Controller Support,Steam Cloud,Family Sharing</t>
  </si>
  <si>
    <t>Golf With Your Friends</t>
  </si>
  <si>
    <t>Single-player,Multi-player,PvP,Online PvP,Shared/Split Screen PvP,Shared/Split Screen,Steam Achievements,Steam Workshop,Partial Controller Support,Stats,Includes level editor,Remote Play on Phone,Remote Play on Tablet,Remote Play Together,Family Sharing</t>
  </si>
  <si>
    <t>Casual,Indie,Sports</t>
  </si>
  <si>
    <t>NOBUNAGA'S AMBITION: Awakening</t>
  </si>
  <si>
    <t>Single-player,Steam Achievements,Steam Trading Cards,Custom Volume Controls,Adjustable Difficulty,Mouse Only Option,Playable without Timed Input,Save Anytime,Stereo Sound,Surround Sound,Steam Cloud,Family Sharing</t>
  </si>
  <si>
    <t>XSOverlay</t>
  </si>
  <si>
    <t>Steam Achievements,Tracked Controller Support,VR Only</t>
  </si>
  <si>
    <t>Digimon Story Cyber Sleuth: Complete Edition</t>
  </si>
  <si>
    <t>Single-player,Multi-player,PvP,Online PvP,Steam Achievements,Full controller support,Steam Trading Cards,Steam Cloud,Steam Leaderboards,Family Sharing</t>
  </si>
  <si>
    <t>WWE 2K25</t>
  </si>
  <si>
    <t>Single-player,Multi-player,PvP,Online PvP,Shared/Split Screen PvP,Co-op,Online Co-op,Shared/Split Screen Co-op,Shared/Split Screen,Steam Achievements,In-App Purchases,Partial Controller Support,Steam Cloud,Remote Play Together</t>
  </si>
  <si>
    <t>Hero's Adventure: Road to Passion</t>
  </si>
  <si>
    <t>Single-player,Steam Achievements,Full controller support,Steam Workshop,Steam Cloud,Family Sharing</t>
  </si>
  <si>
    <t>Adventure,Indie,RPG,Simulation</t>
  </si>
  <si>
    <t>Persona 4 Golden</t>
  </si>
  <si>
    <t>Gas Station Simulator</t>
  </si>
  <si>
    <t>Against the Storm</t>
  </si>
  <si>
    <t>Single-player,Steam Achievements,Steam Trading Cards,Adjustable Text Size,Camera Comfort,Custom Volume Controls,Adjustable Difficulty,Save Anytime,Stereo Sound,Surround Sound,Steam Cloud,Family Sharing</t>
  </si>
  <si>
    <t>Sniper Elite: Resistance</t>
  </si>
  <si>
    <t>Single-player,Multi-player,PvP,Online PvP,Co-op,Online Co-op,Cross-Platform Multiplayer,Steam Achievements,Steam Trading Cards,Adjustable Text Size,Camera Comfort,Color Alternatives,Adjustable Difficulty,Keyboard Only Option,Playable without Timed Input,Save Anytime,Subtitle Options,Surround Sound,Partial Controller Support,Steam Cloud,HDR available,Family Sharing</t>
  </si>
  <si>
    <t>Human Fall Flat</t>
  </si>
  <si>
    <t>Single-player,Multi-player,PvP,Online PvP,Co-op,Shared/Split Screen Co-op,Shared/Split Screen,Steam Achievements,Full controller support,Steam Trading Cards,Steam Workshop,Color Alternatives,Custom Volume Controls,Keyboard Only Option,Playable without Timed Input,Stereo Sound,Surround Sound,Steam Cloud,Stats,Remote Play on TV,Remote Play Together,Family Sharing</t>
  </si>
  <si>
    <t>DRAGON BALL: Sparking! ZERO</t>
  </si>
  <si>
    <t>Single-player,Multi-player,PvP,Online PvP,Shared/Split Screen PvP,Shared/Split Screen,Steam Achievements,Full controller support,Camera Comfort,Custom Volume Controls,Stereo Sound,Steam Cloud,Remote Play Together,HDR available,Family Sharing</t>
  </si>
  <si>
    <t>No Rest for the Wicked</t>
  </si>
  <si>
    <t>Single-player,Partial Controller Support,Steam Cloud,HDR available,Family Sharing</t>
  </si>
  <si>
    <t>Action,Adventure,RPG,Early Access</t>
  </si>
  <si>
    <t>Graveyard Keeper</t>
  </si>
  <si>
    <t>Potion Craft: Alchemist Simulator</t>
  </si>
  <si>
    <t>DRAGON QUEST XI S: Echoes of an Elusive Age - Definitive Edition</t>
  </si>
  <si>
    <t>Single-player,Steam Achievements,Full controller support,Steam Trading Cards,Steam Cloud,Remote Play on Tablet,Family Sharing</t>
  </si>
  <si>
    <t>Total War: NAPOLEON ' Definitive Edition</t>
  </si>
  <si>
    <t>Single-player,Multi-player,Steam Achievements,Steam Trading Cards,Camera Comfort,Custom Volume Controls,Adjustable Difficulty,Playable without Timed Input,Save Anytime,Stereo Sound,Stats,Family Sharing</t>
  </si>
  <si>
    <t>Outer Wilds</t>
  </si>
  <si>
    <t>Two Point Museum</t>
  </si>
  <si>
    <t>Single-player,Steam Achievements,Full controller support,Steam Trading Cards,Steam Workshop,Adjustable Text Size,Camera Comfort,Custom Volume Controls,Mouse Only Option,Playable without Timed Input,Save Anytime,Stereo Sound,Surround Sound,Steam Cloud,Family Sharing</t>
  </si>
  <si>
    <t>FOUNDRY</t>
  </si>
  <si>
    <t>Single-player,Multi-player,Co-op,Online Co-op,LAN Co-op,Partial Controller Support,Steam Cloud,Family Sharing</t>
  </si>
  <si>
    <t>AI LIMIT</t>
  </si>
  <si>
    <t>Disco Elysium - The Final Cut</t>
  </si>
  <si>
    <t>Dwarf Fortress</t>
  </si>
  <si>
    <t>Mr.Mine</t>
  </si>
  <si>
    <t>Single-player,Steam Achievements,Steam Trading Cards,In-App Purchases,Steam Cloud</t>
  </si>
  <si>
    <t>Eldegarde</t>
  </si>
  <si>
    <t>Real Pool 3D - Poolians</t>
  </si>
  <si>
    <t>Single-player,Multi-player,PvP,Online PvP,Steam Achievements,In-App Purchases,Stats</t>
  </si>
  <si>
    <t>Action,Casual,Indie,Massively Multiplayer,Simulation,Sports,Strategy,Free To Play</t>
  </si>
  <si>
    <t>Ropuka's Idle Island</t>
  </si>
  <si>
    <t>Scrap Mechanic</t>
  </si>
  <si>
    <t>Single-player,Multi-player,Co-op,Online Co-op,Steam Workshop,Steam Cloud,Includes level editor,Family Sharing</t>
  </si>
  <si>
    <t>Action,Adventure,Indie,Simulation,Early Access</t>
  </si>
  <si>
    <t>Black Mesa</t>
  </si>
  <si>
    <t>Single-player,Multi-player,PvP,Online PvP,Cross-Platform Multiplayer,Steam Achievements,Steam Trading Cards,Captions available,Steam Workshop,Partial Controller Support,Steam Cloud,Includes level editor,Includes Source SDK,Remote Play on Phone,Remote Play on Tablet,Family Sharing</t>
  </si>
  <si>
    <t>Trailmakers</t>
  </si>
  <si>
    <t>Single-player,Multi-player,PvP,Online PvP,Co-op,Online Co-op,Steam Achievements,Full controller support,Steam Trading Cards,Steam Workshop,Steam Cloud,Steam Leaderboards,Remote Play on TV,Family Sharing</t>
  </si>
  <si>
    <t>Action,Adventure,Indie,Racing,Simulation</t>
  </si>
  <si>
    <t>Starbound</t>
  </si>
  <si>
    <t>Single-player,Multi-player,PvP,Online PvP,Co-op,Online Co-op,Cross-Platform Multiplayer,Steam Achievements,Steam Trading Cards,Steam Workshop,Family Sharing</t>
  </si>
  <si>
    <t>Action,Adventure,Casual,Indie,RPG</t>
  </si>
  <si>
    <t>Crush Crush</t>
  </si>
  <si>
    <t>Single-player,Steam Achievements,Steam Trading Cards,In-App Purchases,Stats,Steam Leaderboards,Remote Play on Phone,Remote Play on Tablet</t>
  </si>
  <si>
    <t>KINGDOM HEARTS -HD 1.5+2.5 ReMIX-</t>
  </si>
  <si>
    <t>Pantheon: Rise of the Fallen</t>
  </si>
  <si>
    <t>Multi-player,MMO,PvP,Online PvP,Co-op,Online Co-op,Family Sharing</t>
  </si>
  <si>
    <t>Adventure,Indie,Massively Multiplayer,RPG,Early Access</t>
  </si>
  <si>
    <t>WARNO</t>
  </si>
  <si>
    <t>Single-player,Multi-player,PvP,Online PvP,Co-op,Online Co-op,Steam Achievements,Steam Cloud,Family Sharing</t>
  </si>
  <si>
    <t>The Crew 2</t>
  </si>
  <si>
    <t>Single-player,Multi-player,MMO,PvP,Online PvP,Co-op,Online Co-op,Steam Achievements,Captions available,In-App Purchases,Partial Controller Support,Remote Play on Phone,Remote Play on Tablet</t>
  </si>
  <si>
    <t>Action,Massively Multiplayer,Racing</t>
  </si>
  <si>
    <t>WolfQuest: Anniversary Edition</t>
  </si>
  <si>
    <t>Mafia III: Definitive Edition</t>
  </si>
  <si>
    <t>Tiny Tina's Wonderlands</t>
  </si>
  <si>
    <t>Single-player,Multi-player,Co-op,Online Co-op,LAN Co-op,Steam Achievements,Partial Controller Support,Family Sharing</t>
  </si>
  <si>
    <t>Company of Heroes</t>
  </si>
  <si>
    <t>Single-player,Multi-player,Steam Trading Cards,Steam Workshop,Steam Cloud,Family Sharing</t>
  </si>
  <si>
    <t>Watch_Dogs 2</t>
  </si>
  <si>
    <t>Single-player,Multi-player,Co-op,Steam Achievements,In-App Purchases,Partial Controller Support</t>
  </si>
  <si>
    <t>Slime Rancher</t>
  </si>
  <si>
    <t>Plants vs. Zombies Garden Warfare 2: Deluxe Edition</t>
  </si>
  <si>
    <t>Single-player,Multi-player,PvP,Online PvP,Co-op,Online Co-op,Steam Achievements,In-App Purchases</t>
  </si>
  <si>
    <t>Action,Casual,Strategy</t>
  </si>
  <si>
    <t>DJMAX RESPECT V</t>
  </si>
  <si>
    <t>Single-player,Multi-player,PvP,Online PvP,Steam Achievements,Steam Trading Cards,In-App Purchases,Partial Controller Support,Remote Play on Phone,Remote Play on Tablet,Family Sharing</t>
  </si>
  <si>
    <t>Action,Casual,Sports</t>
  </si>
  <si>
    <t>Gorilla Tag</t>
  </si>
  <si>
    <t>Multi-player,PvP,Online PvP,Cross-Platform Multiplayer,Tracked Controller Support,VR Only,In-App Purchases</t>
  </si>
  <si>
    <t>Action,Casual</t>
  </si>
  <si>
    <t>Touhou Mystia's Izakaya</t>
  </si>
  <si>
    <t>Casual,Indie,RPG,Simulation</t>
  </si>
  <si>
    <t>RuneScape: Dragonwilds</t>
  </si>
  <si>
    <t>Single-player,Multi-player,Co-op,Online Co-op,Adjustable Text Size,Custom Volume Controls,Save Anytime,Stereo Sound,Partial Controller Support,Steam Cloud,Family Sharing</t>
  </si>
  <si>
    <t>Catan Universe</t>
  </si>
  <si>
    <t>Casual,Strategy</t>
  </si>
  <si>
    <t>Call of Duty: Modern Warfare</t>
  </si>
  <si>
    <t>Single-player,Multi-player,PvP,Online PvP,Co-op,Online Co-op,Cross-Platform Multiplayer,Steam Achievements,Full controller support,In-App Purchases</t>
  </si>
  <si>
    <t>March of Empires</t>
  </si>
  <si>
    <t>Multi-player,PvP,Online PvP,Steam Achievements,In-App Purchases</t>
  </si>
  <si>
    <t>Motor Town: Behind The Wheel</t>
  </si>
  <si>
    <t>Single-player,Multi-player,PvP,Online PvP,Co-op,Online Co-op,Partial Controller Support,Steam Cloud,Family Sharing</t>
  </si>
  <si>
    <t>Adventure,Casual,Indie,Racing,Simulation,Early Access</t>
  </si>
  <si>
    <t>Foundation</t>
  </si>
  <si>
    <t>Rain World</t>
  </si>
  <si>
    <t>Single-player,Multi-player,PvP,Shared/Split Screen PvP,Steam Achievements,Full controller support,Steam Trading Cards,Steam Workshop,Custom Volume Controls,Adjustable Difficulty,Keyboard Only Option,Stereo Sound,Steam Cloud,Remote Play on TV,Remote Play Together,Family Sharing</t>
  </si>
  <si>
    <t>PlateUp!</t>
  </si>
  <si>
    <t>Single-player,Multi-player,Co-op,Online Co-op,Shared/Split Screen Co-op,Shared/Split Screen,Steam Achievements,Full controller support,Steam Workshop,Steam Cloud,Remote Play on TV,Remote Play Together,Family Sharing</t>
  </si>
  <si>
    <t>Action,Casual,Indie,Strategy</t>
  </si>
  <si>
    <t>Lords of the Fallen</t>
  </si>
  <si>
    <t>Driver Booster for Steam</t>
  </si>
  <si>
    <t>In-App Purchases</t>
  </si>
  <si>
    <t>Phoenix Wright: Ace Attorney Trilogy</t>
  </si>
  <si>
    <t>Single-player,Steam Achievements,Steam Trading Cards,Camera Comfort,Custom Volume Controls,Keyboard Only Option,Mouse Only Option,Playable without Timed Input,Save Anytime,Stereo Sound,Touch Only Option,Partial Controller Support,Steam Cloud,Remote Play on Phone,Remote Play on Tablet,Family Sharing</t>
  </si>
  <si>
    <t>Mini Cozy Room: Lo-Fi</t>
  </si>
  <si>
    <t>Business Tour - Board Game with Online Multiplayer</t>
  </si>
  <si>
    <t>Single-player,Multi-player,PvP,Online PvP,Shared/Split Screen PvP,Co-op,Online Co-op,Shared/Split Screen Co-op,Shared/Split Screen,Cross-Platform Multiplayer,Steam Achievements,Full controller support,Steam Trading Cards,Steam Workshop,In-App Purchases,Steam Leaderboards,Includes level editor,Remote Play on Phone,Remote Play on Tablet,Remote Play Together</t>
  </si>
  <si>
    <t>Adventure,Casual,Indie,Massively Multiplayer,Simulation,Strategy,Free To Play</t>
  </si>
  <si>
    <t>Oddsparks: An Automation Adventure</t>
  </si>
  <si>
    <t>Single-player,Multi-player,Co-op,Online Co-op,Steam Achievements,Full controller support,Steam Trading Cards,Steam Workshop,Adjustable Text Size,Camera Comfort,Color Alternatives,Custom Volume Controls,Adjustable Difficulty,Playable without Timed Input,Save Anytime,Stereo Sound,Steam Cloud,Family Sharing</t>
  </si>
  <si>
    <t>Infection Free Zone</t>
  </si>
  <si>
    <t>Single-player,Steam Achievements,Steam Workshop,Steam Cloud,Includes level editor,Family Sharing</t>
  </si>
  <si>
    <t>Dragon Age: The Veilguard</t>
  </si>
  <si>
    <t>Single-player,Steam Achievements,Full controller support,Steam Trading Cards,Color Alternatives,Custom Volume Controls,Adjustable Difficulty,Save Anytime,Stereo Sound,Subtitle Options,Surround Sound,Steam Cloud,Remote Play on TV,HDR available,Family Sharing</t>
  </si>
  <si>
    <t>Action,Adventure,RPG,Strategy</t>
  </si>
  <si>
    <t>Age of Mythology: Extended Edition</t>
  </si>
  <si>
    <t>Single-player,Multi-player,Co-op,Steam Achievements,Steam Trading Cards,Steam Workshop,Steam Cloud,Stats,Steam Leaderboards,Includes level editor,Family Sharing</t>
  </si>
  <si>
    <t>Crab Champions</t>
  </si>
  <si>
    <t>Action,Adventure,Casual,Indie,Early Access</t>
  </si>
  <si>
    <t>Buckshot Roulette</t>
  </si>
  <si>
    <t>Single-player,Multi-player,PvP,Online PvP,Steam Achievements,Steam Trading Cards,Partial Controller Support,Steam Leaderboards,Family Sharing</t>
  </si>
  <si>
    <t>The Lord of the Rings Online</t>
  </si>
  <si>
    <t>Multi-player,MMO,PvP,Co-op,In-App Purchases,Partial Controller Support</t>
  </si>
  <si>
    <t>Resident Evil 7 Biohazard</t>
  </si>
  <si>
    <t>One-armed robber</t>
  </si>
  <si>
    <t>Single-player,Multi-player,Co-op,Online Co-op,Steam Achievements,In-App Purchases,Steam Cloud,Stats</t>
  </si>
  <si>
    <t>Action,Indie,Simulation,Strategy,Free To Play</t>
  </si>
  <si>
    <t>RPG Maker MZ</t>
  </si>
  <si>
    <t>Steam Workshop,Partial Controller Support</t>
  </si>
  <si>
    <t>RPG,Design &amp; Illustration,Education,Web Publishing,Game Development</t>
  </si>
  <si>
    <t>Pro Cycling Manager 2024</t>
  </si>
  <si>
    <t>Single-player,Multi-player,PvP,Online PvP,Steam Achievements,Steam Trading Cards,Steam Cloud,Family Sharing</t>
  </si>
  <si>
    <t>Prison Architect</t>
  </si>
  <si>
    <t>Single-player,Steam Achievements,Steam Trading Cards,Steam Workshop,Steam Cloud,Includes level editor,Family Sharing</t>
  </si>
  <si>
    <t>Rise of the Tomb Raider</t>
  </si>
  <si>
    <t>Single-player,Steam Achievements,Full controller support,Tracked Controller Support,VR Supported,Steam Trading Cards,Steam Cloud,Steam Leaderboards,Remote Play on Phone,Remote Play on Tablet,Remote Play on TV,Family Sharing</t>
  </si>
  <si>
    <t>FINAL FANTASY X/X-2 HD Remaster</t>
  </si>
  <si>
    <t>Single-player,Steam Achievements,Steam Trading Cards,Partial Controller Support,Steam Cloud,Remote Play on Phone,Remote Play on Tablet,Family Sharing</t>
  </si>
  <si>
    <t>Left 4 Dead</t>
  </si>
  <si>
    <t>Single-player,Multi-player,Co-op,Steam Achievements,Full controller support,Captions available,Camera Comfort,Color Alternatives,Custom Volume Controls,Adjustable Difficulty,Stereo Sound,Surround Sound,Steam Cloud,Valve Anti-Cheat enabled,Stats,Steam Leaderboards,Includes Source SDK,Commentary available,Remote Play on TV,Family Sharing</t>
  </si>
  <si>
    <t>Tom Clancy's The Division</t>
  </si>
  <si>
    <t>Single-player,Multi-player,PvP,Online PvP,Co-op,Online Co-op,Steam Achievements,Full controller support,Steam Trading Cards,Captions available,In-App Purchases</t>
  </si>
  <si>
    <t>Dragon's Dogma 2</t>
  </si>
  <si>
    <t>Single-player,Steam Achievements,Steam Trading Cards,Partial Controller Support,Steam Cloud,HDR available,Family Sharing</t>
  </si>
  <si>
    <t>Turmoil</t>
  </si>
  <si>
    <t>Total War: ROME REMASTERED</t>
  </si>
  <si>
    <t>Single-player,Multi-player,Cross-Platform Multiplayer,Steam Achievements,Steam Workshop,Steam Cloud,Family Sharing</t>
  </si>
  <si>
    <t>MORDHAU</t>
  </si>
  <si>
    <t>Multi-player,PvP,Online PvP,Co-op,Online Co-op,Cross-Platform Multiplayer,Steam Achievements,Steam Trading Cards,Partial Controller Support,Steam Cloud,Valve Anti-Cheat enabled,Stats,Remote Play on Phone,Remote Play on Tablet</t>
  </si>
  <si>
    <t>ZMﾂDesktopﾂElf</t>
  </si>
  <si>
    <t>Single-player,Steam Achievements,Steam Workshop,Stats</t>
  </si>
  <si>
    <t>Casual,Free To Play,Utilities</t>
  </si>
  <si>
    <t>Yi Xian: The Cultivation Card Game</t>
  </si>
  <si>
    <t>FINAL FANTASY VII REMAKE INTERGRADE</t>
  </si>
  <si>
    <t>Trove</t>
  </si>
  <si>
    <t>Multi-player,MMO,PvP,Online PvP,Co-op,Online Co-op,Steam Achievements,Steam Trading Cards,Steam Workshop,In-App Purchases,Adjustable Text Size,Custom Volume Controls,Playable without Timed Input,Save Anytime,Partial Controller Support</t>
  </si>
  <si>
    <t>This War of Mine</t>
  </si>
  <si>
    <t>Neverwinter Nights: Enhanced Edition</t>
  </si>
  <si>
    <t>Single-player,Multi-player,PvP,Online PvP,Co-op,Online Co-op,Steam Achievements,Steam Trading Cards,Steam Workshop,Includes level editor,Family Sharing</t>
  </si>
  <si>
    <t>Stronghold Crusader HD (2012)</t>
  </si>
  <si>
    <t>Single-player,Multi-player,PvP,Online PvP,Steam Trading Cards,Steam Cloud,Includes level editor,Family Sharing</t>
  </si>
  <si>
    <t>Stoneshard</t>
  </si>
  <si>
    <t>Single-player,Steam Achievements,Captions available,Steam Cloud,Remote Play on Phone,Remote Play on Tablet,Family Sharing</t>
  </si>
  <si>
    <t>Adventure,Indie,RPG,Strategy,Early Access</t>
  </si>
  <si>
    <t>ASTLIBRA Revision</t>
  </si>
  <si>
    <t>HumanitZ</t>
  </si>
  <si>
    <t>Single-player,Multi-player,PvP,Online PvP,Co-op,Online Co-op,Steam Achievements,Partial Controller Support,Family Sharing</t>
  </si>
  <si>
    <t>My Singing Monsters</t>
  </si>
  <si>
    <t>Single-player,Multi-player,Co-op,Online Co-op,In-App Purchases</t>
  </si>
  <si>
    <t>FINAL FANTASY XVI</t>
  </si>
  <si>
    <t>Single-player,Steam Achievements,Full controller support,Steam Trading Cards,Captions available,Steam Cloud,HDR available,Family Sharing</t>
  </si>
  <si>
    <t>Lightyear Frontier</t>
  </si>
  <si>
    <t>Early Access</t>
  </si>
  <si>
    <t>Nubby's Number Factory</t>
  </si>
  <si>
    <t>ANEURISM IV</t>
  </si>
  <si>
    <t>Multi-player,PvP,Online PvP,LAN PvP,Family Sharing</t>
  </si>
  <si>
    <t>Content Warning</t>
  </si>
  <si>
    <t>Multi-player,Co-op,Online Co-op,Partial Controller Support,Steam Cloud,Family Sharing</t>
  </si>
  <si>
    <t>LEGO Star Wars: The Skywalker Saga</t>
  </si>
  <si>
    <t>Single-player,Multi-player,Co-op,Shared/Split Screen Co-op,Shared/Split Screen,Steam Achievements,Full controller support,Steam Cloud,Remote Play on Phone,Remote Play on Tablet,Remote Play Together,HDR available,Family Sharing</t>
  </si>
  <si>
    <t>Going Medieval</t>
  </si>
  <si>
    <t>Single-player,Steam Achievements,Steam Workshop,Adjustable Text Size,Camera Comfort,Custom Volume Controls,Adjustable Difficulty,Mouse Only Option,Playable without Timed Input,Save Anytime,Steam Cloud,Family Sharing</t>
  </si>
  <si>
    <t>Wizard101</t>
  </si>
  <si>
    <t>Multi-player,MMO,PvP,Online PvP,Co-op,Online Co-op,In-App Purchases,Partial Controller Support</t>
  </si>
  <si>
    <t>Adventure,Casual,Massively Multiplayer,RPG,Strategy,Free To Play</t>
  </si>
  <si>
    <t>Men of War: Assault Squad 2</t>
  </si>
  <si>
    <t>Spiritfarer: Farewell Edition</t>
  </si>
  <si>
    <t>Single-player,Multi-player,Co-op,Shared/Split Screen Co-op,Steam Achievements,Full controller support,Steam Trading Cards,Steam Cloud,Remote Play on Phone,Remote Play on Tablet,Remote Play on TV,Remote Play Together,Family Sharing</t>
  </si>
  <si>
    <t>ASKA</t>
  </si>
  <si>
    <t>Horizon Zero Dawn Complete Edition</t>
  </si>
  <si>
    <t>Adventure,Simulation,Strategy,Early Access</t>
  </si>
  <si>
    <t>Deadside</t>
  </si>
  <si>
    <t>Single-player,Steam Achievements,Full controller support,Steam Cloud,Remote Play on Tablet,Family Sharing</t>
  </si>
  <si>
    <t>Subnautica: Below Zero</t>
  </si>
  <si>
    <t>Multi-player,MMO,PvP,Online PvP,Co-op,Online Co-op,Steam Achievements,Family Sharing</t>
  </si>
  <si>
    <t>Ori and the Will of the Wisps</t>
  </si>
  <si>
    <t>Terra Invicta</t>
  </si>
  <si>
    <t>Single-player,Steam Achievements,Full controller support,Steam Cloud,Remote Play on Phone,Remote Play on Tablet,Remote Play on TV,HDR available,Family Sharing</t>
  </si>
  <si>
    <t>Eco</t>
  </si>
  <si>
    <t>Single-player,Steam Achievements,Steam Trading Cards,Steam Workshop,Adjustable Text Size,Camera Comfort,Custom Volume Controls,Adjustable Difficulty,Mouse Only Option,Playable without Timed Input,Save Anytime,Steam Cloud,Family Sharing</t>
  </si>
  <si>
    <t>Supreme Commander: Forged Alliance</t>
  </si>
  <si>
    <t>Single-player,Multi-player,Co-op,Online Co-op,LAN Co-op,Steam Achievements,In-App Purchases</t>
  </si>
  <si>
    <t>Pro Soccer Online</t>
  </si>
  <si>
    <t>Single-player,Multi-player,Family Sharing</t>
  </si>
  <si>
    <t>NieR:Automata</t>
  </si>
  <si>
    <t>Sports</t>
  </si>
  <si>
    <t>Ratopia</t>
  </si>
  <si>
    <t>Legion TD 2 - Multiplayer Tower Defense</t>
  </si>
  <si>
    <t>Adventure,Casual,Indie,Simulation,Strategy</t>
  </si>
  <si>
    <t>Planet Coaster</t>
  </si>
  <si>
    <t>Single-player,Multi-player,PvP,Online PvP,Co-op,Online Co-op,Steam Achievements,Steam Trading Cards,Stats</t>
  </si>
  <si>
    <t>WEBFISHING</t>
  </si>
  <si>
    <t>Action,Adventure,Casual,Simulation,Strategy</t>
  </si>
  <si>
    <t>Mafia: Definitive Edition</t>
  </si>
  <si>
    <t>Single-player,Multi-player,Co-op,Online Co-op,Family Sharing</t>
  </si>
  <si>
    <t>Casual,Indie,Massively Multiplayer</t>
  </si>
  <si>
    <t>Rocksmith 2014 Edition REMASTERED LEARN &amp; PLAY</t>
  </si>
  <si>
    <t>Idle Cave Miner</t>
  </si>
  <si>
    <t>Single-player,Multi-player,Shared/Split Screen,Steam Achievements,Steam Trading Cards,In-App Purchases,Partial Controller Support,Steam Cloud,Steam Leaderboards</t>
  </si>
  <si>
    <t>The Walking Dead: The Telltale Definitive Series</t>
  </si>
  <si>
    <t>Single-player,Steam Achievements,Steam Trading Cards,In-App Purchases,Steam Cloud,Stats,Steam Leaderboards</t>
  </si>
  <si>
    <t>Devil May Cry HD Collection</t>
  </si>
  <si>
    <t>Soulstone Survivors</t>
  </si>
  <si>
    <t>Single-player,Steam Achievements,Full controller support,Steam Trading Cards,Remote Play on TV,Family Sharing</t>
  </si>
  <si>
    <t>Escape Simulator</t>
  </si>
  <si>
    <t>Single-player,Steam Achievements,Full controller support,Steam Trading Cards,Steam Cloud,Stats,Family Sharing</t>
  </si>
  <si>
    <t>Warhammer 40,000: Dawn of War - Soulstorm</t>
  </si>
  <si>
    <t>Single-player,Multi-player,PvP,Online PvP,Co-op,Online Co-op,Cross-Platform Multiplayer,Steam Achievements,Full controller support,Tracked Controller Support,VR Supported,Steam Trading Cards,Steam Workshop,Steam Cloud,Stats,Includes level editor,Family Sharing</t>
  </si>
  <si>
    <t>Resident Evil 4 (2005)</t>
  </si>
  <si>
    <t>Single-player,Multi-player,Steam Cloud,Family Sharing</t>
  </si>
  <si>
    <t>Muse Dash</t>
  </si>
  <si>
    <t>Single-player,Steam Achievements,Full controller support,Steam Trading Cards,Captions available,Steam Cloud,Steam Leaderboards,Family Sharing</t>
  </si>
  <si>
    <t>The Quinfall</t>
  </si>
  <si>
    <t>Single-player,Partial Controller Support,Steam Cloud,Remote Play on Phone,Remote Play on Tablet,Remote Play on TV,Family Sharing</t>
  </si>
  <si>
    <t>Neverwinter</t>
  </si>
  <si>
    <t>Multi-player,MMO,PvP,Online PvP,Co-op,Online Co-op,Steam Achievements,In-App Purchases,Family Sharing</t>
  </si>
  <si>
    <t>Massively Multiplayer,Early Access</t>
  </si>
  <si>
    <t>Fall Guys</t>
  </si>
  <si>
    <t>Single-player,Multi-player,MMO,PvP,Online PvP,Co-op,Online Co-op,Steam Trading Cards,In-App Purchases,Includes level editor</t>
  </si>
  <si>
    <t>Mindustry</t>
  </si>
  <si>
    <t>Multi-player,MMO,PvP,Online PvP,Co-op,Online Co-op,Steam Achievements,In-App Purchases,Partial Controller Support,Remote Play on Phone,Remote Play on Tablet</t>
  </si>
  <si>
    <t>Action,Casual,Indie,Massively Multiplayer,Sports</t>
  </si>
  <si>
    <t>Zuma Deluxe</t>
  </si>
  <si>
    <t>Single-player,Multi-player,PvP,Online PvP,Co-op,Online Co-op,Cross-Platform Multiplayer,Steam Achievements,Steam Workshop,Steam Cloud,Stats,Includes level editor,Family Sharing</t>
  </si>
  <si>
    <t>Blade and Sorcery</t>
  </si>
  <si>
    <t>RPG Maker MV</t>
  </si>
  <si>
    <t>Single-player,Steam Achievements,Tracked Controller Support,VR Only,Family Sharing</t>
  </si>
  <si>
    <t>Soul Dossier</t>
  </si>
  <si>
    <t>Steam Trading Cards,Steam Workshop,Partial Controller Support</t>
  </si>
  <si>
    <t>Chill Pulse</t>
  </si>
  <si>
    <t>Batman: Arkham City - Game of the Year Edition</t>
  </si>
  <si>
    <t>Like a Dragon: Infinite Wealth</t>
  </si>
  <si>
    <t>Sun Haven</t>
  </si>
  <si>
    <t>DRAGON BALL XENOVERSE 2</t>
  </si>
  <si>
    <t>Single-player,Multi-player,Co-op,Online Co-op,Steam Achievements,In-App Purchases,Partial Controller Support,Steam Cloud,Family Sharing</t>
  </si>
  <si>
    <t>Control Ultimate Edition</t>
  </si>
  <si>
    <t>Single-player,Multi-player,MMO,PvP,Online PvP,Shared/Split Screen PvP,Co-op,Online Co-op,Steam Achievements,Full controller support,Steam Cloud,Steam Leaderboards,Family Sharing</t>
  </si>
  <si>
    <t>Action,Adventure,Casual,Massively Multiplayer</t>
  </si>
  <si>
    <t>Book of Yog Idle RPG</t>
  </si>
  <si>
    <t>Single-player,Steam Achievements,Full controller support,Steam Trading Cards,Steam Cloud,Remote Play on Phone,Remote Play on Tablet,Remote Play on TV,HDR available,Family Sharing</t>
  </si>
  <si>
    <t>Dead Frontier 2</t>
  </si>
  <si>
    <t>Single-player,Multi-player,MMO,In-App Purchases</t>
  </si>
  <si>
    <t>Action,Adventure,Casual,Indie,Massively Multiplayer,RPG,Strategy,Free To Play</t>
  </si>
  <si>
    <t>HoloCure - Save the Fans!</t>
  </si>
  <si>
    <t>Single-player,Multi-player,MMO,PvP,Online PvP,Co-op,Online Co-op,Steam Trading Cards,In-App Purchases,Remote Play on Tablet</t>
  </si>
  <si>
    <t>Action,Indie,Massively Multiplayer,RPG,Free To Play</t>
  </si>
  <si>
    <t>PAYDAY 3</t>
  </si>
  <si>
    <t>Single-player,Steam Achievements,Partial Controller Support,Steam Cloud</t>
  </si>
  <si>
    <t>Action,Adventure,Casual,Indie</t>
  </si>
  <si>
    <t>Call of Duty: Black Ops Cold War</t>
  </si>
  <si>
    <t>Single-player,Multi-player,Co-op,Online Co-op,Cross-Platform Multiplayer,Steam Achievements,Steam Trading Cards,In-App Purchases,Camera Comfort,Custom Volume Controls,Adjustable Difficulty,Stereo Sound,Subtitle Options,Surround Sound,Partial Controller Support,Steam Cloud,Family Sharing</t>
  </si>
  <si>
    <t>Just Cause 3</t>
  </si>
  <si>
    <t>Portal</t>
  </si>
  <si>
    <t>DCS World Steam Edition</t>
  </si>
  <si>
    <t>Single-player,Steam Achievements,Full controller support,Captions available,Camera Comfort,Custom Volume Controls,Save Anytime,Stereo Sound,Subtitle Options,Surround Sound,Includes level editor,Includes Source SDK,Commentary available,Remote Play on Phone,Remote Play on Tablet,Family Sharing</t>
  </si>
  <si>
    <t>MechWarrior 5: Mercenaries</t>
  </si>
  <si>
    <t>Single-player,Multi-player,PvP,Online PvP,LAN PvP,Co-op,Online Co-op,LAN Co-op,Tracked Controller Support,VR Supported,Captions available,VR Support,Camera Comfort,Color Alternatives,Custom Volume Controls,Adjustable Difficulty,Keyboard Only Option,Mouse Only Option,Playable without Timed Input,Save Anytime,Stereo Sound,Surround Sound,Touch Only Option,Partial Controller Support,Includes level editor</t>
  </si>
  <si>
    <t>Simulation,Free To Play</t>
  </si>
  <si>
    <t>The Elder Scrolls III: Morrowind Game of the Year Edition</t>
  </si>
  <si>
    <t>Single-player,Multi-player,Co-op,Online Co-op,Steam Achievements,Steam Workshop,Partial Controller Support,Family Sharing</t>
  </si>
  <si>
    <t>Action,Simulation</t>
  </si>
  <si>
    <t>ｿｮｻｰｱ</t>
  </si>
  <si>
    <t>Half-Life</t>
  </si>
  <si>
    <t>Multi-player,MMO</t>
  </si>
  <si>
    <t>Casual,Massively Multiplayer,Simulation,Free To Play</t>
  </si>
  <si>
    <t>UBOAT</t>
  </si>
  <si>
    <t>Single-player,Multi-player,PvP,Online PvP,Full controller support,Color Alternatives,Custom Volume Controls,Adjustable Difficulty,Keyboard Only Option,Playable without Timed Input,Save Anytime,Stereo Sound,Steam Cloud,Valve Anti-Cheat enabled,Remote Play on Phone,Remote Play on Tablet,Family Sharing</t>
  </si>
  <si>
    <t>MiSide</t>
  </si>
  <si>
    <t>DiRT Rally 2.0</t>
  </si>
  <si>
    <t>Cellveillance</t>
  </si>
  <si>
    <t>Single-player,Multi-player,PvP,Online PvP,Steam Achievements,Full controller support,VR Supported,Steam Cloud,Valve Anti-Cheat enabled,Family Sharing</t>
  </si>
  <si>
    <t>Far Cry 6</t>
  </si>
  <si>
    <t>Single-player,Steam Achievements,Steam Cloud</t>
  </si>
  <si>
    <t>Adventure,RPG,Simulation</t>
  </si>
  <si>
    <t>Nine Sols</t>
  </si>
  <si>
    <t>Single-player,Multi-player,Co-op,Online Co-op,Steam Achievements,Captions available,In-App Purchases,Partial Controller Support,HDR available</t>
  </si>
  <si>
    <t>Wobbly Life</t>
  </si>
  <si>
    <t>Single-player,Steam Achievements,Full controller support,Color Alternatives,Custom Volume Controls,Adjustable Difficulty,Keyboard Only Option,Stereo Sound,Steam Cloud,Steam Leaderboards,Family Sharing</t>
  </si>
  <si>
    <t>Sid Meier's Civilization IV</t>
  </si>
  <si>
    <t>Single-player,Multi-player,Co-op,Online Co-op,Shared/Split Screen Co-op,Shared/Split Screen,Steam Achievements,Full controller support,Steam Trading Cards,Steam Workshop,Steam Cloud,Remote Play on TV,Family Sharing</t>
  </si>
  <si>
    <t>Action,Adventure,Casual,Indie,Simulation</t>
  </si>
  <si>
    <t>Borderlands Game of the Year Enhanced</t>
  </si>
  <si>
    <t>GWENT: The Witcher Card Game</t>
  </si>
  <si>
    <t>RetroArch</t>
  </si>
  <si>
    <t>Single-player,Multi-player,PvP,Online PvP,Cross-Platform Multiplayer,Steam Achievements,Steam Trading Cards,In-App Purchases,Camera Comfort,Color Alternatives,Custom Volume Controls,Mouse Only Option,Playable without Timed Input,Stereo Sound,Surround Sound,Partial Controller Support,Remote Play on Tablet</t>
  </si>
  <si>
    <t>RPG,Strategy,Free To Play</t>
  </si>
  <si>
    <t>Need for Speed Unbound</t>
  </si>
  <si>
    <t>Single-player,Multi-player,PvP,Online PvP,LAN PvP,Shared/Split Screen PvP,Co-op,Online Co-op,LAN Co-op,Shared/Split Screen Co-op,Shared/Split Screen,Full controller support,Steam Cloud,Remote Play on Phone,Remote Play on Tablet,Remote Play on TV,Remote Play Together,HDR available</t>
  </si>
  <si>
    <t>Free To Play</t>
  </si>
  <si>
    <t>Avorion</t>
  </si>
  <si>
    <t>Single-player,Multi-player,PvP,Cross-Platform Multiplayer,Steam Achievements,Chat Speech-to-text,Adjustable Difficulty,Keyboard Only Option,Playable without Timed Input,Stereo Sound,Surround Sound,Partial Controller Support,HDR available</t>
  </si>
  <si>
    <t>Action,Racing</t>
  </si>
  <si>
    <t>Hitman: Absolution</t>
  </si>
  <si>
    <t>Single-player,Multi-player,PvP,Online PvP,LAN PvP,Co-op,Online Co-op,LAN Co-op,Cross-Platform Multiplayer,Steam Achievements,Steam Trading Cards,Steam Workshop,Valve Anti-Cheat enabled,Stats,Family Sharing</t>
  </si>
  <si>
    <t>Ravenfield</t>
  </si>
  <si>
    <t>The Witcher: Enhanced Edition Director's Cut</t>
  </si>
  <si>
    <t>Single-player,Steam Workshop,Partial Controller Support,Includes level editor,Family Sharing</t>
  </si>
  <si>
    <t>Batman: Arkham Origins</t>
  </si>
  <si>
    <t>Single-player,Camera Comfort,Color Alternatives,Custom Volume Controls,Adjustable Difficulty,Mouse Only Option,Playable without Timed Input,Save Anytime,Stereo Sound,Steam Cloud,Family Sharing</t>
  </si>
  <si>
    <t>Flag Clicker</t>
  </si>
  <si>
    <t>Single-player,Steam Achievements,Full controller support,Steam Trading Cards,Steam Cloud,Steam Leaderboards,Family Sharing</t>
  </si>
  <si>
    <t>The Walking Dead</t>
  </si>
  <si>
    <t>Single-player,Steam Achievements,Steam Cloud,Stats,Steam Leaderboards,Remote Play Together</t>
  </si>
  <si>
    <t>Your Only Move Is HUSTLE</t>
  </si>
  <si>
    <t>Type:Rider</t>
  </si>
  <si>
    <t>Single-player,Multi-player,PvP,Online PvP,LAN PvP,Family Sharing</t>
  </si>
  <si>
    <t>Liar's Bar</t>
  </si>
  <si>
    <t>Automobilista 2</t>
  </si>
  <si>
    <t>Multi-player,PvP,Online PvP,Co-op,Online Co-op,Family Sharing</t>
  </si>
  <si>
    <t>Batman: Arkham Asylum Game of the Year Edition</t>
  </si>
  <si>
    <t>Single-player,Multi-player,PvP,Online PvP,LAN PvP,Full controller support,VR Supported,Family Sharing</t>
  </si>
  <si>
    <t>Action,Indie,Racing,Simulation,Sports</t>
  </si>
  <si>
    <t>Magicraft</t>
  </si>
  <si>
    <t>Into the Dead: Our Darkest Days</t>
  </si>
  <si>
    <t>TEKKEN 7</t>
  </si>
  <si>
    <t>Action,Simulation,Strategy,Early Access</t>
  </si>
  <si>
    <t>Titan Quest Anniversary Edition</t>
  </si>
  <si>
    <t>Single-player,Multi-player,PvP,Online PvP,Shared/Split Screen PvP,Shared/Split Screen,Steam Achievements,Full controller support,Steam Trading Cards,Steam Cloud,Steam Leaderboards,Remote Play on TV,Remote Play Together,Family Sharing</t>
  </si>
  <si>
    <t>Action,Sports</t>
  </si>
  <si>
    <t>SPORE</t>
  </si>
  <si>
    <t>Single-player,Multi-player,PvP,Online PvP,Co-op,Online Co-op,Steam Achievements,Steam Trading Cards,Steam Workshop,Partial Controller Support,Steam Cloud,Includes level editor,Family Sharing</t>
  </si>
  <si>
    <t>Krita</t>
  </si>
  <si>
    <t>Action,Adventure,Casual,RPG,Simulation,Strategy</t>
  </si>
  <si>
    <t>Fabledom</t>
  </si>
  <si>
    <t>Indie,Animation &amp; Modeling,Design &amp; Illustration,Photo Editing</t>
  </si>
  <si>
    <t>Amazing Cultivation Simulator</t>
  </si>
  <si>
    <t>Crime Scene Cleaner</t>
  </si>
  <si>
    <t>Multi-player,PvP,Online PvP,Shared/Split Screen PvP,Shared/Split Screen,Steam Achievements,Full controller support,In-App Purchases,Remote Play Together,Family Sharing</t>
  </si>
  <si>
    <t>Monster Train</t>
  </si>
  <si>
    <t>Realm Grinder</t>
  </si>
  <si>
    <t>Single-player,Multi-player,PvP,Online PvP,Steam Achievements,Full controller support,Steam Trading Cards,Steam Cloud,Remote Play on Phone,Remote Play on Tablet,Family Sharing</t>
  </si>
  <si>
    <t>Nice Day for Fishing</t>
  </si>
  <si>
    <t>Single-player,Steam Achievements,Steam Trading Cards,In-App Purchases</t>
  </si>
  <si>
    <t>Free To Play,RPG,Strategy</t>
  </si>
  <si>
    <t>My Time at Portia</t>
  </si>
  <si>
    <t>XCOM: Enemy Unknown</t>
  </si>
  <si>
    <t>Pathfinder: Kingmaker ' Enhanced Plus Edition</t>
  </si>
  <si>
    <t>Single-player,Multi-player,Cross-Platform Multiplayer,Steam Achievements,Full controller support,Steam Trading Cards,Steam Cloud,Remote Play on TV,Family Sharing</t>
  </si>
  <si>
    <t>Poppy Playtime</t>
  </si>
  <si>
    <t>OMSI 2: Steam Edition</t>
  </si>
  <si>
    <t>Bugtopia</t>
  </si>
  <si>
    <t>Single-player,Full controller support,Includes level editor,Family Sharing</t>
  </si>
  <si>
    <t>Shadow of the Tomb Raider: Definitive Edition</t>
  </si>
  <si>
    <t>Single-player,Steam Achievements,Custom Volume Controls,Playable without Timed Input,Save Anytime,Steam Cloud,Family Sharing</t>
  </si>
  <si>
    <t>Cultist Simulator</t>
  </si>
  <si>
    <t>Football Manager 2019</t>
  </si>
  <si>
    <t>Single-player,Steam Achievements,Steam Trading Cards,Steam Workshop,Adjustable Text Size,Color Alternatives,Custom Volume Controls,Mouse Only Option,Playable without Timed Input,Steam Cloud,Remote Play on Tablet,Family Sharing</t>
  </si>
  <si>
    <t>Train Sim World 5</t>
  </si>
  <si>
    <t>Single-player,Multi-player,Steam Achievements,Steam Trading Cards,Steam Workshop,Steam Cloud,Steam Leaderboards,Remote Play on Tablet,Family Sharing</t>
  </si>
  <si>
    <t>Axis &amp; Allies 1942 Online</t>
  </si>
  <si>
    <t>Single-player,Steam Achievements,Camera Comfort,Custom Volume Controls,Playable without Timed Input,Subtitle Options,Partial Controller Support,Family Sharing</t>
  </si>
  <si>
    <t>Tropico 6</t>
  </si>
  <si>
    <t>Single-player,Multi-player,PvP,Online PvP,Shared/Split Screen PvP,Co-op,Online Co-op,Shared/Split Screen Co-op,Shared/Split Screen,Cross-Platform Multiplayer,Partial Controller Support,Family Sharing</t>
  </si>
  <si>
    <t>JDM: Japanese Drift Master</t>
  </si>
  <si>
    <t>Single-player,Multi-player,PvP,Online PvP,Co-op,Online Co-op,Steam Achievements,Full controller support,Steam Trading Cards,Steam Workshop,Steam Cloud,Remote Play on TV,Family Sharing</t>
  </si>
  <si>
    <t>Peglin</t>
  </si>
  <si>
    <t>Casual,Racing,Simulation,Sports</t>
  </si>
  <si>
    <t>Royal Quest Online</t>
  </si>
  <si>
    <t>Backrooms: Escape Together</t>
  </si>
  <si>
    <t>Multi-player,MMO,PvP,Online PvP,Co-op,Online Co-op,Steam Achievements,Steam Trading Cards,In-App Purchases,Custom Volume Controls,Mouse Only Option,Playable without Timed Input,Stereo Sound,Touch Only Option</t>
  </si>
  <si>
    <t>Borderless Gaming</t>
  </si>
  <si>
    <t>Single-player,Multi-player,Co-op,Online Co-op,Steam Achievements,Full controller support,Camera Comfort,Color Alternatives,Custom Volume Controls,Playable without Timed Input,Stereo Sound,Surround Sound,Steam Cloud,Family Sharing</t>
  </si>
  <si>
    <t>Wingspan</t>
  </si>
  <si>
    <t>Action,Utilities</t>
  </si>
  <si>
    <t>BattleBit Remastered</t>
  </si>
  <si>
    <t>Single-player,Multi-player,PvP,Online PvP,Shared/Split Screen PvP,Co-op,Online Co-op,Shared/Split Screen Co-op,Cross-Platform Multiplayer,Steam Achievements,Steam Trading Cards,Partial Controller Support,Steam Cloud,Steam Leaderboards,Steam Turn Notifications,Remote Play Together,Family Sharing</t>
  </si>
  <si>
    <t>Apocalypse Party</t>
  </si>
  <si>
    <t>Multi-player,MMO,PvP,Online PvP,Partial Controller Support</t>
  </si>
  <si>
    <t>Action,Massively Multiplayer,Early Access</t>
  </si>
  <si>
    <t>Resident Evil 5</t>
  </si>
  <si>
    <t>Command &amp; Conquer Remastered Collection</t>
  </si>
  <si>
    <t>Single-player,Multi-player,Co-op,Steam Achievements,Full controller support,Steam Trading Cards,Steam Cloud,Steam Leaderboards,Family Sharing</t>
  </si>
  <si>
    <t>Mad Max</t>
  </si>
  <si>
    <t>Single-player,Multi-player,PvP,Online PvP,Steam Achievements,Steam Workshop,Steam Cloud,Includes level editor,Family Sharing</t>
  </si>
  <si>
    <t>Mabinogi</t>
  </si>
  <si>
    <t>Age of Empires: Definitive Edition</t>
  </si>
  <si>
    <t>Action,Adventure,Casual,Massively Multiplayer,RPG,Simulation,Free To Play</t>
  </si>
  <si>
    <t>Panzer Corps 2</t>
  </si>
  <si>
    <t>Single-player,Multi-player,PvP,Online PvP,LAN PvP,Cross-Platform Multiplayer,Steam Achievements,Steam Trading Cards,Steam Cloud,Includes level editor,Family Sharing</t>
  </si>
  <si>
    <t>Far Cry 4</t>
  </si>
  <si>
    <t>Single-player,Multi-player,PvP,Online PvP,Shared/Split Screen PvP,Co-op,Online Co-op,Shared/Split Screen Co-op,Shared/Split Screen,Steam Achievements,Steam Workshop,Steam Cloud,Family Sharing</t>
  </si>
  <si>
    <t>Tomb Raider Game of the Year</t>
  </si>
  <si>
    <t>Single-player,Multi-player,Co-op,Steam Achievements,Partial Controller Support</t>
  </si>
  <si>
    <t>ROUNDS</t>
  </si>
  <si>
    <t>Single-player,Multi-player,Steam Achievements,Full controller support,Steam Trading Cards,Steam Cloud,Remote Play on Phone,Remote Play on Tablet,Remote Play on TV,Family Sharing</t>
  </si>
  <si>
    <t>Automation - The Car Company Tycoon Game</t>
  </si>
  <si>
    <t>Multi-player,PvP,Online PvP,Shared/Split Screen PvP,Shared/Split Screen,Partial Controller Support,Remote Play Together,Family Sharing</t>
  </si>
  <si>
    <t>Volcano Princess</t>
  </si>
  <si>
    <t>Single-player,Multi-player,PvP,Online PvP,Steam Workshop,Steam Cloud,Family Sharing</t>
  </si>
  <si>
    <t>Indie,Racing,Simulation,Strategy,Early Access</t>
  </si>
  <si>
    <t>The Precinct</t>
  </si>
  <si>
    <t>Cube Racer</t>
  </si>
  <si>
    <t>Single-player,Steam Achievements,Full controller support,Steam Trading Cards,Custom Volume Controls,Adjustable Difficulty,Subtitle Options,Steam Cloud,Family Sharing</t>
  </si>
  <si>
    <t>Rome: Total War - Collection</t>
  </si>
  <si>
    <t>Single-player,Multi-player,PvP,Online PvP,Shared/Split Screen PvP,Cross-Platform Multiplayer,Steam Achievements,Steam Workshop,Partial Controller Support,Steam Cloud,Stats,Steam Leaderboards,Includes level editor,Remote Play Together</t>
  </si>
  <si>
    <t>Action,Casual,Indie,Racing</t>
  </si>
  <si>
    <t>STAR WARS Knights of the Old Republic II - The Sith Lords</t>
  </si>
  <si>
    <t>VBridger</t>
  </si>
  <si>
    <t>Naval Action</t>
  </si>
  <si>
    <t>Single-player,Steam Cloud</t>
  </si>
  <si>
    <t>Casual,Animation &amp; Modeling,Utilities</t>
  </si>
  <si>
    <t>Yakuza 0</t>
  </si>
  <si>
    <t>Indie,Massively Multiplayer,Racing,Simulation</t>
  </si>
  <si>
    <t>Slapshot: Rebound</t>
  </si>
  <si>
    <t>Single-player,Multi-player,Steam Achievements,Full controller support,Steam Trading Cards,Steam Cloud,Steam Leaderboards,Remote Play on Phone,Remote Play on Tablet,Remote Play on TV,Family Sharing</t>
  </si>
  <si>
    <t>Game of Thrones Winter is Coming</t>
  </si>
  <si>
    <t>Single-player,Multi-player,PvP,Online PvP,Co-op,Online Co-op,Steam Achievements,Steam Trading Cards,In-App Purchases,Partial Controller Support,Stats</t>
  </si>
  <si>
    <t>Action,Casual,Indie,Sports,Free To Play</t>
  </si>
  <si>
    <t>Imperator: Rome</t>
  </si>
  <si>
    <t>Multi-player,MMO,PvP,Online PvP,Cross-Platform Multiplayer,In-App Purchases</t>
  </si>
  <si>
    <t>Massively Multiplayer,RPG,Simulation,Strategy,Free To Play</t>
  </si>
  <si>
    <t>DC Universe Online</t>
  </si>
  <si>
    <t>Single-player,Multi-player,PvP,Online PvP,Steam Achievements,Steam Trading Cards,Steam Workshop,Steam Cloud,Family Sharing</t>
  </si>
  <si>
    <t>Fast Food Simulator</t>
  </si>
  <si>
    <t>Multi-player,MMO,PvP,Online PvP,Co-op,Online Co-op,Cross-Platform Multiplayer,Steam Achievements,Partial Controller Support</t>
  </si>
  <si>
    <t>Sins of a Solar Empire II</t>
  </si>
  <si>
    <t>Will To Live Online</t>
  </si>
  <si>
    <t>Single-player,Multi-player,PvP,Online PvP,LAN PvP,Co-op,Online Co-op,LAN Co-op,Cross-Platform Multiplayer,Steam Achievements,Steam Trading Cards,Custom Volume Controls,Adjustable Difficulty,Playable without Timed Input,Save Anytime,Stereo Sound,Surround Sound,Steam Cloud,Family Sharing</t>
  </si>
  <si>
    <t>Sniper Elite 4</t>
  </si>
  <si>
    <t>Multi-player,MMO,PvP,Online PvP,In-App Purchases,Steam Cloud,Valve Anti-Cheat enabled</t>
  </si>
  <si>
    <t>Mafia II: Definitive Edition</t>
  </si>
  <si>
    <t>Single-player,Multi-player,Co-op,Steam Achievements,Full controller support,Steam Trading Cards,Steam Cloud,Steam Leaderboards,Remote Play on TV,Family Sharing</t>
  </si>
  <si>
    <t>Stranded: Alien Dawn</t>
  </si>
  <si>
    <t>Juufuutei Raden's Guide for Pixel Museum</t>
  </si>
  <si>
    <t>Across the Obelisk</t>
  </si>
  <si>
    <t>Tempest Rising</t>
  </si>
  <si>
    <t>Call of Duty: Black Ops</t>
  </si>
  <si>
    <t>Cyber Knights: Flashpoint</t>
  </si>
  <si>
    <t>Single-player,Multi-player,Co-op,Steam Achievements,Partial Controller Support,Valve Anti-Cheat enabled,Family Sharing</t>
  </si>
  <si>
    <t>DRAGON QUEST III HD-2D Remake</t>
  </si>
  <si>
    <t>Single-player,Steam Achievements,Full controller support,Steam Trading Cards,Adjustable Text Size,Camera Comfort,Custom Volume Controls,Adjustable Difficulty,Playable without Timed Input,Save Anytime,Steam Cloud,Family Sharing</t>
  </si>
  <si>
    <t>Action,Indie,RPG,Strategy</t>
  </si>
  <si>
    <t>Frostpunk 2</t>
  </si>
  <si>
    <t>Idle Wizard</t>
  </si>
  <si>
    <t>Single-player,Steam Achievements,Full controller support,Steam Trading Cards,Steam Workshop,Adjustable Text Size,Custom Volume Controls,Adjustable Difficulty,Save Anytime,Stereo Sound,Surround Sound,Steam Cloud,Family Sharing</t>
  </si>
  <si>
    <t>Slime Rancher 2</t>
  </si>
  <si>
    <t>Indie,Free To Play</t>
  </si>
  <si>
    <t>Sleeping Dogs: Definitive Edition</t>
  </si>
  <si>
    <t>Rise of Nations: Extended Edition</t>
  </si>
  <si>
    <t>Single-player,Steam Achievements,Full controller support,Steam Cloud,Steam Leaderboards,Remote Play on Tablet,Remote Play on TV,Family Sharing</t>
  </si>
  <si>
    <t>Ultimate Admiral: Dreadnoughts</t>
  </si>
  <si>
    <t>Single-player,Multi-player,Co-op,Steam Achievements,Steam Trading Cards,Steam Cloud,Stats,Steam Leaderboards,Family Sharing</t>
  </si>
  <si>
    <t>Two Point Hospital</t>
  </si>
  <si>
    <t>Indie,RPG,Simulation,Strategy</t>
  </si>
  <si>
    <t>DREDGE</t>
  </si>
  <si>
    <t>ｪ Warm Snow</t>
  </si>
  <si>
    <t>Single-player,Steam Achievements,Full controller support,Steam Trading Cards,Camera Comfort,Color Alternatives,Custom Volume Controls,Adjustable Difficulty,Keyboard Only Option,Stereo Sound,Steam Cloud,Family Sharing</t>
  </si>
  <si>
    <t>Resident Evil 6</t>
  </si>
  <si>
    <t>Void Crew</t>
  </si>
  <si>
    <t>Single-player,Multi-player,Co-op,Shared/Split Screen,Steam Achievements,Steam Trading Cards,Partial Controller Support,Steam Cloud,Valve Anti-Cheat enabled,Steam Leaderboards,Remote Play Together,Family Sharing</t>
  </si>
  <si>
    <t>SILENT HILL 2</t>
  </si>
  <si>
    <t>Single-player,Multi-player,Co-op,Online Co-op,Full controller support,Steam Trading Cards,Adjustable Text Size,Camera Comfort,Custom Volume Controls,Save Anytime,Stereo Sound,Family Sharing</t>
  </si>
  <si>
    <t>RealFlight Evolution</t>
  </si>
  <si>
    <t>Age of History II</t>
  </si>
  <si>
    <t>Single-player,Multi-player,PvP,Online PvP,LAN PvP,Co-op,Online Co-op,LAN Co-op,Shared/Split Screen Co-op,Shared/Split Screen,Steam Achievements,VR Supported,Includes level editor,Family Sharing</t>
  </si>
  <si>
    <t>DRAGON BALL FighterZ</t>
  </si>
  <si>
    <t>Single-player,Multi-player,PvP,Shared/Split Screen PvP,Steam Workshop,Remote Play on Phone,Remote Play on Tablet,Remote Play Together,Family Sharing</t>
  </si>
  <si>
    <t>GoreBox</t>
  </si>
  <si>
    <t>Single-player,Multi-player,PvP,Online PvP,Shared/Split Screen PvP,Shared/Split Screen,Steam Achievements,Full controller support,Steam Trading Cards,Steam Cloud,Remote Play on Phone,Remote Play on Tablet,Remote Play on TV,Remote Play Together,Family Sharing</t>
  </si>
  <si>
    <t>Sea of Stars</t>
  </si>
  <si>
    <t>Single-player,Multi-player,PvP,Online PvP,Co-op,Online Co-op,Cross-Platform Multiplayer,Includes level editor</t>
  </si>
  <si>
    <t>Necesse</t>
  </si>
  <si>
    <t>Single-player,Multi-player,Co-op,Shared/Split Screen Co-op,Shared/Split Screen,Steam Achievements,Full controller support,Steam Cloud,Remote Play Together,Family Sharing</t>
  </si>
  <si>
    <t>Adventure,Indie,RPG</t>
  </si>
  <si>
    <t>War Selection</t>
  </si>
  <si>
    <t>Single-player,Multi-player,PvP,Online PvP,LAN PvP,Co-op,Online Co-op,LAN Co-op,Steam Achievements,Full controller support,Steam Trading Cards,Steam Workshop,Steam Cloud,Stats,Family Sharing</t>
  </si>
  <si>
    <t>Uncrashed : FPV Drone Simulator</t>
  </si>
  <si>
    <t>Single-player,Multi-player,PvP,Online PvP,In-App Purchases</t>
  </si>
  <si>
    <t>Indie,Massively Multiplayer,Strategy,Free To Play,Early Access</t>
  </si>
  <si>
    <t>Surviving Mars</t>
  </si>
  <si>
    <t>Single-player,Multi-player,PvP,Online PvP,Steam Workshop,Partial Controller Support,Steam Leaderboards,Includes level editor,Family Sharing</t>
  </si>
  <si>
    <t>OMORI</t>
  </si>
  <si>
    <t>Single-player,Steam Achievements,Full controller support,Steam Trading Cards,Steam Workshop,Steam Cloud,Remote Play on TV,Family Sharing</t>
  </si>
  <si>
    <t>Forza Motorsport</t>
  </si>
  <si>
    <t>Single-player,Steam Achievements,Full controller support,Remote Play on Phone,Remote Play on Tablet,Family Sharing</t>
  </si>
  <si>
    <t>Coloring Pixels</t>
  </si>
  <si>
    <t>Single-player,Multi-player,PvP,Online PvP,Cross-Platform Multiplayer,Steam Achievements,Full controller support,Steam Trading Cards,Family Sharing</t>
  </si>
  <si>
    <t>Racing</t>
  </si>
  <si>
    <t>Door Kickers 2: Task Force North</t>
  </si>
  <si>
    <t>Red Dead Redemption</t>
  </si>
  <si>
    <t>Single-player,Multi-player,Co-op,Online Co-op,Steam Achievements,Steam Workshop,Steam Cloud,Stats,Includes level editor,Remote Play Together,Family Sharing</t>
  </si>
  <si>
    <t>Undisputed</t>
  </si>
  <si>
    <t>Single-player,Steam Achievements,Full controller support,HDR available</t>
  </si>
  <si>
    <t>Train Simulator Classic</t>
  </si>
  <si>
    <t>Single-player,Multi-player,PvP,Online PvP,Shared/Split Screen PvP,Shared/Split Screen,Steam Achievements,Camera Comfort,Color Alternatives,Custom Volume Controls,Adjustable Difficulty,Playable without Timed Input,Stereo Sound,Partial Controller Support,Steam Cloud,Remote Play Together,Family Sharing</t>
  </si>
  <si>
    <t>Action,Simulation,Sports</t>
  </si>
  <si>
    <t>Romance of the Three Kingdoms XIII</t>
  </si>
  <si>
    <t>Single-player,Steam Achievements,Full controller support,Steam Trading Cards,Steam Workshop,In-App Purchases,Steam Cloud,Steam Leaderboards,Family Sharing</t>
  </si>
  <si>
    <t>CarX Street</t>
  </si>
  <si>
    <t>Death Must Die</t>
  </si>
  <si>
    <t>Single-player,Multi-player,PvP,Online PvP,Steam Achievements,Full controller support,Captions available,Custom Volume Controls,Adjustable Difficulty,Keyboard Only Option,Playable without Timed Input,Stereo Sound,Steam Cloud,Family Sharing</t>
  </si>
  <si>
    <t>Stray</t>
  </si>
  <si>
    <t>Action,Casual,Indie,RPG,Early Access</t>
  </si>
  <si>
    <t>Aviassembly</t>
  </si>
  <si>
    <t>PlanetSide 2</t>
  </si>
  <si>
    <t>ROMANCE OF THE THREE KINGDOMS 8 REMAKE</t>
  </si>
  <si>
    <t>Multi-player,MMO,PvP,Online PvP,Steam Trading Cards,Steam Cloud</t>
  </si>
  <si>
    <t>Ultimate General: Civil War</t>
  </si>
  <si>
    <t>Single-player,Steam Achievements,Steam Trading Cards,Custom Volume Controls,Adjustable Difficulty,Mouse Only Option,Playable without Timed Input,Save Anytime,Stereo Sound,Surround Sound,Partial Controller Support,Steam Cloud,Family Sharing</t>
  </si>
  <si>
    <t>EVGA Precision X1</t>
  </si>
  <si>
    <t>Increlution</t>
  </si>
  <si>
    <t>Out of Ore</t>
  </si>
  <si>
    <t>Indie,Early Access</t>
  </si>
  <si>
    <t>The Perfect Tower II</t>
  </si>
  <si>
    <t>Single-player,Multi-player,Co-op,Online Co-op,LAN Co-op,Partial Controller Support,Family Sharing</t>
  </si>
  <si>
    <t>Adventure,Casual,Simulation,Strategy</t>
  </si>
  <si>
    <t>Blacksmith Master</t>
  </si>
  <si>
    <t>Single-player,Steam Achievements,In-App Purchases,Color Alternatives,Custom Volume Controls,Playable without Timed Input,Save Anytime,Steam Cloud,Steam Leaderboards</t>
  </si>
  <si>
    <t>Action,Indie,Strategy,Free To Play</t>
  </si>
  <si>
    <t>Victoria II</t>
  </si>
  <si>
    <t>Single-player,Steam Achievements,Steam Trading Cards,Adjustable Text Size,Camera Comfort,Custom Volume Controls,Adjustable Difficulty,Mouse Only Option,Save Anytime,Steam Cloud,Family Sharing</t>
  </si>
  <si>
    <t>X-Plane 12</t>
  </si>
  <si>
    <t>Far Cry 3</t>
  </si>
  <si>
    <t>Single-player,Multi-player,Co-op,LAN Co-op,Tracked Controller Support,VR Supported,Partial Controller Support,Family Sharing</t>
  </si>
  <si>
    <t>Luma Island</t>
  </si>
  <si>
    <t>ｹ､ (Night of Full Moon)</t>
  </si>
  <si>
    <t>Single-player,Multi-player,Co-op,Online Co-op,Steam Achievements,Full controller support,Custom Volume Controls,Adjustable Difficulty,Playable without Timed Input,Save Anytime,Stereo Sound,Surround Sound,Steam Cloud,Stats,Family Sharing</t>
  </si>
  <si>
    <t>Microsoft Flight Simulator X: Steam Edition</t>
  </si>
  <si>
    <t>Adventure,Indie,Strategy,Free To Play</t>
  </si>
  <si>
    <t>WRC 7 FIA World Rally Championship</t>
  </si>
  <si>
    <t>Single-player,Multi-player,Partial Controller Support,Family Sharing</t>
  </si>
  <si>
    <t>City Car Driving</t>
  </si>
  <si>
    <t>Single-player,Multi-player,PvP,Online PvP,Shared/Split Screen PvP,Shared/Split Screen,Steam Achievements,Full controller support,Steam Trading Cards,Steam Cloud,Remote Play on TV,Remote Play Together,Family Sharing</t>
  </si>
  <si>
    <t>Cosmoteer: Starship Architect &amp; Commander</t>
  </si>
  <si>
    <t>Single-player,Steam Achievements,VR Supported,Steam Trading Cards,Steam Workshop,Partial Controller Support,Steam Cloud,Family Sharing</t>
  </si>
  <si>
    <t>From the Depths</t>
  </si>
  <si>
    <t>Single-player,Multi-player,PvP,Online PvP,LAN PvP,Co-op,Online Co-op,LAN Co-op,Steam Workshop,Camera Comfort,Color Alternatives,Custom Volume Controls,Adjustable Difficulty,Playable without Timed Input,Save Anytime,Steam Cloud,Family Sharing</t>
  </si>
  <si>
    <t>Age of History 3</t>
  </si>
  <si>
    <t>Single-player,Multi-player,PvP,Online PvP,Co-op,Online Co-op,Steam Achievements,Steam Trading Cards,Captions available,Steam Workshop,Partial Controller Support,Steam Leaderboards,Includes level editor,Family Sharing</t>
  </si>
  <si>
    <t>Action,Adventure,Indie,Simulation,Strategy</t>
  </si>
  <si>
    <t>Bopl Battle</t>
  </si>
  <si>
    <t>Single-player,Steam Achievements,Steam Workshop,Includes level editor,Family Sharing</t>
  </si>
  <si>
    <t>The Witcher 2: Assassins of Kings Enhanced Edition</t>
  </si>
  <si>
    <t>Multi-player,PvP,Online PvP,Shared/Split Screen PvP,Co-op,Online Co-op,Shared/Split Screen Co-op,Shared/Split Screen,Steam Achievements,Partial Controller Support,Remote Play Together,Family Sharing</t>
  </si>
  <si>
    <t>Blasphemous</t>
  </si>
  <si>
    <t>Single-player,Steam Achievements,Steam Trading Cards,Camera Comfort,Color Alternatives,Custom Volume Controls,Adjustable Difficulty,Playable without Timed Input,Save Anytime,Stereo Sound,Surround Sound,Partial Controller Support,Steam Cloud,Steam Leaderboards,Family Sharing</t>
  </si>
  <si>
    <t>Banished</t>
  </si>
  <si>
    <t>Conquest Dark</t>
  </si>
  <si>
    <t>Old World</t>
  </si>
  <si>
    <t>Action,Indie,RPG,Early Access</t>
  </si>
  <si>
    <t>Goat Simulator 3</t>
  </si>
  <si>
    <t>Single-player,Multi-player,PvP,Online PvP,Shared/Split Screen PvP,Co-op,Online Co-op,Shared/Split Screen Co-op,Shared/Split Screen,Cross-Platform Multiplayer,Steam Achievements,Steam Trading Cards,Steam Workshop,Adjustable Text Size,Camera Comfort,Color Alternatives,Custom Volume Controls,Adjustable Difficulty,Mouse Only Option,Playable without Timed Input,Save Anytime,Steam Cloud,Includes level editor,Remote Play Together,Family Sharing</t>
  </si>
  <si>
    <t>No More Room in Hell</t>
  </si>
  <si>
    <t>Single-player,Multi-player,Co-op,Online Co-op,Shared/Split Screen Co-op,Shared/Split Screen,Steam Achievements,Full controller support,Steam Trading Cards,Captions available,Steam Cloud,Family Sharing</t>
  </si>
  <si>
    <t>Adventure,Casual,Simulation</t>
  </si>
  <si>
    <t>Satisfactory Modeler</t>
  </si>
  <si>
    <t>Multi-player,Co-op,Cross-Platform Multiplayer,Steam Achievements,Captions available,VR Support,Steam Workshop,Partial Controller Support,Steam Cloud,Valve Anti-Cheat enabled,Includes level editor,Includes Source SDK</t>
  </si>
  <si>
    <t>Yet Another Zombie Survivors</t>
  </si>
  <si>
    <t>Yakuza: Like a Dragon</t>
  </si>
  <si>
    <t>Single-player,Steam Achievements,Full controller support,Camera Comfort,Color Alternatives,Custom Volume Controls,Adjustable Difficulty,Keyboard Only Option,Mouse Only Option,Playable without Timed Input,Steam Cloud,Steam Leaderboards,Remote Play on TV,Family Sharing</t>
  </si>
  <si>
    <t>Ascension</t>
  </si>
  <si>
    <t>Outward Definitive Edition</t>
  </si>
  <si>
    <t>Strategy,Early Access</t>
  </si>
  <si>
    <t>ATLAS</t>
  </si>
  <si>
    <t>Single-player,Multi-player,Co-op,Online Co-op,Shared/Split Screen Co-op,Shared/Split Screen,Steam Achievements,Full controller support,Steam Trading Cards,Stats,Remote Play Together,Family Sharing</t>
  </si>
  <si>
    <t>UNCHARTED: Legacy of Thieves Collection</t>
  </si>
  <si>
    <t>Single-player,Multi-player,MMO,PvP,Online PvP,Co-op,Online Co-op,Full controller support,Steam Workshop,Includes level editor,Family Sharing</t>
  </si>
  <si>
    <t>Atomic Heart</t>
  </si>
  <si>
    <t>Single-player,Steam Achievements,Full controller support,Custom Volume Controls,Adjustable Difficulty,Save Anytime,Stereo Sound,Surround Sound,Steam Cloud,Remote Play on TV,Family Sharing</t>
  </si>
  <si>
    <t>Powernaut VANGARDT</t>
  </si>
  <si>
    <t>Single-player,Steam Achievements,Full controller support,Steam Trading Cards,Adjustable Text Size,Camera Comfort,Color Alternatives,Custom Volume Controls,Adjustable Difficulty,Playable without Timed Input,Stereo Sound,Surround Sound,Steam Cloud,Family Sharing</t>
  </si>
  <si>
    <t>Diplomacy is Not an Option</t>
  </si>
  <si>
    <t>Single-player,Steam Achievements,Steam Trading Cards,Partial Controller Support,Family Sharing</t>
  </si>
  <si>
    <t>Big Ambitions</t>
  </si>
  <si>
    <t>EverQuest</t>
  </si>
  <si>
    <t>Lootun</t>
  </si>
  <si>
    <t>Railroader</t>
  </si>
  <si>
    <t>Dragon Age Inquisition</t>
  </si>
  <si>
    <t>Single-player,Multi-player,Co-op,Online Co-op,Steam Cloud,Family Sharing</t>
  </si>
  <si>
    <t>SULFUR</t>
  </si>
  <si>
    <t>Single-player,Multi-player,Co-op,Online Co-op,Steam Achievements,Full controller support,Steam Trading Cards</t>
  </si>
  <si>
    <t>Undawn</t>
  </si>
  <si>
    <t>Action,Adventure,Indie,RPG,Simulation,Early Access</t>
  </si>
  <si>
    <t>Angel Legion</t>
  </si>
  <si>
    <t>Multi-player,MMO,PvP,Online PvP,Co-op,Online Co-op,Cross-Platform Multiplayer,In-App Purchases</t>
  </si>
  <si>
    <t>Rising Storm 2: Vietnam</t>
  </si>
  <si>
    <t>Single-player,Multi-player,MMO,PvP,Online PvP,Co-op,Online Co-op,In-App Purchases</t>
  </si>
  <si>
    <t>Adventure,RPG,Strategy,Free To Play</t>
  </si>
  <si>
    <t>WRC 9 FIA World Rally Championship</t>
  </si>
  <si>
    <t>Multi-player,PvP,Online PvP,Steam Achievements,Steam Trading Cards,Steam Workshop,In-App Purchases,Stats,Includes level editor,Family Sharing</t>
  </si>
  <si>
    <t>Action,Massively Multiplayer,Simulation,Strategy</t>
  </si>
  <si>
    <t>DEVOUR</t>
  </si>
  <si>
    <t>Single-player,Multi-player,PvP,Online PvP,Shared/Split Screen PvP,Co-op,Online Co-op,Shared/Split Screen,Cross-Platform Multiplayer,Steam Achievements,Full controller support,Steam Cloud,Remote Play Together,Family Sharing</t>
  </si>
  <si>
    <t>Cossacks 3</t>
  </si>
  <si>
    <t>Single-player,Multi-player,Co-op,Online Co-op,Steam Achievements,Full controller support,Tracked Controller Support,VR Supported,Steam Trading Cards,Steam Cloud,Family Sharing</t>
  </si>
  <si>
    <t>OpenTTD</t>
  </si>
  <si>
    <t>Single-player,Multi-player,PvP,Online PvP,Co-op,Online Co-op,Steam Achievements,Steam Trading Cards,Steam Workshop,Steam Cloud,Includes level editor,Commentary available,Family Sharing</t>
  </si>
  <si>
    <t>Cricket 24</t>
  </si>
  <si>
    <t>Single-player,Multi-player,PvP,Online PvP,LAN PvP,Co-op,Online Co-op,LAN Co-op,Cross-Platform Multiplayer</t>
  </si>
  <si>
    <t>Castle Crashers</t>
  </si>
  <si>
    <t>Single-player,Multi-player,PvP,Online PvP,Shared/Split Screen PvP,Co-op,Online Co-op,Shared/Split Screen Co-op,Shared/Split Screen,Cross-Platform Multiplayer,Steam Achievements,Full controller support,Steam Cloud,Family Sharing</t>
  </si>
  <si>
    <t>CODE VEIN</t>
  </si>
  <si>
    <t>Single-player,Multi-player,PvP,Online PvP,Shared/Split Screen PvP,Co-op,Online Co-op,Shared/Split Screen Co-op,Shared/Split Screen,Steam Achievements,Full controller support,Steam Trading Cards,Steam Workshop,Custom Volume Controls,Stereo Sound,Steam Cloud,Steam Leaderboards,Remote Play on Phone,Remote Play on Tablet,Remote Play on TV,Remote Play Together,Family Sharing</t>
  </si>
  <si>
    <t>Karos</t>
  </si>
  <si>
    <t>Single-player,Multi-player,Co-op,Online Co-op,Steam Achievements,Steam Trading Cards,Partial Controller Support,Steam Cloud,Family Sharing</t>
  </si>
  <si>
    <t>Middle-earth: Shadow of Mordor</t>
  </si>
  <si>
    <t>Multi-player,MMO,PvP,Online PvP,Co-op,Online Co-op,Steam Trading Cards,In-App Purchases</t>
  </si>
  <si>
    <t>The Ranch of Rivershine</t>
  </si>
  <si>
    <t>Multi-player,MMO,Steam Achievements,Steam Cloud,Stats,Steam Leaderboards</t>
  </si>
  <si>
    <t>Action,Indie,Massively Multiplayer,RPG</t>
  </si>
  <si>
    <t>Nuclear Option</t>
  </si>
  <si>
    <t>Hotline Miami 2: Wrong Number</t>
  </si>
  <si>
    <t>Single-player,Multi-player,PvP,Online PvP,Co-op,Online Co-op,Steam Workshop,Partial Controller Support,Includes level editor,Family Sharing</t>
  </si>
  <si>
    <t>Action,Indie,Simulation,Early Access</t>
  </si>
  <si>
    <t>Borderlands: The Pre-Sequel</t>
  </si>
  <si>
    <t>Single-player,Steam Achievements,Full controller support,Steam Workshop,Steam Cloud,Steam Leaderboards,Includes level editor,Remote Play on TV,Family Sharing</t>
  </si>
  <si>
    <t>Marvel's Midnight Suns</t>
  </si>
  <si>
    <t>Single-player,Multi-player,Co-op,Steam Achievements,Full controller support,Steam Trading Cards,Steam Cloud,Remote Play on TV,Family Sharing</t>
  </si>
  <si>
    <t>Maltese's Fluffy Onsen</t>
  </si>
  <si>
    <t>Single-player,Steam Achievements,Full controller support,In-App Purchases,Family Sharing</t>
  </si>
  <si>
    <t>Wargame: Red Dragon</t>
  </si>
  <si>
    <t>Call of Duty: World at War</t>
  </si>
  <si>
    <t>Single-player,Multi-player,PvP,Online PvP,Co-op,Online Co-op,Steam Trading Cards,Steam Cloud,Family Sharing</t>
  </si>
  <si>
    <t>FireAlpaca SE</t>
  </si>
  <si>
    <t>Single-player,Multi-player,Co-op,Family Sharing</t>
  </si>
  <si>
    <t>Zombie Army 4: Dead War</t>
  </si>
  <si>
    <t>Steam Trading Cards</t>
  </si>
  <si>
    <t>Design &amp; Illustration,Photo Editing</t>
  </si>
  <si>
    <t>RaceRoom Racing Experience</t>
  </si>
  <si>
    <t>Single-player,Multi-player,Co-op,Online Co-op,Steam Achievements,In-App Purchases,Partial Controller Support,Steam Cloud,Steam Leaderboards,Family Sharing</t>
  </si>
  <si>
    <t>DYSMANTLE</t>
  </si>
  <si>
    <t>Single-player,Multi-player,PvP,Online PvP,VR Supported,Steam Trading Cards,In-App Purchases,Partial Controller Support</t>
  </si>
  <si>
    <t>Racing,Simulation,Sports,Free To Play</t>
  </si>
  <si>
    <t>Gloomhaven</t>
  </si>
  <si>
    <t>PGA TOUR 2K23</t>
  </si>
  <si>
    <t>Single-player,Multi-player,Co-op,Online Co-op,Full controller support,Steam Trading Cards,Steam Workshop,Steam Cloud,Includes level editor,Family Sharing</t>
  </si>
  <si>
    <t>Roboquest</t>
  </si>
  <si>
    <t>Single-player,Multi-player,PvP,Online PvP,Shared/Split Screen PvP,Co-op,Online Co-op,Shared/Split Screen Co-op,Shared/Split Screen,Steam Achievements,Full controller support,In-App Purchases,Family Sharing</t>
  </si>
  <si>
    <t>Contraband Police</t>
  </si>
  <si>
    <t>Single-player,Multi-player,Co-op,Online Co-op,Cross-Platform Multiplayer,Steam Achievements,Full controller support,Steam Trading Cards,Camera Comfort,Custom Volume Controls,Adjustable Difficulty,Stereo Sound,Steam Cloud,Family Sharing</t>
  </si>
  <si>
    <t>Cubic Odyssey</t>
  </si>
  <si>
    <t>Single-player,Steam Achievements,Full controller support,Steam Cloud,Stats,Family Sharing</t>
  </si>
  <si>
    <t>VRoid Studio v2.7.0</t>
  </si>
  <si>
    <t>Single-player,Multi-player,Co-op,Online Co-op,LAN Co-op,Steam Achievements,Full controller support,Steam Trading Cards,Steam Workshop,Adjustable Text Size,Camera Comfort,Custom Volume Controls,Playable without Timed Input,Save Anytime,Steam Cloud,Remote Play on TV,Family Sharing,Steam Timeline</t>
  </si>
  <si>
    <t>For The King</t>
  </si>
  <si>
    <t>Doki Doki Literature Club!</t>
  </si>
  <si>
    <t>Single-player,Multi-player,PvP,Online PvP,Shared/Split Screen PvP,Co-op,Online Co-op,Shared/Split Screen Co-op,Shared/Split Screen,Steam Achievements,Full controller support,Steam Trading Cards,Adjustable Difficulty,Keyboard Only Option,Mouse Only Option,Save Anytime,Steam Cloud,Remote Play on Phone,Remote Play on Tablet,Remote Play on TV,Remote Play Together,Family Sharing</t>
  </si>
  <si>
    <t>gogh: Focus with Your Avatar</t>
  </si>
  <si>
    <t>Single-player,Remote Play on Phone,Remote Play on Tablet</t>
  </si>
  <si>
    <t>Casual,Free To Play,Indie</t>
  </si>
  <si>
    <t>Fights in Tight Spaces</t>
  </si>
  <si>
    <t>Action,Adventure,Casual,Indie,RPG,Simulation,Sports,Free To Play</t>
  </si>
  <si>
    <t>Mortal Kombat X</t>
  </si>
  <si>
    <t>Caves of Qud</t>
  </si>
  <si>
    <t>Single-player,Multi-player,PvP,Shared/Split Screen PvP,Steam Achievements,Full controller support,Steam Trading Cards,Steam Cloud,Steam Leaderboards,Remote Play on Phone,Remote Play on Tablet,Remote Play on TV,Remote Play Together,Family Sharing</t>
  </si>
  <si>
    <t>DRAGON QUEST BUILDERS 2</t>
  </si>
  <si>
    <t>Single-player,Steam Achievements,Full controller support,Steam Workshop,Steam Cloud,Steam Leaderboards,Includes level editor,Family Sharing</t>
  </si>
  <si>
    <t>S.T.A.L.K.E.R.: Shadow of Chornobyl - Enhanced Edition</t>
  </si>
  <si>
    <t>Single-player,Multi-player,Co-op,Online Co-op,Steam Achievements,Full controller support,Steam Trading Cards,Steam Cloud,Stats,Remote Play on Tablet,Family Sharing</t>
  </si>
  <si>
    <t>The Last Spell</t>
  </si>
  <si>
    <t>Single-player,Steam Achievements,Full controller support,Steam Workshop,Adjustable Difficulty,Save Anytime,Stereo Sound,Steam Cloud,Family Sharing</t>
  </si>
  <si>
    <t>STAR WARS Knights of the Old Republic</t>
  </si>
  <si>
    <t>Single-player,Steam Achievements,Steam Trading Cards,Adjustable Text Size,Camera Comfort,Custom Volume Controls,Adjustable Difficulty,Partial Controller Support,Steam Cloud,Family Sharing</t>
  </si>
  <si>
    <t>Liftoff: FPV Drone Racing</t>
  </si>
  <si>
    <t>Beat Saber</t>
  </si>
  <si>
    <t>Single-player,Multi-player,PvP,Online PvP,Steam Achievements,Steam Trading Cards,Steam Workshop,Partial Controller Support,Includes level editor,Family Sharing</t>
  </si>
  <si>
    <t>Bodycam</t>
  </si>
  <si>
    <t>Single-player,Multi-player,PvP,Online PvP,Tracked Controller Support,VR Only,Steam Leaderboards,Family Sharing</t>
  </si>
  <si>
    <t>A Little to the Left</t>
  </si>
  <si>
    <t>Multi-player,PvP,Online PvP,In-App Purchases,Stats,Steam Leaderboards,Family Sharing</t>
  </si>
  <si>
    <t>Action,Indie,Massively Multiplayer,Simulation,Strategy,Early Access</t>
  </si>
  <si>
    <t>theHunter Classic</t>
  </si>
  <si>
    <t>Single-player,Steam Achievements,Full controller support,Steam Trading Cards,Camera Comfort,Color Alternatives,Custom Volume Controls,Adjustable Difficulty,Keyboard Only Option,Mouse Only Option,Playable without Timed Input,Touch Only Option,Steam Cloud,Family Sharing</t>
  </si>
  <si>
    <t>Wolfenstein: The New Order</t>
  </si>
  <si>
    <t>Single-player,Multi-player,Co-op,Online Co-op,Steam Achievements,In-App Purchases</t>
  </si>
  <si>
    <t>Action,Adventure,Free To Play,Simulation,Sports</t>
  </si>
  <si>
    <t>Papers, Please</t>
  </si>
  <si>
    <t>Single-player,Steam Achievements,Playable without Timed Input,Stereo Sound,Surround Sound,Partial Controller Support,Steam Leaderboards,Family Sharing</t>
  </si>
  <si>
    <t>Mad Island</t>
  </si>
  <si>
    <t>Single-player,Steam Achievements,Steam Trading Cards,Steam Cloud,Stats,Steam Leaderboards,Remote Play on Phone,Remote Play on Tablet,Family Sharing</t>
  </si>
  <si>
    <t>Battle Teams 2</t>
  </si>
  <si>
    <t>Action,Indie,RPG,Simulation,Early Access</t>
  </si>
  <si>
    <t>Onmyoji</t>
  </si>
  <si>
    <t>Single-player,Multi-player,MMO,PvP,Online PvP,Co-op,Online Co-op,Steam Trading Cards,In-App Purchases</t>
  </si>
  <si>
    <t>The Sims 2 Legacy Collection</t>
  </si>
  <si>
    <t>Multi-player,MMO,Steam Achievements,Steam Trading Cards,In-App Purchases</t>
  </si>
  <si>
    <t>HUMANKIND</t>
  </si>
  <si>
    <t>LOCKDOWN Protocol</t>
  </si>
  <si>
    <t>Single-player,Multi-player,PvP,Online PvP,Steam Achievements,Steam Trading Cards,Steam Cloud,Includes level editor,Family Sharing</t>
  </si>
  <si>
    <t>Dead Island Definitive Edition</t>
  </si>
  <si>
    <t>Multi-player,PvP,Online PvP,Co-op,Online Co-op,Steam Trading Cards,Family Sharing</t>
  </si>
  <si>
    <t>Shin Megami Tensei V: Vengeance</t>
  </si>
  <si>
    <t>Single-player,Multi-player,Co-op,Online Co-op,Steam Achievements,Full controller support,Steam Trading Cards,Captions available,Steam Cloud,Stats,Remote Play on TV,Family Sharing</t>
  </si>
  <si>
    <t>Symphony of War: The Nephilim Saga</t>
  </si>
  <si>
    <t>Zenkcraft</t>
  </si>
  <si>
    <t>Riichi City ﾃ The Quintessential Quintuplets Specials 2</t>
  </si>
  <si>
    <t>Adventure,Casual</t>
  </si>
  <si>
    <t>Cry of Fear</t>
  </si>
  <si>
    <t>Hotline Miami</t>
  </si>
  <si>
    <t>Single-player,Multi-player,Co-op,Steam Cloud,Valve Anti-Cheat enabled</t>
  </si>
  <si>
    <t>Gothic II: Gold Edition</t>
  </si>
  <si>
    <t>Dome Keeper</t>
  </si>
  <si>
    <t>Elsword</t>
  </si>
  <si>
    <t>Single-player,Steam Achievements,Full controller support,Steam Trading Cards,Steam Workshop,Steam Cloud,Steam Leaderboards,Family Sharing</t>
  </si>
  <si>
    <t>Worlds of Magic</t>
  </si>
  <si>
    <t>Single-player,Multi-player,MMO,PvP,Online PvP,Co-op,Partial Controller Support</t>
  </si>
  <si>
    <t>Empires of the Undergrowth</t>
  </si>
  <si>
    <t>Single-player,Multi-player,Co-op,Shared/Split Screen,Steam Achievements,Steam Trading Cards,Remote Play Together,Family Sharing</t>
  </si>
  <si>
    <t>Call of Duty: Modern Warfare 2 (2009)</t>
  </si>
  <si>
    <t>OCTOPATH TRAVELER II</t>
  </si>
  <si>
    <t>Single-player,Multi-player,Co-op,Steam Achievements,Steam Cloud,Valve Anti-Cheat enabled,Family Sharing</t>
  </si>
  <si>
    <t>Solasta: Crown of the Magister</t>
  </si>
  <si>
    <t>Dragon Age: Origins - Ultimate Edition</t>
  </si>
  <si>
    <t>Single-player,Multi-player,Co-op,Online Co-op,Cross-Platform Multiplayer,Steam Achievements,Full controller support,Steam Workshop,Custom Volume Controls,Adjustable Difficulty,Mouse Only Option,Playable without Timed Input,Save Anytime,Stereo Sound,Subtitle Options,Surround Sound,Steam Cloud,Includes level editor,Family Sharing</t>
  </si>
  <si>
    <t>Sifu</t>
  </si>
  <si>
    <t>MechWarrior Online Legends</t>
  </si>
  <si>
    <t>Barony</t>
  </si>
  <si>
    <t>Multi-player,MMO,Steam Achievements,In-App Purchases</t>
  </si>
  <si>
    <t>Standable: Full Body Estimation</t>
  </si>
  <si>
    <t>Single-player,Multi-player,Co-op,Online Co-op,LAN Co-op,Shared/Split Screen Co-op,Shared/Split Screen,Cross-Platform Multiplayer,Steam Achievements,Full controller support,Steam Trading Cards,Steam Workshop,Includes level editor,Remote Play Together,Family Sharing</t>
  </si>
  <si>
    <t>Watch_Dogs</t>
  </si>
  <si>
    <t>VR Only</t>
  </si>
  <si>
    <t>Indie,Utilities</t>
  </si>
  <si>
    <t>Bejeweled 3</t>
  </si>
  <si>
    <t>Single-player,Multi-player,Steam Achievements,Steam Trading Cards,Partial Controller Support</t>
  </si>
  <si>
    <t>Project Hospital</t>
  </si>
  <si>
    <t>Divinity: Original Sin - Enhanced Edition</t>
  </si>
  <si>
    <t>Single-player,Steam Achievements,Steam Trading Cards,Steam Workshop,Steam Cloud,Stats,Family Sharing</t>
  </si>
  <si>
    <t>FINAL FANTASY VII</t>
  </si>
  <si>
    <t>Single-player,Multi-player,Co-op,Shared/Split Screen,Cross-Platform Multiplayer,Steam Achievements,Full controller support,Steam Trading Cards,Captions available,Steam Cloud,Remote Play Together,Family Sharing</t>
  </si>
  <si>
    <t>Clanfolk</t>
  </si>
  <si>
    <t>Kingdom Rush 5: Alliance TD</t>
  </si>
  <si>
    <t>Single-player,Adjustable Text Size,Custom Volume Controls,Adjustable Difficulty,Save Anytime,Stereo Sound,Steam Cloud,Family Sharing</t>
  </si>
  <si>
    <t>RPG,Simulation,Strategy,Early Access</t>
  </si>
  <si>
    <t>Rise of the Ronin</t>
  </si>
  <si>
    <t>NARUTO SHIPPUDEN: Ultimate Ninja STORM 4</t>
  </si>
  <si>
    <t>Single-player,Multi-player,Co-op,Online Co-op,Steam Achievements,Steam Trading Cards,Captions available,Partial Controller Support,Steam Cloud,Steam Leaderboards,Family Sharing</t>
  </si>
  <si>
    <t>RTX 2080 SUPER</t>
  </si>
  <si>
    <t>Sea Power : Naval Combat in the Missile Age</t>
  </si>
  <si>
    <t>Single-player,Multi-player,PvP,Shared/Split Screen PvP,Steam Achievements,Full controller support,Steam Cloud,Steam Leaderboards,Remote Play on Phone,Remote Play on Tablet,Remote Play on TV,Remote Play Together,Family Sharing</t>
  </si>
  <si>
    <t>LurkBait Twitch Fishing</t>
  </si>
  <si>
    <t>Town of Salem 2</t>
  </si>
  <si>
    <t>Casual,Indie,Simulation,Sports</t>
  </si>
  <si>
    <t>X-Plane 11</t>
  </si>
  <si>
    <t>Action,Casual,RPG,Strategy,Free To Play</t>
  </si>
  <si>
    <t>Forts</t>
  </si>
  <si>
    <t>Single-player,Multi-player,PvP,Shared/Split Screen PvP,Tracked Controller Support,VR Supported,Partial Controller Support,Includes level editor,Family Sharing</t>
  </si>
  <si>
    <t>The Forever Winter</t>
  </si>
  <si>
    <t>Single-player,Multi-player,PvP,Online PvP,LAN PvP,Co-op,Online Co-op,LAN Co-op,Steam Achievements,Steam Trading Cards,Captions available,Steam Workshop,Steam Cloud,Steam Leaderboards,Includes level editor,Family Sharing</t>
  </si>
  <si>
    <t>Action,Indie,Strategy</t>
  </si>
  <si>
    <t>Warhammer 40,000: Battlesector</t>
  </si>
  <si>
    <t>Single-player,Multi-player,Co-op,Online Co-op,Partial Controller Support,Family Sharing</t>
  </si>
  <si>
    <t>RTX 3080 Ti</t>
  </si>
  <si>
    <t>Baldur's Gate: Enhanced Edition</t>
  </si>
  <si>
    <t>Single-player,Multi-player,PvP,Online PvP,Shared/Split Screen PvP,Shared/Split Screen,Steam Achievements,Partial Controller Support,Steam Cloud,Remote Play Together,Family Sharing</t>
  </si>
  <si>
    <t>Call of Duty 4: Modern Warfare (2007)</t>
  </si>
  <si>
    <t>Single-player,Multi-player,Co-op,Cross-Platform Multiplayer,Steam Achievements,Steam Trading Cards,Steam Cloud,Family Sharing</t>
  </si>
  <si>
    <t>Marvel's Spider-Man: Miles Morales</t>
  </si>
  <si>
    <t>The Long Drive</t>
  </si>
  <si>
    <t>Gang Beasts</t>
  </si>
  <si>
    <t>Single-player,Remote Play Together,Family Sharing</t>
  </si>
  <si>
    <t>Action,Adventure,Casual,Indie,Simulation,Early Access</t>
  </si>
  <si>
    <t>Hydroneer</t>
  </si>
  <si>
    <t>Multi-player,PvP,Online PvP,Shared/Split Screen PvP,Shared/Split Screen,Steam Achievements,Full controller support,Remote Play on Phone,Remote Play on Tablet,Remote Play on TV,Remote Play Together,Family Sharing</t>
  </si>
  <si>
    <t>For The King II</t>
  </si>
  <si>
    <t>Single-player,Multi-player,Co-op,Shared/Split Screen Co-op,Shared/Split Screen,Steam Achievements,Steam Trading Cards,Steam Workshop,Partial Controller Support,Steam Cloud,Remote Play Together,Family Sharing</t>
  </si>
  <si>
    <t>Warhammer 40,000: Chaos Gate - Daemonhunters</t>
  </si>
  <si>
    <t>Single-player,Multi-player,Co-op,Online Co-op,Shared/Split Screen Co-op,Shared/Split Screen,Cross-Platform Multiplayer,Steam Achievements,Full controller support,Steam Trading Cards,Adjustable Text Size,Camera Comfort,Custom Volume Controls,Adjustable Difficulty,Keyboard Only Option,Mouse Only Option,Save Anytime,Steam Cloud,Remote Play Together,Family Sharing</t>
  </si>
  <si>
    <t>Thronefall</t>
  </si>
  <si>
    <t>Assassin's Creed Unity</t>
  </si>
  <si>
    <t>Single-player,Steam Achievements,Full controller support,Steam Cloud,Steam Leaderboards,Family Sharing</t>
  </si>
  <si>
    <t>Motorsport Manager</t>
  </si>
  <si>
    <t>Single-player,Multi-player,Co-op,Steam Achievements,In-App Purchases,Custom Volume Controls,Adjustable Difficulty,Mouse Only Option,Playable without Timed Input,Save Anytime,Stereo Sound,Surround Sound,Partial Controller Support</t>
  </si>
  <si>
    <t>The Lord of the Rings: Return to Moria</t>
  </si>
  <si>
    <t>Racing,Simulation,Sports,Strategy</t>
  </si>
  <si>
    <t>Hero Siege</t>
  </si>
  <si>
    <t>Counter-Strike Nexon</t>
  </si>
  <si>
    <t>Single-player,Multi-player,Co-op,Online Co-op,Shared/Split Screen Co-op,Shared/Split Screen,Cross-Platform Multiplayer,Steam Achievements,Full controller support,Steam Trading Cards,In-App Purchases,Steam Cloud,Remote Play on TV,Remote Play Together</t>
  </si>
  <si>
    <t>EARTH DEFENSE FORCE 6</t>
  </si>
  <si>
    <t>Single-player,Multi-player,MMO,Co-op,Steam Achievements,Steam Trading Cards,Captions available,In-App Purchases</t>
  </si>
  <si>
    <t>Action,Casual,Indie,Massively Multiplayer,Free To Play</t>
  </si>
  <si>
    <t>Night of the Dead</t>
  </si>
  <si>
    <t>Pizza Tower</t>
  </si>
  <si>
    <t>Single-player,Multi-player,PvP,Online PvP,LAN PvP,Co-op,Online Co-op,LAN Co-op,Partial Controller Support,Steam Cloud,Family Sharing</t>
  </si>
  <si>
    <t>Dorfromantik</t>
  </si>
  <si>
    <t>Star Wars Outlaws</t>
  </si>
  <si>
    <t>BioShock Remastered</t>
  </si>
  <si>
    <t>Single-player,Steam Achievements,Full controller support,Captions available,In-App Purchases,HDR available</t>
  </si>
  <si>
    <t>Super Animal Royale</t>
  </si>
  <si>
    <t>Single-player,Steam Achievements,Full controller support,Steam Trading Cards,Steam Cloud,Commentary available,Remote Play on Phone,Remote Play on Tablet,Remote Play on TV,Family Sharing</t>
  </si>
  <si>
    <t>Jagged Alliance 3</t>
  </si>
  <si>
    <t>Multi-player,PvP,Online PvP,Co-op,Online Co-op,Cross-Platform Multiplayer,Steam Achievements,Full controller support,Steam Trading Cards,In-App Purchases,Steam Cloud,Stats,Remote Play on TV</t>
  </si>
  <si>
    <t>Action,Adventure,Casual,Indie,Massively Multiplayer,Free To Play</t>
  </si>
  <si>
    <t>Vampire: The Masquerade - Bloodhunt</t>
  </si>
  <si>
    <t>Resident Evil 3</t>
  </si>
  <si>
    <t>Multi-player,PvP,Online PvP,Cross-Platform Multiplayer,Steam Achievements,Full controller support,In-App Purchases</t>
  </si>
  <si>
    <t>Command &amp; Conquer Red Alert 3</t>
  </si>
  <si>
    <t>Single-player,Multi-player,PvP,Online PvP,Steam Achievements,Full controller support,Steam Trading Cards,Steam Cloud,Remote Play on Tablet,HDR available,Family Sharing</t>
  </si>
  <si>
    <t>Ithya: Magic Studies</t>
  </si>
  <si>
    <t>Halls of Torment</t>
  </si>
  <si>
    <t>Terraforming Mars</t>
  </si>
  <si>
    <t>Single-player,Steam Achievements,Full controller support,Steam Trading Cards,Custom Volume Controls,Keyboard Only Option,Mouse Only Option,Playable without Timed Input,Steam Cloud,Family Sharing</t>
  </si>
  <si>
    <t>ENDLESS Space 2</t>
  </si>
  <si>
    <t>Single-player,Multi-player,PvP,Online PvP,Shared/Split Screen PvP,Steam Achievements,Steam Turn Notifications,Remote Play Together,Family Sharing</t>
  </si>
  <si>
    <t>Haste</t>
  </si>
  <si>
    <t>Single-player,Multi-player,PvP,Online PvP,Cross-Platform Multiplayer,Steam Achievements,Steam Trading Cards,Steam Workshop,Steam Cloud,Remote Play on Tablet,Family Sharing</t>
  </si>
  <si>
    <t>Rebel Inc: Escalation</t>
  </si>
  <si>
    <t>Action,Adventure,Indie,Racing</t>
  </si>
  <si>
    <t>JoJo's Bizarre Adventure: All-Star Battle R</t>
  </si>
  <si>
    <t>Single-player,Multi-player,PvP,Online PvP,Co-op,Online Co-op,Cross-Platform Multiplayer,Steam Achievements,Steam Trading Cards,Steam Workshop,Camera Comfort,Custom Volume Controls,Adjustable Difficulty,Mouse Only Option,Playable without Timed Input,Save Anytime,Stereo Sound,Steam Cloud,Stats,Steam Leaderboards,Includes level editor,Family Sharing</t>
  </si>
  <si>
    <t>Universe Sandbox</t>
  </si>
  <si>
    <t>Single-player,Multi-player,Co-op,Shared/Split Screen Co-op,Shared/Split Screen,Steam Achievements,Full controller support,Steam Trading Cards,Steam Cloud,Steam Leaderboards,Remote Play Together,Family Sharing</t>
  </si>
  <si>
    <t>Call of Duty: Modern Warfare 3 (2011)</t>
  </si>
  <si>
    <t>Single-player,Steam Workshop,Adjustable Text Size,Custom Volume Controls,Mouse Only Option,Playable without Timed Input,Save Anytime,Touch Only Option,Partial Controller Support,Steam Cloud,Family Sharing</t>
  </si>
  <si>
    <t>iRacing</t>
  </si>
  <si>
    <t>Tower of Fantasy</t>
  </si>
  <si>
    <t>Single-player,Multi-player,MMO,PvP,Online PvP,VR Support,Partial Controller Support,Family Sharing</t>
  </si>
  <si>
    <t>Golf It!</t>
  </si>
  <si>
    <t>Dungeon Defenders II</t>
  </si>
  <si>
    <t>Single-player,Multi-player,PvP,Online PvP,Shared/Split Screen PvP,Cross-Platform Multiplayer,Steam Achievements,Tracked Controller Support,VR Supported,Steam Trading Cards,Steam Workshop,Partial Controller Support,Steam Cloud,Stats,Steam Leaderboards,Includes level editor,Remote Play on Phone,Remote Play on Tablet,Remote Play Together,Family Sharing</t>
  </si>
  <si>
    <t>Spyro Reignited Trilogy</t>
  </si>
  <si>
    <t>Single-player,Multi-player,Co-op,Online Co-op,Steam Achievements,Steam Trading Cards,Partial Controller Support</t>
  </si>
  <si>
    <t>Action,Indie,RPG,Strategy,Free To Play</t>
  </si>
  <si>
    <t>FINAL FANTASY IX</t>
  </si>
  <si>
    <t>Better Mart Simulator</t>
  </si>
  <si>
    <t>Ultimate Chicken Horse</t>
  </si>
  <si>
    <t>Single-player,Multi-player,Co-op,Online Co-op,Steam Achievements,Full controller support,Color Alternatives,Custom Volume Controls,Playable without Timed Input,Save Anytime,Stereo Sound,Steam Cloud,Stats,Family Sharing</t>
  </si>
  <si>
    <t>GROUND BRANCH</t>
  </si>
  <si>
    <t>Multi-player,PvP,Online PvP,Shared/Split Screen PvP,Co-op,Online Co-op,Shared/Split Screen Co-op,Shared/Split Screen,Cross-Platform Multiplayer,Steam Achievements,Full controller support,Steam Trading Cards,Steam Cloud,Includes level editor,Remote Play on TV,Remote Play Together,Family Sharing</t>
  </si>
  <si>
    <t>Fisher Online</t>
  </si>
  <si>
    <t>Loop Hero</t>
  </si>
  <si>
    <t>Multi-player,MMO,PvP,Co-op,Steam Achievements,Steam Workshop,In-App Purchases,Partial Controller Support,Family Sharing</t>
  </si>
  <si>
    <t>Stacklands</t>
  </si>
  <si>
    <t>Look Outside</t>
  </si>
  <si>
    <t>Command &amp; Conquer 3: Kane's Wrath</t>
  </si>
  <si>
    <t>Easy Red 2</t>
  </si>
  <si>
    <t>Single-player,Multi-player,Steam Workshop,Steam Cloud,Includes level editor,Family Sharing</t>
  </si>
  <si>
    <t>DOOM + DOOM II</t>
  </si>
  <si>
    <t>Single-player,Multi-player,PvP,Online PvP,Co-op,Online Co-op,Cross-Platform Multiplayer,Steam Achievements,Full controller support,Steam Trading Cards,Steam Workshop,Steam Workshop,Steam Cloud,Includes level editor,Family Sharing</t>
  </si>
  <si>
    <t>Hotel Architect</t>
  </si>
  <si>
    <t>Single-player,Multi-player,PvP,Online PvP,LAN PvP,Shared/Split Screen PvP,Co-op,Online Co-op,LAN Co-op,Shared/Split Screen Co-op,Shared/Split Screen,Cross-Platform Multiplayer,Full controller support,Camera Comfort,Custom Volume Controls,Adjustable Difficulty,Keyboard Only Option,Stereo Sound,Steam Cloud,Remote Play Together,Family Sharing</t>
  </si>
  <si>
    <t>The Killing Antidote</t>
  </si>
  <si>
    <t>Single-player,Steam Achievements,Steam Trading Cards,Camera Comfort,Color Alternatives,Custom Volume Controls,Mouse Only Option,Playable without Timed Input,Save Anytime,Steam Cloud,Family Sharing</t>
  </si>
  <si>
    <t>ACE COMBAT 7: SKIES UNKNOWN</t>
  </si>
  <si>
    <t>Ages of Conflict: World War Simulator</t>
  </si>
  <si>
    <t>Single-player,Multi-player,PvP,Online PvP,Steam Achievements,Full controller support,Steam Trading Cards,Steam Cloud,Family Sharing</t>
  </si>
  <si>
    <t>FINAL FANTASY XV WINDOWS EDITION</t>
  </si>
  <si>
    <t>Single-player,Steam Achievements,Steam Workshop,Camera Comfort,Custom Volume Controls,Playable without Timed Input,Save Anytime,Steam Cloud,Stats,Includes level editor,Family Sharing</t>
  </si>
  <si>
    <t>Smalland: Survive the Wilds</t>
  </si>
  <si>
    <t>Single-player,Multi-player,PvP,Online PvP,Co-op,Online Co-op,Steam Achievements,Full controller support,Steam Trading Cards,Steam Cloud,Remote Play on Tablet,Family Sharing</t>
  </si>
  <si>
    <t>The Texas Chain Saw Massacre</t>
  </si>
  <si>
    <t>LEGO Star Wars - The Complete Saga</t>
  </si>
  <si>
    <t>Roots of Pacha</t>
  </si>
  <si>
    <t>Single-player,Multi-player,Shared/Split Screen,Full controller support,Steam Cloud,Remote Play on Phone,Remote Play on Tablet,Remote Play on TV,Remote Play Together,Family Sharing</t>
  </si>
  <si>
    <t>Supremacy: 1914</t>
  </si>
  <si>
    <t>Single-player,Multi-player,Co-op,Online Co-op,Cross-Platform Multiplayer,Steam Achievements,Partial Controller Support,Steam Cloud,Family Sharing</t>
  </si>
  <si>
    <t>EVERSPACE 2</t>
  </si>
  <si>
    <t>Multi-player,MMO,PvP,Online PvP,Co-op,Online Co-op,Cross-Platform Multiplayer,In-App Purchases,Stats</t>
  </si>
  <si>
    <t>Massively Multiplayer,Simulation,Strategy,Free To Play</t>
  </si>
  <si>
    <t>SimCity 4 Deluxe Edition</t>
  </si>
  <si>
    <t>Grand Theft Auto: San Andreas ' The Definitive Edition</t>
  </si>
  <si>
    <t>Galactic Civilizations IV</t>
  </si>
  <si>
    <t>Single-player,Full controller support</t>
  </si>
  <si>
    <t>Aloft</t>
  </si>
  <si>
    <t>Single-player,Multi-player,PvP,Online PvP,Co-op,Online Co-op,Cross-Platform Multiplayer,Steam Achievements,Steam Workshop,Adjustable Text Size,Camera Comfort,Custom Volume Controls,Adjustable Difficulty,Playable without Timed Input,Save Anytime,Stereo Sound,Surround Sound,Steam Cloud,Family Sharing</t>
  </si>
  <si>
    <t>Dragon's Dogma: Dark Arisen</t>
  </si>
  <si>
    <t>Single-player,Multi-player,Co-op,Online Co-op,Steam Achievements,Full controller support,Steam Workshop,Steam Cloud,Family Sharing</t>
  </si>
  <si>
    <t>Adventure,Casual,Indie,Simulation,Early Access</t>
  </si>
  <si>
    <t>Mini Motorways</t>
  </si>
  <si>
    <t>Derail Valley</t>
  </si>
  <si>
    <t>GTX 750</t>
  </si>
  <si>
    <t>Intel HD Graphics</t>
  </si>
  <si>
    <t>Radeon Graphics</t>
  </si>
  <si>
    <t>Arc A770</t>
  </si>
  <si>
    <t>Counter-Strike 2</t>
  </si>
  <si>
    <t>GTX 950</t>
  </si>
  <si>
    <t>GTX 780</t>
  </si>
  <si>
    <t>R9 270</t>
  </si>
  <si>
    <t>R9 280X</t>
  </si>
  <si>
    <t>R9 380</t>
  </si>
  <si>
    <t>R9 290</t>
  </si>
  <si>
    <t>R9 390X</t>
  </si>
  <si>
    <t>GTX 780 Ti</t>
  </si>
  <si>
    <t>GTX 770</t>
  </si>
  <si>
    <t>Average of Peak_CCU</t>
  </si>
  <si>
    <t>Average of CCU Rank</t>
  </si>
  <si>
    <t>Row Labels</t>
  </si>
  <si>
    <t>Grand Total</t>
  </si>
  <si>
    <t>2012</t>
  </si>
  <si>
    <t>2013</t>
  </si>
  <si>
    <t>2014</t>
  </si>
  <si>
    <t>2015</t>
  </si>
  <si>
    <t>2016</t>
  </si>
  <si>
    <t>2017</t>
  </si>
  <si>
    <t>2018</t>
  </si>
  <si>
    <t>2019</t>
  </si>
  <si>
    <t>2020</t>
  </si>
  <si>
    <t>2021</t>
  </si>
  <si>
    <t>2022</t>
  </si>
  <si>
    <t>2023</t>
  </si>
  <si>
    <t>2024</t>
  </si>
  <si>
    <t>2025</t>
  </si>
  <si>
    <t>Max of Peak_CCU</t>
  </si>
  <si>
    <t>Min of CCU Rank</t>
  </si>
  <si>
    <t>Y</t>
  </si>
  <si>
    <t>N</t>
  </si>
  <si>
    <t>Genre</t>
  </si>
  <si>
    <t>Genre_Flag</t>
  </si>
  <si>
    <t>Count of AppID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</si>
</sst>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3">
    <fill>
      <patternFill patternType="none"/>
    </fill>
    <fill>
      <patternFill patternType="gray125"/>
    </fill>
    <fill>
      <patternFill patternType="solid">
        <fgColor theme="0"/>
        <bgColor rgb="FF1B365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applyAlignment="1">
      <alignment horizontal="left"/>
    </xf>
    <xf numFmtId="0" fontId="0" fillId="0" borderId="0" xfId="0"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34">
    <dxf>
      <fill>
        <patternFill>
          <bgColor rgb="FF92D050"/>
        </patternFill>
      </fill>
    </dxf>
    <dxf>
      <fill>
        <patternFill>
          <bgColor rgb="FF00B050"/>
        </patternFill>
      </fill>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dxf>
    <dxf>
      <numFmt numFmtId="0" formatCode="General"/>
    </dxf>
    <dxf>
      <numFmt numFmtId="0" formatCode="General"/>
    </dxf>
    <dxf>
      <numFmt numFmtId="19" formatCode="dd/mm/yyyy"/>
    </dxf>
    <dxf>
      <numFmt numFmtId="0" formatCode="General"/>
    </dxf>
    <dxf>
      <alignment horizontal="center"/>
    </dxf>
    <dxf>
      <numFmt numFmtId="0" formatCode="General"/>
    </dxf>
    <dxf>
      <numFmt numFmtId="0" formatCode="General"/>
    </dxf>
    <dxf>
      <numFmt numFmtId="0" formatCode="General"/>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ridhar" refreshedDate="46255.614635185186" createdVersion="8" refreshedVersion="8" minRefreshableVersion="3" recordCount="969" xr:uid="{EB8BC403-E3AC-46D7-992D-BE3CA657484B}">
  <cacheSource type="worksheet">
    <worksheetSource name="TableMain"/>
  </cacheSource>
  <cacheFields count="21">
    <cacheField name="AppID" numFmtId="0">
      <sharedItems containsSemiMixedTypes="0" containsString="0" containsNumber="1" containsInteger="1" minValue="10" maxValue="3511030"/>
    </cacheField>
    <cacheField name="Name" numFmtId="0">
      <sharedItems/>
    </cacheField>
    <cacheField name="Release_Date" numFmtId="14">
      <sharedItems containsSemiMixedTypes="0" containsNonDate="0" containsDate="1" containsString="0" minDate="1998-11-19T00:00:00" maxDate="2025-12-06T00:00:00" count="782">
        <d v="2012-08-21T00:00:00"/>
        <d v="2013-07-09T00:00:00"/>
        <d v="2017-12-21T00:00:00"/>
        <d v="2025-03-05T00:00:00"/>
        <d v="2025-05-29T00:00:00"/>
        <d v="2018-02-08T00:00:00"/>
        <d v="2020-11-04T00:00:00"/>
        <d v="2024-12-05T00:00:00"/>
        <d v="2018-11-16T00:00:00"/>
        <d v="2025-06-04T00:00:00"/>
        <d v="2015-04-13T00:00:00"/>
        <d v="2022-10-27T00:00:00"/>
        <d v="2021-08-11T00:00:00"/>
        <d v="2023-08-03T00:00:00"/>
        <d v="2024-02-08T00:00:00"/>
        <d v="2015-12-01T00:00:00"/>
        <d v="2016-02-26T00:00:00"/>
        <d v="2013-08-15T00:00:00"/>
        <d v="2023-11-06T00:00:00"/>
        <d v="2016-06-14T00:00:00"/>
        <d v="2007-10-10T00:00:00"/>
        <d v="2024-09-26T00:00:00"/>
        <d v="2020-08-17T00:00:00"/>
        <d v="2025-03-04T00:00:00"/>
        <d v="2018-12-13T00:00:00"/>
        <d v="2013-03-25T00:00:00"/>
        <d v="2017-02-01T00:00:00"/>
        <d v="2025-02-26T00:00:00"/>
        <d v="2016-06-06T00:00:00"/>
        <d v="2016-04-21T00:00:00"/>
        <d v="2019-12-05T00:00:00"/>
        <d v="2022-02-24T00:00:00"/>
        <d v="2024-12-03T00:00:00"/>
        <d v="2025-04-24T00:00:00"/>
        <d v="2014-12-22T00:00:00"/>
        <d v="2024-10-28T00:00:00"/>
        <d v="2013-08-13T00:00:00"/>
        <d v="2016-10-20T00:00:00"/>
        <d v="2020-06-18T00:00:00"/>
        <d v="2009-11-16T00:00:00"/>
        <d v="2016-10-27T00:00:00"/>
        <d v="2019-10-01T00:00:00"/>
        <d v="2011-05-16T00:00:00"/>
        <d v="2013-11-08T00:00:00"/>
        <d v="2025-03-24T00:00:00"/>
        <d v="2020-12-09T00:00:00"/>
        <d v="2017-08-27T00:00:00"/>
        <d v="2015-07-06T00:00:00"/>
        <d v="2014-02-18T00:00:00"/>
        <d v="2025-05-21T00:00:00"/>
        <d v="2018-10-17T00:00:00"/>
        <d v="2006-11-29T00:00:00"/>
        <d v="2024-01-18T00:00:00"/>
        <d v="2022-02-11T00:00:00"/>
        <d v="2012-10-12T00:00:00"/>
        <d v="2024-02-20T00:00:00"/>
        <d v="2024-07-25T00:00:00"/>
        <d v="2022-02-16T00:00:00"/>
        <d v="2024-12-06T00:00:00"/>
        <d v="2020-08-14T00:00:00"/>
        <d v="2017-05-22T00:00:00"/>
        <d v="2015-05-18T00:00:00"/>
        <d v="2015-05-29T00:00:00"/>
        <d v="2017-09-30T00:00:00"/>
        <d v="2019-01-23T00:00:00"/>
        <d v="2024-08-19T00:00:00"/>
        <d v="2021-11-10T00:00:00"/>
        <d v="2023-06-01T00:00:00"/>
        <d v="2014-11-04T00:00:00"/>
        <d v="2022-10-25T00:00:00"/>
        <d v="2021-02-02T00:00:00"/>
        <d v="2025-04-22T00:00:00"/>
        <d v="2017-05-24T00:00:00"/>
        <d v="2020-09-01T00:00:00"/>
        <d v="2017-10-17T00:00:00"/>
        <d v="2016-05-09T00:00:00"/>
        <d v="2019-11-14T00:00:00"/>
        <d v="2024-11-12T00:00:00"/>
        <d v="2021-09-29T00:00:00"/>
        <d v="2024-09-10T00:00:00"/>
        <d v="2025-02-27T00:00:00"/>
        <d v="2023-07-19T00:00:00"/>
        <d v="2016-08-12T00:00:00"/>
        <d v="2010-09-21T00:00:00"/>
        <d v="2023-10-25T00:00:00"/>
        <d v="2018-08-08T00:00:00"/>
        <d v="2023-11-16T00:00:00"/>
        <d v="2015-11-09T00:00:00"/>
        <d v="2025-11-06T00:00:00"/>
        <d v="2024-05-08T00:00:00"/>
        <d v="2024-01-24T00:00:00"/>
        <d v="2017-07-07T00:00:00"/>
        <d v="2021-03-12T00:00:00"/>
        <d v="2021-11-08T00:00:00"/>
        <d v="2020-09-18T00:00:00"/>
        <d v="2021-09-01T00:00:00"/>
        <d v="2023-01-12T00:00:00"/>
        <d v="2020-06-11T00:00:00"/>
        <d v="2020-09-23T00:00:00"/>
        <d v="2014-12-19T00:00:00"/>
        <d v="2015-03-10T00:00:00"/>
        <d v="2023-10-17T00:00:00"/>
        <d v="2020-04-14T00:00:00"/>
        <d v="2012-09-17T00:00:00"/>
        <d v="2025-06-17T00:00:00"/>
        <d v="2017-11-15T00:00:00"/>
        <d v="2020-05-01T00:00:00"/>
        <d v="2018-05-16T00:00:00"/>
        <d v="2025-05-23T00:00:00"/>
        <d v="2025-05-20T00:00:00"/>
        <d v="2012-08-09T00:00:00"/>
        <d v="2020-08-11T00:00:00"/>
        <d v="2025-03-30T00:00:00"/>
        <d v="2019-07-30T00:00:00"/>
        <d v="2024-04-30T00:00:00"/>
        <d v="2018-12-17T00:00:00"/>
        <d v="2024-04-10T00:00:00"/>
        <d v="2000-11-01T00:00:00"/>
        <d v="2022-11-30T00:00:00"/>
        <d v="2013-09-12T00:00:00"/>
        <d v="2021-10-28T00:00:00"/>
        <d v="2025-02-04T00:00:00"/>
        <d v="2024-09-09T00:00:00"/>
        <d v="2019-03-21T00:00:00"/>
        <d v="2016-02-02T00:00:00"/>
        <d v="2020-07-21T00:00:00"/>
        <d v="2023-06-23T00:00:00"/>
        <d v="2020-10-22T00:00:00"/>
        <d v="2019-08-27T00:00:00"/>
        <d v="2023-10-23T00:00:00"/>
        <d v="2004-11-01T00:00:00"/>
        <d v="2025-02-10T00:00:00"/>
        <d v="2024-02-21T00:00:00"/>
        <d v="2023-02-10T00:00:00"/>
        <d v="2016-11-09T00:00:00"/>
        <d v="2018-05-08T00:00:00"/>
        <d v="2021-09-28T00:00:00"/>
        <d v="2025-03-06T00:00:00"/>
        <d v="2020-06-03T00:00:00"/>
        <d v="2021-11-21T00:00:00"/>
        <d v="2015-11-05T00:00:00"/>
        <d v="2018-12-06T00:00:00"/>
        <d v="2023-10-24T00:00:00"/>
        <d v="2025-05-30T00:00:00"/>
        <d v="2023-06-16T00:00:00"/>
        <d v="2020-05-13T00:00:00"/>
        <d v="2024-03-25T00:00:00"/>
        <d v="2022-06-24T00:00:00"/>
        <d v="2023-09-28T00:00:00"/>
        <d v="2015-06-05T00:00:00"/>
        <d v="2021-03-25T00:00:00"/>
        <d v="2022-10-20T00:00:00"/>
        <d v="2024-08-27T00:00:00"/>
        <d v="2015-01-26T00:00:00"/>
        <d v="2017-02-24T00:00:00"/>
        <d v="2015-04-02T00:00:00"/>
        <d v="2020-04-15T00:00:00"/>
        <d v="2024-08-09T00:00:00"/>
        <d v="2022-06-20T00:00:00"/>
        <d v="2017-12-29T00:00:00"/>
        <d v="2013-10-23T00:00:00"/>
        <d v="2021-11-18T00:00:00"/>
        <d v="2016-11-18T00:00:00"/>
        <d v="2019-05-23T00:00:00"/>
        <d v="2019-07-23T00:00:00"/>
        <d v="2024-02-22T00:00:00"/>
        <d v="2024-01-25T00:00:00"/>
        <d v="2025-04-03T00:00:00"/>
        <d v="2022-05-31T00:00:00"/>
        <d v="2025-04-10T00:00:00"/>
        <d v="2016-04-11T00:00:00"/>
        <d v="2025-06-01T00:00:00"/>
        <d v="2023-12-13T00:00:00"/>
        <d v="2022-02-03T00:00:00"/>
        <d v="2019-02-28T00:00:00"/>
        <d v="2022-11-08T00:00:00"/>
        <d v="2023-03-28T00:00:00"/>
        <d v="2023-05-26T00:00:00"/>
        <d v="2013-09-02T00:00:00"/>
        <d v="2010-10-19T00:00:00"/>
        <d v="2021-09-15T00:00:00"/>
        <d v="2021-04-28T00:00:00"/>
        <d v="2016-01-19T00:00:00"/>
        <d v="2023-03-23T00:00:00"/>
        <d v="2024-03-05T00:00:00"/>
        <d v="2023-09-05T00:00:00"/>
        <d v="2010-12-15T00:00:00"/>
        <d v="2022-01-12T00:00:00"/>
        <d v="2019-10-07T00:00:00"/>
        <d v="2024-11-15T00:00:00"/>
        <d v="2023-12-05T00:00:00"/>
        <d v="2023-12-07T00:00:00"/>
        <d v="2024-09-16T00:00:00"/>
        <d v="2025-05-14T00:00:00"/>
        <d v="2017-09-14T00:00:00"/>
        <d v="2019-12-11T00:00:00"/>
        <d v="2025-05-19T00:00:00"/>
        <d v="2021-07-27T00:00:00"/>
        <d v="2023-06-28T00:00:00"/>
        <d v="2019-12-03T00:00:00"/>
        <d v="2015-09-15T00:00:00"/>
        <d v="2021-04-04T00:00:00"/>
        <d v="2020-05-05T00:00:00"/>
        <d v="2017-02-13T00:00:00"/>
        <d v="2022-08-23T00:00:00"/>
        <d v="2024-02-28T00:00:00"/>
        <d v="2020-03-13T00:00:00"/>
        <d v="2021-05-17T00:00:00"/>
        <d v="2016-02-04T00:00:00"/>
        <d v="2020-09-03T00:00:00"/>
        <d v="2023-09-20T00:00:00"/>
        <d v="2010-03-31T00:00:00"/>
        <d v="2021-11-03T00:00:00"/>
        <d v="2020-03-25T00:00:00"/>
        <d v="2020-10-15T00:00:00"/>
        <d v="2021-10-07T00:00:00"/>
        <d v="2021-10-29T00:00:00"/>
        <d v="2018-04-30T00:00:00"/>
        <d v="2018-05-23T00:00:00"/>
        <d v="2015-07-22T00:00:00"/>
        <d v="2022-09-28T00:00:00"/>
        <d v="2010-05-25T00:00:00"/>
        <d v="2006-11-15T00:00:00"/>
        <d v="2019-04-16T00:00:00"/>
        <d v="2017-08-28T00:00:00"/>
        <d v="2021-11-19T00:00:00"/>
        <d v="2024-05-30T00:00:00"/>
        <d v="2019-06-18T00:00:00"/>
        <d v="2018-01-23T00:00:00"/>
        <d v="2021-01-20T00:00:00"/>
        <d v="2009-05-05T00:00:00"/>
        <d v="2022-01-20T00:00:00"/>
        <d v="2018-10-05T00:00:00"/>
        <d v="2024-06-20T00:00:00"/>
        <d v="2017-08-01T00:00:00"/>
        <d v="2024-07-16T00:00:00"/>
        <d v="2018-08-06T00:00:00"/>
        <d v="2022-07-14T00:00:00"/>
        <d v="2023-12-14T00:00:00"/>
        <d v="2025-03-25T00:00:00"/>
        <d v="2025-05-08T00:00:00"/>
        <d v="2018-02-13T00:00:00"/>
        <d v="2019-11-05T00:00:00"/>
        <d v="2020-10-14T00:00:00"/>
        <d v="2025-06-19T00:00:00"/>
        <d v="2021-06-11T00:00:00"/>
        <d v="2021-05-14T00:00:00"/>
        <d v="2024-11-20T00:00:00"/>
        <d v="2024-08-15T00:00:00"/>
        <d v="2022-09-27T00:00:00"/>
        <d v="2021-11-25T00:00:00"/>
        <d v="2016-02-25T00:00:00"/>
        <d v="2023-03-13T00:00:00"/>
        <d v="2023-04-27T00:00:00"/>
        <d v="2013-06-25T00:00:00"/>
        <d v="2022-05-26T00:00:00"/>
        <d v="2013-04-09T00:00:00"/>
        <d v="2021-11-15T00:00:00"/>
        <d v="2020-03-19T00:00:00"/>
        <d v="2025-02-17T00:00:00"/>
        <d v="2020-09-17T00:00:00"/>
        <d v="2019-03-07T00:00:00"/>
        <d v="2017-07-26T00:00:00"/>
        <d v="2017-02-16T00:00:00"/>
        <d v="2020-12-01T00:00:00"/>
        <d v="2023-02-23T00:00:00"/>
        <d v="2019-06-28T00:00:00"/>
        <d v="2020-02-19T00:00:00"/>
        <d v="2018-11-30T00:00:00"/>
        <d v="2018-03-08T00:00:00"/>
        <d v="2020-03-24T00:00:00"/>
        <d v="2018-08-07T00:00:00"/>
        <d v="2017-09-29T00:00:00"/>
        <d v="2024-05-31T00:00:00"/>
        <d v="2025-05-13T00:00:00"/>
        <d v="2009-03-04T00:00:00"/>
        <d v="2024-05-16T00:00:00"/>
        <d v="2015-05-13T00:00:00"/>
        <d v="2014-11-20T00:00:00"/>
        <d v="2022-04-21T00:00:00"/>
        <d v="2024-04-26T00:00:00"/>
        <d v="2011-04-18T00:00:00"/>
        <d v="2021-09-02T00:00:00"/>
        <d v="2019-01-24T00:00:00"/>
        <d v="2017-11-16T00:00:00"/>
        <d v="2012-02-20T00:00:00"/>
        <d v="2015-09-08T00:00:00"/>
        <d v="2015-04-27T00:00:00"/>
        <d v="2025-09-25T00:00:00"/>
        <d v="2020-01-15T00:00:00"/>
        <d v="2018-12-12T00:00:00"/>
        <d v="2025-01-23T00:00:00"/>
        <d v="2024-08-20T00:00:00"/>
        <d v="2025-06-13T00:00:00"/>
        <d v="2024-04-01T00:00:00"/>
        <d v="2025-10-23T00:00:00"/>
        <d v="2024-10-10T00:00:00"/>
        <d v="2024-04-08T00:00:00"/>
        <d v="2021-11-09T00:00:00"/>
        <d v="2018-04-03T00:00:00"/>
        <d v="2023-05-02T00:00:00"/>
        <d v="2018-04-24T00:00:00"/>
        <d v="2024-02-01T00:00:00"/>
        <d v="2023-09-14T00:00:00"/>
        <d v="2021-09-21T00:00:00"/>
        <d v="2024-09-15T00:00:00"/>
        <d v="2017-11-17T00:00:00"/>
        <d v="2019-09-05T00:00:00"/>
        <d v="2023-04-12T00:00:00"/>
        <d v="2024-11-19T00:00:00"/>
        <d v="2020-12-04T00:00:00"/>
        <d v="2024-08-05T00:00:00"/>
        <d v="2015-04-01T00:00:00"/>
        <d v="2018-03-14T00:00:00"/>
        <d v="2022-03-30T00:00:00"/>
        <d v="2017-10-26T00:00:00"/>
        <d v="2024-09-19T00:00:00"/>
        <d v="2016-05-12T00:00:00"/>
        <d v="2021-12-02T00:00:00"/>
        <d v="2015-06-23T00:00:00"/>
        <d v="2020-06-14T00:00:00"/>
        <d v="2023-07-25T00:00:00"/>
        <d v="2025-06-02T00:00:00"/>
        <d v="2012-09-14T00:00:00"/>
        <d v="2022-06-12T00:00:00"/>
        <d v="2024-09-04T00:00:00"/>
        <d v="2004-11-16T00:00:00"/>
        <d v="2022-05-25T00:00:00"/>
        <d v="2022-08-11T00:00:00"/>
        <d v="2018-04-09T00:00:00"/>
        <d v="2025-04-23T00:00:00"/>
        <d v="2023-11-02T00:00:00"/>
        <d v="2016-02-18T00:00:00"/>
        <d v="2021-12-03T00:00:00"/>
        <d v="2025-08-15T00:00:00"/>
        <d v="2023-11-03T00:00:00"/>
        <d v="2019-05-29T00:00:00"/>
        <d v="2013-04-23T00:00:00"/>
        <d v="2024-09-23T00:00:00"/>
        <d v="2017-09-28T00:00:00"/>
        <d v="2011-11-10T00:00:00"/>
        <d v="2025-07-22T00:00:00"/>
        <d v="2017-03-06T00:00:00"/>
        <d v="2021-02-05T00:00:00"/>
        <d v="2023-01-23T00:00:00"/>
        <d v="2021-11-17T00:00:00"/>
        <d v="2025-05-07T00:00:00"/>
        <d v="2015-02-17T00:00:00"/>
        <d v="2016-01-25T00:00:00"/>
        <d v="2024-08-31T00:00:00"/>
        <d v="2017-10-09T00:00:00"/>
        <d v="2020-08-05T00:00:00"/>
        <d v="2007-07-24T00:00:00"/>
        <d v="2020-02-14T00:00:00"/>
        <d v="2016-02-24T00:00:00"/>
        <d v="2020-06-04T00:00:00"/>
        <d v="2006-10-25T00:00:00"/>
        <d v="2022-01-14T00:00:00"/>
        <d v="2022-12-06T00:00:00"/>
        <d v="2012-02-14T00:00:00"/>
        <d v="2021-09-23T00:00:00"/>
        <d v="2023-09-18T00:00:00"/>
        <d v="2025-01-30T00:00:00"/>
        <d v="2015-09-01T00:00:00"/>
        <d v="2023-11-14T00:00:00"/>
        <d v="2018-07-12T00:00:00"/>
        <d v="2021-10-01T00:00:00"/>
        <d v="2025-01-16T00:00:00"/>
        <d v="2017-10-15T00:00:00"/>
        <d v="2018-05-17T00:00:00"/>
        <d v="2018-12-11T00:00:00"/>
        <d v="2021-10-19T00:00:00"/>
        <d v="2020-12-21T00:00:00"/>
        <d v="2025-09-17T00:00:00"/>
        <d v="2021-04-01T00:00:00"/>
        <d v="2021-08-10T00:00:00"/>
        <d v="2018-03-26T00:00:00"/>
        <d v="2021-10-12T00:00:00"/>
        <d v="2021-05-06T00:00:00"/>
        <d v="2015-01-30T00:00:00"/>
        <d v="2018-12-08T00:00:00"/>
        <d v="2018-04-04T00:00:00"/>
        <d v="2022-09-30T00:00:00"/>
        <d v="2024-11-01T00:00:00"/>
        <d v="2011-01-27T00:00:00"/>
        <d v="2024-07-23T00:00:00"/>
        <d v="2025-08-11T00:00:00"/>
        <d v="2024-12-09T00:00:00"/>
        <d v="2025-03-27T00:00:00"/>
        <d v="2024-04-23T00:00:00"/>
        <d v="2024-11-06T00:00:00"/>
        <d v="2015-01-28T00:00:00"/>
        <d v="2014-08-25T00:00:00"/>
        <d v="2022-08-12T00:00:00"/>
        <d v="2018-01-25T00:00:00"/>
        <d v="2016-04-05T00:00:00"/>
        <d v="2018-03-07T00:00:00"/>
        <d v="2023-09-06T00:00:00"/>
        <d v="2016-05-27T00:00:00"/>
        <d v="2009-06-16T00:00:00"/>
        <d v="2024-06-19T00:00:00"/>
        <d v="2023-09-19T00:00:00"/>
        <d v="2018-12-21T00:00:00"/>
        <d v="2018-01-16T00:00:00"/>
        <d v="2020-11-24T00:00:00"/>
        <d v="2024-07-24T00:00:00"/>
        <d v="2021-01-05T00:00:00"/>
        <d v="2015-03-30T00:00:00"/>
        <d v="2025-04-21T00:00:00"/>
        <d v="2024-02-14T00:00:00"/>
        <d v="2018-09-20T00:00:00"/>
        <d v="2017-03-24T00:00:00"/>
        <d v="2019-06-02T00:00:00"/>
        <d v="2012-01-31T00:00:00"/>
        <d v="2023-05-08T00:00:00"/>
        <d v="2021-02-24T00:00:00"/>
        <d v="2012-07-10T00:00:00"/>
        <d v="2025-03-14T00:00:00"/>
        <d v="2025-01-08T00:00:00"/>
        <d v="2019-04-23T00:00:00"/>
        <d v="2016-02-23T00:00:00"/>
        <d v="2024-04-22T00:00:00"/>
        <d v="2019-11-19T00:00:00"/>
        <d v="2023-08-24T00:00:00"/>
        <d v="2018-02-28T00:00:00"/>
        <d v="2019-06-20T00:00:00"/>
        <d v="2024-03-21T00:00:00"/>
        <d v="2017-03-29T00:00:00"/>
        <d v="2025-05-22T00:00:00"/>
        <d v="2024-01-31T00:00:00"/>
        <d v="2019-11-27T00:00:00"/>
        <d v="2020-10-05T00:00:00"/>
        <d v="2020-07-28T00:00:00"/>
        <d v="2019-02-05T00:00:00"/>
        <d v="2018-11-19T00:00:00"/>
        <d v="2023-07-14T00:00:00"/>
        <d v="2020-05-19T00:00:00"/>
        <d v="2022-07-20T00:00:00"/>
        <d v="2020-03-03T00:00:00"/>
        <d v="2019-10-17T00:00:00"/>
        <d v="2025-03-13T00:00:00"/>
        <d v="2023-11-15T00:00:00"/>
        <d v="2020-06-13T00:00:00"/>
        <d v="2023-12-08T00:00:00"/>
        <d v="2016-07-22T00:00:00"/>
        <d v="2024-04-18T00:00:00"/>
        <d v="2018-08-15T00:00:00"/>
        <d v="2022-12-13T00:00:00"/>
        <d v="2010-02-25T00:00:00"/>
        <d v="2024-05-02T00:00:00"/>
        <d v="2019-10-15T00:00:00"/>
        <d v="2020-09-30T00:00:00"/>
        <d v="2025-02-12T00:00:00"/>
        <d v="2018-01-04T00:00:00"/>
        <d v="2025-01-29T00:00:00"/>
        <d v="2020-03-06T00:00:00"/>
        <d v="2019-09-18T00:00:00"/>
        <d v="2016-10-18T00:00:00"/>
        <d v="2024-06-13T00:00:00"/>
        <d v="2024-12-13T00:00:00"/>
        <d v="2024-05-23T00:00:00"/>
        <d v="2018-06-28T00:00:00"/>
        <d v="2022-06-23T00:00:00"/>
        <d v="2006-09-11T00:00:00"/>
        <d v="2016-11-28T00:00:00"/>
        <d v="2022-05-16T00:00:00"/>
        <d v="2020-03-11T00:00:00"/>
        <d v="2023-01-01T00:00:00"/>
        <d v="2025-04-15T00:00:00"/>
        <d v="2017-04-25T00:00:00"/>
        <d v="2023-03-08T00:00:00"/>
        <d v="2017-12-11T00:00:00"/>
        <d v="2021-12-17T00:00:00"/>
        <d v="2025-01-31T00:00:00"/>
        <d v="2017-03-28T00:00:00"/>
        <d v="2022-08-04T00:00:00"/>
        <d v="2023-10-13T00:00:00"/>
        <d v="2018-11-01T00:00:00"/>
        <d v="2019-04-09T00:00:00"/>
        <d v="2017-07-27T00:00:00"/>
        <d v="2025-05-27T00:00:00"/>
        <d v="2024-04-11T00:00:00"/>
        <d v="2024-10-31T00:00:00"/>
        <d v="2014-05-08T00:00:00"/>
        <d v="2023-04-01T00:00:00"/>
        <d v="2024-04-04T00:00:00"/>
        <d v="2012-06-06T00:00:00"/>
        <d v="2017-01-23T00:00:00"/>
        <d v="2023-12-15T00:00:00"/>
        <d v="2020-08-27T00:00:00"/>
        <d v="2024-06-06T00:00:00"/>
        <d v="2015-10-06T00:00:00"/>
        <d v="2016-02-09T00:00:00"/>
        <d v="2008-11-17T00:00:00"/>
        <d v="2016-03-07T00:00:00"/>
        <d v="2016-06-02T00:00:00"/>
        <d v="2021-04-29T00:00:00"/>
        <d v="2019-04-29T00:00:00"/>
        <d v="2025-02-13T00:00:00"/>
        <d v="2024-01-21T00:00:00"/>
        <d v="2022-06-17T00:00:00"/>
        <d v="2015-07-09T00:00:00"/>
        <d v="2014-11-14T00:00:00"/>
        <d v="2018-03-27T00:00:00"/>
        <d v="2013-10-21T00:00:00"/>
        <d v="2020-02-06T00:00:00"/>
        <d v="2022-10-13T00:00:00"/>
        <d v="2021-03-24T00:00:00"/>
        <d v="2024-09-17T00:00:00"/>
        <d v="2024-03-19T00:00:00"/>
        <d v="2025-03-07T00:00:00"/>
        <d v="2025-03-11T00:00:00"/>
        <d v="2022-04-05T00:00:00"/>
        <d v="2021-06-01T00:00:00"/>
        <d v="2018-09-06T00:00:00"/>
        <d v="2014-05-15T00:00:00"/>
        <d v="2020-08-18T00:00:00"/>
        <d v="2020-08-07T00:00:00"/>
        <d v="2021-05-13T00:00:00"/>
        <d v="2020-03-10T00:00:00"/>
        <d v="2022-09-26T00:00:00"/>
        <d v="2018-02-06T00:00:00"/>
        <d v="2011-09-28T00:00:00"/>
        <d v="2025-12-05T00:00:00"/>
        <d v="2017-03-17T00:00:00"/>
        <d v="2025-04-30T00:00:00"/>
        <d v="2016-11-17T00:00:00"/>
        <d v="2024-10-11T00:00:00"/>
        <d v="2020-09-24T00:00:00"/>
        <d v="2024-12-19T00:00:00"/>
        <d v="2020-10-29T00:00:00"/>
        <d v="2018-03-13T00:00:00"/>
        <d v="2008-03-05T00:00:00"/>
        <d v="2014-02-27T00:00:00"/>
        <d v="2019-06-19T00:00:00"/>
        <d v="2025-01-24T00:00:00"/>
        <d v="2013-12-05T00:00:00"/>
        <d v="2020-08-03T00:00:00"/>
        <d v="2019-09-26T00:00:00"/>
        <d v="2006-08-30T00:00:00"/>
        <d v="2024-06-17T00:00:00"/>
        <d v="2015-10-23T00:00:00"/>
        <d v="2021-03-29T00:00:00"/>
        <d v="2012-09-07T00:00:00"/>
        <d v="2023-03-10T00:00:00"/>
        <d v="2022-07-29T00:00:00"/>
        <d v="2019-07-15T00:00:00"/>
        <d v="2023-08-16T00:00:00"/>
        <d v="2023-09-21T00:00:00"/>
        <d v="2015-11-30T00:00:00"/>
        <d v="2013-08-02T00:00:00"/>
        <d v="2021-05-26T00:00:00"/>
        <d v="2025-03-26T00:00:00"/>
        <d v="1998-11-19T00:00:00"/>
        <d v="2024-08-02T00:00:00"/>
        <d v="2024-12-10T00:00:00"/>
        <d v="2019-02-25T00:00:00"/>
        <d v="2023-05-11T00:00:00"/>
        <d v="2024-05-28T00:00:00"/>
        <d v="2025-09-18T00:00:00"/>
        <d v="2023-08-31T00:00:00"/>
        <d v="2022-05-27T00:00:00"/>
        <d v="2022-12-01T00:00:00"/>
        <d v="2020-03-09T00:00:00"/>
        <d v="2012-11-19T00:00:00"/>
        <d v="2017-05-18T00:00:00"/>
        <d v="2008-09-19T00:00:00"/>
        <d v="2013-10-24T00:00:00"/>
        <d v="2024-11-16T00:00:00"/>
        <d v="2012-04-24T00:00:00"/>
        <d v="2023-02-02T00:00:00"/>
        <d v="2013-11-06T00:00:00"/>
        <d v="2024-10-02T00:00:00"/>
        <d v="2020-06-30T00:00:00"/>
        <d v="2010-03-26T00:00:00"/>
        <d v="2025-04-09T00:00:00"/>
        <d v="2017-06-01T00:00:00"/>
        <d v="2016-08-31T00:00:00"/>
        <d v="2008-12-19T00:00:00"/>
        <d v="2014-06-10T00:00:00"/>
        <d v="2024-05-13T00:00:00"/>
        <d v="2024-10-23T00:00:00"/>
        <d v="2024-08-14T00:00:00"/>
        <d v="2020-05-21T00:00:00"/>
        <d v="2017-06-15T00:00:00"/>
        <d v="2019-01-15T00:00:00"/>
        <d v="2012-10-08T00:00:00"/>
        <d v="2018-09-25T00:00:00"/>
        <d v="2013-12-11T00:00:00"/>
        <d v="2018-09-14T00:00:00"/>
        <d v="2018-05-31T00:00:00"/>
        <d v="2018-11-02T00:00:00"/>
        <d v="2019-03-29T00:00:00"/>
        <d v="2022-10-18T00:00:00"/>
        <d v="2015-07-23T00:00:00"/>
        <d v="2023-06-15T00:00:00"/>
        <d v="2023-11-30T00:00:00"/>
        <d v="2009-09-15T00:00:00"/>
        <d v="2020-06-05T00:00:00"/>
        <d v="2012-12-06T00:00:00"/>
        <d v="2019-08-19T00:00:00"/>
        <d v="2014-11-17T00:00:00"/>
        <d v="2013-03-04T00:00:00"/>
        <d v="2015-03-12T00:00:00"/>
        <d v="2023-04-20T00:00:00"/>
        <d v="2017-10-30T00:00:00"/>
        <d v="2007-08-28T00:00:00"/>
        <d v="2012-08-23T00:00:00"/>
        <d v="2022-04-10T00:00:00"/>
        <d v="2019-06-13T00:00:00"/>
        <d v="2018-08-01T00:00:00"/>
        <d v="2019-04-25T00:00:00"/>
        <d v="2011-11-02T00:00:00"/>
        <d v="2018-04-05T00:00:00"/>
        <d v="2023-04-25T00:00:00"/>
        <d v="2022-08-16T00:00:00"/>
        <d v="2010-11-09T00:00:00"/>
        <d v="2024-11-14T00:00:00"/>
        <d v="2024-09-20T00:00:00"/>
        <d v="2025-09-23T00:00:00"/>
        <d v="2014-10-08T00:00:00"/>
        <d v="2014-06-12T00:00:00"/>
        <d v="2023-01-25T00:00:00"/>
        <d v="2018-08-29T00:00:00"/>
        <d v="2023-03-30T00:00:00"/>
        <d v="2022-01-18T00:00:00"/>
        <d v="2013-03-21T00:00:00"/>
        <d v="2024-11-25T00:00:00"/>
        <d v="2024-10-07T00:00:00"/>
        <d v="2018-11-21T00:00:00"/>
        <d v="2018-01-26T00:00:00"/>
        <d v="2023-07-21T00:00:00"/>
        <d v="2023-08-28T00:00:00"/>
        <d v="2025-10-16T00:00:00"/>
        <d v="2019-10-08T00:00:00"/>
        <d v="2018-03-15T00:00:00"/>
        <d v="2020-12-25T00:00:00"/>
        <d v="2023-10-09T00:00:00"/>
        <d v="2018-08-17T00:00:00"/>
        <d v="2024-10-29T00:00:00"/>
        <d v="2024-10-08T00:00:00"/>
        <d v="2015-09-17T00:00:00"/>
        <d v="2016-01-27T00:00:00"/>
        <d v="2024-08-29T00:00:00"/>
        <d v="2022-07-19T00:00:00"/>
        <d v="2025-04-11T00:00:00"/>
        <d v="2012-11-20T00:00:00"/>
        <d v="2017-07-14T00:00:00"/>
        <d v="2014-07-16T00:00:00"/>
        <d v="2021-10-13T00:00:00"/>
        <d v="2022-10-31T00:00:00"/>
        <d v="2025-11-30T00:00:00"/>
        <d v="2025-05-15T00:00:00"/>
        <d v="2010-08-30T00:00:00"/>
        <d v="2022-12-17T00:00:00"/>
        <d v="2012-12-04T00:00:00"/>
        <d v="2019-07-25T00:00:00"/>
        <d v="2014-12-18T00:00:00"/>
        <d v="2017-09-15T00:00:00"/>
        <d v="2016-11-03T00:00:00"/>
        <d v="2022-10-24T00:00:00"/>
        <d v="2020-11-06T00:00:00"/>
        <d v="2012-04-16T00:00:00"/>
        <d v="2019-09-10T00:00:00"/>
        <d v="2022-05-18T00:00:00"/>
        <d v="2024-02-15T00:00:00"/>
        <d v="2013-10-31T00:00:00"/>
        <d v="2023-08-25T00:00:00"/>
        <d v="2023-07-13T00:00:00"/>
        <d v="2020-11-10T00:00:00"/>
        <d v="2022-05-17T00:00:00"/>
        <d v="2018-12-22T00:00:00"/>
        <d v="2022-10-19T00:00:00"/>
        <d v="2023-02-20T00:00:00"/>
        <d v="2024-10-04T00:00:00"/>
        <d v="2012-12-13T00:00:00"/>
        <d v="2024-05-14T00:00:00"/>
        <d v="2023-06-13T00:00:00"/>
        <d v="2017-05-30T00:00:00"/>
        <d v="2021-09-16T00:00:00"/>
        <d v="2021-01-28T00:00:00"/>
        <d v="2016-09-20T00:00:00"/>
        <d v="2023-10-04T00:00:00"/>
        <d v="2012-09-26T00:00:00"/>
        <d v="2014-12-24T00:00:00"/>
        <d v="2022-01-25T00:00:00"/>
        <d v="2023-10-15T00:00:00"/>
        <d v="2014-10-13T00:00:00"/>
        <d v="2014-04-17T00:00:00"/>
        <d v="2008-11-18T00:00:00"/>
        <d v="2016-05-22T00:00:00"/>
        <d v="2021-02-18T00:00:00"/>
        <d v="2013-02-12T00:00:00"/>
        <d v="2021-11-16T00:00:00"/>
        <d v="2021-10-20T00:00:00"/>
        <d v="2023-11-07T00:00:00"/>
        <d v="2018-04-19T00:00:00"/>
        <d v="2017-10-06T00:00:00"/>
        <d v="2019-12-10T00:00:00"/>
        <d v="2023-03-09T00:00:00"/>
        <d v="2009-09-05T00:00:00"/>
        <d v="2018-09-13T00:00:00"/>
        <d v="2019-05-21T00:00:00"/>
        <d v="2024-06-07T00:00:00"/>
        <d v="2014-06-03T00:00:00"/>
        <d v="2014-05-19T00:00:00"/>
        <d v="2013-08-08T00:00:00"/>
        <d v="2018-04-18T00:00:00"/>
        <d v="2021-08-17T00:00:00"/>
        <d v="2025-11-18T00:00:00"/>
        <d v="2016-05-31T00:00:00"/>
        <d v="2022-06-10T00:00:00"/>
        <d v="2013-04-25T00:00:00"/>
        <d v="2012-10-23T00:00:00"/>
        <d v="2005-11-29T00:00:00"/>
        <d v="2014-07-02T00:00:00"/>
        <d v="2015-03-19T00:00:00"/>
        <d v="2009-11-11T00:00:00"/>
        <d v="2023-02-24T00:00:00"/>
        <d v="2021-05-27T00:00:00"/>
        <d v="2010-10-26T00:00:00"/>
        <d v="2015-12-10T00:00:00"/>
        <d v="2014-05-26T00:00:00"/>
        <d v="2010-12-07T00:00:00"/>
        <d v="2018-10-30T00:00:00"/>
        <d v="2015-10-27T00:00:00"/>
        <d v="2013-07-04T00:00:00"/>
        <d v="2025-03-10T00:00:00"/>
        <d v="2017-03-30T00:00:00"/>
        <d v="2017-04-19T00:00:00"/>
        <d v="2024-09-24T00:00:00"/>
        <d v="2021-07-22T00:00:00"/>
        <d v="2013-01-16T00:00:00"/>
        <d v="2017-11-12T00:00:00"/>
        <d v="2022-11-18T00:00:00"/>
        <d v="2019-09-25T00:00:00"/>
        <d v="2017-12-12T00:00:00"/>
        <d v="2020-05-08T00:00:00"/>
        <d v="2022-05-05T00:00:00"/>
        <d v="2014-11-11T00:00:00"/>
        <d v="2014-01-29T00:00:00"/>
        <d v="2014-10-07T00:00:00"/>
        <d v="2023-01-26T00:00:00"/>
        <d v="2022-04-28T00:00:00"/>
        <d v="2024-11-21T00:00:00"/>
        <d v="2016-09-15T00:00:00"/>
        <d v="2021-08-26T00:00:00"/>
        <d v="2022-04-27T00:00:00"/>
        <d v="2020-04-02T00:00:00"/>
        <d v="2009-01-08T00:00:00"/>
        <d v="2025-04-01T00:00:00"/>
        <d v="2022-09-01T00:00:00"/>
        <d v="2015-08-24T00:00:00"/>
        <d v="2011-11-08T00:00:00"/>
        <d v="2015-01-12T00:00:00"/>
        <d v="2023-08-18T00:00:00"/>
        <d v="2017-06-20T00:00:00"/>
        <d v="2019-09-03T00:00:00"/>
        <d v="2016-04-14T00:00:00"/>
        <d v="2025-05-16T00:00:00"/>
        <d v="2016-03-04T00:00:00"/>
        <d v="2018-08-14T00:00:00"/>
        <d v="2019-10-27T00:00:00"/>
        <d v="2021-03-04T00:00:00"/>
        <d v="2022-04-08T00:00:00"/>
        <d v="2025-03-21T00:00:00"/>
        <d v="2009-11-13T00:00:00"/>
        <d v="2022-01-06T00:00:00"/>
        <d v="2007-08-03T00:00:00"/>
        <d v="2024-10-05T00:00:00"/>
        <d v="2019-01-31T00:00:00"/>
        <d v="2023-02-17T00:00:00"/>
        <d v="2018-03-06T00:00:00"/>
        <d v="2009-11-12T00:00:00"/>
        <d v="2019-07-16T00:00:00"/>
        <d v="2023-04-06T00:00:00"/>
        <d v="2010-07-20T00:00:00"/>
        <d v="2023-01-19T00:00:00"/>
        <d v="2023-10-19T00:00:00"/>
        <d v="2025-01-15T00:00:00"/>
        <d v="2016-01-15T00:00:00"/>
        <d v="2021-07-20T00:00:00"/>
      </sharedItems>
      <fieldGroup par="20"/>
    </cacheField>
    <cacheField name="Peak_CCU" numFmtId="0">
      <sharedItems containsSemiMixedTypes="0" containsString="0" containsNumber="1" containsInteger="1" minValue="328" maxValue="1013936"/>
    </cacheField>
    <cacheField name="Linux" numFmtId="0">
      <sharedItems/>
    </cacheField>
    <cacheField name="Genres" numFmtId="0">
      <sharedItems longText="1"/>
    </cacheField>
    <cacheField name="Tags" numFmtId="0">
      <sharedItems/>
    </cacheField>
    <cacheField name="CCU Rank" numFmtId="0">
      <sharedItems containsSemiMixedTypes="0" containsString="0" containsNumber="1" containsInteger="1" minValue="1" maxValue="971"/>
    </cacheField>
    <cacheField name="Rec_GPU" numFmtId="0">
      <sharedItems/>
    </cacheField>
    <cacheField name="Single-player" numFmtId="0">
      <sharedItems/>
    </cacheField>
    <cacheField name="Multi-player" numFmtId="0">
      <sharedItems/>
    </cacheField>
    <cacheField name="Action" numFmtId="0">
      <sharedItems/>
    </cacheField>
    <cacheField name="Indie" numFmtId="0">
      <sharedItems/>
    </cacheField>
    <cacheField name="Adventure" numFmtId="0">
      <sharedItems/>
    </cacheField>
    <cacheField name="Simulation" numFmtId="0">
      <sharedItems/>
    </cacheField>
    <cacheField name="RPG" numFmtId="0">
      <sharedItems/>
    </cacheField>
    <cacheField name="Strategy" numFmtId="0">
      <sharedItems/>
    </cacheField>
    <cacheField name="Free To Play" numFmtId="0">
      <sharedItems/>
    </cacheField>
    <cacheField name="Months (Release_Date)" numFmtId="0" databaseField="0">
      <fieldGroup base="2">
        <rangePr groupBy="months" startDate="1998-11-19T00:00:00" endDate="2025-12-06T00:00:00"/>
        <groupItems count="14">
          <s v="&lt;19/11/1998"/>
          <s v="Jan"/>
          <s v="Feb"/>
          <s v="Mar"/>
          <s v="Apr"/>
          <s v="May"/>
          <s v="Jun"/>
          <s v="Jul"/>
          <s v="Aug"/>
          <s v="Sept"/>
          <s v="Oct"/>
          <s v="Nov"/>
          <s v="Dec"/>
          <s v="&gt;06/12/2025"/>
        </groupItems>
      </fieldGroup>
    </cacheField>
    <cacheField name="Quarters (Release_Date)" numFmtId="0" databaseField="0">
      <fieldGroup base="2">
        <rangePr groupBy="quarters" startDate="1998-11-19T00:00:00" endDate="2025-12-06T00:00:00"/>
        <groupItems count="6">
          <s v="&lt;19/11/1998"/>
          <s v="Qtr1"/>
          <s v="Qtr2"/>
          <s v="Qtr3"/>
          <s v="Qtr4"/>
          <s v="&gt;06/12/2025"/>
        </groupItems>
      </fieldGroup>
    </cacheField>
    <cacheField name="Years (Release_Date)" numFmtId="0" databaseField="0">
      <fieldGroup base="2">
        <rangePr groupBy="years" startDate="1998-11-19T00:00:00" endDate="2025-12-06T00:00:00"/>
        <groupItems count="30">
          <s v="&lt;19/11/1998"/>
          <s v="1998"/>
          <s v="1999"/>
          <s v="2000"/>
          <s v="2001"/>
          <s v="2002"/>
          <s v="2003"/>
          <s v="2004"/>
          <s v="2005"/>
          <s v="2006"/>
          <s v="2007"/>
          <s v="2008"/>
          <s v="2009"/>
          <s v="2010"/>
          <s v="2011"/>
          <s v="2012"/>
          <s v="2013"/>
          <s v="2014"/>
          <s v="2015"/>
          <s v="2016"/>
          <s v="2017"/>
          <s v="2018"/>
          <s v="2019"/>
          <s v="2020"/>
          <s v="2021"/>
          <s v="2022"/>
          <s v="2023"/>
          <s v="2024"/>
          <s v="2025"/>
          <s v="&gt;06/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ridhar" refreshedDate="46256.825140740744" createdVersion="8" refreshedVersion="8" minRefreshableVersion="3" recordCount="6783" xr:uid="{2834D97B-D574-491F-B64E-2C3361A88C18}">
  <cacheSource type="worksheet">
    <worksheetSource name="TableMainPivot"/>
  </cacheSource>
  <cacheFields count="9">
    <cacheField name="AppID" numFmtId="0">
      <sharedItems containsSemiMixedTypes="0" containsString="0" containsNumber="1" containsInteger="1" minValue="10" maxValue="3511030"/>
    </cacheField>
    <cacheField name="Name" numFmtId="0">
      <sharedItems/>
    </cacheField>
    <cacheField name="Release_Date" numFmtId="14">
      <sharedItems containsSemiMixedTypes="0" containsNonDate="0" containsDate="1" containsString="0" minDate="1998-11-19T00:00:00" maxDate="2025-12-06T00:00:00"/>
    </cacheField>
    <cacheField name="Peak_CCU" numFmtId="0">
      <sharedItems containsSemiMixedTypes="0" containsString="0" containsNumber="1" containsInteger="1" minValue="328" maxValue="1013936"/>
    </cacheField>
    <cacheField name="Linux" numFmtId="0">
      <sharedItems/>
    </cacheField>
    <cacheField name="CCU Rank" numFmtId="0">
      <sharedItems containsSemiMixedTypes="0" containsString="0" containsNumber="1" containsInteger="1" minValue="1" maxValue="971"/>
    </cacheField>
    <cacheField name="Rec_GPU" numFmtId="0">
      <sharedItems/>
    </cacheField>
    <cacheField name="Genre" numFmtId="0">
      <sharedItems count="7">
        <s v="Action"/>
        <s v="Indie"/>
        <s v="Adventure"/>
        <s v="Simulation"/>
        <s v="RPG"/>
        <s v="Strategy"/>
        <s v="Free To Play"/>
      </sharedItems>
    </cacheField>
    <cacheField name="Genre_Flag" numFmtId="0">
      <sharedItems count="2">
        <s v="Y"/>
        <s v="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9">
  <r>
    <n v="730"/>
    <s v="Counter-Strike 2"/>
    <x v="0"/>
    <n v="1013936"/>
    <b v="0"/>
    <s v="Multi-player,Cross-Platform Multiplayer,Steam Trading Cards,Steam Workshop,In-App Purchases,Adjustable Text Size,Camera Comfort,Color Alternatives,Custom Volume Controls,Playable without Timed Input,Stereo Sound,Surround Sound,Valve Anti-Cheat enabled,Stats,Remote Play on Phone,Remote Play on Tablet,Remote Play on TV,Steam Timeline"/>
    <s v="Action,Free To Play"/>
    <n v="1"/>
    <s v="GTX 970"/>
    <s v="N"/>
    <s v="Y"/>
    <s v="Y"/>
    <s v="N"/>
    <s v="N"/>
    <s v="N"/>
    <s v="N"/>
    <s v="N"/>
    <s v="Y"/>
  </r>
  <r>
    <n v="570"/>
    <s v="Dota 2"/>
    <x v="1"/>
    <n v="623941"/>
    <b v="1"/>
    <s v="Multi-player,Co-op,Steam Trading Cards,Steam Workshop,SteamVR Collectibles,In-App Purchases,Camera Comfort,Color Alternatives,Custom Volume Controls,Valve Anti-Cheat enabled,Steam Timeline"/>
    <s v="Action,Strategy,Free To Play"/>
    <n v="2"/>
    <s v="R9 290"/>
    <s v="N"/>
    <s v="Y"/>
    <s v="Y"/>
    <s v="N"/>
    <s v="N"/>
    <s v="N"/>
    <s v="N"/>
    <s v="Y"/>
    <s v="Y"/>
  </r>
  <r>
    <n v="578080"/>
    <s v="PUBG: BATTLEGROUNDS"/>
    <x v="2"/>
    <n v="314682"/>
    <b v="0"/>
    <s v="Multi-player,PvP,Online PvP,Stats,Remote Play on Phone,Remote Play on Tablet"/>
    <s v="Action,Adventure,Massively Multiplayer,Free To Play"/>
    <n v="3"/>
    <s v="RX 580"/>
    <s v="N"/>
    <s v="Y"/>
    <s v="Y"/>
    <s v="N"/>
    <s v="Y"/>
    <s v="N"/>
    <s v="N"/>
    <s v="N"/>
    <s v="Y"/>
  </r>
  <r>
    <n v="3419430"/>
    <s v="Bongo Cat"/>
    <x v="3"/>
    <n v="164168"/>
    <b v="0"/>
    <s v="Single-player,Multi-player,Co-op,Online Co-op,Steam Achievements,Partial Controller Support,Stats"/>
    <s v="Casual,Indie,Massively Multiplayer,Simulation,Free To Play"/>
    <n v="4"/>
    <s v="Radeon Vega 11"/>
    <s v="Y"/>
    <s v="Y"/>
    <s v="N"/>
    <s v="Y"/>
    <s v="N"/>
    <s v="Y"/>
    <s v="N"/>
    <s v="N"/>
    <s v="Y"/>
  </r>
  <r>
    <n v="2622380"/>
    <s v="ELDEN RING NIGHTREIGN"/>
    <x v="4"/>
    <n v="163599"/>
    <b v="0"/>
    <s v="Single-player,Multi-player,Co-op,Online Co-op,Steam Achievements,Full controller support,Camera Comfort,Custom Volume Controls,Playable without Timed Input,Stereo Sound,Surround Sound,Steam Cloud,Family Sharing"/>
    <s v="Action,RPG"/>
    <n v="5"/>
    <s v="GTX 1070"/>
    <s v="Y"/>
    <s v="Y"/>
    <s v="Y"/>
    <s v="N"/>
    <s v="N"/>
    <s v="N"/>
    <s v="Y"/>
    <s v="N"/>
    <s v="N"/>
  </r>
  <r>
    <n v="252490"/>
    <s v="Rust"/>
    <x v="5"/>
    <n v="143870"/>
    <b v="1"/>
    <s v="Multi-player,MMO,PvP,Online PvP,Co-op,Online Co-op,Cross-Platform Multiplayer,Steam Achievements,Steam Trading Cards,Steam Workshop,In-App Purchases,Valve Anti-Cheat enabled,Stats,Remote Play on Tablet"/>
    <s v="Action,Adventure,Indie,Massively Multiplayer,RPG"/>
    <n v="6"/>
    <s v="RTX 3060"/>
    <s v="N"/>
    <s v="Y"/>
    <s v="Y"/>
    <s v="Y"/>
    <s v="Y"/>
    <s v="N"/>
    <s v="Y"/>
    <s v="N"/>
    <s v="N"/>
  </r>
  <r>
    <n v="1172470"/>
    <s v="Apex Legends"/>
    <x v="6"/>
    <n v="124262"/>
    <b v="0"/>
    <s v="Multi-player,PvP,Online PvP,Co-op,Online Co-op,Steam Achievements,Full controller support,Steam Trading Cards,In-App Purchases,Chat Speech-to-text,Playable without Timed Input"/>
    <s v="Action,Adventure,Free To Play"/>
    <n v="7"/>
    <s v="GTX 970"/>
    <s v="N"/>
    <s v="Y"/>
    <s v="Y"/>
    <s v="N"/>
    <s v="Y"/>
    <s v="N"/>
    <s v="N"/>
    <s v="N"/>
    <s v="Y"/>
  </r>
  <r>
    <n v="2767030"/>
    <s v="Marvel Rivals"/>
    <x v="7"/>
    <n v="106611"/>
    <b v="0"/>
    <s v="Multi-player,PvP,Online PvP,Co-op,Online Co-op,Cross-Platform Multiplayer,Steam Achievements,Full controller support,In-App Purchases"/>
    <s v="Action,Free To Play"/>
    <n v="8"/>
    <s v="RTX 2060"/>
    <s v="N"/>
    <s v="Y"/>
    <s v="Y"/>
    <s v="N"/>
    <s v="N"/>
    <s v="N"/>
    <s v="N"/>
    <s v="N"/>
    <s v="Y"/>
  </r>
  <r>
    <n v="431960"/>
    <s v="Wallpaper Engine"/>
    <x v="8"/>
    <n v="91184"/>
    <b v="0"/>
    <s v="Steam Achievements,Steam Trading Cards,Steam Workshop,Steam Workshop,Includes level editor"/>
    <s v="Casual,Indie,Animation &amp; Modeling,Design &amp; Illustration,Photo Editing,Utilities"/>
    <n v="9"/>
    <s v="RX 560"/>
    <s v="N"/>
    <s v="N"/>
    <s v="N"/>
    <s v="Y"/>
    <s v="N"/>
    <s v="N"/>
    <s v="N"/>
    <s v="N"/>
    <s v="N"/>
  </r>
  <r>
    <n v="1671210"/>
    <s v="DELTARUNE"/>
    <x v="9"/>
    <n v="83936"/>
    <b v="1"/>
    <s v="Single-player,Full controller support,Steam Cloud,Family Sharing"/>
    <s v="Indie,RPG"/>
    <n v="10"/>
    <s v="Radeon Vega 11"/>
    <s v="Y"/>
    <s v="N"/>
    <s v="N"/>
    <s v="Y"/>
    <s v="N"/>
    <s v="N"/>
    <s v="Y"/>
    <s v="N"/>
    <s v="N"/>
  </r>
  <r>
    <n v="271590"/>
    <s v="Grand Theft Auto V Legacy"/>
    <x v="10"/>
    <n v="67851"/>
    <b v="0"/>
    <s v="Single-player,Multi-player,PvP,Online PvP,Co-op,Online Co-op,Steam Achievements,Full controller support,Remote Play on Phone,Remote Play on Tablet,Remote Play on TV"/>
    <s v="Action,Adventure"/>
    <n v="11"/>
    <s v="R9 380"/>
    <s v="Y"/>
    <s v="Y"/>
    <s v="Y"/>
    <s v="N"/>
    <s v="Y"/>
    <s v="N"/>
    <s v="N"/>
    <s v="N"/>
    <s v="N"/>
  </r>
  <r>
    <n v="1938090"/>
    <s v="Call of Duty"/>
    <x v="11"/>
    <n v="67419"/>
    <b v="0"/>
    <s v="Single-player,Multi-player,PvP,Online PvP,Co-op,Online Co-op,Cross-Platform Multiplayer,Steam Achievements,Captions available,In-App Purchases,Adjustable Text Size,Camera Comfort,Color Alternatives,Custom Volume Controls,Playable without Timed Input,Stereo Sound,Subtitle Options,Surround Sound,Partial Controller Support,HDR available"/>
    <s v="Action"/>
    <n v="12"/>
    <s v="RX 6600 XT"/>
    <s v="Y"/>
    <s v="Y"/>
    <s v="Y"/>
    <s v="N"/>
    <s v="N"/>
    <s v="N"/>
    <s v="N"/>
    <s v="N"/>
    <s v="N"/>
  </r>
  <r>
    <n v="1203220"/>
    <s v="NARAKA: BLADEPOINT"/>
    <x v="12"/>
    <n v="66954"/>
    <b v="0"/>
    <s v="Multi-player,PvP,Online PvP,Steam Achievements,Steam Trading Cards,In-App Purchases,Partial Controller Support,HDR available"/>
    <s v="Action,Adventure,Massively Multiplayer,Free To Play"/>
    <n v="13"/>
    <s v="GTX 1060"/>
    <s v="N"/>
    <s v="Y"/>
    <s v="Y"/>
    <s v="N"/>
    <s v="Y"/>
    <s v="N"/>
    <s v="N"/>
    <s v="N"/>
    <s v="Y"/>
  </r>
  <r>
    <n v="1086940"/>
    <s v="Baldur's Gate 3"/>
    <x v="13"/>
    <n v="54771"/>
    <b v="1"/>
    <s v="Single-player,Multi-player,Co-op,Online Co-op,LAN Co-op,Cross-Platform Multiplayer,Steam Achievements,Full controller support,Steam Trading Cards,Adjustable Text Size,Camera Comfort,Color Alternatives,Custom Volume Controls,Adjustable Difficulty,Playable without Timed Input,Save Anytime,Stereo Sound,Subtitle Options,Surround Sound,Steam Cloud,Remote Play on TV,Remote Play Together,Family Sharing"/>
    <s v="Adventure,RPG,Strategy"/>
    <n v="14"/>
    <s v="RX 5700 XT"/>
    <s v="Y"/>
    <s v="Y"/>
    <s v="N"/>
    <s v="N"/>
    <s v="Y"/>
    <s v="N"/>
    <s v="Y"/>
    <s v="Y"/>
    <s v="N"/>
  </r>
  <r>
    <n v="553850"/>
    <s v="HELLDIVERS 2"/>
    <x v="14"/>
    <n v="53399"/>
    <b v="0"/>
    <s v="Multi-player,Co-op,Online Co-op,Steam Achievements,In-App Purchases,Adjustable Text Size,Camera Comfort,Chat Speech-to-text,Chat Text-to-speech,Color Alternatives,Custom Volume Controls,Adjustable Difficulty,Narrated Game Menus,Playable without Timed Input,Stereo Sound,Subtitle Options,Surround Sound,Partial Controller Support,Family Sharing"/>
    <s v="Action"/>
    <n v="15"/>
    <s v="RTX 2060"/>
    <s v="N"/>
    <s v="Y"/>
    <s v="Y"/>
    <s v="N"/>
    <s v="N"/>
    <s v="N"/>
    <s v="N"/>
    <s v="N"/>
    <s v="N"/>
  </r>
  <r>
    <n v="359550"/>
    <s v="Tom Clancy's Rainbow Six Siege X"/>
    <x v="15"/>
    <n v="51847"/>
    <b v="0"/>
    <s v="Single-player,Multi-player,PvP,Online PvP,Co-op,Online Co-op,Full controller support,Steam Trading Cards,In-App Purchases,Remote Play on Phone,Remote Play on Tablet"/>
    <s v="Action,Free To Play"/>
    <n v="16"/>
    <s v="RTX 2060"/>
    <s v="Y"/>
    <s v="Y"/>
    <s v="Y"/>
    <s v="N"/>
    <s v="N"/>
    <s v="N"/>
    <s v="N"/>
    <s v="N"/>
    <s v="Y"/>
  </r>
  <r>
    <n v="413150"/>
    <s v="Stardew Valley"/>
    <x v="16"/>
    <n v="50662"/>
    <b v="1"/>
    <s v="Single-player,Multi-player,Co-op,Online Co-op,LAN Co-op,Shared/Split Screen Co-op,Shared/Split Screen,Steam Achievements,Full controller support,Steam Trading Cards,Steam Cloud,Remote Play on Phone,Remote Play on Tablet,Remote Play Together,Family Sharing"/>
    <s v="Indie,RPG,Simulation"/>
    <n v="17"/>
    <s v="Intel HD Graphics"/>
    <s v="Y"/>
    <s v="Y"/>
    <s v="N"/>
    <s v="Y"/>
    <s v="N"/>
    <s v="Y"/>
    <s v="Y"/>
    <s v="N"/>
    <s v="N"/>
  </r>
  <r>
    <n v="236390"/>
    <s v="War Thunder"/>
    <x v="17"/>
    <n v="50478"/>
    <b v="1"/>
    <s v="Single-player,Multi-player,MMO,PvP,Online PvP,Co-op,Online Co-op,Cross-Platform Multiplayer,Steam Achievements,Full controller support,VR Supported,Steam Trading Cards,In-App Purchases,Adjustable Text Size,Camera Comfort,Color Alternatives,Custom Volume Controls,Playable without Timed Input,Stereo Sound,Surround Sound,Remote Play on Phone,Remote Play on Tablet"/>
    <s v="Action,Massively Multiplayer,Simulation,Free To Play"/>
    <n v="18"/>
    <s v="GTX 780 Ti"/>
    <s v="Y"/>
    <s v="Y"/>
    <s v="Y"/>
    <s v="N"/>
    <s v="N"/>
    <s v="Y"/>
    <s v="N"/>
    <s v="N"/>
    <s v="Y"/>
  </r>
  <r>
    <n v="2252570"/>
    <s v="Football Manager 2024"/>
    <x v="18"/>
    <n v="47931"/>
    <b v="1"/>
    <s v="Single-player,Multi-player,Steam Achievements,Steam Cloud,Family Sharing"/>
    <s v="Simulation,Sports,Strategy"/>
    <n v="19"/>
    <s v="Radeon Vega 11"/>
    <s v="Y"/>
    <s v="Y"/>
    <s v="N"/>
    <s v="N"/>
    <s v="N"/>
    <s v="Y"/>
    <s v="N"/>
    <s v="Y"/>
    <s v="N"/>
  </r>
  <r>
    <n v="381210"/>
    <s v="Dead by Daylight"/>
    <x v="19"/>
    <n v="44886"/>
    <b v="0"/>
    <s v="Multi-player,PvP,Online PvP,Co-op,Online Co-op,Cross-Platform Multiplayer,Steam Achievements,Full controller support,Steam Trading Cards,Steam Cloud,Remote Play on Phone,Remote Play on Tablet,Remote Play on TV,Family Sharing"/>
    <s v="Action"/>
    <n v="20"/>
    <s v="GTX 970"/>
    <s v="N"/>
    <s v="Y"/>
    <s v="Y"/>
    <s v="N"/>
    <s v="N"/>
    <s v="N"/>
    <s v="N"/>
    <s v="N"/>
    <s v="N"/>
  </r>
  <r>
    <n v="440"/>
    <s v="Team Fortress 2"/>
    <x v="20"/>
    <n v="43819"/>
    <b v="0"/>
    <s v="Multi-player,Cross-Platform Multiplayer,Steam Achievements,Steam Trading Cards,Captions available,Steam Workshop,In-App Purchases,Camera Comfort,Color Alternatives,Custom Volume Controls,Stereo Sound,Surround Sound,Partial Controller Support,Valve Anti-Cheat enabled,Stats,Includes level editor,Commentary available,Remote Play on Phone,Remote Play on Tablet"/>
    <s v="Action,Free To Play"/>
    <n v="21"/>
    <s v="Radeon Graphics"/>
    <s v="N"/>
    <s v="Y"/>
    <s v="Y"/>
    <s v="N"/>
    <s v="N"/>
    <s v="N"/>
    <s v="N"/>
    <s v="N"/>
    <s v="Y"/>
  </r>
  <r>
    <n v="2669320"/>
    <s v="EA SPORTS FC 25"/>
    <x v="21"/>
    <n v="42032"/>
    <b v="0"/>
    <s v="Single-player,Multi-player,PvP,Online PvP,Shared/Split Screen PvP,Co-op,Online Co-op,Shared/Split Screen Co-op,Shared/Split Screen,Cross-Platform Multiplayer,Steam Achievements,Full controller support,In-App Purchases,Adjustable Difficulty,Keyboard Only Option,Stereo Sound,Remote Play Together,HDR available"/>
    <s v="Simulation,Sports"/>
    <n v="22"/>
    <s v="RX 5600 XT"/>
    <s v="Y"/>
    <s v="Y"/>
    <s v="N"/>
    <s v="N"/>
    <s v="N"/>
    <s v="Y"/>
    <s v="N"/>
    <s v="N"/>
    <s v="N"/>
  </r>
  <r>
    <n v="1366800"/>
    <s v="Crosshair X"/>
    <x v="22"/>
    <n v="41428"/>
    <b v="0"/>
    <s v="Captions available,Steam Workshop,Partial Controller Support,Steam Cloud"/>
    <s v="Action,Adventure,Indie,Animation &amp; Modeling,Design &amp; Illustration,Education,Photo Editing,Utilities,Game Development"/>
    <n v="23"/>
    <s v="GTX 1050"/>
    <s v="N"/>
    <s v="N"/>
    <s v="Y"/>
    <s v="Y"/>
    <s v="Y"/>
    <s v="N"/>
    <s v="N"/>
    <s v="N"/>
    <s v="N"/>
  </r>
  <r>
    <n v="3240220"/>
    <s v="Grand Theft Auto V Enhanced"/>
    <x v="23"/>
    <n v="39502"/>
    <b v="0"/>
    <s v="Single-player,Multi-player,PvP,Online PvP,Co-op,Online Co-op,Steam Achievements,In-App Purchases,Partial Controller Support,Remote Play on Phone,Remote Play on Tablet"/>
    <s v="Action,Adventure,Racing"/>
    <n v="24"/>
    <s v="RTX 3060"/>
    <s v="Y"/>
    <s v="Y"/>
    <s v="Y"/>
    <s v="N"/>
    <s v="Y"/>
    <s v="N"/>
    <s v="N"/>
    <s v="N"/>
    <s v="N"/>
  </r>
  <r>
    <n v="221100"/>
    <s v="DayZ"/>
    <x v="24"/>
    <n v="37066"/>
    <b v="0"/>
    <s v="Multi-player,MMO,PvP,Online PvP,Co-op,Online Co-op,Steam Achievements,Steam Trading Cards,Steam Workshop,Steam Cloud,Valve Anti-Cheat enabled"/>
    <s v="Action,Adventure,Massively Multiplayer"/>
    <n v="25"/>
    <s v="GTX 1060"/>
    <s v="N"/>
    <s v="Y"/>
    <s v="Y"/>
    <s v="N"/>
    <s v="Y"/>
    <s v="N"/>
    <s v="N"/>
    <s v="N"/>
    <s v="N"/>
  </r>
  <r>
    <n v="230410"/>
    <s v="Warframe"/>
    <x v="25"/>
    <n v="36195"/>
    <b v="0"/>
    <s v="Single-player,Multi-player,Co-op,Online Co-op,Cross-Platform Multiplayer,Steam Achievements,Full controller support,Steam Trading Cards,Steam Workshop,In-App Purchases,Camera Comfort,Color Alternatives,Custom Volume Controls,Playable without Timed Input,Stereo Sound,Surround Sound,Remote Play on Phone,Remote Play on Tablet,Remote Play on TV,HDR available"/>
    <s v="Action,RPG,Free To Play"/>
    <n v="26"/>
    <s v="R9 290"/>
    <s v="Y"/>
    <s v="Y"/>
    <s v="Y"/>
    <s v="N"/>
    <s v="N"/>
    <s v="N"/>
    <s v="Y"/>
    <s v="N"/>
    <s v="Y"/>
  </r>
  <r>
    <n v="438100"/>
    <s v="VRChat"/>
    <x v="26"/>
    <n v="34699"/>
    <b v="0"/>
    <s v="Multi-player,MMO,PvP,Online PvP,Co-op,Online Co-op,Cross-Platform Multiplayer,Full controller support,Tracked Controller Support,VR Supported,In-App Purchases"/>
    <s v="Adventure,Casual,Massively Multiplayer,Simulation,Sports,Free To Play,Early Access"/>
    <n v="27"/>
    <s v="GTX 970"/>
    <s v="N"/>
    <s v="Y"/>
    <s v="N"/>
    <s v="N"/>
    <s v="Y"/>
    <s v="Y"/>
    <s v="N"/>
    <s v="N"/>
    <s v="Y"/>
  </r>
  <r>
    <n v="3241660"/>
    <s v="R.E.P.O."/>
    <x v="27"/>
    <n v="32349"/>
    <b v="0"/>
    <s v="Single-player,Multi-player,Co-op,Online Co-op,Camera Comfort,Custom Volume Controls,Playable without Timed Input,Stereo Sound,Steam Cloud,Family Sharing"/>
    <s v="Action,Early Access"/>
    <n v="28"/>
    <s v="GTX 1070"/>
    <s v="Y"/>
    <s v="Y"/>
    <s v="Y"/>
    <s v="N"/>
    <s v="N"/>
    <s v="N"/>
    <s v="N"/>
    <s v="N"/>
    <s v="N"/>
  </r>
  <r>
    <n v="394360"/>
    <s v="Hearts of Iron IV"/>
    <x v="28"/>
    <n v="32112"/>
    <b v="1"/>
    <s v="Single-player,Multi-player,Co-op,Cross-Platform Multiplayer,Steam Achievements,Steam Trading Cards,Steam Workshop,Steam Cloud,Remote Play on Tablet,Family Sharing"/>
    <s v="Simulation,Strategy"/>
    <n v="29"/>
    <s v="R9 390X"/>
    <s v="Y"/>
    <s v="Y"/>
    <s v="N"/>
    <s v="N"/>
    <s v="N"/>
    <s v="Y"/>
    <s v="N"/>
    <s v="Y"/>
    <s v="N"/>
  </r>
  <r>
    <n v="322330"/>
    <s v="Don't Starve Together"/>
    <x v="29"/>
    <n v="30542"/>
    <b v="1"/>
    <s v="Single-player,Multi-player,PvP,Online PvP,LAN PvP,Co-op,Online Co-op,LAN Co-op,Full controller support,Steam Trading Cards,Steam Workshop,In-App Purchases,Adjustable Text Size,Camera Comfort,Color Alternatives,Custom Volume Controls,Adjustable Difficulty,Keyboard Only Option,Mouse Only Option,Playable without Timed Input,Save Anytime,Stereo Sound,Remote Play on Phone,Remote Play on Tablet,Remote Play on TV,Family Sharing"/>
    <s v="Action,Adventure,Indie,RPG,Simulation,Strategy"/>
    <n v="30"/>
    <s v="Radeon Vega 8"/>
    <s v="Y"/>
    <s v="Y"/>
    <s v="Y"/>
    <s v="Y"/>
    <s v="Y"/>
    <s v="Y"/>
    <s v="Y"/>
    <s v="Y"/>
    <s v="N"/>
  </r>
  <r>
    <n v="1174180"/>
    <s v="Red Dead Redemption 2"/>
    <x v="30"/>
    <n v="29885"/>
    <b v="0"/>
    <s v="Single-player,Multi-player,PvP,Online PvP,Co-op,Online Co-op,Steam Achievements,In-App Purchases,Partial Controller Support,Remote Play on Phone,Remote Play on Tablet"/>
    <s v="Action,Adventure"/>
    <n v="31"/>
    <s v="GTX 1060"/>
    <s v="Y"/>
    <s v="Y"/>
    <s v="Y"/>
    <s v="N"/>
    <s v="Y"/>
    <s v="N"/>
    <s v="N"/>
    <s v="N"/>
    <s v="N"/>
  </r>
  <r>
    <n v="1245620"/>
    <s v="ELDEN RING"/>
    <x v="31"/>
    <n v="29529"/>
    <b v="0"/>
    <s v="Single-player,Multi-player,PvP,Online PvP,Co-op,Online Co-op,Steam Achievements,Full controller support,Steam Trading Cards,Camera Comfort,Custom Volume Controls,Playable without Timed Input,Save Anytime,Stereo Sound,Surround Sound,Steam Cloud,Family Sharing"/>
    <s v="Action,RPG"/>
    <n v="32"/>
    <s v="GTX 1070"/>
    <s v="Y"/>
    <s v="Y"/>
    <s v="Y"/>
    <s v="N"/>
    <s v="N"/>
    <s v="N"/>
    <s v="Y"/>
    <s v="N"/>
    <s v="N"/>
  </r>
  <r>
    <n v="3188910"/>
    <s v="Clicker Cuties - Anime Idler"/>
    <x v="32"/>
    <n v="28258"/>
    <b v="1"/>
    <s v="Single-player,Steam Achievements"/>
    <s v="Casual,Indie,RPG,Simulation,Free To Play"/>
    <n v="33"/>
    <s v="Radeon Vega 8"/>
    <s v="Y"/>
    <s v="N"/>
    <s v="N"/>
    <s v="Y"/>
    <s v="N"/>
    <s v="Y"/>
    <s v="Y"/>
    <s v="N"/>
    <s v="Y"/>
  </r>
  <r>
    <n v="1903340"/>
    <s v="Clair Obscur: Expedition 33"/>
    <x v="33"/>
    <n v="27880"/>
    <b v="0"/>
    <s v="Single-player,Steam Achievements,Full controller support,Adjustable Text Size,Custom Volume Controls,Adjustable Difficulty,Stereo Sound,Subtitle Options,Surround Sound,Steam Cloud,Family Sharing"/>
    <s v="Action,RPG"/>
    <n v="34"/>
    <s v="RTX 3060 Ti"/>
    <s v="Y"/>
    <s v="N"/>
    <s v="Y"/>
    <s v="N"/>
    <s v="N"/>
    <s v="N"/>
    <s v="Y"/>
    <s v="N"/>
    <s v="N"/>
  </r>
  <r>
    <n v="322170"/>
    <s v="Geometry Dash"/>
    <x v="34"/>
    <n v="27850"/>
    <b v="1"/>
    <s v="Single-player,Steam Achievements,Steam Trading Cards,Partial Controller Support,Includes level editor,Remote Play on Phone,Remote Play on Tablet,Family Sharing"/>
    <s v="Action,Indie"/>
    <n v="35"/>
    <s v="GTX 750"/>
    <s v="Y"/>
    <s v="N"/>
    <s v="Y"/>
    <s v="Y"/>
    <s v="N"/>
    <s v="N"/>
    <s v="N"/>
    <s v="N"/>
    <s v="N"/>
  </r>
  <r>
    <n v="2878980"/>
    <s v="NBA 2K25"/>
    <x v="35"/>
    <n v="27486"/>
    <b v="0"/>
    <s v="Single-player,Multi-player,PvP,Online PvP,Shared/Split Screen PvP,Co-op,Online Co-op,Shared/Split Screen Co-op,Shared/Split Screen,Steam Achievements,In-App Purchases,Partial Controller Support,Steam Cloud,Remote Play Together,Family Sharing"/>
    <s v="Simulation,Sports"/>
    <n v="36"/>
    <s v="RTX 2070"/>
    <s v="Y"/>
    <s v="Y"/>
    <s v="N"/>
    <s v="N"/>
    <s v="N"/>
    <s v="Y"/>
    <s v="N"/>
    <s v="N"/>
    <s v="N"/>
  </r>
  <r>
    <n v="218620"/>
    <s v="PAYDAY 2"/>
    <x v="36"/>
    <n v="27254"/>
    <b v="0"/>
    <s v="Single-player,Multi-player,Co-op,Online Co-op,Steam Achievements,Full controller support,Tracked Controller Support,VR Supported,Steam Trading Cards,In-App Purchases,Camera Comfort,Custom Volume Controls,Adjustable Difficulty,Playable without Timed Input,Stereo Sound,Steam Cloud,Remote Play on Phone,Remote Play on Tablet,Remote Play on TV,Family Sharing"/>
    <s v="Action,RPG"/>
    <n v="37"/>
    <s v="GTX 750"/>
    <s v="Y"/>
    <s v="Y"/>
    <s v="Y"/>
    <s v="N"/>
    <s v="N"/>
    <s v="N"/>
    <s v="Y"/>
    <s v="N"/>
    <s v="N"/>
  </r>
  <r>
    <n v="289070"/>
    <s v="Sid Meier's Civilization VI"/>
    <x v="37"/>
    <n v="25420"/>
    <b v="1"/>
    <s v="Single-player,Multi-player,PvP,Online PvP,LAN PvP,Shared/Split Screen PvP,Shared/Split Screen,Cross-Platform Multiplayer,Steam Achievements,Steam Trading Cards,Steam Workshop,In-App Purchases,Steam Turn Notifications,Remote Play on Tablet,Remote Play Together,Family Sharing"/>
    <s v="Strategy"/>
    <n v="38"/>
    <s v="GTX 1050"/>
    <s v="Y"/>
    <s v="Y"/>
    <s v="N"/>
    <s v="N"/>
    <s v="N"/>
    <s v="N"/>
    <s v="N"/>
    <s v="Y"/>
    <s v="N"/>
  </r>
  <r>
    <n v="1222670"/>
    <s v="The Sims 4"/>
    <x v="38"/>
    <n v="25276"/>
    <b v="0"/>
    <s v="Single-player,Steam Trading Cards,Mouse Only Option,Playable without Timed Input,Save Anytime,Stereo Sound,Surround Sound,Remote Play on Tablet"/>
    <s v="Adventure,Casual,Simulation,Free To Play"/>
    <n v="39"/>
    <s v="Radeon Vega 8"/>
    <s v="Y"/>
    <s v="N"/>
    <s v="N"/>
    <s v="N"/>
    <s v="Y"/>
    <s v="Y"/>
    <s v="N"/>
    <s v="N"/>
    <s v="Y"/>
  </r>
  <r>
    <n v="550"/>
    <s v="Left 4 Dead 2"/>
    <x v="39"/>
    <n v="25122"/>
    <b v="0"/>
    <s v="Single-player,Multi-player,PvP,Online PvP,Co-op,Online Co-op,Steam Achievements,Full controller support,Steam Trading Cards,Captions available,Steam Workshop,Camera Comfort,Color Alternatives,Custom Volume Controls,Adjustable Difficulty,Playable without Timed Input,Stereo Sound,Surround Sound,Steam Cloud,Valve Anti-Cheat enabled,Stats,Includes Source SDK,Commentary available,Remote Play on Phone,Remote Play on Tablet,Remote Play on TV,Remote Play Together,Family Sharing,Steam Timeline"/>
    <s v="Action"/>
    <n v="40"/>
    <s v="Radeon Graphics"/>
    <s v="Y"/>
    <s v="Y"/>
    <s v="Y"/>
    <s v="N"/>
    <s v="N"/>
    <s v="N"/>
    <s v="N"/>
    <s v="N"/>
    <s v="N"/>
  </r>
  <r>
    <n v="489830"/>
    <s v="The Elder Scrolls V: Skyrim Special Edition"/>
    <x v="40"/>
    <n v="25085"/>
    <b v="0"/>
    <s v="Single-player,Steam Achievements,Playable without Timed Input,Save Anytime,Stereo Sound,Surround Sound,Partial Controller Support,Steam Cloud,Remote Play on Phone,Remote Play on Tablet,Family Sharing"/>
    <s v="RPG"/>
    <n v="41"/>
    <s v="GTX 1050 Ti"/>
    <s v="Y"/>
    <s v="N"/>
    <s v="N"/>
    <s v="N"/>
    <s v="N"/>
    <s v="N"/>
    <s v="Y"/>
    <s v="N"/>
    <s v="N"/>
  </r>
  <r>
    <n v="1085660"/>
    <s v="Destiny 2"/>
    <x v="41"/>
    <n v="24619"/>
    <b v="0"/>
    <s v="Single-player,Multi-player,PvP,Online PvP,Co-op,Online Co-op,Steam Achievements,In-App Purchases,Color Alternatives,Custom Volume Controls,Subtitle Options,Partial Controller Support"/>
    <s v="Action,Adventure,Free To Play"/>
    <n v="42"/>
    <s v="GTX 970"/>
    <s v="Y"/>
    <s v="Y"/>
    <s v="Y"/>
    <s v="N"/>
    <s v="Y"/>
    <s v="N"/>
    <s v="N"/>
    <s v="N"/>
    <s v="Y"/>
  </r>
  <r>
    <n v="105600"/>
    <s v="Terraria"/>
    <x v="42"/>
    <n v="24580"/>
    <b v="1"/>
    <s v="Single-player,Multi-player,PvP,Online PvP,Co-op,Online Co-op,Steam Achievements,Full controller support,Steam Trading Cards,Steam Cloud,Remote Play on Phone,Remote Play on Tablet,Remote Play on TV,Family Sharing"/>
    <s v="Action,Adventure,Indie,RPG"/>
    <n v="43"/>
    <s v="Radeon Graphics"/>
    <s v="Y"/>
    <s v="Y"/>
    <s v="Y"/>
    <s v="Y"/>
    <s v="Y"/>
    <s v="N"/>
    <s v="Y"/>
    <s v="N"/>
    <s v="N"/>
  </r>
  <r>
    <n v="108600"/>
    <s v="Project Zomboid"/>
    <x v="43"/>
    <n v="22864"/>
    <b v="1"/>
    <s v="Single-player,Multi-player,PvP,Online PvP,Co-op,Online Co-op,Shared/Split Screen Co-op,Shared/Split Screen,Cross-Platform Multiplayer,Steam Trading Cards,Steam Workshop,Partial Controller Support,Remote Play Together,Family Sharing"/>
    <s v="Indie,RPG,Simulation,Early Access"/>
    <n v="44"/>
    <s v="Radeon Graphics"/>
    <s v="Y"/>
    <s v="Y"/>
    <s v="N"/>
    <s v="Y"/>
    <s v="N"/>
    <s v="Y"/>
    <s v="Y"/>
    <s v="N"/>
    <s v="N"/>
  </r>
  <r>
    <n v="3164500"/>
    <s v="Schedule I"/>
    <x v="44"/>
    <n v="22757"/>
    <b v="0"/>
    <s v="Single-player,Multi-player,Co-op,Online Co-op,Steam Achievements,Adjustable Text Size,Camera Comfort,Custom Volume Controls,Save Anytime,Stereo Sound,Steam Cloud,Family Sharing"/>
    <s v="Action,Indie,Simulation,Strategy,Early Access"/>
    <n v="45"/>
    <s v="RTX 3060"/>
    <s v="Y"/>
    <s v="Y"/>
    <s v="Y"/>
    <s v="Y"/>
    <s v="N"/>
    <s v="Y"/>
    <s v="N"/>
    <s v="Y"/>
    <s v="N"/>
  </r>
  <r>
    <n v="1091500"/>
    <s v="Cyberpunk 2077"/>
    <x v="45"/>
    <n v="22265"/>
    <b v="1"/>
    <s v="Single-player,Steam Achievements,Full controller support,Steam Trading Cards,Adjustable Text Size,Camera Comfort,Color Alternatives,Custom Volume Controls,Adjustable Difficulty,Playable without Timed Input,Save Anytime,Stereo Sound,Subtitle Options,Surround Sound,Steam Cloud,Family Sharing"/>
    <s v="RPG"/>
    <n v="46"/>
    <s v="RTX 2060 SUPER"/>
    <s v="Y"/>
    <s v="N"/>
    <s v="N"/>
    <s v="N"/>
    <s v="N"/>
    <s v="N"/>
    <s v="Y"/>
    <s v="N"/>
    <s v="N"/>
  </r>
  <r>
    <n v="346110"/>
    <s v="ARK: Survival Evolved"/>
    <x v="46"/>
    <n v="22170"/>
    <b v="1"/>
    <s v="Single-player,Multi-player,MMO,Co-op,Steam Achievements,Full controller support,Steam Workshop,Steam Cloud,Valve Anti-Cheat enabled,Includes level editor,Remote Play on Tablet,Family Sharing"/>
    <s v="Action,Adventure,Indie,Massively Multiplayer,RPG"/>
    <n v="47"/>
    <s v="GTX 1050"/>
    <s v="Y"/>
    <s v="Y"/>
    <s v="Y"/>
    <s v="Y"/>
    <s v="Y"/>
    <s v="N"/>
    <s v="Y"/>
    <s v="N"/>
    <s v="N"/>
  </r>
  <r>
    <n v="252950"/>
    <s v="Rocket League"/>
    <x v="47"/>
    <n v="21106"/>
    <b v="0"/>
    <s v="Single-player,Multi-player,PvP,Online PvP,Shared/Split Screen PvP,Co-op,Online Co-op,Shared/Split Screen Co-op,Shared/Split Screen,Cross-Platform Multiplayer,Steam Achievements,Steam Trading Cards,Steam Workshop,Partial Controller Support,Steam Cloud,Stats,Remote Play on Phone,Remote Play on Tablet,Remote Play on TV,Remote Play Together,Family Sharing"/>
    <s v="Action,Indie,Racing,Sports"/>
    <n v="48"/>
    <s v="GTX 980"/>
    <s v="Y"/>
    <s v="Y"/>
    <s v="Y"/>
    <s v="Y"/>
    <s v="N"/>
    <s v="N"/>
    <s v="N"/>
    <s v="N"/>
    <s v="N"/>
  </r>
  <r>
    <n v="39210"/>
    <s v="FINAL FANTASY XIV Online"/>
    <x v="48"/>
    <n v="19824"/>
    <b v="0"/>
    <s v="Single-player,Multi-player,MMO,PvP,Online PvP,Co-op,Online Co-op,Cross-Platform Multiplayer,Adjustable Text Size,Custom Volume Controls,Keyboard Only Option,Save Anytime,Stereo Sound,Surround Sound,Partial Controller Support,Remote Play on Tablet,Family Sharing"/>
    <s v="Massively Multiplayer,RPG"/>
    <n v="49"/>
    <s v="RTX 2060"/>
    <s v="Y"/>
    <s v="Y"/>
    <s v="N"/>
    <s v="N"/>
    <s v="N"/>
    <s v="N"/>
    <s v="Y"/>
    <s v="N"/>
    <s v="N"/>
  </r>
  <r>
    <n v="2993780"/>
    <s v="FANTASY LIFE i: The Girl Who Steals Time"/>
    <x v="49"/>
    <n v="19498"/>
    <b v="0"/>
    <s v="Single-player,Multi-player,Co-op,Online Co-op,Cross-Platform Multiplayer,Steam Achievements,Full controller support,Steam Cloud,HDR available,Family Sharing"/>
    <s v="RPG"/>
    <n v="50"/>
    <s v="GTX 1060"/>
    <s v="Y"/>
    <s v="Y"/>
    <s v="N"/>
    <s v="N"/>
    <s v="N"/>
    <s v="N"/>
    <s v="Y"/>
    <s v="N"/>
    <s v="N"/>
  </r>
  <r>
    <n v="294100"/>
    <s v="RimWorld"/>
    <x v="50"/>
    <n v="19211"/>
    <b v="1"/>
    <s v="Single-player,Steam Workshop,Partial Controller Support,Steam Cloud,Remote Play on Tablet,Family Sharing"/>
    <s v="Indie,Simulation,Strategy"/>
    <n v="51"/>
    <s v="Intel UHD Graphics"/>
    <s v="Y"/>
    <s v="N"/>
    <s v="N"/>
    <s v="Y"/>
    <s v="N"/>
    <s v="Y"/>
    <s v="N"/>
    <s v="Y"/>
    <s v="N"/>
  </r>
  <r>
    <n v="4000"/>
    <s v="Garry's Mod"/>
    <x v="51"/>
    <n v="18400"/>
    <b v="1"/>
    <s v="Single-player,Multi-player,PvP,Online PvP,LAN PvP,Co-op,Online Co-op,LAN Co-op,Cross-Platform Multiplayer,Steam Achievements,Steam Trading Cards,Captions available,Steam Workshop,Color Alternatives,Custom Volume Controls,Adjustable Difficulty,Playable without Timed Input,Save Anytime,Stereo Sound,Steam Cloud,Valve Anti-Cheat enabled,Includes level editor,Includes Source SDK,Remote Play on Tablet,Family Sharing"/>
    <s v="Casual,Indie,Simulation"/>
    <n v="52"/>
    <s v="Intel HD Graphics"/>
    <s v="Y"/>
    <s v="Y"/>
    <s v="N"/>
    <s v="Y"/>
    <s v="N"/>
    <s v="Y"/>
    <s v="N"/>
    <s v="N"/>
    <s v="N"/>
  </r>
  <r>
    <n v="1623730"/>
    <s v="Palworld"/>
    <x v="52"/>
    <n v="18028"/>
    <b v="0"/>
    <s v="Single-player,Multi-player,Co-op,Online Co-op,Cross-Platform Multiplayer,Steam Achievements,Full controller support,Steam Trading Cards,Steam Workshop,Steam Cloud,Family Sharing"/>
    <s v="Action,Adventure,Indie,RPG,Early Access"/>
    <n v="53"/>
    <s v="RTX 3060 Ti"/>
    <s v="Y"/>
    <s v="Y"/>
    <s v="Y"/>
    <s v="Y"/>
    <s v="Y"/>
    <s v="N"/>
    <s v="Y"/>
    <s v="N"/>
    <s v="N"/>
  </r>
  <r>
    <n v="1599340"/>
    <s v="Lost Ark"/>
    <x v="53"/>
    <n v="17355"/>
    <b v="0"/>
    <s v="Single-player,Multi-player,MMO,PvP,Online PvP,Co-op,Online Co-op,Steam Achievements,In-App Purchases,Adjustable Text Size,Camera Comfort,Color Alternatives,Custom Volume Controls,Keyboard Only Option,Playable without Timed Input,Save Anytime,Partial Controller Support"/>
    <s v="Action,Adventure,Massively Multiplayer,RPG,Free To Play"/>
    <n v="54"/>
    <s v="GTX 1660 SUPER"/>
    <s v="Y"/>
    <s v="Y"/>
    <s v="Y"/>
    <s v="N"/>
    <s v="Y"/>
    <s v="N"/>
    <s v="Y"/>
    <s v="N"/>
    <s v="Y"/>
  </r>
  <r>
    <n v="227300"/>
    <s v="Euro Truck Simulator 2"/>
    <x v="54"/>
    <n v="17281"/>
    <b v="1"/>
    <s v="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on Phone,Remote Play on Tablet,Remote Play Together,Family Sharing"/>
    <s v="Indie,Simulation"/>
    <n v="55"/>
    <s v="GTX 980 Ti"/>
    <s v="Y"/>
    <s v="Y"/>
    <s v="N"/>
    <s v="Y"/>
    <s v="N"/>
    <s v="Y"/>
    <s v="N"/>
    <s v="N"/>
    <s v="N"/>
  </r>
  <r>
    <n v="2379780"/>
    <s v="Balatro"/>
    <x v="55"/>
    <n v="17123"/>
    <b v="1"/>
    <s v="Single-player,Steam Achievements,Full controller support,Steam Trading Cards,Color Alternatives,Custom Volume Controls,Mouse Only Option,Playable without Timed Input,Touch Only Option,Steam Cloud,Family Sharing"/>
    <s v="Casual,Indie,Strategy"/>
    <n v="56"/>
    <s v="Radeon Vega 11"/>
    <s v="Y"/>
    <s v="N"/>
    <s v="N"/>
    <s v="Y"/>
    <s v="N"/>
    <s v="N"/>
    <s v="N"/>
    <s v="Y"/>
    <s v="N"/>
  </r>
  <r>
    <n v="251570"/>
    <s v="7 Days to Die"/>
    <x v="56"/>
    <n v="17045"/>
    <b v="1"/>
    <s v="Single-player,Multi-player,PvP,Online PvP,LAN PvP,Co-op,Online Co-op,LAN Co-op,Cross-Platform Multiplayer,Steam Achievements,Full controller support,Steam Trading Cards,Includes level editor,Remote Play on Tablet,Remote Play on TV,Family Sharing"/>
    <s v="Action,Adventure,Indie,RPG,Simulation,Strategy"/>
    <n v="57"/>
    <s v="GTX 1050"/>
    <s v="Y"/>
    <s v="Y"/>
    <s v="Y"/>
    <s v="Y"/>
    <s v="Y"/>
    <s v="Y"/>
    <s v="Y"/>
    <s v="Y"/>
    <s v="N"/>
  </r>
  <r>
    <n v="1142710"/>
    <s v="Total War: WARHAMMER III"/>
    <x v="57"/>
    <n v="16842"/>
    <b v="1"/>
    <s v="Single-player,Multi-player,PvP,Online PvP,LAN PvP,Co-op,Online Co-op,LAN Co-op,Steam Achievements,Steam Trading Cards,Camera Comfort,Color Alternatives,Custom Volume Controls,Adjustable Difficulty,Playable without Timed Input,Save Anytime,Stereo Sound,Surround Sound,Steam Cloud,Family Sharing"/>
    <s v="Action,Strategy"/>
    <n v="58"/>
    <s v="GTX 1660 Ti"/>
    <s v="Y"/>
    <s v="Y"/>
    <s v="Y"/>
    <s v="N"/>
    <s v="N"/>
    <s v="N"/>
    <s v="N"/>
    <s v="Y"/>
    <s v="N"/>
  </r>
  <r>
    <n v="2694490"/>
    <s v="Path of Exile 2"/>
    <x v="58"/>
    <n v="16727"/>
    <b v="0"/>
    <s v="Single-player,Multi-player,MMO,Co-op,Online Co-op,Full controller support,HDR available"/>
    <s v="Action,Adventure,Massively Multiplayer,RPG,Early Access"/>
    <n v="59"/>
    <s v="RTX 2060"/>
    <s v="Y"/>
    <s v="Y"/>
    <s v="Y"/>
    <s v="N"/>
    <s v="Y"/>
    <s v="N"/>
    <s v="Y"/>
    <s v="N"/>
    <s v="N"/>
  </r>
  <r>
    <n v="427520"/>
    <s v="Factorio"/>
    <x v="59"/>
    <n v="16426"/>
    <b v="1"/>
    <s v="Single-player,Multi-player,Co-op,Online Co-op,LAN Co-op,Cross-Platform Multiplayer,Steam Achievements,Adjustable Text Size,Camera Comfort,Custom Volume Controls,Adjustable Difficulty,Playable without Timed Input,Save Anytime,Subtitle Options,Partial Controller Support,Steam Cloud,Includes level editor,Remote Play on Tablet,Family Sharing"/>
    <s v="Casual,Indie,Simulation,Strategy"/>
    <n v="60"/>
    <s v="GTX 1050 Ti"/>
    <s v="Y"/>
    <s v="Y"/>
    <s v="N"/>
    <s v="Y"/>
    <s v="N"/>
    <s v="Y"/>
    <s v="N"/>
    <s v="Y"/>
    <s v="N"/>
  </r>
  <r>
    <n v="306130"/>
    <s v="The Elder Scrolls Online"/>
    <x v="60"/>
    <n v="15987"/>
    <b v="1"/>
    <s v="Multi-player,MMO,PvP,Online PvP,Co-op,Online Co-op,Steam Trading Cards,Captions available,In-App Purchases,Camera Comfort,Custom Volume Controls,Playable without Timed Input,Stereo Sound,Surround Sound,Partial Controller Support,HDR available,Family Sharing"/>
    <s v="Action,Adventure,Massively Multiplayer,RPG"/>
    <n v="61"/>
    <s v="GTX 970"/>
    <s v="N"/>
    <s v="Y"/>
    <s v="Y"/>
    <s v="N"/>
    <s v="Y"/>
    <s v="N"/>
    <s v="Y"/>
    <s v="N"/>
    <s v="N"/>
  </r>
  <r>
    <n v="292030"/>
    <s v="The Witcher 3: Wild Hunt"/>
    <x v="61"/>
    <n v="15893"/>
    <b v="0"/>
    <s v="Single-player,Steam Achievements,Steam Trading Cards,Steam Workshop,Adjustable Text Size,Camera Comfort,Color Alternatives,Custom Volume Controls,Adjustable Difficulty,Playable without Timed Input,Save Anytime,Stereo Sound,Surround Sound,Partial Controller Support,Steam Cloud,Remote Play on Tablet,Remote Play on TV,Family Sharing"/>
    <s v="RPG"/>
    <n v="62"/>
    <s v="GTX 980 Ti"/>
    <s v="Y"/>
    <s v="N"/>
    <s v="N"/>
    <s v="N"/>
    <s v="N"/>
    <s v="N"/>
    <s v="Y"/>
    <s v="N"/>
    <s v="N"/>
  </r>
  <r>
    <n v="284160"/>
    <s v="BeamNG.drive"/>
    <x v="62"/>
    <n v="15863"/>
    <b v="0"/>
    <s v="Single-player,Steam Achievements,Steam Trading Cards,Camera Comfort,Custom Volume Controls,Keyboard Only Option,Stereo Sound,Surround Sound,Partial Controller Support,Steam Cloud,Includes level editor,Remote Play on Phone,Remote Play on Tablet,Remote Play Together,Family Sharing"/>
    <s v="Racing,Simulation,Early Access"/>
    <n v="63"/>
    <s v="RX 6700"/>
    <s v="Y"/>
    <s v="N"/>
    <s v="N"/>
    <s v="N"/>
    <s v="N"/>
    <s v="Y"/>
    <s v="N"/>
    <s v="N"/>
    <s v="N"/>
  </r>
  <r>
    <n v="629520"/>
    <s v="Soundpad"/>
    <x v="63"/>
    <n v="15279"/>
    <b v="0"/>
    <s v="Family Sharing"/>
    <s v="Audio Production,Utilities"/>
    <n v="64"/>
    <s v="Radeon Vega 8"/>
    <s v="N"/>
    <s v="N"/>
    <s v="N"/>
    <s v="N"/>
    <s v="N"/>
    <s v="N"/>
    <s v="N"/>
    <s v="N"/>
    <s v="N"/>
  </r>
  <r>
    <n v="646570"/>
    <s v="Slay the Spire"/>
    <x v="64"/>
    <n v="15038"/>
    <b v="1"/>
    <s v="Single-player,Steam Achievements,Full controller support,Steam Trading Cards,Steam Workshop,Adjustable Text Size,Custom Volume Controls,Mouse Only Option,Playable without Timed Input,Save Anytime,Touch Only Option,Steam Cloud,Stats,Steam Leaderboards,Remote Play on Phone,Remote Play on Tablet,Remote Play on TV,Family Sharing"/>
    <s v="Indie,Strategy"/>
    <n v="65"/>
    <s v="GTX 750"/>
    <s v="Y"/>
    <s v="N"/>
    <s v="N"/>
    <s v="Y"/>
    <s v="N"/>
    <s v="N"/>
    <s v="N"/>
    <s v="Y"/>
    <s v="N"/>
  </r>
  <r>
    <n v="2358720"/>
    <s v="Black Myth: Wukong"/>
    <x v="65"/>
    <n v="15004"/>
    <b v="0"/>
    <s v="Single-player,Steam Achievements,Full controller support,Steam Trading Cards,Playable without Timed Input,Stereo Sound,Surround Sound,Steam Cloud,Family Sharing"/>
    <s v="Action,Adventure,RPG"/>
    <n v="66"/>
    <s v="RTX 2060"/>
    <s v="Y"/>
    <s v="N"/>
    <s v="Y"/>
    <s v="N"/>
    <s v="Y"/>
    <s v="N"/>
    <s v="Y"/>
    <s v="N"/>
    <s v="N"/>
  </r>
  <r>
    <n v="766570"/>
    <s v="Russian Fishing 4"/>
    <x v="66"/>
    <n v="14950"/>
    <b v="0"/>
    <s v="Single-player,Multi-player,MMO,PvP,Online PvP,Steam Achievements,In-App Purchases,Stats"/>
    <s v="Adventure,Casual,Massively Multiplayer,RPG,Simulation,Sports,Free To Play"/>
    <n v="67"/>
    <s v="GTX 1060"/>
    <s v="Y"/>
    <s v="Y"/>
    <s v="N"/>
    <s v="N"/>
    <s v="Y"/>
    <s v="Y"/>
    <s v="Y"/>
    <s v="N"/>
    <s v="Y"/>
  </r>
  <r>
    <n v="1364780"/>
    <s v="Street Fighter 6"/>
    <x v="67"/>
    <n v="14920"/>
    <b v="0"/>
    <s v="Single-player,Multi-player,PvP,Online PvP,Shared/Split Screen PvP,Shared/Split Screen,Cross-Platform Multiplayer,Steam Achievements,Steam Trading Cards,In-App Purchases,Camera Comfort,Custom Volume Controls,Adjustable Difficulty,Keyboard Only Option,Save Anytime,Stereo Sound,Surround Sound,Partial Controller Support,Steam Cloud,Family Sharing"/>
    <s v="Action,Adventure"/>
    <n v="68"/>
    <s v="RTX 2070"/>
    <s v="Y"/>
    <s v="Y"/>
    <s v="Y"/>
    <s v="N"/>
    <s v="Y"/>
    <s v="N"/>
    <s v="N"/>
    <s v="N"/>
    <s v="N"/>
  </r>
  <r>
    <n v="250900"/>
    <s v="The Binding of Isaac: Rebirth"/>
    <x v="68"/>
    <n v="14904"/>
    <b v="1"/>
    <s v="Single-player,Multi-player,Shared/Split Screen,Steam Achievements,Full controller support,Steam Trading Cards,Steam Cloud,Remote Play on TV,Remote Play Together,Family Sharing"/>
    <s v="Action"/>
    <n v="69"/>
    <s v="Intel HD Graphics"/>
    <s v="Y"/>
    <s v="Y"/>
    <s v="Y"/>
    <s v="N"/>
    <s v="N"/>
    <s v="N"/>
    <s v="N"/>
    <s v="N"/>
    <s v="N"/>
  </r>
  <r>
    <n v="261550"/>
    <s v="Mount &amp; Blade II: Bannerlord"/>
    <x v="69"/>
    <n v="14477"/>
    <b v="0"/>
    <s v="Single-player,Multi-player,PvP,Online PvP,Steam Achievements,Steam Trading Cards,Steam Workshop,Partial Controller Support,Steam Cloud,Includes level editor,Remote Play on Tablet,Family Sharing"/>
    <s v="Action,Indie,RPG,Simulation,Strategy"/>
    <n v="70"/>
    <s v="GTX 1060"/>
    <s v="Y"/>
    <s v="Y"/>
    <s v="Y"/>
    <s v="Y"/>
    <s v="N"/>
    <s v="Y"/>
    <s v="Y"/>
    <s v="Y"/>
    <s v="N"/>
  </r>
  <r>
    <n v="892970"/>
    <s v="Valheim"/>
    <x v="70"/>
    <n v="14439"/>
    <b v="1"/>
    <s v="Single-player,Multi-player,Co-op,Online Co-op,Full controller support,Camera Comfort,Custom Volume Controls,Adjustable Difficulty,Save Anytime,Stereo Sound,Steam Cloud,Remote Play on Tablet,Family Sharing"/>
    <s v="Action,Adventure,Indie,RPG,Early Access"/>
    <n v="71"/>
    <s v="RX 580"/>
    <s v="Y"/>
    <s v="Y"/>
    <s v="Y"/>
    <s v="Y"/>
    <s v="Y"/>
    <s v="N"/>
    <s v="Y"/>
    <s v="N"/>
    <s v="N"/>
  </r>
  <r>
    <n v="2623190"/>
    <s v="The Elder Scrolls IV: Oblivion Remastered"/>
    <x v="71"/>
    <n v="14420"/>
    <b v="0"/>
    <s v="Single-player,Steam Achievements,Steam Trading Cards,Custom Volume Controls,Playable without Timed Input,Stereo Sound,Surround Sound,Partial Controller Support,Steam Cloud,Family Sharing"/>
    <s v="RPG"/>
    <n v="72"/>
    <s v="RX 6800 XT"/>
    <s v="Y"/>
    <s v="N"/>
    <s v="N"/>
    <s v="N"/>
    <s v="N"/>
    <s v="N"/>
    <s v="Y"/>
    <s v="N"/>
    <s v="N"/>
  </r>
  <r>
    <n v="582660"/>
    <s v="Black Desert"/>
    <x v="72"/>
    <n v="14345"/>
    <b v="0"/>
    <s v="Multi-player,MMO,PvP,Online PvP,Co-op,Online Co-op,Steam Trading Cards,In-App Purchases,Partial Controller Support"/>
    <s v="Action,Adventure,Massively Multiplayer,RPG,Strategy"/>
    <n v="73"/>
    <s v="RX 570"/>
    <s v="N"/>
    <s v="Y"/>
    <s v="Y"/>
    <s v="N"/>
    <s v="Y"/>
    <s v="N"/>
    <s v="Y"/>
    <s v="Y"/>
    <s v="N"/>
  </r>
  <r>
    <n v="1158310"/>
    <s v="Crusader Kings III"/>
    <x v="73"/>
    <n v="14302"/>
    <b v="1"/>
    <s v="Single-player,Multi-player,PvP,Online PvP,Steam Achievements,Steam Trading Cards,Steam Workshop,Steam Cloud,Remote Play on Tablet,Family Sharing"/>
    <s v="RPG,Simulation,Strategy"/>
    <n v="74"/>
    <s v="GTX 970"/>
    <s v="Y"/>
    <s v="Y"/>
    <s v="N"/>
    <s v="N"/>
    <s v="N"/>
    <s v="Y"/>
    <s v="Y"/>
    <s v="Y"/>
    <s v="N"/>
  </r>
  <r>
    <n v="291550"/>
    <s v="Brawlhalla"/>
    <x v="74"/>
    <n v="14169"/>
    <b v="1"/>
    <s v="Single-player,Multi-player,PvP,Online PvP,Shared/Split Screen PvP,Co-op,Online Co-op,Shared/Split Screen Co-op,Shared/Split Screen,Cross-Platform Multiplayer,Steam Achievements,Steam Trading Cards,Partial Controller Support,Remote Play on Phone,Remote Play on Tablet,Remote Play on TV,Remote Play Together"/>
    <s v="Action,Indie,Free To Play"/>
    <n v="75"/>
    <s v="Radeon Vega 8"/>
    <s v="Y"/>
    <s v="Y"/>
    <s v="Y"/>
    <s v="Y"/>
    <s v="N"/>
    <s v="N"/>
    <s v="N"/>
    <s v="N"/>
    <s v="Y"/>
  </r>
  <r>
    <n v="281990"/>
    <s v="Stellaris"/>
    <x v="75"/>
    <n v="13727"/>
    <b v="1"/>
    <s v="Single-player,Multi-player,Cross-Platform Multiplayer,Steam Achievements,Steam Trading Cards,Steam Workshop,Steam Cloud,Family Sharing"/>
    <s v="Simulation,Strategy"/>
    <n v="76"/>
    <s v="R9 390X"/>
    <s v="Y"/>
    <s v="Y"/>
    <s v="N"/>
    <s v="N"/>
    <s v="N"/>
    <s v="Y"/>
    <s v="N"/>
    <s v="Y"/>
    <s v="N"/>
  </r>
  <r>
    <n v="813780"/>
    <s v="Age of Empires II: Definitive Edition"/>
    <x v="76"/>
    <n v="13465"/>
    <b v="0"/>
    <s v="Single-player,Multi-player,PvP,Online PvP,LAN PvP,Co-op,Online Co-op,LAN Co-op,Cross-Platform Multiplayer,Steam Achievements,Steam Trading Cards,Steam Cloud,Includes level editor,Family Sharing"/>
    <s v="Strategy"/>
    <n v="77"/>
    <s v="Radeon Vega 8"/>
    <s v="Y"/>
    <s v="Y"/>
    <s v="N"/>
    <s v="N"/>
    <s v="N"/>
    <s v="N"/>
    <s v="N"/>
    <s v="Y"/>
    <s v="N"/>
  </r>
  <r>
    <n v="2300320"/>
    <s v="Farming Simulator 25"/>
    <x v="77"/>
    <n v="13431"/>
    <b v="1"/>
    <s v="Single-player,Multi-player,Co-op,Online Co-op,Steam Achievements,Full controller support,Steam Cloud,Family Sharing"/>
    <s v="Simulation"/>
    <n v="78"/>
    <s v="RTX 2070"/>
    <s v="Y"/>
    <s v="Y"/>
    <s v="N"/>
    <s v="N"/>
    <s v="N"/>
    <s v="Y"/>
    <s v="N"/>
    <s v="N"/>
    <s v="N"/>
  </r>
  <r>
    <n v="1665460"/>
    <s v="eFootball"/>
    <x v="78"/>
    <n v="13404"/>
    <b v="0"/>
    <s v="Single-player,Multi-player,PvP,Online PvP,Shared/Split Screen PvP,Co-op,Online Co-op,Shared/Split Screen Co-op,Shared/Split Screen,Cross-Platform Multiplayer,In-App Purchases,Partial Controller Support"/>
    <s v="Simulation,Sports,Free To Play"/>
    <n v="79"/>
    <s v="GTX 1060"/>
    <s v="Y"/>
    <s v="Y"/>
    <s v="N"/>
    <s v="N"/>
    <s v="N"/>
    <s v="Y"/>
    <s v="N"/>
    <s v="N"/>
    <s v="Y"/>
  </r>
  <r>
    <n v="526870"/>
    <s v="Satisfactory"/>
    <x v="79"/>
    <n v="12596"/>
    <b v="0"/>
    <s v="Single-player,Multi-player,Co-op,Online Co-op,Cross-Platform Multiplayer,Steam Achievements,Adjustable Text Size,Camera Comfort,Color Alternatives,Custom Volume Controls,Adjustable Difficulty,Playable without Timed Input,Save Anytime,Stereo Sound,Surround Sound,Partial Controller Support,Steam Cloud,Remote Play on Tablet,Family Sharing"/>
    <s v="Adventure,Indie,Simulation,Strategy"/>
    <n v="80"/>
    <s v="RTX 2070"/>
    <s v="Y"/>
    <s v="Y"/>
    <s v="N"/>
    <s v="Y"/>
    <s v="Y"/>
    <s v="Y"/>
    <s v="N"/>
    <s v="Y"/>
    <s v="N"/>
  </r>
  <r>
    <n v="2246340"/>
    <s v="Monster Hunter Wilds"/>
    <x v="80"/>
    <n v="12494"/>
    <b v="0"/>
    <s v="Single-player,Multi-player,Co-op,Online Co-op,Cross-Platform Multiplayer,Steam Achievements,Full controller support,Steam Trading Cards,Adjustable Text Size,Camera Comfort,Color Alternatives,Custom Volume Controls,Keyboard Only Option,Stereo Sound,Subtitle Options,Surround Sound,Steam Cloud,HDR available,Family Sharing"/>
    <s v="Action,Adventure,RPG"/>
    <n v="81"/>
    <s v="RTX 2060 SUPER"/>
    <s v="Y"/>
    <s v="Y"/>
    <s v="Y"/>
    <s v="N"/>
    <s v="Y"/>
    <s v="N"/>
    <s v="Y"/>
    <s v="N"/>
    <s v="N"/>
  </r>
  <r>
    <n v="236850"/>
    <s v="Europa Universalis IV"/>
    <x v="36"/>
    <n v="12445"/>
    <b v="1"/>
    <s v="Single-player,Multi-player,PvP,Online PvP,Co-op,Online Co-op,Cross-Platform Multiplayer,Steam Achievements,Steam Trading Cards,Steam Workshop,Steam Cloud,Family Sharing"/>
    <s v="Simulation,Strategy"/>
    <n v="82"/>
    <s v="GTX 780 Ti"/>
    <s v="Y"/>
    <s v="Y"/>
    <s v="N"/>
    <s v="N"/>
    <s v="N"/>
    <s v="Y"/>
    <s v="N"/>
    <s v="Y"/>
    <s v="N"/>
  </r>
  <r>
    <n v="1049590"/>
    <s v="Eternal Return"/>
    <x v="81"/>
    <n v="12341"/>
    <b v="0"/>
    <s v="Multi-player,PvP,Online PvP,Steam Trading Cards,In-App Purchases,Camera Comfort,Color Alternatives,Custom Volume Controls,Playable without Timed Input"/>
    <s v="Indie,Strategy,Free To Play"/>
    <n v="83"/>
    <s v="RX 580"/>
    <s v="N"/>
    <s v="Y"/>
    <s v="N"/>
    <s v="Y"/>
    <s v="N"/>
    <s v="N"/>
    <s v="N"/>
    <s v="Y"/>
    <s v="Y"/>
  </r>
  <r>
    <n v="275850"/>
    <s v="No Man's Sky"/>
    <x v="82"/>
    <n v="12291"/>
    <b v="1"/>
    <s v="Single-player,Multi-player,PvP,Online PvP,Co-op,Online Co-op,Cross-Platform Multiplayer,Steam Achievements,Full controller support,Tracked Controller Support,VR Supported,Steam Trading Cards,Adjustable Text Size,Camera Comfort,Chat Speech-to-text,Color Alternatives,Custom Volume Controls,Adjustable Difficulty,Playable without Timed Input,Save Anytime,Stereo Sound,Subtitle Options,Surround Sound,Steam Cloud,Remote Play on Tablet,Remote Play on TV,HDR available,Family Sharing"/>
    <s v="Action,Adventure"/>
    <n v="84"/>
    <s v="GTX 980"/>
    <s v="Y"/>
    <s v="Y"/>
    <s v="Y"/>
    <s v="N"/>
    <s v="Y"/>
    <s v="N"/>
    <s v="N"/>
    <s v="N"/>
    <s v="N"/>
  </r>
  <r>
    <n v="8930"/>
    <s v="Sid Meier's Civilization V"/>
    <x v="83"/>
    <n v="12206"/>
    <b v="1"/>
    <s v="Single-player,Multi-player,Steam Achievements,Steam Trading Cards,Steam Cloud,Remote Play on Tablet,Family Sharing"/>
    <s v="Strategy"/>
    <n v="85"/>
    <s v="Radeon Graphics"/>
    <s v="Y"/>
    <s v="Y"/>
    <s v="N"/>
    <s v="N"/>
    <s v="N"/>
    <s v="N"/>
    <s v="N"/>
    <s v="Y"/>
    <s v="N"/>
  </r>
  <r>
    <n v="2399830"/>
    <s v="ARK: Survival Ascended"/>
    <x v="84"/>
    <n v="12007"/>
    <b v="0"/>
    <s v="Single-player,Multi-player,MMO,PvP,Online PvP,LAN PvP,Co-op,Online Co-op,LAN Co-op,Shared/Split Screen Co-op,Shared/Split Screen,Cross-Platform Multiplayer,Steam Achievements,Full controller support,Includes level editor,Remote Play Together,Family Sharing"/>
    <s v="Action,Adventure,Indie,Massively Multiplayer,RPG,Early Access"/>
    <n v="86"/>
    <s v="RX 6800"/>
    <s v="Y"/>
    <s v="Y"/>
    <s v="Y"/>
    <s v="Y"/>
    <s v="Y"/>
    <s v="N"/>
    <s v="Y"/>
    <s v="N"/>
    <s v="N"/>
  </r>
  <r>
    <n v="582010"/>
    <s v="Monster Hunter: World"/>
    <x v="85"/>
    <n v="11923"/>
    <b v="0"/>
    <s v="Single-player,Multi-player,Co-op,Steam Achievements,Steam Trading Cards,Adjustable Text Size,Camera Comfort,Custom Volume Controls,Keyboard Only Option,Stereo Sound,Surround Sound,Partial Controller Support,Steam Cloud,Stats,Steam Leaderboards,Remote Play on Tablet,HDR available,Family Sharing"/>
    <s v="Action"/>
    <n v="87"/>
    <s v="GTX 1060"/>
    <s v="Y"/>
    <s v="Y"/>
    <s v="Y"/>
    <s v="N"/>
    <s v="N"/>
    <s v="N"/>
    <s v="N"/>
    <s v="N"/>
    <s v="N"/>
  </r>
  <r>
    <n v="1874880"/>
    <s v="Arma Reforger"/>
    <x v="86"/>
    <n v="11466"/>
    <b v="0"/>
    <s v="Single-player,Multi-player,PvP,Online PvP,Co-op,Online Co-op,Cross-Platform Multiplayer,Steam Achievements,Full controller support,Captions available,Steam Cloud"/>
    <s v="Action,Simulation,Strategy"/>
    <n v="88"/>
    <s v="GTX 1070 Ti"/>
    <s v="Y"/>
    <s v="Y"/>
    <s v="Y"/>
    <s v="N"/>
    <s v="N"/>
    <s v="Y"/>
    <s v="N"/>
    <s v="Y"/>
    <s v="N"/>
  </r>
  <r>
    <n v="377160"/>
    <s v="Fallout 4"/>
    <x v="87"/>
    <n v="11179"/>
    <b v="0"/>
    <s v="Single-player,Steam Achievements,Full controller support,Playable without Timed Input,Save Anytime,Stereo Sound,Surround Sound,Steam Cloud,Remote Play on Phone,Remote Play on Tablet,Remote Play on TV,Family Sharing"/>
    <s v="RPG"/>
    <n v="89"/>
    <s v="R9 380"/>
    <s v="Y"/>
    <s v="N"/>
    <s v="N"/>
    <s v="N"/>
    <s v="N"/>
    <s v="N"/>
    <s v="Y"/>
    <s v="N"/>
    <s v="N"/>
  </r>
  <r>
    <n v="1476970"/>
    <s v="IdleOn"/>
    <x v="88"/>
    <n v="11081"/>
    <b v="0"/>
    <s v="Single-player,Multi-player,MMO,Co-op,Online Co-op,Cross-Platform Multiplayer,Steam Achievements,In-App Purchases"/>
    <s v="Casual,Indie,Massively Multiplayer,RPG,Simulation,Free To Play"/>
    <n v="90"/>
    <s v="GTX 1050"/>
    <s v="Y"/>
    <s v="Y"/>
    <s v="N"/>
    <s v="Y"/>
    <s v="N"/>
    <s v="Y"/>
    <s v="Y"/>
    <s v="N"/>
    <s v="Y"/>
  </r>
  <r>
    <n v="1604030"/>
    <s v="V Rising"/>
    <x v="89"/>
    <n v="10961"/>
    <b v="0"/>
    <s v="Single-player,Multi-player,PvP,Online PvP,LAN PvP,Co-op,Online Co-op,LAN Co-op,Steam Achievements,Camera Comfort,Custom Volume Controls,Adjustable Difficulty,Playable without Timed Input,Save Anytime,Stereo Sound,Subtitle Options,Surround Sound,Partial Controller Support,Steam Cloud,Family Sharing"/>
    <s v="Action,Adventure,Massively Multiplayer"/>
    <n v="91"/>
    <s v="GTX 1070"/>
    <s v="Y"/>
    <s v="Y"/>
    <s v="Y"/>
    <s v="N"/>
    <s v="Y"/>
    <s v="N"/>
    <s v="N"/>
    <s v="N"/>
    <s v="N"/>
  </r>
  <r>
    <n v="1203620"/>
    <s v="Enshrouded"/>
    <x v="90"/>
    <n v="10654"/>
    <b v="0"/>
    <s v="Single-player,Multi-player,Co-op,Online Co-op,Steam Achievements,Full controller support,Adjustable Text Size,Camera Comfort,Color Alternatives,Custom Volume Controls,Adjustable Difficulty,Stereo Sound,Steam Cloud,Family Sharing"/>
    <s v="Action,Adventure,Indie,RPG,Early Access"/>
    <n v="92"/>
    <s v="RTX 2070 SUPER"/>
    <s v="Y"/>
    <s v="Y"/>
    <s v="Y"/>
    <s v="Y"/>
    <s v="Y"/>
    <s v="N"/>
    <s v="Y"/>
    <s v="N"/>
    <s v="N"/>
  </r>
  <r>
    <n v="304930"/>
    <s v="Unturned"/>
    <x v="91"/>
    <n v="10408"/>
    <b v="1"/>
    <s v="Single-player,Multi-player,PvP,Online PvP,LAN PvP,Co-op,Online Co-op,LAN Co-op,Steam Achievements,Steam Trading Cards,Steam Workshop,In-App Purchases,Camera Comfort,Custom Volume Controls,Adjustable Difficulty,Playable without Timed Input,Stereo Sound,Steam Cloud,Valve Anti-Cheat enabled,Stats,Includes level editor,Remote Play on Tablet"/>
    <s v="Action,Adventure,Casual,Indie,Free To Play"/>
    <n v="93"/>
    <s v="RX 560"/>
    <s v="Y"/>
    <s v="Y"/>
    <s v="Y"/>
    <s v="Y"/>
    <s v="Y"/>
    <s v="N"/>
    <s v="N"/>
    <s v="N"/>
    <s v="Y"/>
  </r>
  <r>
    <n v="1325860"/>
    <s v="VTube Studio"/>
    <x v="92"/>
    <n v="10139"/>
    <b v="1"/>
    <s v="Single-player,Steam Workshop"/>
    <s v="Indie,Animation &amp; Modeling,Video Production"/>
    <n v="94"/>
    <s v="GTX 1060"/>
    <s v="Y"/>
    <s v="N"/>
    <s v="N"/>
    <s v="Y"/>
    <s v="N"/>
    <s v="N"/>
    <s v="N"/>
    <s v="N"/>
    <s v="N"/>
  </r>
  <r>
    <n v="1551360"/>
    <s v="Forza Horizon 5"/>
    <x v="93"/>
    <n v="10009"/>
    <b v="0"/>
    <s v="Single-player,Multi-player,PvP,Online PvP,Co-op,Online Co-op,Cross-Platform Multiplayer,Steam Achievements,Full controller support,Steam Trading Cards,Steam Cloud,HDR available,Family Sharing"/>
    <s v="Action,Adventure,Racing,Simulation,Sports"/>
    <n v="95"/>
    <s v="GTX 1070"/>
    <s v="Y"/>
    <s v="Y"/>
    <s v="Y"/>
    <s v="N"/>
    <s v="Y"/>
    <s v="Y"/>
    <s v="N"/>
    <s v="N"/>
    <s v="N"/>
  </r>
  <r>
    <n v="739630"/>
    <s v="Phasmophobia"/>
    <x v="94"/>
    <n v="9978"/>
    <b v="0"/>
    <s v="Single-player,Multi-player,Co-op,Online Co-op,Steam Achievements,Full controller support,Tracked Controller Support,VR Supported,Steam Trading Cards,Camera Comfort,Adjustable Difficulty,Playable without Timed Input,Stereo Sound,Surround Sound,Steam Cloud,Remote Play on Phone,Remote Play on Tablet,Family Sharing"/>
    <s v="Action,Indie,Early Access"/>
    <n v="96"/>
    <s v="RTX 2060"/>
    <s v="Y"/>
    <s v="Y"/>
    <s v="Y"/>
    <s v="Y"/>
    <s v="N"/>
    <s v="N"/>
    <s v="N"/>
    <s v="N"/>
    <s v="N"/>
  </r>
  <r>
    <n v="1454400"/>
    <s v="Cookie Clicker"/>
    <x v="95"/>
    <n v="9583"/>
    <b v="1"/>
    <s v="Single-player,Steam Achievements,Steam Workshop,Steam Cloud,Family Sharing"/>
    <s v="Casual,Indie,Simulation,Strategy"/>
    <n v="97"/>
    <s v="Radeon Vega 11"/>
    <s v="Y"/>
    <s v="N"/>
    <s v="N"/>
    <s v="Y"/>
    <s v="N"/>
    <s v="Y"/>
    <s v="N"/>
    <s v="Y"/>
    <s v="N"/>
  </r>
  <r>
    <n v="2221490"/>
    <s v="Tom Clancy's The Division 2"/>
    <x v="96"/>
    <n v="9481"/>
    <b v="0"/>
    <s v="Single-player,Multi-player,PvP,Online PvP,Co-op,Online Co-op,Steam Achievements,Captions available,In-App Purchases,Partial Controller Support,HDR available"/>
    <s v="Action,Adventure,RPG"/>
    <n v="98"/>
    <s v="RX 480"/>
    <s v="Y"/>
    <s v="Y"/>
    <s v="Y"/>
    <s v="N"/>
    <s v="Y"/>
    <s v="N"/>
    <s v="Y"/>
    <s v="N"/>
    <s v="N"/>
  </r>
  <r>
    <n v="1237950"/>
    <s v="STAR WARS Battlefront II"/>
    <x v="97"/>
    <n v="9213"/>
    <b v="0"/>
    <s v="Single-player,Multi-player,PvP,Online PvP,Steam Achievements,Steam Trading Cards"/>
    <s v="Action,Adventure"/>
    <n v="99"/>
    <s v="RX 480"/>
    <s v="Y"/>
    <s v="Y"/>
    <s v="Y"/>
    <s v="N"/>
    <s v="Y"/>
    <s v="N"/>
    <s v="N"/>
    <s v="N"/>
    <s v="N"/>
  </r>
  <r>
    <n v="393380"/>
    <s v="Squad"/>
    <x v="98"/>
    <n v="9116"/>
    <b v="0"/>
    <s v="Multi-player,PvP,Online PvP,Co-op,Online Co-op,Steam Trading Cards,Steam Workshop,Partial Controller Support,Valve Anti-Cheat enabled"/>
    <s v="Action,Indie,Massively Multiplayer,Strategy"/>
    <n v="100"/>
    <s v="RTX 3060"/>
    <s v="N"/>
    <s v="Y"/>
    <s v="Y"/>
    <s v="Y"/>
    <s v="N"/>
    <s v="N"/>
    <s v="N"/>
    <s v="Y"/>
    <s v="N"/>
  </r>
  <r>
    <n v="244210"/>
    <s v="Assetto Corsa"/>
    <x v="99"/>
    <n v="8961"/>
    <b v="0"/>
    <s v="Single-player,Multi-player,PvP,Online PvP,Steam Achievements,VR Supported,Partial Controller Support,Steam Leaderboards,Includes level editor,Family Sharing"/>
    <s v="Indie,Racing,Simulation,Sports"/>
    <n v="101"/>
    <s v="GTX 980 Ti"/>
    <s v="Y"/>
    <s v="Y"/>
    <s v="N"/>
    <s v="Y"/>
    <s v="N"/>
    <s v="Y"/>
    <s v="N"/>
    <s v="N"/>
    <s v="N"/>
  </r>
  <r>
    <n v="255710"/>
    <s v="Cities: Skylines"/>
    <x v="100"/>
    <n v="8842"/>
    <b v="1"/>
    <s v="Single-player,Steam Achievements,Steam Trading Cards,Steam Workshop,Steam Cloud,Includes level editor,Remote Play on Tablet,Family Sharing"/>
    <s v="Simulation,Strategy"/>
    <n v="102"/>
    <s v="GTX 950"/>
    <s v="Y"/>
    <s v="N"/>
    <s v="N"/>
    <s v="N"/>
    <s v="N"/>
    <s v="Y"/>
    <s v="N"/>
    <s v="Y"/>
    <s v="N"/>
  </r>
  <r>
    <n v="2344520"/>
    <s v="Diablo IV"/>
    <x v="101"/>
    <n v="8835"/>
    <b v="0"/>
    <s v="Single-player,Multi-player,PvP,Online PvP,Co-op,Online Co-op,Cross-Platform Multiplayer,Steam Achievements,Full controller support,In-App Purchases,Adjustable Text Size,Camera Comfort,Color Alternatives,Adjustable Difficulty,Keyboard Only Option,Mouse Only Option,Narrated Game Menus,Playable without Timed Input,Save Anytime,Stereo Sound,Subtitle Options"/>
    <s v="Action,RPG"/>
    <n v="103"/>
    <s v="GTX 970"/>
    <s v="Y"/>
    <s v="Y"/>
    <s v="Y"/>
    <s v="N"/>
    <s v="N"/>
    <s v="N"/>
    <s v="Y"/>
    <s v="N"/>
    <s v="N"/>
  </r>
  <r>
    <n v="1151340"/>
    <s v="Fallout 76"/>
    <x v="102"/>
    <n v="8796"/>
    <b v="0"/>
    <s v="Multi-player,MMO,PvP,Online PvP,Co-op,Online Co-op,Steam Achievements,In-App Purchases,Playable without Timed Input,Stereo Sound,Surround Sound,Partial Controller Support,Remote Play on Tablet"/>
    <s v="RPG"/>
    <n v="104"/>
    <s v="GTX 970"/>
    <s v="N"/>
    <s v="Y"/>
    <s v="N"/>
    <s v="N"/>
    <s v="N"/>
    <s v="N"/>
    <s v="Y"/>
    <s v="N"/>
    <s v="N"/>
  </r>
  <r>
    <n v="49520"/>
    <s v="Borderlands 2"/>
    <x v="103"/>
    <n v="8551"/>
    <b v="1"/>
    <s v="Single-player,Multi-player,Co-op,Steam Achievements,Full controller support,Steam Trading Cards,Steam Cloud,Remote Play on Phone,Remote Play on Tablet,Remote Play on TV,Family Sharing"/>
    <s v="Action,RPG"/>
    <n v="105"/>
    <s v="GTX 750"/>
    <s v="Y"/>
    <s v="Y"/>
    <s v="Y"/>
    <s v="N"/>
    <s v="N"/>
    <s v="N"/>
    <s v="Y"/>
    <s v="N"/>
    <s v="N"/>
  </r>
  <r>
    <n v="513710"/>
    <s v="SCUM"/>
    <x v="104"/>
    <n v="8535"/>
    <b v="0"/>
    <s v="Single-player,Multi-player,MMO,PvP,Online PvP,Co-op,Online Co-op,Steam Achievements,Steam Trading Cards,Camera Comfort,Custom Volume Controls,Adjustable Difficulty,Stereo Sound,Surround Sound,Stats"/>
    <s v="Action,Adventure,Indie,Massively Multiplayer"/>
    <n v="106"/>
    <s v="RTX 2060"/>
    <s v="Y"/>
    <s v="Y"/>
    <s v="Y"/>
    <s v="Y"/>
    <s v="Y"/>
    <s v="N"/>
    <s v="N"/>
    <s v="N"/>
    <s v="N"/>
  </r>
  <r>
    <n v="552990"/>
    <s v="World of Warships"/>
    <x v="105"/>
    <n v="8518"/>
    <b v="0"/>
    <s v="Multi-player,MMO,PvP,Online PvP,Co-op,Online Co-op,Steam Achievements,Steam Trading Cards,In-App Purchases,Adjustable Text Size,Camera Comfort,Color Alternatives,Custom Volume Controls,Playable without Timed Input,Steam Cloud"/>
    <s v="Action,Massively Multiplayer,Simulation,Strategy,Free To Play"/>
    <n v="107"/>
    <s v="GTX 1050 Ti"/>
    <s v="N"/>
    <s v="Y"/>
    <s v="Y"/>
    <s v="N"/>
    <s v="N"/>
    <s v="Y"/>
    <s v="N"/>
    <s v="Y"/>
    <s v="Y"/>
  </r>
  <r>
    <n v="1283970"/>
    <s v="YoloMouse - Game Cursor Changer"/>
    <x v="106"/>
    <n v="8493"/>
    <b v="0"/>
    <s v="Steam Workshop,Adjustable Text Size,Camera Comfort,Color Alternatives,Adjustable Difficulty,Keyboard Only Option,Mouse Only Option,Playable without Timed Input,Save Anytime,Includes level editor"/>
    <s v="Animation &amp; Modeling,Design &amp; Illustration,Education,Software Training,Utilities"/>
    <n v="108"/>
    <s v="Radeon Vega 11"/>
    <s v="N"/>
    <s v="N"/>
    <s v="N"/>
    <s v="N"/>
    <s v="N"/>
    <s v="N"/>
    <s v="N"/>
    <s v="N"/>
    <s v="N"/>
  </r>
  <r>
    <n v="761890"/>
    <s v="Albion Online"/>
    <x v="107"/>
    <n v="8184"/>
    <b v="1"/>
    <s v="Multi-player,MMO,PvP,Online PvP,Cross-Platform Multiplayer,Steam Achievements,In-App Purchases,Partial Controller Support"/>
    <s v="Massively Multiplayer,RPG,Free To Play"/>
    <n v="109"/>
    <s v="Radeon Vega 8"/>
    <s v="N"/>
    <s v="Y"/>
    <s v="N"/>
    <s v="N"/>
    <s v="N"/>
    <s v="N"/>
    <s v="Y"/>
    <s v="N"/>
    <s v="Y"/>
  </r>
  <r>
    <n v="1466060"/>
    <s v="Tainted Grail: The Fall of Avalon"/>
    <x v="108"/>
    <n v="8175"/>
    <b v="0"/>
    <s v="Single-player,Steam Achievements,Full controller support,Steam Trading Cards,Steam Cloud,Family Sharing"/>
    <s v="Action,Adventure,Indie,RPG"/>
    <n v="110"/>
    <s v="RTX 2070 SUPER"/>
    <s v="Y"/>
    <s v="N"/>
    <s v="Y"/>
    <s v="Y"/>
    <s v="Y"/>
    <s v="N"/>
    <s v="Y"/>
    <s v="N"/>
    <s v="N"/>
  </r>
  <r>
    <n v="2104890"/>
    <s v="RoadCraft"/>
    <x v="109"/>
    <n v="8156"/>
    <b v="0"/>
    <s v="Single-player,Multi-player,Co-op,Online Co-op,Cross-Platform Multiplayer,Steam Achievements,Full controller support,Steam Trading Cards,Camera Comfort,Custom Volume Controls,Playable without Timed Input,Save Anytime,Stereo Sound,Surround Sound,Steam Cloud,Family Sharing"/>
    <s v="Adventure,Simulation"/>
    <n v="111"/>
    <s v="RX 6600 XT"/>
    <s v="Y"/>
    <s v="Y"/>
    <s v="N"/>
    <s v="N"/>
    <s v="Y"/>
    <s v="Y"/>
    <s v="N"/>
    <s v="N"/>
    <s v="N"/>
  </r>
  <r>
    <n v="216150"/>
    <s v="MapleStory"/>
    <x v="110"/>
    <n v="8092"/>
    <b v="0"/>
    <s v="Single-player,Multi-player,MMO,Co-op,Steam Trading Cards"/>
    <s v="Action,Adventure,Casual,Massively Multiplayer,RPG,Free To Play"/>
    <n v="112"/>
    <s v="R9 270"/>
    <s v="Y"/>
    <s v="Y"/>
    <s v="Y"/>
    <s v="N"/>
    <s v="Y"/>
    <s v="N"/>
    <s v="Y"/>
    <s v="N"/>
    <s v="Y"/>
  </r>
  <r>
    <n v="632360"/>
    <s v="Risk of Rain 2"/>
    <x v="111"/>
    <n v="7902"/>
    <b v="0"/>
    <s v="Single-player,Multi-player,PvP,Online PvP,Co-op,Online Co-op,Full controller support,Steam Trading Cards,Adjustable Text Size,Camera Comfort,Custom Volume Controls,Adjustable Difficulty,Stereo Sound,Surround Sound,Steam Cloud,Steam Leaderboards,Remote Play on Phone,Remote Play on Tablet,Remote Play on TV,Family Sharing"/>
    <s v="Action,Indie"/>
    <n v="113"/>
    <s v="GTX 1050 Ti"/>
    <s v="Y"/>
    <s v="Y"/>
    <s v="Y"/>
    <s v="Y"/>
    <s v="N"/>
    <s v="N"/>
    <s v="N"/>
    <s v="N"/>
    <s v="N"/>
  </r>
  <r>
    <n v="3117820"/>
    <s v="Sultan's Game"/>
    <x v="112"/>
    <n v="7726"/>
    <b v="1"/>
    <s v="Single-player,Steam Achievements,Full controller support,Steam Trading Cards,Steam Workshop,Steam Cloud,Family Sharing"/>
    <s v="Adventure,Indie,RPG,Simulation,Strategy"/>
    <n v="114"/>
    <s v="GTX 1070"/>
    <s v="Y"/>
    <s v="N"/>
    <s v="N"/>
    <s v="Y"/>
    <s v="Y"/>
    <s v="Y"/>
    <s v="Y"/>
    <s v="Y"/>
    <s v="N"/>
  </r>
  <r>
    <n v="457140"/>
    <s v="Oxygen Not Included"/>
    <x v="113"/>
    <n v="7545"/>
    <b v="1"/>
    <s v="Single-player,Steam Trading Cards,Family Sharing"/>
    <s v="Indie,Simulation"/>
    <n v="115"/>
    <s v="GTX 750"/>
    <s v="Y"/>
    <s v="N"/>
    <s v="N"/>
    <s v="Y"/>
    <s v="N"/>
    <s v="Y"/>
    <s v="N"/>
    <s v="N"/>
    <s v="N"/>
  </r>
  <r>
    <n v="2479810"/>
    <s v="Gray Zone Warfare"/>
    <x v="114"/>
    <n v="7543"/>
    <b v="0"/>
    <s v="Multi-player,MMO,PvP,Online PvP,Co-op,Online Co-op,Custom Volume Controls,Playable without Timed Input,Stereo Sound,Surround Sound"/>
    <s v="Action,Massively Multiplayer,Simulation,Early Access"/>
    <n v="116"/>
    <s v="RTX 2080 Ti"/>
    <s v="N"/>
    <s v="Y"/>
    <s v="Y"/>
    <s v="N"/>
    <s v="N"/>
    <s v="Y"/>
    <s v="N"/>
    <s v="N"/>
    <s v="N"/>
  </r>
  <r>
    <n v="960090"/>
    <s v="Bloons TD 6"/>
    <x v="115"/>
    <n v="7489"/>
    <b v="1"/>
    <s v="Single-player,Multi-player,Co-op,Online Co-op,Steam Achievements,In-App Purchases,Remote Play on Phone,Remote Play on Tablet,Family Sharing"/>
    <s v="Strategy"/>
    <n v="117"/>
    <s v="Radeon Vega 8"/>
    <s v="Y"/>
    <s v="Y"/>
    <s v="N"/>
    <s v="N"/>
    <s v="N"/>
    <s v="N"/>
    <s v="N"/>
    <s v="Y"/>
    <s v="N"/>
  </r>
  <r>
    <n v="1284190"/>
    <s v="The Planet Crafter"/>
    <x v="116"/>
    <n v="7330"/>
    <b v="0"/>
    <s v="Single-player,Multi-player,Co-op,Online Co-op,Steam Achievements,Full controller support,Family Sharing"/>
    <s v="Adventure"/>
    <n v="118"/>
    <s v="GTX 1660"/>
    <s v="Y"/>
    <s v="Y"/>
    <s v="N"/>
    <s v="N"/>
    <s v="Y"/>
    <s v="N"/>
    <s v="N"/>
    <s v="N"/>
    <s v="N"/>
  </r>
  <r>
    <n v="10"/>
    <s v="Counter-Strike"/>
    <x v="117"/>
    <n v="7323"/>
    <b v="1"/>
    <s v="Multi-player,PvP,Online PvP,Shared/Split Screen PvP,Color Alternatives,Custom Volume Controls,Keyboard Only Option,Stereo Sound,Valve Anti-Cheat enabled,Family Sharing"/>
    <s v="Action"/>
    <n v="119"/>
    <s v="Intel HD Graphics"/>
    <s v="N"/>
    <s v="Y"/>
    <s v="Y"/>
    <s v="N"/>
    <s v="N"/>
    <s v="N"/>
    <s v="N"/>
    <s v="N"/>
    <s v="N"/>
  </r>
  <r>
    <n v="1361210"/>
    <s v="Warhammer 40,000: Darktide"/>
    <x v="118"/>
    <n v="7267"/>
    <b v="0"/>
    <s v="Multi-player,Co-op,Online Co-op,Cross-Platform Multiplayer,Steam Achievements,Captions available,In-App Purchases,Partial Controller Support,Family Sharing"/>
    <s v="Action,Adventure,RPG"/>
    <n v="120"/>
    <s v="RTX 3060"/>
    <s v="N"/>
    <s v="Y"/>
    <s v="Y"/>
    <s v="N"/>
    <s v="Y"/>
    <s v="N"/>
    <s v="Y"/>
    <s v="N"/>
    <s v="N"/>
  </r>
  <r>
    <n v="107410"/>
    <s v="Arma 3"/>
    <x v="119"/>
    <n v="7181"/>
    <b v="1"/>
    <s v="Single-player,Multi-player,PvP,Online PvP,LAN PvP,Co-op,Online Co-op,LAN Co-op,Steam Achievements,Steam Trading Cards,Captions available,Steam Workshop,Stats,Steam Leaderboards,Includes level editor,Steam Timeline"/>
    <s v="Action,Simulation,Strategy"/>
    <n v="121"/>
    <s v="GTX 780 Ti"/>
    <s v="Y"/>
    <s v="Y"/>
    <s v="Y"/>
    <s v="N"/>
    <s v="N"/>
    <s v="Y"/>
    <s v="N"/>
    <s v="Y"/>
    <s v="N"/>
  </r>
  <r>
    <n v="1466860"/>
    <s v="Age of Empires IV: Anniversary Edition"/>
    <x v="120"/>
    <n v="7084"/>
    <b v="0"/>
    <s v="Single-player,Multi-player,PvP,Online PvP,Co-op,Online Co-op,Cross-Platform Multiplayer,Steam Achievements,Family Sharing"/>
    <s v="Strategy"/>
    <n v="122"/>
    <s v="RX 570"/>
    <s v="Y"/>
    <s v="Y"/>
    <s v="N"/>
    <s v="N"/>
    <s v="N"/>
    <s v="N"/>
    <s v="N"/>
    <s v="Y"/>
    <s v="N"/>
  </r>
  <r>
    <n v="1771300"/>
    <s v="Kingdom Come: Deliverance II"/>
    <x v="121"/>
    <n v="7073"/>
    <b v="0"/>
    <s v="Single-player,Steam Achievements,Full controller support,Steam Trading Cards,Custom Volume Controls,Playable without Timed Input,Stereo Sound,Surround Sound,Steam Cloud,Family Sharing"/>
    <s v="Action,Adventure,RPG"/>
    <n v="123"/>
    <s v="RTX 4070"/>
    <s v="Y"/>
    <s v="N"/>
    <s v="Y"/>
    <s v="N"/>
    <s v="Y"/>
    <s v="N"/>
    <s v="Y"/>
    <s v="N"/>
    <s v="N"/>
  </r>
  <r>
    <n v="2784470"/>
    <s v="9 Kings"/>
    <x v="108"/>
    <n v="6920"/>
    <b v="1"/>
    <s v="Single-player,Steam Achievements,Steam Trading Cards,Camera Comfort,Custom Volume Controls,Adjustable Difficulty,Mouse Only Option,Save Anytime,Touch Only Option,Steam Cloud,Family Sharing"/>
    <s v="RPG,Strategy,Early Access"/>
    <n v="124"/>
    <s v="Radeon Vega 8"/>
    <s v="Y"/>
    <s v="N"/>
    <s v="N"/>
    <s v="N"/>
    <s v="N"/>
    <s v="N"/>
    <s v="Y"/>
    <s v="Y"/>
    <s v="N"/>
  </r>
  <r>
    <n v="2183900"/>
    <s v="Warhammer 40,000: Space Marine 2"/>
    <x v="122"/>
    <n v="6851"/>
    <b v="0"/>
    <s v="Single-player,Multi-player,PvP,Online PvP,Co-op,Online Co-op,Cross-Platform Multiplayer,Steam Achievements,Full controller support,Steam Trading Cards,Adjustable Text Size,Camera Comfort,Color Alternatives,Custom Volume Controls,Adjustable Difficulty,Stereo Sound,Subtitle Options,Surround Sound,Steam Cloud,Family Sharing"/>
    <s v="Action,Adventure,RPG"/>
    <n v="125"/>
    <s v="RX 6800 XT"/>
    <s v="Y"/>
    <s v="Y"/>
    <s v="Y"/>
    <s v="N"/>
    <s v="Y"/>
    <s v="N"/>
    <s v="Y"/>
    <s v="N"/>
    <s v="N"/>
  </r>
  <r>
    <n v="814380"/>
    <s v="Sekiro: Shadows Die Twice - GOTY Edition"/>
    <x v="123"/>
    <n v="6767"/>
    <b v="0"/>
    <s v="Single-player,Steam Achievements,Full controller support,Steam Trading Cards,Steam Cloud,Remote Play on Tablet,Remote Play on TV,Family Sharing"/>
    <s v="Action,Adventure"/>
    <n v="126"/>
    <s v="GTX 970"/>
    <s v="Y"/>
    <s v="N"/>
    <s v="Y"/>
    <s v="N"/>
    <s v="Y"/>
    <s v="N"/>
    <s v="N"/>
    <s v="N"/>
    <s v="N"/>
  </r>
  <r>
    <n v="270880"/>
    <s v="American Truck Simulator"/>
    <x v="124"/>
    <n v="6742"/>
    <b v="1"/>
    <s v="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Together,Family Sharing"/>
    <s v="Indie,Simulation"/>
    <n v="127"/>
    <s v="GTX 980 Ti"/>
    <s v="Y"/>
    <s v="Y"/>
    <s v="N"/>
    <s v="Y"/>
    <s v="N"/>
    <s v="Y"/>
    <s v="N"/>
    <s v="N"/>
    <s v="N"/>
  </r>
  <r>
    <n v="1286830"/>
    <s v="STAR WARS: The Old Republic"/>
    <x v="125"/>
    <n v="6625"/>
    <b v="0"/>
    <s v="Multi-player,MMO,PvP,Co-op,Steam Achievements,Steam Trading Cards,In-App Purchases"/>
    <s v="Massively Multiplayer,RPG,Free To Play"/>
    <n v="128"/>
    <s v="GTX 1650"/>
    <s v="N"/>
    <s v="Y"/>
    <s v="N"/>
    <s v="N"/>
    <s v="N"/>
    <s v="N"/>
    <s v="Y"/>
    <s v="N"/>
    <s v="Y"/>
  </r>
  <r>
    <n v="2742830"/>
    <s v="Monster Train 2"/>
    <x v="49"/>
    <n v="6617"/>
    <b v="1"/>
    <s v="Single-player,Steam Achievements,Full controller support,Steam Trading Cards,Camera Comfort,Custom Volume Controls,Adjustable Difficulty,Keyboard Only Option,Mouse Only Option,Playable without Timed Input,Save Anytime,Steam Cloud,Family Sharing"/>
    <s v="Indie,Strategy"/>
    <n v="129"/>
    <s v="GTX 1080"/>
    <s v="Y"/>
    <s v="N"/>
    <s v="N"/>
    <s v="Y"/>
    <s v="N"/>
    <s v="N"/>
    <s v="N"/>
    <s v="Y"/>
    <s v="N"/>
  </r>
  <r>
    <n v="1942280"/>
    <s v="Brotato"/>
    <x v="126"/>
    <n v="6389"/>
    <b v="1"/>
    <s v="Single-player,Multi-player,Co-op,Shared/Split Screen Co-op,Shared/Split Screen,Steam Achievements,Full controller support,Steam Trading Cards,Steam Workshop,Steam Cloud,Remote Play on TV,Remote Play Together,Family Sharing"/>
    <s v="Action,Casual,Indie,RPG"/>
    <n v="130"/>
    <s v="Radeon Vega 11"/>
    <s v="Y"/>
    <s v="Y"/>
    <s v="Y"/>
    <s v="Y"/>
    <s v="N"/>
    <s v="N"/>
    <s v="Y"/>
    <s v="N"/>
    <s v="N"/>
  </r>
  <r>
    <n v="1238810"/>
    <s v="Battlefield V"/>
    <x v="127"/>
    <n v="6327"/>
    <b v="0"/>
    <s v="Single-player,Multi-player,PvP,Online PvP,Steam Achievements,Full controller support,Steam Trading Cards,HDR available"/>
    <s v="Action"/>
    <n v="131"/>
    <s v="GTX 1060"/>
    <s v="Y"/>
    <s v="Y"/>
    <s v="Y"/>
    <s v="N"/>
    <s v="N"/>
    <s v="N"/>
    <s v="N"/>
    <s v="N"/>
    <s v="N"/>
  </r>
  <r>
    <n v="1238840"/>
    <s v="Battlefield 1"/>
    <x v="97"/>
    <n v="6308"/>
    <b v="0"/>
    <s v="Single-player,Multi-player,PvP,Online PvP,Steam Achievements,Full controller support,Steam Trading Cards,HDR available"/>
    <s v="Action,Massively Multiplayer"/>
    <n v="132"/>
    <s v="RX 480"/>
    <s v="Y"/>
    <s v="Y"/>
    <s v="Y"/>
    <s v="N"/>
    <s v="N"/>
    <s v="N"/>
    <s v="N"/>
    <s v="N"/>
    <s v="N"/>
  </r>
  <r>
    <n v="594650"/>
    <s v="Hunt: Showdown 1896"/>
    <x v="128"/>
    <n v="6300"/>
    <b v="0"/>
    <s v="Multi-player,PvP,Online PvP,Co-op,Online Co-op,Steam Achievements,Full controller support,Steam Trading Cards,In-App Purchases,Steam Leaderboards,Remote Play on Tablet,Remote Play on TV"/>
    <s v="Action"/>
    <n v="133"/>
    <s v="RTX 2060 SUPER"/>
    <s v="N"/>
    <s v="Y"/>
    <s v="Y"/>
    <s v="N"/>
    <s v="N"/>
    <s v="N"/>
    <s v="N"/>
    <s v="N"/>
    <s v="N"/>
  </r>
  <r>
    <n v="1966720"/>
    <s v="Lethal Company"/>
    <x v="129"/>
    <n v="6199"/>
    <b v="0"/>
    <s v="Single-player,Multi-player,Co-op,Online Co-op,Custom Volume Controls,Stereo Sound,Partial Controller Support,Family Sharing"/>
    <s v="Action,Adventure,Indie,Early Access"/>
    <n v="134"/>
    <s v="GTX 1050"/>
    <s v="Y"/>
    <s v="Y"/>
    <s v="Y"/>
    <s v="Y"/>
    <s v="Y"/>
    <s v="N"/>
    <s v="N"/>
    <s v="N"/>
    <s v="N"/>
  </r>
  <r>
    <n v="240"/>
    <s v="Counter-Strike: Source"/>
    <x v="130"/>
    <n v="6187"/>
    <b v="0"/>
    <s v="Multi-player,Cross-Platform Multiplayer,Steam Achievements,Camera Comfort,Color Alternatives,Custom Volume Controls,Stereo Sound,Subtitle Options,Surround Sound,Steam Cloud,Valve Anti-Cheat enabled,Stats,Includes Source SDK,Family Sharing"/>
    <s v="Action"/>
    <n v="135"/>
    <s v="Intel HD Graphics"/>
    <s v="N"/>
    <s v="Y"/>
    <s v="Y"/>
    <s v="N"/>
    <s v="N"/>
    <s v="N"/>
    <s v="N"/>
    <s v="N"/>
    <s v="N"/>
  </r>
  <r>
    <n v="376210"/>
    <s v="The Isle"/>
    <x v="15"/>
    <n v="5946"/>
    <b v="0"/>
    <s v="Multi-player,MMO,PvP,Online PvP,Partial Controller Support,Valve Anti-Cheat enabled"/>
    <s v="Action,Adventure,Indie,Massively Multiplayer,Simulation,Early Access"/>
    <n v="136"/>
    <s v="GTX 980 Ti"/>
    <s v="N"/>
    <s v="Y"/>
    <s v="Y"/>
    <s v="Y"/>
    <s v="Y"/>
    <s v="Y"/>
    <s v="N"/>
    <s v="N"/>
    <s v="N"/>
  </r>
  <r>
    <n v="1295660"/>
    <s v="Sid Meier's Civilization VII"/>
    <x v="131"/>
    <n v="5931"/>
    <b v="1"/>
    <s v="Single-player,Multi-player,PvP,Online PvP,LAN PvP,Cross-Platform Multiplayer,Steam Achievements,Full controller support,Steam Trading Cards,Steam Workshop,Adjustable Text Size,Camera Comfort,Chat Text-to-speech,Color Alternatives,Custom Volume Controls,Adjustable Difficulty,Mouse Only Option,Narrated Game Menus,Playable without Timed Input,Save Anytime,Stereo Sound,Surround Sound,Touch Only Option,HDR available,Family Sharing"/>
    <s v="Simulation,Strategy"/>
    <n v="137"/>
    <s v="RTX 2060"/>
    <s v="Y"/>
    <s v="Y"/>
    <s v="N"/>
    <s v="N"/>
    <s v="N"/>
    <s v="Y"/>
    <s v="N"/>
    <s v="Y"/>
    <s v="N"/>
  </r>
  <r>
    <n v="2864560"/>
    <s v="Rune Factory: Guardians of Azuma"/>
    <x v="9"/>
    <n v="5831"/>
    <b v="0"/>
    <s v="Single-player,Steam Achievements,Full controller support,Steam Trading Cards,Steam Cloud,Family Sharing"/>
    <s v="Action,Adventure,RPG"/>
    <n v="138"/>
    <s v="RTX 2060 SUPER"/>
    <s v="Y"/>
    <s v="N"/>
    <s v="Y"/>
    <s v="N"/>
    <s v="Y"/>
    <s v="N"/>
    <s v="Y"/>
    <s v="N"/>
    <s v="N"/>
  </r>
  <r>
    <n v="899770"/>
    <s v="Last Epoch"/>
    <x v="132"/>
    <n v="5831"/>
    <b v="0"/>
    <s v="Single-player,Multi-player,Co-op,Online Co-op,Full controller support,In-App Purchases,Steam Cloud"/>
    <s v="Action,Adventure,Indie,RPG"/>
    <n v="138"/>
    <s v="RTX 3060"/>
    <s v="Y"/>
    <s v="Y"/>
    <s v="Y"/>
    <s v="Y"/>
    <s v="Y"/>
    <s v="N"/>
    <s v="Y"/>
    <s v="N"/>
    <s v="N"/>
  </r>
  <r>
    <n v="990080"/>
    <s v="Hogwarts Legacy"/>
    <x v="133"/>
    <n v="5716"/>
    <b v="0"/>
    <s v="Single-player,Steam Achievements,Full controller support,In-App Purchases,Adjustable Text Size,Camera Comfort,Custom Volume Controls,Narrated Game Menus,Save Anytime,Stereo Sound,Surround Sound,Steam Cloud,HDR available,Family Sharing"/>
    <s v="Action,Adventure,RPG"/>
    <n v="140"/>
    <s v="RX 5700 XT"/>
    <s v="Y"/>
    <s v="N"/>
    <s v="Y"/>
    <s v="N"/>
    <s v="Y"/>
    <s v="N"/>
    <s v="Y"/>
    <s v="N"/>
    <s v="N"/>
  </r>
  <r>
    <n v="444200"/>
    <s v="World of Tanks Blitz"/>
    <x v="134"/>
    <n v="5707"/>
    <b v="1"/>
    <s v="Multi-player,MMO,PvP,Online PvP,Co-op,Online Co-op,Cross-Platform Multiplayer,Steam Trading Cards,In-App Purchases,Camera Comfort,Color Alternatives,Custom Volume Controls,Save Anytime,Stereo Sound,Touch Only Option"/>
    <s v="Action,Massively Multiplayer,Simulation,Strategy,Free To Play"/>
    <n v="141"/>
    <s v="Radeon Vega 8"/>
    <s v="N"/>
    <s v="Y"/>
    <s v="Y"/>
    <s v="N"/>
    <s v="N"/>
    <s v="Y"/>
    <s v="N"/>
    <s v="Y"/>
    <s v="Y"/>
  </r>
  <r>
    <n v="440900"/>
    <s v="Conan Exiles"/>
    <x v="135"/>
    <n v="5677"/>
    <b v="0"/>
    <s v="Single-player,Multi-player,PvP,Online PvP,Co-op,Online Co-op,Steam Achievements,Full controller support,Steam Trading Cards,Steam Workshop,Remote Play on Tablet,Remote Play on TV,Family Sharing"/>
    <s v="Action,Adventure,Massively Multiplayer,RPG,Simulation,Strategy"/>
    <n v="142"/>
    <s v="RTX 3060"/>
    <s v="Y"/>
    <s v="Y"/>
    <s v="Y"/>
    <s v="N"/>
    <s v="Y"/>
    <s v="Y"/>
    <s v="Y"/>
    <s v="Y"/>
    <s v="N"/>
  </r>
  <r>
    <n v="1063730"/>
    <s v="New World: Aeternum"/>
    <x v="136"/>
    <n v="5583"/>
    <b v="0"/>
    <s v="Multi-player,MMO,PvP,Online PvP,Co-op,Online Co-op,Steam Achievements,In-App Purchases,Adjustable Text Size,Camera Comfort,Chat Speech-to-text,Chat Text-to-speech,Color Alternatives,Custom Volume Controls,Keyboard Only Option,Playable without Timed Input,Save Anytime,Stereo Sound,Subtitle Options,Surround Sound,Partial Controller Support"/>
    <s v="Action,Adventure,Massively Multiplayer,RPG"/>
    <n v="143"/>
    <s v="RTX 2060"/>
    <s v="N"/>
    <s v="Y"/>
    <s v="Y"/>
    <s v="N"/>
    <s v="Y"/>
    <s v="N"/>
    <s v="Y"/>
    <s v="N"/>
    <s v="N"/>
  </r>
  <r>
    <n v="2001120"/>
    <s v="Split Fiction"/>
    <x v="137"/>
    <n v="5476"/>
    <b v="0"/>
    <s v="Multi-player,Co-op,Online Co-op,Shared/Split Screen Co-op,Shared/Split Screen,Cross-Platform Multiplayer,Steam Achievements,Full controller support,Steam Trading Cards,Captions available,Camera Comfort,Color Alternatives,Stereo Sound,Surround Sound,Steam Cloud,Remote Play Together,HDR available,Family Sharing"/>
    <s v="Action,Adventure"/>
    <n v="144"/>
    <s v="RTX 3070"/>
    <s v="N"/>
    <s v="Y"/>
    <s v="Y"/>
    <s v="N"/>
    <s v="Y"/>
    <s v="N"/>
    <s v="N"/>
    <s v="N"/>
    <s v="N"/>
  </r>
  <r>
    <n v="1172620"/>
    <s v="Sea of Thieves: 2025 Edition"/>
    <x v="138"/>
    <n v="5437"/>
    <b v="0"/>
    <s v="Multi-player,PvP,Online PvP,Co-op,Online Co-op,Cross-Platform Multiplayer,Steam Achievements,Steam Trading Cards,In-App Purchases,Partial Controller Support,Remote Play on Phone,Remote Play on Tablet,Family Sharing"/>
    <s v="Action,Adventure"/>
    <n v="145"/>
    <s v="GTX 1080 Ti"/>
    <s v="N"/>
    <s v="Y"/>
    <s v="Y"/>
    <s v="N"/>
    <s v="Y"/>
    <s v="N"/>
    <s v="N"/>
    <s v="N"/>
    <s v="N"/>
  </r>
  <r>
    <n v="1248130"/>
    <s v="Farming Simulator 22"/>
    <x v="139"/>
    <n v="5419"/>
    <b v="1"/>
    <s v="Single-player,Multi-player,Co-op,Online Co-op,Cross-Platform Multiplayer,Steam Achievements,Full controller support,Steam Trading Cards,Steam Cloud,Remote Play on TV,Family Sharing"/>
    <s v="Simulation"/>
    <n v="146"/>
    <s v="GTX 1060"/>
    <s v="Y"/>
    <s v="Y"/>
    <s v="N"/>
    <s v="N"/>
    <s v="N"/>
    <s v="Y"/>
    <s v="N"/>
    <s v="N"/>
    <s v="N"/>
  </r>
  <r>
    <n v="311210"/>
    <s v="Call of Duty: Black Ops III"/>
    <x v="140"/>
    <n v="5414"/>
    <b v="1"/>
    <s v="Single-player,Multi-player,Co-op,Shared/Split Screen,Steam Achievements,Full controller support,Steam Trading Cards,Steam Workshop,Valve Anti-Cheat enabled,Steam Leaderboards,Remote Play on Phone,Remote Play on Tablet,Remote Play on TV,Remote Play Together,Family Sharing"/>
    <s v="Action,Adventure"/>
    <n v="147"/>
    <s v="GTX 950"/>
    <s v="Y"/>
    <s v="Y"/>
    <s v="Y"/>
    <s v="N"/>
    <s v="Y"/>
    <s v="N"/>
    <s v="N"/>
    <s v="N"/>
    <s v="N"/>
  </r>
  <r>
    <n v="233860"/>
    <s v="Kenshi"/>
    <x v="141"/>
    <n v="5412"/>
    <b v="0"/>
    <s v="Single-player,Steam Trading Cards,Steam Workshop,Includes level editor,Family Sharing"/>
    <s v="Action,Indie,RPG,Simulation,Strategy"/>
    <n v="148"/>
    <s v="GTX 970"/>
    <s v="Y"/>
    <s v="N"/>
    <s v="Y"/>
    <s v="Y"/>
    <s v="N"/>
    <s v="Y"/>
    <s v="Y"/>
    <s v="Y"/>
    <s v="N"/>
  </r>
  <r>
    <n v="949230"/>
    <s v="Cities: Skylines II"/>
    <x v="142"/>
    <n v="5392"/>
    <b v="0"/>
    <s v="Single-player,Steam Achievements,Full controller support,Steam Cloud,Family Sharing"/>
    <s v="Simulation"/>
    <n v="149"/>
    <s v="RTX 3080"/>
    <s v="Y"/>
    <s v="N"/>
    <s v="N"/>
    <s v="N"/>
    <s v="N"/>
    <s v="Y"/>
    <s v="N"/>
    <s v="N"/>
    <s v="N"/>
  </r>
  <r>
    <n v="3059520"/>
    <s v="F1 25"/>
    <x v="143"/>
    <n v="5272"/>
    <b v="0"/>
    <s v="Single-player,Multi-player,PvP,Online PvP,LAN PvP,Shared/Split Screen PvP,Co-op,Online Co-op,LAN Co-op,Shared/Split Screen,Cross-Platform Multiplayer,Steam Achievements,Full controller support,VR Supported,Steam Workshop,In-App Purchases,Adjustable Difficulty,Keyboard Only Option,Playable without Timed Input,Stereo Sound,Surround Sound,Steam Cloud,HDR available,Family Sharing"/>
    <s v="Racing,Simulation,Sports"/>
    <n v="150"/>
    <s v="RTX 2070"/>
    <s v="Y"/>
    <s v="Y"/>
    <s v="N"/>
    <s v="N"/>
    <s v="N"/>
    <s v="Y"/>
    <s v="N"/>
    <s v="N"/>
    <s v="N"/>
  </r>
  <r>
    <n v="714010"/>
    <s v="Aimlabs"/>
    <x v="144"/>
    <n v="5223"/>
    <b v="0"/>
    <s v="Single-player,Steam Achievements,Full controller support,Steam Workshop,In-App Purchases,Steam Cloud,Stats,Steam Leaderboards,Includes level editor"/>
    <s v="Action,Adventure,Casual,Indie,Simulation,Free To Play"/>
    <n v="151"/>
    <s v="Radeon Vega 11"/>
    <s v="Y"/>
    <s v="N"/>
    <s v="Y"/>
    <s v="Y"/>
    <s v="Y"/>
    <s v="Y"/>
    <s v="N"/>
    <s v="N"/>
    <s v="Y"/>
  </r>
  <r>
    <n v="548430"/>
    <s v="Deep Rock Galactic"/>
    <x v="145"/>
    <n v="5216"/>
    <b v="0"/>
    <s v="Single-player,Multi-player,Co-op,Online Co-op,Steam Achievements,Full controller support,Steam Trading Cards,Captions available,Camera Comfort,Color Alternatives,Custom Volume Controls,Adjustable Difficulty,Playable without Timed Input,Stereo Sound,Subtitle Options,Steam Cloud,Remote Play on Tablet,Remote Play on TV,Family Sharing"/>
    <s v="Action"/>
    <n v="152"/>
    <s v="RX 570"/>
    <s v="Y"/>
    <s v="Y"/>
    <s v="Y"/>
    <s v="N"/>
    <s v="N"/>
    <s v="N"/>
    <s v="N"/>
    <s v="N"/>
    <s v="N"/>
  </r>
  <r>
    <n v="2707930"/>
    <s v="Palia"/>
    <x v="146"/>
    <n v="5140"/>
    <b v="0"/>
    <s v="Single-player,Multi-player,Co-op,Online Co-op,Cross-Platform Multiplayer,Steam Achievements,In-App Purchases,Partial Controller Support"/>
    <s v="Adventure,Casual,Indie,RPG,Simulation,Free To Play"/>
    <n v="153"/>
    <s v="GTX 1060"/>
    <s v="Y"/>
    <s v="Y"/>
    <s v="N"/>
    <s v="Y"/>
    <s v="Y"/>
    <s v="Y"/>
    <s v="Y"/>
    <s v="N"/>
    <s v="Y"/>
  </r>
  <r>
    <n v="1812620"/>
    <s v="DSX"/>
    <x v="147"/>
    <n v="5121"/>
    <b v="0"/>
    <s v="Single-player,Steam Achievements,Steam Workshop,Partial Controller Support,Steam Cloud"/>
    <s v="Action,Adventure,Indie,Simulation,Utilities"/>
    <n v="154"/>
    <s v="Radeon Vega 11"/>
    <s v="Y"/>
    <s v="N"/>
    <s v="Y"/>
    <s v="Y"/>
    <s v="Y"/>
    <s v="Y"/>
    <s v="N"/>
    <s v="N"/>
    <s v="N"/>
  </r>
  <r>
    <n v="2195250"/>
    <s v="EA SPORTS FC 24"/>
    <x v="148"/>
    <n v="5110"/>
    <b v="0"/>
    <s v="Single-player,Multi-player,PvP,Online PvP,Shared/Split Screen PvP,Co-op,Online Co-op,Shared/Split Screen Co-op,Shared/Split Screen,Cross-Platform Multiplayer,Steam Achievements,Full controller support,In-App Purchases,Adjustable Difficulty,Keyboard Only Option,Stereo Sound,Remote Play Together,HDR available"/>
    <s v="Simulation,Sports"/>
    <n v="155"/>
    <s v="GTX 1660"/>
    <s v="Y"/>
    <s v="Y"/>
    <s v="N"/>
    <s v="N"/>
    <s v="N"/>
    <s v="Y"/>
    <s v="N"/>
    <s v="N"/>
    <s v="N"/>
  </r>
  <r>
    <n v="286160"/>
    <s v="Tabletop Simulator"/>
    <x v="149"/>
    <n v="5021"/>
    <b v="1"/>
    <s v="Single-player,Multi-player,PvP,Online PvP,Shared/Split Screen PvP,Co-op,Online Co-op,Shared/Split Screen Co-op,Shared/Split Screen,Cross-Platform Multiplayer,Steam Achievements,Full controller support,Tracked Controller Support,VR Supported,Steam Trading Cards,Steam Workshop,Steam Cloud,Includes level editor,Remote Play Together,Family Sharing"/>
    <s v="Casual,Indie,RPG,Simulation,Strategy"/>
    <n v="156"/>
    <s v="Radeon Graphics"/>
    <s v="Y"/>
    <s v="Y"/>
    <s v="N"/>
    <s v="Y"/>
    <s v="N"/>
    <s v="Y"/>
    <s v="Y"/>
    <s v="Y"/>
    <s v="N"/>
  </r>
  <r>
    <n v="1426210"/>
    <s v="It Takes Two"/>
    <x v="150"/>
    <n v="5018"/>
    <b v="0"/>
    <s v="Multi-player,Co-op,Online Co-op,Shared/Split Screen Co-op,Shared/Split Screen,Steam Achievements,Full controller support,Steam Trading Cards,Stereo Sound,Surround Sound,Steam Cloud,Remote Play Together"/>
    <s v="Action,Adventure"/>
    <n v="157"/>
    <s v="GTX 980"/>
    <s v="N"/>
    <s v="Y"/>
    <s v="Y"/>
    <s v="N"/>
    <s v="Y"/>
    <s v="N"/>
    <s v="N"/>
    <s v="N"/>
    <s v="N"/>
  </r>
  <r>
    <n v="1687950"/>
    <s v="Persona 5 Royal"/>
    <x v="151"/>
    <n v="4994"/>
    <b v="0"/>
    <s v="Single-player,Steam Achievements,Full controller support,Steam Trading Cards,Steam Cloud,Family Sharing"/>
    <s v="RPG"/>
    <n v="158"/>
    <s v="GTX 1050"/>
    <s v="Y"/>
    <s v="N"/>
    <s v="N"/>
    <s v="N"/>
    <s v="N"/>
    <s v="N"/>
    <s v="Y"/>
    <s v="N"/>
    <s v="N"/>
  </r>
  <r>
    <n v="2437170"/>
    <s v="SMITE 2"/>
    <x v="152"/>
    <n v="4975"/>
    <b v="0"/>
    <s v="Multi-player,PvP,Online PvP,Co-op,Online Co-op,Cross-Platform Multiplayer,Steam Achievements,Full controller support,In-App Purchases"/>
    <s v="Action,Adventure,Casual,Massively Multiplayer,RPG,Strategy,Free To Play,Early Access"/>
    <n v="159"/>
    <s v="GTX 1050 Ti"/>
    <s v="N"/>
    <s v="Y"/>
    <s v="Y"/>
    <s v="N"/>
    <s v="Y"/>
    <s v="N"/>
    <s v="Y"/>
    <s v="Y"/>
    <s v="Y"/>
  </r>
  <r>
    <n v="239140"/>
    <s v="Dying Light"/>
    <x v="153"/>
    <n v="4953"/>
    <b v="1"/>
    <s v="Single-player,Multi-player,PvP,Online PvP,Co-op,Online Co-op,Steam Achievements,Full controller support,Steam Trading Cards,Steam Workshop,Steam Cloud,Valve Anti-Cheat enabled,Includes level editor,Remote Play on Tablet,Remote Play on TV,Family Sharing"/>
    <s v="Action,RPG"/>
    <n v="160"/>
    <s v="R9 380"/>
    <s v="Y"/>
    <s v="Y"/>
    <s v="Y"/>
    <s v="N"/>
    <s v="N"/>
    <s v="N"/>
    <s v="Y"/>
    <s v="N"/>
    <s v="N"/>
  </r>
  <r>
    <n v="367520"/>
    <s v="Hollow Knight"/>
    <x v="154"/>
    <n v="4912"/>
    <b v="1"/>
    <s v="Single-player,Steam Achievements,Full controller support,Steam Trading Cards,Steam Cloud,Remote Play on Phone,Remote Play on Tablet,Remote Play on TV,Family Sharing"/>
    <s v="Action,Adventure,Indie"/>
    <n v="161"/>
    <s v="GTX 1050"/>
    <s v="Y"/>
    <s v="N"/>
    <s v="Y"/>
    <s v="Y"/>
    <s v="Y"/>
    <s v="N"/>
    <s v="N"/>
    <s v="N"/>
    <s v="N"/>
  </r>
  <r>
    <n v="359320"/>
    <s v="Elite Dangerous"/>
    <x v="155"/>
    <n v="4845"/>
    <b v="0"/>
    <s v="Single-player,Multi-player,MMO,Co-op,VR Supported,VR Support,In-App Purchases,Partial Controller Support,Remote Play on Tablet,Family Sharing"/>
    <s v="Action,Adventure,Massively Multiplayer,RPG,Simulation,Strategy"/>
    <n v="162"/>
    <s v="R9 380"/>
    <s v="Y"/>
    <s v="Y"/>
    <s v="Y"/>
    <s v="N"/>
    <s v="Y"/>
    <s v="Y"/>
    <s v="Y"/>
    <s v="Y"/>
    <s v="N"/>
  </r>
  <r>
    <n v="544810"/>
    <s v="KARDS - The WW2 Card Game"/>
    <x v="156"/>
    <n v="4796"/>
    <b v="0"/>
    <s v="Single-player,Multi-player,PvP,Online PvP,In-App Purchases,Remote Play on Tablet"/>
    <s v="Casual,Indie,Strategy,Free To Play"/>
    <n v="163"/>
    <s v="Intel UHD Graphics"/>
    <s v="Y"/>
    <s v="Y"/>
    <s v="N"/>
    <s v="Y"/>
    <s v="N"/>
    <s v="N"/>
    <s v="N"/>
    <s v="Y"/>
    <s v="Y"/>
  </r>
  <r>
    <n v="2709570"/>
    <s v="Supermarket Together"/>
    <x v="157"/>
    <n v="4704"/>
    <b v="0"/>
    <s v="Single-player,Multi-player,Co-op,Online Co-op,Steam Achievements,Steam Cloud"/>
    <s v="Casual,Indie,Simulation,Free To Play"/>
    <n v="164"/>
    <s v="GTX 1070"/>
    <s v="Y"/>
    <s v="Y"/>
    <s v="N"/>
    <s v="Y"/>
    <s v="N"/>
    <s v="Y"/>
    <s v="N"/>
    <s v="N"/>
    <s v="Y"/>
  </r>
  <r>
    <n v="648800"/>
    <s v="Raft"/>
    <x v="158"/>
    <n v="4701"/>
    <b v="0"/>
    <s v="Single-player,Multi-player,Co-op,Online Co-op,Steam Achievements,Steam Cloud,Family Sharing"/>
    <s v="Adventure,Indie,Simulation"/>
    <n v="165"/>
    <s v="GTX 1050"/>
    <s v="Y"/>
    <s v="Y"/>
    <s v="N"/>
    <s v="Y"/>
    <s v="Y"/>
    <s v="Y"/>
    <s v="N"/>
    <s v="N"/>
    <s v="N"/>
  </r>
  <r>
    <n v="700330"/>
    <s v="SCP: Secret Laboratory"/>
    <x v="159"/>
    <n v="4696"/>
    <b v="0"/>
    <s v="Multi-player,PvP,Online PvP,Steam Achievements,Steam Cloud,Valve Anti-Cheat enabled"/>
    <s v="Action,Casual,Indie,RPG,Free To Play"/>
    <n v="166"/>
    <s v="RTX 3060"/>
    <s v="N"/>
    <s v="Y"/>
    <s v="Y"/>
    <s v="Y"/>
    <s v="N"/>
    <s v="N"/>
    <s v="Y"/>
    <s v="N"/>
    <s v="Y"/>
  </r>
  <r>
    <n v="238960"/>
    <s v="Path of Exile"/>
    <x v="160"/>
    <n v="4694"/>
    <b v="1"/>
    <s v="Single-player,Multi-player,MMO,PvP,Online PvP,Co-op,Online Co-op,Steam Achievements,Full controller support,Steam Trading Cards,In-App Purchases,Remote Play on Tablet"/>
    <s v="Action,Adventure,Indie,Massively Multiplayer,RPG,Free To Play"/>
    <n v="167"/>
    <s v="R9 280X"/>
    <s v="Y"/>
    <s v="Y"/>
    <s v="Y"/>
    <s v="Y"/>
    <s v="Y"/>
    <s v="N"/>
    <s v="Y"/>
    <s v="N"/>
    <s v="Y"/>
  </r>
  <r>
    <n v="529340"/>
    <s v="Victoria 3"/>
    <x v="69"/>
    <n v="4609"/>
    <b v="1"/>
    <s v="Single-player,Multi-player,PvP,Online PvP,Cross-Platform Multiplayer,Steam Achievements,Steam Workshop,Color Alternatives,Custom Volume Controls,Adjustable Difficulty,Keyboard Only Option,Mouse Only Option,Playable without Timed Input,Save Anytime,Stereo Sound,Surround Sound,Steam Cloud,Family Sharing"/>
    <s v="Simulation,Strategy"/>
    <n v="168"/>
    <s v="GTX 1660"/>
    <s v="Y"/>
    <s v="Y"/>
    <s v="N"/>
    <s v="N"/>
    <s v="N"/>
    <s v="Y"/>
    <s v="N"/>
    <s v="Y"/>
    <s v="N"/>
  </r>
  <r>
    <n v="1267910"/>
    <s v="Melvor Idle"/>
    <x v="161"/>
    <n v="4551"/>
    <b v="1"/>
    <s v="Single-player,Steam Achievements,Steam Trading Cards,Family Sharing"/>
    <s v="Adventure,Casual,Indie,RPG"/>
    <n v="169"/>
    <s v="Radeon Vega 11"/>
    <s v="Y"/>
    <s v="N"/>
    <s v="N"/>
    <s v="Y"/>
    <s v="Y"/>
    <s v="N"/>
    <s v="Y"/>
    <s v="N"/>
    <s v="N"/>
  </r>
  <r>
    <n v="232090"/>
    <s v="Killing Floor 2"/>
    <x v="162"/>
    <n v="4508"/>
    <b v="0"/>
    <s v="Single-player,Multi-player,PvP,Online PvP,Co-op,Online Co-op,Steam Achievements,Full controller support,Steam Trading Cards,Steam Workshop,In-App Purchases,Valve Anti-Cheat enabled,Includes level editor,Remote Play on Tablet,Remote Play on TV,Family Sharing"/>
    <s v="Action"/>
    <n v="170"/>
    <s v="GTX 980 Ti"/>
    <s v="Y"/>
    <s v="Y"/>
    <s v="Y"/>
    <s v="N"/>
    <s v="N"/>
    <s v="N"/>
    <s v="N"/>
    <s v="N"/>
    <s v="N"/>
  </r>
  <r>
    <n v="779340"/>
    <s v="Total War: THREE KINGDOMS"/>
    <x v="163"/>
    <n v="4507"/>
    <b v="1"/>
    <s v="Single-player,Multi-player,PvP,Online PvP,LAN PvP,Co-op,Online Co-op,LAN Co-op,Steam Achievements,Steam Trading Cards,Camera Comfort,Color Alternatives,Custom Volume Controls,Adjustable Difficulty,Playable without Timed Input,Save Anytime,Stereo Sound,Surround Sound,Steam Cloud,Family Sharing"/>
    <s v="Action,Strategy"/>
    <n v="171"/>
    <s v="GTX 970"/>
    <s v="Y"/>
    <s v="Y"/>
    <s v="Y"/>
    <s v="N"/>
    <s v="N"/>
    <s v="N"/>
    <s v="N"/>
    <s v="Y"/>
    <s v="N"/>
  </r>
  <r>
    <n v="1118200"/>
    <s v="People Playground"/>
    <x v="164"/>
    <n v="4505"/>
    <b v="0"/>
    <s v="Single-player,Steam Achievements,Steam Trading Cards,Steam Workshop,Steam Cloud,Family Sharing"/>
    <s v="Action,Casual,Indie,Simulation"/>
    <n v="172"/>
    <s v="Radeon Vega 11"/>
    <s v="Y"/>
    <s v="N"/>
    <s v="Y"/>
    <s v="Y"/>
    <s v="N"/>
    <s v="Y"/>
    <s v="N"/>
    <s v="N"/>
    <s v="N"/>
  </r>
  <r>
    <n v="1326470"/>
    <s v="Sons Of The Forest"/>
    <x v="165"/>
    <n v="4450"/>
    <b v="0"/>
    <s v="Single-player,Multi-player,Co-op,Online Co-op,Steam Achievements,Full controller support,Steam Cloud,Family Sharing"/>
    <s v="Action,Adventure,Indie,Simulation"/>
    <n v="173"/>
    <s v="RX 5700 XT"/>
    <s v="Y"/>
    <s v="Y"/>
    <s v="Y"/>
    <s v="Y"/>
    <s v="Y"/>
    <s v="Y"/>
    <s v="N"/>
    <s v="N"/>
    <s v="N"/>
  </r>
  <r>
    <n v="1778820"/>
    <s v="TEKKEN 8"/>
    <x v="166"/>
    <n v="4409"/>
    <b v="0"/>
    <s v="Single-player,Multi-player,PvP,Online PvP,Shared/Split Screen PvP,Shared/Split Screen,Steam Achievements,Steam Trading Cards,Partial Controller Support,Steam Cloud,Family Sharing"/>
    <s v="Action"/>
    <n v="174"/>
    <s v="RTX 2070"/>
    <s v="Y"/>
    <s v="Y"/>
    <s v="Y"/>
    <s v="N"/>
    <s v="N"/>
    <s v="N"/>
    <s v="N"/>
    <s v="N"/>
    <s v="N"/>
  </r>
  <r>
    <n v="2531310"/>
    <s v="The Last of Us Part II Remastered"/>
    <x v="167"/>
    <n v="4405"/>
    <b v="0"/>
    <s v="Single-player,Steam Achievements,Full controller support,Adjustable Text Size,Camera Comfort,Color Alternatives,Custom Volume Controls,Adjustable Difficulty,Narrated Game Menus,Save Anytime,Stereo Sound,Subtitle Options,Surround Sound,Steam Cloud,HDR available,Family Sharing"/>
    <s v="Action,Adventure"/>
    <n v="175"/>
    <s v="RTX 3060"/>
    <s v="Y"/>
    <s v="N"/>
    <s v="Y"/>
    <s v="N"/>
    <s v="Y"/>
    <s v="N"/>
    <s v="N"/>
    <s v="N"/>
    <s v="N"/>
  </r>
  <r>
    <n v="1594320"/>
    <s v="Captain of Industry"/>
    <x v="168"/>
    <n v="4404"/>
    <b v="0"/>
    <s v="Single-player,Adjustable Text Size,Camera Comfort,Custom Volume Controls,Adjustable Difficulty,Mouse Only Option,Playable without Timed Input,Save Anytime,Stereo Sound,Steam Cloud,Includes level editor,Family Sharing"/>
    <s v="Indie,Simulation,Strategy,Early Access"/>
    <n v="176"/>
    <s v="GTX 1660"/>
    <s v="Y"/>
    <s v="N"/>
    <s v="N"/>
    <s v="Y"/>
    <s v="N"/>
    <s v="Y"/>
    <s v="N"/>
    <s v="Y"/>
    <s v="N"/>
  </r>
  <r>
    <n v="1569580"/>
    <s v="Blue Prince"/>
    <x v="169"/>
    <n v="4395"/>
    <b v="1"/>
    <s v="Single-player,Steam Achievements,Full controller support,Steam Cloud,Family Sharing"/>
    <s v="Adventure,Indie,Strategy"/>
    <n v="177"/>
    <s v="RX 5700"/>
    <s v="Y"/>
    <s v="N"/>
    <s v="N"/>
    <s v="Y"/>
    <s v="Y"/>
    <s v="N"/>
    <s v="N"/>
    <s v="Y"/>
    <s v="N"/>
  </r>
  <r>
    <n v="374320"/>
    <s v="DARK SOULS III"/>
    <x v="170"/>
    <n v="4381"/>
    <b v="0"/>
    <s v="Single-player,Multi-player,Co-op,Steam Achievements,Full controller support,Steam Trading Cards,Camera Comfort,Custom Volume Controls,Playable without Timed Input,Save Anytime,Stereo Sound,Surround Sound,Remote Play on Phone,Remote Play on Tablet,Remote Play on TV,Family Sharing"/>
    <s v="Action"/>
    <n v="178"/>
    <s v="GTX 970"/>
    <s v="Y"/>
    <s v="Y"/>
    <s v="Y"/>
    <s v="N"/>
    <s v="N"/>
    <s v="N"/>
    <s v="N"/>
    <s v="N"/>
    <s v="N"/>
  </r>
  <r>
    <n v="2543180"/>
    <s v="POPUCOM"/>
    <x v="171"/>
    <n v="4352"/>
    <b v="0"/>
    <s v="Multi-player,Co-op,Online Co-op,Shared/Split Screen Co-op,Shared/Split Screen,Steam Achievements,Color Alternatives,Custom Volume Controls,Surround Sound,Partial Controller Support,Steam Cloud,Remote Play Together,Family Sharing"/>
    <s v="Action,Adventure,Casual"/>
    <n v="179"/>
    <s v="RTX 2060"/>
    <s v="N"/>
    <s v="Y"/>
    <s v="Y"/>
    <s v="N"/>
    <s v="Y"/>
    <s v="N"/>
    <s v="N"/>
    <s v="N"/>
    <s v="N"/>
  </r>
  <r>
    <n v="1144200"/>
    <s v="Ready or Not"/>
    <x v="172"/>
    <n v="4296"/>
    <b v="0"/>
    <s v="Single-player,Multi-player,Co-op,Online Co-op,Steam Achievements,Full controller support,Steam Cloud"/>
    <s v="Action,Adventure,Indie"/>
    <n v="180"/>
    <s v="GTX 1060"/>
    <s v="Y"/>
    <s v="Y"/>
    <s v="Y"/>
    <s v="Y"/>
    <s v="Y"/>
    <s v="N"/>
    <s v="N"/>
    <s v="N"/>
    <s v="N"/>
  </r>
  <r>
    <n v="534380"/>
    <s v="Dying Light 2 Stay Human: Reloaded Edition"/>
    <x v="173"/>
    <n v="4223"/>
    <b v="0"/>
    <s v="Single-player,Multi-player,Co-op,Online Co-op,Steam Achievements,Full controller support,Steam Trading Cards,Steam Cloud,Remote Play on TV,Family Sharing"/>
    <s v="Action,Adventure,RPG"/>
    <n v="181"/>
    <s v="GTX 1050 Ti"/>
    <s v="Y"/>
    <s v="Y"/>
    <s v="Y"/>
    <s v="N"/>
    <s v="Y"/>
    <s v="N"/>
    <s v="Y"/>
    <s v="N"/>
    <s v="N"/>
  </r>
  <r>
    <n v="244850"/>
    <s v="Space Engineers"/>
    <x v="174"/>
    <n v="4201"/>
    <b v="0"/>
    <s v="Single-player,Multi-player,PvP,Online PvP,Co-op,Cross-Platform Multiplayer,Steam Achievements,Steam Workshop,Partial Controller Support,Steam Cloud,Includes level editor,Family Sharing"/>
    <s v="Action,Indie,Simulation,Strategy"/>
    <n v="182"/>
    <s v="GTX 1050"/>
    <s v="Y"/>
    <s v="Y"/>
    <s v="Y"/>
    <s v="Y"/>
    <s v="N"/>
    <s v="Y"/>
    <s v="N"/>
    <s v="Y"/>
    <s v="N"/>
  </r>
  <r>
    <n v="1904540"/>
    <s v="Football Manager 2023"/>
    <x v="175"/>
    <n v="4178"/>
    <b v="1"/>
    <s v="Single-player,Multi-player,Steam Achievements,Steam Cloud,Family Sharing"/>
    <s v="Simulation,Sports"/>
    <n v="183"/>
    <s v="Radeon Vega 11"/>
    <s v="Y"/>
    <s v="Y"/>
    <s v="N"/>
    <s v="N"/>
    <s v="N"/>
    <s v="Y"/>
    <s v="N"/>
    <s v="N"/>
    <s v="N"/>
  </r>
  <r>
    <n v="1888930"/>
    <s v="The Last of Us Part I"/>
    <x v="176"/>
    <n v="4144"/>
    <b v="0"/>
    <s v="Single-player,Steam Achievements,Full controller support,Steam Trading Cards,Adjustable Text Size,Camera Comfort,Color Alternatives,Custom Volume Controls,Adjustable Difficulty,Narrated Game Menus,Save Anytime,Stereo Sound,Subtitle Options,Surround Sound,Steam Cloud,Remote Play on TV,Family Sharing"/>
    <s v="Action,Adventure"/>
    <n v="184"/>
    <s v="RX 5700 XT"/>
    <s v="Y"/>
    <s v="N"/>
    <s v="Y"/>
    <s v="N"/>
    <s v="Y"/>
    <s v="N"/>
    <s v="N"/>
    <s v="N"/>
    <s v="N"/>
  </r>
  <r>
    <n v="1468810"/>
    <s v="ｬｼｰｷｫ Tale of Immortal"/>
    <x v="177"/>
    <n v="4116"/>
    <b v="0"/>
    <s v="Single-player,Steam Achievements,Full controller support,Steam Workshop,Steam Cloud,Remote Play on Tablet,Family Sharing"/>
    <s v="Action,Adventure,Indie,RPG,Simulation"/>
    <n v="185"/>
    <s v="Intel UHD Graphics"/>
    <s v="Y"/>
    <s v="N"/>
    <s v="Y"/>
    <s v="Y"/>
    <s v="Y"/>
    <s v="Y"/>
    <s v="Y"/>
    <s v="N"/>
    <s v="N"/>
  </r>
  <r>
    <n v="214950"/>
    <s v="Total War: ROME II - Emperor Edition"/>
    <x v="178"/>
    <n v="3901"/>
    <b v="1"/>
    <s v="Single-player,Multi-player,PvP,Online PvP,LAN PvP,Co-op,Online Co-op,LAN Co-op,Steam Trading Cards,Camera Comfort,Custom Volume Controls,Adjustable Difficulty,Playable without Timed Input,Save Anytime,Stereo Sound,Surround Sound,Steam Cloud,Family Sharing"/>
    <s v="Strategy"/>
    <n v="186"/>
    <s v="Radeon Graphics"/>
    <s v="Y"/>
    <s v="Y"/>
    <s v="N"/>
    <s v="N"/>
    <s v="N"/>
    <s v="N"/>
    <s v="N"/>
    <s v="Y"/>
    <s v="N"/>
  </r>
  <r>
    <n v="22380"/>
    <s v="Fallout: New Vegas"/>
    <x v="179"/>
    <n v="3892"/>
    <b v="0"/>
    <s v="Single-player,Steam Achievements,Partial Controller Support,Steam Leaderboards,Remote Play on Phone,Remote Play on Tablet,Family Sharing"/>
    <s v="Action,RPG"/>
    <n v="187"/>
    <s v="GTX 750"/>
    <s v="Y"/>
    <s v="N"/>
    <s v="Y"/>
    <s v="N"/>
    <s v="N"/>
    <s v="N"/>
    <s v="Y"/>
    <s v="N"/>
    <s v="N"/>
  </r>
  <r>
    <n v="1062090"/>
    <s v="Timberborn"/>
    <x v="180"/>
    <n v="3884"/>
    <b v="1"/>
    <s v="Single-player,Steam Workshop,Adjustable Text Size,Camera Comfort,Custom Volume Controls,Adjustable Difficulty,Mouse Only Option,Playable without Timed Input,Save Anytime,Stereo Sound,Steam Cloud,Includes level editor,Family Sharing"/>
    <s v="Indie,Simulation,Strategy,Early Access"/>
    <n v="188"/>
    <s v="RTX 2070"/>
    <s v="Y"/>
    <s v="N"/>
    <s v="N"/>
    <s v="Y"/>
    <s v="N"/>
    <s v="Y"/>
    <s v="N"/>
    <s v="Y"/>
    <s v="N"/>
  </r>
  <r>
    <n v="1407200"/>
    <s v="World of Tanks"/>
    <x v="181"/>
    <n v="3869"/>
    <b v="0"/>
    <s v="Multi-player,MMO,PvP,Online PvP,Steam Achievements,Steam Trading Cards,In-App Purchases,Color Alternatives,Custom Volume Controls,Playable without Timed Input,Stereo Sound,Surround Sound"/>
    <s v="Action,Massively Multiplayer,Simulation,Free To Play"/>
    <n v="189"/>
    <s v="GTX 1650"/>
    <s v="N"/>
    <s v="Y"/>
    <s v="Y"/>
    <s v="N"/>
    <s v="N"/>
    <s v="Y"/>
    <s v="N"/>
    <s v="N"/>
    <s v="Y"/>
  </r>
  <r>
    <n v="262060"/>
    <s v="Darkest Dungeon"/>
    <x v="182"/>
    <n v="3848"/>
    <b v="1"/>
    <s v="Single-player,Steam Achievements,Steam Trading Cards,Partial Controller Support,Steam Cloud,Remote Play on Tablet,Family Sharing"/>
    <s v="Indie,RPG,Strategy"/>
    <n v="190"/>
    <s v="GTX 970"/>
    <s v="Y"/>
    <s v="N"/>
    <s v="N"/>
    <s v="Y"/>
    <s v="N"/>
    <s v="N"/>
    <s v="Y"/>
    <s v="Y"/>
    <s v="N"/>
  </r>
  <r>
    <n v="945360"/>
    <s v="Among Us"/>
    <x v="8"/>
    <n v="3832"/>
    <b v="0"/>
    <s v="Multi-player,PvP,Online PvP,LAN PvP,Co-op,Online Co-op,LAN Co-op,Cross-Platform Multiplayer,Steam Achievements,Full controller support,Steam Trading Cards,In-App Purchases,Remote Play on Phone,Remote Play on Tablet,Family Sharing"/>
    <s v="Casual"/>
    <n v="191"/>
    <s v="Radeon Vega 8"/>
    <s v="N"/>
    <s v="Y"/>
    <s v="N"/>
    <s v="N"/>
    <s v="N"/>
    <s v="N"/>
    <s v="N"/>
    <s v="N"/>
    <s v="N"/>
  </r>
  <r>
    <n v="2050650"/>
    <s v="Resident Evil 4"/>
    <x v="183"/>
    <n v="3748"/>
    <b v="0"/>
    <s v="Single-player,Steam Achievements,Full controller support,Steam Trading Cards,Steam Cloud,HDR available,Family Sharing"/>
    <s v="Action,Adventure"/>
    <n v="192"/>
    <s v="RX 5700"/>
    <s v="Y"/>
    <s v="N"/>
    <s v="Y"/>
    <s v="N"/>
    <s v="Y"/>
    <s v="N"/>
    <s v="N"/>
    <s v="N"/>
    <s v="N"/>
  </r>
  <r>
    <n v="1304930"/>
    <s v="The Outlast Trials"/>
    <x v="184"/>
    <n v="3743"/>
    <b v="0"/>
    <s v="Single-player,Multi-player,Co-op,Online Co-op,Full controller support,Family Sharing"/>
    <s v="Action,Adventure,Indie"/>
    <n v="193"/>
    <s v="GTX 1660"/>
    <s v="Y"/>
    <s v="Y"/>
    <s v="Y"/>
    <s v="Y"/>
    <s v="Y"/>
    <s v="N"/>
    <s v="N"/>
    <s v="N"/>
    <s v="N"/>
  </r>
  <r>
    <n v="1716740"/>
    <s v="Starfield"/>
    <x v="185"/>
    <n v="3725"/>
    <b v="0"/>
    <s v="Single-player,Steam Achievements,Full controller support,Steam Trading Cards,Color Alternatives,Playable without Timed Input,Stereo Sound,Surround Sound,Steam Cloud,Family Sharing"/>
    <s v="RPG"/>
    <n v="194"/>
    <s v="RX 6800 XT"/>
    <s v="Y"/>
    <s v="N"/>
    <s v="N"/>
    <s v="N"/>
    <s v="N"/>
    <s v="N"/>
    <s v="Y"/>
    <s v="N"/>
    <s v="N"/>
  </r>
  <r>
    <n v="8500"/>
    <s v="EVE Online"/>
    <x v="186"/>
    <n v="3705"/>
    <b v="1"/>
    <s v="Multi-player,MMO,PvP,Online PvP,Co-op,Online Co-op,Steam Trading Cards,Adjustable Text Size,Color Alternatives,Custom Volume Controls,Stereo Sound,Surround Sound"/>
    <s v="Action,Massively Multiplayer,RPG,Strategy,Free To Play"/>
    <n v="195"/>
    <s v="Radeon Graphics"/>
    <s v="N"/>
    <s v="Y"/>
    <s v="Y"/>
    <s v="N"/>
    <s v="N"/>
    <s v="N"/>
    <s v="Y"/>
    <s v="Y"/>
    <s v="Y"/>
  </r>
  <r>
    <n v="1621690"/>
    <s v="Core Keeper"/>
    <x v="152"/>
    <n v="3688"/>
    <b v="0"/>
    <s v="Single-player,Multi-player,Co-op,Online Co-op,Full controller support,Steam Cloud,Family Sharing"/>
    <s v="Action,Adventure,Indie,RPG,Simulation"/>
    <n v="196"/>
    <s v="GTX 1050 Ti"/>
    <s v="Y"/>
    <s v="Y"/>
    <s v="Y"/>
    <s v="Y"/>
    <s v="Y"/>
    <s v="Y"/>
    <s v="Y"/>
    <s v="N"/>
    <s v="N"/>
  </r>
  <r>
    <n v="1446780"/>
    <s v="MONSTER HUNTER RISE"/>
    <x v="187"/>
    <n v="3658"/>
    <b v="0"/>
    <s v="Single-player,Multi-player,Co-op,Online Co-op,Steam Achievements,Full controller support,Steam Trading Cards,Steam Cloud,HDR available,Family Sharing"/>
    <s v="Action"/>
    <n v="197"/>
    <s v="GTX 1060"/>
    <s v="Y"/>
    <s v="Y"/>
    <s v="Y"/>
    <s v="N"/>
    <s v="N"/>
    <s v="N"/>
    <s v="N"/>
    <s v="N"/>
    <s v="N"/>
  </r>
  <r>
    <n v="655500"/>
    <s v="MX Bikes"/>
    <x v="188"/>
    <n v="3605"/>
    <b v="0"/>
    <s v="Single-player,Multi-player,PvP,Online PvP,LAN PvP,Partial Controller Support,Family Sharing"/>
    <s v="Racing,Simulation,Sports,Early Access"/>
    <n v="198"/>
    <s v="GTX 970"/>
    <s v="Y"/>
    <s v="Y"/>
    <s v="N"/>
    <s v="N"/>
    <s v="N"/>
    <s v="Y"/>
    <s v="N"/>
    <s v="N"/>
    <s v="N"/>
  </r>
  <r>
    <n v="3037410"/>
    <s v="Fish Idle 2: Underwater Mystery"/>
    <x v="189"/>
    <n v="3589"/>
    <b v="0"/>
    <s v="Single-player"/>
    <s v="Adventure,Casual,Indie,Free To Play"/>
    <n v="199"/>
    <s v="Radeon Vega 11"/>
    <s v="Y"/>
    <s v="N"/>
    <s v="N"/>
    <s v="Y"/>
    <s v="Y"/>
    <s v="N"/>
    <s v="N"/>
    <s v="N"/>
    <s v="Y"/>
  </r>
  <r>
    <n v="1401590"/>
    <s v="Disney Dreamlight Valley"/>
    <x v="190"/>
    <n v="3587"/>
    <b v="0"/>
    <s v="Single-player,Multi-player,Full controller support,In-App Purchases,Camera Comfort,Custom Volume Controls,Playable without Timed Input,Save Anytime,Stereo Sound,Subtitle Options,Family Sharing"/>
    <s v="Action,Adventure,Casual,RPG,Simulation"/>
    <n v="200"/>
    <s v="GTX 1050 Ti"/>
    <s v="Y"/>
    <s v="Y"/>
    <s v="Y"/>
    <s v="N"/>
    <s v="Y"/>
    <s v="Y"/>
    <s v="Y"/>
    <s v="N"/>
    <s v="N"/>
  </r>
  <r>
    <n v="2186680"/>
    <s v="Warhammer 40,000: Rogue Trader"/>
    <x v="191"/>
    <n v="3582"/>
    <b v="1"/>
    <s v="Single-player,Multi-player,Co-op,Online Co-op,Cross-Platform Multiplayer,Steam Achievements,Steam Trading Cards,Steam Workshop,Adjustable Text Size,Custom Volume Controls,Mouse Only Option,Save Anytime,Stereo Sound,Subtitle Options,Surround Sound,Partial Controller Support,Steam Cloud,Family Sharing"/>
    <s v="Action,Adventure,Indie,RPG,Strategy"/>
    <n v="201"/>
    <s v="RX 570"/>
    <s v="Y"/>
    <s v="Y"/>
    <s v="Y"/>
    <s v="Y"/>
    <s v="Y"/>
    <s v="N"/>
    <s v="Y"/>
    <s v="Y"/>
    <s v="N"/>
  </r>
  <r>
    <n v="2904000"/>
    <s v="The Spell Brigade"/>
    <x v="192"/>
    <n v="3580"/>
    <b v="0"/>
    <s v="Single-player,Multi-player,Co-op,Online Co-op,Steam Achievements,Partial Controller Support,Steam Cloud,Family Sharing"/>
    <s v="Action,Casual,Indie,Free To Play,Early Access"/>
    <n v="202"/>
    <s v="GTX 1050"/>
    <s v="Y"/>
    <s v="Y"/>
    <s v="Y"/>
    <s v="Y"/>
    <s v="N"/>
    <s v="N"/>
    <s v="N"/>
    <s v="N"/>
    <s v="Y"/>
  </r>
  <r>
    <n v="3017860"/>
    <s v="DOOM: The Dark Ages"/>
    <x v="193"/>
    <n v="3518"/>
    <b v="0"/>
    <s v="Single-player,Steam Achievements,Full controller support,Steam Trading Cards,Color Alternatives,Adjustable Difficulty,Surround Sound,Steam Cloud,HDR available,Family Sharing"/>
    <s v="Action"/>
    <n v="203"/>
    <s v="RTX 3080"/>
    <s v="Y"/>
    <s v="N"/>
    <s v="Y"/>
    <s v="N"/>
    <s v="N"/>
    <s v="N"/>
    <s v="N"/>
    <s v="N"/>
    <s v="N"/>
  </r>
  <r>
    <n v="435150"/>
    <s v="Divinity: Original Sin 2 - Definitive Edition"/>
    <x v="194"/>
    <n v="3510"/>
    <b v="1"/>
    <s v="Single-player,Multi-player,PvP,Online PvP,Shared/Split Screen PvP,Co-op,Online Co-op,Shared/Split Screen Co-op,Shared/Split Screen,Steam Achievements,Full controller support,Steam Trading Cards,Captions available,Steam Workshop,Steam Cloud,Includes level editor,Remote Play on Tablet,Remote Play on TV,Remote Play Together,Family Sharing"/>
    <s v="Adventure,RPG,Strategy"/>
    <n v="204"/>
    <s v="GTX 1050 Ti"/>
    <s v="Y"/>
    <s v="Y"/>
    <s v="N"/>
    <s v="N"/>
    <s v="Y"/>
    <s v="N"/>
    <s v="Y"/>
    <s v="Y"/>
    <s v="N"/>
  </r>
  <r>
    <n v="1066780"/>
    <s v="Transport Fever 2"/>
    <x v="195"/>
    <n v="3465"/>
    <b v="1"/>
    <s v="Single-player,Steam Achievements,Full controller support,Steam Workshop,Family Sharing"/>
    <s v="Casual,Indie,Simulation,Strategy"/>
    <n v="205"/>
    <s v="RX 580"/>
    <s v="Y"/>
    <s v="N"/>
    <s v="N"/>
    <s v="Y"/>
    <s v="N"/>
    <s v="Y"/>
    <s v="N"/>
    <s v="Y"/>
    <s v="N"/>
  </r>
  <r>
    <n v="2665680"/>
    <s v="Tower of Babel: Survivors of Chaos"/>
    <x v="196"/>
    <n v="3392"/>
    <b v="1"/>
    <s v="Single-player,Steam Achievements,Full controller support,Steam Cloud,Family Sharing"/>
    <s v="Action,RPG,Early Access"/>
    <n v="206"/>
    <s v="GTX 1050 Ti"/>
    <s v="Y"/>
    <s v="N"/>
    <s v="Y"/>
    <s v="N"/>
    <s v="N"/>
    <s v="N"/>
    <s v="Y"/>
    <s v="N"/>
    <s v="N"/>
  </r>
  <r>
    <n v="1147690"/>
    <s v="NGU IDLE"/>
    <x v="41"/>
    <n v="3382"/>
    <b v="0"/>
    <s v="Single-player,Steam Achievements,In-App Purchases,Steam Cloud,Remote Play on Tablet"/>
    <s v="Adventure,Indie,Simulation,Free To Play"/>
    <n v="207"/>
    <s v="Radeon Vega 11"/>
    <s v="Y"/>
    <s v="N"/>
    <s v="N"/>
    <s v="Y"/>
    <s v="Y"/>
    <s v="Y"/>
    <s v="N"/>
    <s v="N"/>
    <s v="Y"/>
  </r>
  <r>
    <n v="686810"/>
    <s v="Hell Let Loose"/>
    <x v="197"/>
    <n v="3380"/>
    <b v="0"/>
    <s v="Multi-player,PvP,Online PvP,Steam Achievements,Partial Controller Support,Family Sharing"/>
    <s v="Action,Indie,Massively Multiplayer,Simulation,Strategy"/>
    <n v="208"/>
    <s v="GTX 1060"/>
    <s v="N"/>
    <s v="Y"/>
    <s v="Y"/>
    <s v="Y"/>
    <s v="N"/>
    <s v="Y"/>
    <s v="N"/>
    <s v="Y"/>
    <s v="N"/>
  </r>
  <r>
    <n v="1868140"/>
    <s v="DAVE THE DIVER"/>
    <x v="198"/>
    <n v="3367"/>
    <b v="1"/>
    <s v="Single-player,Steam Achievements,Full controller support,Steam Trading Cards,Steam Cloud,Family Sharing"/>
    <s v="Adventure,Casual,RPG,Simulation"/>
    <n v="209"/>
    <s v="GTX 1060"/>
    <s v="Y"/>
    <s v="N"/>
    <s v="N"/>
    <s v="N"/>
    <s v="Y"/>
    <s v="Y"/>
    <s v="Y"/>
    <s v="N"/>
    <s v="N"/>
  </r>
  <r>
    <n v="2625420"/>
    <s v="Drive Beyond Horizons"/>
    <x v="44"/>
    <n v="3366"/>
    <b v="0"/>
    <s v="Single-player,Multi-player,Co-op,Online Co-op,Steam Achievements,Steam Cloud,Steam Leaderboards,Family Sharing"/>
    <s v="Action,Adventure,Casual,Indie,Racing,Simulation,Early Access"/>
    <n v="210"/>
    <s v="RTX 3060"/>
    <s v="Y"/>
    <s v="Y"/>
    <s v="Y"/>
    <s v="Y"/>
    <s v="Y"/>
    <s v="Y"/>
    <s v="N"/>
    <s v="N"/>
    <s v="N"/>
  </r>
  <r>
    <n v="976730"/>
    <s v="Halo: The Master Chief Collection"/>
    <x v="199"/>
    <n v="3362"/>
    <b v="0"/>
    <s v="Single-player,Multi-player,PvP,Online PvP,LAN PvP,Co-op,Online Co-op,LAN Co-op,Cross-Platform Multiplayer,Steam Achievements,Full controller support,Steam Trading Cards,Steam Workshop,Remote Play on Phone,Remote Play on Tablet,Remote Play on TV,Family Sharing"/>
    <s v="Action"/>
    <n v="211"/>
    <s v="GTX 970"/>
    <s v="Y"/>
    <s v="Y"/>
    <s v="Y"/>
    <s v="N"/>
    <s v="N"/>
    <s v="N"/>
    <s v="N"/>
    <s v="N"/>
    <s v="N"/>
  </r>
  <r>
    <n v="1009850"/>
    <s v="OVR Advanced Settings"/>
    <x v="102"/>
    <n v="3358"/>
    <b v="0"/>
    <s v="Tracked Controller Support,VR Only"/>
    <s v="Utilities"/>
    <n v="212"/>
    <s v="GTX 970"/>
    <s v="N"/>
    <s v="N"/>
    <s v="N"/>
    <s v="N"/>
    <s v="N"/>
    <s v="N"/>
    <s v="N"/>
    <s v="N"/>
    <s v="N"/>
  </r>
  <r>
    <n v="391540"/>
    <s v="Undertale"/>
    <x v="200"/>
    <n v="3331"/>
    <b v="1"/>
    <s v="Single-player,Steam Trading Cards,Remote Play on Phone,Remote Play on Tablet,Family Sharing"/>
    <s v="Indie,RPG"/>
    <n v="213"/>
    <s v="Radeon Graphics"/>
    <s v="Y"/>
    <s v="N"/>
    <s v="N"/>
    <s v="Y"/>
    <s v="N"/>
    <s v="N"/>
    <s v="Y"/>
    <s v="N"/>
    <s v="N"/>
  </r>
  <r>
    <n v="1546320"/>
    <s v="Your Chronicle"/>
    <x v="201"/>
    <n v="3324"/>
    <b v="1"/>
    <s v="Single-player,Steam Achievements,In-App Purchases,Steam Cloud"/>
    <s v="RPG,Free To Play"/>
    <n v="214"/>
    <s v="Radeon Vega 11"/>
    <s v="Y"/>
    <s v="N"/>
    <s v="N"/>
    <s v="N"/>
    <s v="N"/>
    <s v="N"/>
    <s v="Y"/>
    <s v="N"/>
    <s v="Y"/>
  </r>
  <r>
    <n v="2404880"/>
    <s v="Car Dealer Simulator"/>
    <x v="4"/>
    <n v="3296"/>
    <b v="0"/>
    <s v="Single-player,Steam Achievements,Full controller support,Steam Cloud,Family Sharing"/>
    <s v="Casual,Indie,Simulation"/>
    <n v="215"/>
    <s v="RTX 3070"/>
    <s v="Y"/>
    <s v="N"/>
    <s v="N"/>
    <s v="Y"/>
    <s v="N"/>
    <s v="Y"/>
    <s v="N"/>
    <s v="N"/>
    <s v="N"/>
  </r>
  <r>
    <n v="1258080"/>
    <s v="Shop Titans"/>
    <x v="202"/>
    <n v="3279"/>
    <b v="0"/>
    <s v="Single-player,Multi-player,MMO,Co-op,Online Co-op,Cross-Platform Multiplayer,Steam Achievements,Steam Trading Cards,In-App Purchases"/>
    <s v="Adventure,Casual,RPG,Simulation,Free To Play"/>
    <n v="216"/>
    <s v="Radeon Vega 11"/>
    <s v="Y"/>
    <s v="Y"/>
    <s v="N"/>
    <s v="N"/>
    <s v="Y"/>
    <s v="Y"/>
    <s v="Y"/>
    <s v="N"/>
    <s v="Y"/>
  </r>
  <r>
    <n v="529760"/>
    <s v="TAIKU MANSION"/>
    <x v="203"/>
    <n v="3278"/>
    <b v="0"/>
    <s v="Single-player,Steam Achievements,Steam Trading Cards,Captions available,Family Sharing"/>
    <s v="Action,Adventure"/>
    <n v="217"/>
    <s v="GTX 970"/>
    <s v="Y"/>
    <s v="N"/>
    <s v="Y"/>
    <s v="N"/>
    <s v="Y"/>
    <s v="N"/>
    <s v="N"/>
    <s v="N"/>
    <s v="N"/>
  </r>
  <r>
    <n v="1284210"/>
    <s v="Guild Wars 2"/>
    <x v="204"/>
    <n v="3277"/>
    <b v="0"/>
    <s v="Multi-player,MMO,PvP,Online PvP,Co-op,Online Co-op,In-App Purchases"/>
    <s v="Adventure,Massively Multiplayer,RPG,Free To Play"/>
    <n v="218"/>
    <s v="GTX 750"/>
    <s v="N"/>
    <s v="Y"/>
    <s v="N"/>
    <s v="N"/>
    <s v="Y"/>
    <s v="N"/>
    <s v="Y"/>
    <s v="N"/>
    <s v="Y"/>
  </r>
  <r>
    <n v="1250410"/>
    <s v="Microsoft Flight Simulator (2020) 40th Anniversary Edition"/>
    <x v="22"/>
    <n v="3245"/>
    <b v="0"/>
    <s v="Single-player,Multi-player,Steam Achievements,Full controller support,VR Supported,In-App Purchases,HDR available,Family Sharing"/>
    <s v="Simulation"/>
    <n v="219"/>
    <s v="GTX 970"/>
    <s v="Y"/>
    <s v="Y"/>
    <s v="N"/>
    <s v="N"/>
    <s v="N"/>
    <s v="Y"/>
    <s v="N"/>
    <s v="N"/>
    <s v="N"/>
  </r>
  <r>
    <n v="2622000"/>
    <s v="Astral Party"/>
    <x v="205"/>
    <n v="3227"/>
    <b v="0"/>
    <s v="Multi-player,PvP,Online PvP,Co-op,Online Co-op,In-App Purchases"/>
    <s v="Casual,Indie,RPG,Strategy"/>
    <n v="220"/>
    <s v="GTX 1660"/>
    <s v="N"/>
    <s v="Y"/>
    <s v="N"/>
    <s v="Y"/>
    <s v="N"/>
    <s v="N"/>
    <s v="Y"/>
    <s v="Y"/>
    <s v="N"/>
  </r>
  <r>
    <n v="397540"/>
    <s v="Borderlands 3"/>
    <x v="206"/>
    <n v="3164"/>
    <b v="0"/>
    <s v="Single-player,Multi-player,Co-op,Online Co-op,LAN Co-op,Cross-Platform Multiplayer,Steam Achievements,Full controller support,Steam Trading Cards,Steam Cloud,Remote Play on Phone,Remote Play on Tablet,Remote Play on TV,Family Sharing"/>
    <s v="Action,RPG"/>
    <n v="221"/>
    <s v="RX 590"/>
    <s v="Y"/>
    <s v="Y"/>
    <s v="Y"/>
    <s v="N"/>
    <s v="N"/>
    <s v="N"/>
    <s v="Y"/>
    <s v="N"/>
    <s v="N"/>
  </r>
  <r>
    <n v="1465360"/>
    <s v="SnowRunner"/>
    <x v="207"/>
    <n v="3132"/>
    <b v="1"/>
    <s v="Single-player,Multi-player,Co-op,Online Co-op,Steam Achievements,Full controller support,Steam Trading Cards,Camera Comfort,Custom Volume Controls,Playable without Timed Input,Save Anytime,Stereo Sound,Surround Sound,Steam Cloud,Remote Play on Phone,Remote Play on Tablet,Family Sharing"/>
    <s v="Adventure,Simulation"/>
    <n v="222"/>
    <s v="GTX 970"/>
    <s v="Y"/>
    <s v="Y"/>
    <s v="N"/>
    <s v="N"/>
    <s v="Y"/>
    <s v="Y"/>
    <s v="N"/>
    <s v="N"/>
    <s v="N"/>
  </r>
  <r>
    <n v="268500"/>
    <s v="XCOM 2"/>
    <x v="208"/>
    <n v="3123"/>
    <b v="1"/>
    <s v="Single-player,Steam Achievements,Steam Trading Cards,Steam Workshop,Steam Cloud,Remote Play on Tablet,Family Sharing"/>
    <s v="Strategy"/>
    <n v="223"/>
    <s v="GTX 1050 Ti"/>
    <s v="Y"/>
    <s v="N"/>
    <s v="N"/>
    <s v="N"/>
    <s v="N"/>
    <s v="N"/>
    <s v="N"/>
    <s v="Y"/>
    <s v="N"/>
  </r>
  <r>
    <n v="1229490"/>
    <s v="ULTRAKILL"/>
    <x v="209"/>
    <n v="3122"/>
    <b v="0"/>
    <s v="Single-player,Full controller support,Steam Cloud,Family Sharing"/>
    <s v="Action,Indie,Early Access"/>
    <n v="224"/>
    <s v="GTX 970"/>
    <s v="Y"/>
    <s v="N"/>
    <s v="Y"/>
    <s v="Y"/>
    <s v="N"/>
    <s v="N"/>
    <s v="N"/>
    <s v="N"/>
    <s v="N"/>
  </r>
  <r>
    <n v="1260320"/>
    <s v="Party Animals"/>
    <x v="210"/>
    <n v="3070"/>
    <b v="0"/>
    <s v="Single-player,Multi-player,PvP,Online PvP,Shared/Split Screen PvP,Co-op,Online Co-op,Shared/Split Screen Co-op,Shared/Split Screen,Cross-Platform Multiplayer,Steam Achievements,Full controller support,In-App Purchases,Remote Play Together,Family Sharing"/>
    <s v="Action,Casual,Indie"/>
    <n v="225"/>
    <s v="GTX 1060"/>
    <s v="Y"/>
    <s v="Y"/>
    <s v="Y"/>
    <s v="Y"/>
    <s v="N"/>
    <s v="N"/>
    <s v="N"/>
    <s v="N"/>
    <s v="N"/>
  </r>
  <r>
    <n v="3400930"/>
    <s v="Guilty as Sock!"/>
    <x v="4"/>
    <n v="3056"/>
    <b v="1"/>
    <s v="Multi-player,PvP,Online PvP,Steam Achievements,Family Sharing"/>
    <s v="Casual,Simulation"/>
    <n v="226"/>
    <s v="Radeon Vega 11"/>
    <s v="N"/>
    <s v="Y"/>
    <s v="N"/>
    <s v="N"/>
    <s v="N"/>
    <s v="Y"/>
    <s v="N"/>
    <s v="N"/>
    <s v="N"/>
  </r>
  <r>
    <n v="48700"/>
    <s v="Mount &amp; Blade: Warband"/>
    <x v="211"/>
    <n v="3055"/>
    <b v="1"/>
    <s v="Single-player,Multi-player,Steam Achievements,Steam Trading Cards,Steam Workshop,Family Sharing"/>
    <s v="Action,RPG"/>
    <n v="227"/>
    <s v="GTX 770"/>
    <s v="Y"/>
    <s v="Y"/>
    <s v="Y"/>
    <s v="N"/>
    <s v="N"/>
    <s v="N"/>
    <s v="Y"/>
    <s v="N"/>
    <s v="N"/>
  </r>
  <r>
    <n v="977400"/>
    <s v="Cell to Singularity - Evolution Never Ends"/>
    <x v="212"/>
    <n v="3036"/>
    <b v="1"/>
    <s v="Single-player,Steam Achievements,In-App Purchases,Partial Controller Support,Steam Cloud"/>
    <s v="Casual,Simulation,Free To Play"/>
    <n v="228"/>
    <s v="Radeon Vega 11"/>
    <s v="Y"/>
    <s v="N"/>
    <s v="N"/>
    <s v="N"/>
    <s v="N"/>
    <s v="Y"/>
    <s v="N"/>
    <s v="N"/>
    <s v="Y"/>
  </r>
  <r>
    <n v="627690"/>
    <s v="Idle Champions of the Forgotten Realms"/>
    <x v="213"/>
    <n v="3034"/>
    <b v="1"/>
    <s v="Single-player,Steam Achievements,Steam Trading Cards,In-App Purchases,Remote Play on Tablet"/>
    <s v="Action,Adventure,Indie,Strategy,Free To Play"/>
    <n v="229"/>
    <s v="Radeon Vega 11"/>
    <s v="Y"/>
    <s v="N"/>
    <s v="Y"/>
    <s v="Y"/>
    <s v="Y"/>
    <s v="N"/>
    <s v="N"/>
    <s v="Y"/>
    <s v="Y"/>
  </r>
  <r>
    <n v="933110"/>
    <s v="Age of Empires III: Definitive Edition"/>
    <x v="214"/>
    <n v="3016"/>
    <b v="0"/>
    <s v="Single-player,Multi-player,PvP,Online PvP,LAN PvP,Cross-Platform Multiplayer,Steam Achievements,Steam Trading Cards,Steam Cloud"/>
    <s v="Strategy,Free To Play"/>
    <n v="230"/>
    <s v="GTX 980"/>
    <s v="Y"/>
    <s v="Y"/>
    <s v="N"/>
    <s v="N"/>
    <s v="N"/>
    <s v="N"/>
    <s v="N"/>
    <s v="Y"/>
    <s v="Y"/>
  </r>
  <r>
    <n v="1794680"/>
    <s v="Vampire Survivors"/>
    <x v="151"/>
    <n v="2966"/>
    <b v="1"/>
    <s v="Single-player,Multi-player,Co-op,Online Co-op,Steam Achievements,Full controller support,Steam Trading Cards,Steam Cloud,Remote Play Together,Family Sharing"/>
    <s v="Action,Casual,Indie,RPG"/>
    <n v="231"/>
    <s v="Radeon Vega 11"/>
    <s v="Y"/>
    <s v="Y"/>
    <s v="Y"/>
    <s v="Y"/>
    <s v="N"/>
    <s v="N"/>
    <s v="Y"/>
    <s v="N"/>
    <s v="N"/>
  </r>
  <r>
    <n v="1677740"/>
    <s v="Stumble Guys"/>
    <x v="215"/>
    <n v="2928"/>
    <b v="0"/>
    <s v="Multi-player,PvP,Online PvP,Cross-Platform Multiplayer,In-App Purchases,Partial Controller Support"/>
    <s v="Action,Casual,Indie,Massively Multiplayer,Racing,Free To Play"/>
    <n v="232"/>
    <s v="Radeon Vega 11"/>
    <s v="N"/>
    <s v="Y"/>
    <s v="Y"/>
    <s v="Y"/>
    <s v="N"/>
    <s v="N"/>
    <s v="N"/>
    <s v="N"/>
    <s v="Y"/>
  </r>
  <r>
    <n v="1782210"/>
    <s v="Crab Game"/>
    <x v="216"/>
    <n v="2921"/>
    <b v="1"/>
    <s v="Multi-player,PvP,Online PvP,Co-op,Online Co-op"/>
    <s v="Action,Casual,Free To Play,Indie,Racing"/>
    <n v="233"/>
    <s v="Radeon Vega 8"/>
    <s v="N"/>
    <s v="Y"/>
    <s v="Y"/>
    <s v="Y"/>
    <s v="N"/>
    <s v="N"/>
    <s v="N"/>
    <s v="N"/>
    <s v="Y"/>
  </r>
  <r>
    <n v="242760"/>
    <s v="The Forest"/>
    <x v="217"/>
    <n v="2892"/>
    <b v="0"/>
    <s v="Single-player,Multi-player,Co-op,Online Co-op,LAN Co-op,Tracked Controller Support,VR Supported,Partial Controller Support,Steam Cloud,Family Sharing"/>
    <s v="Action,Adventure,Indie,Simulation"/>
    <n v="234"/>
    <s v="Radeon Vega 8"/>
    <s v="Y"/>
    <s v="Y"/>
    <s v="Y"/>
    <s v="Y"/>
    <s v="Y"/>
    <s v="Y"/>
    <s v="N"/>
    <s v="N"/>
    <s v="N"/>
  </r>
  <r>
    <n v="570940"/>
    <s v="DARK SOULS: REMASTERED"/>
    <x v="218"/>
    <n v="2879"/>
    <b v="0"/>
    <s v="Single-player,Multi-player,Steam Achievements,Full controller support,Remote Play on Phone,Remote Play on Tablet,Remote Play on TV,Family Sharing"/>
    <s v="Action"/>
    <n v="235"/>
    <s v="RX 560"/>
    <s v="Y"/>
    <s v="Y"/>
    <s v="Y"/>
    <s v="N"/>
    <s v="N"/>
    <s v="N"/>
    <s v="N"/>
    <s v="N"/>
    <s v="N"/>
  </r>
  <r>
    <n v="364690"/>
    <s v="SUPER DISTRO"/>
    <x v="219"/>
    <n v="2861"/>
    <b v="0"/>
    <s v="Single-player,Steam Achievements,Full controller support,Steam Trading Cards,Family Sharing"/>
    <s v="Action,Adventure,Indie"/>
    <n v="236"/>
    <s v="GTX 950"/>
    <s v="Y"/>
    <s v="N"/>
    <s v="Y"/>
    <s v="Y"/>
    <s v="Y"/>
    <s v="N"/>
    <s v="N"/>
    <s v="N"/>
    <s v="N"/>
  </r>
  <r>
    <n v="505460"/>
    <s v="Foxhole"/>
    <x v="220"/>
    <n v="2821"/>
    <b v="0"/>
    <s v="Multi-player,MMO,PvP,Online PvP,Valve Anti-Cheat enabled"/>
    <s v="Action,Indie,Massively Multiplayer,RPG,Strategy"/>
    <n v="237"/>
    <s v="RTX 2070"/>
    <s v="N"/>
    <s v="Y"/>
    <s v="Y"/>
    <s v="Y"/>
    <s v="N"/>
    <s v="N"/>
    <s v="Y"/>
    <s v="Y"/>
    <s v="N"/>
  </r>
  <r>
    <n v="32470"/>
    <s v="STAR WARS Empire at War - Gold Pack"/>
    <x v="221"/>
    <n v="2818"/>
    <b v="0"/>
    <s v="Single-player,Multi-player,PvP,Online PvP,Steam Cloud,Family Sharing"/>
    <s v="Strategy"/>
    <n v="238"/>
    <s v="Radeon Graphics"/>
    <s v="Y"/>
    <s v="Y"/>
    <s v="N"/>
    <s v="N"/>
    <s v="N"/>
    <s v="N"/>
    <s v="N"/>
    <s v="Y"/>
    <s v="N"/>
  </r>
  <r>
    <n v="4700"/>
    <s v="Total War: MEDIEVAL II ' Definitive Edition"/>
    <x v="222"/>
    <n v="2814"/>
    <b v="1"/>
    <s v="Single-player,Multi-player,Steam Trading Cards,Family Sharing"/>
    <s v="Strategy"/>
    <n v="239"/>
    <s v="Intel HD Graphics"/>
    <s v="Y"/>
    <s v="Y"/>
    <s v="N"/>
    <s v="N"/>
    <s v="N"/>
    <s v="N"/>
    <s v="N"/>
    <s v="Y"/>
    <s v="N"/>
  </r>
  <r>
    <n v="916440"/>
    <s v="Anno 1800"/>
    <x v="223"/>
    <n v="2784"/>
    <b v="0"/>
    <s v="Single-player,Multi-player,PvP,Online PvP,Co-op,Online Co-op,Steam Achievements,Steam Trading Cards,Captions available"/>
    <s v="Simulation,Strategy"/>
    <n v="240"/>
    <s v="RX 480"/>
    <s v="Y"/>
    <s v="Y"/>
    <s v="N"/>
    <s v="N"/>
    <s v="N"/>
    <s v="Y"/>
    <s v="N"/>
    <s v="Y"/>
    <s v="N"/>
  </r>
  <r>
    <n v="380600"/>
    <s v="Fishing Planet"/>
    <x v="224"/>
    <n v="2781"/>
    <b v="1"/>
    <s v="Single-player,Multi-player,MMO,PvP,Online PvP,Co-op,Online Co-op,Steam Achievements,Full controller support,Steam Trading Cards,In-App Purchases,Remote Play on TV"/>
    <s v="Massively Multiplayer,Simulation,Sports,Free To Play"/>
    <n v="241"/>
    <s v="RTX 4060"/>
    <s v="Y"/>
    <s v="Y"/>
    <s v="N"/>
    <s v="N"/>
    <s v="N"/>
    <s v="Y"/>
    <s v="N"/>
    <s v="N"/>
    <s v="Y"/>
  </r>
  <r>
    <n v="1517290"/>
    <s v="Battlefield 2042"/>
    <x v="225"/>
    <n v="2774"/>
    <b v="0"/>
    <s v="Multi-player,PvP,Online PvP,Co-op,Online Co-op,Steam Achievements,Full controller support,Steam Trading Cards,In-App Purchases,Color Alternatives,Custom Volume Controls,Stereo Sound,Surround Sound,HDR available"/>
    <s v="Action,Adventure,Casual"/>
    <n v="242"/>
    <s v="RX 6600 XT"/>
    <s v="N"/>
    <s v="Y"/>
    <s v="Y"/>
    <s v="N"/>
    <s v="Y"/>
    <s v="N"/>
    <s v="N"/>
    <s v="N"/>
    <s v="N"/>
  </r>
  <r>
    <n v="2646460"/>
    <s v="Soulmask"/>
    <x v="226"/>
    <n v="2760"/>
    <b v="0"/>
    <s v="Single-player,Multi-player,PvP,Online PvP,LAN PvP,Co-op,Online Co-op,LAN Co-op,Steam Achievements,Steam Workshop,Partial Controller Support,Steam Cloud,Family Sharing"/>
    <s v="Adventure,Indie,Massively Multiplayer,RPG,Simulation,Free To Play,Early Access"/>
    <n v="243"/>
    <s v="RTX 3060"/>
    <s v="Y"/>
    <s v="Y"/>
    <s v="N"/>
    <s v="Y"/>
    <s v="Y"/>
    <s v="Y"/>
    <s v="Y"/>
    <s v="N"/>
    <s v="Y"/>
  </r>
  <r>
    <n v="644930"/>
    <s v="They Are Billions"/>
    <x v="227"/>
    <n v="2751"/>
    <b v="0"/>
    <s v="Single-player,Steam Achievements,Steam Trading Cards,Steam Workshop,Steam Cloud,Stats,Steam Leaderboards,Includes level editor,Remote Play on Tablet,Family Sharing"/>
    <s v="Strategy"/>
    <n v="244"/>
    <s v="RX 570"/>
    <s v="Y"/>
    <s v="N"/>
    <s v="N"/>
    <s v="N"/>
    <s v="N"/>
    <s v="N"/>
    <s v="N"/>
    <s v="Y"/>
    <s v="N"/>
  </r>
  <r>
    <n v="264710"/>
    <s v="Subnautica"/>
    <x v="228"/>
    <n v="2719"/>
    <b v="1"/>
    <s v="Single-player,Steam Achievements,Full controller support,VR Supported,Steam Trading Cards,VR Support,Steam Cloud,Remote Play on TV,Family Sharing"/>
    <s v="Adventure,Indie"/>
    <n v="245"/>
    <s v="Radeon Vega 8"/>
    <s v="Y"/>
    <s v="N"/>
    <s v="N"/>
    <s v="Y"/>
    <s v="Y"/>
    <s v="N"/>
    <s v="N"/>
    <s v="N"/>
    <s v="N"/>
  </r>
  <r>
    <n v="1366540"/>
    <s v="Dyson Sphere Program"/>
    <x v="229"/>
    <n v="2703"/>
    <b v="0"/>
    <s v="Single-player,Steam Achievements,Family Sharing"/>
    <s v="Indie,Simulation,Strategy,Early Access"/>
    <n v="246"/>
    <s v="RTX 2070"/>
    <s v="Y"/>
    <s v="N"/>
    <s v="N"/>
    <s v="Y"/>
    <s v="N"/>
    <s v="Y"/>
    <s v="N"/>
    <s v="Y"/>
    <s v="N"/>
  </r>
  <r>
    <n v="412220"/>
    <s v="DDNet"/>
    <x v="22"/>
    <n v="2679"/>
    <b v="1"/>
    <s v="Single-player,Multi-player,Co-op,Online Co-op,LAN Co-op,Cross-Platform Multiplayer,Includes level editor"/>
    <s v="Action,Indie,Free To Play"/>
    <n v="247"/>
    <s v="Radeon Vega 11"/>
    <s v="Y"/>
    <s v="Y"/>
    <s v="Y"/>
    <s v="Y"/>
    <s v="N"/>
    <s v="N"/>
    <s v="N"/>
    <s v="N"/>
    <s v="Y"/>
  </r>
  <r>
    <n v="3590"/>
    <s v="Plants vs. Zombies GOTY Edition"/>
    <x v="230"/>
    <n v="2656"/>
    <b v="1"/>
    <s v="Single-player,Steam Achievements,Remote Play on Phone,Remote Play on Tablet,Family Sharing"/>
    <s v="Strategy"/>
    <n v="248"/>
    <s v="Radeon Graphics"/>
    <s v="Y"/>
    <s v="N"/>
    <s v="N"/>
    <s v="N"/>
    <s v="N"/>
    <s v="N"/>
    <s v="N"/>
    <s v="Y"/>
    <s v="N"/>
  </r>
  <r>
    <n v="1659040"/>
    <s v="HITMAN World of Assassination"/>
    <x v="231"/>
    <n v="2637"/>
    <b v="0"/>
    <s v="Single-player,Steam Achievements,Full controller support,Tracked Controller Support,VR Supported,Custom Volume Controls,Playable without Timed Input,Stereo Sound,Subtitle Options,Surround Sound,Steam Cloud,Family Sharing"/>
    <s v="Action,Adventure"/>
    <n v="249"/>
    <s v="GTX 1070"/>
    <s v="Y"/>
    <s v="N"/>
    <s v="Y"/>
    <s v="N"/>
    <s v="Y"/>
    <s v="N"/>
    <s v="N"/>
    <s v="N"/>
    <s v="N"/>
  </r>
  <r>
    <n v="3183280"/>
    <s v="Game of Thrones: Kingsroad"/>
    <x v="49"/>
    <n v="2634"/>
    <b v="0"/>
    <s v="Single-player,Multi-player,Co-op,Online Co-op,In-App Purchases,Partial Controller Support"/>
    <s v="Action,Adventure,RPG,Free To Play"/>
    <n v="250"/>
    <s v="RTX 2070"/>
    <s v="Y"/>
    <s v="Y"/>
    <s v="Y"/>
    <s v="N"/>
    <s v="Y"/>
    <s v="N"/>
    <s v="Y"/>
    <s v="N"/>
    <s v="Y"/>
  </r>
  <r>
    <n v="812140"/>
    <s v="Assassin's Creed Odyssey"/>
    <x v="232"/>
    <n v="2629"/>
    <b v="0"/>
    <s v="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Phone,Remote Play on Tablet,HDR available"/>
    <s v="Action,Adventure,RPG"/>
    <n v="251"/>
    <s v="RX 570"/>
    <s v="Y"/>
    <s v="N"/>
    <s v="Y"/>
    <s v="N"/>
    <s v="Y"/>
    <s v="N"/>
    <s v="Y"/>
    <s v="N"/>
    <s v="N"/>
  </r>
  <r>
    <n v="784150"/>
    <s v="Workers &amp; Resources: Soviet Republic"/>
    <x v="233"/>
    <n v="2590"/>
    <b v="0"/>
    <s v="Single-player,Steam Achievements,Steam Trading Cards,Steam Workshop,Adjustable Text Size,Camera Comfort,Custom Volume Controls,Adjustable Difficulty,Save Anytime,Partial Controller Support,Steam Cloud,Includes level editor,Family Sharing"/>
    <s v="Simulation,Strategy"/>
    <n v="252"/>
    <s v="GTX 1050"/>
    <s v="Y"/>
    <s v="N"/>
    <s v="N"/>
    <s v="N"/>
    <s v="N"/>
    <s v="Y"/>
    <s v="N"/>
    <s v="Y"/>
    <s v="N"/>
  </r>
  <r>
    <n v="2071280"/>
    <s v="Ravenswatch"/>
    <x v="21"/>
    <n v="2578"/>
    <b v="0"/>
    <s v="Single-player,Multi-player,Co-op,Online Co-op,Full controller support,Steam Cloud,Family Sharing"/>
    <s v="Action,Adventure"/>
    <n v="253"/>
    <s v="GTX 970"/>
    <s v="Y"/>
    <s v="Y"/>
    <s v="Y"/>
    <s v="N"/>
    <s v="Y"/>
    <s v="N"/>
    <s v="N"/>
    <s v="N"/>
    <s v="N"/>
  </r>
  <r>
    <n v="305620"/>
    <s v="The Long Dark"/>
    <x v="234"/>
    <n v="2575"/>
    <b v="1"/>
    <s v="Single-player,Steam Achievements,Full controller support,Steam Trading Cards,Steam Cloud,Remote Play on TV,Family Sharing"/>
    <s v="Adventure,Indie,Simulation,Strategy"/>
    <n v="254"/>
    <s v="Radeon Vega 8"/>
    <s v="Y"/>
    <s v="N"/>
    <s v="N"/>
    <s v="Y"/>
    <s v="Y"/>
    <s v="Y"/>
    <s v="N"/>
    <s v="Y"/>
    <s v="N"/>
  </r>
  <r>
    <n v="2051620"/>
    <s v="Enlisted"/>
    <x v="235"/>
    <n v="2569"/>
    <b v="0"/>
    <s v="Multi-player,MMO,PvP,Online PvP,Co-op,Online Co-op,Cross-Platform Multiplayer,Steam Achievements,Full controller support,In-App Purchases,Adjustable Text Size,Camera Comfort,Custom Volume Controls,Playable without Timed Input"/>
    <s v="Action,Massively Multiplayer,Free To Play"/>
    <n v="255"/>
    <s v="GTX 1080"/>
    <s v="N"/>
    <s v="Y"/>
    <s v="Y"/>
    <s v="N"/>
    <s v="N"/>
    <s v="N"/>
    <s v="N"/>
    <s v="N"/>
    <s v="Y"/>
  </r>
  <r>
    <n v="588650"/>
    <s v="Dead Cells"/>
    <x v="236"/>
    <n v="2559"/>
    <b v="1"/>
    <s v="Single-player,Steam Achievements,Full controller support,Steam Trading Cards,Steam Workshop,Steam Cloud,Remote Play on Phone,Remote Play on Tablet,Remote Play on TV,Family Sharing"/>
    <s v="Action,Adventure,Indie"/>
    <n v="256"/>
    <s v="Radeon Vega 8"/>
    <s v="Y"/>
    <s v="N"/>
    <s v="Y"/>
    <s v="Y"/>
    <s v="Y"/>
    <s v="N"/>
    <s v="N"/>
    <s v="N"/>
    <s v="N"/>
  </r>
  <r>
    <n v="1290000"/>
    <s v="PowerWash Simulator"/>
    <x v="237"/>
    <n v="2547"/>
    <b v="0"/>
    <s v="Single-player,Multi-player,Co-op,Online Co-op,Cross-Platform Multiplayer,Steam Achievements,Full controller support,Steam Trading Cards,Steam Cloud,Family Sharing"/>
    <s v="Casual,Indie,Simulation"/>
    <n v="257"/>
    <s v="GTX 1050"/>
    <s v="Y"/>
    <s v="Y"/>
    <s v="N"/>
    <s v="Y"/>
    <s v="N"/>
    <s v="Y"/>
    <s v="N"/>
    <s v="N"/>
    <s v="N"/>
  </r>
  <r>
    <n v="1190970"/>
    <s v="House Flipper 2"/>
    <x v="238"/>
    <n v="2543"/>
    <b v="0"/>
    <s v="Single-player,Multi-player,Co-op,Online Co-op,LAN Co-op,Cross-Platform Multiplayer,Steam Achievements,Full controller support,Steam Trading Cards,Custom Volume Controls,Playable without Timed Input,Save Anytime,Stereo Sound,Steam Cloud,Includes level editor,Family Sharing"/>
    <s v="Casual,Indie,Simulation"/>
    <n v="258"/>
    <s v="RX 5700 XT"/>
    <s v="Y"/>
    <s v="Y"/>
    <s v="N"/>
    <s v="Y"/>
    <s v="N"/>
    <s v="Y"/>
    <s v="N"/>
    <s v="N"/>
    <s v="N"/>
  </r>
  <r>
    <n v="3020510"/>
    <s v="Legend of Heroes: Three Kingdoms"/>
    <x v="239"/>
    <n v="2538"/>
    <b v="0"/>
    <s v="Single-player,Steam Achievements,Steam Cloud,Family Sharing"/>
    <s v="Indie,RPG,Simulation,Strategy,Early Access"/>
    <n v="259"/>
    <s v="RTX 2060"/>
    <s v="Y"/>
    <s v="N"/>
    <s v="N"/>
    <s v="Y"/>
    <s v="N"/>
    <s v="Y"/>
    <s v="Y"/>
    <s v="Y"/>
    <s v="N"/>
  </r>
  <r>
    <n v="2488370"/>
    <s v="Cash Cleaner Simulator"/>
    <x v="240"/>
    <n v="2538"/>
    <b v="0"/>
    <s v="Single-player,Steam Achievements,Full controller support,Steam Trading Cards,Color Alternatives,Custom Volume Controls,Playable without Timed Input,Save Anytime,Stereo Sound,Surround Sound,Steam Cloud,Family Sharing"/>
    <s v="Casual,Indie,Simulation"/>
    <n v="259"/>
    <s v="RTX 2070"/>
    <s v="Y"/>
    <s v="N"/>
    <s v="N"/>
    <s v="Y"/>
    <s v="N"/>
    <s v="Y"/>
    <s v="N"/>
    <s v="N"/>
    <s v="N"/>
  </r>
  <r>
    <n v="379430"/>
    <s v="Kingdom Come: Deliverance"/>
    <x v="241"/>
    <n v="2520"/>
    <b v="0"/>
    <s v="Single-player,Steam Achievements,Full controller support,Steam Trading Cards,Steam Cloud,Remote Play on TV,Family Sharing"/>
    <s v="Action,Adventure,RPG"/>
    <n v="261"/>
    <s v="RX 580"/>
    <s v="Y"/>
    <s v="N"/>
    <s v="Y"/>
    <s v="N"/>
    <s v="Y"/>
    <s v="N"/>
    <s v="Y"/>
    <s v="N"/>
    <s v="N"/>
  </r>
  <r>
    <n v="703080"/>
    <s v="Planet Zoo"/>
    <x v="242"/>
    <n v="2497"/>
    <b v="0"/>
    <s v="Single-player,Steam Achievements,Steam Trading Cards,Steam Workshop,Steam Cloud,HDR available,Family Sharing"/>
    <s v="Casual,Simulation,Strategy"/>
    <n v="262"/>
    <s v="GTX 1070"/>
    <s v="Y"/>
    <s v="N"/>
    <s v="N"/>
    <s v="N"/>
    <s v="N"/>
    <s v="Y"/>
    <s v="N"/>
    <s v="Y"/>
    <s v="N"/>
  </r>
  <r>
    <n v="1343400"/>
    <s v="RuneScape "/>
    <x v="243"/>
    <n v="2496"/>
    <b v="1"/>
    <s v="Multi-player,MMO,Cross-Platform Multiplayer,Steam Achievements,In-App Purchases,Adjustable Text Size,Camera Comfort,Color Alternatives,Custom Volume Controls,Save Anytime,Subtitle Options,Touch Only Option"/>
    <s v="Massively Multiplayer,RPG,Free To Play"/>
    <n v="263"/>
    <s v="GTX 1050 Ti"/>
    <s v="N"/>
    <s v="Y"/>
    <s v="N"/>
    <s v="N"/>
    <s v="N"/>
    <s v="N"/>
    <s v="Y"/>
    <s v="N"/>
    <s v="Y"/>
  </r>
  <r>
    <n v="2670630"/>
    <s v="Supermarket Simulator"/>
    <x v="244"/>
    <n v="2464"/>
    <b v="1"/>
    <s v="Single-player,Multi-player,Co-op,Online Co-op,Steam Achievements,Full controller support,Steam Cloud,Family Sharing"/>
    <s v="Casual,Indie,Simulation"/>
    <n v="264"/>
    <s v="RTX 2070"/>
    <s v="Y"/>
    <s v="Y"/>
    <s v="N"/>
    <s v="Y"/>
    <s v="N"/>
    <s v="Y"/>
    <s v="N"/>
    <s v="N"/>
    <s v="N"/>
  </r>
  <r>
    <n v="1384160"/>
    <s v="GUILTY GEAR -STRIVE-"/>
    <x v="245"/>
    <n v="2463"/>
    <b v="0"/>
    <s v="Single-player,Multi-player,PvP,Online PvP,Shared/Split Screen PvP,Shared/Split Screen,Steam Achievements,Full controller support,Steam Cloud,Remote Play Together,Family Sharing"/>
    <s v="Action"/>
    <n v="265"/>
    <s v="RX 560"/>
    <s v="Y"/>
    <s v="Y"/>
    <s v="Y"/>
    <s v="N"/>
    <s v="N"/>
    <s v="N"/>
    <s v="N"/>
    <s v="N"/>
    <s v="N"/>
  </r>
  <r>
    <n v="1062520"/>
    <s v="Dinkum"/>
    <x v="71"/>
    <n v="2422"/>
    <b v="0"/>
    <s v="Single-player,Multi-player,Co-op,Online Co-op,Full controller support,Steam Cloud,Family Sharing"/>
    <s v="Adventure,Casual,Indie,RPG,Simulation"/>
    <n v="266"/>
    <s v="RTX 3060"/>
    <s v="Y"/>
    <s v="Y"/>
    <s v="N"/>
    <s v="Y"/>
    <s v="Y"/>
    <s v="Y"/>
    <s v="Y"/>
    <s v="N"/>
    <s v="N"/>
  </r>
  <r>
    <n v="1328670"/>
    <s v="Mass Effect Legendary Edition"/>
    <x v="246"/>
    <n v="2420"/>
    <b v="0"/>
    <s v="Single-player,Steam Achievements,Full controller support,Steam Trading Cards,Adjustable Difficulty,Stereo Sound,Surround Sound,Remote Play on TV"/>
    <s v="Action,RPG"/>
    <n v="267"/>
    <s v="GTX 1070"/>
    <s v="Y"/>
    <s v="N"/>
    <s v="Y"/>
    <s v="N"/>
    <s v="N"/>
    <s v="N"/>
    <s v="Y"/>
    <s v="N"/>
    <s v="N"/>
  </r>
  <r>
    <n v="1643320"/>
    <s v="S.T.A.L.K.E.R. 2: Heart of Chornobyl"/>
    <x v="247"/>
    <n v="2403"/>
    <b v="0"/>
    <s v="Single-player,Steam Achievements,Steam Trading Cards,Steam Workshop,Partial Controller Support,Steam Cloud,HDR available,Family Sharing"/>
    <s v="Action,Adventure,RPG"/>
    <n v="268"/>
    <s v="RTX 3070 Ti"/>
    <s v="Y"/>
    <s v="N"/>
    <s v="Y"/>
    <s v="N"/>
    <s v="Y"/>
    <s v="N"/>
    <s v="Y"/>
    <s v="N"/>
    <s v="N"/>
  </r>
  <r>
    <n v="2162800"/>
    <s v="shapez 2"/>
    <x v="248"/>
    <n v="2399"/>
    <b v="1"/>
    <s v="Single-player,Adjustable Text Size,Camera Comfort,Color Alternatives,Custom Volume Controls,Adjustable Difficulty,Keyboard Only Option,Mouse Only Option,Playable without Timed Input,Save Anytime,Subtitle Options,Steam Cloud,Family Sharing"/>
    <s v="Casual,Indie,Simulation,Strategy,Early Access"/>
    <n v="269"/>
    <s v="RTX 2060"/>
    <s v="Y"/>
    <s v="N"/>
    <s v="N"/>
    <s v="Y"/>
    <s v="N"/>
    <s v="Y"/>
    <s v="N"/>
    <s v="Y"/>
    <s v="N"/>
  </r>
  <r>
    <n v="962130"/>
    <s v="Grounded"/>
    <x v="249"/>
    <n v="2394"/>
    <b v="0"/>
    <s v="Single-player,Multi-player,Co-op,Online Co-op,Full controller support,Steam Trading Cards,Steam Cloud,Remote Play on Tablet,Family Sharing"/>
    <s v="Action,Adventure"/>
    <n v="270"/>
    <s v="GTX 1060"/>
    <s v="Y"/>
    <s v="Y"/>
    <s v="Y"/>
    <s v="N"/>
    <s v="Y"/>
    <s v="N"/>
    <s v="N"/>
    <s v="N"/>
    <s v="N"/>
  </r>
  <r>
    <n v="1787090"/>
    <s v="MyDockFinder"/>
    <x v="250"/>
    <n v="2384"/>
    <b v="0"/>
    <s v="Steam Achievements,Steam Workshop,Steam Cloud"/>
    <s v="Utilities"/>
    <n v="271"/>
    <s v="Radeon Vega 11"/>
    <s v="N"/>
    <s v="N"/>
    <s v="N"/>
    <s v="N"/>
    <s v="N"/>
    <s v="N"/>
    <s v="N"/>
    <s v="N"/>
    <s v="N"/>
  </r>
  <r>
    <n v="219990"/>
    <s v="Grim Dawn"/>
    <x v="251"/>
    <n v="2376"/>
    <b v="0"/>
    <s v="Single-player,Multi-player,Co-op,Online Co-op,LAN Co-op,Steam Achievements,Full controller support,Steam Trading Cards,Steam Cloud,Remote Play on Tablet,Remote Play on TV,Family Sharing"/>
    <s v="Action,Adventure,Indie,RPG"/>
    <n v="272"/>
    <s v="R9 390X"/>
    <s v="Y"/>
    <s v="Y"/>
    <s v="Y"/>
    <s v="Y"/>
    <s v="Y"/>
    <s v="N"/>
    <s v="Y"/>
    <s v="N"/>
    <s v="N"/>
  </r>
  <r>
    <n v="602960"/>
    <s v="Barotrauma"/>
    <x v="252"/>
    <n v="2371"/>
    <b v="1"/>
    <s v="Single-player,Multi-player,PvP,Online PvP,Co-op,Online Co-op,Steam Achievements,Steam Trading Cards,Steam Workshop,Steam Cloud,Includes level editor,Family Sharing,Steam Timeline"/>
    <s v="Action,Indie,Simulation,Strategy"/>
    <n v="273"/>
    <s v="GTX 1050"/>
    <s v="Y"/>
    <s v="Y"/>
    <s v="Y"/>
    <s v="Y"/>
    <s v="N"/>
    <s v="Y"/>
    <s v="N"/>
    <s v="Y"/>
    <s v="N"/>
  </r>
  <r>
    <n v="1774580"/>
    <s v="STAR WARS Jedi: Survivor"/>
    <x v="253"/>
    <n v="2353"/>
    <b v="0"/>
    <s v="Single-player,Steam Achievements,Full controller support,Captions available,Color Alternatives,Custom Volume Controls,Adjustable Difficulty,Stereo Sound,HDR available"/>
    <s v="Action,Adventure"/>
    <n v="274"/>
    <s v="RTX 2070"/>
    <s v="Y"/>
    <s v="N"/>
    <s v="Y"/>
    <s v="N"/>
    <s v="Y"/>
    <s v="N"/>
    <s v="N"/>
    <s v="N"/>
    <s v="N"/>
  </r>
  <r>
    <n v="1222140"/>
    <s v="Detroit: Become Human"/>
    <x v="38"/>
    <n v="2344"/>
    <b v="0"/>
    <s v="Single-player,Steam Achievements,Full controller support,Steam Cloud,Remote Play on TV,Family Sharing"/>
    <s v="Action,Adventure"/>
    <n v="275"/>
    <s v="RX 580"/>
    <s v="Y"/>
    <s v="N"/>
    <s v="Y"/>
    <s v="N"/>
    <s v="Y"/>
    <s v="N"/>
    <s v="N"/>
    <s v="N"/>
    <s v="N"/>
  </r>
  <r>
    <n v="231430"/>
    <s v="Company of Heroes 2"/>
    <x v="254"/>
    <n v="2330"/>
    <b v="1"/>
    <s v="Single-player,Multi-player,PvP,Online PvP,Co-op,Online Co-op,Steam Achievements,Steam Trading Cards,Steam Workshop,Steam Cloud,Stats,Family Sharing"/>
    <s v="Strategy"/>
    <n v="276"/>
    <s v="R9 270"/>
    <s v="Y"/>
    <s v="Y"/>
    <s v="N"/>
    <s v="N"/>
    <s v="N"/>
    <s v="N"/>
    <s v="N"/>
    <s v="Y"/>
    <s v="N"/>
  </r>
  <r>
    <n v="1608450"/>
    <s v="Hellslave"/>
    <x v="255"/>
    <n v="2313"/>
    <b v="0"/>
    <s v="Single-player,Steam Achievements,Full controller support,Family Sharing"/>
    <s v="Adventure,Indie,RPG,Strategy"/>
    <n v="277"/>
    <s v="GTX 1050"/>
    <s v="Y"/>
    <s v="N"/>
    <s v="N"/>
    <s v="Y"/>
    <s v="Y"/>
    <s v="N"/>
    <s v="Y"/>
    <s v="Y"/>
    <s v="N"/>
  </r>
  <r>
    <n v="221380"/>
    <s v="Age of Empires II (Retired)"/>
    <x v="256"/>
    <n v="2278"/>
    <b v="0"/>
    <s v="Single-player,Multi-player,Steam Achievements,Steam Trading Cards,Captions available,Steam Workshop,Steam Cloud,Stats,Steam Leaderboards,Includes level editor,Family Sharing"/>
    <s v="Strategy"/>
    <n v="278"/>
    <s v="Radeon Graphics"/>
    <s v="Y"/>
    <s v="Y"/>
    <s v="N"/>
    <s v="N"/>
    <s v="N"/>
    <s v="N"/>
    <s v="N"/>
    <s v="Y"/>
    <s v="N"/>
  </r>
  <r>
    <n v="1240440"/>
    <s v="Halo Infinite"/>
    <x v="257"/>
    <n v="2275"/>
    <b v="0"/>
    <s v="Multi-player,PvP,Online PvP,LAN PvP,Cross-Platform Multiplayer,Steam Achievements,Full controller support,In-App Purchases,Steam Cloud,Includes level editor,Remote Play on TV"/>
    <s v="Action,Free To Play"/>
    <n v="279"/>
    <s v="RX 5700 XT"/>
    <s v="N"/>
    <s v="Y"/>
    <s v="Y"/>
    <s v="N"/>
    <s v="N"/>
    <s v="N"/>
    <s v="N"/>
    <s v="N"/>
    <s v="Y"/>
  </r>
  <r>
    <n v="2436940"/>
    <s v="Sephiria"/>
    <x v="167"/>
    <n v="2268"/>
    <b v="1"/>
    <s v="Single-player,Multi-player,Co-op,Online Co-op,Steam Achievements,Steam Cloud,Family Sharing"/>
    <s v="Action,Early Access"/>
    <n v="280"/>
    <s v="GTX 1050"/>
    <s v="Y"/>
    <s v="Y"/>
    <s v="Y"/>
    <s v="N"/>
    <s v="N"/>
    <s v="N"/>
    <s v="N"/>
    <s v="N"/>
    <s v="N"/>
  </r>
  <r>
    <n v="782330"/>
    <s v="DOOM Eternal"/>
    <x v="258"/>
    <n v="2262"/>
    <b v="0"/>
    <s v="Single-player,Multi-player,PvP,Online PvP,Steam Achievements,Steam Trading Cards,Color Alternatives,Adjustable Difficulty,Stereo Sound,Surround Sound,Partial Controller Support,Steam Cloud,Remote Play on Phone,Remote Play on Tablet,HDR available,Family Sharing"/>
    <s v="Action"/>
    <n v="281"/>
    <s v="GTX 1060"/>
    <s v="Y"/>
    <s v="Y"/>
    <s v="Y"/>
    <s v="N"/>
    <s v="N"/>
    <s v="N"/>
    <s v="N"/>
    <s v="N"/>
    <s v="N"/>
  </r>
  <r>
    <n v="3167550"/>
    <s v="Tiny Pasture"/>
    <x v="259"/>
    <n v="2256"/>
    <b v="1"/>
    <s v="Single-player,Steam Achievements,Steam Cloud,Family Sharing"/>
    <s v="Casual,Indie,Simulation"/>
    <n v="282"/>
    <s v="GTX 1060"/>
    <s v="Y"/>
    <s v="N"/>
    <s v="N"/>
    <s v="Y"/>
    <s v="N"/>
    <s v="Y"/>
    <s v="N"/>
    <s v="N"/>
    <s v="N"/>
  </r>
  <r>
    <n v="1145360"/>
    <s v="Hades"/>
    <x v="260"/>
    <n v="2253"/>
    <b v="1"/>
    <s v="Single-player,Steam Achievements,Full controller support,Steam Trading Cards,Captions available,Steam Cloud,Remote Play on Phone,Remote Play on Tablet,Remote Play on TV,Family Sharing"/>
    <s v="Action,Indie,RPG"/>
    <n v="283"/>
    <s v="GTX 1050"/>
    <s v="Y"/>
    <s v="N"/>
    <s v="Y"/>
    <s v="Y"/>
    <s v="N"/>
    <s v="N"/>
    <s v="Y"/>
    <s v="N"/>
    <s v="N"/>
  </r>
  <r>
    <n v="601150"/>
    <s v="Devil May Cry 5"/>
    <x v="261"/>
    <n v="2248"/>
    <b v="0"/>
    <s v="Single-player,Multi-player,Co-op,Online Co-op,Steam Achievements,Full controller support,Steam Trading Cards,Steam Cloud,Remote Play on TV,HDR available,Family Sharing"/>
    <s v="Action"/>
    <n v="284"/>
    <s v="GTX 1060"/>
    <s v="Y"/>
    <s v="Y"/>
    <s v="Y"/>
    <s v="N"/>
    <s v="N"/>
    <s v="N"/>
    <s v="N"/>
    <s v="N"/>
    <s v="N"/>
  </r>
  <r>
    <n v="386180"/>
    <s v="Crossout"/>
    <x v="262"/>
    <n v="2231"/>
    <b v="0"/>
    <s v="Multi-player,MMO,PvP,Online PvP,Co-op,Online Co-op,Steam Achievements,Full controller support,Steam Trading Cards,In-App Purchases,Camera Comfort,Color Alternatives,Custom Volume Controls,Playable without Timed Input,Stereo Sound,Subtitle Options,Remote Play on Tablet,Remote Play on TV"/>
    <s v="Action,Adventure,Massively Multiplayer,Racing,Free To Play"/>
    <n v="285"/>
    <s v="GTX 970"/>
    <s v="N"/>
    <s v="Y"/>
    <s v="Y"/>
    <s v="N"/>
    <s v="Y"/>
    <s v="N"/>
    <s v="N"/>
    <s v="N"/>
    <s v="Y"/>
  </r>
  <r>
    <n v="400750"/>
    <s v="Call to Arms - Gates of Hell: Ostfront"/>
    <x v="245"/>
    <n v="2216"/>
    <b v="0"/>
    <s v="Single-player,Multi-player,PvP,Online PvP,Co-op,Online Co-op,Steam Achievements,Steam Trading Cards,Steam Workshop,Camera Comfort,Custom Volume Controls,Adjustable Difficulty,Playable without Timed Input,Stereo Sound,Surround Sound,Partial Controller Support,Steam Cloud,Stats,Steam Leaderboards,Includes level editor,Family Sharing"/>
    <s v="Action,Simulation,Strategy"/>
    <n v="286"/>
    <s v="RTX 2070"/>
    <s v="Y"/>
    <s v="Y"/>
    <s v="Y"/>
    <s v="N"/>
    <s v="N"/>
    <s v="Y"/>
    <s v="N"/>
    <s v="Y"/>
    <s v="N"/>
  </r>
  <r>
    <n v="518790"/>
    <s v="theHunter: Call of the Wild"/>
    <x v="263"/>
    <n v="2207"/>
    <b v="0"/>
    <s v="Single-player,Multi-player,Co-op,Online Co-op,Steam Achievements,Full controller support,In-App Purchases,Steam Cloud,Family Sharing"/>
    <s v="Adventure,Simulation,Sports"/>
    <n v="287"/>
    <s v="GTX 1050"/>
    <s v="Y"/>
    <s v="Y"/>
    <s v="N"/>
    <s v="N"/>
    <s v="Y"/>
    <s v="Y"/>
    <s v="N"/>
    <s v="N"/>
    <s v="N"/>
  </r>
  <r>
    <n v="1404210"/>
    <s v="Red Dead Online"/>
    <x v="264"/>
    <n v="2207"/>
    <b v="0"/>
    <s v="Multi-player,PvP,Online PvP,Co-op,Online Co-op,Steam Achievements,In-App Purchases,Partial Controller Support,Remote Play on Phone,Remote Play on Tablet"/>
    <s v="Action,Adventure"/>
    <n v="287"/>
    <s v="GTX 1060"/>
    <s v="N"/>
    <s v="Y"/>
    <s v="Y"/>
    <s v="N"/>
    <s v="Y"/>
    <s v="N"/>
    <s v="N"/>
    <s v="N"/>
    <s v="N"/>
  </r>
  <r>
    <n v="1677280"/>
    <s v="Company of Heroes 3"/>
    <x v="265"/>
    <n v="2183"/>
    <b v="0"/>
    <s v="Single-player,Multi-player,PvP,Online PvP,Co-op,Online Co-op,Steam Achievements,Steam Trading Cards,Steam Workshop,Stats,Family Sharing"/>
    <s v="Action,Strategy"/>
    <n v="289"/>
    <s v="GTX 1660"/>
    <s v="Y"/>
    <s v="Y"/>
    <s v="Y"/>
    <s v="N"/>
    <s v="N"/>
    <s v="N"/>
    <s v="N"/>
    <s v="Y"/>
    <s v="N"/>
  </r>
  <r>
    <n v="1068820"/>
    <s v="OVR Toolkit - Desktop Overlay"/>
    <x v="266"/>
    <n v="2180"/>
    <b v="0"/>
    <s v="Tracked Controller Support,VR Only,Steam Workshop,Partial Controller Support"/>
    <s v="Utilities"/>
    <n v="290"/>
    <s v="GTX 1080"/>
    <s v="N"/>
    <s v="N"/>
    <s v="N"/>
    <s v="N"/>
    <s v="N"/>
    <s v="N"/>
    <s v="N"/>
    <s v="N"/>
    <s v="N"/>
  </r>
  <r>
    <n v="1128810"/>
    <s v="RISK: Global Domination"/>
    <x v="267"/>
    <n v="2153"/>
    <b v="1"/>
    <s v="Single-player,Multi-player,PvP,Online PvP,Shared/Split Screen PvP,Co-op,Online Co-op,Shared/Split Screen Co-op,Shared/Split Screen,Cross-Platform Multiplayer,Steam Achievements,In-App Purchases,Remote Play on Phone,Remote Play on Tablet,Remote Play Together"/>
    <s v="Casual,Strategy,Free To Play"/>
    <n v="291"/>
    <s v="Radeon Vega 11"/>
    <s v="Y"/>
    <s v="Y"/>
    <s v="N"/>
    <s v="N"/>
    <s v="N"/>
    <s v="N"/>
    <s v="N"/>
    <s v="Y"/>
    <s v="Y"/>
  </r>
  <r>
    <n v="304390"/>
    <s v="FOR HONOR"/>
    <x v="203"/>
    <n v="2146"/>
    <b v="0"/>
    <s v="Single-player,Multi-player,PvP,Online PvP,Co-op,Online Co-op,Steam Achievements,Steam Trading Cards,In-App Purchases,Partial Controller Support"/>
    <s v="Action"/>
    <n v="292"/>
    <s v="GTX 1060"/>
    <s v="Y"/>
    <s v="Y"/>
    <s v="Y"/>
    <s v="N"/>
    <s v="N"/>
    <s v="N"/>
    <s v="N"/>
    <s v="N"/>
    <s v="N"/>
  </r>
  <r>
    <n v="392160"/>
    <s v="X4: Foundations"/>
    <x v="268"/>
    <n v="2141"/>
    <b v="0"/>
    <s v="Single-player,Steam Achievements,Full controller support,Steam Trading Cards,Steam Workshop,Adjustable Text Size,Camera Comfort,Color Alternatives,Custom Volume Controls,Playable without Timed Input,Save Anytime,Stereo Sound,Steam Cloud,Family Sharing"/>
    <s v="Action,Simulation,Strategy"/>
    <n v="293"/>
    <s v="RTX 3060"/>
    <s v="Y"/>
    <s v="N"/>
    <s v="Y"/>
    <s v="N"/>
    <s v="N"/>
    <s v="Y"/>
    <s v="N"/>
    <s v="Y"/>
    <s v="N"/>
  </r>
  <r>
    <n v="552500"/>
    <s v="Warhammer: Vermintide 2"/>
    <x v="269"/>
    <n v="2124"/>
    <b v="0"/>
    <s v="Single-player,Multi-player,Co-op,Online Co-op,Steam Achievements,Full controller support,Steam Trading Cards,Family Sharing"/>
    <s v="Action,Indie,RPG"/>
    <n v="294"/>
    <s v="GTX 970"/>
    <s v="Y"/>
    <s v="Y"/>
    <s v="Y"/>
    <s v="Y"/>
    <s v="N"/>
    <s v="N"/>
    <s v="Y"/>
    <s v="N"/>
    <s v="N"/>
  </r>
  <r>
    <n v="12210"/>
    <s v="Grand Theft Auto IV: The Complete Edition"/>
    <x v="270"/>
    <n v="2122"/>
    <b v="0"/>
    <s v="Single-player,Multi-player,Partial Controller Support,Remote Play on Phone,Remote Play on Tablet"/>
    <s v="Action,Adventure"/>
    <n v="295"/>
    <s v="GTX 750"/>
    <s v="Y"/>
    <s v="Y"/>
    <s v="Y"/>
    <s v="N"/>
    <s v="Y"/>
    <s v="N"/>
    <s v="N"/>
    <s v="N"/>
    <s v="N"/>
  </r>
  <r>
    <n v="728880"/>
    <s v="Overcooked! 2"/>
    <x v="271"/>
    <n v="2107"/>
    <b v="1"/>
    <s v="Single-player,Multi-player,PvP,Online PvP,Shared/Split Screen PvP,Co-op,Online Co-op,Shared/Split Screen Co-op,Shared/Split Screen,Steam Achievements,Full controller support,Steam Trading Cards,Steam Cloud,Remote Play on Phone,Remote Play on Tablet,Remote Play on TV,Remote Play Together,Family Sharing"/>
    <s v="Action,Casual,Indie"/>
    <n v="296"/>
    <s v="Radeon Vega 8"/>
    <s v="Y"/>
    <s v="Y"/>
    <s v="Y"/>
    <s v="Y"/>
    <s v="N"/>
    <s v="N"/>
    <s v="N"/>
    <s v="N"/>
    <s v="N"/>
  </r>
  <r>
    <n v="268910"/>
    <s v="Cuphead"/>
    <x v="272"/>
    <n v="2080"/>
    <b v="1"/>
    <s v="Single-player,Multi-player,Co-op,Shared/Split Screen Co-op,Shared/Split Screen,Steam Achievements,Full controller support,Steam Trading Cards,Steam Cloud,Remote Play on Phone,Remote Play on Tablet,Remote Play on TV,Remote Play Together,Family Sharing"/>
    <s v="Action,Indie"/>
    <n v="297"/>
    <s v="Radeon Vega 8"/>
    <s v="Y"/>
    <s v="Y"/>
    <s v="Y"/>
    <s v="Y"/>
    <s v="N"/>
    <s v="N"/>
    <s v="N"/>
    <s v="N"/>
    <s v="N"/>
  </r>
  <r>
    <n v="2488620"/>
    <s v="F1 24"/>
    <x v="273"/>
    <n v="2067"/>
    <b v="0"/>
    <s v="Single-player,Multi-player,PvP,Online PvP,LAN PvP,Shared/Split Screen PvP,Co-op,Online Co-op,LAN Co-op,Shared/Split Screen,Steam Achievements,Full controller support,VR Supported,Steam Workshop,In-App Purchases,Adjustable Difficulty,Keyboard Only Option,Playable without Timed Input,Stereo Sound,Surround Sound,Steam Cloud,HDR available,Family Sharing"/>
    <s v="Racing,Sports"/>
    <n v="298"/>
    <s v="RTX 2070"/>
    <s v="Y"/>
    <s v="Y"/>
    <s v="N"/>
    <s v="N"/>
    <s v="N"/>
    <s v="N"/>
    <s v="N"/>
    <s v="N"/>
    <s v="N"/>
  </r>
  <r>
    <n v="1371580"/>
    <s v="Myth of Empires"/>
    <x v="132"/>
    <n v="2060"/>
    <b v="0"/>
    <s v="Single-player,Multi-player,MMO,PvP,Online PvP,LAN PvP,Co-op,Online Co-op,LAN Co-op,Steam Achievements,Steam Workshop,In-App Purchases,HDR available"/>
    <s v="Action,Adventure,Indie,Massively Multiplayer,RPG"/>
    <n v="299"/>
    <s v="RX 580"/>
    <s v="Y"/>
    <s v="Y"/>
    <s v="Y"/>
    <s v="Y"/>
    <s v="Y"/>
    <s v="N"/>
    <s v="Y"/>
    <s v="N"/>
    <s v="N"/>
  </r>
  <r>
    <n v="1104280"/>
    <s v="The Slormancer"/>
    <x v="274"/>
    <n v="2052"/>
    <b v="0"/>
    <s v="Single-player,Steam Achievements,Full controller support,Steam Trading Cards,Steam Cloud,Family Sharing"/>
    <s v="Action,Adventure,Indie,RPG"/>
    <n v="300"/>
    <s v="GTX 750"/>
    <s v="Y"/>
    <s v="N"/>
    <s v="Y"/>
    <s v="Y"/>
    <s v="Y"/>
    <s v="N"/>
    <s v="Y"/>
    <s v="N"/>
    <s v="N"/>
  </r>
  <r>
    <n v="10500"/>
    <s v="Total War: EMPIRE ' Definitive Edition"/>
    <x v="275"/>
    <n v="2028"/>
    <b v="1"/>
    <s v="Single-player,Multi-player,PvP,Online PvP,LAN PvP,Co-op,Online Co-op,LAN Co-op,Steam Achievements,Steam Trading Cards,Camera Comfort,Custom Volume Controls,Adjustable Difficulty,Playable without Timed Input,Save Anytime,Stereo Sound,Stats,Family Sharing"/>
    <s v="Strategy"/>
    <n v="301"/>
    <s v="Radeon Graphics"/>
    <s v="Y"/>
    <s v="Y"/>
    <s v="N"/>
    <s v="N"/>
    <s v="N"/>
    <s v="N"/>
    <s v="N"/>
    <s v="Y"/>
    <s v="N"/>
  </r>
  <r>
    <n v="2215430"/>
    <s v="Ghost of Tsushima DIRECTOR'S CUT"/>
    <x v="276"/>
    <n v="2025"/>
    <b v="0"/>
    <s v="Single-player,Multi-player,PvP,Online PvP,Co-op,Online Co-op,Steam Achievements,Full controller support,Steam Trading Cards,Adjustable Text Size,Camera Comfort,Color Alternatives,Custom Volume Controls,Adjustable Difficulty,Playable without Timed Input,Save Anytime,Stereo Sound,Subtitle Options,Surround Sound,Steam Cloud,HDR available,Family Sharing"/>
    <s v="Action,Adventure"/>
    <n v="302"/>
    <s v="RTX 2060"/>
    <s v="Y"/>
    <s v="Y"/>
    <s v="Y"/>
    <s v="N"/>
    <s v="Y"/>
    <s v="N"/>
    <s v="N"/>
    <s v="N"/>
    <s v="N"/>
  </r>
  <r>
    <n v="363970"/>
    <s v="Clicker Heroes"/>
    <x v="277"/>
    <n v="2019"/>
    <b v="1"/>
    <s v="Single-player,Steam Achievements,Steam Trading Cards,In-App Purchases,Camera Comfort,Mouse Only Option,Playable without Timed Input,Save Anytime,Touch Only Option,Steam Cloud,Stats"/>
    <s v="Adventure,Casual,Indie,RPG,Simulation,Strategy,Free To Play"/>
    <n v="303"/>
    <s v="Radeon Graphics"/>
    <s v="Y"/>
    <s v="N"/>
    <s v="N"/>
    <s v="Y"/>
    <s v="Y"/>
    <s v="Y"/>
    <s v="Y"/>
    <s v="Y"/>
    <s v="Y"/>
  </r>
  <r>
    <n v="881100"/>
    <s v="Noita"/>
    <x v="214"/>
    <n v="2019"/>
    <b v="0"/>
    <s v="Single-player,Steam Achievements,Steam Workshop,Partial Controller Support,Steam Cloud,Family Sharing"/>
    <s v="Action,Adventure,Indie,RPG,Simulation"/>
    <n v="303"/>
    <s v="Radeon Vega 11"/>
    <s v="Y"/>
    <s v="N"/>
    <s v="Y"/>
    <s v="Y"/>
    <s v="Y"/>
    <s v="Y"/>
    <s v="Y"/>
    <s v="N"/>
    <s v="N"/>
  </r>
  <r>
    <n v="329110"/>
    <s v="Gems of War - Puzzle RPG"/>
    <x v="278"/>
    <n v="2002"/>
    <b v="0"/>
    <s v="Single-player,Multi-player,Cross-Platform Multiplayer,Steam Achievements,Steam Trading Cards,In-App Purchases,Partial Controller Support,Steam Cloud"/>
    <s v="Action,Adventure,Casual,RPG,Strategy,Free To Play"/>
    <n v="305"/>
    <s v="Radeon Vega 8"/>
    <s v="Y"/>
    <s v="Y"/>
    <s v="Y"/>
    <s v="N"/>
    <s v="Y"/>
    <s v="N"/>
    <s v="Y"/>
    <s v="Y"/>
    <s v="Y"/>
  </r>
  <r>
    <n v="1167630"/>
    <s v="Teardown"/>
    <x v="279"/>
    <n v="1984"/>
    <b v="0"/>
    <s v="Single-player,Steam Achievements,Full controller support,Steam Workshop,Steam Cloud,Includes level editor,Remote Play on Tablet,Family Sharing"/>
    <s v="Action,Indie,Simulation,Strategy"/>
    <n v="306"/>
    <s v="GTX 1080"/>
    <s v="Y"/>
    <s v="N"/>
    <s v="Y"/>
    <s v="Y"/>
    <s v="N"/>
    <s v="Y"/>
    <s v="N"/>
    <s v="Y"/>
    <s v="N"/>
  </r>
  <r>
    <n v="1363080"/>
    <s v="Manor Lords"/>
    <x v="280"/>
    <n v="1977"/>
    <b v="0"/>
    <s v="Single-player,Steam Achievements,Adjustable Text Size,Camera Comfort,Custom Volume Controls,Adjustable Difficulty,Mouse Only Option,Save Anytime,Stereo Sound,Steam Cloud,Family Sharing"/>
    <s v="Simulation,Strategy,Early Access"/>
    <n v="307"/>
    <s v="GTX 1060"/>
    <s v="Y"/>
    <s v="N"/>
    <s v="N"/>
    <s v="N"/>
    <s v="N"/>
    <s v="Y"/>
    <s v="N"/>
    <s v="Y"/>
    <s v="N"/>
  </r>
  <r>
    <n v="620"/>
    <s v="Portal 2"/>
    <x v="281"/>
    <n v="1959"/>
    <b v="0"/>
    <s v="Single-player,Multi-player,Co-op,Online Co-op,Shared/Split Screen Co-op,Shared/Split Screen,Steam Achievements,Full controller support,Steam Trading Cards,Captions available,Steam Workshop,Steam Workshop,Camera Comfort,Custom Volume Controls,Playable without Timed Input,Save Anytime,Stereo Sound,Surround Sound,Steam Cloud,Stats,Includes level editor,Commentary available,Remote Play on Phone,Remote Play on Tablet,Remote Play on TV,Remote Play Together,Family Sharing"/>
    <s v="Action,Adventure"/>
    <n v="308"/>
    <s v="GTX 750"/>
    <s v="Y"/>
    <s v="Y"/>
    <s v="Y"/>
    <s v="N"/>
    <s v="Y"/>
    <s v="N"/>
    <s v="N"/>
    <s v="N"/>
    <s v="N"/>
  </r>
  <r>
    <n v="1184370"/>
    <s v="Pathfinder: Wrath of the Righteous - Enhanced Edition"/>
    <x v="282"/>
    <n v="1874"/>
    <b v="1"/>
    <s v="Single-player,Steam Achievements,Full controller support,Steam Trading Cards,Custom Volume Controls,Adjustable Difficulty,Mouse Only Option,Playable without Timed Input,Save Anytime,Stereo Sound,Touch Only Option,Steam Cloud,Remote Play on TV,Family Sharing"/>
    <s v="Action,Adventure,Indie,RPG,Strategy"/>
    <n v="309"/>
    <s v="GTX 1050 Ti"/>
    <s v="Y"/>
    <s v="N"/>
    <s v="Y"/>
    <s v="Y"/>
    <s v="Y"/>
    <s v="N"/>
    <s v="Y"/>
    <s v="Y"/>
    <s v="N"/>
  </r>
  <r>
    <n v="977950"/>
    <s v="A Dance of Fire and Ice"/>
    <x v="283"/>
    <n v="1870"/>
    <b v="1"/>
    <s v="Single-player,Steam Achievements,Steam Workshop,Partial Controller Support,Steam Cloud,Includes level editor,Remote Play on Phone,Remote Play on Tablet,Family Sharing"/>
    <s v="Indie"/>
    <n v="310"/>
    <s v="GTX 750"/>
    <s v="Y"/>
    <s v="N"/>
    <s v="N"/>
    <s v="Y"/>
    <s v="N"/>
    <s v="N"/>
    <s v="N"/>
    <s v="N"/>
    <s v="N"/>
  </r>
  <r>
    <n v="1645820"/>
    <s v="SurrounDead"/>
    <x v="147"/>
    <n v="1870"/>
    <b v="0"/>
    <s v="Single-player,Steam Achievements,Steam Trading Cards,Camera Comfort,Custom Volume Controls,Adjustable Difficulty,Playable without Timed Input,Save Anytime,Stereo Sound,Surround Sound,Family Sharing"/>
    <s v="Action,Adventure,Indie,RPG,Early Access"/>
    <n v="310"/>
    <s v="GTX 1060"/>
    <s v="Y"/>
    <s v="N"/>
    <s v="Y"/>
    <s v="Y"/>
    <s v="Y"/>
    <s v="N"/>
    <s v="Y"/>
    <s v="N"/>
    <s v="N"/>
  </r>
  <r>
    <n v="601510"/>
    <s v="Yu-Gi-Oh! Duel Links"/>
    <x v="284"/>
    <n v="1856"/>
    <b v="0"/>
    <s v="Single-player,Multi-player,PvP,Online PvP,Cross-Platform Multiplayer,Steam Achievements,Steam Trading Cards,In-App Purchases"/>
    <s v="Strategy,Free To Play"/>
    <n v="312"/>
    <s v="RX 570"/>
    <s v="Y"/>
    <s v="Y"/>
    <s v="N"/>
    <s v="N"/>
    <s v="N"/>
    <s v="N"/>
    <s v="N"/>
    <s v="Y"/>
    <s v="Y"/>
  </r>
  <r>
    <n v="200210"/>
    <s v="Realm of the Mad God Exalt"/>
    <x v="285"/>
    <n v="1853"/>
    <b v="1"/>
    <s v="Multi-player,MMO,Co-op,Online Co-op,In-App Purchases,Stats"/>
    <s v="Action,Adventure,Indie,Massively Multiplayer,RPG,Free To Play"/>
    <n v="313"/>
    <s v="Radeon Graphics"/>
    <s v="N"/>
    <s v="Y"/>
    <s v="Y"/>
    <s v="Y"/>
    <s v="Y"/>
    <s v="N"/>
    <s v="Y"/>
    <s v="N"/>
    <s v="Y"/>
  </r>
  <r>
    <n v="386360"/>
    <s v="SMITE"/>
    <x v="286"/>
    <n v="1853"/>
    <b v="0"/>
    <s v="Multi-player,PvP,Steam Achievements,Full controller support,Steam Trading Cards,In-App Purchases"/>
    <s v="Action,Adventure,Casual,Indie,Massively Multiplayer,RPG,Simulation,Strategy,Free To Play"/>
    <n v="313"/>
    <s v="R9 380"/>
    <s v="N"/>
    <s v="Y"/>
    <s v="Y"/>
    <s v="Y"/>
    <s v="Y"/>
    <s v="Y"/>
    <s v="Y"/>
    <s v="Y"/>
    <s v="Y"/>
  </r>
  <r>
    <n v="220200"/>
    <s v="Kerbal Space Program"/>
    <x v="287"/>
    <n v="1844"/>
    <b v="1"/>
    <s v="Single-player,Steam Trading Cards,Steam Workshop,Partial Controller Support,Steam Cloud,Family Sharing"/>
    <s v="Indie,Simulation"/>
    <n v="315"/>
    <s v="Radeon Graphics"/>
    <s v="Y"/>
    <s v="N"/>
    <s v="N"/>
    <s v="Y"/>
    <s v="N"/>
    <s v="Y"/>
    <s v="N"/>
    <s v="N"/>
    <s v="N"/>
  </r>
  <r>
    <n v="1145350"/>
    <s v="Hades II"/>
    <x v="288"/>
    <n v="1838"/>
    <b v="1"/>
    <s v="Single-player,Steam Achievements,Full controller support,Steam Trading Cards,Captions available,Steam Cloud,Family Sharing"/>
    <s v="Action,Indie,RPG"/>
    <n v="316"/>
    <s v="RTX 2060"/>
    <s v="Y"/>
    <s v="N"/>
    <s v="Y"/>
    <s v="Y"/>
    <s v="N"/>
    <s v="N"/>
    <s v="Y"/>
    <s v="N"/>
    <s v="N"/>
  </r>
  <r>
    <n v="3218710"/>
    <s v="Everlusting Life"/>
    <x v="240"/>
    <n v="1838"/>
    <b v="1"/>
    <s v="Single-player,Multi-player,PvP,Online PvP,Steam Achievements,In-App Purchases"/>
    <s v="Action,Adventure,Massively Multiplayer,RPG,Strategy,Free To Play"/>
    <n v="316"/>
    <s v="GTX 1050"/>
    <s v="Y"/>
    <s v="Y"/>
    <s v="Y"/>
    <s v="N"/>
    <s v="Y"/>
    <s v="N"/>
    <s v="Y"/>
    <s v="Y"/>
    <s v="Y"/>
  </r>
  <r>
    <n v="872410"/>
    <s v="ROMANCE OF THE THREE KINGDOMS XIV"/>
    <x v="289"/>
    <n v="1827"/>
    <b v="0"/>
    <s v="Single-player,Steam Achievements,Steam Trading Cards,Steam Cloud,Family Sharing"/>
    <s v="Simulation"/>
    <n v="318"/>
    <s v="GTX 1060"/>
    <s v="Y"/>
    <s v="N"/>
    <s v="N"/>
    <s v="N"/>
    <s v="N"/>
    <s v="Y"/>
    <s v="N"/>
    <s v="N"/>
    <s v="N"/>
  </r>
  <r>
    <n v="581320"/>
    <s v="Insurgency: Sandstorm"/>
    <x v="290"/>
    <n v="1826"/>
    <b v="0"/>
    <s v="Multi-player,PvP,Online PvP,Co-op,Online Co-op,Cross-Platform Multiplayer,Steam Achievements,Full controller support,Steam Trading Cards,Steam Cloud,Stats,Family Sharing"/>
    <s v="Action"/>
    <n v="319"/>
    <s v="GTX 980"/>
    <s v="N"/>
    <s v="Y"/>
    <s v="Y"/>
    <s v="N"/>
    <s v="N"/>
    <s v="N"/>
    <s v="N"/>
    <s v="N"/>
    <s v="N"/>
  </r>
  <r>
    <n v="2582560"/>
    <s v="EA SPORTS Madden NFL 25"/>
    <x v="248"/>
    <n v="1823"/>
    <b v="0"/>
    <s v="Single-player,Multi-player,PvP,Online PvP,Shared/Split Screen PvP,Co-op,Online Co-op,Shared/Split Screen Co-op,Shared/Split Screen,Cross-Platform Multiplayer,Steam Achievements,Full controller support,In-App Purchases,Chat Speech-to-text,Custom Volume Controls,Adjustable Difficulty,Keyboard Only Option,Stereo Sound,Surround Sound,Remote Play Together"/>
    <s v="Simulation,Sports,Strategy"/>
    <n v="320"/>
    <s v="RTX 3060"/>
    <s v="Y"/>
    <s v="Y"/>
    <s v="N"/>
    <s v="N"/>
    <s v="N"/>
    <s v="Y"/>
    <s v="N"/>
    <s v="Y"/>
    <s v="N"/>
  </r>
  <r>
    <n v="2909400"/>
    <s v="FINAL FANTASY VII REBIRTH"/>
    <x v="291"/>
    <n v="1818"/>
    <b v="0"/>
    <s v="Single-player,Steam Achievements,Full controller support,Steam Trading Cards,Steam Cloud,HDR available,Family Sharing"/>
    <s v="Action,Adventure,RPG"/>
    <n v="321"/>
    <s v="RX 6700 XT"/>
    <s v="Y"/>
    <s v="N"/>
    <s v="Y"/>
    <s v="N"/>
    <s v="Y"/>
    <s v="N"/>
    <s v="Y"/>
    <s v="N"/>
    <s v="N"/>
  </r>
  <r>
    <n v="961200"/>
    <s v="Predecessor"/>
    <x v="292"/>
    <n v="1816"/>
    <b v="0"/>
    <s v="Single-player,Multi-player,PvP,Online PvP,Co-op,Online Co-op,Cross-Platform Multiplayer,Full controller support,In-App Purchases"/>
    <s v="Action,Strategy,Free To Play"/>
    <n v="322"/>
    <s v="GTX 1660 Ti"/>
    <s v="Y"/>
    <s v="Y"/>
    <s v="Y"/>
    <s v="N"/>
    <s v="N"/>
    <s v="N"/>
    <s v="N"/>
    <s v="Y"/>
    <s v="Y"/>
  </r>
  <r>
    <n v="2427700"/>
    <s v="Backpack Battles"/>
    <x v="293"/>
    <n v="1806"/>
    <b v="0"/>
    <s v="Multi-player,PvP,Online PvP,Steam Achievements,Full controller support,Steam Trading Cards,Steam Cloud,Family Sharing"/>
    <s v="Strategy"/>
    <n v="324"/>
    <s v="GTX 1060"/>
    <s v="N"/>
    <s v="Y"/>
    <s v="N"/>
    <s v="N"/>
    <s v="N"/>
    <s v="N"/>
    <s v="N"/>
    <s v="Y"/>
    <s v="N"/>
  </r>
  <r>
    <n v="2385530"/>
    <s v="PGA TOUR 2K25"/>
    <x v="80"/>
    <n v="1789"/>
    <b v="0"/>
    <s v="Single-player,Multi-player,PvP,Online PvP,Shared/Split Screen PvP,Co-op,Online Co-op,Shared/Split Screen,Steam Achievements,Full controller support,In-App Purchases,HDR available,Family Sharing"/>
    <s v="RPG,Simulation,Sports"/>
    <n v="325"/>
    <s v="RTX 2060 SUPER"/>
    <s v="Y"/>
    <s v="Y"/>
    <s v="N"/>
    <s v="N"/>
    <s v="N"/>
    <s v="Y"/>
    <s v="Y"/>
    <s v="N"/>
    <s v="N"/>
  </r>
  <r>
    <n v="1013320"/>
    <s v="Firestone ' Idle Clicker Online RPG"/>
    <x v="294"/>
    <n v="1785"/>
    <b v="1"/>
    <s v="Single-player,Multi-player,Cross-Platform Multiplayer,Steam Achievements,Steam Trading Cards,In-App Purchases,Steam Cloud,Stats,Remote Play on Phone,Remote Play on Tablet"/>
    <s v="Casual,Indie,RPG,Free To Play"/>
    <n v="326"/>
    <s v="Radeon Vega 11"/>
    <s v="Y"/>
    <s v="Y"/>
    <s v="N"/>
    <s v="Y"/>
    <s v="N"/>
    <s v="N"/>
    <s v="Y"/>
    <s v="N"/>
    <s v="Y"/>
  </r>
  <r>
    <n v="1943950"/>
    <s v="Escape the Backrooms"/>
    <x v="295"/>
    <n v="1756"/>
    <b v="0"/>
    <s v="Single-player,Multi-player,Co-op,Online Co-op,Steam Achievements,Camera Comfort,Custom Volume Controls,Adjustable Difficulty,Playable without Timed Input,Stereo Sound,Partial Controller Support,Steam Cloud,HDR available,Family Sharing"/>
    <s v="Action,Indie"/>
    <n v="327"/>
    <s v="RTX 2060"/>
    <s v="Y"/>
    <s v="Y"/>
    <s v="Y"/>
    <s v="Y"/>
    <s v="N"/>
    <s v="N"/>
    <s v="N"/>
    <s v="N"/>
    <s v="N"/>
  </r>
  <r>
    <n v="2679460"/>
    <s v="Metaphor: ReFantazio"/>
    <x v="296"/>
    <n v="1753"/>
    <b v="0"/>
    <s v="Single-player,Steam Achievements,Full controller support,Steam Trading Cards,Camera Comfort,Adjustable Difficulty,Keyboard Only Option,Playable without Timed Input,Stereo Sound,Surround Sound,Steam Cloud,Family Sharing"/>
    <s v="Action,Adventure,RPG"/>
    <n v="328"/>
    <s v="GTX 970"/>
    <s v="Y"/>
    <s v="N"/>
    <s v="Y"/>
    <s v="N"/>
    <s v="Y"/>
    <s v="N"/>
    <s v="Y"/>
    <s v="N"/>
    <s v="N"/>
  </r>
  <r>
    <n v="669330"/>
    <s v="Mechabellum"/>
    <x v="21"/>
    <n v="1748"/>
    <b v="0"/>
    <s v="Single-player,Multi-player,PvP,Online PvP,Co-op,Online Co-op,Family Sharing"/>
    <s v="Action,Indie,Massively Multiplayer,Simulation,Strategy"/>
    <n v="329"/>
    <s v="RTX 2080"/>
    <s v="Y"/>
    <s v="Y"/>
    <s v="Y"/>
    <s v="Y"/>
    <s v="N"/>
    <s v="Y"/>
    <s v="N"/>
    <s v="Y"/>
    <s v="N"/>
  </r>
  <r>
    <n v="2113850"/>
    <s v="Spirit City: Lofi Sessions"/>
    <x v="297"/>
    <n v="1742"/>
    <b v="1"/>
    <s v="Single-player,Steam Achievements,Steam Trading Cards,Steam Cloud,Stats,Family Sharing"/>
    <s v="Casual,Indie,Simulation"/>
    <n v="330"/>
    <s v="GTX 1060"/>
    <s v="Y"/>
    <s v="N"/>
    <s v="N"/>
    <s v="Y"/>
    <s v="N"/>
    <s v="Y"/>
    <s v="N"/>
    <s v="N"/>
    <s v="N"/>
  </r>
  <r>
    <n v="1569040"/>
    <s v="Football Manager 2022"/>
    <x v="298"/>
    <n v="1742"/>
    <b v="1"/>
    <s v="Single-player,Multi-player,Steam Achievements,Steam Cloud,Family Sharing"/>
    <s v="Simulation,Sports"/>
    <n v="330"/>
    <s v="Intel UHD Graphics"/>
    <s v="Y"/>
    <s v="Y"/>
    <s v="N"/>
    <s v="N"/>
    <s v="N"/>
    <s v="Y"/>
    <s v="N"/>
    <s v="N"/>
    <s v="N"/>
  </r>
  <r>
    <n v="2157560"/>
    <s v="Granblue Fantasy Versus: Rising"/>
    <x v="172"/>
    <n v="1736"/>
    <b v="0"/>
    <s v="Single-player,Multi-player,PvP,Online PvP,Shared/Split Screen PvP,Shared/Split Screen,Partial Controller Support,Steam Cloud,Remote Play Together,Family Sharing"/>
    <s v="Action"/>
    <n v="332"/>
    <s v="GTX 1050 Ti"/>
    <s v="Y"/>
    <s v="Y"/>
    <s v="Y"/>
    <s v="N"/>
    <s v="N"/>
    <s v="N"/>
    <s v="N"/>
    <s v="N"/>
    <s v="N"/>
  </r>
  <r>
    <n v="824270"/>
    <s v="KovaaK's"/>
    <x v="299"/>
    <n v="1719"/>
    <b v="0"/>
    <s v="Single-player,Steam Achievements,Steam Workshop,Stats,Steam Leaderboards,Includes level editor,Family Sharing"/>
    <s v="Action,Indie,Simulation"/>
    <n v="333"/>
    <s v="RX 560"/>
    <s v="Y"/>
    <s v="N"/>
    <s v="Y"/>
    <s v="Y"/>
    <s v="N"/>
    <s v="Y"/>
    <s v="N"/>
    <s v="N"/>
    <s v="N"/>
  </r>
  <r>
    <n v="1669000"/>
    <s v="Age of Wonders 4"/>
    <x v="300"/>
    <n v="1707"/>
    <b v="0"/>
    <s v="Single-player,Multi-player,PvP,Online PvP,Co-op,Online Co-op,Cross-Platform Multiplayer,Steam Achievements,Steam Workshop,Camera Comfort,Chat Speech-to-text,Chat Text-to-speech,Custom Volume Controls,Adjustable Difficulty,Playable without Timed Input,Save Anytime,Stereo Sound,Surround Sound,Partial Controller Support,Steam Cloud,Remote Play Together,Family Sharing"/>
    <s v="RPG,Strategy"/>
    <n v="334"/>
    <s v="GTX 1070 Ti"/>
    <s v="Y"/>
    <s v="Y"/>
    <s v="N"/>
    <s v="N"/>
    <s v="N"/>
    <s v="N"/>
    <s v="Y"/>
    <s v="Y"/>
    <s v="N"/>
  </r>
  <r>
    <n v="323190"/>
    <s v="Frostpunk"/>
    <x v="301"/>
    <n v="1699"/>
    <b v="1"/>
    <s v="Single-player,Steam Achievements,Steam Trading Cards,Steam Cloud,Remote Play on Phone,Remote Play on Tablet,Family Sharing"/>
    <s v="Simulation,Strategy"/>
    <n v="335"/>
    <s v="RX 580"/>
    <s v="Y"/>
    <s v="N"/>
    <s v="N"/>
    <s v="N"/>
    <s v="N"/>
    <s v="Y"/>
    <s v="N"/>
    <s v="Y"/>
    <s v="N"/>
  </r>
  <r>
    <n v="2161700"/>
    <s v="Persona 3 Reload"/>
    <x v="302"/>
    <n v="1683"/>
    <b v="0"/>
    <s v="Single-player,Steam Achievements,Full controller support,Steam Trading Cards,Custom Volume Controls,Adjustable Difficulty,Keyboard Only Option,Playable without Timed Input,Stereo Sound,Surround Sound,Steam Cloud,Family Sharing"/>
    <s v="Adventure,RPG,Strategy"/>
    <n v="336"/>
    <s v="GTX 1650"/>
    <s v="Y"/>
    <s v="N"/>
    <s v="N"/>
    <s v="N"/>
    <s v="Y"/>
    <s v="N"/>
    <s v="Y"/>
    <s v="Y"/>
    <s v="N"/>
  </r>
  <r>
    <n v="2619650"/>
    <s v="Cauldron"/>
    <x v="49"/>
    <n v="1682"/>
    <b v="0"/>
    <s v="Single-player,Steam Achievements,Full controller support,Custom Volume Controls,Save Anytime,Steam Cloud,Family Sharing"/>
    <s v="Adventure,Casual,Indie,RPG,Simulation,Strategy"/>
    <n v="337"/>
    <s v="Radeon Vega 11"/>
    <s v="Y"/>
    <s v="N"/>
    <s v="N"/>
    <s v="Y"/>
    <s v="Y"/>
    <s v="Y"/>
    <s v="Y"/>
    <s v="Y"/>
    <s v="N"/>
  </r>
  <r>
    <n v="1876890"/>
    <s v="Wandering Sword"/>
    <x v="303"/>
    <n v="1679"/>
    <b v="0"/>
    <s v="Single-player,Steam Achievements,Partial Controller Support,Steam Cloud,Family Sharing"/>
    <s v="Adventure,Indie,RPG,Strategy"/>
    <n v="338"/>
    <s v="RX 580"/>
    <s v="Y"/>
    <s v="N"/>
    <s v="N"/>
    <s v="Y"/>
    <s v="Y"/>
    <s v="N"/>
    <s v="Y"/>
    <s v="Y"/>
    <s v="N"/>
  </r>
  <r>
    <n v="699130"/>
    <s v="World War Z"/>
    <x v="304"/>
    <n v="1663"/>
    <b v="0"/>
    <s v="Single-player,Multi-player,PvP,Online PvP,Co-op,Online Co-op,Cross-Platform Multiplayer,Steam Achievements,Full controller support,Steam Cloud,Family Sharing"/>
    <s v="Action"/>
    <n v="339"/>
    <s v="GTX 1050 Ti"/>
    <s v="Y"/>
    <s v="Y"/>
    <s v="Y"/>
    <s v="N"/>
    <s v="N"/>
    <s v="N"/>
    <s v="N"/>
    <s v="N"/>
    <s v="N"/>
  </r>
  <r>
    <n v="3070070"/>
    <s v="TCG Card Shop Simulator"/>
    <x v="305"/>
    <n v="1661"/>
    <b v="0"/>
    <s v="Single-player,Steam Achievements,Full controller support,Steam Trading Cards,Camera Comfort,Custom Volume Controls,Playable without Timed Input,Save Anytime,Steam Cloud,Family Sharing"/>
    <s v="Simulation,Early Access"/>
    <n v="340"/>
    <s v="GTX 1070"/>
    <s v="Y"/>
    <s v="N"/>
    <s v="N"/>
    <s v="N"/>
    <s v="N"/>
    <s v="Y"/>
    <s v="N"/>
    <s v="N"/>
    <s v="N"/>
  </r>
  <r>
    <n v="635260"/>
    <s v="CarX Drift Racing Online"/>
    <x v="306"/>
    <n v="1658"/>
    <b v="0"/>
    <s v="Single-player,Multi-player,PvP,Online PvP,Co-op,Online Co-op,Cross-Platform Multiplayer,Steam Achievements,VR Supported,Steam Trading Cards,Steam Workshop,Camera Comfort,Custom Volume Controls,Adjustable Difficulty,Keyboard Only Option,Playable without Timed Input,Stereo Sound,Partial Controller Support,Steam Cloud,Includes level editor,Remote Play on Phone,Remote Play on Tablet,Family Sharing"/>
    <s v="Massively Multiplayer,Racing,Simulation,Sports"/>
    <n v="341"/>
    <s v="GTX 1060"/>
    <s v="Y"/>
    <s v="Y"/>
    <s v="N"/>
    <s v="N"/>
    <s v="N"/>
    <s v="Y"/>
    <s v="N"/>
    <s v="N"/>
    <s v="N"/>
  </r>
  <r>
    <n v="815370"/>
    <s v="Green Hell"/>
    <x v="307"/>
    <n v="1656"/>
    <b v="0"/>
    <s v="Single-player,Multi-player,Co-op,Online Co-op,Steam Achievements,Steam Trading Cards,Adjustable Text Size,Camera Comfort,Custom Volume Controls,Adjustable Difficulty,Playable without Timed Input,Stereo Sound,Subtitle Options,Partial Controller Support,Steam Cloud,Remote Play on Tablet,Family Sharing"/>
    <s v="Action,Adventure,Indie,Simulation"/>
    <n v="342"/>
    <s v="RX 580"/>
    <s v="Y"/>
    <s v="Y"/>
    <s v="Y"/>
    <s v="Y"/>
    <s v="Y"/>
    <s v="Y"/>
    <s v="N"/>
    <s v="N"/>
    <s v="N"/>
  </r>
  <r>
    <n v="2503770"/>
    <s v="House of Legacy"/>
    <x v="193"/>
    <n v="1635"/>
    <b v="0"/>
    <s v="Single-player,Steam Achievements,Steam Cloud,Family Sharing"/>
    <s v="Adventure,RPG,Simulation,Strategy,Early Access"/>
    <n v="343"/>
    <s v="RTX 2060"/>
    <s v="Y"/>
    <s v="N"/>
    <s v="N"/>
    <s v="N"/>
    <s v="Y"/>
    <s v="Y"/>
    <s v="Y"/>
    <s v="Y"/>
    <s v="N"/>
  </r>
  <r>
    <n v="1527950"/>
    <s v="Wartales"/>
    <x v="308"/>
    <n v="1632"/>
    <b v="0"/>
    <s v="Single-player,Multi-player,Co-op,Online Co-op,Steam Achievements,Full controller support,Steam Cloud,Family Sharing"/>
    <s v="Adventure,Indie,RPG,Strategy"/>
    <n v="344"/>
    <s v="GTX 1080"/>
    <s v="Y"/>
    <s v="Y"/>
    <s v="N"/>
    <s v="Y"/>
    <s v="Y"/>
    <s v="N"/>
    <s v="Y"/>
    <s v="Y"/>
    <s v="N"/>
  </r>
  <r>
    <n v="2537590"/>
    <s v="Microsoft Flight Simulator 2024"/>
    <x v="309"/>
    <n v="1622"/>
    <b v="0"/>
    <s v="Single-player,Multi-player,Cross-Platform Multiplayer,Steam Achievements,In-App Purchases,Partial Controller Support,HDR available,Family Sharing"/>
    <s v="Simulation"/>
    <n v="345"/>
    <s v="RX 5700 XT"/>
    <s v="Y"/>
    <s v="Y"/>
    <s v="N"/>
    <s v="N"/>
    <s v="N"/>
    <s v="Y"/>
    <s v="N"/>
    <s v="N"/>
    <s v="N"/>
  </r>
  <r>
    <n v="1468260"/>
    <s v="Leaf Blower Revolution - Idle Game"/>
    <x v="310"/>
    <n v="1621"/>
    <b v="0"/>
    <s v="Single-player,Steam Achievements,Steam Trading Cards,In-App Purchases,Steam Cloud,Stats"/>
    <s v="Casual,Indie,Free To Play"/>
    <n v="346"/>
    <s v="Radeon Vega 11"/>
    <s v="Y"/>
    <s v="N"/>
    <s v="N"/>
    <s v="Y"/>
    <s v="N"/>
    <s v="N"/>
    <s v="N"/>
    <s v="N"/>
    <s v="Y"/>
  </r>
  <r>
    <n v="2142790"/>
    <s v="Fields of Mistria"/>
    <x v="311"/>
    <n v="1616"/>
    <b v="0"/>
    <s v="Single-player,Full controller support,Family Sharing"/>
    <s v="Indie,RPG,Simulation,Early Access"/>
    <n v="347"/>
    <s v="RX 480"/>
    <s v="Y"/>
    <s v="N"/>
    <s v="N"/>
    <s v="Y"/>
    <s v="N"/>
    <s v="Y"/>
    <s v="Y"/>
    <s v="N"/>
    <s v="N"/>
  </r>
  <r>
    <n v="335300"/>
    <s v="DARK SOULS II: Scholar of the First Sin"/>
    <x v="312"/>
    <n v="1612"/>
    <b v="0"/>
    <s v="Single-player,Multi-player,Co-op,Steam Achievements,Full controller support,Remote Play on Phone,Remote Play on Tablet,Remote Play on TV,Family Sharing"/>
    <s v="Action,RPG"/>
    <n v="348"/>
    <s v="R9 380"/>
    <s v="Y"/>
    <s v="Y"/>
    <s v="Y"/>
    <s v="N"/>
    <s v="N"/>
    <s v="N"/>
    <s v="Y"/>
    <s v="N"/>
    <s v="N"/>
  </r>
  <r>
    <n v="786520"/>
    <s v="SAO Utils: Beta"/>
    <x v="313"/>
    <n v="1608"/>
    <b v="0"/>
    <s v="Steam Workshop,Steam Cloud"/>
    <s v="Utilities,Early Access"/>
    <n v="349"/>
    <s v="Radeon Vega 11"/>
    <s v="N"/>
    <s v="N"/>
    <s v="N"/>
    <s v="N"/>
    <s v="N"/>
    <s v="N"/>
    <s v="N"/>
    <s v="N"/>
    <s v="N"/>
  </r>
  <r>
    <n v="1850570"/>
    <s v="DEATH STRANDING DIRECTOR'S CUT"/>
    <x v="314"/>
    <n v="1604"/>
    <b v="0"/>
    <s v="Single-player,Steam Achievements,Full controller support,Steam Trading Cards,Adjustable Text Size,Camera Comfort,Custom Volume Controls,Adjustable Difficulty,Playable without Timed Input,Save Anytime,Stereo Sound,Subtitle Options,Surround Sound,Steam Cloud,HDR available,Family Sharing"/>
    <s v="Action,Adventure"/>
    <n v="350"/>
    <s v="GTX 1060"/>
    <s v="Y"/>
    <s v="N"/>
    <s v="Y"/>
    <s v="N"/>
    <s v="Y"/>
    <s v="N"/>
    <s v="N"/>
    <s v="N"/>
    <s v="N"/>
  </r>
  <r>
    <n v="582160"/>
    <s v="Assassin's Creed Origins"/>
    <x v="315"/>
    <n v="1604"/>
    <b v="0"/>
    <s v="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Tablet,HDR available"/>
    <s v="Action,Adventure,RPG"/>
    <n v="350"/>
    <s v="GTX 1050"/>
    <s v="Y"/>
    <s v="N"/>
    <s v="Y"/>
    <s v="N"/>
    <s v="Y"/>
    <s v="N"/>
    <s v="Y"/>
    <s v="N"/>
    <s v="N"/>
  </r>
  <r>
    <n v="1259420"/>
    <s v="Days Gone"/>
    <x v="207"/>
    <n v="1600"/>
    <b v="0"/>
    <s v="Single-player,Steam Achievements,Full controller support,Adjustable Text Size,Camera Comfort,Color Alternatives,Custom Volume Controls,Adjustable Difficulty,Narrated Game Menus,Playable without Timed Input,Save Anytime,Stereo Sound,Subtitle Options,Surround Sound,Steam Cloud,Family Sharing"/>
    <s v="Action,Adventure"/>
    <n v="352"/>
    <s v="RX 580"/>
    <s v="Y"/>
    <s v="N"/>
    <s v="Y"/>
    <s v="N"/>
    <s v="Y"/>
    <s v="N"/>
    <s v="N"/>
    <s v="N"/>
    <s v="N"/>
  </r>
  <r>
    <n v="2322010"/>
    <s v="God of War Ragnarﾃｶk"/>
    <x v="316"/>
    <n v="1591"/>
    <b v="0"/>
    <s v="Single-player,Steam Achievements,Full controller support,Adjustable Text Size,Camera Comfort,Color Alternatives,Custom Volume Controls,Adjustable Difficulty,Narrated Game Menus,Playable without Timed Input,Save Anytime,Stereo Sound,Subtitle Options,Surround Sound,Steam Cloud,HDR available,Family Sharing"/>
    <s v="Action,Adventure,RPG"/>
    <n v="353"/>
    <s v="RTX 2060 SUPER"/>
    <s v="Y"/>
    <s v="N"/>
    <s v="Y"/>
    <s v="N"/>
    <s v="Y"/>
    <s v="N"/>
    <s v="Y"/>
    <s v="N"/>
    <s v="N"/>
  </r>
  <r>
    <n v="379720"/>
    <s v="DOOM"/>
    <x v="317"/>
    <n v="1590"/>
    <b v="0"/>
    <s v="Single-player,Multi-player,Co-op,Steam Achievements,Steam Trading Cards,Color Alternatives,Stereo Sound,Surround Sound,Partial Controller Support,Steam Cloud,Remote Play on Phone,Remote Play on Tablet,Family Sharing"/>
    <s v="Action"/>
    <n v="354"/>
    <s v="GTX 970"/>
    <s v="Y"/>
    <s v="Y"/>
    <s v="Y"/>
    <s v="N"/>
    <s v="N"/>
    <s v="N"/>
    <s v="N"/>
    <s v="N"/>
    <s v="N"/>
  </r>
  <r>
    <n v="1206560"/>
    <s v="WorldBox - God Simulator"/>
    <x v="318"/>
    <n v="1589"/>
    <b v="1"/>
    <s v="Single-player,Steam Workshop,Steam Cloud,Includes level editor,Family Sharing"/>
    <s v="Indie,Simulation,Early Access"/>
    <n v="355"/>
    <s v="Radeon Vega 11"/>
    <s v="Y"/>
    <s v="N"/>
    <s v="N"/>
    <s v="Y"/>
    <s v="N"/>
    <s v="Y"/>
    <s v="N"/>
    <s v="N"/>
    <s v="N"/>
  </r>
  <r>
    <n v="208650"/>
    <s v="Batman: Arkham Knight"/>
    <x v="319"/>
    <n v="1587"/>
    <b v="0"/>
    <s v="Single-player,Steam Achievements,Full controller support,Steam Trading Cards,Steam Cloud,Steam Leaderboards,Remote Play on Phone,Remote Play on Tablet,Remote Play on TV,Family Sharing"/>
    <s v="Action,Adventure"/>
    <n v="356"/>
    <s v="GTX 950"/>
    <s v="Y"/>
    <s v="N"/>
    <s v="Y"/>
    <s v="N"/>
    <s v="Y"/>
    <s v="N"/>
    <s v="N"/>
    <s v="N"/>
    <s v="N"/>
  </r>
  <r>
    <n v="1227890"/>
    <s v="Summer Memories"/>
    <x v="320"/>
    <n v="1585"/>
    <b v="0"/>
    <s v="Single-player,Steam Trading Cards,Steam Cloud,Family Sharing"/>
    <s v="Adventure,RPG"/>
    <n v="357"/>
    <s v="Radeon Vega 8"/>
    <s v="Y"/>
    <s v="N"/>
    <s v="N"/>
    <s v="N"/>
    <s v="Y"/>
    <s v="N"/>
    <s v="Y"/>
    <s v="N"/>
    <s v="N"/>
  </r>
  <r>
    <n v="1282100"/>
    <s v="REMNANT II"/>
    <x v="321"/>
    <n v="1573"/>
    <b v="0"/>
    <s v="Single-player,Multi-player,Co-op,Online Co-op,Steam Achievements,Full controller support,Steam Cloud,Family Sharing"/>
    <s v="Action,Adventure,RPG"/>
    <n v="358"/>
    <s v="RTX 2060"/>
    <s v="Y"/>
    <s v="Y"/>
    <s v="Y"/>
    <s v="N"/>
    <s v="Y"/>
    <s v="N"/>
    <s v="Y"/>
    <s v="N"/>
    <s v="N"/>
  </r>
  <r>
    <n v="2853590"/>
    <s v="Void War"/>
    <x v="322"/>
    <n v="1571"/>
    <b v="0"/>
    <s v="Single-player,Steam Achievements,Family Sharing"/>
    <s v="Adventure,Indie,RPG,Simulation,Strategy"/>
    <n v="359"/>
    <s v="Radeon Vega 11"/>
    <s v="Y"/>
    <s v="N"/>
    <s v="N"/>
    <s v="Y"/>
    <s v="Y"/>
    <s v="Y"/>
    <s v="Y"/>
    <s v="Y"/>
    <s v="N"/>
  </r>
  <r>
    <n v="212680"/>
    <s v="FTL: Faster Than Light"/>
    <x v="323"/>
    <n v="1566"/>
    <b v="1"/>
    <s v="Single-player,Steam Achievements,Steam Trading Cards,Remote Play on Phone,Remote Play on Tablet,Family Sharing"/>
    <s v="Indie,Simulation,Strategy"/>
    <n v="360"/>
    <s v="Radeon Graphics"/>
    <s v="Y"/>
    <s v="N"/>
    <s v="N"/>
    <s v="Y"/>
    <s v="N"/>
    <s v="Y"/>
    <s v="N"/>
    <s v="Y"/>
    <s v="N"/>
  </r>
  <r>
    <n v="1824220"/>
    <s v="Chivalry 2"/>
    <x v="324"/>
    <n v="1565"/>
    <b v="0"/>
    <s v="Multi-player,PvP,Online PvP,Cross-Platform Multiplayer,Steam Achievements,Steam Trading Cards,In-App Purchases,Partial Controller Support"/>
    <s v="Action,Massively Multiplayer"/>
    <n v="361"/>
    <s v="GTX 1070"/>
    <s v="N"/>
    <s v="Y"/>
    <s v="Y"/>
    <s v="N"/>
    <s v="N"/>
    <s v="N"/>
    <s v="N"/>
    <s v="N"/>
    <s v="N"/>
  </r>
  <r>
    <n v="1934680"/>
    <s v="Age of Mythology: Retold"/>
    <x v="325"/>
    <n v="1559"/>
    <b v="0"/>
    <s v="Single-player,Multi-player,PvP,Online PvP,Co-op,Online Co-op,Cross-Platform Multiplayer,Steam Achievements,Partial Controller Support,Steam Cloud,Includes level editor,Family Sharing"/>
    <s v="Strategy"/>
    <n v="362"/>
    <s v="GTX 970"/>
    <s v="Y"/>
    <s v="Y"/>
    <s v="N"/>
    <s v="N"/>
    <s v="N"/>
    <s v="N"/>
    <s v="N"/>
    <s v="Y"/>
    <s v="N"/>
  </r>
  <r>
    <n v="220"/>
    <s v="Half-Life 2"/>
    <x v="326"/>
    <n v="1555"/>
    <b v="0"/>
    <s v="Single-player,Steam Achievements,Full controller support,Steam Trading Cards,Captions available,Steam Workshop,Camera Comfort,Custom Volume Controls,Adjustable Difficulty,Playable without Timed Input,Save Anytime,Stereo Sound,Subtitle Options,Surround Sound,Steam Cloud,Includes Source SDK,Commentary available,Remote Play on Phone,Remote Play on Tablet,Remote Play Together,Family Sharing,Steam Timeline"/>
    <s v="Action"/>
    <n v="363"/>
    <s v="Intel HD Graphics"/>
    <s v="Y"/>
    <s v="N"/>
    <s v="Y"/>
    <s v="N"/>
    <s v="N"/>
    <s v="N"/>
    <s v="N"/>
    <s v="N"/>
    <s v="N"/>
  </r>
  <r>
    <n v="2617700"/>
    <s v="Tinkerlands"/>
    <x v="108"/>
    <n v="1543"/>
    <b v="0"/>
    <s v="Single-player,Multi-player,Co-op,Online Co-op,Steam Achievements,Partial Controller Support,Steam Cloud,Family Sharing"/>
    <s v="Action,Adventure,Casual,Indie,RPG,Simulation,Strategy,Early Access"/>
    <n v="364"/>
    <s v="GTX 970"/>
    <s v="Y"/>
    <s v="Y"/>
    <s v="Y"/>
    <s v="Y"/>
    <s v="Y"/>
    <s v="Y"/>
    <s v="Y"/>
    <s v="Y"/>
    <s v="N"/>
  </r>
  <r>
    <n v="1029690"/>
    <s v="Sniper Elite 5"/>
    <x v="327"/>
    <n v="1538"/>
    <b v="0"/>
    <s v="Single-player,Multi-player,PvP,Online PvP,Co-op,Online Co-op,Cross-Platform Multiplayer,Steam Achievements,Steam Trading Cards,In-App Purchases,Adjustable Text Size,Camera Comfort,Color Alternatives,Adjustable Difficulty,Keyboard Only Option,Playable without Timed Input,Save Anytime,Subtitle Options,Partial Controller Support,Steam Cloud,Family Sharing"/>
    <s v="Action,Adventure"/>
    <n v="365"/>
    <s v="RTX 2060"/>
    <s v="Y"/>
    <s v="Y"/>
    <s v="Y"/>
    <s v="N"/>
    <s v="Y"/>
    <s v="N"/>
    <s v="N"/>
    <s v="N"/>
    <s v="N"/>
  </r>
  <r>
    <n v="1313140"/>
    <s v="Cult of the Lamb"/>
    <x v="328"/>
    <n v="1535"/>
    <b v="1"/>
    <s v="Single-player,Multi-player,Co-op,Shared/Split Screen Co-op,Shared/Split Screen,Steam Achievements,Full controller support,Steam Trading Cards,Adjustable Text Size,Camera Comfort,Custom Volume Controls,Adjustable Difficulty,Playable without Timed Input,Subtitle Options,Steam Cloud,Remote Play Together,Family Sharing"/>
    <s v="Action,Adventure,Indie,Strategy"/>
    <n v="366"/>
    <s v="GTX 1050"/>
    <s v="Y"/>
    <s v="Y"/>
    <s v="Y"/>
    <s v="Y"/>
    <s v="Y"/>
    <s v="N"/>
    <s v="N"/>
    <s v="Y"/>
    <s v="N"/>
  </r>
  <r>
    <n v="568220"/>
    <s v="Lobotomy Corporation | Monster Management Simulation"/>
    <x v="329"/>
    <n v="1524"/>
    <b v="0"/>
    <s v="Single-player,Family Sharing"/>
    <s v="Indie,Simulation"/>
    <n v="367"/>
    <s v="Radeon Vega 11"/>
    <s v="Y"/>
    <s v="N"/>
    <s v="N"/>
    <s v="Y"/>
    <s v="N"/>
    <s v="Y"/>
    <s v="N"/>
    <s v="N"/>
    <s v="N"/>
  </r>
  <r>
    <n v="3014080"/>
    <s v="The Hundred Line -Last Defense Academy-"/>
    <x v="330"/>
    <n v="1518"/>
    <b v="0"/>
    <s v="Single-player,Steam Achievements,Full controller support,Steam Trading Cards,Steam Cloud,Family Sharing"/>
    <s v="Adventure,Simulation"/>
    <n v="369"/>
    <s v="GTX 1050"/>
    <s v="Y"/>
    <s v="N"/>
    <s v="N"/>
    <s v="N"/>
    <s v="Y"/>
    <s v="Y"/>
    <s v="N"/>
    <s v="N"/>
    <s v="N"/>
  </r>
  <r>
    <n v="471710"/>
    <s v="Rec Room"/>
    <x v="282"/>
    <n v="1510"/>
    <b v="0"/>
    <s v="Multi-player,MMO,PvP,Online PvP,Co-op,Online Co-op,Cross-Platform Multiplayer,Full controller support,Tracked Controller Support,VR Supported,SteamVR Collectibles,In-App Purchases,Includes level editor"/>
    <s v="Adventure,Casual,Massively Multiplayer,Free To Play"/>
    <n v="370"/>
    <s v="GTX 980"/>
    <s v="N"/>
    <s v="Y"/>
    <s v="N"/>
    <s v="N"/>
    <s v="Y"/>
    <s v="N"/>
    <s v="N"/>
    <s v="N"/>
    <s v="Y"/>
  </r>
  <r>
    <n v="1084600"/>
    <s v="My Time at Sandrock"/>
    <x v="331"/>
    <n v="1501"/>
    <b v="0"/>
    <s v="Single-player,Multi-player,Co-op,Online Co-op,Steam Achievements,Full controller support,Steam Cloud,Family Sharing"/>
    <s v="Adventure,Casual,Indie,RPG,Simulation"/>
    <n v="371"/>
    <s v="GTX 1060"/>
    <s v="Y"/>
    <s v="Y"/>
    <s v="N"/>
    <s v="Y"/>
    <s v="Y"/>
    <s v="Y"/>
    <s v="Y"/>
    <s v="N"/>
    <s v="N"/>
  </r>
  <r>
    <n v="246620"/>
    <s v="Plague Inc: Evolved"/>
    <x v="332"/>
    <n v="1494"/>
    <b v="1"/>
    <s v="Single-player,Multi-player,PvP,Online PvP,Co-op,Online Co-op,Steam Achievements,Steam Trading Cards,Steam Workshop,Camera Comfort,Custom Volume Controls,Adjustable Difficulty,Mouse Only Option,Playable without Timed Input,Save Anytime,Stereo Sound,Partial Controller Support,Steam Cloud,Stats,Steam Leaderboards,Includes level editor,Remote Play on Tablet,Family Sharing"/>
    <s v="Casual,Indie,Simulation,Strategy"/>
    <n v="372"/>
    <s v="Radeon Vega 8"/>
    <s v="Y"/>
    <s v="Y"/>
    <s v="N"/>
    <s v="Y"/>
    <s v="N"/>
    <s v="Y"/>
    <s v="N"/>
    <s v="Y"/>
    <s v="N"/>
  </r>
  <r>
    <n v="1149460"/>
    <s v="ICARUS"/>
    <x v="333"/>
    <n v="1492"/>
    <b v="0"/>
    <s v="Single-player,Multi-player,Co-op,Online Co-op,Steam Achievements,Steam Trading Cards,Steam Cloud,Family Sharing"/>
    <s v="Action,Adventure,Simulation"/>
    <n v="373"/>
    <s v="RTX 3060 Ti"/>
    <s v="Y"/>
    <s v="Y"/>
    <s v="Y"/>
    <s v="N"/>
    <s v="Y"/>
    <s v="Y"/>
    <s v="N"/>
    <s v="N"/>
    <s v="N"/>
  </r>
  <r>
    <n v="2776450"/>
    <s v="Multiverse Loot Hunter"/>
    <x v="334"/>
    <n v="1492"/>
    <b v="0"/>
    <s v="Single-player,Steam Achievements,Steam Cloud,Family Sharing"/>
    <s v="Adventure,Casual,Indie,RPG,Simulation,Strategy"/>
    <n v="373"/>
    <s v="Radeon Vega 11"/>
    <s v="Y"/>
    <s v="N"/>
    <s v="N"/>
    <s v="Y"/>
    <s v="Y"/>
    <s v="Y"/>
    <s v="Y"/>
    <s v="Y"/>
    <s v="N"/>
  </r>
  <r>
    <n v="1119730"/>
    <s v="Ranch Simulator: Build, Hunt, Farm"/>
    <x v="335"/>
    <n v="1488"/>
    <b v="0"/>
    <s v="Single-player,Multi-player,PvP,Online PvP,Co-op,Online Co-op,Full controller support,Steam Cloud,Family Sharing"/>
    <s v="Simulation"/>
    <n v="375"/>
    <s v="RX 580"/>
    <s v="Y"/>
    <s v="Y"/>
    <s v="N"/>
    <s v="N"/>
    <s v="N"/>
    <s v="Y"/>
    <s v="N"/>
    <s v="N"/>
    <s v="N"/>
  </r>
  <r>
    <n v="573090"/>
    <s v="Stormworks: Build and Rescue"/>
    <x v="260"/>
    <n v="1488"/>
    <b v="1"/>
    <s v="Single-player,Multi-player,PvP,Online PvP,Co-op,Online Co-op,Steam Workshop,Partial Controller Support,Family Sharing"/>
    <s v="Simulation"/>
    <n v="375"/>
    <s v="RX 550"/>
    <s v="Y"/>
    <s v="Y"/>
    <s v="N"/>
    <s v="N"/>
    <s v="N"/>
    <s v="Y"/>
    <s v="N"/>
    <s v="N"/>
    <s v="N"/>
  </r>
  <r>
    <n v="805550"/>
    <s v="Assetto Corsa Competizione"/>
    <x v="336"/>
    <n v="1479"/>
    <b v="0"/>
    <s v="Single-player,Multi-player,PvP,Online PvP,LAN PvP,VR Supported,Partial Controller Support,Family Sharing"/>
    <s v="Racing,Simulation,Sports"/>
    <n v="377"/>
    <s v="GTX 1070"/>
    <s v="Y"/>
    <s v="Y"/>
    <s v="N"/>
    <s v="N"/>
    <s v="N"/>
    <s v="Y"/>
    <s v="N"/>
    <s v="N"/>
    <s v="N"/>
  </r>
  <r>
    <n v="219740"/>
    <s v="Don't Starve"/>
    <x v="337"/>
    <n v="1472"/>
    <b v="1"/>
    <s v="Single-player,Full controller support,Steam Trading Cards,Steam Workshop,Steam Cloud,Remote Play on Phone,Remote Play on Tablet,Remote Play on TV,Family Sharing"/>
    <s v="Adventure,Indie,Simulation"/>
    <n v="378"/>
    <s v="Radeon Graphics"/>
    <s v="Y"/>
    <s v="N"/>
    <s v="N"/>
    <s v="Y"/>
    <s v="Y"/>
    <s v="Y"/>
    <s v="N"/>
    <s v="N"/>
    <s v="N"/>
  </r>
  <r>
    <n v="2918150"/>
    <s v="ONE PIECE Bounty Rush"/>
    <x v="338"/>
    <n v="1469"/>
    <b v="0"/>
    <s v="Single-player,Multi-player,PvP,Online PvP,Co-op,Online Co-op,Steam Achievements,Full controller support,In-App Purchases"/>
    <s v="Action,Free To Play"/>
    <n v="379"/>
    <s v="GTX 1050"/>
    <s v="Y"/>
    <s v="Y"/>
    <s v="Y"/>
    <s v="N"/>
    <s v="N"/>
    <s v="N"/>
    <s v="N"/>
    <s v="N"/>
    <s v="Y"/>
  </r>
  <r>
    <n v="594570"/>
    <s v="Total War: WARHAMMER II"/>
    <x v="339"/>
    <n v="1464"/>
    <b v="1"/>
    <s v="Single-player,Multi-player,PvP,Online PvP,LAN PvP,Co-op,Online Co-op,LAN Co-op,Steam Achievements,Steam Trading Cards,Steam Workshop,Camera Comfort,Color Alternatives,Custom Volume Controls,Adjustable Difficulty,Playable without Timed Input,Save Anytime,Stereo Sound,Surround Sound,Remote Play on Tablet,Family Sharing"/>
    <s v="Action,Strategy"/>
    <n v="380"/>
    <s v="GTX 1050 Ti"/>
    <s v="Y"/>
    <s v="Y"/>
    <s v="Y"/>
    <s v="N"/>
    <s v="N"/>
    <s v="N"/>
    <s v="N"/>
    <s v="Y"/>
    <s v="N"/>
  </r>
  <r>
    <n v="72850"/>
    <s v="The Elder Scrolls V: Skyrim"/>
    <x v="340"/>
    <n v="1463"/>
    <b v="0"/>
    <s v="Single-player,Steam Achievements,Steam Trading Cards,Steam Workshop,Partial Controller Support,Steam Cloud,Family Sharing"/>
    <s v="RPG"/>
    <n v="381"/>
    <s v="GTX 750"/>
    <s v="Y"/>
    <s v="N"/>
    <s v="N"/>
    <s v="N"/>
    <s v="N"/>
    <s v="N"/>
    <s v="Y"/>
    <s v="N"/>
    <s v="N"/>
  </r>
  <r>
    <n v="427410"/>
    <s v="Abiotic Factor"/>
    <x v="341"/>
    <n v="1458"/>
    <b v="0"/>
    <s v="Single-player,Multi-player,Co-op,Online Co-op,LAN Co-op,Cross-Platform Multiplayer,Steam Achievements,Full controller support,Steam Trading Cards,Adjustable Text Size,Camera Comfort,Custom Volume Controls,Adjustable Difficulty,Playable without Timed Input,Save Anytime,Stereo Sound,Subtitle Options,Surround Sound,Family Sharing"/>
    <s v="Action,Adventure,RPG,Simulation"/>
    <n v="382"/>
    <s v="RTX 3070"/>
    <s v="Y"/>
    <s v="Y"/>
    <s v="Y"/>
    <s v="N"/>
    <s v="Y"/>
    <s v="Y"/>
    <s v="Y"/>
    <s v="N"/>
    <s v="N"/>
  </r>
  <r>
    <n v="637090"/>
    <s v="BATTLETECH"/>
    <x v="301"/>
    <n v="1446"/>
    <b v="1"/>
    <s v="Single-player,Multi-player,PvP,Online PvP,Cross-Platform Multiplayer,Steam Achievements,Steam Trading Cards,Steam Cloud,Remote Play Together,Family Sharing"/>
    <s v="Action,Adventure,Strategy"/>
    <n v="383"/>
    <s v="GTX 1050 Ti"/>
    <s v="Y"/>
    <s v="Y"/>
    <s v="Y"/>
    <s v="N"/>
    <s v="Y"/>
    <s v="N"/>
    <s v="N"/>
    <s v="Y"/>
    <s v="N"/>
  </r>
  <r>
    <n v="460930"/>
    <s v="Tom Clancy's Ghost Recon Wildlands"/>
    <x v="342"/>
    <n v="1441"/>
    <b v="0"/>
    <s v="Single-player,Multi-player,Co-op,Steam Achievements,Steam Trading Cards,In-App Purchases,Partial Controller Support"/>
    <s v="Action,Adventure"/>
    <n v="384"/>
    <s v="GTX 970"/>
    <s v="Y"/>
    <s v="Y"/>
    <s v="Y"/>
    <s v="N"/>
    <s v="Y"/>
    <s v="N"/>
    <s v="N"/>
    <s v="N"/>
    <s v="N"/>
  </r>
  <r>
    <n v="1325200"/>
    <s v="Nioh 2 ' The Complete Edition"/>
    <x v="343"/>
    <n v="1441"/>
    <b v="0"/>
    <s v="Single-player,Multi-player,Co-op,Online Co-op,Steam Achievements,Steam Trading Cards,Partial Controller Support,Steam Cloud,Stats,Steam Leaderboards,HDR available,Family Sharing"/>
    <s v="Action,RPG"/>
    <n v="384"/>
    <s v="GTX 1660 SUPER"/>
    <s v="Y"/>
    <s v="Y"/>
    <s v="Y"/>
    <s v="N"/>
    <s v="N"/>
    <s v="N"/>
    <s v="Y"/>
    <s v="N"/>
    <s v="N"/>
  </r>
  <r>
    <n v="2231380"/>
    <s v="Tom Clancy's Ghost Recon Breakpoint"/>
    <x v="344"/>
    <n v="1430"/>
    <b v="0"/>
    <s v="Single-player,Multi-player,Co-op,Online Co-op,Steam Achievements,Captions available,Partial Controller Support,HDR available"/>
    <s v="Action,Adventure"/>
    <n v="386"/>
    <s v="RX 480"/>
    <s v="Y"/>
    <s v="Y"/>
    <s v="Y"/>
    <s v="N"/>
    <s v="Y"/>
    <s v="N"/>
    <s v="N"/>
    <s v="N"/>
    <s v="N"/>
  </r>
  <r>
    <n v="1217060"/>
    <s v="Gunfire Reborn"/>
    <x v="345"/>
    <n v="1428"/>
    <b v="0"/>
    <s v="Single-player,Multi-player,Co-op,Online Co-op,Steam Achievements,Full controller support,Steam Trading Cards,Steam Cloud,Remote Play on Phone,Remote Play on Tablet,Family Sharing"/>
    <s v="Action,Adventure,Indie,RPG"/>
    <n v="387"/>
    <s v="GTX 1060"/>
    <s v="Y"/>
    <s v="Y"/>
    <s v="Y"/>
    <s v="Y"/>
    <s v="Y"/>
    <s v="N"/>
    <s v="Y"/>
    <s v="N"/>
    <s v="N"/>
  </r>
  <r>
    <n v="3226530"/>
    <s v="Tower Dominion"/>
    <x v="346"/>
    <n v="1427"/>
    <b v="0"/>
    <s v="Single-player,Steam Achievements,Steam Cloud,Family Sharing"/>
    <s v="Strategy"/>
    <n v="388"/>
    <s v="RTX 3050"/>
    <s v="Y"/>
    <s v="N"/>
    <s v="N"/>
    <s v="N"/>
    <s v="N"/>
    <s v="N"/>
    <s v="N"/>
    <s v="Y"/>
    <s v="N"/>
  </r>
  <r>
    <n v="325610"/>
    <s v="Total War: ATTILA"/>
    <x v="347"/>
    <n v="1422"/>
    <b v="0"/>
    <s v="Single-player,Multi-player,PvP,Online PvP,LAN PvP,Co-op,Online Co-op,LAN Co-op,Steam Achievements,Steam Trading Cards,Camera Comfort,Custom Volume Controls,Adjustable Difficulty,Playable without Timed Input,Save Anytime,Stereo Sound,Surround Sound,Steam Cloud,Family Sharing"/>
    <s v="Strategy"/>
    <n v="389"/>
    <s v="R9 380"/>
    <s v="Y"/>
    <s v="Y"/>
    <s v="N"/>
    <s v="N"/>
    <s v="N"/>
    <s v="N"/>
    <s v="N"/>
    <s v="Y"/>
    <s v="N"/>
  </r>
  <r>
    <n v="389430"/>
    <s v="Knight Online"/>
    <x v="348"/>
    <n v="1421"/>
    <b v="0"/>
    <s v="Single-player,Multi-player,MMO,Steam Trading Cards,In-App Purchases"/>
    <s v="Action,Adventure,Free To Play,Massively Multiplayer,RPG"/>
    <n v="390"/>
    <s v="Radeon Vega 8"/>
    <s v="Y"/>
    <s v="Y"/>
    <s v="Y"/>
    <s v="N"/>
    <s v="Y"/>
    <s v="N"/>
    <s v="Y"/>
    <s v="N"/>
    <s v="Y"/>
  </r>
  <r>
    <n v="1881610"/>
    <s v="ｱｹｮ｢-The Jianghu"/>
    <x v="349"/>
    <n v="1416"/>
    <b v="0"/>
    <s v="Single-player,Multi-player,PvP,Online PvP,Co-op,Online Co-op,Steam Achievements"/>
    <s v="Action,Adventure,Indie,Massively Multiplayer,Free To Play"/>
    <n v="391"/>
    <s v="GTX 980 Ti"/>
    <s v="Y"/>
    <s v="Y"/>
    <s v="Y"/>
    <s v="Y"/>
    <s v="Y"/>
    <s v="N"/>
    <s v="N"/>
    <s v="N"/>
    <s v="Y"/>
  </r>
  <r>
    <n v="1244460"/>
    <s v="Jurassic World Evolution 2"/>
    <x v="298"/>
    <n v="1413"/>
    <b v="0"/>
    <s v="Single-player,Steam Achievements,Full controller support,Steam Cloud,Stats,HDR available,Family Sharing"/>
    <s v="Simulation,Strategy"/>
    <n v="392"/>
    <s v="GTX 1070"/>
    <s v="Y"/>
    <s v="N"/>
    <s v="N"/>
    <s v="N"/>
    <s v="N"/>
    <s v="Y"/>
    <s v="N"/>
    <s v="Y"/>
    <s v="N"/>
  </r>
  <r>
    <n v="356190"/>
    <s v="Middle-earth: Shadow of War"/>
    <x v="350"/>
    <n v="1405"/>
    <b v="0"/>
    <s v="Single-player,Steam Achievements,Full controller support,Steam Trading Cards,In-App Purchases,Steam Cloud,Family Sharing"/>
    <s v="Action,Adventure,RPG"/>
    <n v="393"/>
    <s v="RX 480"/>
    <s v="Y"/>
    <s v="N"/>
    <s v="Y"/>
    <s v="N"/>
    <s v="Y"/>
    <s v="N"/>
    <s v="Y"/>
    <s v="N"/>
    <s v="N"/>
  </r>
  <r>
    <n v="1056640"/>
    <s v="Phantasy Star Online 2 New Genesis"/>
    <x v="351"/>
    <n v="1400"/>
    <b v="0"/>
    <s v="Multi-player,Co-op,Online Co-op,Cross-Platform Multiplayer,Steam Achievements,In-App Purchases,Partial Controller Support,Remote Play on Tablet"/>
    <s v="Action,Massively Multiplayer,RPG,Free To Play"/>
    <n v="394"/>
    <s v="RTX 2070 SUPER"/>
    <s v="N"/>
    <s v="Y"/>
    <s v="Y"/>
    <s v="N"/>
    <s v="N"/>
    <s v="N"/>
    <s v="Y"/>
    <s v="N"/>
    <s v="Y"/>
  </r>
  <r>
    <n v="8800"/>
    <s v="Civilization IV: Beyond the Sword"/>
    <x v="352"/>
    <n v="1395"/>
    <b v="1"/>
    <s v="Single-player,Family Sharing"/>
    <s v="Strategy"/>
    <n v="395"/>
    <s v="Radeon Graphics"/>
    <s v="Y"/>
    <s v="N"/>
    <s v="N"/>
    <s v="N"/>
    <s v="N"/>
    <s v="N"/>
    <s v="N"/>
    <s v="Y"/>
    <s v="N"/>
  </r>
  <r>
    <n v="1449560"/>
    <s v="Metro Exodus"/>
    <x v="353"/>
    <n v="1391"/>
    <b v="1"/>
    <s v="Single-player,Steam Achievements,Full controller support,Steam Trading Cards,Steam Cloud,Remote Play on Phone,Remote Play on Tablet,Remote Play on TV,Family Sharing"/>
    <s v="Action"/>
    <n v="396"/>
    <s v="GTX 1070"/>
    <s v="Y"/>
    <s v="N"/>
    <s v="Y"/>
    <s v="N"/>
    <s v="N"/>
    <s v="N"/>
    <s v="N"/>
    <s v="N"/>
    <s v="N"/>
  </r>
  <r>
    <n v="438040"/>
    <s v="Shakes and Fidget"/>
    <x v="354"/>
    <n v="1389"/>
    <b v="1"/>
    <s v="Single-player,Multi-player,MMO,Cross-Platform Multiplayer,Steam Trading Cards,In-App Purchases,Camera Comfort,Custom Volume Controls,Mouse Only Option"/>
    <s v="Adventure,Casual,Indie,Massively Multiplayer,RPG,Strategy,Free To Play"/>
    <n v="397"/>
    <s v="Radeon Vega 8"/>
    <s v="Y"/>
    <s v="Y"/>
    <s v="N"/>
    <s v="Y"/>
    <s v="Y"/>
    <s v="N"/>
    <s v="Y"/>
    <s v="Y"/>
    <s v="Y"/>
  </r>
  <r>
    <n v="1222680"/>
    <s v="Need for Speed Heat"/>
    <x v="355"/>
    <n v="1385"/>
    <b v="0"/>
    <s v="Single-player,Multi-player,PvP,Online PvP,Co-op,Online Co-op,Cross-Platform Multiplayer,Steam Achievements,Steam Trading Cards,Partial Controller Support,Remote Play on Tablet,HDR available"/>
    <s v="Action,Adventure,Racing,Sports"/>
    <n v="398"/>
    <s v="RX 480"/>
    <s v="Y"/>
    <s v="Y"/>
    <s v="Y"/>
    <s v="N"/>
    <s v="Y"/>
    <s v="N"/>
    <s v="N"/>
    <s v="N"/>
    <s v="N"/>
  </r>
  <r>
    <n v="3910"/>
    <s v="Sid Meier's Civilization III Complete"/>
    <x v="356"/>
    <n v="1383"/>
    <b v="0"/>
    <s v="Single-player,Multi-player,Includes level editor,Family Sharing"/>
    <s v="Strategy"/>
    <n v="399"/>
    <s v="Intel HD Graphics"/>
    <s v="Y"/>
    <s v="Y"/>
    <s v="N"/>
    <s v="N"/>
    <s v="N"/>
    <s v="N"/>
    <s v="N"/>
    <s v="Y"/>
    <s v="N"/>
  </r>
  <r>
    <n v="1593500"/>
    <s v="God of War"/>
    <x v="357"/>
    <n v="1380"/>
    <b v="0"/>
    <s v="Single-player,Steam Achievements,Full controller support,Adjustable Text Size,Camera Comfort,Color Alternatives,Custom Volume Controls,Adjustable Difficulty,Keyboard Only Option,Narrated Game Menus,Playable without Timed Input,Save Anytime,Stereo Sound,Subtitle Options,Surround Sound,Steam Cloud,Remote Play on TV,Family Sharing"/>
    <s v="Action,Adventure,RPG"/>
    <n v="400"/>
    <s v="GTX 1060"/>
    <s v="Y"/>
    <s v="N"/>
    <s v="Y"/>
    <s v="N"/>
    <s v="Y"/>
    <s v="N"/>
    <s v="Y"/>
    <s v="N"/>
    <s v="N"/>
  </r>
  <r>
    <n v="2208920"/>
    <s v="Assassin's Creed Valhalla"/>
    <x v="358"/>
    <n v="1379"/>
    <b v="0"/>
    <s v="Single-player,Steam Achievements,Captions available,In-App Purchases,Adjustable Text Size,Camera Comfort,Color Alternatives,Custom Volume Controls,Adjustable Difficulty,Keyboard Only Option,Mouse Only Option,Narrated Game Menus,Playable without Timed Input,Save Anytime,Stereo Sound,Surround Sound,Partial Controller Support,HDR available"/>
    <s v="Action,Adventure,RPG"/>
    <n v="401"/>
    <s v="GTX 1050 Ti"/>
    <s v="Y"/>
    <s v="N"/>
    <s v="Y"/>
    <s v="N"/>
    <s v="Y"/>
    <s v="N"/>
    <s v="Y"/>
    <s v="N"/>
    <s v="N"/>
  </r>
  <r>
    <n v="203770"/>
    <s v="Crusader Kings II"/>
    <x v="359"/>
    <n v="1373"/>
    <b v="1"/>
    <s v="Single-player,Multi-player,Steam Trading Cards"/>
    <s v="RPG,Simulation,Strategy,Free To Play"/>
    <n v="402"/>
    <s v="Radeon Graphics"/>
    <s v="Y"/>
    <s v="Y"/>
    <s v="N"/>
    <s v="N"/>
    <s v="N"/>
    <s v="Y"/>
    <s v="Y"/>
    <s v="Y"/>
    <s v="Y"/>
  </r>
  <r>
    <n v="1129580"/>
    <s v="Medieval Dynasty"/>
    <x v="360"/>
    <n v="1366"/>
    <b v="0"/>
    <s v="Single-player,Multi-player,Co-op,Online Co-op,Steam Achievements,Full controller support,Steam Trading Cards,Steam Cloud,Family Sharing"/>
    <s v="Action,Adventure,Indie,RPG,Simulation"/>
    <n v="403"/>
    <s v="GTX 1660"/>
    <s v="Y"/>
    <s v="Y"/>
    <s v="Y"/>
    <s v="Y"/>
    <s v="Y"/>
    <s v="Y"/>
    <s v="Y"/>
    <s v="N"/>
    <s v="N"/>
  </r>
  <r>
    <n v="1627720"/>
    <s v="Lies of P"/>
    <x v="361"/>
    <n v="1363"/>
    <b v="1"/>
    <s v="Single-player,Steam Achievements,Full controller support,Camera Comfort,Color Alternatives,Custom Volume Controls,Adjustable Difficulty,Save Anytime,Stereo Sound,Surround Sound,Steam Cloud,Family Sharing"/>
    <s v="Action,Adventure,RPG"/>
    <n v="404"/>
    <s v="RX 6500 XT"/>
    <s v="Y"/>
    <s v="N"/>
    <s v="Y"/>
    <s v="N"/>
    <s v="Y"/>
    <s v="N"/>
    <s v="Y"/>
    <s v="N"/>
    <s v="N"/>
  </r>
  <r>
    <n v="1172380"/>
    <s v="STAR WARS Jedi: Fallen Order"/>
    <x v="76"/>
    <n v="1354"/>
    <b v="0"/>
    <s v="Single-player,Steam Achievements,Full controller support,Steam Trading Cards,Adjustable Difficulty,Stereo Sound,Surround Sound,Remote Play on Tablet,Remote Play on TV,HDR available"/>
    <s v="Action,Adventure"/>
    <n v="405"/>
    <s v="GTX 1070"/>
    <s v="Y"/>
    <s v="N"/>
    <s v="Y"/>
    <s v="N"/>
    <s v="Y"/>
    <s v="N"/>
    <s v="N"/>
    <s v="N"/>
    <s v="N"/>
  </r>
  <r>
    <n v="1201240"/>
    <s v="BLEACH Brave Souls"/>
    <x v="22"/>
    <n v="1349"/>
    <b v="0"/>
    <s v="Single-player,Multi-player,Co-op,Online Co-op,Cross-Platform Multiplayer,In-App Purchases,Partial Controller Support"/>
    <s v="Action,Casual,RPG,Free To Play"/>
    <n v="406"/>
    <s v="RX 560"/>
    <s v="Y"/>
    <s v="Y"/>
    <s v="Y"/>
    <s v="N"/>
    <s v="N"/>
    <s v="N"/>
    <s v="Y"/>
    <s v="N"/>
    <s v="Y"/>
  </r>
  <r>
    <n v="2651280"/>
    <s v="Marvel's Spider-Man 2"/>
    <x v="362"/>
    <n v="1348"/>
    <b v="0"/>
    <s v="Single-player,Steam Achievements,Full controller support,Adjustable Text Size,Camera Comfort,Color Alternatives,Custom Volume Controls,Adjustable Difficulty,Narrated Game Menus,Playable without Timed Input,Save Anytime,Stereo Sound,Subtitle Options,Surround Sound,Steam Cloud,HDR available,Family Sharing"/>
    <s v="Action,Adventure"/>
    <n v="407"/>
    <s v="RTX 3060"/>
    <s v="Y"/>
    <s v="N"/>
    <s v="Y"/>
    <s v="N"/>
    <s v="Y"/>
    <s v="N"/>
    <s v="N"/>
    <s v="N"/>
    <s v="N"/>
  </r>
  <r>
    <n v="1190000"/>
    <s v="Car Mechanic Simulator 2021"/>
    <x v="12"/>
    <n v="1343"/>
    <b v="0"/>
    <s v="Single-player,Steam Achievements,Steam Trading Cards,Steam Workshop,Partial Controller Support,Steam Cloud,Stats,Includes level editor,Family Sharing"/>
    <s v="Racing,Simulation"/>
    <n v="408"/>
    <s v="GTX 1070"/>
    <s v="Y"/>
    <s v="N"/>
    <s v="N"/>
    <s v="N"/>
    <s v="N"/>
    <s v="Y"/>
    <s v="N"/>
    <s v="N"/>
    <s v="N"/>
  </r>
  <r>
    <n v="287700"/>
    <s v="METAL GEAR SOLID V: THE PHANTOM PAIN"/>
    <x v="363"/>
    <n v="1333"/>
    <b v="0"/>
    <s v="Single-player,Multi-player,Steam Achievements,Full controller support,Steam Trading Cards,Captions available,In-App Purchases,Steam Cloud,Steam Leaderboards,Remote Play on Phone,Remote Play on Tablet,Remote Play on TV,Family Sharing"/>
    <s v="Action,Adventure"/>
    <n v="409"/>
    <s v="GTX 950"/>
    <s v="Y"/>
    <s v="Y"/>
    <s v="Y"/>
    <s v="N"/>
    <s v="Y"/>
    <s v="N"/>
    <s v="N"/>
    <s v="N"/>
    <s v="N"/>
  </r>
  <r>
    <n v="1158160"/>
    <s v="Coral Island"/>
    <x v="364"/>
    <n v="1328"/>
    <b v="0"/>
    <s v="Single-player,Multi-player,Co-op,Online Co-op,Cross-Platform Multiplayer,Steam Achievements,Full controller support,Steam Cloud,Family Sharing"/>
    <s v="Adventure,Casual,Indie,RPG,Simulation,Strategy"/>
    <n v="410"/>
    <s v="GTX 1050 Ti"/>
    <s v="Y"/>
    <s v="Y"/>
    <s v="N"/>
    <s v="Y"/>
    <s v="Y"/>
    <s v="Y"/>
    <s v="Y"/>
    <s v="Y"/>
    <s v="N"/>
  </r>
  <r>
    <n v="489630"/>
    <s v="Warhammer 40,000: Gladius - Relics of War"/>
    <x v="365"/>
    <n v="1326"/>
    <b v="0"/>
    <s v="Single-player,Multi-player,PvP,Online PvP,LAN PvP,Shared/Split Screen PvP,Co-op,Online Co-op,LAN Co-op,Shared/Split Screen Co-op,Shared/Split Screen,Cross-Platform Multiplayer,Steam Achievements,Steam Trading Cards,Steam Workshop,Partial Controller Support,Steam Cloud,Remote Play Together,Family Sharing"/>
    <s v="Strategy"/>
    <n v="411"/>
    <s v="RX 480"/>
    <s v="Y"/>
    <s v="Y"/>
    <s v="N"/>
    <s v="N"/>
    <s v="N"/>
    <s v="N"/>
    <s v="N"/>
    <s v="Y"/>
    <s v="N"/>
  </r>
  <r>
    <n v="1506830"/>
    <s v="FIFA 22"/>
    <x v="366"/>
    <n v="1319"/>
    <b v="0"/>
    <s v="Single-player,Multi-player,MMO,PvP,Online PvP,Shared/Split Screen PvP,Co-op,Online Co-op,Shared/Split Screen Co-op,Shared/Split Screen,Steam Achievements,In-App Purchases,Partial Controller Support"/>
    <s v="Simulation,Sports"/>
    <n v="412"/>
    <s v="GTX 1050 Ti"/>
    <s v="Y"/>
    <s v="Y"/>
    <s v="N"/>
    <s v="N"/>
    <s v="N"/>
    <s v="Y"/>
    <s v="N"/>
    <s v="N"/>
    <s v="N"/>
  </r>
  <r>
    <n v="2384580"/>
    <s v="DYNASTY WARRIORS: ORIGINS"/>
    <x v="367"/>
    <n v="1314"/>
    <b v="0"/>
    <s v="Single-player,Steam Achievements,Full controller support,Steam Trading Cards,Color Alternatives,Custom Volume Controls,Adjustable Difficulty,Stereo Sound,Surround Sound,Steam Cloud,HDR available,Family Sharing"/>
    <s v="Action,RPG,Strategy"/>
    <n v="413"/>
    <s v="RTX 2070"/>
    <s v="Y"/>
    <s v="N"/>
    <s v="Y"/>
    <s v="N"/>
    <s v="N"/>
    <s v="N"/>
    <s v="Y"/>
    <s v="Y"/>
    <s v="N"/>
  </r>
  <r>
    <n v="663090"/>
    <s v="Granado Espada"/>
    <x v="368"/>
    <n v="1313"/>
    <b v="0"/>
    <s v="Multi-player,MMO,PvP,Online PvP,Steam Trading Cards,In-App Purchases"/>
    <s v="Massively Multiplayer,RPG,Free To Play"/>
    <n v="414"/>
    <s v="Radeon Vega 8"/>
    <s v="N"/>
    <s v="Y"/>
    <s v="N"/>
    <s v="N"/>
    <s v="N"/>
    <s v="N"/>
    <s v="Y"/>
    <s v="N"/>
    <s v="Y"/>
  </r>
  <r>
    <n v="613100"/>
    <s v="House Flipper"/>
    <x v="369"/>
    <n v="1311"/>
    <b v="1"/>
    <s v="Single-player,Steam Achievements,Full controller support,Steam Trading Cards,Steam Workshop,Steam Cloud,Remote Play on Tablet,Family Sharing"/>
    <s v="Indie,Simulation"/>
    <n v="415"/>
    <s v="GTX 970"/>
    <s v="Y"/>
    <s v="N"/>
    <s v="N"/>
    <s v="Y"/>
    <s v="N"/>
    <s v="Y"/>
    <s v="N"/>
    <s v="N"/>
    <s v="N"/>
  </r>
  <r>
    <n v="701160"/>
    <s v="Kingdom Two Crowns"/>
    <x v="370"/>
    <n v="1305"/>
    <b v="1"/>
    <s v="Single-player,Multi-player,Co-op,Online Co-op,Shared/Split Screen Co-op,Shared/Split Screen,Steam Achievements,Full controller support,Steam Cloud,Remote Play on Phone,Remote Play on Tablet,Remote Play on TV,Remote Play Together,Family Sharing"/>
    <s v="Adventure,Indie,Simulation,Strategy"/>
    <n v="416"/>
    <s v="GTX 750"/>
    <s v="Y"/>
    <s v="Y"/>
    <s v="N"/>
    <s v="Y"/>
    <s v="Y"/>
    <s v="Y"/>
    <s v="N"/>
    <s v="Y"/>
    <s v="N"/>
  </r>
  <r>
    <n v="1092790"/>
    <s v="Inscryption"/>
    <x v="371"/>
    <n v="1301"/>
    <b v="1"/>
    <s v="Single-player,Steam Achievements,Steam Trading Cards,Steam Cloud,Family Sharing"/>
    <s v="Adventure,Indie,Strategy"/>
    <n v="417"/>
    <s v="GTX 1050"/>
    <s v="Y"/>
    <s v="N"/>
    <s v="N"/>
    <s v="Y"/>
    <s v="Y"/>
    <s v="N"/>
    <s v="N"/>
    <s v="Y"/>
    <s v="N"/>
  </r>
  <r>
    <n v="1353300"/>
    <s v="Idle Slayer"/>
    <x v="372"/>
    <n v="1300"/>
    <b v="0"/>
    <s v="Single-player,Steam Achievements,Steam Trading Cards,In-App Purchases,HDR available"/>
    <s v="Casual,Indie,Strategy,Free To Play"/>
    <n v="418"/>
    <s v="Radeon Vega 11"/>
    <s v="Y"/>
    <s v="N"/>
    <s v="N"/>
    <s v="Y"/>
    <s v="N"/>
    <s v="N"/>
    <s v="N"/>
    <s v="Y"/>
    <s v="Y"/>
  </r>
  <r>
    <n v="2321470"/>
    <s v="Deep Rock Galactic: Survivor"/>
    <x v="373"/>
    <n v="1300"/>
    <b v="0"/>
    <s v="Single-player,Steam Achievements,Full controller support,Steam Trading Cards,Camera Comfort,Custom Volume Controls,Adjustable Difficulty,Playable without Timed Input,Stereo Sound,Steam Cloud,Remote Play on TV,Family Sharing"/>
    <s v="Action"/>
    <n v="418"/>
    <s v="GTX 1050"/>
    <s v="Y"/>
    <s v="N"/>
    <s v="Y"/>
    <s v="N"/>
    <s v="N"/>
    <s v="N"/>
    <s v="N"/>
    <s v="N"/>
    <s v="N"/>
  </r>
  <r>
    <n v="508440"/>
    <s v="Totally Accurate Battle Simulator"/>
    <x v="374"/>
    <n v="1299"/>
    <b v="1"/>
    <s v="Single-player,Multi-player,PvP,Online PvP,Steam Achievements,Partial Controller Support,Remote Play on Phone,Remote Play on Tablet,Remote Play Together,Family Sharing"/>
    <s v="Indie,Simulation,Strategy"/>
    <n v="420"/>
    <s v="GTX 970"/>
    <s v="Y"/>
    <s v="Y"/>
    <s v="N"/>
    <s v="Y"/>
    <s v="N"/>
    <s v="Y"/>
    <s v="N"/>
    <s v="Y"/>
    <s v="N"/>
  </r>
  <r>
    <n v="1256670"/>
    <s v="Library Of Ruina"/>
    <x v="375"/>
    <n v="1299"/>
    <b v="0"/>
    <s v="Single-player,Steam Achievements,Steam Workshop,Partial Controller Support,Steam Cloud,Remote Play on Tablet,Family Sharing"/>
    <s v="Indie,RPG,Strategy"/>
    <n v="420"/>
    <s v="GTX 750"/>
    <s v="Y"/>
    <s v="N"/>
    <s v="N"/>
    <s v="Y"/>
    <s v="N"/>
    <s v="N"/>
    <s v="Y"/>
    <s v="Y"/>
    <s v="N"/>
  </r>
  <r>
    <n v="552520"/>
    <s v="Far Cry 5"/>
    <x v="376"/>
    <n v="1297"/>
    <b v="0"/>
    <s v="Single-player,Multi-player,Co-op,Online Co-op,Steam Achievements,Steam Trading Cards,Captions available,In-App Purchases,Partial Controller Support,Includes level editor,HDR available"/>
    <s v="Action,Adventure"/>
    <n v="422"/>
    <s v="GTX 970"/>
    <s v="Y"/>
    <s v="Y"/>
    <s v="Y"/>
    <s v="N"/>
    <s v="Y"/>
    <s v="N"/>
    <s v="N"/>
    <s v="N"/>
    <s v="N"/>
  </r>
  <r>
    <n v="924970"/>
    <s v="Back 4 Blood"/>
    <x v="377"/>
    <n v="1288"/>
    <b v="0"/>
    <s v="Single-player,Multi-player,PvP,Online PvP,Co-op,Online Co-op,Full controller support,HDR available,Family Sharing"/>
    <s v="Action"/>
    <n v="423"/>
    <s v="GTX 970"/>
    <s v="Y"/>
    <s v="Y"/>
    <s v="Y"/>
    <s v="N"/>
    <s v="N"/>
    <s v="N"/>
    <s v="N"/>
    <s v="N"/>
    <s v="N"/>
  </r>
  <r>
    <n v="1196590"/>
    <s v="Resident Evil Village"/>
    <x v="378"/>
    <n v="1284"/>
    <b v="0"/>
    <s v="Single-player,Steam Achievements,Full controller support,Steam Trading Cards,Steam Cloud,HDR available,Family Sharing"/>
    <s v="Action"/>
    <n v="424"/>
    <s v="RX 5700"/>
    <s v="Y"/>
    <s v="N"/>
    <s v="Y"/>
    <s v="N"/>
    <s v="N"/>
    <s v="N"/>
    <s v="N"/>
    <s v="N"/>
    <s v="N"/>
  </r>
  <r>
    <n v="335240"/>
    <s v="Transformice"/>
    <x v="379"/>
    <n v="1284"/>
    <b v="1"/>
    <s v="Multi-player,MMO,Steam Achievements,Steam Trading Cards,Includes level editor"/>
    <s v="Free To Play,Indie,Massively Multiplayer"/>
    <n v="424"/>
    <s v="Radeon Graphics"/>
    <s v="N"/>
    <s v="Y"/>
    <s v="N"/>
    <s v="Y"/>
    <s v="N"/>
    <s v="N"/>
    <s v="N"/>
    <s v="N"/>
    <s v="Y"/>
  </r>
  <r>
    <n v="963330"/>
    <s v="Nya Nya Nya Girls (ﾊｻﾊｻﾊｻ)_(=^ｽ･ﾏｽ･^=)_(ﾊｻﾊｻﾊｻ)"/>
    <x v="380"/>
    <n v="1281"/>
    <b v="0"/>
    <s v="Single-player,Steam Achievements,Steam Trading Cards,Family Sharing"/>
    <s v="Casual,Indie"/>
    <n v="426"/>
    <s v="GTX 1050"/>
    <s v="Y"/>
    <s v="N"/>
    <s v="N"/>
    <s v="Y"/>
    <s v="N"/>
    <s v="N"/>
    <s v="N"/>
    <s v="N"/>
    <s v="N"/>
  </r>
  <r>
    <n v="495420"/>
    <s v="State of Decay 2: Juggernaut Edition"/>
    <x v="206"/>
    <n v="1281"/>
    <b v="0"/>
    <s v="Single-player,Multi-player,Co-op,Online Co-op,Cross-Platform Multiplayer,Steam Achievements,Full controller support,Steam Trading Cards,Captions available,Steam Cloud,Family Sharing"/>
    <s v="Action,RPG,Simulation"/>
    <n v="426"/>
    <s v="GTX 1650"/>
    <s v="Y"/>
    <s v="Y"/>
    <s v="Y"/>
    <s v="N"/>
    <s v="N"/>
    <s v="Y"/>
    <s v="Y"/>
    <s v="N"/>
    <s v="N"/>
  </r>
  <r>
    <n v="767560"/>
    <s v="War Robots"/>
    <x v="381"/>
    <n v="1280"/>
    <b v="0"/>
    <s v="Multi-player,PvP,Online PvP,Steam Trading Cards,In-App Purchases,Custom Volume Controls,Stereo Sound,Surround Sound"/>
    <s v="Action,Free To Play"/>
    <n v="428"/>
    <s v="GTX 1050 Ti"/>
    <s v="N"/>
    <s v="Y"/>
    <s v="Y"/>
    <s v="N"/>
    <s v="N"/>
    <s v="N"/>
    <s v="N"/>
    <s v="N"/>
    <s v="Y"/>
  </r>
  <r>
    <n v="1811260"/>
    <s v="EA SPORTS FIFA 23"/>
    <x v="382"/>
    <n v="1280"/>
    <b v="0"/>
    <s v="Single-player,Multi-player,PvP,Online PvP,Shared/Split Screen PvP,Co-op,Online Co-op,Shared/Split Screen Co-op,Shared/Split Screen,Cross-Platform Multiplayer,Steam Achievements,Full controller support,In-App Purchases"/>
    <s v="Simulation,Sports"/>
    <n v="428"/>
    <s v="GTX 1660"/>
    <s v="Y"/>
    <s v="Y"/>
    <s v="N"/>
    <s v="N"/>
    <s v="N"/>
    <s v="Y"/>
    <s v="N"/>
    <s v="N"/>
    <s v="N"/>
  </r>
  <r>
    <n v="2135150"/>
    <s v="Elin"/>
    <x v="383"/>
    <n v="1277"/>
    <b v="0"/>
    <s v="Single-player,Multi-player,Steam Workshop,Family Sharing"/>
    <s v="Indie,RPG,Simulation,Strategy,Early Access"/>
    <n v="430"/>
    <s v="Intel UHD Graphics"/>
    <s v="Y"/>
    <s v="Y"/>
    <s v="N"/>
    <s v="Y"/>
    <s v="N"/>
    <s v="Y"/>
    <s v="Y"/>
    <s v="Y"/>
    <s v="N"/>
  </r>
  <r>
    <n v="47890"/>
    <s v="The Sims 3"/>
    <x v="384"/>
    <n v="1264"/>
    <b v="0"/>
    <s v="Single-player,Family Sharing"/>
    <s v="Simulation"/>
    <n v="431"/>
    <s v="Radeon Graphics"/>
    <s v="Y"/>
    <s v="N"/>
    <s v="N"/>
    <s v="N"/>
    <s v="N"/>
    <s v="Y"/>
    <s v="N"/>
    <s v="N"/>
    <s v="N"/>
  </r>
  <r>
    <n v="2591280"/>
    <s v="F1 Manager 2024"/>
    <x v="385"/>
    <n v="1262"/>
    <b v="0"/>
    <s v="Single-player,Steam Achievements,Steam Trading Cards,Partial Controller Support,Steam Cloud,Family Sharing"/>
    <s v="Simulation,Strategy"/>
    <n v="432"/>
    <s v="GTX 1080"/>
    <s v="Y"/>
    <s v="N"/>
    <s v="N"/>
    <s v="N"/>
    <s v="N"/>
    <s v="Y"/>
    <s v="N"/>
    <s v="Y"/>
    <s v="N"/>
  </r>
  <r>
    <n v="3228590"/>
    <s v="Deadzone: Rogue"/>
    <x v="386"/>
    <n v="1261"/>
    <b v="0"/>
    <s v="Single-player,Multi-player,Co-op,Online Co-op,Cross-Platform Multiplayer,Steam Achievements,Full controller support,Custom Volume Controls,Adjustable Difficulty,Playable without Timed Input,Stereo Sound,Steam Cloud,Family Sharing"/>
    <s v="Action"/>
    <n v="433"/>
    <s v="RTX 2080"/>
    <s v="Y"/>
    <s v="Y"/>
    <s v="Y"/>
    <s v="N"/>
    <s v="N"/>
    <s v="N"/>
    <s v="N"/>
    <s v="N"/>
    <s v="N"/>
  </r>
  <r>
    <n v="3150440"/>
    <s v="Laundry Store Simulator"/>
    <x v="387"/>
    <n v="1256"/>
    <b v="0"/>
    <s v="Single-player,Steam Achievements,Partial Controller Support,Steam Cloud,Family Sharing"/>
    <s v="Indie,Simulation"/>
    <n v="434"/>
    <s v="GTX 1050 Ti"/>
    <s v="Y"/>
    <s v="N"/>
    <s v="N"/>
    <s v="Y"/>
    <s v="N"/>
    <s v="Y"/>
    <s v="N"/>
    <s v="N"/>
    <s v="N"/>
  </r>
  <r>
    <n v="2680010"/>
    <s v="The First Berserker: Khazan"/>
    <x v="388"/>
    <n v="1253"/>
    <b v="0"/>
    <s v="Single-player,Steam Achievements,Full controller support,Steam Cloud,Family Sharing"/>
    <s v="Action,Adventure,RPG"/>
    <n v="435"/>
    <s v="RTX 2070"/>
    <s v="Y"/>
    <s v="N"/>
    <s v="Y"/>
    <s v="N"/>
    <s v="Y"/>
    <s v="N"/>
    <s v="Y"/>
    <s v="N"/>
    <s v="N"/>
  </r>
  <r>
    <n v="1812450"/>
    <s v="Bellwright"/>
    <x v="389"/>
    <n v="1252"/>
    <b v="0"/>
    <s v="Single-player,Multi-player,Co-op,Online Co-op,Steam Achievements,Custom Volume Controls,Adjustable Difficulty,Playable without Timed Input,Save Anytime,Stereo Sound,Partial Controller Support,Steam Cloud,HDR available,Family Sharing"/>
    <s v="Action,RPG,Simulation,Strategy,Early Access"/>
    <n v="436"/>
    <s v="RTX 3060"/>
    <s v="Y"/>
    <s v="Y"/>
    <s v="Y"/>
    <s v="N"/>
    <s v="N"/>
    <s v="Y"/>
    <s v="Y"/>
    <s v="Y"/>
    <s v="N"/>
  </r>
  <r>
    <n v="665300"/>
    <s v="Stream Avatars"/>
    <x v="262"/>
    <n v="1214"/>
    <b v="1"/>
    <s v="Steam Workshop,Includes level editor"/>
    <s v="Animation &amp; Modeling,Audio Production,Design &amp; Illustration,Utilities,Video Production,Web Publishing"/>
    <n v="437"/>
    <s v="GTX 1050 Ti"/>
    <s v="N"/>
    <s v="N"/>
    <s v="N"/>
    <s v="N"/>
    <s v="N"/>
    <s v="N"/>
    <s v="N"/>
    <s v="N"/>
    <s v="N"/>
  </r>
  <r>
    <n v="2688950"/>
    <s v="Planet Coaster 2"/>
    <x v="390"/>
    <n v="1213"/>
    <b v="0"/>
    <s v="Single-player,Multi-player,Steam Achievements,Full controller support,Steam Trading Cards,Steam Cloud,HDR available,Family Sharing"/>
    <s v="Simulation,Strategy"/>
    <n v="438"/>
    <s v="RTX 2070 SUPER"/>
    <s v="Y"/>
    <s v="Y"/>
    <s v="N"/>
    <s v="N"/>
    <s v="N"/>
    <s v="Y"/>
    <s v="N"/>
    <s v="Y"/>
    <s v="N"/>
  </r>
  <r>
    <n v="297000"/>
    <s v="Heroes of Might &amp; Magic III - HD Edition"/>
    <x v="391"/>
    <n v="1213"/>
    <b v="0"/>
    <s v="Single-player,Multi-player,Steam Achievements,Includes level editor,Remote Play on Tablet,Family Sharing"/>
    <s v="RPG,Strategy"/>
    <n v="438"/>
    <s v="Radeon Graphics"/>
    <s v="Y"/>
    <s v="Y"/>
    <s v="N"/>
    <s v="N"/>
    <s v="N"/>
    <s v="N"/>
    <s v="Y"/>
    <s v="Y"/>
    <s v="N"/>
  </r>
  <r>
    <n v="286690"/>
    <s v="Metro 2033 Redux"/>
    <x v="392"/>
    <n v="1208"/>
    <b v="1"/>
    <s v="Single-player,Steam Achievements,Full controller support,Steam Trading Cards,Steam Cloud,Family Sharing"/>
    <s v="Action"/>
    <n v="440"/>
    <s v="GTX 980 Ti"/>
    <s v="Y"/>
    <s v="N"/>
    <s v="Y"/>
    <s v="N"/>
    <s v="N"/>
    <s v="N"/>
    <s v="N"/>
    <s v="N"/>
    <s v="N"/>
  </r>
  <r>
    <n v="1147560"/>
    <s v="Skul: The Hero Slayer"/>
    <x v="229"/>
    <n v="1205"/>
    <b v="1"/>
    <s v="Single-player,Full controller support,Steam Cloud,Remote Play on Phone,Remote Play on Tablet,Remote Play on TV,Family Sharing"/>
    <s v="Action,Indie"/>
    <n v="441"/>
    <s v="Radeon Vega 8"/>
    <s v="Y"/>
    <s v="N"/>
    <s v="Y"/>
    <s v="Y"/>
    <s v="N"/>
    <s v="N"/>
    <s v="N"/>
    <s v="N"/>
    <s v="N"/>
  </r>
  <r>
    <n v="1817070"/>
    <s v="Marvel's Spider-Man Remastered"/>
    <x v="393"/>
    <n v="1190"/>
    <b v="0"/>
    <s v="Single-player,Steam Achievements,Adjustable Text Size,Camera Comfort,Color Alternatives,Custom Volume Controls,Adjustable Difficulty,Playable without Timed Input,Save Anytime,Stereo Sound,Subtitle Options,Surround Sound,Partial Controller Support,Steam Cloud,Remote Play on TV,Family Sharing"/>
    <s v="Action,Adventure,Casual"/>
    <n v="442"/>
    <s v="RX 580"/>
    <s v="Y"/>
    <s v="N"/>
    <s v="Y"/>
    <s v="N"/>
    <s v="Y"/>
    <s v="N"/>
    <s v="N"/>
    <s v="N"/>
    <s v="N"/>
  </r>
  <r>
    <n v="2666510"/>
    <s v="Rusty's Retirement"/>
    <x v="280"/>
    <n v="1185"/>
    <b v="1"/>
    <s v="Single-player,Steam Achievements,Steam Trading Cards,Adjustable Text Size,Custom Volume Controls,Playable without Timed Input,Save Anytime,Steam Cloud,Family Sharing"/>
    <s v="Casual,Indie,Simulation,Strategy"/>
    <n v="443"/>
    <s v="Radeon Vega 11"/>
    <s v="Y"/>
    <s v="N"/>
    <s v="N"/>
    <s v="Y"/>
    <s v="N"/>
    <s v="Y"/>
    <s v="N"/>
    <s v="Y"/>
    <s v="N"/>
  </r>
  <r>
    <n v="504230"/>
    <s v="Celeste"/>
    <x v="394"/>
    <n v="1174"/>
    <b v="1"/>
    <s v="Single-player,Steam Achievements,Full controller support,Steam Trading Cards,Steam Cloud,Remote Play on Phone,Remote Play on Tablet,Remote Play on TV,Family Sharing"/>
    <s v="Action,Adventure,Indie"/>
    <n v="444"/>
    <s v="Intel UHD Graphics"/>
    <s v="Y"/>
    <s v="N"/>
    <s v="Y"/>
    <s v="Y"/>
    <s v="Y"/>
    <s v="N"/>
    <s v="N"/>
    <s v="N"/>
    <s v="N"/>
  </r>
  <r>
    <n v="1237970"/>
    <s v="Titanfall 2"/>
    <x v="38"/>
    <n v="1173"/>
    <b v="0"/>
    <s v="Single-player,Multi-player,PvP,Online PvP,Steam Achievements,Full controller support,Steam Trading Cards,Remote Play on Phone,Remote Play on Tablet,Remote Play on TV"/>
    <s v="Action"/>
    <n v="445"/>
    <s v="GTX 1060"/>
    <s v="Y"/>
    <s v="Y"/>
    <s v="Y"/>
    <s v="N"/>
    <s v="N"/>
    <s v="N"/>
    <s v="N"/>
    <s v="N"/>
    <s v="N"/>
  </r>
  <r>
    <n v="311690"/>
    <s v="Enter the Gungeon"/>
    <x v="395"/>
    <n v="1165"/>
    <b v="0"/>
    <s v="Single-player,Multi-player,Shared/Split Screen,Steam Achievements,Full controller support,Steam Cloud,Remote Play on Phone,Remote Play on Tablet,Remote Play on TV,Remote Play Together,Family Sharing"/>
    <s v="Action,Adventure,Indie"/>
    <n v="446"/>
    <s v="Radeon Graphics"/>
    <s v="Y"/>
    <s v="Y"/>
    <s v="Y"/>
    <s v="Y"/>
    <s v="Y"/>
    <s v="N"/>
    <s v="N"/>
    <s v="N"/>
    <s v="N"/>
  </r>
  <r>
    <n v="466560"/>
    <s v="Northgard: Definitive Edition"/>
    <x v="396"/>
    <n v="1164"/>
    <b v="1"/>
    <s v="Single-player,Multi-player,PvP,Online PvP,Co-op,Online Co-op,Steam Achievements,Steam Trading Cards,Steam Workshop,Steam Workshop,Steam Cloud,Includes level editor,Family Sharing"/>
    <s v="Adventure,Indie,Simulation,Strategy"/>
    <n v="447"/>
    <s v="RX 560"/>
    <s v="Y"/>
    <s v="Y"/>
    <s v="N"/>
    <s v="Y"/>
    <s v="Y"/>
    <s v="Y"/>
    <s v="N"/>
    <s v="Y"/>
    <s v="N"/>
  </r>
  <r>
    <n v="2276930"/>
    <s v="Chillquarium"/>
    <x v="397"/>
    <n v="1163"/>
    <b v="1"/>
    <s v="Single-player,Steam Achievements,Steam Cloud,Stats,Family Sharing"/>
    <s v="Casual,Simulation"/>
    <n v="448"/>
    <s v="Radeon Vega 11"/>
    <s v="Y"/>
    <s v="N"/>
    <s v="N"/>
    <s v="N"/>
    <s v="N"/>
    <s v="Y"/>
    <s v="N"/>
    <s v="N"/>
    <s v="N"/>
  </r>
  <r>
    <n v="2336220"/>
    <s v="Feed the Cups"/>
    <x v="55"/>
    <n v="1161"/>
    <b v="1"/>
    <s v="Single-player,Multi-player,Co-op,Online Co-op,Shared/Split Screen Co-op,Shared/Split Screen,Steam Achievements,Full controller support,Steam Cloud,Remote Play Together,Family Sharing"/>
    <s v="Casual,Indie,Simulation,Early Access"/>
    <n v="449"/>
    <s v="Radeon Vega 11"/>
    <s v="Y"/>
    <s v="Y"/>
    <s v="N"/>
    <s v="Y"/>
    <s v="N"/>
    <s v="Y"/>
    <s v="N"/>
    <s v="N"/>
    <s v="N"/>
  </r>
  <r>
    <n v="466170"/>
    <s v="Idling to Rule the Gods"/>
    <x v="398"/>
    <n v="1157"/>
    <b v="1"/>
    <s v="Single-player,Steam Achievements,Steam Trading Cards,In-App Purchases,Steam Leaderboards"/>
    <s v="Casual,Indie,Simulation,Strategy,Free To Play"/>
    <n v="450"/>
    <s v="Radeon Graphics"/>
    <s v="Y"/>
    <s v="N"/>
    <s v="N"/>
    <s v="Y"/>
    <s v="N"/>
    <s v="Y"/>
    <s v="N"/>
    <s v="Y"/>
    <s v="Y"/>
  </r>
  <r>
    <n v="22330"/>
    <s v="The Elder Scrolls IV: Oblivion Game of the Year Edition (2009)"/>
    <x v="399"/>
    <n v="1156"/>
    <b v="0"/>
    <s v="Single-player,Steam Cloud,Family Sharing"/>
    <s v="RPG"/>
    <n v="451"/>
    <s v="Radeon Graphics"/>
    <s v="Y"/>
    <s v="N"/>
    <s v="N"/>
    <s v="N"/>
    <s v="N"/>
    <s v="N"/>
    <s v="Y"/>
    <s v="N"/>
    <s v="N"/>
  </r>
  <r>
    <n v="2567870"/>
    <s v="Chained Together"/>
    <x v="400"/>
    <n v="1154"/>
    <b v="0"/>
    <s v="Single-player,Multi-player,Co-op,Online Co-op,Shared/Split Screen Co-op,Shared/Split Screen,Partial Controller Support,Remote Play Together,Family Sharing"/>
    <s v="Adventure,Casual,Indie,Simulation"/>
    <n v="452"/>
    <s v="RTX 3060"/>
    <s v="Y"/>
    <s v="Y"/>
    <s v="N"/>
    <s v="Y"/>
    <s v="Y"/>
    <s v="Y"/>
    <s v="N"/>
    <s v="N"/>
    <s v="N"/>
  </r>
  <r>
    <n v="1238860"/>
    <s v="Battlefield 4"/>
    <x v="97"/>
    <n v="1153"/>
    <b v="0"/>
    <s v="Single-player,Multi-player,PvP,Online PvP,Steam Achievements,Full controller support,Steam Trading Cards,HDR available"/>
    <s v="Action"/>
    <n v="453"/>
    <s v="RX 560"/>
    <s v="Y"/>
    <s v="Y"/>
    <s v="Y"/>
    <s v="N"/>
    <s v="N"/>
    <s v="N"/>
    <s v="N"/>
    <s v="N"/>
    <s v="N"/>
  </r>
  <r>
    <n v="1971870"/>
    <s v="Mortal Kombat 1"/>
    <x v="401"/>
    <n v="1149"/>
    <b v="0"/>
    <s v="Single-player,Multi-player,PvP,Online PvP,Shared/Split Screen PvP,Shared/Split Screen,Cross-Platform Multiplayer,Steam Achievements,Full controller support,Steam Trading Cards,In-App Purchases,Chat Speech-to-text,Chat Text-to-speech,Custom Volume Controls,Keyboard Only Option,Narrated Game Menus,Stereo Sound,Subtitle Options,Surround Sound,Steam Cloud,Remote Play on TV,Remote Play Together,HDR available,Family Sharing"/>
    <s v="Action"/>
    <n v="454"/>
    <s v="RTX 2080 Ti"/>
    <s v="Y"/>
    <s v="Y"/>
    <s v="Y"/>
    <s v="N"/>
    <s v="N"/>
    <s v="N"/>
    <s v="N"/>
    <s v="N"/>
    <s v="N"/>
  </r>
  <r>
    <n v="719890"/>
    <s v="Beasts of Bermuda"/>
    <x v="402"/>
    <n v="1143"/>
    <b v="0"/>
    <s v="Multi-player,PvP,Online PvP,Full controller support,Family Sharing"/>
    <s v="Adventure,Indie,Massively Multiplayer,Simulation,Early Access"/>
    <n v="455"/>
    <s v="RX 6600"/>
    <s v="N"/>
    <s v="Y"/>
    <s v="N"/>
    <s v="Y"/>
    <s v="Y"/>
    <s v="Y"/>
    <s v="N"/>
    <s v="N"/>
    <s v="N"/>
  </r>
  <r>
    <n v="628070"/>
    <s v="Romance of the Three Kingdoms XI with Power Up Kit"/>
    <x v="403"/>
    <n v="1130"/>
    <b v="0"/>
    <s v="Single-player,Steam Cloud,Family Sharing"/>
    <s v="Strategy"/>
    <n v="456"/>
    <s v="Radeon Vega 11"/>
    <s v="Y"/>
    <s v="N"/>
    <s v="N"/>
    <s v="N"/>
    <s v="N"/>
    <s v="N"/>
    <s v="N"/>
    <s v="Y"/>
    <s v="N"/>
  </r>
  <r>
    <n v="2495100"/>
    <s v="Hello Kitty Island Adventure"/>
    <x v="362"/>
    <n v="1129"/>
    <b v="0"/>
    <s v="Single-player,Multi-player,Co-op,Online Co-op,Steam Achievements,Full controller support,Steam Cloud,Family Sharing"/>
    <s v="Action,Adventure,Casual,Indie,RPG,Simulation"/>
    <n v="457"/>
    <s v="GTX 1050 Ti"/>
    <s v="Y"/>
    <s v="Y"/>
    <s v="Y"/>
    <s v="Y"/>
    <s v="Y"/>
    <s v="Y"/>
    <s v="Y"/>
    <s v="N"/>
    <s v="N"/>
  </r>
  <r>
    <n v="883710"/>
    <s v="Resident Evil 2"/>
    <x v="283"/>
    <n v="1123"/>
    <b v="0"/>
    <s v="Single-player,Steam Achievements,Full controller support,Steam Trading Cards,Steam Cloud,Remote Play on Tablet,Remote Play on TV,HDR available,Family Sharing"/>
    <s v="Action"/>
    <n v="458"/>
    <s v="GTX 1060"/>
    <s v="Y"/>
    <s v="N"/>
    <s v="Y"/>
    <s v="N"/>
    <s v="N"/>
    <s v="N"/>
    <s v="N"/>
    <s v="N"/>
    <s v="N"/>
  </r>
  <r>
    <n v="1263850"/>
    <s v="Football Manager 2021"/>
    <x v="404"/>
    <n v="1122"/>
    <b v="1"/>
    <s v="Single-player,Multi-player,Steam Achievements,Steam Cloud,Family Sharing"/>
    <s v="Simulation,Sports"/>
    <n v="459"/>
    <s v="Radeon Vega 8"/>
    <s v="Y"/>
    <s v="Y"/>
    <s v="N"/>
    <s v="N"/>
    <s v="N"/>
    <s v="Y"/>
    <s v="N"/>
    <s v="N"/>
    <s v="N"/>
  </r>
  <r>
    <n v="453480"/>
    <s v="Shadowverse CCG"/>
    <x v="40"/>
    <n v="1122"/>
    <b v="1"/>
    <s v="Single-player,Multi-player,PvP,Online PvP,Cross-Platform Multiplayer,In-App Purchases"/>
    <s v="Strategy,Free To Play"/>
    <n v="459"/>
    <s v="R9 390X"/>
    <s v="Y"/>
    <s v="Y"/>
    <s v="N"/>
    <s v="N"/>
    <s v="N"/>
    <s v="N"/>
    <s v="N"/>
    <s v="Y"/>
    <s v="Y"/>
  </r>
  <r>
    <n v="2445690"/>
    <s v="Lost Castle 2"/>
    <x v="405"/>
    <n v="1121"/>
    <b v="0"/>
    <s v="Single-player,Multi-player,Co-op,Online Co-op,Shared/Split Screen Co-op,Shared/Split Screen,Steam Achievements,Partial Controller Support,Steam Cloud,Stats,Remote Play Together,Family Sharing"/>
    <s v="Action,Adventure,Indie,RPG,Early Access"/>
    <n v="461"/>
    <s v="Radeon Vega 8"/>
    <s v="Y"/>
    <s v="Y"/>
    <s v="Y"/>
    <s v="Y"/>
    <s v="Y"/>
    <s v="N"/>
    <s v="Y"/>
    <s v="N"/>
    <s v="N"/>
  </r>
  <r>
    <n v="1477830"/>
    <s v="HudSight - crosshair overlay"/>
    <x v="406"/>
    <n v="1120"/>
    <b v="0"/>
    <s v="Steam Achievements,Steam Workshop"/>
    <s v="Action,Education,Software Training,Utilities,Video Production"/>
    <n v="462"/>
    <s v="Radeon Vega 11"/>
    <s v="N"/>
    <s v="N"/>
    <s v="Y"/>
    <s v="N"/>
    <s v="N"/>
    <s v="N"/>
    <s v="N"/>
    <s v="N"/>
    <s v="N"/>
  </r>
  <r>
    <n v="346900"/>
    <s v="AdVenture Capitalist"/>
    <x v="407"/>
    <n v="1109"/>
    <b v="1"/>
    <s v="Single-player,Steam Achievements,Steam Trading Cards,Steam Cloud"/>
    <s v="Casual,Indie,Free To Play"/>
    <n v="463"/>
    <s v="Radeon Graphics"/>
    <s v="Y"/>
    <s v="N"/>
    <s v="N"/>
    <s v="Y"/>
    <s v="N"/>
    <s v="N"/>
    <s v="N"/>
    <s v="N"/>
    <s v="Y"/>
  </r>
  <r>
    <n v="3454590"/>
    <s v="Cornerpond"/>
    <x v="408"/>
    <n v="1100"/>
    <b v="0"/>
    <s v="Single-player,Steam Achievements,Steam Cloud,Family Sharing"/>
    <s v="Casual,Indie,Simulation"/>
    <n v="464"/>
    <s v="Radeon Vega 11"/>
    <s v="Y"/>
    <s v="N"/>
    <s v="N"/>
    <s v="Y"/>
    <s v="N"/>
    <s v="Y"/>
    <s v="N"/>
    <s v="N"/>
    <s v="N"/>
  </r>
  <r>
    <n v="2273430"/>
    <s v="BlazBlue Entropy Effect"/>
    <x v="409"/>
    <n v="1099"/>
    <b v="1"/>
    <s v="Single-player,Multi-player,Co-op,Online Co-op,LAN Co-op,Shared/Split Screen Co-op,Shared/Split Screen,Steam Achievements,Full controller support,Steam Cloud,Family Sharing"/>
    <s v="Action,Adventure,Indie"/>
    <n v="465"/>
    <s v="GTX 1060"/>
    <s v="Y"/>
    <s v="Y"/>
    <s v="Y"/>
    <s v="Y"/>
    <s v="Y"/>
    <s v="N"/>
    <s v="N"/>
    <s v="N"/>
    <s v="N"/>
  </r>
  <r>
    <n v="880940"/>
    <s v="Pummel Party"/>
    <x v="410"/>
    <n v="1096"/>
    <b v="0"/>
    <s v="Single-player,Multi-player,PvP,Online PvP,Shared/Split Screen PvP,Shared/Split Screen,Steam Achievements,Full controller support,Steam Workshop,Includes level editor,Remote Play on Phone,Remote Play on Tablet,Remote Play on TV,Remote Play Together,Family Sharing"/>
    <s v="Action,Casual,Indie"/>
    <n v="466"/>
    <s v="Radeon Vega 11"/>
    <s v="Y"/>
    <s v="Y"/>
    <s v="Y"/>
    <s v="Y"/>
    <s v="N"/>
    <s v="N"/>
    <s v="N"/>
    <s v="N"/>
    <s v="N"/>
  </r>
  <r>
    <n v="365360"/>
    <s v="Battle Brothers"/>
    <x v="411"/>
    <n v="1091"/>
    <b v="0"/>
    <s v="Single-player,Steam Achievements,Steam Trading Cards,Steam Cloud,Remote Play on Tablet,Family Sharing"/>
    <s v="RPG,Simulation,Strategy"/>
    <n v="467"/>
    <s v="RX 550"/>
    <s v="Y"/>
    <s v="N"/>
    <s v="N"/>
    <s v="N"/>
    <s v="N"/>
    <s v="Y"/>
    <s v="Y"/>
    <s v="Y"/>
    <s v="N"/>
  </r>
  <r>
    <n v="2418520"/>
    <s v="Farm Together 2"/>
    <x v="143"/>
    <n v="1080"/>
    <b v="1"/>
    <s v="Single-player,Multi-player,Co-op,Online Co-op,Shared/Split Screen Co-op,Shared/Split Screen,Cross-Platform Multiplayer,Steam Achievements,Full controller support,Steam Trading Cards,Adjustable Text Size,Camera Comfort,Color Alternatives,Custom Volume Controls,Playable without Timed Input,Save Anytime,Stereo Sound,Surround Sound,Steam Cloud,Remote Play on TV,Remote Play Together,Family Sharing"/>
    <s v="Casual,Indie,Simulation"/>
    <n v="468"/>
    <s v="GTX 1060"/>
    <s v="Y"/>
    <s v="Y"/>
    <s v="N"/>
    <s v="Y"/>
    <s v="N"/>
    <s v="Y"/>
    <s v="N"/>
    <s v="N"/>
    <s v="N"/>
  </r>
  <r>
    <n v="1041320"/>
    <s v="Lords Mobile: Kingdom Wars"/>
    <x v="412"/>
    <n v="1080"/>
    <b v="0"/>
    <s v="Multi-player,MMO,PvP,Online PvP,Cross-Platform Multiplayer,In-App Purchases,Remote Play on Phone,Remote Play on Tablet"/>
    <s v="Massively Multiplayer,RPG,Strategy,Free To Play"/>
    <n v="468"/>
    <s v="Radeon Vega 11"/>
    <s v="N"/>
    <s v="Y"/>
    <s v="N"/>
    <s v="N"/>
    <s v="N"/>
    <s v="N"/>
    <s v="Y"/>
    <s v="Y"/>
    <s v="Y"/>
  </r>
  <r>
    <n v="9900"/>
    <s v="Star Trek Online"/>
    <x v="413"/>
    <n v="1057"/>
    <b v="0"/>
    <s v="Multi-player,MMO,Co-op,Full controller support,In-App Purchases"/>
    <s v="Massively Multiplayer,RPG,Free To Play"/>
    <n v="470"/>
    <s v="Radeon Graphics"/>
    <s v="N"/>
    <s v="Y"/>
    <s v="N"/>
    <s v="N"/>
    <s v="N"/>
    <s v="N"/>
    <s v="Y"/>
    <s v="N"/>
    <s v="Y"/>
  </r>
  <r>
    <n v="1940340"/>
    <s v="Darkest Dungeon II"/>
    <x v="414"/>
    <n v="1054"/>
    <b v="1"/>
    <s v="Single-player,Steam Achievements,Full controller support,Steam Trading Cards,Steam Workshop,Steam Cloud,Family Sharing"/>
    <s v="Indie,RPG,Strategy"/>
    <n v="471"/>
    <s v="GTX 1050"/>
    <s v="Y"/>
    <s v="N"/>
    <s v="N"/>
    <s v="Y"/>
    <s v="N"/>
    <s v="N"/>
    <s v="Y"/>
    <s v="Y"/>
    <s v="N"/>
  </r>
  <r>
    <n v="1343370"/>
    <s v="Old School RuneScape"/>
    <x v="415"/>
    <n v="1050"/>
    <b v="1"/>
    <s v="Multi-player,MMO,Cross-Platform Multiplayer,Steam Achievements,Steam Trading Cards,In-App Purchases"/>
    <s v="Adventure,Massively Multiplayer,RPG,Free To Play"/>
    <n v="472"/>
    <s v="GTX 1050 Ti"/>
    <s v="N"/>
    <s v="Y"/>
    <s v="N"/>
    <s v="N"/>
    <s v="Y"/>
    <s v="N"/>
    <s v="Y"/>
    <s v="N"/>
    <s v="Y"/>
  </r>
  <r>
    <n v="1840"/>
    <s v="Source Filmmaker"/>
    <x v="416"/>
    <n v="1047"/>
    <b v="0"/>
    <s v="Steam Workshop"/>
    <s v="Animation &amp; Modeling,Video Production"/>
    <n v="473"/>
    <s v="Radeon Graphics"/>
    <s v="N"/>
    <s v="N"/>
    <s v="N"/>
    <s v="N"/>
    <s v="N"/>
    <s v="N"/>
    <s v="N"/>
    <s v="N"/>
    <s v="N"/>
  </r>
  <r>
    <n v="3116890"/>
    <s v="Out of the Park Baseball 26"/>
    <x v="417"/>
    <n v="1044"/>
    <b v="1"/>
    <s v="Single-player,Multi-player,MMO,PvP,Online PvP,Cross-Platform Multiplayer,Steam Achievements,Steam Trading Cards,Steam Workshop,In-App Purchases,Family Sharing"/>
    <s v="Indie,Simulation,Sports,Strategy"/>
    <n v="474"/>
    <s v="Radeon Vega 11"/>
    <s v="Y"/>
    <s v="Y"/>
    <s v="N"/>
    <s v="Y"/>
    <s v="N"/>
    <s v="Y"/>
    <s v="N"/>
    <s v="Y"/>
    <s v="N"/>
  </r>
  <r>
    <n v="516750"/>
    <s v="My Summer Car"/>
    <x v="418"/>
    <n v="1044"/>
    <b v="0"/>
    <s v="Single-player,Steam Achievements,Steam Trading Cards,Partial Controller Support,Steam Cloud,Family Sharing"/>
    <s v="Indie,Racing,Simulation"/>
    <n v="474"/>
    <s v="GTX 1070"/>
    <s v="Y"/>
    <s v="N"/>
    <s v="N"/>
    <s v="Y"/>
    <s v="N"/>
    <s v="Y"/>
    <s v="N"/>
    <s v="N"/>
    <s v="N"/>
  </r>
  <r>
    <n v="2456740"/>
    <s v="inZOI"/>
    <x v="388"/>
    <n v="1039"/>
    <b v="1"/>
    <s v="Single-player,Partial Controller Support,Steam Cloud,Family Sharing"/>
    <s v="Adventure,Casual,Simulation,Early Access"/>
    <n v="476"/>
    <s v="RTX 3070"/>
    <s v="Y"/>
    <s v="N"/>
    <s v="N"/>
    <s v="N"/>
    <s v="Y"/>
    <s v="Y"/>
    <s v="N"/>
    <s v="N"/>
    <s v="N"/>
  </r>
  <r>
    <n v="444090"/>
    <s v="Paladins"/>
    <x v="135"/>
    <n v="1028"/>
    <b v="0"/>
    <s v="Multi-player,PvP,Online PvP,Cross-Platform Multiplayer,Steam Achievements,Full controller support,Steam Trading Cards,In-App Purchases,Remote Play on Phone,Remote Play on Tablet"/>
    <s v="Action,Adventure,Massively Multiplayer,Strategy,Free To Play"/>
    <n v="477"/>
    <s v="RX 560"/>
    <s v="N"/>
    <s v="Y"/>
    <s v="Y"/>
    <s v="N"/>
    <s v="Y"/>
    <s v="N"/>
    <s v="N"/>
    <s v="Y"/>
    <s v="Y"/>
  </r>
  <r>
    <n v="976310"/>
    <s v="Mortal Kombatﾂ11"/>
    <x v="419"/>
    <n v="1026"/>
    <b v="0"/>
    <s v="Single-player,Multi-player,PvP,Online PvP,Shared/Split Screen PvP,Steam Achievements,Full controller support,Steam Trading Cards,In-App Purchases,Custom Volume Controls,Keyboard Only Option,Narrated Game Menus,Stereo Sound,Surround Sound,Steam Cloud,Remote Play on Phone,Remote Play on Tablet,Remote Play on TV,Remote Play Together,HDR available,Family Sharing"/>
    <s v="Action"/>
    <n v="478"/>
    <s v="GTX 1050 Ti"/>
    <s v="Y"/>
    <s v="Y"/>
    <s v="Y"/>
    <s v="N"/>
    <s v="N"/>
    <s v="N"/>
    <s v="N"/>
    <s v="N"/>
    <s v="N"/>
  </r>
  <r>
    <n v="404790"/>
    <s v="Godot Engine"/>
    <x v="420"/>
    <n v="1024"/>
    <b v="1"/>
    <s v="Partial Controller Support,Includes level editor"/>
    <s v="Game Development"/>
    <n v="479"/>
    <s v="GTX 950"/>
    <s v="N"/>
    <s v="N"/>
    <s v="N"/>
    <s v="N"/>
    <s v="N"/>
    <s v="N"/>
    <s v="N"/>
    <s v="N"/>
    <s v="N"/>
  </r>
  <r>
    <n v="934700"/>
    <s v="Dead Island 2"/>
    <x v="421"/>
    <n v="1023"/>
    <b v="1"/>
    <s v="Single-player,Multi-player,Co-op,Online Co-op,Steam Achievements,Full controller support,Steam Trading Cards,Adjustable Text Size,Camera Comfort,Custom Volume Controls,Adjustable Difficulty,Keyboard Only Option,Stereo Sound,Subtitle Options,Steam Cloud,Family Sharing"/>
    <s v="Action,Adventure"/>
    <n v="480"/>
    <s v="RX 6800 XT"/>
    <s v="Y"/>
    <s v="Y"/>
    <s v="Y"/>
    <s v="N"/>
    <s v="Y"/>
    <s v="N"/>
    <s v="N"/>
    <s v="N"/>
    <s v="N"/>
  </r>
  <r>
    <n v="1100600"/>
    <s v="Football Manager 2020"/>
    <x v="422"/>
    <n v="1012"/>
    <b v="1"/>
    <s v="Single-player,Multi-player,Steam Achievements,Steam Workshop,Steam Cloud,Steam Leaderboards,Family Sharing"/>
    <s v="Simulation,Sports"/>
    <n v="481"/>
    <s v="Radeon Vega 8"/>
    <s v="Y"/>
    <s v="Y"/>
    <s v="N"/>
    <s v="N"/>
    <s v="N"/>
    <s v="Y"/>
    <s v="N"/>
    <s v="N"/>
    <s v="N"/>
  </r>
  <r>
    <n v="1888160"/>
    <s v="ARMORED CORE VI FIRES OF RUBICON"/>
    <x v="423"/>
    <n v="1011"/>
    <b v="0"/>
    <s v="Single-player,Multi-player,PvP,Online PvP,Steam Achievements,Steam Trading Cards,Camera Comfort,Custom Volume Controls,Playable without Timed Input,Stereo Sound,Surround Sound,Partial Controller Support,Steam Cloud,Family Sharing"/>
    <s v="Action"/>
    <n v="482"/>
    <s v="GTX 1060"/>
    <s v="Y"/>
    <s v="Y"/>
    <s v="Y"/>
    <s v="N"/>
    <s v="N"/>
    <s v="N"/>
    <s v="N"/>
    <s v="N"/>
    <s v="N"/>
  </r>
  <r>
    <n v="433850"/>
    <s v="Z1 Battle Royale"/>
    <x v="424"/>
    <n v="1010"/>
    <b v="0"/>
    <s v="Multi-player,PvP,Online PvP,In-App Purchases"/>
    <s v="Action,Adventure,Free To Play,Massively Multiplayer"/>
    <n v="483"/>
    <s v="GTX 1050 Ti"/>
    <s v="N"/>
    <s v="Y"/>
    <s v="Y"/>
    <s v="N"/>
    <s v="Y"/>
    <s v="N"/>
    <s v="N"/>
    <s v="N"/>
    <s v="Y"/>
  </r>
  <r>
    <n v="1046930"/>
    <s v="Dota Underlords"/>
    <x v="425"/>
    <n v="1008"/>
    <b v="1"/>
    <s v="Single-player,Multi-player,PvP,Online PvP,Cross-Platform Multiplayer,Color Alternatives,Custom Volume Controls,Keyboard Only Option,Mouse Only Option,Playable without Timed Input,Stereo Sound,Surround Sound,Touch Only Option,Partial Controller Support,Steam Cloud,Remote Play on Phone,Remote Play on Tablet"/>
    <s v="Casual,Strategy,Free To Play"/>
    <n v="484"/>
    <s v="Intel UHD Graphics"/>
    <s v="Y"/>
    <s v="Y"/>
    <s v="N"/>
    <s v="N"/>
    <s v="N"/>
    <s v="N"/>
    <s v="N"/>
    <s v="Y"/>
    <s v="Y"/>
  </r>
  <r>
    <n v="2420110"/>
    <s v="Horizon Forbidden West Complete Edition"/>
    <x v="426"/>
    <n v="1005"/>
    <b v="0"/>
    <s v="Single-player,Steam Achievements,Full controller support,Adjustable Text Size,Camera Comfort,Color Alternatives,Custom Volume Controls,Adjustable Difficulty,Stereo Sound,Subtitle Options,Surround Sound,Steam Cloud,HDR available,Family Sharing"/>
    <s v="Action,RPG"/>
    <n v="485"/>
    <s v="RTX 3060"/>
    <s v="Y"/>
    <s v="N"/>
    <s v="Y"/>
    <s v="N"/>
    <s v="N"/>
    <s v="N"/>
    <s v="Y"/>
    <s v="N"/>
    <s v="N"/>
  </r>
  <r>
    <n v="588430"/>
    <s v="Fallout Shelter"/>
    <x v="427"/>
    <n v="1001"/>
    <b v="0"/>
    <s v="Single-player,Steam Achievements,Full controller support,In-App Purchases,Playable without Timed Input,Stereo Sound,Steam Cloud,Stats"/>
    <s v="RPG,Simulation,Free To Play"/>
    <n v="486"/>
    <s v="RX 560"/>
    <s v="Y"/>
    <s v="N"/>
    <s v="N"/>
    <s v="N"/>
    <s v="N"/>
    <s v="Y"/>
    <s v="Y"/>
    <s v="N"/>
    <s v="Y"/>
  </r>
  <r>
    <n v="3036010"/>
    <s v="Coin Push RPG"/>
    <x v="428"/>
    <n v="999"/>
    <b v="0"/>
    <s v="Single-player,Steam Achievements,Steam Trading Cards,Steam Cloud,Steam Leaderboards,Family Sharing"/>
    <s v="Casual,Indie,RPG,Strategy"/>
    <n v="487"/>
    <s v="GTX 1060"/>
    <s v="Y"/>
    <s v="N"/>
    <s v="N"/>
    <s v="Y"/>
    <s v="N"/>
    <s v="N"/>
    <s v="Y"/>
    <s v="Y"/>
    <s v="N"/>
  </r>
  <r>
    <n v="881020"/>
    <s v="Granblue Fantasy: Relink"/>
    <x v="429"/>
    <n v="996"/>
    <b v="0"/>
    <s v="Single-player,Multi-player,Co-op,Online Co-op,Steam Achievements,Partial Controller Support,Steam Cloud,Family Sharing"/>
    <s v="Action,Adventure,RPG"/>
    <n v="488"/>
    <s v="RX 6700 XT"/>
    <s v="Y"/>
    <s v="Y"/>
    <s v="Y"/>
    <s v="N"/>
    <s v="Y"/>
    <s v="N"/>
    <s v="Y"/>
    <s v="N"/>
    <s v="N"/>
  </r>
  <r>
    <n v="1044720"/>
    <s v="Farthest Frontier"/>
    <x v="295"/>
    <n v="995"/>
    <b v="0"/>
    <s v="Single-player,Steam Workshop,Family Sharing"/>
    <s v="Indie,Simulation,Strategy"/>
    <n v="489"/>
    <s v="GTX 980"/>
    <s v="Y"/>
    <s v="N"/>
    <s v="N"/>
    <s v="Y"/>
    <s v="N"/>
    <s v="Y"/>
    <s v="N"/>
    <s v="Y"/>
    <s v="N"/>
  </r>
  <r>
    <n v="1180380"/>
    <s v="Stay Out"/>
    <x v="430"/>
    <n v="995"/>
    <b v="0"/>
    <s v="Multi-player,MMO,PvP,Online PvP,In-App Purchases,Remote Play on Tablet"/>
    <s v="Action,Indie,Massively Multiplayer,RPG,Free To Play,Early Access"/>
    <n v="489"/>
    <s v="RX 570"/>
    <s v="N"/>
    <s v="Y"/>
    <s v="Y"/>
    <s v="Y"/>
    <s v="N"/>
    <s v="N"/>
    <s v="Y"/>
    <s v="N"/>
    <s v="Y"/>
  </r>
  <r>
    <n v="1335200"/>
    <s v="Action Taimanin"/>
    <x v="431"/>
    <n v="993"/>
    <b v="0"/>
    <s v="Single-player,Multi-player,MMO,PvP,Online PvP,In-App Purchases,Partial Controller Support,Remote Play on Phone,Remote Play on Tablet"/>
    <s v="Action,Adventure,RPG,Free To Play"/>
    <n v="491"/>
    <s v="GTX 1050"/>
    <s v="Y"/>
    <s v="Y"/>
    <s v="Y"/>
    <s v="N"/>
    <s v="Y"/>
    <s v="N"/>
    <s v="Y"/>
    <s v="N"/>
    <s v="Y"/>
  </r>
  <r>
    <n v="383120"/>
    <s v="Empyrion - Galactic Survival"/>
    <x v="351"/>
    <n v="990"/>
    <b v="0"/>
    <s v="Single-player,Multi-player,PvP,Online PvP,Co-op,Online Co-op,LAN Co-op,Steam Workshop,Partial Controller Support,Family Sharing"/>
    <s v="Adventure,Indie,Simulation,Strategy"/>
    <n v="492"/>
    <s v="GTX 1660 Ti"/>
    <s v="Y"/>
    <s v="Y"/>
    <s v="N"/>
    <s v="Y"/>
    <s v="Y"/>
    <s v="Y"/>
    <s v="N"/>
    <s v="Y"/>
    <s v="N"/>
  </r>
  <r>
    <n v="1139980"/>
    <s v="Travellers Rest"/>
    <x v="432"/>
    <n v="990"/>
    <b v="0"/>
    <s v="Single-player,Multi-player,Co-op,Online Co-op,Shared/Split Screen Co-op,Shared/Split Screen,Steam Achievements,Full controller support,Steam Cloud,Remote Play Together,Family Sharing"/>
    <s v="Adventure,Casual,Indie,RPG,Simulation,Early Access"/>
    <n v="492"/>
    <s v="Radeon Vega 11"/>
    <s v="Y"/>
    <s v="Y"/>
    <s v="N"/>
    <s v="Y"/>
    <s v="Y"/>
    <s v="Y"/>
    <s v="Y"/>
    <s v="N"/>
    <s v="N"/>
  </r>
  <r>
    <n v="838350"/>
    <s v="The Scroll Of Taiwu"/>
    <x v="410"/>
    <n v="989"/>
    <b v="0"/>
    <s v="Single-player,Steam Workshop,Remote Play on Tablet,Family Sharing"/>
    <s v="Adventure,Casual,Indie,RPG,Strategy,Early Access"/>
    <n v="494"/>
    <s v="GTX 1050 Ti"/>
    <s v="Y"/>
    <s v="N"/>
    <s v="N"/>
    <s v="Y"/>
    <s v="Y"/>
    <s v="N"/>
    <s v="Y"/>
    <s v="Y"/>
    <s v="N"/>
  </r>
  <r>
    <n v="361420"/>
    <s v="ASTRONEER"/>
    <x v="433"/>
    <n v="988"/>
    <b v="0"/>
    <s v="Single-player,Multi-player,Co-op,Online Co-op,Steam Achievements,Full controller support,Steam Cloud,Remote Play on Tablet,Remote Play on TV,Family Sharing"/>
    <s v="Adventure,Indie"/>
    <n v="495"/>
    <s v="GTX 970"/>
    <s v="Y"/>
    <s v="Y"/>
    <s v="N"/>
    <s v="Y"/>
    <s v="Y"/>
    <s v="N"/>
    <s v="N"/>
    <s v="N"/>
    <s v="N"/>
  </r>
  <r>
    <n v="2399420"/>
    <s v="Le Mans Ultimate"/>
    <x v="341"/>
    <n v="984"/>
    <b v="0"/>
    <s v="Single-player,Multi-player,PvP,Online PvP,VR Supported,Partial Controller Support,Family Sharing"/>
    <s v="Racing,Simulation,Sports"/>
    <n v="496"/>
    <s v="RTX 2070"/>
    <s v="Y"/>
    <s v="Y"/>
    <s v="N"/>
    <s v="N"/>
    <s v="N"/>
    <s v="Y"/>
    <s v="N"/>
    <s v="N"/>
    <s v="N"/>
  </r>
  <r>
    <n v="787860"/>
    <s v="Farming Simulator 19"/>
    <x v="434"/>
    <n v="983"/>
    <b v="1"/>
    <s v="Single-player,Multi-player,Co-op,Online Co-op,Steam Achievements,Full controller support,Steam Trading Cards,Steam Cloud,Remote Play on Tablet,Remote Play on TV,Family Sharing"/>
    <s v="Simulation"/>
    <n v="497"/>
    <s v="Radeon Vega 8"/>
    <s v="Y"/>
    <s v="Y"/>
    <s v="N"/>
    <s v="N"/>
    <s v="N"/>
    <s v="Y"/>
    <s v="N"/>
    <s v="N"/>
    <s v="N"/>
  </r>
  <r>
    <n v="552100"/>
    <s v="Brick Rigs"/>
    <x v="435"/>
    <n v="983"/>
    <b v="0"/>
    <s v="Single-player,Multi-player,PvP,Online PvP,Steam Trading Cards,Steam Workshop,Partial Controller Support,Steam Cloud,Family Sharing"/>
    <s v="Simulation"/>
    <n v="497"/>
    <s v="GTX 1050 Ti"/>
    <s v="Y"/>
    <s v="Y"/>
    <s v="N"/>
    <s v="N"/>
    <s v="N"/>
    <s v="Y"/>
    <s v="N"/>
    <s v="N"/>
    <s v="N"/>
  </r>
  <r>
    <n v="431240"/>
    <s v="Golf With Your Friends"/>
    <x v="436"/>
    <n v="979"/>
    <b v="1"/>
    <s v="Single-player,Multi-player,PvP,Online PvP,Shared/Split Screen PvP,Shared/Split Screen,Steam Achievements,Steam Workshop,Partial Controller Support,Stats,Includes level editor,Remote Play on Phone,Remote Play on Tablet,Remote Play Together,Family Sharing"/>
    <s v="Casual,Indie,Sports"/>
    <n v="499"/>
    <s v="GTX 1050 Ti"/>
    <s v="Y"/>
    <s v="Y"/>
    <s v="N"/>
    <s v="Y"/>
    <s v="N"/>
    <s v="N"/>
    <s v="N"/>
    <s v="N"/>
    <s v="N"/>
  </r>
  <r>
    <n v="1336980"/>
    <s v="NOBUNAGA'S AMBITION: Awakening"/>
    <x v="437"/>
    <n v="977"/>
    <b v="0"/>
    <s v="Single-player,Steam Achievements,Steam Trading Cards,Custom Volume Controls,Adjustable Difficulty,Mouse Only Option,Playable without Timed Input,Save Anytime,Stereo Sound,Surround Sound,Steam Cloud,Family Sharing"/>
    <s v="Simulation"/>
    <n v="500"/>
    <s v="GTX 1060"/>
    <s v="Y"/>
    <s v="N"/>
    <s v="N"/>
    <s v="N"/>
    <s v="N"/>
    <s v="Y"/>
    <s v="N"/>
    <s v="N"/>
    <s v="N"/>
  </r>
  <r>
    <n v="1173510"/>
    <s v="XSOverlay"/>
    <x v="438"/>
    <n v="975"/>
    <b v="0"/>
    <s v="Steam Achievements,Tracked Controller Support,VR Only"/>
    <s v="Utilities,Early Access"/>
    <n v="501"/>
    <s v="GTX 970"/>
    <s v="N"/>
    <s v="N"/>
    <s v="N"/>
    <s v="N"/>
    <s v="N"/>
    <s v="N"/>
    <s v="N"/>
    <s v="N"/>
    <s v="N"/>
  </r>
  <r>
    <n v="1042550"/>
    <s v="Digimon Story Cyber Sleuth: Complete Edition"/>
    <x v="439"/>
    <n v="968"/>
    <b v="0"/>
    <s v="Single-player,Multi-player,PvP,Online PvP,Steam Achievements,Full controller support,Steam Trading Cards,Steam Cloud,Steam Leaderboards,Family Sharing"/>
    <s v="RPG"/>
    <n v="502"/>
    <s v="RX 560"/>
    <s v="Y"/>
    <s v="Y"/>
    <s v="N"/>
    <s v="N"/>
    <s v="N"/>
    <s v="N"/>
    <s v="Y"/>
    <s v="N"/>
    <s v="N"/>
  </r>
  <r>
    <n v="2878960"/>
    <s v="WWE 2K25"/>
    <x v="440"/>
    <n v="965"/>
    <b v="0"/>
    <s v="Single-player,Multi-player,PvP,Online PvP,Shared/Split Screen PvP,Co-op,Online Co-op,Shared/Split Screen Co-op,Shared/Split Screen,Steam Achievements,In-App Purchases,Partial Controller Support,Steam Cloud,Remote Play Together"/>
    <s v="Simulation,Sports"/>
    <n v="503"/>
    <s v="GTX 1070"/>
    <s v="Y"/>
    <s v="Y"/>
    <s v="N"/>
    <s v="N"/>
    <s v="N"/>
    <s v="Y"/>
    <s v="N"/>
    <s v="N"/>
    <s v="N"/>
  </r>
  <r>
    <n v="1948980"/>
    <s v="Hero's Adventure: Road to Passion"/>
    <x v="441"/>
    <n v="963"/>
    <b v="0"/>
    <s v="Single-player,Steam Achievements,Full controller support,Steam Workshop,Steam Cloud,Family Sharing"/>
    <s v="Adventure,Indie,RPG,Simulation"/>
    <n v="504"/>
    <s v="GTX 1050"/>
    <s v="Y"/>
    <s v="N"/>
    <s v="N"/>
    <s v="Y"/>
    <s v="Y"/>
    <s v="Y"/>
    <s v="Y"/>
    <s v="N"/>
    <s v="N"/>
  </r>
  <r>
    <n v="1113000"/>
    <s v="Persona 4 Golden"/>
    <x v="442"/>
    <n v="962"/>
    <b v="0"/>
    <s v="Single-player,Steam Achievements,Full controller support,Steam Trading Cards,Steam Cloud,Family Sharing"/>
    <s v="RPG"/>
    <n v="505"/>
    <s v="Radeon Vega 8"/>
    <s v="Y"/>
    <s v="N"/>
    <s v="N"/>
    <s v="N"/>
    <s v="N"/>
    <s v="N"/>
    <s v="Y"/>
    <s v="N"/>
    <s v="N"/>
  </r>
  <r>
    <n v="1149620"/>
    <s v="Gas Station Simulator"/>
    <x v="180"/>
    <n v="958"/>
    <b v="1"/>
    <s v="Single-player,Steam Achievements,Full controller support,Steam Trading Cards,Steam Cloud,Family Sharing"/>
    <s v="Casual,Indie,Simulation"/>
    <n v="506"/>
    <s v="GTX 1070"/>
    <s v="Y"/>
    <s v="N"/>
    <s v="N"/>
    <s v="Y"/>
    <s v="N"/>
    <s v="Y"/>
    <s v="N"/>
    <s v="N"/>
    <s v="N"/>
  </r>
  <r>
    <n v="1336490"/>
    <s v="Against the Storm"/>
    <x v="443"/>
    <n v="958"/>
    <b v="0"/>
    <s v="Single-player,Steam Achievements,Steam Trading Cards,Adjustable Text Size,Camera Comfort,Custom Volume Controls,Adjustable Difficulty,Save Anytime,Stereo Sound,Surround Sound,Steam Cloud,Family Sharing"/>
    <s v="Simulation,Strategy"/>
    <n v="506"/>
    <s v="GTX 970"/>
    <s v="Y"/>
    <s v="N"/>
    <s v="N"/>
    <s v="N"/>
    <s v="N"/>
    <s v="Y"/>
    <s v="N"/>
    <s v="Y"/>
    <s v="N"/>
  </r>
  <r>
    <n v="2169200"/>
    <s v="Sniper Elite: Resistance"/>
    <x v="362"/>
    <n v="957"/>
    <b v="0"/>
    <s v="Single-player,Multi-player,PvP,Online PvP,Co-op,Online Co-op,Cross-Platform Multiplayer,Steam Achievements,Steam Trading Cards,Adjustable Text Size,Camera Comfort,Color Alternatives,Adjustable Difficulty,Keyboard Only Option,Playable without Timed Input,Save Anytime,Subtitle Options,Surround Sound,Partial Controller Support,Steam Cloud,HDR available,Family Sharing"/>
    <s v="Action,Adventure"/>
    <n v="508"/>
    <s v="RX 6600"/>
    <s v="Y"/>
    <s v="Y"/>
    <s v="Y"/>
    <s v="N"/>
    <s v="Y"/>
    <s v="N"/>
    <s v="N"/>
    <s v="N"/>
    <s v="N"/>
  </r>
  <r>
    <n v="477160"/>
    <s v="Human Fall Flat"/>
    <x v="444"/>
    <n v="950"/>
    <b v="1"/>
    <s v="Single-player,Multi-player,PvP,Online PvP,Co-op,Shared/Split Screen Co-op,Shared/Split Screen,Steam Achievements,Full controller support,Steam Trading Cards,Steam Workshop,Color Alternatives,Custom Volume Controls,Keyboard Only Option,Playable without Timed Input,Stereo Sound,Surround Sound,Steam Cloud,Stats,Remote Play on TV,Remote Play Together,Family Sharing"/>
    <s v="Adventure,Casual,Indie,Simulation"/>
    <n v="509"/>
    <s v="Radeon Vega 8"/>
    <s v="Y"/>
    <s v="Y"/>
    <s v="N"/>
    <s v="Y"/>
    <s v="Y"/>
    <s v="Y"/>
    <s v="N"/>
    <s v="N"/>
    <s v="N"/>
  </r>
  <r>
    <n v="1790600"/>
    <s v="DRAGON BALL: Sparking! ZERO"/>
    <x v="296"/>
    <n v="949"/>
    <b v="0"/>
    <s v="Single-player,Multi-player,PvP,Online PvP,Shared/Split Screen PvP,Shared/Split Screen,Steam Achievements,Full controller support,Camera Comfort,Custom Volume Controls,Stereo Sound,Steam Cloud,Remote Play Together,HDR available,Family Sharing"/>
    <s v="Action"/>
    <n v="510"/>
    <s v="RTX 2060"/>
    <s v="Y"/>
    <s v="Y"/>
    <s v="Y"/>
    <s v="N"/>
    <s v="N"/>
    <s v="N"/>
    <s v="N"/>
    <s v="N"/>
    <s v="N"/>
  </r>
  <r>
    <n v="1371980"/>
    <s v="No Rest for the Wicked"/>
    <x v="445"/>
    <n v="947"/>
    <b v="0"/>
    <s v="Single-player,Partial Controller Support,Steam Cloud,HDR available,Family Sharing"/>
    <s v="Action,Adventure,RPG,Early Access"/>
    <n v="511"/>
    <s v="RTX 2060"/>
    <s v="Y"/>
    <s v="N"/>
    <s v="Y"/>
    <s v="N"/>
    <s v="Y"/>
    <s v="N"/>
    <s v="Y"/>
    <s v="N"/>
    <s v="N"/>
  </r>
  <r>
    <n v="599140"/>
    <s v="Graveyard Keeper"/>
    <x v="446"/>
    <n v="941"/>
    <b v="1"/>
    <s v="Single-player,Steam Achievements,Full controller support,Steam Trading Cards,Steam Cloud,Remote Play on Phone,Remote Play on Tablet,Remote Play on TV,Family Sharing"/>
    <s v="Adventure,Indie,RPG,Simulation"/>
    <n v="512"/>
    <s v="Radeon Vega 11"/>
    <s v="Y"/>
    <s v="N"/>
    <s v="N"/>
    <s v="Y"/>
    <s v="Y"/>
    <s v="Y"/>
    <s v="Y"/>
    <s v="N"/>
    <s v="N"/>
  </r>
  <r>
    <n v="1210320"/>
    <s v="Potion Craft: Alchemist Simulator"/>
    <x v="447"/>
    <n v="941"/>
    <b v="0"/>
    <s v="Single-player,Steam Achievements,Steam Trading Cards,Partial Controller Support,Steam Cloud,Family Sharing"/>
    <s v="Indie,Simulation"/>
    <n v="512"/>
    <s v="GTX 1050 Ti"/>
    <s v="Y"/>
    <s v="N"/>
    <s v="N"/>
    <s v="Y"/>
    <s v="N"/>
    <s v="Y"/>
    <s v="N"/>
    <s v="N"/>
    <s v="N"/>
  </r>
  <r>
    <n v="1295510"/>
    <s v="DRAGON QUEST XI S: Echoes of an Elusive Age - Definitive Edition"/>
    <x v="310"/>
    <n v="936"/>
    <b v="0"/>
    <s v="Single-player,Steam Achievements,Full controller support,Steam Trading Cards,Steam Cloud,Remote Play on Tablet,Family Sharing"/>
    <s v="Adventure,RPG"/>
    <n v="514"/>
    <s v="GTX 1050 Ti"/>
    <s v="Y"/>
    <s v="N"/>
    <s v="N"/>
    <s v="N"/>
    <s v="Y"/>
    <s v="N"/>
    <s v="Y"/>
    <s v="N"/>
    <s v="N"/>
  </r>
  <r>
    <n v="34030"/>
    <s v="Total War: NAPOLEON ' Definitive Edition"/>
    <x v="448"/>
    <n v="929"/>
    <b v="1"/>
    <s v="Single-player,Multi-player,Steam Achievements,Steam Trading Cards,Camera Comfort,Custom Volume Controls,Adjustable Difficulty,Playable without Timed Input,Save Anytime,Stereo Sound,Stats,Family Sharing"/>
    <s v="Strategy"/>
    <n v="515"/>
    <s v="GTX 750"/>
    <s v="Y"/>
    <s v="Y"/>
    <s v="N"/>
    <s v="N"/>
    <s v="N"/>
    <s v="N"/>
    <s v="N"/>
    <s v="Y"/>
    <s v="N"/>
  </r>
  <r>
    <n v="753640"/>
    <s v="Outer Wilds"/>
    <x v="38"/>
    <n v="928"/>
    <b v="0"/>
    <s v="Single-player,Steam Achievements,Full controller support,Steam Trading Cards,Steam Cloud,Remote Play on Phone,Remote Play on Tablet,Remote Play on TV,Family Sharing"/>
    <s v="Action,Adventure"/>
    <n v="516"/>
    <s v="RX 580"/>
    <s v="Y"/>
    <s v="N"/>
    <s v="Y"/>
    <s v="N"/>
    <s v="Y"/>
    <s v="N"/>
    <s v="N"/>
    <s v="N"/>
    <s v="N"/>
  </r>
  <r>
    <n v="2185060"/>
    <s v="Two Point Museum"/>
    <x v="23"/>
    <n v="927"/>
    <b v="1"/>
    <s v="Single-player,Steam Achievements,Full controller support,Steam Trading Cards,Steam Workshop,Adjustable Text Size,Camera Comfort,Custom Volume Controls,Mouse Only Option,Playable without Timed Input,Save Anytime,Stereo Sound,Surround Sound,Steam Cloud,Family Sharing"/>
    <s v="Casual,Indie,Simulation,Strategy"/>
    <n v="517"/>
    <s v="GTX 1070"/>
    <s v="Y"/>
    <s v="N"/>
    <s v="N"/>
    <s v="Y"/>
    <s v="N"/>
    <s v="Y"/>
    <s v="N"/>
    <s v="Y"/>
    <s v="N"/>
  </r>
  <r>
    <n v="983870"/>
    <s v="FOUNDRY"/>
    <x v="449"/>
    <n v="925"/>
    <b v="0"/>
    <s v="Single-player,Multi-player,Co-op,Online Co-op,LAN Co-op,Partial Controller Support,Steam Cloud,Family Sharing"/>
    <s v="Indie,Simulation,Strategy,Early Access"/>
    <n v="518"/>
    <s v="GTX 970"/>
    <s v="Y"/>
    <s v="Y"/>
    <s v="N"/>
    <s v="Y"/>
    <s v="N"/>
    <s v="Y"/>
    <s v="N"/>
    <s v="Y"/>
    <s v="N"/>
  </r>
  <r>
    <n v="2407270"/>
    <s v="AI LIMIT"/>
    <x v="388"/>
    <n v="922"/>
    <b v="0"/>
    <s v="Single-player,Steam Achievements,Full controller support,Steam Cloud,Family Sharing"/>
    <s v="Action,Adventure,Indie,RPG"/>
    <n v="519"/>
    <s v="RTX 3060"/>
    <s v="Y"/>
    <s v="N"/>
    <s v="Y"/>
    <s v="Y"/>
    <s v="Y"/>
    <s v="N"/>
    <s v="Y"/>
    <s v="N"/>
    <s v="N"/>
  </r>
  <r>
    <n v="632470"/>
    <s v="Disco Elysium - The Final Cut"/>
    <x v="450"/>
    <n v="918"/>
    <b v="1"/>
    <s v="Single-player,Steam Achievements,Full controller support,Steam Trading Cards,Steam Cloud,Remote Play on Tablet,Family Sharing"/>
    <s v="RPG"/>
    <n v="520"/>
    <s v="GTX 1060"/>
    <s v="Y"/>
    <s v="N"/>
    <s v="N"/>
    <s v="N"/>
    <s v="N"/>
    <s v="N"/>
    <s v="Y"/>
    <s v="N"/>
    <s v="N"/>
  </r>
  <r>
    <n v="975370"/>
    <s v="Dwarf Fortress"/>
    <x v="358"/>
    <n v="915"/>
    <b v="0"/>
    <s v="Single-player,Steam Workshop,Family Sharing"/>
    <s v="Indie,Simulation,Strategy"/>
    <n v="521"/>
    <s v="Intel UHD Graphics"/>
    <s v="Y"/>
    <s v="N"/>
    <s v="N"/>
    <s v="Y"/>
    <s v="N"/>
    <s v="Y"/>
    <s v="N"/>
    <s v="Y"/>
    <s v="N"/>
  </r>
  <r>
    <n v="1397920"/>
    <s v="Mr.Mine"/>
    <x v="451"/>
    <n v="914"/>
    <b v="1"/>
    <s v="Single-player,Steam Achievements,Steam Trading Cards,In-App Purchases,Steam Cloud"/>
    <s v="Adventure,Casual,Indie,RPG,Simulation,Strategy,Free To Play"/>
    <n v="522"/>
    <s v="Radeon Vega 11"/>
    <s v="Y"/>
    <s v="N"/>
    <s v="N"/>
    <s v="Y"/>
    <s v="Y"/>
    <s v="Y"/>
    <s v="Y"/>
    <s v="Y"/>
    <s v="Y"/>
  </r>
  <r>
    <n v="2344320"/>
    <s v="Eldegarde"/>
    <x v="452"/>
    <n v="913"/>
    <b v="0"/>
    <s v="Multi-player,PvP,Online PvP,Co-op,Online Co-op"/>
    <s v="Action,RPG,Early Access"/>
    <n v="523"/>
    <s v="RTX 3070"/>
    <s v="N"/>
    <s v="Y"/>
    <s v="Y"/>
    <s v="N"/>
    <s v="N"/>
    <s v="N"/>
    <s v="Y"/>
    <s v="N"/>
    <s v="N"/>
  </r>
  <r>
    <n v="670290"/>
    <s v="Real Pool 3D - Poolians"/>
    <x v="453"/>
    <n v="911"/>
    <b v="0"/>
    <s v="Single-player,Multi-player,PvP,Online PvP,Steam Achievements,In-App Purchases,Stats"/>
    <s v="Action,Casual,Indie,Massively Multiplayer,Simulation,Sports,Strategy,Free To Play"/>
    <n v="524"/>
    <s v="Radeon Vega 8"/>
    <s v="Y"/>
    <s v="Y"/>
    <s v="Y"/>
    <s v="Y"/>
    <s v="N"/>
    <s v="Y"/>
    <s v="N"/>
    <s v="Y"/>
    <s v="Y"/>
  </r>
  <r>
    <n v="3416070"/>
    <s v="Ropuka's Idle Island"/>
    <x v="454"/>
    <n v="911"/>
    <b v="0"/>
    <s v="Single-player,Steam Achievements,Steam Cloud,Family Sharing"/>
    <s v="Casual,Indie,Simulation"/>
    <n v="524"/>
    <s v="Radeon Vega 11"/>
    <s v="Y"/>
    <s v="N"/>
    <s v="N"/>
    <s v="Y"/>
    <s v="N"/>
    <s v="Y"/>
    <s v="N"/>
    <s v="N"/>
    <s v="N"/>
  </r>
  <r>
    <n v="387990"/>
    <s v="Scrap Mechanic"/>
    <x v="182"/>
    <n v="909"/>
    <b v="0"/>
    <s v="Single-player,Multi-player,Co-op,Online Co-op,Steam Workshop,Steam Cloud,Includes level editor,Family Sharing"/>
    <s v="Action,Adventure,Indie,Simulation,Early Access"/>
    <n v="526"/>
    <s v="RTX 3060"/>
    <s v="Y"/>
    <s v="Y"/>
    <s v="Y"/>
    <s v="Y"/>
    <s v="Y"/>
    <s v="Y"/>
    <s v="N"/>
    <s v="N"/>
    <s v="N"/>
  </r>
  <r>
    <n v="362890"/>
    <s v="Black Mesa"/>
    <x v="455"/>
    <n v="907"/>
    <b v="0"/>
    <s v="Single-player,Multi-player,PvP,Online PvP,Cross-Platform Multiplayer,Steam Achievements,Steam Trading Cards,Captions available,Steam Workshop,Partial Controller Support,Steam Cloud,Includes level editor,Includes Source SDK,Remote Play on Phone,Remote Play on Tablet,Family Sharing"/>
    <s v="Action,Adventure,Indie"/>
    <n v="527"/>
    <s v="GTX 970"/>
    <s v="Y"/>
    <s v="Y"/>
    <s v="Y"/>
    <s v="Y"/>
    <s v="Y"/>
    <s v="N"/>
    <s v="N"/>
    <s v="N"/>
    <s v="N"/>
  </r>
  <r>
    <n v="585420"/>
    <s v="Trailmakers"/>
    <x v="456"/>
    <n v="903"/>
    <b v="0"/>
    <s v="Single-player,Multi-player,PvP,Online PvP,Co-op,Online Co-op,Steam Achievements,Full controller support,Steam Trading Cards,Steam Workshop,Steam Cloud,Steam Leaderboards,Remote Play on TV,Family Sharing"/>
    <s v="Action,Adventure,Indie,Racing,Simulation"/>
    <n v="528"/>
    <s v="GTX 1080"/>
    <s v="Y"/>
    <s v="Y"/>
    <s v="Y"/>
    <s v="Y"/>
    <s v="Y"/>
    <s v="Y"/>
    <s v="N"/>
    <s v="N"/>
    <s v="N"/>
  </r>
  <r>
    <n v="211820"/>
    <s v="Starbound"/>
    <x v="444"/>
    <n v="894"/>
    <b v="1"/>
    <s v="Single-player,Multi-player,PvP,Online PvP,Co-op,Online Co-op,Cross-Platform Multiplayer,Steam Achievements,Steam Trading Cards,Steam Workshop,Family Sharing"/>
    <s v="Action,Adventure,Casual,Indie,RPG"/>
    <n v="529"/>
    <s v="Radeon Vega 8"/>
    <s v="Y"/>
    <s v="Y"/>
    <s v="Y"/>
    <s v="Y"/>
    <s v="Y"/>
    <s v="N"/>
    <s v="Y"/>
    <s v="N"/>
    <s v="N"/>
  </r>
  <r>
    <n v="459820"/>
    <s v="Crush Crush"/>
    <x v="457"/>
    <n v="892"/>
    <b v="1"/>
    <s v="Single-player,Steam Achievements,Steam Trading Cards,In-App Purchases,Stats,Steam Leaderboards,Remote Play on Phone,Remote Play on Tablet"/>
    <s v="Casual,Indie,Free To Play"/>
    <n v="530"/>
    <s v="Radeon Graphics"/>
    <s v="Y"/>
    <s v="N"/>
    <s v="N"/>
    <s v="Y"/>
    <s v="N"/>
    <s v="N"/>
    <s v="N"/>
    <s v="N"/>
    <s v="Y"/>
  </r>
  <r>
    <n v="2552430"/>
    <s v="KINGDOM HEARTS -HD 1.5+2.5 ReMIX-"/>
    <x v="458"/>
    <n v="886"/>
    <b v="0"/>
    <s v="Single-player,Steam Achievements,Full controller support,Steam Cloud,Family Sharing"/>
    <s v="Action,Adventure,RPG"/>
    <n v="531"/>
    <s v="GTX 750"/>
    <s v="Y"/>
    <s v="N"/>
    <s v="Y"/>
    <s v="N"/>
    <s v="Y"/>
    <s v="N"/>
    <s v="Y"/>
    <s v="N"/>
    <s v="N"/>
  </r>
  <r>
    <n v="3107230"/>
    <s v="Pantheon: Rise of the Fallen"/>
    <x v="459"/>
    <n v="876"/>
    <b v="0"/>
    <s v="Multi-player,MMO,PvP,Online PvP,Co-op,Online Co-op,Family Sharing"/>
    <s v="Adventure,Indie,Massively Multiplayer,RPG,Early Access"/>
    <n v="532"/>
    <s v="RTX 2060"/>
    <s v="N"/>
    <s v="Y"/>
    <s v="N"/>
    <s v="Y"/>
    <s v="Y"/>
    <s v="N"/>
    <s v="Y"/>
    <s v="N"/>
    <s v="N"/>
  </r>
  <r>
    <n v="1611600"/>
    <s v="WARNO"/>
    <x v="460"/>
    <n v="873"/>
    <b v="0"/>
    <s v="Single-player,Multi-player,PvP,Online PvP,Co-op,Online Co-op,Steam Achievements,Steam Cloud,Family Sharing"/>
    <s v="Action,Indie,Simulation,Strategy"/>
    <n v="533"/>
    <s v="GTX 1060"/>
    <s v="Y"/>
    <s v="Y"/>
    <s v="Y"/>
    <s v="Y"/>
    <s v="N"/>
    <s v="Y"/>
    <s v="N"/>
    <s v="Y"/>
    <s v="N"/>
  </r>
  <r>
    <n v="646910"/>
    <s v="The Crew 2"/>
    <x v="461"/>
    <n v="873"/>
    <b v="0"/>
    <s v="Single-player,Multi-player,MMO,PvP,Online PvP,Co-op,Online Co-op,Steam Achievements,Captions available,In-App Purchases,Partial Controller Support,Remote Play on Phone,Remote Play on Tablet"/>
    <s v="Action,Massively Multiplayer,Racing"/>
    <n v="533"/>
    <s v="GTX 1060"/>
    <s v="Y"/>
    <s v="Y"/>
    <s v="Y"/>
    <s v="N"/>
    <s v="N"/>
    <s v="N"/>
    <s v="N"/>
    <s v="N"/>
    <s v="N"/>
  </r>
  <r>
    <n v="926990"/>
    <s v="WolfQuest: Anniversary Edition"/>
    <x v="341"/>
    <n v="869"/>
    <b v="1"/>
    <s v="Single-player,Multi-player,Co-op,Online Co-op,Steam Achievements,Full controller support,Steam Trading Cards,Family Sharing"/>
    <s v="Action,RPG,Simulation"/>
    <n v="535"/>
    <s v="RTX 3060"/>
    <s v="Y"/>
    <s v="Y"/>
    <s v="Y"/>
    <s v="N"/>
    <s v="N"/>
    <s v="Y"/>
    <s v="Y"/>
    <s v="N"/>
    <s v="N"/>
  </r>
  <r>
    <n v="360430"/>
    <s v="Mafia III: Definitive Edition"/>
    <x v="436"/>
    <n v="869"/>
    <b v="1"/>
    <s v="Single-player,Steam Achievements,Full controller support,Steam Trading Cards,Steam Cloud,Remote Play on Tablet,Remote Play on TV,Family Sharing"/>
    <s v="Action,Adventure"/>
    <n v="535"/>
    <s v="GTX 1050 Ti"/>
    <s v="Y"/>
    <s v="N"/>
    <s v="Y"/>
    <s v="N"/>
    <s v="Y"/>
    <s v="N"/>
    <s v="N"/>
    <s v="N"/>
    <s v="N"/>
  </r>
  <r>
    <n v="1286680"/>
    <s v="Tiny Tina's Wonderlands"/>
    <x v="462"/>
    <n v="866"/>
    <b v="0"/>
    <s v="Single-player,Multi-player,Co-op,Online Co-op,LAN Co-op,Steam Achievements,Partial Controller Support,Family Sharing"/>
    <s v="Action,Adventure,RPG"/>
    <n v="537"/>
    <s v="RX 590"/>
    <s v="Y"/>
    <s v="Y"/>
    <s v="Y"/>
    <s v="N"/>
    <s v="Y"/>
    <s v="N"/>
    <s v="Y"/>
    <s v="N"/>
    <s v="N"/>
  </r>
  <r>
    <n v="228200"/>
    <s v="Company of Heroes"/>
    <x v="463"/>
    <n v="864"/>
    <b v="0"/>
    <s v="Single-player,Multi-player,Steam Trading Cards,Steam Workshop,Steam Cloud,Family Sharing"/>
    <s v="Action,Strategy"/>
    <n v="538"/>
    <s v="Intel HD Graphics"/>
    <s v="Y"/>
    <s v="Y"/>
    <s v="Y"/>
    <s v="N"/>
    <s v="N"/>
    <s v="N"/>
    <s v="N"/>
    <s v="Y"/>
    <s v="N"/>
  </r>
  <r>
    <n v="447040"/>
    <s v="Watch_Dogs 2"/>
    <x v="464"/>
    <n v="863"/>
    <b v="0"/>
    <s v="Single-player,Multi-player,Co-op,Steam Achievements,In-App Purchases,Partial Controller Support"/>
    <s v="Action,Adventure"/>
    <n v="539"/>
    <s v="GTX 1050 Ti"/>
    <s v="Y"/>
    <s v="Y"/>
    <s v="Y"/>
    <s v="N"/>
    <s v="Y"/>
    <s v="N"/>
    <s v="N"/>
    <s v="N"/>
    <s v="N"/>
  </r>
  <r>
    <n v="433340"/>
    <s v="Slime Rancher"/>
    <x v="234"/>
    <n v="858"/>
    <b v="1"/>
    <s v="Single-player,Steam Achievements,Full controller support,Steam Trading Cards,Steam Cloud,Remote Play on Phone,Remote Play on Tablet,Remote Play on TV,Family Sharing"/>
    <s v="Action,Adventure,Indie,Simulation"/>
    <n v="540"/>
    <s v="Radeon Vega 8"/>
    <s v="Y"/>
    <s v="N"/>
    <s v="Y"/>
    <s v="Y"/>
    <s v="Y"/>
    <s v="Y"/>
    <s v="N"/>
    <s v="N"/>
    <s v="N"/>
  </r>
  <r>
    <n v="1922560"/>
    <s v="Plants vs. Zombies Garden Warfare 2: Deluxe Edition"/>
    <x v="465"/>
    <n v="855"/>
    <b v="0"/>
    <s v="Single-player,Multi-player,PvP,Online PvP,Co-op,Online Co-op,Steam Achievements,In-App Purchases"/>
    <s v="Action,Casual,Strategy"/>
    <n v="541"/>
    <s v="RX 570"/>
    <s v="Y"/>
    <s v="Y"/>
    <s v="Y"/>
    <s v="N"/>
    <s v="N"/>
    <s v="N"/>
    <s v="N"/>
    <s v="Y"/>
    <s v="N"/>
  </r>
  <r>
    <n v="960170"/>
    <s v="DJMAX RESPECT V"/>
    <x v="466"/>
    <n v="854"/>
    <b v="0"/>
    <s v="Single-player,Multi-player,PvP,Online PvP,Steam Achievements,Steam Trading Cards,In-App Purchases,Partial Controller Support,Remote Play on Phone,Remote Play on Tablet,Family Sharing"/>
    <s v="Action,Casual,Sports"/>
    <n v="542"/>
    <s v="Radeon Vega 8"/>
    <s v="Y"/>
    <s v="Y"/>
    <s v="Y"/>
    <s v="N"/>
    <s v="N"/>
    <s v="N"/>
    <s v="N"/>
    <s v="N"/>
    <s v="N"/>
  </r>
  <r>
    <n v="1533390"/>
    <s v="Gorilla Tag"/>
    <x v="467"/>
    <n v="852"/>
    <b v="0"/>
    <s v="Multi-player,PvP,Online PvP,Cross-Platform Multiplayer,Tracked Controller Support,VR Only,In-App Purchases"/>
    <s v="Action,Casual"/>
    <n v="543"/>
    <s v="GTX 970"/>
    <s v="N"/>
    <s v="Y"/>
    <s v="Y"/>
    <s v="N"/>
    <s v="N"/>
    <s v="N"/>
    <s v="N"/>
    <s v="N"/>
    <s v="N"/>
  </r>
  <r>
    <n v="1584090"/>
    <s v="Touhou Mystia's Izakaya"/>
    <x v="366"/>
    <n v="852"/>
    <b v="1"/>
    <s v="Single-player,Steam Achievements,Full controller support,Steam Trading Cards,Steam Cloud,Family Sharing"/>
    <s v="Casual,Indie,RPG,Simulation"/>
    <n v="543"/>
    <s v="GTX 1050"/>
    <s v="Y"/>
    <s v="N"/>
    <s v="N"/>
    <s v="Y"/>
    <s v="N"/>
    <s v="Y"/>
    <s v="Y"/>
    <s v="N"/>
    <s v="N"/>
  </r>
  <r>
    <n v="1374490"/>
    <s v="RuneScape: Dragonwilds"/>
    <x v="468"/>
    <n v="851"/>
    <b v="0"/>
    <s v="Single-player,Multi-player,Co-op,Online Co-op,Adjustable Text Size,Custom Volume Controls,Save Anytime,Stereo Sound,Partial Controller Support,Steam Cloud,Family Sharing"/>
    <s v="Action,Adventure,RPG,Early Access"/>
    <n v="545"/>
    <s v="RTX 2070"/>
    <s v="Y"/>
    <s v="Y"/>
    <s v="Y"/>
    <s v="N"/>
    <s v="Y"/>
    <s v="N"/>
    <s v="Y"/>
    <s v="N"/>
    <s v="N"/>
  </r>
  <r>
    <n v="544730"/>
    <s v="Catan Universe"/>
    <x v="469"/>
    <n v="848"/>
    <b v="1"/>
    <s v="Single-player,Multi-player,PvP,Online PvP,Cross-Platform Multiplayer,Steam Achievements,Steam Trading Cards,In-App Purchases"/>
    <s v="Casual,Strategy"/>
    <n v="546"/>
    <s v="Radeon Vega 8"/>
    <s v="Y"/>
    <s v="Y"/>
    <s v="N"/>
    <s v="N"/>
    <s v="N"/>
    <s v="N"/>
    <s v="N"/>
    <s v="Y"/>
    <s v="N"/>
  </r>
  <r>
    <n v="2000950"/>
    <s v="Call of Duty: Modern Warfare"/>
    <x v="470"/>
    <n v="847"/>
    <b v="0"/>
    <s v="Single-player,Multi-player,PvP,Online PvP,Co-op,Online Co-op,Cross-Platform Multiplayer,Steam Achievements,Full controller support,In-App Purchases"/>
    <s v="Action"/>
    <n v="547"/>
    <s v="GTX 970"/>
    <s v="Y"/>
    <s v="Y"/>
    <s v="Y"/>
    <s v="N"/>
    <s v="N"/>
    <s v="N"/>
    <s v="N"/>
    <s v="N"/>
    <s v="N"/>
  </r>
  <r>
    <n v="702320"/>
    <s v="March of Empires"/>
    <x v="471"/>
    <n v="846"/>
    <b v="0"/>
    <s v="Multi-player,PvP,Online PvP,Steam Achievements,In-App Purchases"/>
    <s v="Massively Multiplayer,RPG,Strategy,Free To Play"/>
    <n v="548"/>
    <s v="Radeon Vega 8"/>
    <s v="N"/>
    <s v="Y"/>
    <s v="N"/>
    <s v="N"/>
    <s v="N"/>
    <s v="N"/>
    <s v="Y"/>
    <s v="Y"/>
    <s v="Y"/>
  </r>
  <r>
    <n v="1369670"/>
    <s v="Motor Town: Behind The Wheel"/>
    <x v="472"/>
    <n v="844"/>
    <b v="0"/>
    <s v="Single-player,Multi-player,PvP,Online PvP,Co-op,Online Co-op,Partial Controller Support,Steam Cloud,Family Sharing"/>
    <s v="Adventure,Casual,Indie,Racing,Simulation,Early Access"/>
    <n v="549"/>
    <s v="GTX 1070"/>
    <s v="Y"/>
    <s v="Y"/>
    <s v="N"/>
    <s v="Y"/>
    <s v="Y"/>
    <s v="Y"/>
    <s v="N"/>
    <s v="N"/>
    <s v="N"/>
  </r>
  <r>
    <n v="690830"/>
    <s v="Foundation"/>
    <x v="473"/>
    <n v="844"/>
    <b v="0"/>
    <s v="Single-player,Steam Achievements,Steam Cloud,Family Sharing"/>
    <s v="Indie,Simulation,Strategy"/>
    <n v="549"/>
    <s v="RTX 2060"/>
    <s v="Y"/>
    <s v="N"/>
    <s v="N"/>
    <s v="Y"/>
    <s v="N"/>
    <s v="Y"/>
    <s v="N"/>
    <s v="Y"/>
    <s v="N"/>
  </r>
  <r>
    <n v="312520"/>
    <s v="Rain World"/>
    <x v="474"/>
    <n v="836"/>
    <b v="0"/>
    <s v="Single-player,Multi-player,PvP,Shared/Split Screen PvP,Steam Achievements,Full controller support,Steam Trading Cards,Steam Workshop,Custom Volume Controls,Adjustable Difficulty,Keyboard Only Option,Stereo Sound,Steam Cloud,Remote Play on TV,Remote Play Together,Family Sharing"/>
    <s v="Action,Adventure,Indie"/>
    <n v="551"/>
    <s v="RX 480"/>
    <s v="Y"/>
    <s v="Y"/>
    <s v="Y"/>
    <s v="Y"/>
    <s v="Y"/>
    <s v="N"/>
    <s v="N"/>
    <s v="N"/>
    <s v="N"/>
  </r>
  <r>
    <n v="1599600"/>
    <s v="PlateUp!"/>
    <x v="475"/>
    <n v="832"/>
    <b v="0"/>
    <s v="Single-player,Multi-player,Co-op,Online Co-op,Shared/Split Screen Co-op,Shared/Split Screen,Steam Achievements,Full controller support,Steam Workshop,Steam Cloud,Remote Play on TV,Remote Play Together,Family Sharing"/>
    <s v="Action,Casual,Indie,Strategy"/>
    <n v="552"/>
    <s v="GTX 1050 Ti"/>
    <s v="Y"/>
    <s v="Y"/>
    <s v="Y"/>
    <s v="Y"/>
    <s v="N"/>
    <s v="N"/>
    <s v="N"/>
    <s v="Y"/>
    <s v="N"/>
  </r>
  <r>
    <n v="1501750"/>
    <s v="Lords of the Fallen"/>
    <x v="476"/>
    <n v="827"/>
    <b v="0"/>
    <s v="Single-player,Multi-player,PvP,Online PvP,Co-op,Online Co-op,Cross-Platform Multiplayer,Steam Achievements,Full controller support,Steam Cloud,Family Sharing"/>
    <s v="Action,Adventure,RPG"/>
    <n v="553"/>
    <s v="RTX 2080"/>
    <s v="Y"/>
    <s v="Y"/>
    <s v="Y"/>
    <s v="N"/>
    <s v="Y"/>
    <s v="N"/>
    <s v="Y"/>
    <s v="N"/>
    <s v="N"/>
  </r>
  <r>
    <n v="920490"/>
    <s v="Driver Booster for Steam"/>
    <x v="477"/>
    <n v="826"/>
    <b v="0"/>
    <s v="In-App Purchases"/>
    <s v="Utilities"/>
    <n v="554"/>
    <s v="Radeon Vega 8"/>
    <s v="N"/>
    <s v="N"/>
    <s v="N"/>
    <s v="N"/>
    <s v="N"/>
    <s v="N"/>
    <s v="N"/>
    <s v="N"/>
    <s v="N"/>
  </r>
  <r>
    <n v="787480"/>
    <s v="Phoenix Wright: Ace Attorney Trilogy"/>
    <x v="478"/>
    <n v="826"/>
    <b v="0"/>
    <s v="Single-player,Steam Achievements,Steam Trading Cards,Camera Comfort,Custom Volume Controls,Keyboard Only Option,Mouse Only Option,Playable without Timed Input,Save Anytime,Stereo Sound,Touch Only Option,Partial Controller Support,Steam Cloud,Remote Play on Phone,Remote Play on Tablet,Family Sharing"/>
    <s v="Adventure"/>
    <n v="554"/>
    <s v="RX 560"/>
    <s v="Y"/>
    <s v="N"/>
    <s v="N"/>
    <s v="N"/>
    <s v="Y"/>
    <s v="N"/>
    <s v="N"/>
    <s v="N"/>
    <s v="N"/>
  </r>
  <r>
    <n v="3511030"/>
    <s v="Mini Cozy Room: Lo-Fi"/>
    <x v="112"/>
    <n v="821"/>
    <b v="0"/>
    <s v="Single-player,Steam Achievements,Steam Cloud,Family Sharing"/>
    <s v="Casual,Indie"/>
    <n v="556"/>
    <s v="Radeon Vega 8"/>
    <s v="Y"/>
    <s v="N"/>
    <s v="N"/>
    <s v="Y"/>
    <s v="N"/>
    <s v="N"/>
    <s v="N"/>
    <s v="N"/>
    <s v="N"/>
  </r>
  <r>
    <n v="397900"/>
    <s v="Business Tour - Board Game with Online Multiplayer"/>
    <x v="479"/>
    <n v="809"/>
    <b v="1"/>
    <s v="Single-player,Multi-player,PvP,Online PvP,Shared/Split Screen PvP,Co-op,Online Co-op,Shared/Split Screen Co-op,Shared/Split Screen,Cross-Platform Multiplayer,Steam Achievements,Full controller support,Steam Trading Cards,Steam Workshop,In-App Purchases,Steam Leaderboards,Includes level editor,Remote Play on Phone,Remote Play on Tablet,Remote Play Together"/>
    <s v="Adventure,Casual,Indie,Massively Multiplayer,Simulation,Strategy,Free To Play"/>
    <n v="557"/>
    <s v="Radeon Vega 8"/>
    <s v="Y"/>
    <s v="Y"/>
    <s v="N"/>
    <s v="Y"/>
    <s v="Y"/>
    <s v="Y"/>
    <s v="N"/>
    <s v="Y"/>
    <s v="Y"/>
  </r>
  <r>
    <n v="1817800"/>
    <s v="Oddsparks: An Automation Adventure"/>
    <x v="480"/>
    <n v="808"/>
    <b v="0"/>
    <s v="Single-player,Multi-player,Co-op,Online Co-op,Steam Achievements,Full controller support,Steam Trading Cards,Steam Workshop,Adjustable Text Size,Camera Comfort,Color Alternatives,Custom Volume Controls,Adjustable Difficulty,Playable without Timed Input,Save Anytime,Stereo Sound,Steam Cloud,Family Sharing"/>
    <s v="Adventure,Indie,Simulation,Strategy"/>
    <n v="558"/>
    <s v="GTX 1070"/>
    <s v="Y"/>
    <s v="Y"/>
    <s v="N"/>
    <s v="Y"/>
    <s v="Y"/>
    <s v="Y"/>
    <s v="N"/>
    <s v="Y"/>
    <s v="N"/>
  </r>
  <r>
    <n v="1465460"/>
    <s v="Infection Free Zone"/>
    <x v="481"/>
    <n v="806"/>
    <b v="0"/>
    <s v="Single-player,Steam Achievements,Steam Workshop,Steam Cloud,Includes level editor,Family Sharing"/>
    <s v="Action,Indie,Simulation,Strategy,Early Access"/>
    <n v="559"/>
    <s v="GTX 1060"/>
    <s v="Y"/>
    <s v="N"/>
    <s v="Y"/>
    <s v="Y"/>
    <s v="N"/>
    <s v="Y"/>
    <s v="N"/>
    <s v="Y"/>
    <s v="N"/>
  </r>
  <r>
    <n v="1845910"/>
    <s v="Dragon Age: The Veilguard"/>
    <x v="482"/>
    <n v="804"/>
    <b v="0"/>
    <s v="Single-player,Steam Achievements,Full controller support,Steam Trading Cards,Color Alternatives,Custom Volume Controls,Adjustable Difficulty,Save Anytime,Stereo Sound,Subtitle Options,Surround Sound,Steam Cloud,Remote Play on TV,HDR available,Family Sharing"/>
    <s v="Action,Adventure,RPG,Strategy"/>
    <n v="560"/>
    <s v="RTX 2070"/>
    <s v="Y"/>
    <s v="N"/>
    <s v="Y"/>
    <s v="N"/>
    <s v="Y"/>
    <s v="N"/>
    <s v="Y"/>
    <s v="Y"/>
    <s v="N"/>
  </r>
  <r>
    <n v="266840"/>
    <s v="Age of Mythology: Extended Edition"/>
    <x v="483"/>
    <n v="804"/>
    <b v="0"/>
    <s v="Single-player,Multi-player,Co-op,Steam Achievements,Steam Trading Cards,Steam Workshop,Steam Cloud,Stats,Steam Leaderboards,Includes level editor,Family Sharing"/>
    <s v="Simulation,Strategy"/>
    <n v="560"/>
    <s v="GTX 970"/>
    <s v="Y"/>
    <s v="Y"/>
    <s v="N"/>
    <s v="N"/>
    <s v="N"/>
    <s v="Y"/>
    <s v="N"/>
    <s v="Y"/>
    <s v="N"/>
  </r>
  <r>
    <n v="774801"/>
    <s v="Crab Champions"/>
    <x v="484"/>
    <n v="796"/>
    <b v="0"/>
    <s v="Single-player,Multi-player,Co-op,Online Co-op,Steam Achievements,Partial Controller Support,Steam Cloud,Family Sharing"/>
    <s v="Action,Adventure,Casual,Indie,Early Access"/>
    <n v="562"/>
    <s v="GTX 1650"/>
    <s v="Y"/>
    <s v="Y"/>
    <s v="Y"/>
    <s v="Y"/>
    <s v="Y"/>
    <s v="N"/>
    <s v="N"/>
    <s v="N"/>
    <s v="N"/>
  </r>
  <r>
    <n v="2835570"/>
    <s v="Buckshot Roulette"/>
    <x v="485"/>
    <n v="793"/>
    <b v="0"/>
    <s v="Single-player,Multi-player,PvP,Online PvP,Steam Achievements,Steam Trading Cards,Partial Controller Support,Steam Leaderboards,Family Sharing"/>
    <s v="Action,Indie,Simulation"/>
    <n v="563"/>
    <s v="Radeon Vega 11"/>
    <s v="Y"/>
    <s v="Y"/>
    <s v="Y"/>
    <s v="Y"/>
    <s v="N"/>
    <s v="Y"/>
    <s v="N"/>
    <s v="N"/>
    <s v="N"/>
  </r>
  <r>
    <n v="212500"/>
    <s v="The Lord of the Rings Online"/>
    <x v="486"/>
    <n v="793"/>
    <b v="0"/>
    <s v="Multi-player,MMO,PvP,Co-op,In-App Purchases,Partial Controller Support"/>
    <s v="Action,Adventure,Massively Multiplayer,RPG,Free To Play"/>
    <n v="563"/>
    <s v="Radeon Graphics"/>
    <s v="N"/>
    <s v="Y"/>
    <s v="Y"/>
    <s v="N"/>
    <s v="Y"/>
    <s v="N"/>
    <s v="Y"/>
    <s v="N"/>
    <s v="Y"/>
  </r>
  <r>
    <n v="418370"/>
    <s v="Resident Evil 7 Biohazard"/>
    <x v="487"/>
    <n v="792"/>
    <b v="0"/>
    <s v="Single-player,Steam Achievements,Full controller support,Steam Trading Cards,Steam Cloud,HDR available,Family Sharing"/>
    <s v="Action,Adventure"/>
    <n v="565"/>
    <s v="GTX 1060"/>
    <s v="Y"/>
    <s v="N"/>
    <s v="Y"/>
    <s v="N"/>
    <s v="Y"/>
    <s v="N"/>
    <s v="N"/>
    <s v="N"/>
    <s v="N"/>
  </r>
  <r>
    <n v="2551020"/>
    <s v="One-armed robber"/>
    <x v="488"/>
    <n v="786"/>
    <b v="0"/>
    <s v="Single-player,Multi-player,Co-op,Online Co-op,Steam Achievements,In-App Purchases,Steam Cloud,Stats"/>
    <s v="Action,Indie,Simulation,Strategy,Free To Play"/>
    <n v="566"/>
    <s v="GTX 1050"/>
    <s v="Y"/>
    <s v="Y"/>
    <s v="Y"/>
    <s v="Y"/>
    <s v="N"/>
    <s v="Y"/>
    <s v="N"/>
    <s v="Y"/>
    <s v="Y"/>
  </r>
  <r>
    <n v="1096900"/>
    <s v="RPG Maker MZ"/>
    <x v="489"/>
    <n v="783"/>
    <b v="1"/>
    <s v="Steam Workshop,Partial Controller Support"/>
    <s v="RPG,Design &amp; Illustration,Education,Web Publishing,Game Development"/>
    <n v="567"/>
    <s v="Radeon Vega 11"/>
    <s v="N"/>
    <s v="N"/>
    <s v="N"/>
    <s v="N"/>
    <s v="N"/>
    <s v="N"/>
    <s v="Y"/>
    <s v="N"/>
    <s v="N"/>
  </r>
  <r>
    <n v="2494350"/>
    <s v="Pro Cycling Manager 2024"/>
    <x v="490"/>
    <n v="781"/>
    <b v="0"/>
    <s v="Single-player,Multi-player,PvP,Online PvP,Steam Achievements,Steam Trading Cards,Steam Cloud,Family Sharing"/>
    <s v="Simulation,Sports"/>
    <n v="568"/>
    <s v="RX 560"/>
    <s v="Y"/>
    <s v="Y"/>
    <s v="N"/>
    <s v="N"/>
    <s v="N"/>
    <s v="Y"/>
    <s v="N"/>
    <s v="N"/>
    <s v="N"/>
  </r>
  <r>
    <n v="233450"/>
    <s v="Prison Architect"/>
    <x v="491"/>
    <n v="781"/>
    <b v="1"/>
    <s v="Single-player,Steam Achievements,Steam Trading Cards,Steam Workshop,Steam Cloud,Includes level editor,Family Sharing"/>
    <s v="Indie,Simulation,Strategy"/>
    <n v="568"/>
    <s v="Radeon Graphics"/>
    <s v="Y"/>
    <s v="N"/>
    <s v="N"/>
    <s v="Y"/>
    <s v="N"/>
    <s v="Y"/>
    <s v="N"/>
    <s v="Y"/>
    <s v="N"/>
  </r>
  <r>
    <n v="391220"/>
    <s v="Rise of the Tomb Raider"/>
    <x v="492"/>
    <n v="777"/>
    <b v="1"/>
    <s v="Single-player,Steam Achievements,Full controller support,Tracked Controller Support,VR Supported,Steam Trading Cards,Steam Cloud,Steam Leaderboards,Remote Play on Phone,Remote Play on Tablet,Remote Play on TV,Family Sharing"/>
    <s v="Action,Adventure"/>
    <n v="570"/>
    <s v="GTX 980 Ti"/>
    <s v="Y"/>
    <s v="N"/>
    <s v="Y"/>
    <s v="N"/>
    <s v="Y"/>
    <s v="N"/>
    <s v="N"/>
    <s v="N"/>
    <s v="N"/>
  </r>
  <r>
    <n v="359870"/>
    <s v="FINAL FANTASY X/X-2 HD Remaster"/>
    <x v="317"/>
    <n v="776"/>
    <b v="0"/>
    <s v="Single-player,Steam Achievements,Steam Trading Cards,Partial Controller Support,Steam Cloud,Remote Play on Phone,Remote Play on Tablet,Family Sharing"/>
    <s v="RPG"/>
    <n v="571"/>
    <s v="Radeon Vega 8"/>
    <s v="Y"/>
    <s v="N"/>
    <s v="N"/>
    <s v="N"/>
    <s v="N"/>
    <s v="N"/>
    <s v="Y"/>
    <s v="N"/>
    <s v="N"/>
  </r>
  <r>
    <n v="500"/>
    <s v="Left 4 Dead"/>
    <x v="493"/>
    <n v="774"/>
    <b v="0"/>
    <s v="Single-player,Multi-player,Co-op,Steam Achievements,Full controller support,Captions available,Camera Comfort,Color Alternatives,Custom Volume Controls,Adjustable Difficulty,Stereo Sound,Surround Sound,Steam Cloud,Valve Anti-Cheat enabled,Stats,Steam Leaderboards,Includes Source SDK,Commentary available,Remote Play on TV,Family Sharing"/>
    <s v="Action"/>
    <n v="572"/>
    <s v="Radeon Graphics"/>
    <s v="Y"/>
    <s v="Y"/>
    <s v="Y"/>
    <s v="N"/>
    <s v="N"/>
    <s v="N"/>
    <s v="N"/>
    <s v="N"/>
    <s v="N"/>
  </r>
  <r>
    <n v="365590"/>
    <s v="Tom Clancy's The Division"/>
    <x v="494"/>
    <n v="774"/>
    <b v="0"/>
    <s v="Single-player,Multi-player,PvP,Online PvP,Co-op,Online Co-op,Steam Achievements,Full controller support,Steam Trading Cards,Captions available,In-App Purchases"/>
    <s v="Action,Adventure,RPG"/>
    <n v="572"/>
    <s v="GTX 970"/>
    <s v="Y"/>
    <s v="Y"/>
    <s v="Y"/>
    <s v="N"/>
    <s v="Y"/>
    <s v="N"/>
    <s v="Y"/>
    <s v="N"/>
    <s v="N"/>
  </r>
  <r>
    <n v="2054970"/>
    <s v="Dragon's Dogma 2"/>
    <x v="426"/>
    <n v="768"/>
    <b v="0"/>
    <s v="Single-player,Steam Achievements,Steam Trading Cards,Partial Controller Support,Steam Cloud,HDR available,Family Sharing"/>
    <s v="Action,RPG"/>
    <n v="574"/>
    <s v="RTX 2080"/>
    <s v="Y"/>
    <s v="N"/>
    <s v="Y"/>
    <s v="N"/>
    <s v="N"/>
    <s v="N"/>
    <s v="Y"/>
    <s v="N"/>
    <s v="N"/>
  </r>
  <r>
    <n v="361280"/>
    <s v="Turmoil"/>
    <x v="495"/>
    <n v="767"/>
    <b v="1"/>
    <s v="Single-player,Multi-player,PvP,Online PvP,Steam Achievements,Steam Trading Cards,Steam Cloud,Family Sharing"/>
    <s v="Indie,Simulation,Strategy"/>
    <n v="575"/>
    <s v="Radeon Graphics"/>
    <s v="Y"/>
    <s v="Y"/>
    <s v="N"/>
    <s v="Y"/>
    <s v="N"/>
    <s v="Y"/>
    <s v="N"/>
    <s v="Y"/>
    <s v="N"/>
  </r>
  <r>
    <n v="885970"/>
    <s v="Total War: ROME REMASTERED"/>
    <x v="496"/>
    <n v="764"/>
    <b v="1"/>
    <s v="Single-player,Multi-player,Cross-Platform Multiplayer,Steam Achievements,Steam Workshop,Steam Cloud,Family Sharing"/>
    <s v="Strategy"/>
    <n v="576"/>
    <s v="GTX 1050 Ti"/>
    <s v="Y"/>
    <s v="Y"/>
    <s v="N"/>
    <s v="N"/>
    <s v="N"/>
    <s v="N"/>
    <s v="N"/>
    <s v="Y"/>
    <s v="N"/>
  </r>
  <r>
    <n v="629760"/>
    <s v="MORDHAU"/>
    <x v="497"/>
    <n v="764"/>
    <b v="0"/>
    <s v="Multi-player,PvP,Online PvP,Co-op,Online Co-op,Cross-Platform Multiplayer,Steam Achievements,Steam Trading Cards,Partial Controller Support,Steam Cloud,Valve Anti-Cheat enabled,Stats,Remote Play on Phone,Remote Play on Tablet"/>
    <s v="Action,Indie"/>
    <n v="576"/>
    <s v="GTX 1060"/>
    <s v="N"/>
    <s v="Y"/>
    <s v="Y"/>
    <s v="Y"/>
    <s v="N"/>
    <s v="N"/>
    <s v="N"/>
    <s v="N"/>
    <s v="N"/>
  </r>
  <r>
    <n v="3003300"/>
    <s v="ZMﾂDesktopﾂElf"/>
    <x v="498"/>
    <n v="762"/>
    <b v="0"/>
    <s v="Single-player,Steam Achievements,Steam Workshop,Stats"/>
    <s v="Casual,Free To Play,Utilities"/>
    <n v="578"/>
    <s v="GTX 1050 Ti"/>
    <s v="Y"/>
    <s v="N"/>
    <s v="N"/>
    <s v="N"/>
    <s v="N"/>
    <s v="N"/>
    <s v="N"/>
    <s v="N"/>
    <s v="Y"/>
  </r>
  <r>
    <n v="1948800"/>
    <s v="Yi Xian: The Cultivation Card Game"/>
    <x v="499"/>
    <n v="761"/>
    <b v="1"/>
    <s v="Single-player,Multi-player,PvP,Online PvP,Steam Achievements,In-App Purchases"/>
    <s v="Casual,Indie,Strategy,Free To Play"/>
    <n v="579"/>
    <s v="Radeon Vega 11"/>
    <s v="Y"/>
    <s v="Y"/>
    <s v="N"/>
    <s v="Y"/>
    <s v="N"/>
    <s v="N"/>
    <s v="N"/>
    <s v="Y"/>
    <s v="Y"/>
  </r>
  <r>
    <n v="1462040"/>
    <s v="FINAL FANTASY VII REMAKE INTERGRADE"/>
    <x v="500"/>
    <n v="761"/>
    <b v="0"/>
    <s v="Single-player,Steam Achievements,Steam Trading Cards,Partial Controller Support,Steam Cloud,Family Sharing"/>
    <s v="Action,Adventure,RPG"/>
    <n v="579"/>
    <s v="RX 5700"/>
    <s v="Y"/>
    <s v="N"/>
    <s v="Y"/>
    <s v="N"/>
    <s v="Y"/>
    <s v="N"/>
    <s v="Y"/>
    <s v="N"/>
    <s v="N"/>
  </r>
  <r>
    <n v="304050"/>
    <s v="Trove"/>
    <x v="501"/>
    <n v="758"/>
    <b v="0"/>
    <s v="Multi-player,MMO,PvP,Online PvP,Co-op,Online Co-op,Steam Achievements,Steam Trading Cards,Steam Workshop,In-App Purchases,Adjustable Text Size,Custom Volume Controls,Playable without Timed Input,Save Anytime,Partial Controller Support"/>
    <s v="Action,Adventure,Casual,Massively Multiplayer,RPG,Free To Play"/>
    <n v="581"/>
    <s v="GTX 970"/>
    <s v="N"/>
    <s v="Y"/>
    <s v="Y"/>
    <s v="N"/>
    <s v="Y"/>
    <s v="N"/>
    <s v="Y"/>
    <s v="N"/>
    <s v="Y"/>
  </r>
  <r>
    <n v="282070"/>
    <s v="This War of Mine"/>
    <x v="502"/>
    <n v="756"/>
    <b v="1"/>
    <s v="Single-player,Steam Achievements,Steam Trading Cards,Steam Workshop,Partial Controller Support,Steam Cloud,Family Sharing"/>
    <s v="Adventure,Indie,Simulation"/>
    <n v="582"/>
    <s v="GTX 980 Ti"/>
    <s v="Y"/>
    <s v="N"/>
    <s v="N"/>
    <s v="Y"/>
    <s v="Y"/>
    <s v="Y"/>
    <s v="N"/>
    <s v="N"/>
    <s v="N"/>
  </r>
  <r>
    <n v="704450"/>
    <s v="Neverwinter Nights: Enhanced Edition"/>
    <x v="503"/>
    <n v="753"/>
    <b v="1"/>
    <s v="Single-player,Multi-player,PvP,Online PvP,Co-op,Online Co-op,Steam Achievements,Steam Trading Cards,Steam Workshop,Includes level editor,Family Sharing"/>
    <s v="RPG"/>
    <n v="583"/>
    <s v="Radeon Vega 11"/>
    <s v="Y"/>
    <s v="Y"/>
    <s v="N"/>
    <s v="N"/>
    <s v="N"/>
    <s v="N"/>
    <s v="Y"/>
    <s v="N"/>
    <s v="N"/>
  </r>
  <r>
    <n v="40970"/>
    <s v="Stronghold Crusader HD (2012)"/>
    <x v="504"/>
    <n v="746"/>
    <b v="0"/>
    <s v="Single-player,Multi-player,PvP,Online PvP,Steam Trading Cards,Steam Cloud,Includes level editor,Family Sharing"/>
    <s v="Simulation,Strategy"/>
    <n v="584"/>
    <s v="Radeon Graphics"/>
    <s v="Y"/>
    <s v="Y"/>
    <s v="N"/>
    <s v="N"/>
    <s v="N"/>
    <s v="Y"/>
    <s v="N"/>
    <s v="Y"/>
    <s v="N"/>
  </r>
  <r>
    <n v="625960"/>
    <s v="Stoneshard"/>
    <x v="505"/>
    <n v="744"/>
    <b v="0"/>
    <s v="Single-player,Steam Achievements,Captions available,Steam Cloud,Remote Play on Phone,Remote Play on Tablet,Family Sharing"/>
    <s v="Adventure,Indie,RPG,Strategy,Early Access"/>
    <n v="585"/>
    <s v="RX 560"/>
    <s v="Y"/>
    <s v="N"/>
    <s v="N"/>
    <s v="Y"/>
    <s v="Y"/>
    <s v="N"/>
    <s v="Y"/>
    <s v="Y"/>
    <s v="N"/>
  </r>
  <r>
    <n v="1718570"/>
    <s v="ASTLIBRA Revision"/>
    <x v="506"/>
    <n v="742"/>
    <b v="0"/>
    <s v="Single-player,Steam Achievements,Full controller support,Steam Cloud,Family Sharing"/>
    <s v="Action,Adventure,RPG"/>
    <n v="586"/>
    <s v="Radeon Vega 8"/>
    <s v="Y"/>
    <s v="N"/>
    <s v="Y"/>
    <s v="N"/>
    <s v="Y"/>
    <s v="N"/>
    <s v="Y"/>
    <s v="N"/>
    <s v="N"/>
  </r>
  <r>
    <n v="1766060"/>
    <s v="HumanitZ"/>
    <x v="361"/>
    <n v="740"/>
    <b v="0"/>
    <s v="Single-player,Multi-player,PvP,Online PvP,Co-op,Online Co-op,Steam Achievements,Partial Controller Support,Family Sharing"/>
    <s v="Action,Adventure,RPG,Early Access"/>
    <n v="587"/>
    <s v="RTX 2060"/>
    <s v="Y"/>
    <s v="Y"/>
    <s v="Y"/>
    <s v="N"/>
    <s v="Y"/>
    <s v="N"/>
    <s v="Y"/>
    <s v="N"/>
    <s v="N"/>
  </r>
  <r>
    <n v="1419170"/>
    <s v="My Singing Monsters"/>
    <x v="507"/>
    <n v="740"/>
    <b v="0"/>
    <s v="Single-player,Multi-player,Co-op,Online Co-op,In-App Purchases"/>
    <s v="Casual,Simulation,Free To Play"/>
    <n v="587"/>
    <s v="Radeon Vega 11"/>
    <s v="Y"/>
    <s v="Y"/>
    <s v="N"/>
    <s v="N"/>
    <s v="N"/>
    <s v="Y"/>
    <s v="N"/>
    <s v="N"/>
    <s v="Y"/>
  </r>
  <r>
    <n v="2515020"/>
    <s v="FINAL FANTASY XVI"/>
    <x v="508"/>
    <n v="737"/>
    <b v="0"/>
    <s v="Single-player,Steam Achievements,Full controller support,Steam Trading Cards,Captions available,Steam Cloud,HDR available,Family Sharing"/>
    <s v="Action,RPG"/>
    <n v="589"/>
    <s v="RX 6700 XT"/>
    <s v="Y"/>
    <s v="N"/>
    <s v="Y"/>
    <s v="N"/>
    <s v="N"/>
    <s v="N"/>
    <s v="Y"/>
    <s v="N"/>
    <s v="N"/>
  </r>
  <r>
    <n v="1677110"/>
    <s v="Lightyear Frontier"/>
    <x v="509"/>
    <n v="732"/>
    <b v="0"/>
    <s v="Single-player,Multi-player,Co-op,Online Co-op,Steam Achievements,Partial Controller Support,Steam Cloud,Family Sharing"/>
    <s v="Early Access"/>
    <n v="590"/>
    <s v="RX 6600"/>
    <s v="Y"/>
    <s v="Y"/>
    <s v="N"/>
    <s v="N"/>
    <s v="N"/>
    <s v="N"/>
    <s v="N"/>
    <s v="N"/>
    <s v="N"/>
  </r>
  <r>
    <n v="3191030"/>
    <s v="Nubby's Number Factory"/>
    <x v="510"/>
    <n v="731"/>
    <b v="0"/>
    <s v="Single-player,Steam Cloud,Family Sharing"/>
    <s v="Strategy"/>
    <n v="591"/>
    <s v="Radeon Vega 11"/>
    <s v="Y"/>
    <s v="N"/>
    <s v="N"/>
    <s v="N"/>
    <s v="N"/>
    <s v="N"/>
    <s v="N"/>
    <s v="Y"/>
    <s v="N"/>
  </r>
  <r>
    <n v="2773280"/>
    <s v="ANEURISM IV"/>
    <x v="511"/>
    <n v="723"/>
    <b v="1"/>
    <s v="Multi-player,PvP,Online PvP,LAN PvP,Family Sharing"/>
    <s v="Action,RPG,Simulation"/>
    <n v="592"/>
    <s v="GTX 1050"/>
    <s v="N"/>
    <s v="Y"/>
    <s v="Y"/>
    <s v="N"/>
    <s v="N"/>
    <s v="Y"/>
    <s v="Y"/>
    <s v="N"/>
    <s v="N"/>
  </r>
  <r>
    <n v="2881650"/>
    <s v="Content Warning"/>
    <x v="294"/>
    <n v="722"/>
    <b v="0"/>
    <s v="Multi-player,Co-op,Online Co-op,Partial Controller Support,Steam Cloud,Family Sharing"/>
    <s v="Action,Adventure,Indie"/>
    <n v="593"/>
    <s v="GTX 1060"/>
    <s v="N"/>
    <s v="Y"/>
    <s v="Y"/>
    <s v="Y"/>
    <s v="Y"/>
    <s v="N"/>
    <s v="N"/>
    <s v="N"/>
    <s v="N"/>
  </r>
  <r>
    <n v="920210"/>
    <s v="LEGO Star Wars: The Skywalker Saga"/>
    <x v="512"/>
    <n v="719"/>
    <b v="0"/>
    <s v="Single-player,Multi-player,Co-op,Shared/Split Screen Co-op,Shared/Split Screen,Steam Achievements,Full controller support,Steam Cloud,Remote Play on Phone,Remote Play on Tablet,Remote Play Together,HDR available,Family Sharing"/>
    <s v="Action,Adventure"/>
    <n v="594"/>
    <s v="GTX 1050 Ti"/>
    <s v="Y"/>
    <s v="Y"/>
    <s v="Y"/>
    <s v="N"/>
    <s v="Y"/>
    <s v="N"/>
    <s v="N"/>
    <s v="N"/>
    <s v="N"/>
  </r>
  <r>
    <n v="1029780"/>
    <s v="Going Medieval"/>
    <x v="513"/>
    <n v="713"/>
    <b v="0"/>
    <s v="Single-player,Steam Achievements,Steam Workshop,Adjustable Text Size,Camera Comfort,Custom Volume Controls,Adjustable Difficulty,Mouse Only Option,Playable without Timed Input,Save Anytime,Steam Cloud,Family Sharing"/>
    <s v="Indie,RPG,Simulation,Strategy,Early Access"/>
    <n v="595"/>
    <s v="GTX 1660 SUPER"/>
    <s v="Y"/>
    <s v="N"/>
    <s v="N"/>
    <s v="Y"/>
    <s v="N"/>
    <s v="Y"/>
    <s v="Y"/>
    <s v="Y"/>
    <s v="N"/>
  </r>
  <r>
    <n v="799960"/>
    <s v="Wizard101"/>
    <x v="514"/>
    <n v="712"/>
    <b v="0"/>
    <s v="Multi-player,MMO,PvP,Online PvP,Co-op,Online Co-op,In-App Purchases,Partial Controller Support"/>
    <s v="Adventure,Casual,Massively Multiplayer,RPG,Strategy,Free To Play"/>
    <n v="596"/>
    <s v="Radeon Vega 11"/>
    <s v="N"/>
    <s v="Y"/>
    <s v="N"/>
    <s v="N"/>
    <s v="Y"/>
    <s v="N"/>
    <s v="Y"/>
    <s v="Y"/>
    <s v="Y"/>
  </r>
  <r>
    <n v="244450"/>
    <s v="Men of War: Assault Squad 2"/>
    <x v="515"/>
    <n v="711"/>
    <b v="0"/>
    <s v="Single-player,Multi-player,Co-op,Steam Achievements,Steam Trading Cards,Steam Workshop,Steam Cloud,Stats,Steam Leaderboards,Includes level editor,Family Sharing"/>
    <s v="Action,Simulation,Strategy"/>
    <n v="597"/>
    <s v="GTX 750"/>
    <s v="Y"/>
    <s v="Y"/>
    <s v="Y"/>
    <s v="N"/>
    <s v="N"/>
    <s v="Y"/>
    <s v="N"/>
    <s v="Y"/>
    <s v="N"/>
  </r>
  <r>
    <n v="972660"/>
    <s v="Spiritfarer: Farewell Edition"/>
    <x v="516"/>
    <n v="702"/>
    <b v="1"/>
    <s v="Single-player,Multi-player,Co-op,Shared/Split Screen Co-op,Steam Achievements,Full controller support,Steam Trading Cards,Steam Cloud,Remote Play on Phone,Remote Play on Tablet,Remote Play on TV,Remote Play Together,Family Sharing"/>
    <s v="Adventure,Indie,Simulation"/>
    <n v="598"/>
    <s v="Radeon Vega 11"/>
    <s v="Y"/>
    <s v="Y"/>
    <s v="N"/>
    <s v="Y"/>
    <s v="Y"/>
    <s v="Y"/>
    <s v="N"/>
    <s v="N"/>
    <s v="N"/>
  </r>
  <r>
    <n v="412020"/>
    <s v="ASKA"/>
    <x v="353"/>
    <n v="702"/>
    <b v="1"/>
    <s v="Single-player,Steam Achievements,Full controller support,Steam Trading Cards,Steam Cloud,Remote Play on Phone,Remote Play on Tablet,Remote Play on TV,Family Sharing"/>
    <s v="Action"/>
    <n v="598"/>
    <s v="GTX 1070"/>
    <s v="Y"/>
    <s v="N"/>
    <s v="Y"/>
    <s v="N"/>
    <s v="N"/>
    <s v="N"/>
    <s v="N"/>
    <s v="N"/>
    <s v="N"/>
  </r>
  <r>
    <n v="1898300"/>
    <s v="Horizon Zero Dawn Complete Edition"/>
    <x v="233"/>
    <n v="701"/>
    <b v="0"/>
    <s v="Single-player,Multi-player,Co-op,Online Co-op,Full controller support,Steam Cloud,Family Sharing"/>
    <s v="Adventure,Simulation,Strategy,Early Access"/>
    <n v="600"/>
    <s v="GTX 1660"/>
    <s v="Y"/>
    <s v="Y"/>
    <s v="N"/>
    <s v="N"/>
    <s v="Y"/>
    <s v="Y"/>
    <s v="N"/>
    <s v="Y"/>
    <s v="N"/>
  </r>
  <r>
    <n v="1151640"/>
    <s v="Deadside"/>
    <x v="517"/>
    <n v="700"/>
    <b v="0"/>
    <s v="Single-player,Steam Achievements,Full controller support,Steam Cloud,Remote Play on Tablet,Family Sharing"/>
    <s v="Action,Adventure,RPG"/>
    <n v="601"/>
    <s v="RX 580"/>
    <s v="Y"/>
    <s v="N"/>
    <s v="Y"/>
    <s v="N"/>
    <s v="Y"/>
    <s v="N"/>
    <s v="Y"/>
    <s v="N"/>
    <s v="N"/>
  </r>
  <r>
    <n v="895400"/>
    <s v="Subnautica: Below Zero"/>
    <x v="7"/>
    <n v="698"/>
    <b v="0"/>
    <s v="Multi-player,MMO,PvP,Online PvP,Co-op,Online Co-op,Steam Achievements,Family Sharing"/>
    <s v="Action,Adventure,Indie,Massively Multiplayer"/>
    <n v="602"/>
    <s v="GTX 1060"/>
    <s v="N"/>
    <s v="Y"/>
    <s v="Y"/>
    <s v="Y"/>
    <s v="Y"/>
    <s v="N"/>
    <s v="N"/>
    <s v="N"/>
    <s v="N"/>
  </r>
  <r>
    <n v="848450"/>
    <s v="Ori and the Will of the Wisps"/>
    <x v="518"/>
    <n v="698"/>
    <b v="1"/>
    <s v="Single-player,Steam Achievements,Full controller support,Steam Trading Cards,Steam Cloud,Remote Play on TV,Family Sharing"/>
    <s v="Adventure,Indie"/>
    <n v="602"/>
    <s v="RX 570"/>
    <s v="Y"/>
    <s v="N"/>
    <s v="N"/>
    <s v="Y"/>
    <s v="Y"/>
    <s v="N"/>
    <s v="N"/>
    <s v="N"/>
    <s v="N"/>
  </r>
  <r>
    <n v="1057090"/>
    <s v="Terra Invicta"/>
    <x v="519"/>
    <n v="697"/>
    <b v="0"/>
    <s v="Single-player,Steam Achievements,Full controller support,Steam Cloud,Remote Play on Phone,Remote Play on Tablet,Remote Play on TV,HDR available,Family Sharing"/>
    <s v="Action"/>
    <n v="604"/>
    <s v="GTX 970"/>
    <s v="Y"/>
    <s v="N"/>
    <s v="Y"/>
    <s v="N"/>
    <s v="N"/>
    <s v="N"/>
    <s v="N"/>
    <s v="N"/>
    <s v="N"/>
  </r>
  <r>
    <n v="1176470"/>
    <s v="Eco"/>
    <x v="520"/>
    <n v="697"/>
    <b v="0"/>
    <s v="Single-player,Steam Achievements,Steam Trading Cards,Steam Workshop,Adjustable Text Size,Camera Comfort,Custom Volume Controls,Adjustable Difficulty,Mouse Only Option,Playable without Timed Input,Save Anytime,Steam Cloud,Family Sharing"/>
    <s v="Simulation,Strategy,Early Access"/>
    <n v="604"/>
    <s v="GTX 1060"/>
    <s v="Y"/>
    <s v="N"/>
    <s v="N"/>
    <s v="N"/>
    <s v="N"/>
    <s v="Y"/>
    <s v="N"/>
    <s v="Y"/>
    <s v="N"/>
  </r>
  <r>
    <n v="382310"/>
    <s v="Supreme Commander: Forged Alliance"/>
    <x v="521"/>
    <n v="692"/>
    <b v="0"/>
    <s v="Single-player,Multi-player,Co-op,Online Co-op,LAN Co-op,Steam Achievements,In-App Purchases"/>
    <s v="Indie,Simulation,Early Access"/>
    <n v="606"/>
    <s v="RX 5700"/>
    <s v="Y"/>
    <s v="Y"/>
    <s v="N"/>
    <s v="Y"/>
    <s v="N"/>
    <s v="Y"/>
    <s v="N"/>
    <s v="N"/>
    <s v="N"/>
  </r>
  <r>
    <n v="9420"/>
    <s v="Pro Soccer Online"/>
    <x v="522"/>
    <n v="691"/>
    <b v="0"/>
    <s v="Single-player,Multi-player,Family Sharing"/>
    <s v="Strategy"/>
    <n v="607"/>
    <s v="Radeon Graphics"/>
    <s v="Y"/>
    <s v="Y"/>
    <s v="N"/>
    <s v="N"/>
    <s v="N"/>
    <s v="N"/>
    <s v="N"/>
    <s v="Y"/>
    <s v="N"/>
  </r>
  <r>
    <n v="1583320"/>
    <s v="NieR:Automata"/>
    <x v="523"/>
    <n v="690"/>
    <b v="0"/>
    <s v="Multi-player,PvP,Online PvP,In-App Purchases"/>
    <s v="Sports"/>
    <n v="608"/>
    <s v="RTX 3080"/>
    <s v="N"/>
    <s v="Y"/>
    <s v="N"/>
    <s v="N"/>
    <s v="N"/>
    <s v="N"/>
    <s v="N"/>
    <s v="N"/>
    <s v="N"/>
  </r>
  <r>
    <n v="524220"/>
    <s v="Ratopia"/>
    <x v="524"/>
    <n v="690"/>
    <b v="0"/>
    <s v="Single-player,Steam Achievements,Steam Trading Cards,Partial Controller Support,Steam Cloud,Remote Play on Phone,Remote Play on Tablet,Family Sharing"/>
    <s v="Action,RPG"/>
    <n v="608"/>
    <s v="GTX 980"/>
    <s v="Y"/>
    <s v="N"/>
    <s v="Y"/>
    <s v="N"/>
    <s v="N"/>
    <s v="N"/>
    <s v="Y"/>
    <s v="N"/>
    <s v="N"/>
  </r>
  <r>
    <n v="2244130"/>
    <s v="Legion TD 2 - Multiplayer Tower Defense"/>
    <x v="525"/>
    <n v="687"/>
    <b v="1"/>
    <s v="Single-player,Steam Achievements,Full controller support,Steam Trading Cards,Steam Workshop,Steam Cloud,Family Sharing"/>
    <s v="Adventure,Casual,Indie,Simulation,Strategy"/>
    <n v="610"/>
    <s v="Radeon Vega 11"/>
    <s v="Y"/>
    <s v="N"/>
    <s v="N"/>
    <s v="Y"/>
    <s v="Y"/>
    <s v="Y"/>
    <s v="N"/>
    <s v="Y"/>
    <s v="N"/>
  </r>
  <r>
    <n v="469600"/>
    <s v="Planet Coaster"/>
    <x v="366"/>
    <n v="687"/>
    <b v="1"/>
    <s v="Single-player,Multi-player,PvP,Online PvP,Co-op,Online Co-op,Steam Achievements,Steam Trading Cards,Stats"/>
    <s v="Casual,Indie,Strategy"/>
    <n v="610"/>
    <s v="GTX 1060"/>
    <s v="Y"/>
    <s v="Y"/>
    <s v="N"/>
    <s v="Y"/>
    <s v="N"/>
    <s v="N"/>
    <s v="N"/>
    <s v="Y"/>
    <s v="N"/>
  </r>
  <r>
    <n v="493340"/>
    <s v="WEBFISHING"/>
    <x v="526"/>
    <n v="687"/>
    <b v="1"/>
    <s v="Single-player,Steam Achievements,Steam Trading Cards,Steam Workshop,Steam Cloud,Family Sharing"/>
    <s v="Action,Adventure,Casual,Simulation,Strategy"/>
    <n v="610"/>
    <s v="GTX 980"/>
    <s v="Y"/>
    <s v="N"/>
    <s v="Y"/>
    <s v="N"/>
    <s v="Y"/>
    <s v="Y"/>
    <s v="N"/>
    <s v="Y"/>
    <s v="N"/>
  </r>
  <r>
    <n v="3146520"/>
    <s v="Mafia: Definitive Edition"/>
    <x v="527"/>
    <n v="686"/>
    <b v="0"/>
    <s v="Single-player,Multi-player,Co-op,Online Co-op,Family Sharing"/>
    <s v="Casual,Indie,Massively Multiplayer"/>
    <n v="613"/>
    <s v="GTX 1050"/>
    <s v="Y"/>
    <s v="Y"/>
    <s v="N"/>
    <s v="Y"/>
    <s v="N"/>
    <s v="N"/>
    <s v="N"/>
    <s v="N"/>
    <s v="N"/>
  </r>
  <r>
    <n v="1030840"/>
    <s v="Rocksmith 2014 Edition REMASTERED LEARN &amp; PLAY"/>
    <x v="528"/>
    <n v="686"/>
    <b v="0"/>
    <s v="Single-player,Steam Achievements,Full controller support,Steam Trading Cards,Steam Cloud,Remote Play on Tablet,Family Sharing"/>
    <s v="Action,Adventure"/>
    <n v="613"/>
    <s v="GTX 1080"/>
    <s v="Y"/>
    <s v="N"/>
    <s v="Y"/>
    <s v="N"/>
    <s v="Y"/>
    <s v="N"/>
    <s v="N"/>
    <s v="N"/>
    <s v="N"/>
  </r>
  <r>
    <n v="221680"/>
    <s v="Idle Cave Miner"/>
    <x v="529"/>
    <n v="683"/>
    <b v="0"/>
    <s v="Single-player,Multi-player,Shared/Split Screen,Steam Achievements,Steam Trading Cards,In-App Purchases,Partial Controller Support,Steam Cloud,Steam Leaderboards"/>
    <s v="Casual,Simulation"/>
    <n v="615"/>
    <s v="RX 550"/>
    <s v="Y"/>
    <s v="Y"/>
    <s v="N"/>
    <s v="N"/>
    <s v="N"/>
    <s v="Y"/>
    <s v="N"/>
    <s v="N"/>
    <s v="N"/>
  </r>
  <r>
    <n v="2289450"/>
    <s v="The Walking Dead: The Telltale Definitive Series"/>
    <x v="191"/>
    <n v="683"/>
    <b v="1"/>
    <s v="Single-player,Steam Achievements,Steam Trading Cards,In-App Purchases,Steam Cloud,Stats,Steam Leaderboards"/>
    <s v="Casual,Indie,Simulation,Free To Play"/>
    <n v="615"/>
    <s v="GTX 970"/>
    <s v="Y"/>
    <s v="N"/>
    <s v="N"/>
    <s v="Y"/>
    <s v="N"/>
    <s v="Y"/>
    <s v="N"/>
    <s v="N"/>
    <s v="Y"/>
  </r>
  <r>
    <n v="1449690"/>
    <s v="Devil May Cry HD Collection"/>
    <x v="530"/>
    <n v="677"/>
    <b v="0"/>
    <s v="Single-player,Steam Achievements,Full controller support,Family Sharing"/>
    <s v="Adventure"/>
    <n v="617"/>
    <s v="GTX 1050 Ti"/>
    <s v="Y"/>
    <s v="N"/>
    <s v="N"/>
    <s v="N"/>
    <s v="Y"/>
    <s v="N"/>
    <s v="N"/>
    <s v="N"/>
    <s v="N"/>
  </r>
  <r>
    <n v="631510"/>
    <s v="Soulstone Survivors"/>
    <x v="531"/>
    <n v="675"/>
    <b v="0"/>
    <s v="Single-player,Steam Achievements,Full controller support,Steam Trading Cards,Remote Play on TV,Family Sharing"/>
    <s v="Action"/>
    <n v="618"/>
    <s v="GTX 1050 Ti"/>
    <s v="Y"/>
    <s v="N"/>
    <s v="Y"/>
    <s v="N"/>
    <s v="N"/>
    <s v="N"/>
    <s v="N"/>
    <s v="N"/>
    <s v="N"/>
  </r>
  <r>
    <n v="2066020"/>
    <s v="Escape Simulator"/>
    <x v="104"/>
    <n v="674"/>
    <b v="1"/>
    <s v="Single-player,Steam Achievements,Full controller support,Steam Trading Cards,Steam Cloud,Stats,Family Sharing"/>
    <s v="Action,Indie,RPG"/>
    <n v="619"/>
    <s v="GTX 1060"/>
    <s v="Y"/>
    <s v="N"/>
    <s v="Y"/>
    <s v="Y"/>
    <s v="N"/>
    <s v="N"/>
    <s v="Y"/>
    <s v="N"/>
    <s v="N"/>
  </r>
  <r>
    <n v="1435790"/>
    <s v="Warhammer 40,000: Dawn of War - Soulstorm"/>
    <x v="371"/>
    <n v="674"/>
    <b v="1"/>
    <s v="Single-player,Multi-player,PvP,Online PvP,Co-op,Online Co-op,Cross-Platform Multiplayer,Steam Achievements,Full controller support,Tracked Controller Support,VR Supported,Steam Trading Cards,Steam Workshop,Steam Cloud,Stats,Includes level editor,Family Sharing"/>
    <s v="Adventure,Casual,Indie,Simulation"/>
    <n v="619"/>
    <s v="GTX 1060"/>
    <s v="Y"/>
    <s v="Y"/>
    <s v="N"/>
    <s v="Y"/>
    <s v="Y"/>
    <s v="Y"/>
    <s v="N"/>
    <s v="N"/>
    <s v="N"/>
  </r>
  <r>
    <n v="9450"/>
    <s v="Resident Evil 4 (2005)"/>
    <x v="532"/>
    <n v="673"/>
    <b v="0"/>
    <s v="Single-player,Multi-player,Steam Cloud,Family Sharing"/>
    <s v="Strategy"/>
    <n v="621"/>
    <s v="Radeon Graphics"/>
    <s v="Y"/>
    <s v="Y"/>
    <s v="N"/>
    <s v="N"/>
    <s v="N"/>
    <s v="N"/>
    <s v="N"/>
    <s v="Y"/>
    <s v="N"/>
  </r>
  <r>
    <n v="254700"/>
    <s v="Muse Dash"/>
    <x v="533"/>
    <n v="673"/>
    <b v="0"/>
    <s v="Single-player,Steam Achievements,Full controller support,Steam Trading Cards,Captions available,Steam Cloud,Steam Leaderboards,Family Sharing"/>
    <s v="Action,Adventure"/>
    <n v="621"/>
    <s v="Radeon Graphics"/>
    <s v="Y"/>
    <s v="N"/>
    <s v="Y"/>
    <s v="N"/>
    <s v="Y"/>
    <s v="N"/>
    <s v="N"/>
    <s v="N"/>
    <s v="N"/>
  </r>
  <r>
    <n v="774171"/>
    <s v="The Quinfall"/>
    <x v="534"/>
    <n v="672"/>
    <b v="1"/>
    <s v="Single-player,Partial Controller Support,Steam Cloud,Remote Play on Phone,Remote Play on Tablet,Remote Play on TV,Family Sharing"/>
    <s v="Action,Casual,Indie"/>
    <n v="623"/>
    <s v="Radeon Vega 11"/>
    <s v="Y"/>
    <s v="N"/>
    <s v="Y"/>
    <s v="Y"/>
    <s v="N"/>
    <s v="N"/>
    <s v="N"/>
    <s v="N"/>
    <s v="N"/>
  </r>
  <r>
    <n v="2294660"/>
    <s v="Neverwinter"/>
    <x v="535"/>
    <n v="669"/>
    <b v="0"/>
    <s v="Multi-player,MMO,PvP,Online PvP,Co-op,Online Co-op,Steam Achievements,In-App Purchases,Family Sharing"/>
    <s v="Massively Multiplayer,Early Access"/>
    <n v="624"/>
    <s v="GTX 1060"/>
    <s v="N"/>
    <s v="Y"/>
    <s v="N"/>
    <s v="N"/>
    <s v="N"/>
    <s v="N"/>
    <s v="N"/>
    <s v="N"/>
    <s v="N"/>
  </r>
  <r>
    <n v="109600"/>
    <s v="Fall Guys"/>
    <x v="536"/>
    <n v="665"/>
    <b v="0"/>
    <s v="Single-player,Multi-player,MMO,PvP,Online PvP,Co-op,Online Co-op,Steam Trading Cards,In-App Purchases,Includes level editor"/>
    <s v="Action,Adventure,Massively Multiplayer,RPG,Free To Play"/>
    <n v="625"/>
    <s v="GTX 980"/>
    <s v="Y"/>
    <s v="Y"/>
    <s v="Y"/>
    <s v="N"/>
    <s v="Y"/>
    <s v="N"/>
    <s v="Y"/>
    <s v="N"/>
    <s v="Y"/>
  </r>
  <r>
    <n v="1097150"/>
    <s v="Mindustry"/>
    <x v="537"/>
    <n v="664"/>
    <b v="0"/>
    <s v="Multi-player,MMO,PvP,Online PvP,Co-op,Online Co-op,Steam Achievements,In-App Purchases,Partial Controller Support,Remote Play on Phone,Remote Play on Tablet"/>
    <s v="Action,Casual,Indie,Massively Multiplayer,Sports"/>
    <n v="626"/>
    <s v="RX 560"/>
    <s v="N"/>
    <s v="Y"/>
    <s v="Y"/>
    <s v="Y"/>
    <s v="N"/>
    <s v="N"/>
    <s v="N"/>
    <s v="N"/>
    <s v="N"/>
  </r>
  <r>
    <n v="1127400"/>
    <s v="Zuma Deluxe"/>
    <x v="538"/>
    <n v="658"/>
    <b v="1"/>
    <s v="Single-player,Multi-player,PvP,Online PvP,Co-op,Online Co-op,Cross-Platform Multiplayer,Steam Achievements,Steam Workshop,Steam Cloud,Stats,Includes level editor,Family Sharing"/>
    <s v="Strategy"/>
    <n v="627"/>
    <s v="Radeon Vega 11"/>
    <s v="Y"/>
    <s v="Y"/>
    <s v="N"/>
    <s v="N"/>
    <s v="N"/>
    <s v="N"/>
    <s v="N"/>
    <s v="Y"/>
    <s v="N"/>
  </r>
  <r>
    <n v="3330"/>
    <s v="Blade and Sorcery"/>
    <x v="539"/>
    <n v="658"/>
    <b v="1"/>
    <s v="Single-player,Family Sharing"/>
    <s v="Casual"/>
    <n v="627"/>
    <s v="Intel HD Graphics"/>
    <s v="Y"/>
    <s v="N"/>
    <s v="N"/>
    <s v="N"/>
    <s v="N"/>
    <s v="N"/>
    <s v="N"/>
    <s v="N"/>
    <s v="N"/>
  </r>
  <r>
    <n v="629730"/>
    <s v="RPG Maker MV"/>
    <x v="540"/>
    <n v="657"/>
    <b v="0"/>
    <s v="Single-player,Steam Achievements,Tracked Controller Support,VR Only,Family Sharing"/>
    <s v="Action,Adventure,Indie,RPG,Simulation"/>
    <n v="629"/>
    <s v="RTX 2070"/>
    <s v="Y"/>
    <s v="N"/>
    <s v="Y"/>
    <s v="Y"/>
    <s v="Y"/>
    <s v="Y"/>
    <s v="Y"/>
    <s v="N"/>
    <s v="N"/>
  </r>
  <r>
    <n v="363890"/>
    <s v="Soul Dossier"/>
    <x v="541"/>
    <n v="657"/>
    <b v="1"/>
    <s v="Steam Trading Cards,Steam Workshop,Partial Controller Support"/>
    <s v="RPG,Design &amp; Illustration,Education,Web Publishing,Game Development"/>
    <n v="629"/>
    <s v="Radeon Vega 8"/>
    <s v="N"/>
    <s v="N"/>
    <s v="N"/>
    <s v="N"/>
    <s v="N"/>
    <s v="N"/>
    <s v="Y"/>
    <s v="N"/>
    <s v="N"/>
  </r>
  <r>
    <n v="1520470"/>
    <s v="Chill Pulse"/>
    <x v="542"/>
    <n v="656"/>
    <b v="0"/>
    <s v="Multi-player,PvP,Online PvP,Co-op,Online Co-op"/>
    <s v="Action,Adventure,Massively Multiplayer,RPG,Strategy,Free To Play"/>
    <n v="631"/>
    <s v="RTX 2060"/>
    <s v="N"/>
    <s v="Y"/>
    <s v="Y"/>
    <s v="N"/>
    <s v="Y"/>
    <s v="N"/>
    <s v="Y"/>
    <s v="Y"/>
    <s v="Y"/>
  </r>
  <r>
    <n v="2826180"/>
    <s v="Batman: Arkham City - Game of the Year Edition"/>
    <x v="449"/>
    <n v="655"/>
    <b v="1"/>
    <s v="Single-player,Multi-player,Co-op,Online Co-op,Steam Achievements,Steam Cloud,Family Sharing"/>
    <s v="Adventure,Casual,Indie,Simulation"/>
    <n v="632"/>
    <s v="GTX 750"/>
    <s v="Y"/>
    <s v="Y"/>
    <s v="N"/>
    <s v="Y"/>
    <s v="Y"/>
    <s v="Y"/>
    <s v="N"/>
    <s v="N"/>
    <s v="N"/>
  </r>
  <r>
    <n v="200260"/>
    <s v="Like a Dragon: Infinite Wealth"/>
    <x v="543"/>
    <n v="655"/>
    <b v="0"/>
    <s v="Single-player,Steam Achievements,Steam Trading Cards,Partial Controller Support,Steam Cloud,Family Sharing"/>
    <s v="Action,Adventure"/>
    <n v="632"/>
    <s v="Radeon Graphics"/>
    <s v="Y"/>
    <s v="N"/>
    <s v="Y"/>
    <s v="N"/>
    <s v="Y"/>
    <s v="N"/>
    <s v="N"/>
    <s v="N"/>
    <s v="N"/>
  </r>
  <r>
    <n v="2072450"/>
    <s v="Sun Haven"/>
    <x v="166"/>
    <n v="655"/>
    <b v="0"/>
    <s v="Single-player,Steam Achievements,Full controller support,Steam Trading Cards,Steam Cloud,Family Sharing"/>
    <s v="Action,Adventure,RPG"/>
    <n v="632"/>
    <s v="RTX 2060"/>
    <s v="Y"/>
    <s v="N"/>
    <s v="Y"/>
    <s v="N"/>
    <s v="Y"/>
    <s v="N"/>
    <s v="Y"/>
    <s v="N"/>
    <s v="N"/>
  </r>
  <r>
    <n v="1432860"/>
    <s v="DRAGON BALL XENOVERSE 2"/>
    <x v="544"/>
    <n v="653"/>
    <b v="1"/>
    <s v="Single-player,Multi-player,Co-op,Online Co-op,Steam Achievements,In-App Purchases,Partial Controller Support,Steam Cloud,Family Sharing"/>
    <s v="Adventure,Casual,Indie,RPG,Simulation"/>
    <n v="635"/>
    <s v="GTX 1050"/>
    <s v="Y"/>
    <s v="Y"/>
    <s v="N"/>
    <s v="Y"/>
    <s v="Y"/>
    <s v="Y"/>
    <s v="Y"/>
    <s v="N"/>
    <s v="N"/>
  </r>
  <r>
    <n v="454650"/>
    <s v="Control Ultimate Edition"/>
    <x v="40"/>
    <n v="652"/>
    <b v="0"/>
    <s v="Single-player,Multi-player,MMO,PvP,Online PvP,Shared/Split Screen PvP,Co-op,Online Co-op,Steam Achievements,Full controller support,Steam Cloud,Steam Leaderboards,Family Sharing"/>
    <s v="Action,Adventure,Casual,Massively Multiplayer"/>
    <n v="636"/>
    <s v="R9 390X"/>
    <s v="Y"/>
    <s v="Y"/>
    <s v="Y"/>
    <s v="N"/>
    <s v="Y"/>
    <s v="N"/>
    <s v="N"/>
    <s v="N"/>
    <s v="N"/>
  </r>
  <r>
    <n v="870780"/>
    <s v="Book of Yog Idle RPG"/>
    <x v="489"/>
    <n v="648"/>
    <b v="1"/>
    <s v="Single-player,Steam Achievements,Full controller support,Steam Trading Cards,Steam Cloud,Remote Play on Phone,Remote Play on Tablet,Remote Play on TV,HDR available,Family Sharing"/>
    <s v="Action,Adventure"/>
    <n v="637"/>
    <s v="GTX 1660"/>
    <s v="Y"/>
    <s v="N"/>
    <s v="Y"/>
    <s v="N"/>
    <s v="Y"/>
    <s v="N"/>
    <s v="N"/>
    <s v="N"/>
    <s v="N"/>
  </r>
  <r>
    <n v="1097430"/>
    <s v="Dead Frontier 2"/>
    <x v="545"/>
    <n v="647"/>
    <b v="0"/>
    <s v="Single-player,Multi-player,MMO,In-App Purchases"/>
    <s v="Action,Adventure,Casual,Indie,Massively Multiplayer,RPG,Strategy,Free To Play"/>
    <n v="638"/>
    <s v="GTX 1050"/>
    <s v="Y"/>
    <s v="Y"/>
    <s v="Y"/>
    <s v="Y"/>
    <s v="Y"/>
    <s v="N"/>
    <s v="Y"/>
    <s v="Y"/>
    <s v="Y"/>
  </r>
  <r>
    <n v="744900"/>
    <s v="HoloCure - Save the Fans!"/>
    <x v="546"/>
    <n v="647"/>
    <b v="0"/>
    <s v="Single-player,Multi-player,MMO,PvP,Online PvP,Co-op,Online Co-op,Steam Trading Cards,In-App Purchases,Remote Play on Tablet"/>
    <s v="Action,Indie,Massively Multiplayer,RPG,Free To Play"/>
    <n v="638"/>
    <s v="GTX 1050"/>
    <s v="Y"/>
    <s v="Y"/>
    <s v="Y"/>
    <s v="Y"/>
    <s v="N"/>
    <s v="N"/>
    <s v="Y"/>
    <s v="N"/>
    <s v="Y"/>
  </r>
  <r>
    <n v="2420510"/>
    <s v="PAYDAY 3"/>
    <x v="547"/>
    <n v="645"/>
    <b v="0"/>
    <s v="Single-player,Steam Achievements,Partial Controller Support,Steam Cloud"/>
    <s v="Action,Adventure,Casual,Indie"/>
    <n v="640"/>
    <s v="GTX 1080"/>
    <s v="Y"/>
    <s v="N"/>
    <s v="Y"/>
    <s v="Y"/>
    <s v="Y"/>
    <s v="N"/>
    <s v="N"/>
    <s v="N"/>
    <s v="N"/>
  </r>
  <r>
    <n v="1272080"/>
    <s v="Call of Duty: Black Ops Cold War"/>
    <x v="548"/>
    <n v="644"/>
    <b v="0"/>
    <s v="Single-player,Multi-player,Co-op,Online Co-op,Cross-Platform Multiplayer,Steam Achievements,Steam Trading Cards,In-App Purchases,Camera Comfort,Custom Volume Controls,Adjustable Difficulty,Stereo Sound,Subtitle Options,Surround Sound,Partial Controller Support,Steam Cloud,Family Sharing"/>
    <s v="Action,Adventure,RPG"/>
    <n v="641"/>
    <s v="GTX 1080"/>
    <s v="Y"/>
    <s v="Y"/>
    <s v="Y"/>
    <s v="N"/>
    <s v="Y"/>
    <s v="N"/>
    <s v="Y"/>
    <s v="N"/>
    <s v="N"/>
  </r>
  <r>
    <n v="1985810"/>
    <s v="Just Cause 3"/>
    <x v="470"/>
    <n v="644"/>
    <b v="0"/>
    <s v="Single-player,Multi-player,PvP,Online PvP,Co-op,Online Co-op,Cross-Platform Multiplayer,Steam Achievements,Full controller support,In-App Purchases"/>
    <s v="Action"/>
    <n v="641"/>
    <s v="GTX 970"/>
    <s v="Y"/>
    <s v="Y"/>
    <s v="Y"/>
    <s v="N"/>
    <s v="N"/>
    <s v="N"/>
    <s v="N"/>
    <s v="N"/>
    <s v="N"/>
  </r>
  <r>
    <n v="225540"/>
    <s v="Portal"/>
    <x v="549"/>
    <n v="639"/>
    <b v="0"/>
    <s v="Single-player,Steam Achievements,Full controller support,Steam Trading Cards,Steam Cloud,Remote Play on Phone,Remote Play on Tablet,Remote Play on TV,Family Sharing"/>
    <s v="Action,Adventure"/>
    <n v="643"/>
    <s v="R9 380"/>
    <s v="Y"/>
    <s v="N"/>
    <s v="Y"/>
    <s v="N"/>
    <s v="Y"/>
    <s v="N"/>
    <s v="N"/>
    <s v="N"/>
    <s v="N"/>
  </r>
  <r>
    <n v="400"/>
    <s v="DCS World Steam Edition"/>
    <x v="20"/>
    <n v="638"/>
    <b v="0"/>
    <s v="Single-player,Steam Achievements,Full controller support,Captions available,Camera Comfort,Custom Volume Controls,Save Anytime,Stereo Sound,Subtitle Options,Surround Sound,Includes level editor,Includes Source SDK,Commentary available,Remote Play on Phone,Remote Play on Tablet,Family Sharing"/>
    <s v="Action"/>
    <n v="644"/>
    <s v="Radeon Graphics"/>
    <s v="Y"/>
    <s v="N"/>
    <s v="Y"/>
    <s v="N"/>
    <s v="N"/>
    <s v="N"/>
    <s v="N"/>
    <s v="N"/>
    <s v="N"/>
  </r>
  <r>
    <n v="223750"/>
    <s v="MechWarrior 5: Mercenaries"/>
    <x v="550"/>
    <n v="636"/>
    <b v="0"/>
    <s v="Single-player,Multi-player,PvP,Online PvP,LAN PvP,Co-op,Online Co-op,LAN Co-op,Tracked Controller Support,VR Supported,Captions available,VR Support,Camera Comfort,Color Alternatives,Custom Volume Controls,Adjustable Difficulty,Keyboard Only Option,Mouse Only Option,Playable without Timed Input,Save Anytime,Stereo Sound,Surround Sound,Touch Only Option,Partial Controller Support,Includes level editor"/>
    <s v="Simulation,Free To Play"/>
    <n v="645"/>
    <s v="GTX 980 Ti"/>
    <s v="Y"/>
    <s v="Y"/>
    <s v="N"/>
    <s v="N"/>
    <s v="N"/>
    <s v="Y"/>
    <s v="N"/>
    <s v="N"/>
    <s v="Y"/>
  </r>
  <r>
    <n v="784080"/>
    <s v="The Elder Scrolls III: Morrowind Game of the Year Edition"/>
    <x v="551"/>
    <n v="636"/>
    <b v="0"/>
    <s v="Single-player,Multi-player,Co-op,Online Co-op,Steam Achievements,Steam Workshop,Partial Controller Support,Family Sharing"/>
    <s v="Action,Simulation"/>
    <n v="645"/>
    <s v="GTX 1070"/>
    <s v="Y"/>
    <s v="Y"/>
    <s v="Y"/>
    <s v="N"/>
    <s v="N"/>
    <s v="Y"/>
    <s v="N"/>
    <s v="N"/>
    <s v="N"/>
  </r>
  <r>
    <n v="22320"/>
    <s v="ｿｮｻｰｱ"/>
    <x v="399"/>
    <n v="635"/>
    <b v="0"/>
    <s v="Single-player,Steam Cloud,Family Sharing"/>
    <s v="RPG"/>
    <n v="647"/>
    <s v="Radeon Graphics"/>
    <s v="Y"/>
    <s v="N"/>
    <s v="N"/>
    <s v="N"/>
    <s v="N"/>
    <s v="N"/>
    <s v="Y"/>
    <s v="N"/>
    <s v="N"/>
  </r>
  <r>
    <n v="2892880"/>
    <s v="Half-Life"/>
    <x v="552"/>
    <n v="635"/>
    <b v="0"/>
    <s v="Multi-player,MMO"/>
    <s v="Casual,Massively Multiplayer,Simulation,Free To Play"/>
    <n v="647"/>
    <s v="Radeon Vega 11"/>
    <s v="N"/>
    <s v="Y"/>
    <s v="N"/>
    <s v="N"/>
    <s v="N"/>
    <s v="Y"/>
    <s v="N"/>
    <s v="N"/>
    <s v="Y"/>
  </r>
  <r>
    <n v="70"/>
    <s v="UBOAT"/>
    <x v="553"/>
    <n v="634"/>
    <b v="1"/>
    <s v="Single-player,Multi-player,PvP,Online PvP,Full controller support,Color Alternatives,Custom Volume Controls,Adjustable Difficulty,Keyboard Only Option,Playable without Timed Input,Save Anytime,Stereo Sound,Steam Cloud,Valve Anti-Cheat enabled,Remote Play on Phone,Remote Play on Tablet,Family Sharing"/>
    <s v="Action"/>
    <n v="649"/>
    <s v="Intel HD Graphics"/>
    <s v="Y"/>
    <s v="Y"/>
    <s v="Y"/>
    <s v="N"/>
    <s v="N"/>
    <s v="N"/>
    <s v="N"/>
    <s v="N"/>
    <s v="N"/>
  </r>
  <r>
    <n v="494840"/>
    <s v="MiSide"/>
    <x v="554"/>
    <n v="633"/>
    <b v="0"/>
    <s v="Single-player,Steam Achievements,Steam Workshop,Steam Workshop,Steam Cloud,Family Sharing"/>
    <s v="Action,Indie,RPG,Simulation,Strategy"/>
    <n v="650"/>
    <s v="GTX 1060"/>
    <s v="Y"/>
    <s v="N"/>
    <s v="Y"/>
    <s v="Y"/>
    <s v="N"/>
    <s v="Y"/>
    <s v="Y"/>
    <s v="Y"/>
    <s v="N"/>
  </r>
  <r>
    <n v="2527500"/>
    <s v="DiRT Rally 2.0"/>
    <x v="555"/>
    <n v="631"/>
    <b v="0"/>
    <s v="Single-player,Steam Achievements,Family Sharing"/>
    <s v="Adventure,Indie,RPG,Simulation"/>
    <n v="651"/>
    <s v="GTX 1050"/>
    <s v="Y"/>
    <s v="N"/>
    <s v="N"/>
    <s v="Y"/>
    <s v="Y"/>
    <s v="Y"/>
    <s v="Y"/>
    <s v="N"/>
    <s v="N"/>
  </r>
  <r>
    <n v="690790"/>
    <s v="Cellveillance"/>
    <x v="556"/>
    <n v="631"/>
    <b v="0"/>
    <s v="Single-player,Multi-player,PvP,Online PvP,Steam Achievements,Full controller support,VR Supported,Steam Cloud,Valve Anti-Cheat enabled,Family Sharing"/>
    <s v="Racing,Simulation,Sports"/>
    <n v="651"/>
    <s v="GTX 1070"/>
    <s v="Y"/>
    <s v="Y"/>
    <s v="N"/>
    <s v="N"/>
    <s v="N"/>
    <s v="Y"/>
    <s v="N"/>
    <s v="N"/>
    <s v="N"/>
  </r>
  <r>
    <n v="3218580"/>
    <s v="Far Cry 6"/>
    <x v="9"/>
    <n v="628"/>
    <b v="1"/>
    <s v="Single-player,Steam Achievements,Steam Cloud"/>
    <s v="Adventure,RPG,Simulation"/>
    <n v="653"/>
    <s v="GTX 1080"/>
    <s v="Y"/>
    <s v="N"/>
    <s v="N"/>
    <s v="N"/>
    <s v="Y"/>
    <s v="Y"/>
    <s v="Y"/>
    <s v="N"/>
    <s v="N"/>
  </r>
  <r>
    <n v="2369390"/>
    <s v="Nine Sols"/>
    <x v="557"/>
    <n v="627"/>
    <b v="0"/>
    <s v="Single-player,Multi-player,Co-op,Online Co-op,Steam Achievements,Captions available,In-App Purchases,Partial Controller Support,HDR available"/>
    <s v="Action,Adventure"/>
    <n v="654"/>
    <s v="GTX 1080"/>
    <s v="Y"/>
    <s v="Y"/>
    <s v="Y"/>
    <s v="N"/>
    <s v="Y"/>
    <s v="N"/>
    <s v="N"/>
    <s v="N"/>
    <s v="N"/>
  </r>
  <r>
    <n v="1809540"/>
    <s v="Wobbly Life"/>
    <x v="558"/>
    <n v="625"/>
    <b v="1"/>
    <s v="Single-player,Steam Achievements,Full controller support,Color Alternatives,Custom Volume Controls,Adjustable Difficulty,Keyboard Only Option,Stereo Sound,Steam Cloud,Steam Leaderboards,Family Sharing"/>
    <s v="Action,Adventure,Indie"/>
    <n v="655"/>
    <s v="GTX 970"/>
    <s v="Y"/>
    <s v="N"/>
    <s v="Y"/>
    <s v="Y"/>
    <s v="Y"/>
    <s v="N"/>
    <s v="N"/>
    <s v="N"/>
    <s v="N"/>
  </r>
  <r>
    <n v="1211020"/>
    <s v="Sid Meier's Civilization IV"/>
    <x v="559"/>
    <n v="625"/>
    <b v="0"/>
    <s v="Single-player,Multi-player,Co-op,Online Co-op,Shared/Split Screen Co-op,Shared/Split Screen,Steam Achievements,Full controller support,Steam Trading Cards,Steam Workshop,Steam Cloud,Remote Play on TV,Family Sharing"/>
    <s v="Action,Adventure,Casual,Indie,Simulation"/>
    <n v="655"/>
    <s v="GTX 1650"/>
    <s v="Y"/>
    <s v="Y"/>
    <s v="Y"/>
    <s v="Y"/>
    <s v="Y"/>
    <s v="Y"/>
    <s v="N"/>
    <s v="N"/>
    <s v="N"/>
  </r>
  <r>
    <n v="3900"/>
    <s v="Borderlands Game of the Year Enhanced"/>
    <x v="356"/>
    <n v="620"/>
    <b v="1"/>
    <s v="Single-player,Multi-player,Includes level editor,Family Sharing"/>
    <s v="Strategy"/>
    <n v="657"/>
    <s v="Intel HD Graphics"/>
    <s v="Y"/>
    <s v="Y"/>
    <s v="N"/>
    <s v="N"/>
    <s v="N"/>
    <s v="N"/>
    <s v="N"/>
    <s v="Y"/>
    <s v="N"/>
  </r>
  <r>
    <n v="729040"/>
    <s v="GWENT: The Witcher Card Game"/>
    <x v="560"/>
    <n v="620"/>
    <b v="0"/>
    <s v="Single-player,Multi-player,Co-op,Online Co-op,Steam Achievements,Partial Controller Support,Steam Cloud,Family Sharing"/>
    <s v="Action,RPG"/>
    <n v="657"/>
    <s v="GTX 1050"/>
    <s v="Y"/>
    <s v="Y"/>
    <s v="Y"/>
    <s v="N"/>
    <s v="N"/>
    <s v="N"/>
    <s v="Y"/>
    <s v="N"/>
    <s v="N"/>
  </r>
  <r>
    <n v="1284410"/>
    <s v="RetroArch"/>
    <x v="436"/>
    <n v="619"/>
    <b v="0"/>
    <s v="Single-player,Multi-player,PvP,Online PvP,Cross-Platform Multiplayer,Steam Achievements,Steam Trading Cards,In-App Purchases,Camera Comfort,Color Alternatives,Custom Volume Controls,Mouse Only Option,Playable without Timed Input,Stereo Sound,Surround Sound,Partial Controller Support,Remote Play on Tablet"/>
    <s v="RPG,Strategy,Free To Play"/>
    <n v="659"/>
    <s v="RX 560"/>
    <s v="Y"/>
    <s v="Y"/>
    <s v="N"/>
    <s v="N"/>
    <s v="N"/>
    <s v="N"/>
    <s v="Y"/>
    <s v="Y"/>
    <s v="Y"/>
  </r>
  <r>
    <n v="1118310"/>
    <s v="Need for Speed Unbound"/>
    <x v="561"/>
    <n v="619"/>
    <b v="1"/>
    <s v="Single-player,Multi-player,PvP,Online PvP,LAN PvP,Shared/Split Screen PvP,Co-op,Online Co-op,LAN Co-op,Shared/Split Screen Co-op,Shared/Split Screen,Full controller support,Steam Cloud,Remote Play on Phone,Remote Play on Tablet,Remote Play on TV,Remote Play Together,HDR available"/>
    <s v="Free To Play"/>
    <n v="659"/>
    <s v="RTX 2070"/>
    <s v="Y"/>
    <s v="Y"/>
    <s v="N"/>
    <s v="N"/>
    <s v="N"/>
    <s v="N"/>
    <s v="N"/>
    <s v="N"/>
    <s v="Y"/>
  </r>
  <r>
    <n v="1846380"/>
    <s v="Avorion"/>
    <x v="562"/>
    <n v="618"/>
    <b v="0"/>
    <s v="Single-player,Multi-player,PvP,Cross-Platform Multiplayer,Steam Achievements,Chat Speech-to-text,Adjustable Difficulty,Keyboard Only Option,Playable without Timed Input,Stereo Sound,Surround Sound,Partial Controller Support,HDR available"/>
    <s v="Action,Racing"/>
    <n v="661"/>
    <s v="RX 5700"/>
    <s v="Y"/>
    <s v="Y"/>
    <s v="Y"/>
    <s v="N"/>
    <s v="N"/>
    <s v="N"/>
    <s v="N"/>
    <s v="N"/>
    <s v="N"/>
  </r>
  <r>
    <n v="445220"/>
    <s v="Hitman: Absolution"/>
    <x v="563"/>
    <n v="618"/>
    <b v="1"/>
    <s v="Single-player,Multi-player,PvP,Online PvP,LAN PvP,Co-op,Online Co-op,LAN Co-op,Cross-Platform Multiplayer,Steam Achievements,Steam Trading Cards,Steam Workshop,Valve Anti-Cheat enabled,Stats,Family Sharing"/>
    <s v="Action,Indie,Simulation"/>
    <n v="661"/>
    <s v="GTX 1050"/>
    <s v="Y"/>
    <s v="Y"/>
    <s v="Y"/>
    <s v="Y"/>
    <s v="N"/>
    <s v="Y"/>
    <s v="N"/>
    <s v="N"/>
    <s v="N"/>
  </r>
  <r>
    <n v="203140"/>
    <s v="Ravenfield"/>
    <x v="564"/>
    <n v="618"/>
    <b v="0"/>
    <s v="Single-player,Steam Achievements,Steam Trading Cards,Partial Controller Support,Steam Cloud,Family Sharing"/>
    <s v="Action"/>
    <n v="661"/>
    <s v="Radeon Graphics"/>
    <s v="Y"/>
    <s v="N"/>
    <s v="Y"/>
    <s v="N"/>
    <s v="N"/>
    <s v="N"/>
    <s v="N"/>
    <s v="N"/>
    <s v="N"/>
  </r>
  <r>
    <n v="636480"/>
    <s v="The Witcher: Enhanced Edition Director's Cut"/>
    <x v="565"/>
    <n v="617"/>
    <b v="1"/>
    <s v="Single-player,Steam Workshop,Partial Controller Support,Includes level editor,Family Sharing"/>
    <s v="Action,Indie,Early Access"/>
    <n v="664"/>
    <s v="Radeon Vega 8"/>
    <s v="Y"/>
    <s v="N"/>
    <s v="Y"/>
    <s v="Y"/>
    <s v="N"/>
    <s v="N"/>
    <s v="N"/>
    <s v="N"/>
    <s v="N"/>
  </r>
  <r>
    <n v="20900"/>
    <s v="Batman: Arkham Origins"/>
    <x v="566"/>
    <n v="616"/>
    <b v="1"/>
    <s v="Single-player,Camera Comfort,Color Alternatives,Custom Volume Controls,Adjustable Difficulty,Mouse Only Option,Playable without Timed Input,Save Anytime,Stereo Sound,Steam Cloud,Family Sharing"/>
    <s v="Action,RPG"/>
    <n v="665"/>
    <s v="Radeon Graphics"/>
    <s v="Y"/>
    <s v="N"/>
    <s v="Y"/>
    <s v="N"/>
    <s v="N"/>
    <s v="N"/>
    <s v="Y"/>
    <s v="N"/>
    <s v="N"/>
  </r>
  <r>
    <n v="209000"/>
    <s v="Flag Clicker"/>
    <x v="567"/>
    <n v="616"/>
    <b v="0"/>
    <s v="Single-player,Steam Achievements,Full controller support,Steam Trading Cards,Steam Cloud,Steam Leaderboards,Family Sharing"/>
    <s v="Action,Adventure"/>
    <n v="665"/>
    <s v="Radeon Graphics"/>
    <s v="Y"/>
    <s v="N"/>
    <s v="Y"/>
    <s v="N"/>
    <s v="Y"/>
    <s v="N"/>
    <s v="N"/>
    <s v="N"/>
    <s v="N"/>
  </r>
  <r>
    <n v="2996990"/>
    <s v="The Walking Dead"/>
    <x v="568"/>
    <n v="615"/>
    <b v="0"/>
    <s v="Single-player,Steam Achievements,Steam Cloud,Stats,Steam Leaderboards,Remote Play Together"/>
    <s v="Casual,Indie,Free To Play"/>
    <n v="667"/>
    <s v="RX 550"/>
    <s v="Y"/>
    <s v="N"/>
    <s v="N"/>
    <s v="Y"/>
    <s v="N"/>
    <s v="N"/>
    <s v="N"/>
    <s v="N"/>
    <s v="Y"/>
  </r>
  <r>
    <n v="207610"/>
    <s v="Your Only Move Is HUSTLE"/>
    <x v="569"/>
    <n v="614"/>
    <b v="1"/>
    <s v="Single-player,Steam Achievements,Full controller support,Steam Trading Cards,Family Sharing"/>
    <s v="Adventure"/>
    <n v="668"/>
    <s v="Radeon Graphics"/>
    <s v="Y"/>
    <s v="N"/>
    <s v="N"/>
    <s v="N"/>
    <s v="Y"/>
    <s v="N"/>
    <s v="N"/>
    <s v="N"/>
    <s v="N"/>
  </r>
  <r>
    <n v="2212330"/>
    <s v="Type:Rider"/>
    <x v="570"/>
    <n v="613"/>
    <b v="0"/>
    <s v="Single-player,Multi-player,PvP,Online PvP,LAN PvP,Family Sharing"/>
    <s v="Action,Indie,Simulation,Strategy"/>
    <n v="669"/>
    <s v="Radeon Vega 11"/>
    <s v="Y"/>
    <s v="Y"/>
    <s v="Y"/>
    <s v="Y"/>
    <s v="N"/>
    <s v="Y"/>
    <s v="N"/>
    <s v="Y"/>
    <s v="N"/>
  </r>
  <r>
    <n v="258890"/>
    <s v="Liar's Bar"/>
    <x v="571"/>
    <n v="611"/>
    <b v="1"/>
    <s v="Single-player,Steam Achievements,Full controller support,Steam Trading Cards,Steam Cloud,Family Sharing"/>
    <s v="Action,Adventure,Casual,Indie"/>
    <n v="670"/>
    <s v="Radeon Graphics"/>
    <s v="Y"/>
    <s v="N"/>
    <s v="Y"/>
    <s v="Y"/>
    <s v="Y"/>
    <s v="N"/>
    <s v="N"/>
    <s v="N"/>
    <s v="N"/>
  </r>
  <r>
    <n v="3097560"/>
    <s v="Automobilista 2"/>
    <x v="572"/>
    <n v="605"/>
    <b v="0"/>
    <s v="Multi-player,PvP,Online PvP,Co-op,Online Co-op,Family Sharing"/>
    <s v="Casual,Indie,Simulation,Strategy,Early Access"/>
    <n v="671"/>
    <s v="RTX 2060"/>
    <s v="N"/>
    <s v="Y"/>
    <s v="N"/>
    <s v="Y"/>
    <s v="N"/>
    <s v="Y"/>
    <s v="N"/>
    <s v="Y"/>
    <s v="N"/>
  </r>
  <r>
    <n v="1066890"/>
    <s v="Batman: Arkham Asylum Game of the Year Edition"/>
    <x v="573"/>
    <n v="605"/>
    <b v="0"/>
    <s v="Single-player,Multi-player,PvP,Online PvP,LAN PvP,Full controller support,VR Supported,Family Sharing"/>
    <s v="Action,Indie,Racing,Simulation,Sports"/>
    <n v="671"/>
    <s v="GTX 1080 Ti"/>
    <s v="Y"/>
    <s v="Y"/>
    <s v="Y"/>
    <s v="Y"/>
    <s v="N"/>
    <s v="Y"/>
    <s v="N"/>
    <s v="N"/>
    <s v="N"/>
  </r>
  <r>
    <n v="35140"/>
    <s v="Magicraft"/>
    <x v="574"/>
    <n v="601"/>
    <b v="0"/>
    <s v="Single-player,Steam Achievements,Steam Trading Cards,Partial Controller Support,Steam Cloud,Family Sharing"/>
    <s v="Action,Adventure"/>
    <n v="673"/>
    <s v="Radeon Graphics"/>
    <s v="Y"/>
    <s v="N"/>
    <s v="Y"/>
    <s v="N"/>
    <s v="Y"/>
    <s v="N"/>
    <s v="N"/>
    <s v="N"/>
    <s v="N"/>
  </r>
  <r>
    <n v="2103140"/>
    <s v="Into the Dead: Our Darkest Days"/>
    <x v="383"/>
    <n v="600"/>
    <b v="0"/>
    <s v="Single-player,Steam Achievements,Full controller support,Steam Cloud,Family Sharing"/>
    <s v="Action,Adventure,Indie,RPG"/>
    <n v="674"/>
    <s v="GTX 1050"/>
    <s v="Y"/>
    <s v="N"/>
    <s v="Y"/>
    <s v="Y"/>
    <s v="Y"/>
    <s v="N"/>
    <s v="Y"/>
    <s v="N"/>
    <s v="N"/>
  </r>
  <r>
    <n v="2239710"/>
    <s v="TEKKEN 7"/>
    <x v="575"/>
    <n v="599"/>
    <b v="1"/>
    <s v="Single-player,Full controller support,Family Sharing"/>
    <s v="Action,Simulation,Strategy,Early Access"/>
    <n v="675"/>
    <s v="RTX 2070"/>
    <s v="Y"/>
    <s v="N"/>
    <s v="Y"/>
    <s v="N"/>
    <s v="N"/>
    <s v="Y"/>
    <s v="N"/>
    <s v="Y"/>
    <s v="N"/>
  </r>
  <r>
    <n v="389730"/>
    <s v="Titan Quest Anniversary Edition"/>
    <x v="576"/>
    <n v="599"/>
    <b v="0"/>
    <s v="Single-player,Multi-player,PvP,Online PvP,Shared/Split Screen PvP,Shared/Split Screen,Steam Achievements,Full controller support,Steam Trading Cards,Steam Cloud,Steam Leaderboards,Remote Play on TV,Remote Play Together,Family Sharing"/>
    <s v="Action,Sports"/>
    <n v="675"/>
    <s v="GTX 1060"/>
    <s v="Y"/>
    <s v="Y"/>
    <s v="Y"/>
    <s v="N"/>
    <s v="N"/>
    <s v="N"/>
    <s v="N"/>
    <s v="N"/>
    <s v="N"/>
  </r>
  <r>
    <n v="475150"/>
    <s v="SPORE"/>
    <x v="577"/>
    <n v="599"/>
    <b v="0"/>
    <s v="Single-player,Multi-player,PvP,Online PvP,Co-op,Online Co-op,Steam Achievements,Steam Trading Cards,Steam Workshop,Partial Controller Support,Steam Cloud,Includes level editor,Family Sharing"/>
    <s v="Action,RPG"/>
    <n v="675"/>
    <s v="Radeon Graphics"/>
    <s v="Y"/>
    <s v="Y"/>
    <s v="Y"/>
    <s v="N"/>
    <s v="N"/>
    <s v="N"/>
    <s v="Y"/>
    <s v="N"/>
    <s v="N"/>
  </r>
  <r>
    <n v="17390"/>
    <s v="Krita"/>
    <x v="578"/>
    <n v="599"/>
    <b v="0"/>
    <s v="Single-player,Steam Trading Cards,Family Sharing"/>
    <s v="Action,Adventure,Casual,RPG,Simulation,Strategy"/>
    <n v="675"/>
    <s v="Radeon Graphics"/>
    <s v="Y"/>
    <s v="N"/>
    <s v="Y"/>
    <s v="N"/>
    <s v="Y"/>
    <s v="Y"/>
    <s v="Y"/>
    <s v="Y"/>
    <s v="N"/>
  </r>
  <r>
    <n v="280680"/>
    <s v="Fabledom"/>
    <x v="579"/>
    <n v="598"/>
    <b v="1"/>
    <s v="Single-player"/>
    <s v="Indie,Animation &amp; Modeling,Design &amp; Illustration,Photo Editing"/>
    <n v="679"/>
    <s v="GTX 980 Ti"/>
    <s v="Y"/>
    <s v="N"/>
    <s v="N"/>
    <s v="Y"/>
    <s v="N"/>
    <s v="N"/>
    <s v="N"/>
    <s v="N"/>
    <s v="N"/>
  </r>
  <r>
    <n v="1651560"/>
    <s v="Amazing Cultivation Simulator"/>
    <x v="580"/>
    <n v="598"/>
    <b v="0"/>
    <s v="Single-player,Steam Cloud,Family Sharing"/>
    <s v="Casual,Simulation,Strategy"/>
    <n v="679"/>
    <s v="GTX 1070"/>
    <s v="Y"/>
    <s v="N"/>
    <s v="N"/>
    <s v="N"/>
    <s v="N"/>
    <s v="Y"/>
    <s v="N"/>
    <s v="Y"/>
    <s v="N"/>
  </r>
  <r>
    <n v="2217000"/>
    <s v="Crime Scene Cleaner"/>
    <x v="581"/>
    <n v="596"/>
    <b v="0"/>
    <s v="Multi-player,PvP,Online PvP,Shared/Split Screen PvP,Shared/Split Screen,Steam Achievements,Full controller support,In-App Purchases,Remote Play Together,Family Sharing"/>
    <s v="Action,Indie"/>
    <n v="681"/>
    <s v="GTX 1060"/>
    <s v="N"/>
    <s v="Y"/>
    <s v="Y"/>
    <s v="Y"/>
    <s v="N"/>
    <s v="N"/>
    <s v="N"/>
    <s v="N"/>
    <s v="N"/>
  </r>
  <r>
    <n v="1040200"/>
    <s v="Monster Train"/>
    <x v="582"/>
    <n v="596"/>
    <b v="0"/>
    <s v="Single-player,Steam Achievements,Full controller support,Steam Cloud,Family Sharing"/>
    <s v="Action,Simulation"/>
    <n v="681"/>
    <s v="RTX 2070 SUPER"/>
    <s v="Y"/>
    <s v="N"/>
    <s v="Y"/>
    <s v="N"/>
    <s v="N"/>
    <s v="Y"/>
    <s v="N"/>
    <s v="N"/>
    <s v="N"/>
  </r>
  <r>
    <n v="1102190"/>
    <s v="Realm Grinder"/>
    <x v="583"/>
    <n v="595"/>
    <b v="0"/>
    <s v="Single-player,Multi-player,PvP,Online PvP,Steam Achievements,Full controller support,Steam Trading Cards,Steam Cloud,Remote Play on Phone,Remote Play on Tablet,Family Sharing"/>
    <s v="Strategy"/>
    <n v="683"/>
    <s v="GTX 1050"/>
    <s v="Y"/>
    <s v="Y"/>
    <s v="N"/>
    <s v="N"/>
    <s v="N"/>
    <s v="N"/>
    <s v="N"/>
    <s v="Y"/>
    <s v="N"/>
  </r>
  <r>
    <n v="610080"/>
    <s v="Nice Day for Fishing"/>
    <x v="584"/>
    <n v="595"/>
    <b v="1"/>
    <s v="Single-player,Steam Achievements,Steam Trading Cards,In-App Purchases"/>
    <s v="Free To Play,RPG,Strategy"/>
    <n v="683"/>
    <s v="Radeon Vega 8"/>
    <s v="Y"/>
    <s v="N"/>
    <s v="N"/>
    <s v="N"/>
    <s v="N"/>
    <s v="N"/>
    <s v="Y"/>
    <s v="Y"/>
    <s v="Y"/>
  </r>
  <r>
    <n v="2393160"/>
    <s v="My Time at Portia"/>
    <x v="4"/>
    <n v="594"/>
    <b v="0"/>
    <s v="Single-player,Steam Achievements,Full controller support,Steam Cloud,Family Sharing"/>
    <s v="Adventure,RPG"/>
    <n v="685"/>
    <s v="GTX 1050"/>
    <s v="Y"/>
    <s v="N"/>
    <s v="N"/>
    <s v="N"/>
    <s v="Y"/>
    <s v="N"/>
    <s v="Y"/>
    <s v="N"/>
    <s v="N"/>
  </r>
  <r>
    <n v="666140"/>
    <s v="XCOM: Enemy Unknown"/>
    <x v="585"/>
    <n v="593"/>
    <b v="1"/>
    <s v="Single-player,Steam Achievements,Full controller support,Steam Trading Cards,Steam Cloud,Remote Play on Phone,Remote Play on Tablet,Remote Play on TV,Family Sharing"/>
    <s v="Adventure,Casual,Indie,RPG,Simulation"/>
    <n v="686"/>
    <s v="GTX 1050 Ti"/>
    <s v="Y"/>
    <s v="N"/>
    <s v="N"/>
    <s v="Y"/>
    <s v="Y"/>
    <s v="Y"/>
    <s v="Y"/>
    <s v="N"/>
    <s v="N"/>
  </r>
  <r>
    <n v="200510"/>
    <s v="Pathfinder: Kingmaker ' Enhanced Plus Edition"/>
    <x v="586"/>
    <n v="590"/>
    <b v="0"/>
    <s v="Single-player,Multi-player,Cross-Platform Multiplayer,Steam Achievements,Full controller support,Steam Trading Cards,Steam Cloud,Remote Play on TV,Family Sharing"/>
    <s v="Strategy"/>
    <n v="687"/>
    <s v="Radeon Graphics"/>
    <s v="Y"/>
    <s v="Y"/>
    <s v="N"/>
    <s v="N"/>
    <s v="N"/>
    <s v="N"/>
    <s v="N"/>
    <s v="Y"/>
    <s v="N"/>
  </r>
  <r>
    <n v="640820"/>
    <s v="Poppy Playtime"/>
    <x v="587"/>
    <n v="590"/>
    <b v="1"/>
    <s v="Single-player,Steam Achievements,Full controller support,Steam Trading Cards,Steam Cloud,Remote Play on Tablet,Family Sharing"/>
    <s v="Adventure,RPG"/>
    <n v="687"/>
    <s v="Radeon Vega 8"/>
    <s v="Y"/>
    <s v="N"/>
    <s v="N"/>
    <s v="N"/>
    <s v="Y"/>
    <s v="N"/>
    <s v="Y"/>
    <s v="N"/>
    <s v="N"/>
  </r>
  <r>
    <n v="1721470"/>
    <s v="OMSI 2: Steam Edition"/>
    <x v="377"/>
    <n v="588"/>
    <b v="0"/>
    <s v="Single-player"/>
    <s v="Action,Adventure,Indie"/>
    <n v="689"/>
    <s v="RX 580"/>
    <s v="Y"/>
    <s v="N"/>
    <s v="Y"/>
    <s v="Y"/>
    <s v="Y"/>
    <s v="N"/>
    <s v="N"/>
    <s v="N"/>
    <s v="N"/>
  </r>
  <r>
    <n v="252530"/>
    <s v="Bugtopia"/>
    <x v="588"/>
    <n v="587"/>
    <b v="0"/>
    <s v="Single-player,Full controller support,Includes level editor,Family Sharing"/>
    <s v="Casual,Simulation"/>
    <n v="690"/>
    <s v="Radeon Graphics"/>
    <s v="Y"/>
    <s v="N"/>
    <s v="N"/>
    <s v="N"/>
    <s v="N"/>
    <s v="Y"/>
    <s v="N"/>
    <s v="N"/>
    <s v="N"/>
  </r>
  <r>
    <n v="2988300"/>
    <s v="Shadow of the Tomb Raider: Definitive Edition"/>
    <x v="49"/>
    <n v="583"/>
    <b v="0"/>
    <s v="Single-player,Steam Achievements,Custom Volume Controls,Playable without Timed Input,Save Anytime,Steam Cloud,Family Sharing"/>
    <s v="Casual,Indie,Simulation"/>
    <n v="691"/>
    <s v="GTX 1060"/>
    <s v="Y"/>
    <s v="N"/>
    <s v="N"/>
    <s v="Y"/>
    <s v="N"/>
    <s v="Y"/>
    <s v="N"/>
    <s v="N"/>
    <s v="N"/>
  </r>
  <r>
    <n v="750920"/>
    <s v="Cultist Simulator"/>
    <x v="589"/>
    <n v="582"/>
    <b v="1"/>
    <s v="Single-player,Steam Achievements,Full controller support,Steam Trading Cards,Steam Cloud,Remote Play on Phone,Remote Play on Tablet,Remote Play on TV,Family Sharing"/>
    <s v="Action,Adventure"/>
    <n v="692"/>
    <s v="GTX 1060"/>
    <s v="Y"/>
    <s v="N"/>
    <s v="Y"/>
    <s v="N"/>
    <s v="Y"/>
    <s v="N"/>
    <s v="N"/>
    <s v="N"/>
    <s v="N"/>
  </r>
  <r>
    <n v="718670"/>
    <s v="Football Manager 2019"/>
    <x v="590"/>
    <n v="582"/>
    <b v="1"/>
    <s v="Single-player,Steam Achievements,Steam Trading Cards,Steam Workshop,Adjustable Text Size,Color Alternatives,Custom Volume Controls,Mouse Only Option,Playable without Timed Input,Steam Cloud,Remote Play on Tablet,Family Sharing"/>
    <s v="Indie,RPG,Simulation"/>
    <n v="692"/>
    <s v="Radeon Vega 11"/>
    <s v="Y"/>
    <s v="N"/>
    <s v="N"/>
    <s v="Y"/>
    <s v="N"/>
    <s v="Y"/>
    <s v="Y"/>
    <s v="N"/>
    <s v="N"/>
  </r>
  <r>
    <n v="872790"/>
    <s v="Train Sim World 5"/>
    <x v="591"/>
    <n v="581"/>
    <b v="1"/>
    <s v="Single-player,Multi-player,Steam Achievements,Steam Trading Cards,Steam Workshop,Steam Cloud,Steam Leaderboards,Remote Play on Tablet,Family Sharing"/>
    <s v="Simulation,Sports"/>
    <n v="694"/>
    <s v="Radeon Vega 8"/>
    <s v="Y"/>
    <s v="Y"/>
    <s v="N"/>
    <s v="N"/>
    <s v="N"/>
    <s v="Y"/>
    <s v="N"/>
    <s v="N"/>
    <s v="N"/>
  </r>
  <r>
    <n v="2967990"/>
    <s v="Axis &amp; Allies 1942 Online"/>
    <x v="508"/>
    <n v="581"/>
    <b v="0"/>
    <s v="Single-player,Steam Achievements,Camera Comfort,Custom Volume Controls,Playable without Timed Input,Subtitle Options,Partial Controller Support,Family Sharing"/>
    <s v="Simulation"/>
    <n v="694"/>
    <s v="RTX 2060"/>
    <s v="Y"/>
    <s v="N"/>
    <s v="N"/>
    <s v="N"/>
    <s v="N"/>
    <s v="Y"/>
    <s v="N"/>
    <s v="N"/>
    <s v="N"/>
  </r>
  <r>
    <n v="898920"/>
    <s v="Tropico 6"/>
    <x v="298"/>
    <n v="577"/>
    <b v="1"/>
    <s v="Single-player,Multi-player,PvP,Online PvP,Shared/Split Screen PvP,Co-op,Online Co-op,Shared/Split Screen Co-op,Shared/Split Screen,Cross-Platform Multiplayer,Partial Controller Support,Family Sharing"/>
    <s v="Strategy"/>
    <n v="696"/>
    <s v="GTX 980"/>
    <s v="Y"/>
    <s v="Y"/>
    <s v="N"/>
    <s v="N"/>
    <s v="N"/>
    <s v="N"/>
    <s v="N"/>
    <s v="Y"/>
    <s v="N"/>
  </r>
  <r>
    <n v="492720"/>
    <s v="JDM: Japanese Drift Master"/>
    <x v="592"/>
    <n v="575"/>
    <b v="1"/>
    <s v="Single-player,Multi-player,PvP,Online PvP,Co-op,Online Co-op,Steam Achievements,Full controller support,Steam Trading Cards,Steam Workshop,Steam Cloud,Remote Play on TV,Family Sharing"/>
    <s v="Simulation,Strategy"/>
    <n v="697"/>
    <s v="GTX 1050 Ti"/>
    <s v="Y"/>
    <s v="Y"/>
    <s v="N"/>
    <s v="N"/>
    <s v="N"/>
    <s v="Y"/>
    <s v="N"/>
    <s v="Y"/>
    <s v="N"/>
  </r>
  <r>
    <n v="1153410"/>
    <s v="Peglin"/>
    <x v="49"/>
    <n v="574"/>
    <b v="0"/>
    <s v="Single-player,Steam Achievements,Full controller support,Steam Trading Cards,Steam Cloud,Steam Leaderboards,Family Sharing"/>
    <s v="Casual,Racing,Simulation,Sports"/>
    <n v="698"/>
    <s v="RTX 3060 Ti"/>
    <s v="Y"/>
    <s v="N"/>
    <s v="N"/>
    <s v="N"/>
    <s v="N"/>
    <s v="Y"/>
    <s v="N"/>
    <s v="N"/>
    <s v="N"/>
  </r>
  <r>
    <n v="1296610"/>
    <s v="Royal Quest Online"/>
    <x v="152"/>
    <n v="574"/>
    <b v="1"/>
    <s v="Single-player,Steam Achievements,Full controller support,Steam Trading Cards,Steam Cloud,Stats,Family Sharing"/>
    <s v="Casual,Indie,RPG,Strategy"/>
    <n v="698"/>
    <s v="Radeon Vega 11"/>
    <s v="Y"/>
    <s v="N"/>
    <s v="N"/>
    <s v="Y"/>
    <s v="N"/>
    <s v="N"/>
    <s v="Y"/>
    <s v="Y"/>
    <s v="N"/>
  </r>
  <r>
    <n v="2962300"/>
    <s v="Backrooms: Escape Together"/>
    <x v="529"/>
    <n v="573"/>
    <b v="0"/>
    <s v="Multi-player,MMO,PvP,Online PvP,Co-op,Online Co-op,Steam Achievements,Steam Trading Cards,In-App Purchases,Custom Volume Controls,Mouse Only Option,Playable without Timed Input,Stereo Sound,Touch Only Option"/>
    <s v="Adventure,Massively Multiplayer,RPG,Free To Play"/>
    <n v="700"/>
    <s v="RTX 2070"/>
    <s v="N"/>
    <s v="Y"/>
    <s v="N"/>
    <s v="N"/>
    <s v="Y"/>
    <s v="N"/>
    <s v="Y"/>
    <s v="N"/>
    <s v="Y"/>
  </r>
  <r>
    <n v="2141730"/>
    <s v="Borderless Gaming"/>
    <x v="593"/>
    <n v="569"/>
    <b v="0"/>
    <s v="Single-player,Multi-player,Co-op,Online Co-op,Steam Achievements,Full controller support,Camera Comfort,Color Alternatives,Custom Volume Controls,Playable without Timed Input,Stereo Sound,Surround Sound,Steam Cloud,Family Sharing"/>
    <s v="Action,Adventure,Casual,Indie,Early Access"/>
    <n v="701"/>
    <s v="RTX 2070"/>
    <s v="Y"/>
    <s v="Y"/>
    <s v="Y"/>
    <s v="Y"/>
    <s v="Y"/>
    <s v="N"/>
    <s v="N"/>
    <s v="N"/>
    <s v="N"/>
  </r>
  <r>
    <n v="388080"/>
    <s v="Wingspan"/>
    <x v="594"/>
    <n v="569"/>
    <b v="0"/>
    <s v="Single-player,Steam Achievements,Steam Trading Cards,Steam Cloud"/>
    <s v="Action,Utilities"/>
    <n v="701"/>
    <s v="Radeon Graphics"/>
    <s v="Y"/>
    <s v="N"/>
    <s v="Y"/>
    <s v="N"/>
    <s v="N"/>
    <s v="N"/>
    <s v="N"/>
    <s v="N"/>
    <s v="N"/>
  </r>
  <r>
    <n v="1054490"/>
    <s v="BattleBit Remastered"/>
    <x v="260"/>
    <n v="569"/>
    <b v="1"/>
    <s v="Single-player,Multi-player,PvP,Online PvP,Shared/Split Screen PvP,Co-op,Online Co-op,Shared/Split Screen Co-op,Cross-Platform Multiplayer,Steam Achievements,Steam Trading Cards,Partial Controller Support,Steam Cloud,Steam Leaderboards,Steam Turn Notifications,Remote Play Together,Family Sharing"/>
    <s v="Indie,Strategy"/>
    <n v="701"/>
    <s v="RX 550"/>
    <s v="Y"/>
    <s v="Y"/>
    <s v="N"/>
    <s v="Y"/>
    <s v="N"/>
    <s v="N"/>
    <s v="N"/>
    <s v="Y"/>
    <s v="N"/>
  </r>
  <r>
    <n v="671860"/>
    <s v="Apocalypse Party"/>
    <x v="595"/>
    <n v="568"/>
    <b v="0"/>
    <s v="Multi-player,MMO,PvP,Online PvP,Partial Controller Support"/>
    <s v="Action,Massively Multiplayer,Early Access"/>
    <n v="704"/>
    <s v="GTX 1050 Ti"/>
    <s v="N"/>
    <s v="Y"/>
    <s v="Y"/>
    <s v="N"/>
    <s v="N"/>
    <s v="N"/>
    <s v="N"/>
    <s v="N"/>
    <s v="N"/>
  </r>
  <r>
    <n v="2351560"/>
    <s v="Resident Evil 5"/>
    <x v="596"/>
    <n v="567"/>
    <b v="0"/>
    <s v="Single-player,Multi-player,Co-op,Online Co-op,Steam Achievements,Full controller support,Steam Cloud,Family Sharing"/>
    <s v="Action,Casual,Indie,Strategy"/>
    <n v="705"/>
    <s v="RTX 3060"/>
    <s v="Y"/>
    <s v="Y"/>
    <s v="Y"/>
    <s v="Y"/>
    <s v="N"/>
    <s v="N"/>
    <s v="N"/>
    <s v="Y"/>
    <s v="N"/>
  </r>
  <r>
    <n v="21690"/>
    <s v="Command &amp; Conquer Remastered Collection"/>
    <x v="597"/>
    <n v="566"/>
    <b v="0"/>
    <s v="Single-player,Multi-player,Co-op,Steam Achievements,Full controller support,Steam Trading Cards,Steam Cloud,Steam Leaderboards,Family Sharing"/>
    <s v="Action,Adventure"/>
    <n v="706"/>
    <s v="Radeon Graphics"/>
    <s v="Y"/>
    <s v="Y"/>
    <s v="Y"/>
    <s v="N"/>
    <s v="Y"/>
    <s v="N"/>
    <s v="N"/>
    <s v="N"/>
    <s v="N"/>
  </r>
  <r>
    <n v="1213210"/>
    <s v="Mad Max"/>
    <x v="598"/>
    <n v="564"/>
    <b v="0"/>
    <s v="Single-player,Multi-player,PvP,Online PvP,Steam Achievements,Steam Workshop,Steam Cloud,Includes level editor,Family Sharing"/>
    <s v="Strategy"/>
    <n v="707"/>
    <s v="RX 560"/>
    <s v="Y"/>
    <s v="Y"/>
    <s v="N"/>
    <s v="N"/>
    <s v="N"/>
    <s v="N"/>
    <s v="N"/>
    <s v="Y"/>
    <s v="N"/>
  </r>
  <r>
    <n v="234140"/>
    <s v="Mabinogi"/>
    <x v="363"/>
    <n v="563"/>
    <b v="0"/>
    <s v="Single-player,Steam Achievements,Full controller support,Steam Trading Cards,Steam Cloud,Remote Play on Phone,Remote Play on Tablet,Remote Play on TV,Family Sharing"/>
    <s v="Action,Adventure"/>
    <n v="708"/>
    <s v="GTX 950"/>
    <s v="Y"/>
    <s v="N"/>
    <s v="Y"/>
    <s v="N"/>
    <s v="Y"/>
    <s v="N"/>
    <s v="N"/>
    <s v="N"/>
    <s v="N"/>
  </r>
  <r>
    <n v="212200"/>
    <s v="Age of Empires: Definitive Edition"/>
    <x v="599"/>
    <n v="559"/>
    <b v="0"/>
    <s v="Single-player,Multi-player,MMO,Co-op,Steam Trading Cards"/>
    <s v="Action,Adventure,Casual,Massively Multiplayer,RPG,Simulation,Free To Play"/>
    <n v="709"/>
    <s v="Radeon Graphics"/>
    <s v="Y"/>
    <s v="Y"/>
    <s v="Y"/>
    <s v="N"/>
    <s v="Y"/>
    <s v="Y"/>
    <s v="Y"/>
    <s v="N"/>
    <s v="Y"/>
  </r>
  <r>
    <n v="1017900"/>
    <s v="Panzer Corps 2"/>
    <x v="600"/>
    <n v="559"/>
    <b v="0"/>
    <s v="Single-player,Multi-player,PvP,Online PvP,LAN PvP,Cross-Platform Multiplayer,Steam Achievements,Steam Trading Cards,Steam Cloud,Includes level editor,Family Sharing"/>
    <s v="Strategy"/>
    <n v="709"/>
    <s v="Radeon Vega 8"/>
    <s v="Y"/>
    <s v="Y"/>
    <s v="N"/>
    <s v="N"/>
    <s v="N"/>
    <s v="N"/>
    <s v="N"/>
    <s v="Y"/>
    <s v="N"/>
  </r>
  <r>
    <n v="1072040"/>
    <s v="Far Cry 4"/>
    <x v="258"/>
    <n v="559"/>
    <b v="0"/>
    <s v="Single-player,Multi-player,PvP,Online PvP,Shared/Split Screen PvP,Co-op,Online Co-op,Shared/Split Screen Co-op,Shared/Split Screen,Steam Achievements,Steam Workshop,Steam Cloud,Family Sharing"/>
    <s v="Strategy"/>
    <n v="709"/>
    <s v="GTX 1050"/>
    <s v="Y"/>
    <s v="Y"/>
    <s v="N"/>
    <s v="N"/>
    <s v="N"/>
    <s v="N"/>
    <s v="N"/>
    <s v="Y"/>
    <s v="N"/>
  </r>
  <r>
    <n v="298110"/>
    <s v="Tomb Raider Game of the Year"/>
    <x v="601"/>
    <n v="558"/>
    <b v="0"/>
    <s v="Single-player,Multi-player,Co-op,Steam Achievements,Partial Controller Support"/>
    <s v="Action,Adventure"/>
    <n v="712"/>
    <s v="R9 280X"/>
    <s v="Y"/>
    <s v="Y"/>
    <s v="Y"/>
    <s v="N"/>
    <s v="Y"/>
    <s v="N"/>
    <s v="N"/>
    <s v="N"/>
    <s v="N"/>
  </r>
  <r>
    <n v="203160"/>
    <s v="ROUNDS"/>
    <x v="602"/>
    <n v="556"/>
    <b v="1"/>
    <s v="Single-player,Multi-player,Steam Achievements,Full controller support,Steam Trading Cards,Steam Cloud,Remote Play on Phone,Remote Play on Tablet,Remote Play on TV,Family Sharing"/>
    <s v="Action,Adventure"/>
    <n v="713"/>
    <s v="Radeon Graphics"/>
    <s v="Y"/>
    <s v="Y"/>
    <s v="Y"/>
    <s v="N"/>
    <s v="Y"/>
    <s v="N"/>
    <s v="N"/>
    <s v="N"/>
    <s v="N"/>
  </r>
  <r>
    <n v="1557740"/>
    <s v="Automation - The Car Company Tycoon Game"/>
    <x v="374"/>
    <n v="555"/>
    <b v="1"/>
    <s v="Multi-player,PvP,Online PvP,Shared/Split Screen PvP,Shared/Split Screen,Partial Controller Support,Remote Play Together,Family Sharing"/>
    <s v="Action,Indie"/>
    <n v="714"/>
    <s v="GTX 970"/>
    <s v="N"/>
    <s v="Y"/>
    <s v="Y"/>
    <s v="Y"/>
    <s v="N"/>
    <s v="N"/>
    <s v="N"/>
    <s v="N"/>
    <s v="N"/>
  </r>
  <r>
    <n v="293760"/>
    <s v="Volcano Princess"/>
    <x v="603"/>
    <n v="554"/>
    <b v="0"/>
    <s v="Single-player,Multi-player,PvP,Online PvP,Steam Workshop,Steam Cloud,Family Sharing"/>
    <s v="Indie,Racing,Simulation,Strategy,Early Access"/>
    <n v="715"/>
    <s v="Radeon Graphics"/>
    <s v="Y"/>
    <s v="Y"/>
    <s v="N"/>
    <s v="Y"/>
    <s v="N"/>
    <s v="Y"/>
    <s v="N"/>
    <s v="Y"/>
    <s v="N"/>
  </r>
  <r>
    <n v="1669980"/>
    <s v="The Precinct"/>
    <x v="604"/>
    <n v="553"/>
    <b v="0"/>
    <s v="Single-player,Steam Achievements,Steam Trading Cards,Steam Cloud,Family Sharing"/>
    <s v="Casual,Indie,RPG,Simulation,Strategy"/>
    <n v="716"/>
    <s v="RX 560"/>
    <s v="Y"/>
    <s v="N"/>
    <s v="N"/>
    <s v="Y"/>
    <s v="N"/>
    <s v="Y"/>
    <s v="Y"/>
    <s v="Y"/>
    <s v="N"/>
  </r>
  <r>
    <n v="490110"/>
    <s v="Cube Racer"/>
    <x v="274"/>
    <n v="553"/>
    <b v="0"/>
    <s v="Single-player,Steam Achievements,Full controller support,Steam Trading Cards,Custom Volume Controls,Adjustable Difficulty,Subtitle Options,Steam Cloud,Family Sharing"/>
    <s v="Action,Indie,Simulation"/>
    <n v="716"/>
    <s v="RTX 2060"/>
    <s v="Y"/>
    <s v="N"/>
    <s v="Y"/>
    <s v="Y"/>
    <s v="N"/>
    <s v="Y"/>
    <s v="N"/>
    <s v="N"/>
    <s v="N"/>
  </r>
  <r>
    <n v="705210"/>
    <s v="Rome: Total War - Collection"/>
    <x v="605"/>
    <n v="552"/>
    <b v="0"/>
    <s v="Single-player,Multi-player,PvP,Online PvP,Shared/Split Screen PvP,Cross-Platform Multiplayer,Steam Achievements,Steam Workshop,Partial Controller Support,Steam Cloud,Stats,Steam Leaderboards,Includes level editor,Remote Play Together"/>
    <s v="Action,Casual,Indie,Racing"/>
    <n v="718"/>
    <s v="Radeon Vega 8"/>
    <s v="Y"/>
    <s v="Y"/>
    <s v="Y"/>
    <s v="Y"/>
    <s v="N"/>
    <s v="N"/>
    <s v="N"/>
    <s v="N"/>
    <s v="N"/>
  </r>
  <r>
    <n v="4760"/>
    <s v="STAR WARS Knights of the Old Republic II - The Sith Lords"/>
    <x v="606"/>
    <n v="552"/>
    <b v="0"/>
    <s v="Single-player,Multi-player,Steam Trading Cards,Family Sharing"/>
    <s v="Strategy"/>
    <n v="718"/>
    <s v="Radeon Graphics"/>
    <s v="Y"/>
    <s v="Y"/>
    <s v="N"/>
    <s v="N"/>
    <s v="N"/>
    <s v="N"/>
    <s v="N"/>
    <s v="Y"/>
    <s v="N"/>
  </r>
  <r>
    <n v="208580"/>
    <s v="VBridger"/>
    <x v="607"/>
    <n v="551"/>
    <b v="1"/>
    <s v="Single-player,Steam Achievements,Steam Workshop,Partial Controller Support,Steam Cloud,Remote Play on Tablet,Family Sharing"/>
    <s v="RPG"/>
    <n v="720"/>
    <s v="Radeon Graphics"/>
    <s v="Y"/>
    <s v="N"/>
    <s v="N"/>
    <s v="N"/>
    <s v="N"/>
    <s v="N"/>
    <s v="Y"/>
    <s v="N"/>
    <s v="N"/>
  </r>
  <r>
    <n v="1898830"/>
    <s v="Naval Action"/>
    <x v="608"/>
    <n v="551"/>
    <b v="0"/>
    <s v="Single-player,Steam Cloud"/>
    <s v="Casual,Animation &amp; Modeling,Utilities"/>
    <n v="720"/>
    <s v="GTX 970"/>
    <s v="Y"/>
    <s v="N"/>
    <s v="N"/>
    <s v="N"/>
    <s v="N"/>
    <s v="N"/>
    <s v="N"/>
    <s v="N"/>
    <s v="N"/>
  </r>
  <r>
    <n v="311310"/>
    <s v="Yakuza 0"/>
    <x v="609"/>
    <n v="550"/>
    <b v="0"/>
    <s v="Multi-player,MMO,PvP,Online PvP,Co-op,Online Co-op,Family Sharing"/>
    <s v="Indie,Massively Multiplayer,Racing,Simulation"/>
    <n v="722"/>
    <s v="RX 560"/>
    <s v="N"/>
    <s v="Y"/>
    <s v="N"/>
    <s v="Y"/>
    <s v="N"/>
    <s v="Y"/>
    <s v="N"/>
    <s v="N"/>
    <s v="N"/>
  </r>
  <r>
    <n v="638970"/>
    <s v="Slapshot: Rebound"/>
    <x v="610"/>
    <n v="550"/>
    <b v="0"/>
    <s v="Single-player,Multi-player,Steam Achievements,Full controller support,Steam Trading Cards,Steam Cloud,Steam Leaderboards,Remote Play on Phone,Remote Play on Tablet,Remote Play on TV,Family Sharing"/>
    <s v="Action,Adventure,RPG"/>
    <n v="722"/>
    <s v="GTX 1070"/>
    <s v="Y"/>
    <s v="Y"/>
    <s v="Y"/>
    <s v="N"/>
    <s v="Y"/>
    <s v="N"/>
    <s v="Y"/>
    <s v="N"/>
    <s v="N"/>
  </r>
  <r>
    <n v="1173370"/>
    <s v="Game of Thrones Winter is Coming"/>
    <x v="481"/>
    <n v="547"/>
    <b v="0"/>
    <s v="Single-player,Multi-player,PvP,Online PvP,Co-op,Online Co-op,Steam Achievements,Steam Trading Cards,In-App Purchases,Partial Controller Support,Stats"/>
    <s v="Action,Casual,Indie,Sports,Free To Play"/>
    <n v="724"/>
    <s v="GTX 1060"/>
    <s v="Y"/>
    <s v="Y"/>
    <s v="Y"/>
    <s v="Y"/>
    <s v="N"/>
    <s v="N"/>
    <s v="N"/>
    <s v="N"/>
    <s v="Y"/>
  </r>
  <r>
    <n v="1105420"/>
    <s v="Imperator: Rome"/>
    <x v="76"/>
    <n v="547"/>
    <b v="0"/>
    <s v="Multi-player,MMO,PvP,Online PvP,Cross-Platform Multiplayer,In-App Purchases"/>
    <s v="Massively Multiplayer,RPG,Simulation,Strategy,Free To Play"/>
    <n v="724"/>
    <s v="GTX 750"/>
    <s v="N"/>
    <s v="Y"/>
    <s v="N"/>
    <s v="N"/>
    <s v="N"/>
    <s v="Y"/>
    <s v="Y"/>
    <s v="Y"/>
    <s v="Y"/>
  </r>
  <r>
    <n v="859580"/>
    <s v="DC Universe Online"/>
    <x v="611"/>
    <n v="547"/>
    <b v="1"/>
    <s v="Single-player,Multi-player,PvP,Online PvP,Steam Achievements,Steam Trading Cards,Steam Workshop,Steam Cloud,Family Sharing"/>
    <s v="Simulation,Strategy"/>
    <n v="724"/>
    <s v="RX 560"/>
    <s v="Y"/>
    <s v="Y"/>
    <s v="N"/>
    <s v="N"/>
    <s v="N"/>
    <s v="Y"/>
    <s v="N"/>
    <s v="Y"/>
    <s v="N"/>
  </r>
  <r>
    <n v="24200"/>
    <s v="Fast Food Simulator"/>
    <x v="612"/>
    <n v="546"/>
    <b v="0"/>
    <s v="Multi-player,MMO,PvP,Online PvP,Co-op,Online Co-op,Cross-Platform Multiplayer,Steam Achievements,Partial Controller Support"/>
    <s v="Action,Adventure,Massively Multiplayer,RPG,Free To Play"/>
    <n v="727"/>
    <s v="Radeon Graphics"/>
    <s v="N"/>
    <s v="Y"/>
    <s v="Y"/>
    <s v="N"/>
    <s v="Y"/>
    <s v="N"/>
    <s v="Y"/>
    <s v="N"/>
    <s v="Y"/>
  </r>
  <r>
    <n v="2916430"/>
    <s v="Sins of a Solar Empire II"/>
    <x v="555"/>
    <n v="545"/>
    <b v="0"/>
    <s v="Single-player,Multi-player,Co-op,Online Co-op,Steam Achievements,Partial Controller Support,Steam Cloud,Family Sharing"/>
    <s v="Indie,Simulation,Early Access"/>
    <n v="728"/>
    <s v="RTX 3060"/>
    <s v="Y"/>
    <s v="Y"/>
    <s v="N"/>
    <s v="Y"/>
    <s v="N"/>
    <s v="Y"/>
    <s v="N"/>
    <s v="N"/>
    <s v="N"/>
  </r>
  <r>
    <n v="1575940"/>
    <s v="Will To Live Online"/>
    <x v="248"/>
    <n v="544"/>
    <b v="0"/>
    <s v="Single-player,Multi-player,PvP,Online PvP,LAN PvP,Co-op,Online Co-op,LAN Co-op,Cross-Platform Multiplayer,Steam Achievements,Steam Trading Cards,Custom Volume Controls,Adjustable Difficulty,Playable without Timed Input,Save Anytime,Stereo Sound,Surround Sound,Steam Cloud,Family Sharing"/>
    <s v="Simulation,Strategy"/>
    <n v="729"/>
    <s v="RX 580"/>
    <s v="Y"/>
    <s v="Y"/>
    <s v="N"/>
    <s v="N"/>
    <s v="N"/>
    <s v="Y"/>
    <s v="N"/>
    <s v="Y"/>
    <s v="N"/>
  </r>
  <r>
    <n v="707010"/>
    <s v="Sniper Elite 4"/>
    <x v="613"/>
    <n v="542"/>
    <b v="0"/>
    <s v="Multi-player,MMO,PvP,Online PvP,In-App Purchases,Steam Cloud,Valve Anti-Cheat enabled"/>
    <s v="Action,Indie,Massively Multiplayer,RPG,Free To Play,Early Access"/>
    <n v="730"/>
    <s v="GTX 1060"/>
    <s v="N"/>
    <s v="Y"/>
    <s v="Y"/>
    <s v="Y"/>
    <s v="N"/>
    <s v="N"/>
    <s v="Y"/>
    <s v="N"/>
    <s v="Y"/>
  </r>
  <r>
    <n v="312660"/>
    <s v="Mafia II: Definitive Edition"/>
    <x v="203"/>
    <n v="541"/>
    <b v="0"/>
    <s v="Single-player,Multi-player,Co-op,Steam Achievements,Full controller support,Steam Trading Cards,Steam Cloud,Steam Leaderboards,Remote Play on TV,Family Sharing"/>
    <s v="Action,Adventure"/>
    <n v="731"/>
    <s v="GTX 970"/>
    <s v="Y"/>
    <s v="Y"/>
    <s v="Y"/>
    <s v="N"/>
    <s v="Y"/>
    <s v="N"/>
    <s v="N"/>
    <s v="N"/>
    <s v="N"/>
  </r>
  <r>
    <n v="1030830"/>
    <s v="Stranded: Alien Dawn"/>
    <x v="436"/>
    <n v="538"/>
    <b v="0"/>
    <s v="Single-player,Steam Achievements,Full controller support,Steam Trading Cards,Family Sharing"/>
    <s v="Action,Adventure"/>
    <n v="732"/>
    <s v="GTX 1050 Ti"/>
    <s v="Y"/>
    <s v="N"/>
    <s v="Y"/>
    <s v="N"/>
    <s v="Y"/>
    <s v="N"/>
    <s v="N"/>
    <s v="N"/>
    <s v="N"/>
  </r>
  <r>
    <n v="1324130"/>
    <s v="Juufuutei Raden's Guide for Pixel Museum"/>
    <x v="614"/>
    <n v="538"/>
    <b v="0"/>
    <s v="Single-player,Steam Achievements,Full controller support,Steam Workshop,Steam Cloud,Family Sharing"/>
    <s v="Simulation,Strategy"/>
    <n v="732"/>
    <s v="RTX 2060"/>
    <s v="Y"/>
    <s v="N"/>
    <s v="N"/>
    <s v="N"/>
    <s v="N"/>
    <s v="Y"/>
    <s v="N"/>
    <s v="Y"/>
    <s v="N"/>
  </r>
  <r>
    <n v="3204020"/>
    <s v="Across the Obelisk"/>
    <x v="9"/>
    <n v="538"/>
    <b v="0"/>
    <s v="Single-player,Steam Achievements,Full controller support,Steam Cloud,Family Sharing"/>
    <s v="Casual,Indie"/>
    <n v="732"/>
    <s v="GTX 750"/>
    <s v="Y"/>
    <s v="N"/>
    <s v="N"/>
    <s v="Y"/>
    <s v="N"/>
    <s v="N"/>
    <s v="N"/>
    <s v="N"/>
    <s v="N"/>
  </r>
  <r>
    <n v="1385380"/>
    <s v="Tempest Rising"/>
    <x v="615"/>
    <n v="531"/>
    <b v="1"/>
    <s v="Single-player,Multi-player,Co-op,Online Co-op,Steam Achievements,Steam Cloud,Steam Leaderboards,Family Sharing"/>
    <s v="Adventure,Indie,RPG,Strategy"/>
    <n v="735"/>
    <s v="RTX 3060 Ti"/>
    <s v="Y"/>
    <s v="Y"/>
    <s v="N"/>
    <s v="Y"/>
    <s v="Y"/>
    <s v="N"/>
    <s v="Y"/>
    <s v="Y"/>
    <s v="N"/>
  </r>
  <r>
    <n v="1486920"/>
    <s v="Call of Duty: Black Ops"/>
    <x v="33"/>
    <n v="528"/>
    <b v="0"/>
    <s v="Single-player,Multi-player,PvP,Online PvP,Steam Achievements,Steam Trading Cards,Steam Cloud,Family Sharing"/>
    <s v="Action,Strategy"/>
    <n v="736"/>
    <s v="RTX 3060 Ti"/>
    <s v="Y"/>
    <s v="Y"/>
    <s v="Y"/>
    <s v="N"/>
    <s v="N"/>
    <s v="N"/>
    <s v="N"/>
    <s v="Y"/>
    <s v="N"/>
  </r>
  <r>
    <n v="42700"/>
    <s v="Cyber Knights: Flashpoint"/>
    <x v="616"/>
    <n v="527"/>
    <b v="0"/>
    <s v="Single-player,Multi-player,Co-op,Steam Achievements,Partial Controller Support,Valve Anti-Cheat enabled,Family Sharing"/>
    <s v="Action"/>
    <n v="737"/>
    <s v="Radeon Graphics"/>
    <s v="Y"/>
    <s v="Y"/>
    <s v="Y"/>
    <s v="N"/>
    <s v="N"/>
    <s v="N"/>
    <s v="N"/>
    <s v="N"/>
    <s v="N"/>
  </r>
  <r>
    <n v="1021210"/>
    <s v="DRAGON QUEST III HD-2D Remake"/>
    <x v="322"/>
    <n v="527"/>
    <b v="1"/>
    <s v="Single-player,Steam Achievements,Full controller support,Steam Trading Cards,Adjustable Text Size,Camera Comfort,Custom Volume Controls,Adjustable Difficulty,Playable without Timed Input,Save Anytime,Steam Cloud,Family Sharing"/>
    <s v="Action,Indie,RPG,Strategy"/>
    <n v="737"/>
    <s v="GTX 1070"/>
    <s v="Y"/>
    <s v="N"/>
    <s v="Y"/>
    <s v="Y"/>
    <s v="N"/>
    <s v="N"/>
    <s v="Y"/>
    <s v="Y"/>
    <s v="N"/>
  </r>
  <r>
    <n v="2701660"/>
    <s v="Frostpunk 2"/>
    <x v="617"/>
    <n v="526"/>
    <b v="0"/>
    <s v="Single-player,Steam Achievements,Steam Trading Cards,Partial Controller Support,Steam Cloud,Family Sharing"/>
    <s v="RPG"/>
    <n v="739"/>
    <s v="GTX 1060"/>
    <s v="Y"/>
    <s v="N"/>
    <s v="N"/>
    <s v="N"/>
    <s v="N"/>
    <s v="N"/>
    <s v="Y"/>
    <s v="N"/>
    <s v="N"/>
  </r>
  <r>
    <n v="1601580"/>
    <s v="Idle Wizard"/>
    <x v="618"/>
    <n v="525"/>
    <b v="1"/>
    <s v="Single-player,Steam Achievements,Full controller support,Steam Trading Cards,Steam Workshop,Adjustable Text Size,Custom Volume Controls,Adjustable Difficulty,Save Anytime,Stereo Sound,Surround Sound,Steam Cloud,Family Sharing"/>
    <s v="Simulation,Strategy"/>
    <n v="740"/>
    <s v="RX 5700"/>
    <s v="Y"/>
    <s v="N"/>
    <s v="N"/>
    <s v="N"/>
    <s v="N"/>
    <s v="Y"/>
    <s v="N"/>
    <s v="Y"/>
    <s v="N"/>
  </r>
  <r>
    <n v="992070"/>
    <s v="Slime Rancher 2"/>
    <x v="283"/>
    <n v="524"/>
    <b v="1"/>
    <s v="Single-player,Steam Achievements,In-App Purchases,Steam Cloud"/>
    <s v="Indie,Free To Play"/>
    <n v="741"/>
    <s v="Radeon Vega 8"/>
    <s v="Y"/>
    <s v="N"/>
    <s v="N"/>
    <s v="Y"/>
    <s v="N"/>
    <s v="N"/>
    <s v="N"/>
    <s v="N"/>
    <s v="Y"/>
  </r>
  <r>
    <n v="1657630"/>
    <s v="Sleeping Dogs: Definitive Edition"/>
    <x v="619"/>
    <n v="524"/>
    <b v="0"/>
    <s v="Single-player,Steam Achievements,Full controller support,Steam Trading Cards,Steam Cloud,Family Sharing"/>
    <s v="Action,Adventure,Casual,Indie,Simulation"/>
    <n v="741"/>
    <s v="RTX 2070"/>
    <s v="Y"/>
    <s v="N"/>
    <s v="Y"/>
    <s v="Y"/>
    <s v="Y"/>
    <s v="Y"/>
    <s v="N"/>
    <s v="N"/>
    <s v="N"/>
  </r>
  <r>
    <n v="307690"/>
    <s v="Rise of Nations: Extended Edition"/>
    <x v="620"/>
    <n v="524"/>
    <b v="1"/>
    <s v="Single-player,Steam Achievements,Full controller support,Steam Cloud,Steam Leaderboards,Remote Play on Tablet,Remote Play on TV,Family Sharing"/>
    <s v="Action,Adventure,Racing"/>
    <n v="741"/>
    <s v="GTX 980 Ti"/>
    <s v="Y"/>
    <s v="N"/>
    <s v="Y"/>
    <s v="N"/>
    <s v="Y"/>
    <s v="N"/>
    <s v="N"/>
    <s v="N"/>
    <s v="N"/>
  </r>
  <r>
    <n v="287450"/>
    <s v="Ultimate Admiral: Dreadnoughts"/>
    <x v="621"/>
    <n v="522"/>
    <b v="0"/>
    <s v="Single-player,Multi-player,Co-op,Steam Achievements,Steam Trading Cards,Steam Cloud,Stats,Steam Leaderboards,Family Sharing"/>
    <s v="Simulation,Strategy"/>
    <n v="744"/>
    <s v="GTX 980"/>
    <s v="Y"/>
    <s v="Y"/>
    <s v="N"/>
    <s v="N"/>
    <s v="N"/>
    <s v="Y"/>
    <s v="N"/>
    <s v="Y"/>
    <s v="N"/>
  </r>
  <r>
    <n v="1069660"/>
    <s v="Two Point Hospital"/>
    <x v="622"/>
    <n v="521"/>
    <b v="0"/>
    <s v="Single-player,Family Sharing"/>
    <s v="Indie,RPG,Simulation,Strategy"/>
    <n v="745"/>
    <s v="RX 580"/>
    <s v="Y"/>
    <s v="N"/>
    <s v="N"/>
    <s v="Y"/>
    <s v="N"/>
    <s v="Y"/>
    <s v="Y"/>
    <s v="Y"/>
    <s v="N"/>
  </r>
  <r>
    <n v="535930"/>
    <s v="DREDGE"/>
    <x v="623"/>
    <n v="518"/>
    <b v="1"/>
    <s v="Single-player,Steam Achievements,Steam Trading Cards,Steam Workshop,Steam Cloud,Remote Play on Tablet,Family Sharing"/>
    <s v="Indie,Simulation"/>
    <n v="746"/>
    <s v="GTX 1060"/>
    <s v="Y"/>
    <s v="N"/>
    <s v="N"/>
    <s v="Y"/>
    <s v="N"/>
    <s v="Y"/>
    <s v="N"/>
    <s v="N"/>
    <s v="N"/>
  </r>
  <r>
    <n v="1562430"/>
    <s v="ｪ Warm Snow"/>
    <x v="624"/>
    <n v="517"/>
    <b v="1"/>
    <s v="Single-player,Steam Achievements,Full controller support,Steam Trading Cards,Camera Comfort,Color Alternatives,Custom Volume Controls,Adjustable Difficulty,Keyboard Only Option,Stereo Sound,Steam Cloud,Family Sharing"/>
    <s v="Adventure,RPG"/>
    <n v="747"/>
    <s v="Radeon Vega 8"/>
    <s v="Y"/>
    <s v="N"/>
    <s v="N"/>
    <s v="N"/>
    <s v="Y"/>
    <s v="N"/>
    <s v="Y"/>
    <s v="N"/>
    <s v="N"/>
  </r>
  <r>
    <n v="1296830"/>
    <s v="Resident Evil 6"/>
    <x v="625"/>
    <n v="516"/>
    <b v="0"/>
    <s v="Single-player,Steam Achievements,Full controller support,Steam Cloud,Family Sharing"/>
    <s v="Action,Adventure,Indie,RPG"/>
    <n v="748"/>
    <s v="GTX 1050"/>
    <s v="Y"/>
    <s v="N"/>
    <s v="Y"/>
    <s v="Y"/>
    <s v="Y"/>
    <s v="N"/>
    <s v="Y"/>
    <s v="N"/>
    <s v="N"/>
  </r>
  <r>
    <n v="221040"/>
    <s v="Void Crew"/>
    <x v="626"/>
    <n v="515"/>
    <b v="0"/>
    <s v="Single-player,Multi-player,Co-op,Shared/Split Screen,Steam Achievements,Steam Trading Cards,Partial Controller Support,Steam Cloud,Valve Anti-Cheat enabled,Steam Leaderboards,Remote Play Together,Family Sharing"/>
    <s v="Action,Adventure"/>
    <n v="749"/>
    <s v="Radeon Graphics"/>
    <s v="Y"/>
    <s v="Y"/>
    <s v="Y"/>
    <s v="N"/>
    <s v="Y"/>
    <s v="N"/>
    <s v="N"/>
    <s v="N"/>
    <s v="N"/>
  </r>
  <r>
    <n v="1063420"/>
    <s v="SILENT HILL 2"/>
    <x v="627"/>
    <n v="514"/>
    <b v="0"/>
    <s v="Single-player,Multi-player,Co-op,Online Co-op,Full controller support,Steam Trading Cards,Adjustable Text Size,Camera Comfort,Custom Volume Controls,Save Anytime,Stereo Sound,Family Sharing"/>
    <s v="Action,Adventure"/>
    <n v="750"/>
    <s v="RX 5700"/>
    <s v="Y"/>
    <s v="Y"/>
    <s v="Y"/>
    <s v="N"/>
    <s v="Y"/>
    <s v="N"/>
    <s v="N"/>
    <s v="N"/>
    <s v="N"/>
  </r>
  <r>
    <n v="2124490"/>
    <s v="RealFlight Evolution"/>
    <x v="628"/>
    <n v="514"/>
    <b v="0"/>
    <s v="Single-player,Steam Achievements,Full controller support,Steam Cloud,Family Sharing"/>
    <s v="Action,Adventure"/>
    <n v="750"/>
    <s v="GTX 1070 Ti"/>
    <s v="Y"/>
    <s v="N"/>
    <s v="Y"/>
    <s v="N"/>
    <s v="Y"/>
    <s v="N"/>
    <s v="N"/>
    <s v="N"/>
    <s v="N"/>
  </r>
  <r>
    <n v="2069310"/>
    <s v="Age of History II"/>
    <x v="11"/>
    <n v="514"/>
    <b v="0"/>
    <s v="Single-player,Multi-player,PvP,Online PvP,LAN PvP,Co-op,Online Co-op,LAN Co-op,Shared/Split Screen Co-op,Shared/Split Screen,Steam Achievements,VR Supported,Includes level editor,Family Sharing"/>
    <s v="Indie,Racing,Simulation"/>
    <n v="750"/>
    <s v="Radeon Vega 11"/>
    <s v="Y"/>
    <s v="Y"/>
    <s v="N"/>
    <s v="Y"/>
    <s v="N"/>
    <s v="Y"/>
    <s v="N"/>
    <s v="N"/>
    <s v="N"/>
  </r>
  <r>
    <n v="603850"/>
    <s v="DRAGON BALL FighterZ"/>
    <x v="629"/>
    <n v="513"/>
    <b v="0"/>
    <s v="Single-player,Multi-player,PvP,Shared/Split Screen PvP,Steam Workshop,Remote Play on Phone,Remote Play on Tablet,Remote Play Together,Family Sharing"/>
    <s v="Strategy"/>
    <n v="753"/>
    <s v="GTX 750"/>
    <s v="Y"/>
    <s v="Y"/>
    <s v="N"/>
    <s v="N"/>
    <s v="N"/>
    <s v="N"/>
    <s v="N"/>
    <s v="Y"/>
    <s v="N"/>
  </r>
  <r>
    <n v="678950"/>
    <s v="GoreBox"/>
    <x v="630"/>
    <n v="511"/>
    <b v="0"/>
    <s v="Single-player,Multi-player,PvP,Online PvP,Shared/Split Screen PvP,Shared/Split Screen,Steam Achievements,Full controller support,Steam Trading Cards,Steam Cloud,Remote Play on Phone,Remote Play on Tablet,Remote Play on TV,Remote Play Together,Family Sharing"/>
    <s v="Action"/>
    <n v="754"/>
    <s v="RX 560"/>
    <s v="Y"/>
    <s v="Y"/>
    <s v="Y"/>
    <s v="N"/>
    <s v="N"/>
    <s v="N"/>
    <s v="N"/>
    <s v="N"/>
    <s v="N"/>
  </r>
  <r>
    <n v="2027330"/>
    <s v="Sea of Stars"/>
    <x v="631"/>
    <n v="509"/>
    <b v="0"/>
    <s v="Single-player,Multi-player,PvP,Online PvP,Co-op,Online Co-op,Cross-Platform Multiplayer,Includes level editor"/>
    <s v="Action,Casual,Indie,Simulation"/>
    <n v="755"/>
    <s v="RX 550"/>
    <s v="Y"/>
    <s v="Y"/>
    <s v="Y"/>
    <s v="Y"/>
    <s v="N"/>
    <s v="Y"/>
    <s v="N"/>
    <s v="N"/>
    <s v="N"/>
  </r>
  <r>
    <n v="1244090"/>
    <s v="Necesse"/>
    <x v="632"/>
    <n v="509"/>
    <b v="0"/>
    <s v="Single-player,Multi-player,Co-op,Shared/Split Screen Co-op,Shared/Split Screen,Steam Achievements,Full controller support,Steam Cloud,Remote Play Together,Family Sharing"/>
    <s v="Adventure,Indie,RPG"/>
    <n v="755"/>
    <s v="Radeon Vega 8"/>
    <s v="Y"/>
    <s v="Y"/>
    <s v="N"/>
    <s v="Y"/>
    <s v="Y"/>
    <s v="N"/>
    <s v="Y"/>
    <s v="N"/>
    <s v="N"/>
  </r>
  <r>
    <n v="1169040"/>
    <s v="War Selection"/>
    <x v="633"/>
    <n v="507"/>
    <b v="1"/>
    <s v="Single-player,Multi-player,PvP,Online PvP,LAN PvP,Co-op,Online Co-op,LAN Co-op,Steam Achievements,Full controller support,Steam Trading Cards,Steam Workshop,Steam Cloud,Stats,Family Sharing"/>
    <s v="Action,Adventure,Indie,RPG"/>
    <n v="757"/>
    <s v="Radeon Vega 8"/>
    <s v="Y"/>
    <s v="Y"/>
    <s v="Y"/>
    <s v="Y"/>
    <s v="Y"/>
    <s v="N"/>
    <s v="Y"/>
    <s v="N"/>
    <s v="N"/>
  </r>
  <r>
    <n v="1022450"/>
    <s v="Uncrashed : FPV Drone Simulator"/>
    <x v="634"/>
    <n v="507"/>
    <b v="0"/>
    <s v="Single-player,Multi-player,PvP,Online PvP,In-App Purchases"/>
    <s v="Indie,Massively Multiplayer,Strategy,Free To Play,Early Access"/>
    <n v="757"/>
    <s v="GTX 1050 Ti"/>
    <s v="Y"/>
    <s v="Y"/>
    <s v="N"/>
    <s v="Y"/>
    <s v="N"/>
    <s v="N"/>
    <s v="N"/>
    <s v="Y"/>
    <s v="Y"/>
  </r>
  <r>
    <n v="1682970"/>
    <s v="Surviving Mars"/>
    <x v="95"/>
    <n v="507"/>
    <b v="1"/>
    <s v="Single-player,Multi-player,PvP,Online PvP,Steam Workshop,Partial Controller Support,Steam Leaderboards,Includes level editor,Family Sharing"/>
    <s v="Action,Indie,Racing,Simulation,Sports"/>
    <n v="757"/>
    <s v="GTX 1050 Ti"/>
    <s v="Y"/>
    <s v="Y"/>
    <s v="Y"/>
    <s v="Y"/>
    <s v="N"/>
    <s v="Y"/>
    <s v="N"/>
    <s v="N"/>
    <s v="N"/>
  </r>
  <r>
    <n v="464920"/>
    <s v="OMORI"/>
    <x v="635"/>
    <n v="507"/>
    <b v="1"/>
    <s v="Single-player,Steam Achievements,Full controller support,Steam Trading Cards,Steam Workshop,Steam Cloud,Remote Play on TV,Family Sharing"/>
    <s v="Simulation,Strategy"/>
    <n v="757"/>
    <s v="Radeon Vega 8"/>
    <s v="Y"/>
    <s v="N"/>
    <s v="N"/>
    <s v="N"/>
    <s v="N"/>
    <s v="Y"/>
    <s v="N"/>
    <s v="Y"/>
    <s v="N"/>
  </r>
  <r>
    <n v="1150690"/>
    <s v="Forza Motorsport"/>
    <x v="636"/>
    <n v="506"/>
    <b v="1"/>
    <s v="Single-player,Steam Achievements,Full controller support,Remote Play on Phone,Remote Play on Tablet,Family Sharing"/>
    <s v="Adventure,Indie,RPG"/>
    <n v="761"/>
    <s v="RTX 2080 Ti"/>
    <s v="Y"/>
    <s v="N"/>
    <s v="N"/>
    <s v="Y"/>
    <s v="Y"/>
    <s v="N"/>
    <s v="Y"/>
    <s v="N"/>
    <s v="N"/>
  </r>
  <r>
    <n v="2440510"/>
    <s v="Coloring Pixels"/>
    <x v="637"/>
    <n v="506"/>
    <b v="0"/>
    <s v="Single-player,Multi-player,PvP,Online PvP,Cross-Platform Multiplayer,Steam Achievements,Full controller support,Steam Trading Cards,Family Sharing"/>
    <s v="Racing"/>
    <n v="761"/>
    <s v="RTX 2080 Ti"/>
    <s v="Y"/>
    <s v="Y"/>
    <s v="N"/>
    <s v="N"/>
    <s v="N"/>
    <s v="N"/>
    <s v="N"/>
    <s v="N"/>
    <s v="N"/>
  </r>
  <r>
    <n v="897330"/>
    <s v="Door Kickers 2: Task Force North"/>
    <x v="638"/>
    <n v="505"/>
    <b v="1"/>
    <s v="Single-player,Steam Achievements,Steam Cloud"/>
    <s v="Casual,Indie,Free To Play"/>
    <n v="763"/>
    <s v="GTX 970"/>
    <s v="Y"/>
    <s v="N"/>
    <s v="N"/>
    <s v="Y"/>
    <s v="N"/>
    <s v="N"/>
    <s v="N"/>
    <s v="N"/>
    <s v="Y"/>
  </r>
  <r>
    <n v="1239080"/>
    <s v="Red Dead Redemption"/>
    <x v="131"/>
    <n v="505"/>
    <b v="1"/>
    <s v="Single-player,Multi-player,Co-op,Online Co-op,Steam Achievements,Steam Workshop,Steam Cloud,Stats,Includes level editor,Remote Play Together,Family Sharing"/>
    <s v="Action,Indie,Simulation,Strategy"/>
    <n v="763"/>
    <s v="RX 5700 XT"/>
    <s v="Y"/>
    <s v="Y"/>
    <s v="Y"/>
    <s v="Y"/>
    <s v="N"/>
    <s v="Y"/>
    <s v="N"/>
    <s v="Y"/>
    <s v="N"/>
  </r>
  <r>
    <n v="2668510"/>
    <s v="Undisputed"/>
    <x v="639"/>
    <n v="504"/>
    <b v="0"/>
    <s v="Single-player,Steam Achievements,Full controller support,HDR available"/>
    <s v="Action"/>
    <n v="765"/>
    <s v="RTX 2070"/>
    <s v="Y"/>
    <s v="N"/>
    <s v="Y"/>
    <s v="N"/>
    <s v="N"/>
    <s v="N"/>
    <s v="N"/>
    <s v="N"/>
    <s v="N"/>
  </r>
  <r>
    <n v="1451190"/>
    <s v="Train Simulator Classic"/>
    <x v="640"/>
    <n v="503"/>
    <b v="0"/>
    <s v="Single-player,Multi-player,PvP,Online PvP,Shared/Split Screen PvP,Shared/Split Screen,Steam Achievements,Camera Comfort,Color Alternatives,Custom Volume Controls,Adjustable Difficulty,Playable without Timed Input,Stereo Sound,Partial Controller Support,Steam Cloud,Remote Play Together,Family Sharing"/>
    <s v="Action,Simulation,Sports"/>
    <n v="766"/>
    <s v="RTX 3070"/>
    <s v="Y"/>
    <s v="Y"/>
    <s v="Y"/>
    <s v="N"/>
    <s v="N"/>
    <s v="Y"/>
    <s v="N"/>
    <s v="N"/>
    <s v="N"/>
  </r>
  <r>
    <n v="24010"/>
    <s v="Romance of the Three Kingdoms XIII"/>
    <x v="641"/>
    <n v="503"/>
    <b v="0"/>
    <s v="Single-player,Steam Achievements,Full controller support,Steam Trading Cards,Steam Workshop,In-App Purchases,Steam Cloud,Steam Leaderboards,Family Sharing"/>
    <s v="Simulation"/>
    <n v="766"/>
    <s v="GTX 970"/>
    <s v="Y"/>
    <s v="N"/>
    <s v="N"/>
    <s v="N"/>
    <s v="N"/>
    <s v="Y"/>
    <s v="N"/>
    <s v="N"/>
    <s v="N"/>
  </r>
  <r>
    <n v="363150"/>
    <s v="CarX Street"/>
    <x v="642"/>
    <n v="501"/>
    <b v="0"/>
    <s v="Single-player,Steam Cloud,Family Sharing"/>
    <s v="Simulation"/>
    <n v="768"/>
    <s v="GTX 1070"/>
    <s v="Y"/>
    <s v="N"/>
    <s v="N"/>
    <s v="N"/>
    <s v="N"/>
    <s v="Y"/>
    <s v="N"/>
    <s v="N"/>
    <s v="N"/>
  </r>
  <r>
    <n v="1114150"/>
    <s v="Death Must Die"/>
    <x v="643"/>
    <n v="499"/>
    <b v="1"/>
    <s v="Single-player,Multi-player,PvP,Online PvP,Steam Achievements,Full controller support,Captions available,Custom Volume Controls,Adjustable Difficulty,Keyboard Only Option,Playable without Timed Input,Stereo Sound,Steam Cloud,Family Sharing"/>
    <s v="Massively Multiplayer,Racing,Simulation,Sports"/>
    <n v="769"/>
    <s v="RTX 2060 SUPER"/>
    <s v="Y"/>
    <s v="Y"/>
    <s v="N"/>
    <s v="N"/>
    <s v="N"/>
    <s v="Y"/>
    <s v="N"/>
    <s v="N"/>
    <s v="N"/>
  </r>
  <r>
    <n v="2334730"/>
    <s v="Stray"/>
    <x v="364"/>
    <n v="499"/>
    <b v="1"/>
    <s v="Single-player,Steam Achievements,Full controller support,Steam Cloud,Family Sharing"/>
    <s v="Action,Casual,Indie,RPG,Early Access"/>
    <n v="769"/>
    <s v="RX 560"/>
    <s v="Y"/>
    <s v="N"/>
    <s v="Y"/>
    <s v="Y"/>
    <s v="N"/>
    <s v="N"/>
    <s v="Y"/>
    <s v="N"/>
    <s v="N"/>
  </r>
  <r>
    <n v="1332010"/>
    <s v="Aviassembly"/>
    <x v="644"/>
    <n v="498"/>
    <b v="1"/>
    <s v="Single-player,Steam Achievements,Full controller support,Steam Trading Cards,Steam Cloud,Remote Play on TV,Family Sharing"/>
    <s v="Adventure,Indie"/>
    <n v="771"/>
    <s v="GTX 1050 Ti"/>
    <s v="Y"/>
    <s v="N"/>
    <s v="N"/>
    <s v="Y"/>
    <s v="Y"/>
    <s v="N"/>
    <s v="N"/>
    <s v="N"/>
    <s v="N"/>
  </r>
  <r>
    <n v="2660460"/>
    <s v="PlanetSide 2"/>
    <x v="645"/>
    <n v="498"/>
    <b v="0"/>
    <s v="Single-player,Family Sharing"/>
    <s v="Simulation,Early Access"/>
    <n v="771"/>
    <s v="GTX 970"/>
    <s v="Y"/>
    <s v="N"/>
    <s v="N"/>
    <s v="N"/>
    <s v="N"/>
    <s v="Y"/>
    <s v="N"/>
    <s v="N"/>
    <s v="N"/>
  </r>
  <r>
    <n v="218230"/>
    <s v="ROMANCE OF THE THREE KINGDOMS 8 REMAKE"/>
    <x v="646"/>
    <n v="496"/>
    <b v="0"/>
    <s v="Multi-player,MMO,PvP,Online PvP,Steam Trading Cards,Steam Cloud"/>
    <s v="Action,Massively Multiplayer,Free To Play"/>
    <n v="773"/>
    <s v="GTX 770"/>
    <s v="N"/>
    <s v="Y"/>
    <s v="Y"/>
    <s v="N"/>
    <s v="N"/>
    <s v="N"/>
    <s v="N"/>
    <s v="N"/>
    <s v="Y"/>
  </r>
  <r>
    <n v="2288150"/>
    <s v="Ultimate General: Civil War"/>
    <x v="581"/>
    <n v="496"/>
    <b v="0"/>
    <s v="Single-player,Steam Achievements,Steam Trading Cards,Custom Volume Controls,Adjustable Difficulty,Mouse Only Option,Playable without Timed Input,Save Anytime,Stereo Sound,Surround Sound,Partial Controller Support,Steam Cloud,Family Sharing"/>
    <s v="Simulation,Strategy"/>
    <n v="773"/>
    <s v="GTX 1660"/>
    <s v="Y"/>
    <s v="N"/>
    <s v="N"/>
    <s v="N"/>
    <s v="N"/>
    <s v="Y"/>
    <s v="N"/>
    <s v="Y"/>
    <s v="N"/>
  </r>
  <r>
    <n v="502520"/>
    <s v="EVGA Precision X1"/>
    <x v="647"/>
    <n v="495"/>
    <b v="1"/>
    <s v="Single-player,Steam Achievements,Steam Trading Cards,Family Sharing"/>
    <s v="Indie,Simulation,Strategy"/>
    <n v="775"/>
    <s v="GTX 1050 Ti"/>
    <s v="Y"/>
    <s v="N"/>
    <s v="N"/>
    <s v="Y"/>
    <s v="N"/>
    <s v="Y"/>
    <s v="N"/>
    <s v="Y"/>
    <s v="N"/>
  </r>
  <r>
    <n v="268850"/>
    <s v="Increlution"/>
    <x v="648"/>
    <n v="494"/>
    <b v="0"/>
    <s v="Single-player,Steam Achievements"/>
    <s v="Utilities"/>
    <n v="776"/>
    <s v="RTX 3050"/>
    <s v="Y"/>
    <s v="N"/>
    <s v="N"/>
    <s v="N"/>
    <s v="N"/>
    <s v="N"/>
    <s v="N"/>
    <s v="N"/>
    <s v="N"/>
  </r>
  <r>
    <n v="1593350"/>
    <s v="Out of Ore"/>
    <x v="649"/>
    <n v="494"/>
    <b v="1"/>
    <s v="Single-player,Steam Cloud,Family Sharing"/>
    <s v="Indie,Early Access"/>
    <n v="776"/>
    <s v="GTX 1060"/>
    <s v="Y"/>
    <s v="N"/>
    <s v="N"/>
    <s v="Y"/>
    <s v="N"/>
    <s v="N"/>
    <s v="N"/>
    <s v="N"/>
    <s v="N"/>
  </r>
  <r>
    <n v="2009350"/>
    <s v="The Perfect Tower II"/>
    <x v="650"/>
    <n v="493"/>
    <b v="0"/>
    <s v="Single-player,Multi-player,Co-op,Online Co-op,LAN Co-op,Partial Controller Support,Family Sharing"/>
    <s v="Adventure,Casual,Simulation,Strategy"/>
    <n v="778"/>
    <s v="RTX 3060"/>
    <s v="Y"/>
    <s v="Y"/>
    <s v="N"/>
    <s v="N"/>
    <s v="Y"/>
    <s v="Y"/>
    <s v="N"/>
    <s v="Y"/>
    <s v="N"/>
  </r>
  <r>
    <n v="1197260"/>
    <s v="Blacksmith Master"/>
    <x v="651"/>
    <n v="491"/>
    <b v="0"/>
    <s v="Single-player,Steam Achievements,In-App Purchases,Color Alternatives,Custom Volume Controls,Playable without Timed Input,Save Anytime,Steam Cloud,Steam Leaderboards"/>
    <s v="Action,Indie,Strategy,Free To Play"/>
    <n v="779"/>
    <s v="GTX 1060"/>
    <s v="Y"/>
    <s v="N"/>
    <s v="Y"/>
    <s v="Y"/>
    <s v="N"/>
    <s v="N"/>
    <s v="N"/>
    <s v="Y"/>
    <s v="Y"/>
  </r>
  <r>
    <n v="2292800"/>
    <s v="Victoria II"/>
    <x v="652"/>
    <n v="490"/>
    <b v="1"/>
    <s v="Single-player,Steam Achievements,Steam Trading Cards,Adjustable Text Size,Camera Comfort,Custom Volume Controls,Adjustable Difficulty,Mouse Only Option,Save Anytime,Steam Cloud,Family Sharing"/>
    <s v="Simulation,Strategy,Early Access"/>
    <n v="780"/>
    <s v="GTX 1050"/>
    <s v="Y"/>
    <s v="N"/>
    <s v="N"/>
    <s v="N"/>
    <s v="N"/>
    <s v="Y"/>
    <s v="N"/>
    <s v="Y"/>
    <s v="N"/>
  </r>
  <r>
    <n v="42960"/>
    <s v="X-Plane 12"/>
    <x v="653"/>
    <n v="490"/>
    <b v="0"/>
    <s v="Single-player,Multi-player,Steam Trading Cards,Family Sharing"/>
    <s v="Strategy"/>
    <n v="780"/>
    <s v="RX 5700 XT"/>
    <s v="Y"/>
    <s v="Y"/>
    <s v="N"/>
    <s v="N"/>
    <s v="N"/>
    <s v="N"/>
    <s v="N"/>
    <s v="Y"/>
    <s v="N"/>
  </r>
  <r>
    <n v="2014780"/>
    <s v="Far Cry 3"/>
    <x v="654"/>
    <n v="489"/>
    <b v="1"/>
    <s v="Single-player,Multi-player,Co-op,LAN Co-op,Tracked Controller Support,VR Supported,Partial Controller Support,Family Sharing"/>
    <s v="Simulation"/>
    <n v="782"/>
    <s v="GTX 750"/>
    <s v="Y"/>
    <s v="Y"/>
    <s v="N"/>
    <s v="N"/>
    <s v="N"/>
    <s v="Y"/>
    <s v="N"/>
    <s v="N"/>
    <s v="N"/>
  </r>
  <r>
    <n v="220240"/>
    <s v="Luma Island"/>
    <x v="655"/>
    <n v="488"/>
    <b v="0"/>
    <s v="Single-player,Multi-player,Co-op,Steam Achievements,Partial Controller Support"/>
    <s v="Action,Adventure"/>
    <n v="783"/>
    <s v="GTX 770"/>
    <s v="Y"/>
    <s v="Y"/>
    <s v="Y"/>
    <s v="N"/>
    <s v="Y"/>
    <s v="N"/>
    <s v="N"/>
    <s v="N"/>
    <s v="N"/>
  </r>
  <r>
    <n v="2408820"/>
    <s v="ｹ､ (Night of Full Moon)"/>
    <x v="247"/>
    <n v="487"/>
    <b v="0"/>
    <s v="Single-player,Multi-player,Co-op,Online Co-op,Steam Achievements,Full controller support,Custom Volume Controls,Adjustable Difficulty,Playable without Timed Input,Save Anytime,Stereo Sound,Surround Sound,Steam Cloud,Stats,Family Sharing"/>
    <s v="Adventure,Casual,Indie,RPG,Simulation"/>
    <n v="784"/>
    <s v="GTX 1660 Ti"/>
    <s v="Y"/>
    <s v="Y"/>
    <s v="N"/>
    <s v="Y"/>
    <s v="Y"/>
    <s v="Y"/>
    <s v="Y"/>
    <s v="N"/>
    <s v="N"/>
  </r>
  <r>
    <n v="769560"/>
    <s v="Microsoft Flight Simulator X: Steam Edition"/>
    <x v="656"/>
    <n v="487"/>
    <b v="0"/>
    <s v="Single-player,Steam Achievements,Steam Cloud"/>
    <s v="Adventure,Indie,Strategy,Free To Play"/>
    <n v="784"/>
    <s v="Radeon Vega 11"/>
    <s v="Y"/>
    <s v="N"/>
    <s v="N"/>
    <s v="Y"/>
    <s v="Y"/>
    <s v="N"/>
    <s v="N"/>
    <s v="Y"/>
    <s v="Y"/>
  </r>
  <r>
    <n v="314160"/>
    <s v="WRC 7 FIA World Rally Championship"/>
    <x v="657"/>
    <n v="486"/>
    <b v="0"/>
    <s v="Single-player,Multi-player,Partial Controller Support,Family Sharing"/>
    <s v="Simulation"/>
    <n v="786"/>
    <s v="GTX 980"/>
    <s v="Y"/>
    <s v="Y"/>
    <s v="N"/>
    <s v="N"/>
    <s v="N"/>
    <s v="Y"/>
    <s v="N"/>
    <s v="N"/>
    <s v="N"/>
  </r>
  <r>
    <n v="621830"/>
    <s v="City Car Driving"/>
    <x v="658"/>
    <n v="484"/>
    <b v="0"/>
    <s v="Single-player,Multi-player,PvP,Online PvP,Shared/Split Screen PvP,Shared/Split Screen,Steam Achievements,Full controller support,Steam Trading Cards,Steam Cloud,Remote Play on TV,Remote Play Together,Family Sharing"/>
    <s v="Racing"/>
    <n v="787"/>
    <s v="GTX 1050 Ti"/>
    <s v="Y"/>
    <s v="Y"/>
    <s v="N"/>
    <s v="N"/>
    <s v="N"/>
    <s v="N"/>
    <s v="N"/>
    <s v="N"/>
    <s v="N"/>
  </r>
  <r>
    <n v="493490"/>
    <s v="Cosmoteer: Starship Architect &amp; Commander"/>
    <x v="659"/>
    <n v="484"/>
    <b v="0"/>
    <s v="Single-player,Steam Achievements,VR Supported,Steam Trading Cards,Steam Workshop,Partial Controller Support,Steam Cloud,Family Sharing"/>
    <s v="Indie,Racing,Simulation"/>
    <n v="787"/>
    <s v="R9 390X"/>
    <s v="Y"/>
    <s v="N"/>
    <s v="N"/>
    <s v="Y"/>
    <s v="N"/>
    <s v="Y"/>
    <s v="N"/>
    <s v="N"/>
    <s v="N"/>
  </r>
  <r>
    <n v="799600"/>
    <s v="From the Depths"/>
    <x v="660"/>
    <n v="482"/>
    <b v="0"/>
    <s v="Single-player,Multi-player,PvP,Online PvP,LAN PvP,Co-op,Online Co-op,LAN Co-op,Steam Workshop,Camera Comfort,Color Alternatives,Custom Volume Controls,Adjustable Difficulty,Playable without Timed Input,Save Anytime,Steam Cloud,Family Sharing"/>
    <s v="Simulation,Strategy,Early Access"/>
    <n v="789"/>
    <s v="GTX 750"/>
    <s v="Y"/>
    <s v="Y"/>
    <s v="N"/>
    <s v="N"/>
    <s v="N"/>
    <s v="Y"/>
    <s v="N"/>
    <s v="Y"/>
    <s v="N"/>
  </r>
  <r>
    <n v="268650"/>
    <s v="Age of History 3"/>
    <x v="661"/>
    <n v="482"/>
    <b v="1"/>
    <s v="Single-player,Multi-player,PvP,Online PvP,Co-op,Online Co-op,Steam Achievements,Steam Trading Cards,Captions available,Steam Workshop,Partial Controller Support,Steam Leaderboards,Includes level editor,Family Sharing"/>
    <s v="Action,Adventure,Indie,Simulation,Strategy"/>
    <n v="789"/>
    <s v="Radeon Vega 8"/>
    <s v="Y"/>
    <s v="Y"/>
    <s v="Y"/>
    <s v="Y"/>
    <s v="Y"/>
    <s v="Y"/>
    <s v="N"/>
    <s v="Y"/>
    <s v="N"/>
  </r>
  <r>
    <n v="2772750"/>
    <s v="Bopl Battle"/>
    <x v="581"/>
    <n v="481"/>
    <b v="1"/>
    <s v="Single-player,Steam Achievements,Steam Workshop,Includes level editor,Family Sharing"/>
    <s v="Simulation,Strategy"/>
    <n v="791"/>
    <s v="Radeon Vega 8"/>
    <s v="Y"/>
    <s v="N"/>
    <s v="N"/>
    <s v="N"/>
    <s v="N"/>
    <s v="Y"/>
    <s v="N"/>
    <s v="Y"/>
    <s v="N"/>
  </r>
  <r>
    <n v="1686940"/>
    <s v="The Witcher 2: Assassins of Kings Enhanced Edition"/>
    <x v="86"/>
    <n v="480"/>
    <b v="0"/>
    <s v="Multi-player,PvP,Online PvP,Shared/Split Screen PvP,Co-op,Online Co-op,Shared/Split Screen Co-op,Shared/Split Screen,Steam Achievements,Partial Controller Support,Remote Play Together,Family Sharing"/>
    <s v="Action"/>
    <n v="792"/>
    <s v="GTX 1650"/>
    <s v="N"/>
    <s v="Y"/>
    <s v="Y"/>
    <s v="N"/>
    <s v="N"/>
    <s v="N"/>
    <s v="N"/>
    <s v="N"/>
    <s v="N"/>
  </r>
  <r>
    <n v="20920"/>
    <s v="Blasphemous"/>
    <x v="662"/>
    <n v="479"/>
    <b v="1"/>
    <s v="Single-player,Steam Achievements,Steam Trading Cards,Camera Comfort,Color Alternatives,Custom Volume Controls,Adjustable Difficulty,Playable without Timed Input,Save Anytime,Stereo Sound,Surround Sound,Partial Controller Support,Steam Cloud,Steam Leaderboards,Family Sharing"/>
    <s v="RPG"/>
    <n v="793"/>
    <s v="Radeon Graphics"/>
    <s v="Y"/>
    <s v="N"/>
    <s v="N"/>
    <s v="N"/>
    <s v="N"/>
    <s v="N"/>
    <s v="Y"/>
    <s v="N"/>
    <s v="N"/>
  </r>
  <r>
    <n v="774361"/>
    <s v="Banished"/>
    <x v="663"/>
    <n v="479"/>
    <b v="1"/>
    <s v="Single-player,Steam Achievements,Full controller support,Steam Trading Cards,Steam Cloud,Remote Play on Phone,Remote Play on Tablet,Remote Play on TV,Family Sharing"/>
    <s v="Action,Adventure,Indie"/>
    <n v="793"/>
    <s v="Radeon Vega 8"/>
    <s v="Y"/>
    <s v="N"/>
    <s v="Y"/>
    <s v="Y"/>
    <s v="Y"/>
    <s v="N"/>
    <s v="N"/>
    <s v="N"/>
    <s v="N"/>
  </r>
  <r>
    <n v="242920"/>
    <s v="Conquest Dark"/>
    <x v="48"/>
    <n v="477"/>
    <b v="0"/>
    <s v="Single-player,Steam Achievements,Remote Play on Phone,Remote Play on Tablet,Family Sharing"/>
    <s v="Indie,Simulation,Strategy"/>
    <n v="795"/>
    <s v="RTX 2080"/>
    <s v="Y"/>
    <s v="N"/>
    <s v="N"/>
    <s v="Y"/>
    <s v="N"/>
    <s v="Y"/>
    <s v="N"/>
    <s v="Y"/>
    <s v="N"/>
  </r>
  <r>
    <n v="3238670"/>
    <s v="Old World"/>
    <x v="525"/>
    <n v="476"/>
    <b v="0"/>
    <s v="Single-player,Full controller support,Steam Cloud,Family Sharing"/>
    <s v="Action,Indie,RPG,Early Access"/>
    <n v="796"/>
    <s v="RTX 2080"/>
    <s v="Y"/>
    <s v="N"/>
    <s v="Y"/>
    <s v="Y"/>
    <s v="N"/>
    <s v="N"/>
    <s v="Y"/>
    <s v="N"/>
    <s v="N"/>
  </r>
  <r>
    <n v="597180"/>
    <s v="Goat Simulator 3"/>
    <x v="664"/>
    <n v="474"/>
    <b v="1"/>
    <s v="Single-player,Multi-player,PvP,Online PvP,Shared/Split Screen PvP,Co-op,Online Co-op,Shared/Split Screen Co-op,Shared/Split Screen,Cross-Platform Multiplayer,Steam Achievements,Steam Trading Cards,Steam Workshop,Adjustable Text Size,Camera Comfort,Color Alternatives,Custom Volume Controls,Adjustable Difficulty,Mouse Only Option,Playable without Timed Input,Save Anytime,Steam Cloud,Includes level editor,Remote Play Together,Family Sharing"/>
    <s v="RPG,Simulation,Strategy"/>
    <n v="797"/>
    <s v="GTX 1060"/>
    <s v="Y"/>
    <s v="Y"/>
    <s v="N"/>
    <s v="N"/>
    <s v="N"/>
    <s v="Y"/>
    <s v="Y"/>
    <s v="Y"/>
    <s v="N"/>
  </r>
  <r>
    <n v="850190"/>
    <s v="No More Room in Hell"/>
    <x v="665"/>
    <n v="474"/>
    <b v="0"/>
    <s v="Single-player,Multi-player,Co-op,Online Co-op,Shared/Split Screen Co-op,Shared/Split Screen,Steam Achievements,Full controller support,Steam Trading Cards,Captions available,Steam Cloud,Family Sharing"/>
    <s v="Adventure,Casual,Simulation"/>
    <n v="797"/>
    <s v="GTX 1070"/>
    <s v="Y"/>
    <s v="Y"/>
    <s v="N"/>
    <s v="N"/>
    <s v="Y"/>
    <s v="Y"/>
    <s v="N"/>
    <s v="N"/>
    <s v="N"/>
  </r>
  <r>
    <n v="224260"/>
    <s v="Satisfactory Modeler"/>
    <x v="666"/>
    <n v="473"/>
    <b v="0"/>
    <s v="Multi-player,Co-op,Cross-Platform Multiplayer,Steam Achievements,Captions available,VR Support,Steam Workshop,Partial Controller Support,Steam Cloud,Valve Anti-Cheat enabled,Includes level editor,Includes Source SDK"/>
    <s v="Action,Indie,Free To Play"/>
    <n v="799"/>
    <s v="Radeon Graphics"/>
    <s v="N"/>
    <s v="Y"/>
    <s v="Y"/>
    <s v="Y"/>
    <s v="N"/>
    <s v="N"/>
    <s v="N"/>
    <s v="N"/>
    <s v="Y"/>
  </r>
  <r>
    <n v="2080690"/>
    <s v="Yet Another Zombie Survivors"/>
    <x v="667"/>
    <n v="472"/>
    <b v="0"/>
    <s v="Single-player,Multi-player,Co-op,Online Co-op,Family Sharing"/>
    <s v="Action,Indie,Early Access"/>
    <n v="800"/>
    <s v="Radeon Vega 11"/>
    <s v="Y"/>
    <s v="Y"/>
    <s v="Y"/>
    <s v="Y"/>
    <s v="N"/>
    <s v="N"/>
    <s v="N"/>
    <s v="N"/>
    <s v="N"/>
  </r>
  <r>
    <n v="2163330"/>
    <s v="Yakuza: Like a Dragon"/>
    <x v="668"/>
    <n v="472"/>
    <b v="0"/>
    <s v="Single-player,Steam Achievements,Full controller support,Camera Comfort,Color Alternatives,Custom Volume Controls,Adjustable Difficulty,Keyboard Only Option,Mouse Only Option,Playable without Timed Input,Steam Cloud,Steam Leaderboards,Remote Play on TV,Family Sharing"/>
    <s v="Action,Casual,Indie,RPG,Early Access"/>
    <n v="800"/>
    <s v="RTX 2060"/>
    <s v="Y"/>
    <s v="N"/>
    <s v="Y"/>
    <s v="Y"/>
    <s v="N"/>
    <s v="N"/>
    <s v="Y"/>
    <s v="N"/>
    <s v="N"/>
  </r>
  <r>
    <n v="1235140"/>
    <s v="Ascension"/>
    <x v="669"/>
    <n v="470"/>
    <b v="0"/>
    <s v="Single-player,Steam Achievements,Full controller support,Steam Trading Cards,Family Sharing"/>
    <s v="Action,Adventure,RPG"/>
    <n v="802"/>
    <s v="RX 580"/>
    <s v="Y"/>
    <s v="N"/>
    <s v="Y"/>
    <s v="N"/>
    <s v="Y"/>
    <s v="N"/>
    <s v="Y"/>
    <s v="N"/>
    <s v="N"/>
  </r>
  <r>
    <n v="2328480"/>
    <s v="Outward Definitive Edition"/>
    <x v="240"/>
    <n v="470"/>
    <b v="0"/>
    <s v="Single-player,Steam Achievements,Steam Cloud,Family Sharing"/>
    <s v="Strategy,Early Access"/>
    <n v="802"/>
    <s v="RTX 2060"/>
    <s v="Y"/>
    <s v="N"/>
    <s v="N"/>
    <s v="N"/>
    <s v="N"/>
    <s v="N"/>
    <s v="N"/>
    <s v="Y"/>
    <s v="N"/>
  </r>
  <r>
    <n v="794260"/>
    <s v="ATLAS"/>
    <x v="670"/>
    <n v="469"/>
    <b v="0"/>
    <s v="Single-player,Multi-player,Co-op,Online Co-op,Shared/Split Screen Co-op,Shared/Split Screen,Steam Achievements,Full controller support,Steam Trading Cards,Stats,Remote Play Together,Family Sharing"/>
    <s v="RPG"/>
    <n v="804"/>
    <s v="GTX 1050 Ti"/>
    <s v="Y"/>
    <s v="Y"/>
    <s v="N"/>
    <s v="N"/>
    <s v="N"/>
    <s v="N"/>
    <s v="Y"/>
    <s v="N"/>
    <s v="N"/>
  </r>
  <r>
    <n v="834910"/>
    <s v="UNCHARTED: Legacy of Thieves Collection"/>
    <x v="671"/>
    <n v="468"/>
    <b v="0"/>
    <s v="Single-player,Multi-player,MMO,PvP,Online PvP,Co-op,Online Co-op,Full controller support,Steam Workshop,Includes level editor,Family Sharing"/>
    <s v="Action,Adventure,Massively Multiplayer,RPG,Early Access"/>
    <n v="805"/>
    <s v="GTX 1050 Ti"/>
    <s v="Y"/>
    <s v="Y"/>
    <s v="Y"/>
    <s v="N"/>
    <s v="Y"/>
    <s v="N"/>
    <s v="Y"/>
    <s v="N"/>
    <s v="N"/>
  </r>
  <r>
    <n v="1659420"/>
    <s v="Atomic Heart"/>
    <x v="672"/>
    <n v="467"/>
    <b v="0"/>
    <s v="Single-player,Steam Achievements,Full controller support,Custom Volume Controls,Adjustable Difficulty,Save Anytime,Stereo Sound,Surround Sound,Steam Cloud,Remote Play on TV,Family Sharing"/>
    <s v="Adventure"/>
    <n v="806"/>
    <s v="GTX 1060"/>
    <s v="Y"/>
    <s v="N"/>
    <s v="N"/>
    <s v="N"/>
    <s v="Y"/>
    <s v="N"/>
    <s v="N"/>
    <s v="N"/>
    <s v="N"/>
  </r>
  <r>
    <n v="668580"/>
    <s v="Powernaut VANGARDT"/>
    <x v="673"/>
    <n v="466"/>
    <b v="0"/>
    <s v="Single-player,Steam Achievements,Full controller support,Steam Trading Cards,Adjustable Text Size,Camera Comfort,Color Alternatives,Custom Volume Controls,Adjustable Difficulty,Playable without Timed Input,Stereo Sound,Surround Sound,Steam Cloud,Family Sharing"/>
    <s v="Action,Adventure,RPG"/>
    <n v="807"/>
    <s v="RX 6700 XT"/>
    <s v="Y"/>
    <s v="N"/>
    <s v="Y"/>
    <s v="N"/>
    <s v="Y"/>
    <s v="N"/>
    <s v="Y"/>
    <s v="N"/>
    <s v="N"/>
  </r>
  <r>
    <n v="602880"/>
    <s v="Diplomacy is Not an Option"/>
    <x v="474"/>
    <n v="465"/>
    <b v="0"/>
    <s v="Single-player,Steam Achievements,Steam Trading Cards,Partial Controller Support,Family Sharing"/>
    <s v="Action,Adventure,Indie"/>
    <n v="808"/>
    <s v="Radeon Vega 11"/>
    <s v="Y"/>
    <s v="N"/>
    <s v="Y"/>
    <s v="Y"/>
    <s v="Y"/>
    <s v="N"/>
    <s v="N"/>
    <s v="N"/>
    <s v="N"/>
  </r>
  <r>
    <n v="1272320"/>
    <s v="Big Ambitions"/>
    <x v="674"/>
    <n v="464"/>
    <b v="0"/>
    <s v="Single-player,Steam Achievements,Steam Trading Cards,Steam Workshop,Steam Cloud,Includes level editor,Family Sharing"/>
    <s v="Indie,Simulation,Strategy"/>
    <n v="809"/>
    <s v="RTX 2060"/>
    <s v="Y"/>
    <s v="N"/>
    <s v="N"/>
    <s v="Y"/>
    <s v="N"/>
    <s v="Y"/>
    <s v="N"/>
    <s v="Y"/>
    <s v="N"/>
  </r>
  <r>
    <n v="1331550"/>
    <s v="EverQuest"/>
    <x v="544"/>
    <n v="460"/>
    <b v="1"/>
    <s v="Single-player,Steam Achievements,Steam Workshop,Steam Cloud,Family Sharing"/>
    <s v="Indie,Simulation,Early Access"/>
    <n v="810"/>
    <s v="RTX 2060"/>
    <s v="Y"/>
    <s v="N"/>
    <s v="N"/>
    <s v="Y"/>
    <s v="N"/>
    <s v="Y"/>
    <s v="N"/>
    <s v="N"/>
    <s v="N"/>
  </r>
  <r>
    <n v="205710"/>
    <s v="Lootun"/>
    <x v="675"/>
    <n v="456"/>
    <b v="0"/>
    <s v="Multi-player,MMO"/>
    <s v="Massively Multiplayer,RPG,Free To Play"/>
    <n v="811"/>
    <s v="RTX 2060"/>
    <s v="N"/>
    <s v="Y"/>
    <s v="N"/>
    <s v="N"/>
    <s v="N"/>
    <s v="N"/>
    <s v="Y"/>
    <s v="N"/>
    <s v="Y"/>
  </r>
  <r>
    <n v="1960270"/>
    <s v="Railroader"/>
    <x v="676"/>
    <n v="455"/>
    <b v="0"/>
    <s v="Single-player,Steam Achievements,Steam Cloud,Family Sharing"/>
    <s v="RPG"/>
    <n v="812"/>
    <s v="GTX 1660"/>
    <s v="Y"/>
    <s v="N"/>
    <s v="N"/>
    <s v="N"/>
    <s v="N"/>
    <s v="N"/>
    <s v="Y"/>
    <s v="N"/>
    <s v="N"/>
  </r>
  <r>
    <n v="1683150"/>
    <s v="Dragon Age Inquisition"/>
    <x v="191"/>
    <n v="455"/>
    <b v="0"/>
    <s v="Single-player,Multi-player,Co-op,Online Co-op,Steam Cloud,Family Sharing"/>
    <s v="Simulation,Strategy,Early Access"/>
    <n v="812"/>
    <s v="GTX 1660"/>
    <s v="Y"/>
    <s v="Y"/>
    <s v="N"/>
    <s v="N"/>
    <s v="N"/>
    <s v="Y"/>
    <s v="N"/>
    <s v="Y"/>
    <s v="N"/>
  </r>
  <r>
    <n v="1222690"/>
    <s v="SULFUR"/>
    <x v="355"/>
    <n v="454"/>
    <b v="0"/>
    <s v="Single-player,Multi-player,Co-op,Online Co-op,Steam Achievements,Full controller support,Steam Trading Cards"/>
    <s v="Action,Adventure,RPG,Strategy"/>
    <n v="814"/>
    <s v="RX 560"/>
    <s v="Y"/>
    <s v="Y"/>
    <s v="Y"/>
    <s v="N"/>
    <s v="Y"/>
    <s v="N"/>
    <s v="Y"/>
    <s v="Y"/>
    <s v="N"/>
  </r>
  <r>
    <n v="2124120"/>
    <s v="Undawn"/>
    <x v="35"/>
    <n v="451"/>
    <b v="0"/>
    <s v="Single-player,Steam Achievements,Full controller support,Steam Cloud,Family Sharing"/>
    <s v="Action,Adventure,Indie,RPG,Simulation,Early Access"/>
    <n v="815"/>
    <s v="GTX 1080"/>
    <s v="Y"/>
    <s v="N"/>
    <s v="Y"/>
    <s v="Y"/>
    <s v="Y"/>
    <s v="Y"/>
    <s v="Y"/>
    <s v="N"/>
    <s v="N"/>
  </r>
  <r>
    <n v="1881700"/>
    <s v="Angel Legion"/>
    <x v="677"/>
    <n v="451"/>
    <b v="0"/>
    <s v="Multi-player,MMO,PvP,Online PvP,Co-op,Online Co-op,Cross-Platform Multiplayer,In-App Purchases"/>
    <s v="Adventure,Massively Multiplayer,RPG,Free To Play"/>
    <n v="815"/>
    <s v="RTX 2060"/>
    <s v="N"/>
    <s v="Y"/>
    <s v="N"/>
    <s v="N"/>
    <s v="Y"/>
    <s v="N"/>
    <s v="Y"/>
    <s v="N"/>
    <s v="Y"/>
  </r>
  <r>
    <n v="1333350"/>
    <s v="Rising Storm 2: Vietnam"/>
    <x v="59"/>
    <n v="450"/>
    <b v="1"/>
    <s v="Single-player,Multi-player,MMO,PvP,Online PvP,Co-op,Online Co-op,In-App Purchases"/>
    <s v="Adventure,RPG,Strategy,Free To Play"/>
    <n v="817"/>
    <s v="GTX 750"/>
    <s v="Y"/>
    <s v="Y"/>
    <s v="N"/>
    <s v="N"/>
    <s v="Y"/>
    <s v="N"/>
    <s v="Y"/>
    <s v="Y"/>
    <s v="Y"/>
  </r>
  <r>
    <n v="418460"/>
    <s v="WRC 9 FIA World Rally Championship"/>
    <x v="678"/>
    <n v="449"/>
    <b v="0"/>
    <s v="Multi-player,PvP,Online PvP,Steam Achievements,Steam Trading Cards,Steam Workshop,In-App Purchases,Stats,Includes level editor,Family Sharing"/>
    <s v="Action,Massively Multiplayer,Simulation,Strategy"/>
    <n v="818"/>
    <s v="GTX 1050"/>
    <s v="N"/>
    <s v="Y"/>
    <s v="Y"/>
    <s v="N"/>
    <s v="N"/>
    <s v="Y"/>
    <s v="N"/>
    <s v="Y"/>
    <s v="N"/>
  </r>
  <r>
    <n v="1267540"/>
    <s v="DEVOUR"/>
    <x v="679"/>
    <n v="448"/>
    <b v="0"/>
    <s v="Single-player,Multi-player,PvP,Online PvP,Shared/Split Screen PvP,Co-op,Online Co-op,Shared/Split Screen,Cross-Platform Multiplayer,Steam Achievements,Full controller support,Steam Cloud,Remote Play Together,Family Sharing"/>
    <s v="Racing,Simulation,Sports"/>
    <n v="819"/>
    <s v="GTX 1060"/>
    <s v="Y"/>
    <s v="Y"/>
    <s v="N"/>
    <s v="N"/>
    <s v="N"/>
    <s v="Y"/>
    <s v="N"/>
    <s v="N"/>
    <s v="N"/>
  </r>
  <r>
    <n v="1274570"/>
    <s v="Cossacks 3"/>
    <x v="680"/>
    <n v="447"/>
    <b v="1"/>
    <s v="Single-player,Multi-player,Co-op,Online Co-op,Steam Achievements,Full controller support,Tracked Controller Support,VR Supported,Steam Trading Cards,Steam Cloud,Family Sharing"/>
    <s v="Indie"/>
    <n v="820"/>
    <s v="GTX 970"/>
    <s v="Y"/>
    <s v="Y"/>
    <s v="N"/>
    <s v="Y"/>
    <s v="N"/>
    <s v="N"/>
    <s v="N"/>
    <s v="N"/>
    <s v="N"/>
  </r>
  <r>
    <n v="333420"/>
    <s v="OpenTTD"/>
    <x v="681"/>
    <n v="446"/>
    <b v="0"/>
    <s v="Single-player,Multi-player,PvP,Online PvP,Co-op,Online Co-op,Steam Achievements,Steam Trading Cards,Steam Workshop,Steam Cloud,Includes level editor,Commentary available,Family Sharing"/>
    <s v="Action,Adventure,Strategy"/>
    <n v="821"/>
    <s v="GTX 1050"/>
    <s v="Y"/>
    <s v="Y"/>
    <s v="Y"/>
    <s v="N"/>
    <s v="Y"/>
    <s v="N"/>
    <s v="N"/>
    <s v="Y"/>
    <s v="N"/>
  </r>
  <r>
    <n v="1536610"/>
    <s v="Cricket 24"/>
    <x v="374"/>
    <n v="445"/>
    <b v="1"/>
    <s v="Single-player,Multi-player,PvP,Online PvP,LAN PvP,Co-op,Online Co-op,LAN Co-op,Cross-Platform Multiplayer"/>
    <s v="Casual,Indie,Simulation,Free To Play"/>
    <n v="822"/>
    <s v="GTX 1660 Ti"/>
    <s v="Y"/>
    <s v="Y"/>
    <s v="N"/>
    <s v="Y"/>
    <s v="N"/>
    <s v="Y"/>
    <s v="N"/>
    <s v="N"/>
    <s v="Y"/>
  </r>
  <r>
    <n v="2358260"/>
    <s v="Castle Crashers"/>
    <x v="682"/>
    <n v="445"/>
    <b v="0"/>
    <s v="Single-player,Multi-player,PvP,Online PvP,Shared/Split Screen PvP,Co-op,Online Co-op,Shared/Split Screen Co-op,Shared/Split Screen,Cross-Platform Multiplayer,Steam Achievements,Full controller support,Steam Cloud,Family Sharing"/>
    <s v="Simulation,Sports"/>
    <n v="822"/>
    <s v="GTX 1660 Ti"/>
    <s v="Y"/>
    <s v="Y"/>
    <s v="N"/>
    <s v="N"/>
    <s v="N"/>
    <s v="Y"/>
    <s v="N"/>
    <s v="N"/>
    <s v="N"/>
  </r>
  <r>
    <n v="204360"/>
    <s v="CODE VEIN"/>
    <x v="683"/>
    <n v="443"/>
    <b v="1"/>
    <s v="Single-player,Multi-player,PvP,Online PvP,Shared/Split Screen PvP,Co-op,Online Co-op,Shared/Split Screen Co-op,Shared/Split Screen,Steam Achievements,Full controller support,Steam Trading Cards,Steam Workshop,Custom Volume Controls,Stereo Sound,Steam Cloud,Steam Leaderboards,Remote Play on Phone,Remote Play on Tablet,Remote Play on TV,Remote Play Together,Family Sharing"/>
    <s v="Action,Adventure,Casual,Indie,RPG"/>
    <n v="824"/>
    <s v="GTX 970"/>
    <s v="Y"/>
    <s v="Y"/>
    <s v="Y"/>
    <s v="Y"/>
    <s v="Y"/>
    <s v="N"/>
    <s v="Y"/>
    <s v="N"/>
    <s v="N"/>
  </r>
  <r>
    <n v="678960"/>
    <s v="Karos"/>
    <x v="538"/>
    <n v="443"/>
    <b v="0"/>
    <s v="Single-player,Multi-player,Co-op,Online Co-op,Steam Achievements,Steam Trading Cards,Partial Controller Support,Steam Cloud,Family Sharing"/>
    <s v="Action,RPG"/>
    <n v="824"/>
    <s v="GTX 1050 Ti"/>
    <s v="Y"/>
    <s v="Y"/>
    <s v="Y"/>
    <s v="N"/>
    <s v="N"/>
    <s v="N"/>
    <s v="Y"/>
    <s v="N"/>
    <s v="N"/>
  </r>
  <r>
    <n v="337410"/>
    <s v="Middle-earth: Shadow of Mordor"/>
    <x v="684"/>
    <n v="441"/>
    <b v="0"/>
    <s v="Multi-player,MMO,PvP,Online PvP,Co-op,Online Co-op,Steam Trading Cards,In-App Purchases"/>
    <s v="Massively Multiplayer,RPG,Free To Play"/>
    <n v="826"/>
    <s v="GTX 980 Ti"/>
    <s v="N"/>
    <s v="Y"/>
    <s v="N"/>
    <s v="N"/>
    <s v="N"/>
    <s v="N"/>
    <s v="Y"/>
    <s v="N"/>
    <s v="Y"/>
  </r>
  <r>
    <n v="1170950"/>
    <s v="The Ranch of Rivershine"/>
    <x v="685"/>
    <n v="440"/>
    <b v="0"/>
    <s v="Multi-player,MMO,Steam Achievements,Steam Cloud,Stats,Steam Leaderboards"/>
    <s v="Action,Indie,Massively Multiplayer,RPG"/>
    <n v="827"/>
    <s v="RTX 2060"/>
    <s v="N"/>
    <s v="Y"/>
    <s v="Y"/>
    <s v="Y"/>
    <s v="N"/>
    <s v="N"/>
    <s v="Y"/>
    <s v="N"/>
    <s v="N"/>
  </r>
  <r>
    <n v="1559600"/>
    <s v="Nuclear Option"/>
    <x v="108"/>
    <n v="440"/>
    <b v="0"/>
    <s v="Single-player,Steam Achievements,Steam Cloud,Family Sharing"/>
    <s v="Simulation"/>
    <n v="827"/>
    <s v="GTX 1050 Ti"/>
    <s v="Y"/>
    <s v="N"/>
    <s v="N"/>
    <s v="N"/>
    <s v="N"/>
    <s v="Y"/>
    <s v="N"/>
    <s v="N"/>
    <s v="N"/>
  </r>
  <r>
    <n v="2168680"/>
    <s v="Hotline Miami 2: Wrong Number"/>
    <x v="686"/>
    <n v="438"/>
    <b v="0"/>
    <s v="Single-player,Multi-player,PvP,Online PvP,Co-op,Online Co-op,Steam Workshop,Partial Controller Support,Includes level editor,Family Sharing"/>
    <s v="Action,Indie,Simulation,Early Access"/>
    <n v="829"/>
    <s v="RTX 3050"/>
    <s v="Y"/>
    <s v="Y"/>
    <s v="Y"/>
    <s v="Y"/>
    <s v="N"/>
    <s v="Y"/>
    <s v="N"/>
    <s v="N"/>
    <s v="N"/>
  </r>
  <r>
    <n v="274170"/>
    <s v="Borderlands: The Pre-Sequel"/>
    <x v="100"/>
    <n v="437"/>
    <b v="1"/>
    <s v="Single-player,Steam Achievements,Full controller support,Steam Workshop,Steam Cloud,Steam Leaderboards,Includes level editor,Remote Play on TV,Family Sharing"/>
    <s v="Action,Indie"/>
    <n v="830"/>
    <s v="GTX 750"/>
    <s v="Y"/>
    <s v="N"/>
    <s v="Y"/>
    <s v="Y"/>
    <s v="N"/>
    <s v="N"/>
    <s v="N"/>
    <s v="N"/>
    <s v="N"/>
  </r>
  <r>
    <n v="261640"/>
    <s v="Marvel's Midnight Suns"/>
    <x v="687"/>
    <n v="437"/>
    <b v="1"/>
    <s v="Single-player,Multi-player,Co-op,Steam Achievements,Full controller support,Steam Trading Cards,Steam Cloud,Remote Play on TV,Family Sharing"/>
    <s v="Action,RPG"/>
    <n v="830"/>
    <s v="RX 5700"/>
    <s v="Y"/>
    <s v="Y"/>
    <s v="Y"/>
    <s v="N"/>
    <s v="N"/>
    <s v="N"/>
    <s v="Y"/>
    <s v="N"/>
    <s v="N"/>
  </r>
  <r>
    <n v="368260"/>
    <s v="Maltese's Fluffy Onsen"/>
    <x v="562"/>
    <n v="436"/>
    <b v="0"/>
    <s v="Single-player,Steam Achievements,Full controller support,In-App Purchases,Family Sharing"/>
    <s v="RPG,Strategy"/>
    <n v="832"/>
    <s v="RX 5700"/>
    <s v="Y"/>
    <s v="N"/>
    <s v="N"/>
    <s v="N"/>
    <s v="N"/>
    <s v="N"/>
    <s v="Y"/>
    <s v="Y"/>
    <s v="N"/>
  </r>
  <r>
    <n v="3404470"/>
    <s v="Wargame: Red Dragon"/>
    <x v="274"/>
    <n v="436"/>
    <b v="1"/>
    <s v="Single-player,Steam Achievements,Steam Cloud,Family Sharing"/>
    <s v="Casual,Indie,Simulation"/>
    <n v="832"/>
    <s v="GTX 1650"/>
    <s v="Y"/>
    <s v="N"/>
    <s v="N"/>
    <s v="Y"/>
    <s v="N"/>
    <s v="Y"/>
    <s v="N"/>
    <s v="N"/>
    <s v="N"/>
  </r>
  <r>
    <n v="251060"/>
    <s v="Call of Duty: World at War"/>
    <x v="688"/>
    <n v="434"/>
    <b v="1"/>
    <s v="Single-player,Multi-player,PvP,Online PvP,Co-op,Online Co-op,Steam Trading Cards,Steam Cloud,Family Sharing"/>
    <s v="Indie,Simulation,Strategy"/>
    <n v="834"/>
    <s v="Radeon Graphics"/>
    <s v="Y"/>
    <s v="Y"/>
    <s v="N"/>
    <s v="Y"/>
    <s v="N"/>
    <s v="Y"/>
    <s v="N"/>
    <s v="Y"/>
    <s v="N"/>
  </r>
  <r>
    <n v="10090"/>
    <s v="FireAlpaca SE"/>
    <x v="689"/>
    <n v="433"/>
    <b v="0"/>
    <s v="Single-player,Multi-player,Co-op,Family Sharing"/>
    <s v="Action"/>
    <n v="835"/>
    <s v="Radeon Graphics"/>
    <s v="Y"/>
    <s v="Y"/>
    <s v="Y"/>
    <s v="N"/>
    <s v="N"/>
    <s v="N"/>
    <s v="N"/>
    <s v="N"/>
    <s v="N"/>
  </r>
  <r>
    <n v="458750"/>
    <s v="Zombie Army 4: Dead War"/>
    <x v="690"/>
    <n v="433"/>
    <b v="1"/>
    <s v="Steam Trading Cards"/>
    <s v="Design &amp; Illustration,Photo Editing"/>
    <n v="835"/>
    <s v="Radeon Graphics"/>
    <s v="N"/>
    <s v="N"/>
    <s v="N"/>
    <s v="N"/>
    <s v="N"/>
    <s v="N"/>
    <s v="N"/>
    <s v="N"/>
    <s v="N"/>
  </r>
  <r>
    <n v="694280"/>
    <s v="RaceRoom Racing Experience"/>
    <x v="691"/>
    <n v="431"/>
    <b v="0"/>
    <s v="Single-player,Multi-player,Co-op,Online Co-op,Steam Achievements,In-App Purchases,Partial Controller Support,Steam Cloud,Steam Leaderboards,Family Sharing"/>
    <s v="Action"/>
    <n v="837"/>
    <s v="RX 550"/>
    <s v="Y"/>
    <s v="Y"/>
    <s v="Y"/>
    <s v="N"/>
    <s v="N"/>
    <s v="N"/>
    <s v="N"/>
    <s v="N"/>
    <s v="N"/>
  </r>
  <r>
    <n v="211500"/>
    <s v="DYSMANTLE"/>
    <x v="692"/>
    <n v="431"/>
    <b v="0"/>
    <s v="Single-player,Multi-player,PvP,Online PvP,VR Supported,Steam Trading Cards,In-App Purchases,Partial Controller Support"/>
    <s v="Racing,Simulation,Sports,Free To Play"/>
    <n v="837"/>
    <s v="GTX 970"/>
    <s v="Y"/>
    <s v="Y"/>
    <s v="N"/>
    <s v="N"/>
    <s v="N"/>
    <s v="Y"/>
    <s v="N"/>
    <s v="N"/>
    <s v="Y"/>
  </r>
  <r>
    <n v="846770"/>
    <s v="Gloomhaven"/>
    <x v="693"/>
    <n v="431"/>
    <b v="1"/>
    <s v="Single-player,Multi-player,Co-op,Shared/Split Screen Co-op,Shared/Split Screen,Steam Achievements,Full controller support,Steam Trading Cards,Steam Workshop,Steam Cloud,Remote Play on TV,Remote Play Together,Family Sharing"/>
    <s v="Action,Adventure,Indie,RPG,Simulation"/>
    <n v="837"/>
    <s v="GTX 1070"/>
    <s v="Y"/>
    <s v="Y"/>
    <s v="Y"/>
    <s v="Y"/>
    <s v="Y"/>
    <s v="Y"/>
    <s v="Y"/>
    <s v="N"/>
    <s v="N"/>
  </r>
  <r>
    <n v="780290"/>
    <s v="PGA TOUR 2K23"/>
    <x v="694"/>
    <n v="430"/>
    <b v="1"/>
    <s v="Single-player,Multi-player,Co-op,Online Co-op,Full controller support,Steam Trading Cards,Steam Workshop,Steam Cloud,Includes level editor,Family Sharing"/>
    <s v="Adventure,RPG,Strategy"/>
    <n v="840"/>
    <s v="GTX 1070"/>
    <s v="Y"/>
    <s v="Y"/>
    <s v="N"/>
    <s v="N"/>
    <s v="Y"/>
    <s v="N"/>
    <s v="Y"/>
    <s v="Y"/>
    <s v="N"/>
  </r>
  <r>
    <n v="1588010"/>
    <s v="Roboquest"/>
    <x v="506"/>
    <n v="430"/>
    <b v="0"/>
    <s v="Single-player,Multi-player,PvP,Online PvP,Shared/Split Screen PvP,Co-op,Online Co-op,Shared/Split Screen Co-op,Shared/Split Screen,Steam Achievements,Full controller support,In-App Purchases,Family Sharing"/>
    <s v="RPG,Simulation,Sports"/>
    <n v="840"/>
    <s v="RX 5700 XT"/>
    <s v="Y"/>
    <s v="Y"/>
    <s v="N"/>
    <s v="N"/>
    <s v="N"/>
    <s v="Y"/>
    <s v="Y"/>
    <s v="N"/>
    <s v="N"/>
  </r>
  <r>
    <n v="692890"/>
    <s v="Contraband Police"/>
    <x v="695"/>
    <n v="429"/>
    <b v="0"/>
    <s v="Single-player,Multi-player,Co-op,Online Co-op,Cross-Platform Multiplayer,Steam Achievements,Full controller support,Steam Trading Cards,Camera Comfort,Custom Volume Controls,Adjustable Difficulty,Stereo Sound,Steam Cloud,Family Sharing"/>
    <s v="Action,Indie"/>
    <n v="842"/>
    <s v="GTX 1060"/>
    <s v="Y"/>
    <s v="Y"/>
    <s v="Y"/>
    <s v="Y"/>
    <s v="N"/>
    <s v="N"/>
    <s v="N"/>
    <s v="N"/>
    <s v="N"/>
  </r>
  <r>
    <n v="756800"/>
    <s v="Cubic Odyssey"/>
    <x v="470"/>
    <n v="429"/>
    <b v="0"/>
    <s v="Single-player,Steam Achievements,Full controller support,Steam Cloud,Stats,Family Sharing"/>
    <s v="Action,Adventure,Simulation"/>
    <n v="842"/>
    <s v="RTX 2060"/>
    <s v="Y"/>
    <s v="N"/>
    <s v="Y"/>
    <s v="N"/>
    <s v="Y"/>
    <s v="Y"/>
    <s v="N"/>
    <s v="N"/>
    <s v="N"/>
  </r>
  <r>
    <n v="3400000"/>
    <s v="VRoid Studio v2.7.0"/>
    <x v="193"/>
    <n v="429"/>
    <b v="0"/>
    <s v="Single-player,Multi-player,Co-op,Online Co-op,LAN Co-op,Steam Achievements,Full controller support,Steam Trading Cards,Steam Workshop,Adjustable Text Size,Camera Comfort,Custom Volume Controls,Playable without Timed Input,Save Anytime,Steam Cloud,Remote Play on TV,Family Sharing,Steam Timeline"/>
    <s v="Action,Adventure"/>
    <n v="842"/>
    <s v="RTX 3060"/>
    <s v="Y"/>
    <s v="Y"/>
    <s v="Y"/>
    <s v="N"/>
    <s v="Y"/>
    <s v="N"/>
    <s v="N"/>
    <s v="N"/>
    <s v="N"/>
  </r>
  <r>
    <n v="617290"/>
    <s v="For The King"/>
    <x v="600"/>
    <n v="429"/>
    <b v="0"/>
    <s v="Single-player,Multi-player,Co-op,Online Co-op,Steam Achievements,Full controller support,Steam Trading Cards,Steam Cloud,Remote Play on Tablet,Remote Play on TV,Family Sharing"/>
    <s v="Action,Adventure,RPG"/>
    <n v="842"/>
    <s v="GTX 970"/>
    <s v="Y"/>
    <s v="Y"/>
    <s v="Y"/>
    <s v="N"/>
    <s v="Y"/>
    <s v="N"/>
    <s v="Y"/>
    <s v="N"/>
    <s v="N"/>
  </r>
  <r>
    <n v="527230"/>
    <s v="Doki Doki Literature Club!"/>
    <x v="696"/>
    <n v="428"/>
    <b v="1"/>
    <s v="Single-player,Multi-player,PvP,Online PvP,Shared/Split Screen PvP,Co-op,Online Co-op,Shared/Split Screen Co-op,Shared/Split Screen,Steam Achievements,Full controller support,Steam Trading Cards,Adjustable Difficulty,Keyboard Only Option,Mouse Only Option,Save Anytime,Steam Cloud,Remote Play on Phone,Remote Play on Tablet,Remote Play on TV,Remote Play Together,Family Sharing"/>
    <s v="Adventure,Indie,RPG,Strategy"/>
    <n v="846"/>
    <s v="Radeon Vega 11"/>
    <s v="Y"/>
    <s v="Y"/>
    <s v="N"/>
    <s v="Y"/>
    <s v="Y"/>
    <s v="N"/>
    <s v="Y"/>
    <s v="Y"/>
    <s v="N"/>
  </r>
  <r>
    <n v="698780"/>
    <s v="gogh: Focus with Your Avatar"/>
    <x v="697"/>
    <n v="427"/>
    <b v="1"/>
    <s v="Single-player,Remote Play on Phone,Remote Play on Tablet"/>
    <s v="Casual,Free To Play,Indie"/>
    <n v="847"/>
    <s v="Radeon Graphics"/>
    <s v="Y"/>
    <s v="N"/>
    <s v="N"/>
    <s v="Y"/>
    <s v="N"/>
    <s v="N"/>
    <s v="N"/>
    <s v="N"/>
    <s v="Y"/>
  </r>
  <r>
    <n v="3213850"/>
    <s v="Fights in Tight Spaces"/>
    <x v="525"/>
    <n v="426"/>
    <b v="1"/>
    <s v="Single-player,Multi-player,Co-op,Online Co-op,Steam Achievements,Steam Cloud,Family Sharing"/>
    <s v="Action,Adventure,Casual,Indie,RPG,Simulation,Sports,Free To Play"/>
    <n v="848"/>
    <s v="GTX 1060"/>
    <s v="Y"/>
    <s v="Y"/>
    <s v="Y"/>
    <s v="Y"/>
    <s v="Y"/>
    <s v="Y"/>
    <s v="Y"/>
    <s v="N"/>
    <s v="Y"/>
  </r>
  <r>
    <n v="1265820"/>
    <s v="Mortal Kombat X"/>
    <x v="318"/>
    <n v="426"/>
    <b v="0"/>
    <s v="Single-player,Steam Achievements,Full controller support,Family Sharing"/>
    <s v="Action,Strategy"/>
    <n v="848"/>
    <s v="GTX 750"/>
    <s v="Y"/>
    <s v="N"/>
    <s v="Y"/>
    <s v="N"/>
    <s v="N"/>
    <s v="N"/>
    <s v="N"/>
    <s v="Y"/>
    <s v="N"/>
  </r>
  <r>
    <n v="307780"/>
    <s v="Caves of Qud"/>
    <x v="10"/>
    <n v="426"/>
    <b v="0"/>
    <s v="Single-player,Multi-player,PvP,Shared/Split Screen PvP,Steam Achievements,Full controller support,Steam Trading Cards,Steam Cloud,Steam Leaderboards,Remote Play on Phone,Remote Play on Tablet,Remote Play on TV,Remote Play Together,Family Sharing"/>
    <s v="Action"/>
    <n v="848"/>
    <s v="R9 380"/>
    <s v="Y"/>
    <s v="Y"/>
    <s v="Y"/>
    <s v="N"/>
    <s v="N"/>
    <s v="N"/>
    <s v="N"/>
    <s v="N"/>
    <s v="N"/>
  </r>
  <r>
    <n v="333640"/>
    <s v="DRAGON QUEST BUILDERS 2"/>
    <x v="7"/>
    <n v="425"/>
    <b v="1"/>
    <s v="Single-player,Steam Achievements,Full controller support,Steam Workshop,Steam Cloud,Steam Leaderboards,Includes level editor,Family Sharing"/>
    <s v="Adventure,Indie,RPG,Strategy"/>
    <n v="851"/>
    <s v="GTX 1060"/>
    <s v="Y"/>
    <s v="N"/>
    <s v="N"/>
    <s v="Y"/>
    <s v="Y"/>
    <s v="N"/>
    <s v="Y"/>
    <s v="Y"/>
    <s v="N"/>
  </r>
  <r>
    <n v="1072420"/>
    <s v="S.T.A.L.K.E.R.: Shadow of Chornobyl - Enhanced Edition"/>
    <x v="698"/>
    <n v="425"/>
    <b v="0"/>
    <s v="Single-player,Multi-player,Co-op,Online Co-op,Steam Achievements,Full controller support,Steam Trading Cards,Steam Cloud,Stats,Remote Play on Tablet,Family Sharing"/>
    <s v="Action,Adventure,RPG"/>
    <n v="851"/>
    <s v="GTX 1060"/>
    <s v="Y"/>
    <s v="Y"/>
    <s v="Y"/>
    <s v="N"/>
    <s v="Y"/>
    <s v="N"/>
    <s v="Y"/>
    <s v="N"/>
    <s v="N"/>
  </r>
  <r>
    <n v="2427410"/>
    <s v="The Last Spell"/>
    <x v="109"/>
    <n v="424"/>
    <b v="0"/>
    <s v="Single-player,Steam Achievements,Full controller support,Steam Workshop,Adjustable Difficulty,Save Anytime,Stereo Sound,Steam Cloud,Family Sharing"/>
    <s v="Action,Adventure,RPG"/>
    <n v="853"/>
    <s v="RX 580"/>
    <s v="Y"/>
    <s v="N"/>
    <s v="Y"/>
    <s v="N"/>
    <s v="Y"/>
    <s v="N"/>
    <s v="Y"/>
    <s v="N"/>
    <s v="N"/>
  </r>
  <r>
    <n v="1105670"/>
    <s v="STAR WARS Knights of the Old Republic"/>
    <x v="699"/>
    <n v="424"/>
    <b v="0"/>
    <s v="Single-player,Steam Achievements,Steam Trading Cards,Adjustable Text Size,Camera Comfort,Custom Volume Controls,Adjustable Difficulty,Partial Controller Support,Steam Cloud,Family Sharing"/>
    <s v="Action,Indie,RPG,Strategy"/>
    <n v="853"/>
    <s v="RX 560"/>
    <s v="Y"/>
    <s v="N"/>
    <s v="Y"/>
    <s v="Y"/>
    <s v="N"/>
    <s v="N"/>
    <s v="Y"/>
    <s v="Y"/>
    <s v="N"/>
  </r>
  <r>
    <n v="32370"/>
    <s v="Liftoff: FPV Drone Racing"/>
    <x v="700"/>
    <n v="424"/>
    <b v="1"/>
    <s v="Single-player,Steam Cloud,Family Sharing"/>
    <s v="Adventure,RPG"/>
    <n v="853"/>
    <s v="Radeon Graphics"/>
    <s v="Y"/>
    <s v="N"/>
    <s v="N"/>
    <s v="N"/>
    <s v="Y"/>
    <s v="N"/>
    <s v="Y"/>
    <s v="N"/>
    <s v="N"/>
  </r>
  <r>
    <n v="410340"/>
    <s v="Beat Saber"/>
    <x v="701"/>
    <n v="423"/>
    <b v="1"/>
    <s v="Single-player,Multi-player,PvP,Online PvP,Steam Achievements,Steam Trading Cards,Steam Workshop,Partial Controller Support,Includes level editor,Family Sharing"/>
    <s v="Indie,Racing,Simulation,Sports"/>
    <n v="856"/>
    <s v="RTX 2060"/>
    <s v="Y"/>
    <s v="Y"/>
    <s v="N"/>
    <s v="Y"/>
    <s v="N"/>
    <s v="Y"/>
    <s v="N"/>
    <s v="N"/>
    <s v="N"/>
  </r>
  <r>
    <n v="620980"/>
    <s v="Bodycam"/>
    <x v="702"/>
    <n v="423"/>
    <b v="0"/>
    <s v="Single-player,Multi-player,PvP,Online PvP,Tracked Controller Support,VR Only,Steam Leaderboards,Family Sharing"/>
    <s v="Indie"/>
    <n v="856"/>
    <s v="GTX 1060"/>
    <s v="Y"/>
    <s v="Y"/>
    <s v="N"/>
    <s v="Y"/>
    <s v="N"/>
    <s v="N"/>
    <s v="N"/>
    <s v="N"/>
    <s v="N"/>
  </r>
  <r>
    <n v="2406770"/>
    <s v="A Little to the Left"/>
    <x v="703"/>
    <n v="422"/>
    <b v="0"/>
    <s v="Multi-player,PvP,Online PvP,In-App Purchases,Stats,Steam Leaderboards,Family Sharing"/>
    <s v="Action,Indie,Massively Multiplayer,Simulation,Strategy,Early Access"/>
    <n v="858"/>
    <s v="RX 6600 XT"/>
    <s v="N"/>
    <s v="Y"/>
    <s v="Y"/>
    <s v="Y"/>
    <s v="N"/>
    <s v="Y"/>
    <s v="N"/>
    <s v="Y"/>
    <s v="N"/>
  </r>
  <r>
    <n v="1629520"/>
    <s v="theHunter Classic"/>
    <x v="175"/>
    <n v="422"/>
    <b v="1"/>
    <s v="Single-player,Steam Achievements,Full controller support,Steam Trading Cards,Camera Comfort,Color Alternatives,Custom Volume Controls,Adjustable Difficulty,Keyboard Only Option,Mouse Only Option,Playable without Timed Input,Touch Only Option,Steam Cloud,Family Sharing"/>
    <s v="Casual,Indie"/>
    <n v="858"/>
    <s v="Radeon Vega 11"/>
    <s v="Y"/>
    <s v="N"/>
    <s v="N"/>
    <s v="Y"/>
    <s v="N"/>
    <s v="N"/>
    <s v="N"/>
    <s v="N"/>
    <s v="N"/>
  </r>
  <r>
    <n v="253710"/>
    <s v="Wolfenstein: The New Order"/>
    <x v="704"/>
    <n v="417"/>
    <b v="0"/>
    <s v="Single-player,Multi-player,Co-op,Online Co-op,Steam Achievements,In-App Purchases"/>
    <s v="Action,Adventure,Free To Play,Simulation,Sports"/>
    <n v="860"/>
    <s v="GTX 780"/>
    <s v="Y"/>
    <s v="Y"/>
    <s v="Y"/>
    <s v="N"/>
    <s v="Y"/>
    <s v="Y"/>
    <s v="N"/>
    <s v="N"/>
    <s v="Y"/>
  </r>
  <r>
    <n v="201810"/>
    <s v="Papers, Please"/>
    <x v="705"/>
    <n v="417"/>
    <b v="0"/>
    <s v="Single-player,Steam Achievements,Playable without Timed Input,Stereo Sound,Surround Sound,Partial Controller Support,Steam Leaderboards,Family Sharing"/>
    <s v="Action"/>
    <n v="860"/>
    <s v="Radeon Graphics"/>
    <s v="Y"/>
    <s v="N"/>
    <s v="Y"/>
    <s v="N"/>
    <s v="N"/>
    <s v="N"/>
    <s v="N"/>
    <s v="N"/>
    <s v="N"/>
  </r>
  <r>
    <n v="239030"/>
    <s v="Mad Island"/>
    <x v="706"/>
    <n v="416"/>
    <b v="1"/>
    <s v="Single-player,Steam Achievements,Steam Trading Cards,Steam Cloud,Stats,Steam Leaderboards,Remote Play on Phone,Remote Play on Tablet,Family Sharing"/>
    <s v="Adventure,Indie"/>
    <n v="862"/>
    <s v="Radeon Graphics"/>
    <s v="Y"/>
    <s v="N"/>
    <s v="N"/>
    <s v="Y"/>
    <s v="Y"/>
    <s v="N"/>
    <s v="N"/>
    <s v="N"/>
    <s v="N"/>
  </r>
  <r>
    <n v="2739590"/>
    <s v="Battle Teams 2"/>
    <x v="460"/>
    <n v="416"/>
    <b v="0"/>
    <s v="Single-player,Family Sharing"/>
    <s v="Action,Indie,RPG,Simulation,Early Access"/>
    <n v="862"/>
    <s v="GTX 1050"/>
    <s v="Y"/>
    <s v="N"/>
    <s v="Y"/>
    <s v="Y"/>
    <s v="N"/>
    <s v="Y"/>
    <s v="Y"/>
    <s v="N"/>
    <s v="N"/>
  </r>
  <r>
    <n v="1969870"/>
    <s v="Onmyoji"/>
    <x v="437"/>
    <n v="413"/>
    <b v="0"/>
    <s v="Single-player,Multi-player,MMO,PvP,Online PvP,Co-op,Online Co-op,Steam Trading Cards,In-App Purchases"/>
    <s v="Action,Adventure,Massively Multiplayer,Free To Play"/>
    <n v="864"/>
    <s v="GTX 1070"/>
    <s v="Y"/>
    <s v="Y"/>
    <s v="Y"/>
    <s v="N"/>
    <s v="Y"/>
    <s v="N"/>
    <s v="N"/>
    <s v="N"/>
    <s v="Y"/>
  </r>
  <r>
    <n v="551170"/>
    <s v="The Sims 2 Legacy Collection"/>
    <x v="707"/>
    <n v="412"/>
    <b v="0"/>
    <s v="Multi-player,MMO,Steam Achievements,Steam Trading Cards,In-App Purchases"/>
    <s v="Adventure,RPG,Strategy"/>
    <n v="865"/>
    <s v="Radeon Vega 8"/>
    <s v="N"/>
    <s v="Y"/>
    <s v="N"/>
    <s v="N"/>
    <s v="Y"/>
    <s v="N"/>
    <s v="Y"/>
    <s v="Y"/>
    <s v="N"/>
  </r>
  <r>
    <n v="3314070"/>
    <s v="HUMANKIND"/>
    <x v="473"/>
    <n v="412"/>
    <b v="0"/>
    <s v="Single-player,Family Sharing"/>
    <s v="Simulation"/>
    <n v="865"/>
    <s v="GTX 1050 Ti"/>
    <s v="Y"/>
    <s v="N"/>
    <s v="N"/>
    <s v="N"/>
    <s v="N"/>
    <s v="Y"/>
    <s v="N"/>
    <s v="N"/>
    <s v="N"/>
  </r>
  <r>
    <n v="1124300"/>
    <s v="LOCKDOWN Protocol"/>
    <x v="708"/>
    <n v="411"/>
    <b v="1"/>
    <s v="Single-player,Multi-player,PvP,Online PvP,Steam Achievements,Steam Trading Cards,Steam Cloud,Includes level editor,Family Sharing"/>
    <s v="Strategy"/>
    <n v="867"/>
    <s v="GTX 1060"/>
    <s v="Y"/>
    <s v="Y"/>
    <s v="N"/>
    <s v="N"/>
    <s v="N"/>
    <s v="N"/>
    <s v="N"/>
    <s v="Y"/>
    <s v="N"/>
  </r>
  <r>
    <n v="2780980"/>
    <s v="Dead Island Definitive Edition"/>
    <x v="709"/>
    <n v="411"/>
    <b v="0"/>
    <s v="Multi-player,PvP,Online PvP,Co-op,Online Co-op,Steam Trading Cards,Family Sharing"/>
    <s v="Action,Casual,Indie,Strategy"/>
    <n v="867"/>
    <s v="GTX 1050"/>
    <s v="N"/>
    <s v="Y"/>
    <s v="Y"/>
    <s v="Y"/>
    <s v="N"/>
    <s v="N"/>
    <s v="N"/>
    <s v="Y"/>
    <s v="N"/>
  </r>
  <r>
    <n v="383150"/>
    <s v="Shin Megami Tensei V: Vengeance"/>
    <x v="710"/>
    <n v="410"/>
    <b v="0"/>
    <s v="Single-player,Multi-player,Co-op,Online Co-op,Steam Achievements,Full controller support,Steam Trading Cards,Captions available,Steam Cloud,Stats,Remote Play on TV,Family Sharing"/>
    <s v="Action"/>
    <n v="869"/>
    <s v="GTX 1050 Ti"/>
    <s v="Y"/>
    <s v="Y"/>
    <s v="Y"/>
    <s v="N"/>
    <s v="N"/>
    <s v="N"/>
    <s v="N"/>
    <s v="N"/>
    <s v="N"/>
  </r>
  <r>
    <n v="1875830"/>
    <s v="Symphony of War: The Nephilim Saga"/>
    <x v="458"/>
    <n v="410"/>
    <b v="0"/>
    <s v="Single-player,Steam Achievements,Full controller support,Steam Cloud,Family Sharing"/>
    <s v="Adventure,RPG"/>
    <n v="869"/>
    <s v="GTX 1050 Ti"/>
    <s v="Y"/>
    <s v="N"/>
    <s v="N"/>
    <s v="N"/>
    <s v="Y"/>
    <s v="N"/>
    <s v="Y"/>
    <s v="N"/>
    <s v="N"/>
  </r>
  <r>
    <n v="1488200"/>
    <s v="Zenkcraft"/>
    <x v="711"/>
    <n v="409"/>
    <b v="0"/>
    <s v="Single-player,Steam Achievements,Partial Controller Support,Steam Cloud,Family Sharing"/>
    <s v="Adventure,Indie,RPG,Strategy"/>
    <n v="871"/>
    <s v="Radeon Vega 11"/>
    <s v="Y"/>
    <s v="N"/>
    <s v="N"/>
    <s v="Y"/>
    <s v="Y"/>
    <s v="N"/>
    <s v="Y"/>
    <s v="Y"/>
    <s v="N"/>
  </r>
  <r>
    <n v="1144400"/>
    <s v="Riichi City ﾃ The Quintessential Quintuplets Specials 2"/>
    <x v="353"/>
    <n v="406"/>
    <b v="0"/>
    <s v="Single-player,Steam Achievements,Steam Trading Cards,Partial Controller Support,Steam Cloud,Remote Play on Phone,Remote Play on Tablet,Family Sharing"/>
    <s v="Adventure,Casual"/>
    <n v="872"/>
    <s v="Radeon Vega 11"/>
    <s v="Y"/>
    <s v="N"/>
    <s v="N"/>
    <s v="N"/>
    <s v="Y"/>
    <s v="N"/>
    <s v="N"/>
    <s v="N"/>
    <s v="N"/>
  </r>
  <r>
    <n v="1458140"/>
    <s v="Cry of Fear"/>
    <x v="132"/>
    <n v="406"/>
    <b v="0"/>
    <s v="Single-player,Steam Achievements,Full controller support,Steam Cloud,Stats,Family Sharing"/>
    <s v="Action,Adventure,Indie,Racing,Simulation"/>
    <n v="872"/>
    <s v="RTX 2080"/>
    <s v="Y"/>
    <s v="N"/>
    <s v="Y"/>
    <s v="Y"/>
    <s v="Y"/>
    <s v="Y"/>
    <s v="N"/>
    <s v="N"/>
    <s v="N"/>
  </r>
  <r>
    <n v="223710"/>
    <s v="Hotline Miami"/>
    <x v="712"/>
    <n v="405"/>
    <b v="0"/>
    <s v="Single-player,Multi-player,Co-op,Steam Cloud,Valve Anti-Cheat enabled"/>
    <s v="Action,Adventure,Indie"/>
    <n v="874"/>
    <s v="Radeon Graphics"/>
    <s v="Y"/>
    <s v="Y"/>
    <s v="Y"/>
    <s v="Y"/>
    <s v="Y"/>
    <s v="N"/>
    <s v="N"/>
    <s v="N"/>
    <s v="N"/>
  </r>
  <r>
    <n v="219150"/>
    <s v="Gothic II: Gold Edition"/>
    <x v="713"/>
    <n v="404"/>
    <b v="1"/>
    <s v="Single-player,Steam Achievements,Full controller support,Steam Trading Cards,Steam Cloud,Steam Leaderboards,Family Sharing"/>
    <s v="Action,Indie"/>
    <n v="875"/>
    <s v="Radeon Graphics"/>
    <s v="Y"/>
    <s v="N"/>
    <s v="Y"/>
    <s v="Y"/>
    <s v="N"/>
    <s v="N"/>
    <s v="N"/>
    <s v="N"/>
    <s v="N"/>
  </r>
  <r>
    <n v="39510"/>
    <s v="Dome Keeper"/>
    <x v="714"/>
    <n v="404"/>
    <b v="0"/>
    <s v="Single-player,Family Sharing"/>
    <s v="Action,RPG"/>
    <n v="875"/>
    <s v="Intel HD Graphics"/>
    <s v="Y"/>
    <s v="N"/>
    <s v="Y"/>
    <s v="N"/>
    <s v="N"/>
    <s v="N"/>
    <s v="Y"/>
    <s v="N"/>
    <s v="N"/>
  </r>
  <r>
    <n v="1637320"/>
    <s v="Elsword"/>
    <x v="249"/>
    <n v="402"/>
    <b v="1"/>
    <s v="Single-player,Steam Achievements,Full controller support,Steam Trading Cards,Steam Workshop,Steam Cloud,Steam Leaderboards,Family Sharing"/>
    <s v="Action,Adventure,Indie,Simulation"/>
    <n v="877"/>
    <s v="Radeon Vega 11"/>
    <s v="Y"/>
    <s v="N"/>
    <s v="Y"/>
    <s v="Y"/>
    <s v="Y"/>
    <s v="Y"/>
    <s v="N"/>
    <s v="N"/>
    <s v="N"/>
  </r>
  <r>
    <n v="237310"/>
    <s v="Worlds of Magic"/>
    <x v="715"/>
    <n v="401"/>
    <b v="0"/>
    <s v="Single-player,Multi-player,MMO,PvP,Online PvP,Co-op,Partial Controller Support"/>
    <s v="Action,Adventure,Casual,Massively Multiplayer,RPG,Free To Play"/>
    <n v="878"/>
    <s v="GTX 750"/>
    <s v="Y"/>
    <s v="Y"/>
    <s v="Y"/>
    <s v="N"/>
    <s v="Y"/>
    <s v="N"/>
    <s v="Y"/>
    <s v="N"/>
    <s v="Y"/>
  </r>
  <r>
    <n v="265970"/>
    <s v="Empires of the Undergrowth"/>
    <x v="716"/>
    <n v="401"/>
    <b v="1"/>
    <s v="Single-player,Multi-player,Co-op,Shared/Split Screen,Steam Achievements,Steam Trading Cards,Remote Play Together,Family Sharing"/>
    <s v="RPG,Strategy"/>
    <n v="878"/>
    <s v="Radeon Graphics"/>
    <s v="Y"/>
    <s v="Y"/>
    <s v="N"/>
    <s v="N"/>
    <s v="N"/>
    <s v="N"/>
    <s v="Y"/>
    <s v="Y"/>
    <s v="N"/>
  </r>
  <r>
    <n v="463530"/>
    <s v="Call of Duty: Modern Warfare 2 (2009)"/>
    <x v="703"/>
    <n v="399"/>
    <b v="1"/>
    <s v="Single-player,Steam Achievements,Full controller support,Steam Trading Cards,Steam Cloud,Family Sharing"/>
    <s v="Simulation,Strategy"/>
    <n v="880"/>
    <s v="Radeon Vega 8"/>
    <s v="Y"/>
    <s v="N"/>
    <s v="N"/>
    <s v="N"/>
    <s v="N"/>
    <s v="Y"/>
    <s v="N"/>
    <s v="Y"/>
    <s v="N"/>
  </r>
  <r>
    <n v="10180"/>
    <s v="OCTOPATH TRAVELER II"/>
    <x v="717"/>
    <n v="399"/>
    <b v="1"/>
    <s v="Single-player,Multi-player,Co-op,Steam Achievements,Steam Cloud,Valve Anti-Cheat enabled,Family Sharing"/>
    <s v="Action"/>
    <n v="880"/>
    <s v="GTX 780"/>
    <s v="Y"/>
    <s v="Y"/>
    <s v="Y"/>
    <s v="N"/>
    <s v="N"/>
    <s v="N"/>
    <s v="N"/>
    <s v="N"/>
    <s v="N"/>
  </r>
  <r>
    <n v="1971650"/>
    <s v="Solasta: Crown of the Magister"/>
    <x v="718"/>
    <n v="398"/>
    <b v="0"/>
    <s v="Single-player,Steam Achievements,Full controller support,Steam Trading Cards,Steam Cloud,Family Sharing"/>
    <s v="RPG"/>
    <n v="882"/>
    <s v="GTX 1060"/>
    <s v="Y"/>
    <s v="N"/>
    <s v="N"/>
    <s v="N"/>
    <s v="N"/>
    <s v="N"/>
    <s v="Y"/>
    <s v="N"/>
    <s v="N"/>
  </r>
  <r>
    <n v="1096530"/>
    <s v="Dragon Age: Origins - Ultimate Edition"/>
    <x v="719"/>
    <n v="396"/>
    <b v="1"/>
    <s v="Single-player,Multi-player,Co-op,Online Co-op,Cross-Platform Multiplayer,Steam Achievements,Full controller support,Steam Workshop,Custom Volume Controls,Adjustable Difficulty,Mouse Only Option,Playable without Timed Input,Save Anytime,Stereo Sound,Subtitle Options,Surround Sound,Steam Cloud,Includes level editor,Family Sharing"/>
    <s v="Adventure,RPG,Strategy"/>
    <n v="883"/>
    <s v="RX 590"/>
    <s v="Y"/>
    <s v="Y"/>
    <s v="N"/>
    <s v="N"/>
    <s v="Y"/>
    <s v="N"/>
    <s v="Y"/>
    <s v="Y"/>
    <s v="N"/>
  </r>
  <r>
    <n v="47810"/>
    <s v="Sifu"/>
    <x v="720"/>
    <n v="394"/>
    <b v="0"/>
    <s v="Single-player,Family Sharing"/>
    <s v="RPG"/>
    <n v="884"/>
    <s v="GTX 770"/>
    <s v="Y"/>
    <s v="N"/>
    <s v="N"/>
    <s v="N"/>
    <s v="N"/>
    <s v="N"/>
    <s v="Y"/>
    <s v="N"/>
    <s v="N"/>
  </r>
  <r>
    <n v="2138710"/>
    <s v="MechWarrior Online Legends"/>
    <x v="176"/>
    <n v="394"/>
    <b v="0"/>
    <s v="Single-player,Steam Achievements,Full controller support,Steam Cloud,Family Sharing"/>
    <s v="Action,Indie"/>
    <n v="884"/>
    <s v="GTX 970"/>
    <s v="Y"/>
    <s v="N"/>
    <s v="Y"/>
    <s v="Y"/>
    <s v="N"/>
    <s v="N"/>
    <s v="N"/>
    <s v="N"/>
    <s v="N"/>
  </r>
  <r>
    <n v="342200"/>
    <s v="Barony"/>
    <x v="721"/>
    <n v="392"/>
    <b v="0"/>
    <s v="Multi-player,MMO,Steam Achievements,In-App Purchases"/>
    <s v="Action,Massively Multiplayer,Simulation,Strategy,Free To Play"/>
    <n v="886"/>
    <s v="R9 380"/>
    <s v="N"/>
    <s v="Y"/>
    <s v="Y"/>
    <s v="N"/>
    <s v="N"/>
    <s v="Y"/>
    <s v="N"/>
    <s v="Y"/>
    <s v="Y"/>
  </r>
  <r>
    <n v="371970"/>
    <s v="Standable: Full Body Estimation"/>
    <x v="319"/>
    <n v="390"/>
    <b v="1"/>
    <s v="Single-player,Multi-player,Co-op,Online Co-op,LAN Co-op,Shared/Split Screen Co-op,Shared/Split Screen,Cross-Platform Multiplayer,Steam Achievements,Full controller support,Steam Trading Cards,Steam Workshop,Includes level editor,Remote Play Together,Family Sharing"/>
    <s v="Action,Adventure,Indie,RPG"/>
    <n v="887"/>
    <s v="GTX 950"/>
    <s v="Y"/>
    <s v="Y"/>
    <s v="Y"/>
    <s v="Y"/>
    <s v="Y"/>
    <s v="N"/>
    <s v="Y"/>
    <s v="N"/>
    <s v="N"/>
  </r>
  <r>
    <n v="2370570"/>
    <s v="Watch_Dogs"/>
    <x v="414"/>
    <n v="389"/>
    <b v="0"/>
    <s v="VR Only"/>
    <s v="Indie,Utilities"/>
    <n v="888"/>
    <s v="GTX 1050"/>
    <s v="N"/>
    <s v="N"/>
    <s v="N"/>
    <s v="Y"/>
    <s v="N"/>
    <s v="N"/>
    <s v="N"/>
    <s v="N"/>
    <s v="N"/>
  </r>
  <r>
    <n v="243470"/>
    <s v="Bejeweled 3"/>
    <x v="722"/>
    <n v="388"/>
    <b v="0"/>
    <s v="Single-player,Multi-player,Steam Achievements,Steam Trading Cards,Partial Controller Support"/>
    <s v="Action,Adventure"/>
    <n v="889"/>
    <s v="GTX 980 Ti"/>
    <s v="Y"/>
    <s v="Y"/>
    <s v="Y"/>
    <s v="N"/>
    <s v="Y"/>
    <s v="N"/>
    <s v="N"/>
    <s v="N"/>
    <s v="N"/>
  </r>
  <r>
    <n v="78000"/>
    <s v="Project Hospital"/>
    <x v="723"/>
    <n v="387"/>
    <b v="1"/>
    <s v="Single-player,Steam Achievements,Remote Play on Phone,Remote Play on Tablet,Family Sharing"/>
    <s v="Casual,Strategy"/>
    <n v="890"/>
    <s v="Radeon Graphics"/>
    <s v="Y"/>
    <s v="N"/>
    <s v="N"/>
    <s v="N"/>
    <s v="N"/>
    <s v="N"/>
    <s v="N"/>
    <s v="Y"/>
    <s v="N"/>
  </r>
  <r>
    <n v="868360"/>
    <s v="Divinity: Original Sin - Enhanced Edition"/>
    <x v="724"/>
    <n v="387"/>
    <b v="1"/>
    <s v="Single-player,Steam Achievements,Steam Trading Cards,Steam Workshop,Steam Cloud,Stats,Family Sharing"/>
    <s v="Indie,Simulation,Strategy"/>
    <n v="890"/>
    <s v="GTX 1050"/>
    <s v="Y"/>
    <s v="N"/>
    <s v="N"/>
    <s v="Y"/>
    <s v="N"/>
    <s v="Y"/>
    <s v="N"/>
    <s v="Y"/>
    <s v="N"/>
  </r>
  <r>
    <n v="373420"/>
    <s v="FINAL FANTASY VII"/>
    <x v="725"/>
    <n v="387"/>
    <b v="1"/>
    <s v="Single-player,Multi-player,Co-op,Shared/Split Screen,Cross-Platform Multiplayer,Steam Achievements,Full controller support,Steam Trading Cards,Captions available,Steam Cloud,Remote Play Together,Family Sharing"/>
    <s v="Adventure,Indie,RPG,Strategy"/>
    <n v="890"/>
    <s v="Radeon Vega 8"/>
    <s v="Y"/>
    <s v="Y"/>
    <s v="N"/>
    <s v="Y"/>
    <s v="Y"/>
    <s v="N"/>
    <s v="Y"/>
    <s v="Y"/>
    <s v="N"/>
  </r>
  <r>
    <n v="39140"/>
    <s v="Clanfolk"/>
    <x v="726"/>
    <n v="386"/>
    <b v="0"/>
    <s v="Single-player,Steam Achievements,Full controller support,Remote Play on Phone,Remote Play on Tablet,Family Sharing"/>
    <s v="RPG"/>
    <n v="893"/>
    <s v="GTX 750"/>
    <s v="Y"/>
    <s v="N"/>
    <s v="N"/>
    <s v="N"/>
    <s v="N"/>
    <s v="N"/>
    <s v="Y"/>
    <s v="N"/>
    <s v="N"/>
  </r>
  <r>
    <n v="1700870"/>
    <s v="Kingdom Rush 5: Alliance TD"/>
    <x v="237"/>
    <n v="386"/>
    <b v="0"/>
    <s v="Single-player,Adjustable Text Size,Custom Volume Controls,Adjustable Difficulty,Save Anytime,Stereo Sound,Steam Cloud,Family Sharing"/>
    <s v="RPG,Simulation,Strategy,Early Access"/>
    <n v="893"/>
    <s v="GTX 1050"/>
    <s v="Y"/>
    <s v="N"/>
    <s v="N"/>
    <s v="N"/>
    <s v="N"/>
    <s v="Y"/>
    <s v="Y"/>
    <s v="Y"/>
    <s v="N"/>
  </r>
  <r>
    <n v="2849080"/>
    <s v="Rise of the Ronin"/>
    <x v="56"/>
    <n v="386"/>
    <b v="1"/>
    <s v="Single-player,Steam Achievements,Partial Controller Support,Steam Cloud,Family Sharing"/>
    <s v="Indie,Strategy"/>
    <n v="893"/>
    <s v="RTX 2080 SUPER"/>
    <s v="Y"/>
    <s v="N"/>
    <s v="N"/>
    <s v="Y"/>
    <s v="N"/>
    <s v="N"/>
    <s v="N"/>
    <s v="Y"/>
    <s v="N"/>
  </r>
  <r>
    <n v="1340990"/>
    <s v="NARUTO SHIPPUDEN: Ultimate Ninja STORM 4"/>
    <x v="727"/>
    <n v="385"/>
    <b v="0"/>
    <s v="Single-player,Multi-player,Co-op,Online Co-op,Steam Achievements,Steam Trading Cards,Captions available,Partial Controller Support,Steam Cloud,Steam Leaderboards,Family Sharing"/>
    <s v="Action,Adventure,RPG"/>
    <n v="896"/>
    <s v="RTX 2080 SUPER"/>
    <s v="Y"/>
    <s v="Y"/>
    <s v="Y"/>
    <s v="N"/>
    <s v="Y"/>
    <s v="N"/>
    <s v="Y"/>
    <s v="N"/>
    <s v="N"/>
  </r>
  <r>
    <n v="349040"/>
    <s v="Sea Power : Naval Combat in the Missile Age"/>
    <x v="208"/>
    <n v="384"/>
    <b v="0"/>
    <s v="Single-player,Multi-player,PvP,Shared/Split Screen PvP,Steam Achievements,Full controller support,Steam Cloud,Steam Leaderboards,Remote Play on Phone,Remote Play on Tablet,Remote Play on TV,Remote Play Together,Family Sharing"/>
    <s v="Action,Adventure"/>
    <n v="897"/>
    <s v="RX 6700"/>
    <s v="Y"/>
    <s v="Y"/>
    <s v="Y"/>
    <s v="N"/>
    <s v="Y"/>
    <s v="N"/>
    <s v="N"/>
    <s v="N"/>
    <s v="N"/>
  </r>
  <r>
    <n v="1286220"/>
    <s v="LurkBait Twitch Fishing"/>
    <x v="77"/>
    <n v="384"/>
    <b v="0"/>
    <s v="Single-player,Steam Workshop,Steam Cloud,Includes level editor,Family Sharing"/>
    <s v="Action,Simulation,Strategy,Early Access"/>
    <n v="897"/>
    <s v="RX 6700"/>
    <s v="Y"/>
    <s v="N"/>
    <s v="Y"/>
    <s v="N"/>
    <s v="N"/>
    <s v="Y"/>
    <s v="N"/>
    <s v="Y"/>
    <s v="N"/>
  </r>
  <r>
    <n v="2767520"/>
    <s v="Town of Salem 2"/>
    <x v="132"/>
    <n v="383"/>
    <b v="0"/>
    <s v="Single-player,Steam Achievements,Steam Cloud,Family Sharing"/>
    <s v="Casual,Indie,Simulation,Sports"/>
    <n v="899"/>
    <s v="RTX 2080"/>
    <s v="Y"/>
    <s v="N"/>
    <s v="N"/>
    <s v="Y"/>
    <s v="N"/>
    <s v="Y"/>
    <s v="N"/>
    <s v="N"/>
    <s v="N"/>
  </r>
  <r>
    <n v="2140510"/>
    <s v="X-Plane 11"/>
    <x v="667"/>
    <n v="382"/>
    <b v="1"/>
    <s v="Multi-player,PvP,Online PvP,Steam Achievements,In-App Purchases"/>
    <s v="Action,Casual,RPG,Strategy,Free To Play"/>
    <n v="900"/>
    <s v="GTX 1070"/>
    <s v="N"/>
    <s v="Y"/>
    <s v="Y"/>
    <s v="N"/>
    <s v="N"/>
    <s v="N"/>
    <s v="Y"/>
    <s v="Y"/>
    <s v="Y"/>
  </r>
  <r>
    <n v="269950"/>
    <s v="Forts"/>
    <x v="728"/>
    <n v="381"/>
    <b v="1"/>
    <s v="Single-player,Multi-player,PvP,Shared/Split Screen PvP,Tracked Controller Support,VR Supported,Partial Controller Support,Includes level editor,Family Sharing"/>
    <s v="Simulation"/>
    <n v="901"/>
    <s v="Intel UHD Graphics"/>
    <s v="Y"/>
    <s v="Y"/>
    <s v="N"/>
    <s v="N"/>
    <s v="N"/>
    <s v="Y"/>
    <s v="N"/>
    <s v="N"/>
    <s v="N"/>
  </r>
  <r>
    <n v="410900"/>
    <s v="The Forever Winter"/>
    <x v="729"/>
    <n v="379"/>
    <b v="0"/>
    <s v="Single-player,Multi-player,PvP,Online PvP,LAN PvP,Co-op,Online Co-op,LAN Co-op,Steam Achievements,Steam Trading Cards,Captions available,Steam Workshop,Steam Cloud,Steam Leaderboards,Includes level editor,Family Sharing"/>
    <s v="Action,Indie,Strategy"/>
    <n v="902"/>
    <s v="RTX 3080 Ti"/>
    <s v="Y"/>
    <s v="Y"/>
    <s v="Y"/>
    <s v="Y"/>
    <s v="N"/>
    <s v="N"/>
    <s v="N"/>
    <s v="Y"/>
    <s v="N"/>
  </r>
  <r>
    <n v="2828860"/>
    <s v="Warhammer 40,000: Battlesector"/>
    <x v="730"/>
    <n v="379"/>
    <b v="0"/>
    <s v="Single-player,Multi-player,Co-op,Online Co-op,Partial Controller Support,Family Sharing"/>
    <s v="Action,Early Access"/>
    <n v="902"/>
    <s v="RTX 3080 Ti"/>
    <s v="Y"/>
    <s v="Y"/>
    <s v="Y"/>
    <s v="N"/>
    <s v="N"/>
    <s v="N"/>
    <s v="N"/>
    <s v="N"/>
    <s v="N"/>
  </r>
  <r>
    <n v="1295500"/>
    <s v="Baldur's Gate: Enhanced Edition"/>
    <x v="731"/>
    <n v="378"/>
    <b v="0"/>
    <s v="Single-player,Multi-player,PvP,Online PvP,Shared/Split Screen PvP,Shared/Split Screen,Steam Achievements,Partial Controller Support,Steam Cloud,Remote Play Together,Family Sharing"/>
    <s v="Strategy"/>
    <n v="904"/>
    <s v="GTX 1050"/>
    <s v="Y"/>
    <s v="Y"/>
    <s v="N"/>
    <s v="N"/>
    <s v="N"/>
    <s v="N"/>
    <s v="N"/>
    <s v="Y"/>
    <s v="N"/>
  </r>
  <r>
    <n v="228280"/>
    <s v="Call of Duty 4: Modern Warfare (2007)"/>
    <x v="732"/>
    <n v="378"/>
    <b v="1"/>
    <s v="Single-player,Multi-player,Co-op,Cross-Platform Multiplayer,Steam Achievements,Steam Trading Cards,Steam Cloud,Family Sharing"/>
    <s v="Adventure,RPG"/>
    <n v="904"/>
    <s v="GTX 750"/>
    <s v="Y"/>
    <s v="Y"/>
    <s v="N"/>
    <s v="N"/>
    <s v="Y"/>
    <s v="N"/>
    <s v="Y"/>
    <s v="N"/>
    <s v="N"/>
  </r>
  <r>
    <n v="7940"/>
    <s v="Marvel's Spider-Man: Miles Morales"/>
    <x v="733"/>
    <n v="377"/>
    <b v="1"/>
    <s v="Single-player,Multi-player,Family Sharing"/>
    <s v="Action"/>
    <n v="906"/>
    <s v="Radeon Graphics"/>
    <s v="Y"/>
    <s v="Y"/>
    <s v="Y"/>
    <s v="N"/>
    <s v="N"/>
    <s v="N"/>
    <s v="N"/>
    <s v="N"/>
    <s v="N"/>
  </r>
  <r>
    <n v="1817190"/>
    <s v="The Long Drive"/>
    <x v="734"/>
    <n v="377"/>
    <b v="0"/>
    <s v="Single-player,Steam Achievements,Adjustable Text Size,Camera Comfort,Color Alternatives,Custom Volume Controls,Adjustable Difficulty,Playable without Timed Input,Save Anytime,Stereo Sound,Subtitle Options,Surround Sound,Partial Controller Support,Steam Cloud,Remote Play on TV,Family Sharing"/>
    <s v="Action,Adventure"/>
    <n v="906"/>
    <s v="RX 580"/>
    <s v="Y"/>
    <s v="N"/>
    <s v="Y"/>
    <s v="N"/>
    <s v="Y"/>
    <s v="N"/>
    <s v="N"/>
    <s v="N"/>
    <s v="N"/>
  </r>
  <r>
    <n v="1017180"/>
    <s v="Gang Beasts"/>
    <x v="735"/>
    <n v="377"/>
    <b v="0"/>
    <s v="Single-player,Remote Play Together,Family Sharing"/>
    <s v="Action,Adventure,Casual,Indie,Simulation,Early Access"/>
    <n v="906"/>
    <s v="GTX 1050 Ti"/>
    <s v="Y"/>
    <s v="N"/>
    <s v="Y"/>
    <s v="Y"/>
    <s v="Y"/>
    <s v="Y"/>
    <s v="N"/>
    <s v="N"/>
    <s v="N"/>
  </r>
  <r>
    <n v="285900"/>
    <s v="Hydroneer"/>
    <x v="736"/>
    <n v="376"/>
    <b v="1"/>
    <s v="Multi-player,PvP,Online PvP,Shared/Split Screen PvP,Shared/Split Screen,Steam Achievements,Full controller support,Remote Play on Phone,Remote Play on Tablet,Remote Play on TV,Remote Play Together,Family Sharing"/>
    <s v="Action,Adventure,Casual,Indie,Simulation"/>
    <n v="909"/>
    <s v="RX 560"/>
    <s v="N"/>
    <s v="Y"/>
    <s v="Y"/>
    <s v="Y"/>
    <s v="Y"/>
    <s v="Y"/>
    <s v="N"/>
    <s v="N"/>
    <s v="N"/>
  </r>
  <r>
    <n v="1106840"/>
    <s v="For The King II"/>
    <x v="737"/>
    <n v="374"/>
    <b v="0"/>
    <s v="Single-player,Multi-player,Co-op,Shared/Split Screen Co-op,Shared/Split Screen,Steam Achievements,Steam Trading Cards,Steam Workshop,Partial Controller Support,Steam Cloud,Remote Play Together,Family Sharing"/>
    <s v="Adventure,Casual,Indie,Simulation,Strategy"/>
    <n v="910"/>
    <s v="GTX 1060"/>
    <s v="Y"/>
    <s v="Y"/>
    <s v="N"/>
    <s v="Y"/>
    <s v="Y"/>
    <s v="Y"/>
    <s v="N"/>
    <s v="Y"/>
    <s v="N"/>
  </r>
  <r>
    <n v="1676840"/>
    <s v="Warhammer 40,000: Chaos Gate - Daemonhunters"/>
    <x v="331"/>
    <n v="374"/>
    <b v="0"/>
    <s v="Single-player,Multi-player,Co-op,Online Co-op,Shared/Split Screen Co-op,Shared/Split Screen,Cross-Platform Multiplayer,Steam Achievements,Full controller support,Steam Trading Cards,Adjustable Text Size,Camera Comfort,Custom Volume Controls,Adjustable Difficulty,Keyboard Only Option,Mouse Only Option,Save Anytime,Steam Cloud,Remote Play Together,Family Sharing"/>
    <s v="Adventure,Indie,RPG,Strategy"/>
    <n v="910"/>
    <s v="RTX 2060 SUPER"/>
    <s v="Y"/>
    <s v="Y"/>
    <s v="N"/>
    <s v="Y"/>
    <s v="Y"/>
    <s v="N"/>
    <s v="Y"/>
    <s v="Y"/>
    <s v="N"/>
  </r>
  <r>
    <n v="1611910"/>
    <s v="Thronefall"/>
    <x v="738"/>
    <n v="373"/>
    <b v="0"/>
    <s v="Single-player,Steam Achievements,Full controller support,Steam Trading Cards,Steam Cloud,Family Sharing"/>
    <s v="RPG,Strategy"/>
    <n v="912"/>
    <s v="RX 580"/>
    <s v="Y"/>
    <s v="N"/>
    <s v="N"/>
    <s v="N"/>
    <s v="N"/>
    <s v="N"/>
    <s v="Y"/>
    <s v="Y"/>
    <s v="N"/>
  </r>
  <r>
    <n v="2239150"/>
    <s v="Assassin's Creed Unity"/>
    <x v="527"/>
    <n v="373"/>
    <b v="1"/>
    <s v="Single-player,Steam Achievements,Full controller support,Steam Cloud,Steam Leaderboards,Family Sharing"/>
    <s v="Action,Indie,Strategy"/>
    <n v="912"/>
    <s v="GTX 970"/>
    <s v="Y"/>
    <s v="N"/>
    <s v="Y"/>
    <s v="Y"/>
    <s v="N"/>
    <s v="N"/>
    <s v="N"/>
    <s v="Y"/>
    <s v="N"/>
  </r>
  <r>
    <n v="289650"/>
    <s v="Motorsport Manager"/>
    <x v="739"/>
    <n v="373"/>
    <b v="0"/>
    <s v="Single-player,Multi-player,Co-op,Steam Achievements,In-App Purchases,Custom Volume Controls,Adjustable Difficulty,Mouse Only Option,Playable without Timed Input,Save Anytime,Stereo Sound,Surround Sound,Partial Controller Support"/>
    <s v="Action,Adventure"/>
    <n v="912"/>
    <s v="R9 280X"/>
    <s v="Y"/>
    <s v="Y"/>
    <s v="Y"/>
    <s v="N"/>
    <s v="Y"/>
    <s v="N"/>
    <s v="N"/>
    <s v="N"/>
    <s v="N"/>
  </r>
  <r>
    <n v="415200"/>
    <s v="The Lord of the Rings: Return to Moria"/>
    <x v="134"/>
    <n v="373"/>
    <b v="1"/>
    <s v="Single-player,Steam Achievements,Steam Trading Cards,Steam Workshop,Steam Cloud,Family Sharing"/>
    <s v="Racing,Simulation,Sports,Strategy"/>
    <n v="912"/>
    <s v="R9 390X"/>
    <s v="Y"/>
    <s v="N"/>
    <s v="N"/>
    <s v="N"/>
    <s v="N"/>
    <s v="Y"/>
    <s v="N"/>
    <s v="Y"/>
    <s v="N"/>
  </r>
  <r>
    <n v="2933130"/>
    <s v="Hero Siege"/>
    <x v="152"/>
    <n v="370"/>
    <b v="0"/>
    <s v="Single-player,Multi-player,Co-op,Online Co-op,Cross-Platform Multiplayer,Steam Achievements,Full controller support,Steam Cloud,Family Sharing"/>
    <s v="Action,Adventure,RPG"/>
    <n v="916"/>
    <s v="RTX 2060"/>
    <s v="Y"/>
    <s v="Y"/>
    <s v="Y"/>
    <s v="N"/>
    <s v="Y"/>
    <s v="N"/>
    <s v="Y"/>
    <s v="N"/>
    <s v="N"/>
  </r>
  <r>
    <n v="269210"/>
    <s v="Counter-Strike Nexon"/>
    <x v="740"/>
    <n v="369"/>
    <b v="0"/>
    <s v="Single-player,Multi-player,Co-op,Online Co-op,Shared/Split Screen Co-op,Shared/Split Screen,Cross-Platform Multiplayer,Steam Achievements,Full controller support,Steam Trading Cards,In-App Purchases,Steam Cloud,Remote Play on TV,Remote Play Together"/>
    <s v="Action,Adventure,Indie,Massively Multiplayer,RPG"/>
    <n v="917"/>
    <s v="GTX 980 Ti"/>
    <s v="Y"/>
    <s v="Y"/>
    <s v="Y"/>
    <s v="Y"/>
    <s v="Y"/>
    <s v="N"/>
    <s v="Y"/>
    <s v="N"/>
    <s v="N"/>
  </r>
  <r>
    <n v="273110"/>
    <s v="EARTH DEFENSE FORCE 6"/>
    <x v="741"/>
    <n v="369"/>
    <b v="0"/>
    <s v="Single-player,Multi-player,MMO,Co-op,Steam Achievements,Steam Trading Cards,Captions available,In-App Purchases"/>
    <s v="Action,Casual,Indie,Massively Multiplayer,Free To Play"/>
    <n v="917"/>
    <s v="GTX 980 Ti"/>
    <s v="Y"/>
    <s v="Y"/>
    <s v="Y"/>
    <s v="Y"/>
    <s v="N"/>
    <s v="N"/>
    <s v="N"/>
    <s v="N"/>
    <s v="Y"/>
  </r>
  <r>
    <n v="2291060"/>
    <s v="Night of the Dead"/>
    <x v="56"/>
    <n v="369"/>
    <b v="0"/>
    <s v="Single-player,Multi-player,Co-op,Online Co-op,Shared/Split Screen Co-op,Shared/Split Screen,Steam Achievements,Full controller support,Steam Cloud,Remote Play Together,Family Sharing"/>
    <s v="Action"/>
    <n v="917"/>
    <s v="GTX 1070"/>
    <s v="Y"/>
    <s v="Y"/>
    <s v="Y"/>
    <s v="N"/>
    <s v="N"/>
    <s v="N"/>
    <s v="N"/>
    <s v="N"/>
    <s v="N"/>
  </r>
  <r>
    <n v="1377380"/>
    <s v="Pizza Tower"/>
    <x v="273"/>
    <n v="368"/>
    <b v="0"/>
    <s v="Single-player,Multi-player,PvP,Online PvP,LAN PvP,Co-op,Online Co-op,LAN Co-op,Partial Controller Support,Steam Cloud,Family Sharing"/>
    <s v="Action,Adventure,Indie,RPG,Simulation"/>
    <n v="920"/>
    <s v="GTX 1660 Ti"/>
    <s v="Y"/>
    <s v="Y"/>
    <s v="Y"/>
    <s v="Y"/>
    <s v="Y"/>
    <s v="Y"/>
    <s v="Y"/>
    <s v="N"/>
    <s v="N"/>
  </r>
  <r>
    <n v="2231450"/>
    <s v="Dorfromantik"/>
    <x v="742"/>
    <n v="367"/>
    <b v="0"/>
    <s v="Single-player,Multi-player,Co-op,Shared/Split Screen Co-op,Shared/Split Screen,Steam Achievements,Full controller support,Steam Cloud,Remote Play Together,Family Sharing"/>
    <s v="Action,Indie"/>
    <n v="921"/>
    <s v="RX 550"/>
    <s v="Y"/>
    <s v="Y"/>
    <s v="Y"/>
    <s v="Y"/>
    <s v="N"/>
    <s v="N"/>
    <s v="N"/>
    <s v="N"/>
    <s v="N"/>
  </r>
  <r>
    <n v="1455840"/>
    <s v="Star Wars Outlaws"/>
    <x v="743"/>
    <n v="365"/>
    <b v="0"/>
    <s v="Single-player,Steam Achievements,Full controller support,Steam Trading Cards,Steam Cloud,Steam Leaderboards,Family Sharing"/>
    <s v="Casual,Indie,Simulation,Strategy"/>
    <n v="922"/>
    <s v="RX 550"/>
    <s v="Y"/>
    <s v="N"/>
    <s v="N"/>
    <s v="Y"/>
    <s v="N"/>
    <s v="Y"/>
    <s v="N"/>
    <s v="Y"/>
    <s v="N"/>
  </r>
  <r>
    <n v="2842040"/>
    <s v="BioShock Remastered"/>
    <x v="744"/>
    <n v="364"/>
    <b v="0"/>
    <s v="Single-player,Steam Achievements,Full controller support,Captions available,In-App Purchases,HDR available"/>
    <s v="Action,Adventure"/>
    <n v="923"/>
    <s v="RTX 3060 Ti"/>
    <s v="Y"/>
    <s v="N"/>
    <s v="Y"/>
    <s v="N"/>
    <s v="Y"/>
    <s v="N"/>
    <s v="N"/>
    <s v="N"/>
    <s v="N"/>
  </r>
  <r>
    <n v="409710"/>
    <s v="Super Animal Royale"/>
    <x v="745"/>
    <n v="364"/>
    <b v="1"/>
    <s v="Single-player,Steam Achievements,Full controller support,Steam Trading Cards,Steam Cloud,Commentary available,Remote Play on Phone,Remote Play on Tablet,Remote Play on TV,Family Sharing"/>
    <s v="Action,RPG"/>
    <n v="923"/>
    <s v="GTX 1050 Ti"/>
    <s v="Y"/>
    <s v="N"/>
    <s v="Y"/>
    <s v="N"/>
    <s v="N"/>
    <s v="N"/>
    <s v="Y"/>
    <s v="N"/>
    <s v="N"/>
  </r>
  <r>
    <n v="843380"/>
    <s v="Jagged Alliance 3"/>
    <x v="746"/>
    <n v="364"/>
    <b v="1"/>
    <s v="Multi-player,PvP,Online PvP,Co-op,Online Co-op,Cross-Platform Multiplayer,Steam Achievements,Full controller support,Steam Trading Cards,In-App Purchases,Steam Cloud,Stats,Remote Play on TV"/>
    <s v="Action,Adventure,Casual,Indie,Massively Multiplayer,Free To Play"/>
    <n v="923"/>
    <s v="RTX 2070"/>
    <s v="N"/>
    <s v="Y"/>
    <s v="Y"/>
    <s v="Y"/>
    <s v="Y"/>
    <s v="N"/>
    <s v="N"/>
    <s v="N"/>
    <s v="Y"/>
  </r>
  <r>
    <n v="1084160"/>
    <s v="Vampire: The Masquerade - Bloodhunt"/>
    <x v="435"/>
    <n v="363"/>
    <b v="0"/>
    <s v="Single-player,Multi-player,Co-op,Online Co-op,Steam Achievements,Full controller support,Steam Trading Cards,Steam Cloud,Family Sharing"/>
    <s v="Action,Strategy"/>
    <n v="926"/>
    <s v="RTX 2070"/>
    <s v="Y"/>
    <s v="Y"/>
    <s v="Y"/>
    <s v="N"/>
    <s v="N"/>
    <s v="N"/>
    <s v="N"/>
    <s v="Y"/>
    <s v="N"/>
  </r>
  <r>
    <n v="760160"/>
    <s v="Resident Evil 3"/>
    <x v="747"/>
    <n v="362"/>
    <b v="0"/>
    <s v="Multi-player,PvP,Online PvP,Cross-Platform Multiplayer,Steam Achievements,Full controller support,In-App Purchases"/>
    <s v="Action,Free To Play"/>
    <n v="927"/>
    <s v="GTX 1080"/>
    <s v="N"/>
    <s v="Y"/>
    <s v="Y"/>
    <s v="N"/>
    <s v="N"/>
    <s v="N"/>
    <s v="N"/>
    <s v="N"/>
    <s v="Y"/>
  </r>
  <r>
    <n v="952060"/>
    <s v="Command &amp; Conquer Red Alert 3"/>
    <x v="748"/>
    <n v="362"/>
    <b v="0"/>
    <s v="Single-player,Multi-player,PvP,Online PvP,Steam Achievements,Full controller support,Steam Trading Cards,Steam Cloud,Remote Play on Tablet,HDR available,Family Sharing"/>
    <s v="Action"/>
    <n v="927"/>
    <s v="GTX 1060"/>
    <s v="Y"/>
    <s v="Y"/>
    <s v="Y"/>
    <s v="N"/>
    <s v="N"/>
    <s v="N"/>
    <s v="N"/>
    <s v="N"/>
    <s v="N"/>
  </r>
  <r>
    <n v="17480"/>
    <s v="Ithya: Magic Studies"/>
    <x v="749"/>
    <n v="362"/>
    <b v="0"/>
    <s v="Single-player,Steam Workshop,Steam Cloud,Includes level editor,Family Sharing"/>
    <s v="Action,Strategy"/>
    <n v="927"/>
    <s v="Radeon Graphics"/>
    <s v="Y"/>
    <s v="N"/>
    <s v="Y"/>
    <s v="N"/>
    <s v="N"/>
    <s v="N"/>
    <s v="N"/>
    <s v="Y"/>
    <s v="N"/>
  </r>
  <r>
    <n v="3330250"/>
    <s v="Halls of Torment"/>
    <x v="346"/>
    <n v="361"/>
    <b v="1"/>
    <s v="Single-player,Steam Achievements,Steam Cloud,Family Sharing"/>
    <s v="Casual"/>
    <n v="930"/>
    <s v="GTX 970"/>
    <s v="Y"/>
    <s v="N"/>
    <s v="N"/>
    <s v="N"/>
    <s v="N"/>
    <s v="N"/>
    <s v="N"/>
    <s v="N"/>
    <s v="N"/>
  </r>
  <r>
    <n v="2218750"/>
    <s v="Terraforming Mars"/>
    <x v="730"/>
    <n v="361"/>
    <b v="0"/>
    <s v="Single-player,Steam Achievements,Full controller support,Steam Trading Cards,Custom Volume Controls,Keyboard Only Option,Mouse Only Option,Playable without Timed Input,Steam Cloud,Family Sharing"/>
    <s v="Action,Indie,RPG"/>
    <n v="930"/>
    <s v="GTX 1070"/>
    <s v="Y"/>
    <s v="N"/>
    <s v="Y"/>
    <s v="Y"/>
    <s v="N"/>
    <s v="N"/>
    <s v="Y"/>
    <s v="N"/>
    <s v="N"/>
  </r>
  <r>
    <n v="800270"/>
    <s v="ENDLESS Space 2"/>
    <x v="50"/>
    <n v="361"/>
    <b v="1"/>
    <s v="Single-player,Multi-player,PvP,Online PvP,Shared/Split Screen PvP,Steam Achievements,Steam Turn Notifications,Remote Play Together,Family Sharing"/>
    <s v="Strategy"/>
    <n v="930"/>
    <s v="GTX 1050 Ti"/>
    <s v="Y"/>
    <s v="Y"/>
    <s v="N"/>
    <s v="N"/>
    <s v="N"/>
    <s v="N"/>
    <s v="N"/>
    <s v="Y"/>
    <s v="N"/>
  </r>
  <r>
    <n v="392110"/>
    <s v="Haste"/>
    <x v="565"/>
    <n v="359"/>
    <b v="1"/>
    <s v="Single-player,Multi-player,PvP,Online PvP,Cross-Platform Multiplayer,Steam Achievements,Steam Trading Cards,Steam Workshop,Steam Cloud,Remote Play on Tablet,Family Sharing"/>
    <s v="Strategy"/>
    <n v="933"/>
    <s v="RX 570"/>
    <s v="Y"/>
    <s v="Y"/>
    <s v="N"/>
    <s v="N"/>
    <s v="N"/>
    <s v="N"/>
    <s v="N"/>
    <s v="Y"/>
    <s v="N"/>
  </r>
  <r>
    <n v="1796470"/>
    <s v="Rebel Inc: Escalation"/>
    <x v="750"/>
    <n v="358"/>
    <b v="1"/>
    <s v="Single-player,Multi-player,Co-op,Online Co-op,Steam Achievements,Full controller support,Steam Cloud,Family Sharing"/>
    <s v="Action,Adventure,Indie,Racing"/>
    <n v="934"/>
    <s v="GTX 970"/>
    <s v="Y"/>
    <s v="Y"/>
    <s v="Y"/>
    <s v="Y"/>
    <s v="Y"/>
    <s v="N"/>
    <s v="N"/>
    <s v="N"/>
    <s v="N"/>
  </r>
  <r>
    <n v="1088790"/>
    <s v="JoJo's Bizarre Adventure: All-Star Battle R"/>
    <x v="649"/>
    <n v="358"/>
    <b v="1"/>
    <s v="Single-player,Multi-player,PvP,Online PvP,Co-op,Online Co-op,Cross-Platform Multiplayer,Steam Achievements,Steam Trading Cards,Steam Workshop,Camera Comfort,Custom Volume Controls,Adjustable Difficulty,Mouse Only Option,Playable without Timed Input,Save Anytime,Stereo Sound,Steam Cloud,Stats,Steam Leaderboards,Includes level editor,Family Sharing"/>
    <s v="Simulation,Strategy"/>
    <n v="934"/>
    <s v="RX 560"/>
    <s v="Y"/>
    <s v="Y"/>
    <s v="N"/>
    <s v="N"/>
    <s v="N"/>
    <s v="Y"/>
    <s v="N"/>
    <s v="Y"/>
    <s v="N"/>
  </r>
  <r>
    <n v="1372110"/>
    <s v="Universe Sandbox"/>
    <x v="751"/>
    <n v="357"/>
    <b v="0"/>
    <s v="Single-player,Multi-player,Co-op,Shared/Split Screen Co-op,Shared/Split Screen,Steam Achievements,Full controller support,Steam Trading Cards,Steam Cloud,Steam Leaderboards,Remote Play Together,Family Sharing"/>
    <s v="Action"/>
    <n v="936"/>
    <s v="GTX 1060"/>
    <s v="Y"/>
    <s v="Y"/>
    <s v="Y"/>
    <s v="N"/>
    <s v="N"/>
    <s v="N"/>
    <s v="N"/>
    <s v="N"/>
    <s v="N"/>
  </r>
  <r>
    <n v="230290"/>
    <s v="Call of Duty: Modern Warfare 3 (2011)"/>
    <x v="752"/>
    <n v="357"/>
    <b v="1"/>
    <s v="Single-player,Steam Workshop,Adjustable Text Size,Custom Volume Controls,Mouse Only Option,Playable without Timed Input,Save Anytime,Touch Only Option,Partial Controller Support,Steam Cloud,Family Sharing"/>
    <s v="Casual,Indie,Simulation,Early Access"/>
    <n v="936"/>
    <s v="GTX 750"/>
    <s v="Y"/>
    <s v="N"/>
    <s v="N"/>
    <s v="Y"/>
    <s v="N"/>
    <s v="Y"/>
    <s v="N"/>
    <s v="N"/>
    <s v="N"/>
  </r>
  <r>
    <n v="42680"/>
    <s v="iRacing"/>
    <x v="753"/>
    <n v="357"/>
    <b v="0"/>
    <s v="Single-player,Multi-player,Co-op,Steam Achievements,Steam Cloud,Valve Anti-Cheat enabled,Family Sharing"/>
    <s v="Action"/>
    <n v="936"/>
    <s v="RTX 2070"/>
    <s v="Y"/>
    <s v="Y"/>
    <s v="Y"/>
    <s v="N"/>
    <s v="N"/>
    <s v="N"/>
    <s v="N"/>
    <s v="N"/>
    <s v="N"/>
  </r>
  <r>
    <n v="266410"/>
    <s v="Tower of Fantasy"/>
    <x v="754"/>
    <n v="354"/>
    <b v="0"/>
    <s v="Single-player,Multi-player,MMO,PvP,Online PvP,VR Support,Partial Controller Support,Family Sharing"/>
    <s v="Massively Multiplayer,Racing,Simulation,Sports"/>
    <n v="939"/>
    <s v="GTX 980 Ti"/>
    <s v="Y"/>
    <s v="Y"/>
    <s v="N"/>
    <s v="N"/>
    <s v="N"/>
    <s v="Y"/>
    <s v="N"/>
    <s v="N"/>
    <s v="N"/>
  </r>
  <r>
    <n v="2064650"/>
    <s v="Golf It!"/>
    <x v="672"/>
    <n v="354"/>
    <b v="0"/>
    <s v="Multi-player,MMO,PvP,Online PvP,Co-op,Online Co-op,Cross-Platform Multiplayer,In-App Purchases"/>
    <s v="Action,Massively Multiplayer,RPG,Free To Play"/>
    <n v="939"/>
    <s v="RX 550"/>
    <s v="N"/>
    <s v="Y"/>
    <s v="Y"/>
    <s v="N"/>
    <s v="N"/>
    <s v="N"/>
    <s v="Y"/>
    <s v="N"/>
    <s v="Y"/>
  </r>
  <r>
    <n v="571740"/>
    <s v="Dungeon Defenders II"/>
    <x v="755"/>
    <n v="352"/>
    <b v="1"/>
    <s v="Single-player,Multi-player,PvP,Online PvP,Shared/Split Screen PvP,Cross-Platform Multiplayer,Steam Achievements,Tracked Controller Support,VR Supported,Steam Trading Cards,Steam Workshop,Partial Controller Support,Steam Cloud,Stats,Steam Leaderboards,Includes level editor,Remote Play on Phone,Remote Play on Tablet,Remote Play Together,Family Sharing"/>
    <s v="Casual,Indie,Simulation,Sports"/>
    <n v="941"/>
    <s v="GTX 1050 Ti"/>
    <s v="Y"/>
    <s v="Y"/>
    <s v="N"/>
    <s v="Y"/>
    <s v="N"/>
    <s v="Y"/>
    <s v="N"/>
    <s v="N"/>
    <s v="N"/>
  </r>
  <r>
    <n v="236110"/>
    <s v="Spyro Reignited Trilogy"/>
    <x v="756"/>
    <n v="351"/>
    <b v="0"/>
    <s v="Single-player,Multi-player,Co-op,Online Co-op,Steam Achievements,Steam Trading Cards,Partial Controller Support"/>
    <s v="Action,Indie,RPG,Strategy,Free To Play"/>
    <n v="942"/>
    <s v="Radeon Vega 8"/>
    <s v="Y"/>
    <s v="Y"/>
    <s v="Y"/>
    <s v="Y"/>
    <s v="N"/>
    <s v="N"/>
    <s v="Y"/>
    <s v="Y"/>
    <s v="Y"/>
  </r>
  <r>
    <n v="996580"/>
    <s v="FINAL FANTASY IX"/>
    <x v="757"/>
    <n v="351"/>
    <b v="0"/>
    <s v="Single-player,Steam Achievements,Full controller support,Steam Trading Cards,Steam Cloud,Remote Play on Phone,Remote Play on Tablet,Remote Play on TV,Family Sharing"/>
    <s v="Action,Adventure"/>
    <n v="942"/>
    <s v="GTX 1050 Ti"/>
    <s v="Y"/>
    <s v="N"/>
    <s v="Y"/>
    <s v="N"/>
    <s v="Y"/>
    <s v="N"/>
    <s v="N"/>
    <s v="N"/>
    <s v="N"/>
  </r>
  <r>
    <n v="377840"/>
    <s v="Better Mart Simulator"/>
    <x v="758"/>
    <n v="351"/>
    <b v="0"/>
    <s v="Single-player,Steam Achievements,Steam Trading Cards,Partial Controller Support,Steam Cloud,Remote Play on Phone,Remote Play on Tablet,Family Sharing"/>
    <s v="RPG"/>
    <n v="942"/>
    <s v="Radeon Vega 8"/>
    <s v="Y"/>
    <s v="N"/>
    <s v="N"/>
    <s v="N"/>
    <s v="N"/>
    <s v="N"/>
    <s v="Y"/>
    <s v="N"/>
    <s v="N"/>
  </r>
  <r>
    <n v="3498270"/>
    <s v="Ultimate Chicken Horse"/>
    <x v="759"/>
    <n v="351"/>
    <b v="0"/>
    <s v="Single-player,Multi-player,Co-op,Online Co-op,Steam Achievements,Full controller support,Color Alternatives,Custom Volume Controls,Playable without Timed Input,Save Anytime,Stereo Sound,Steam Cloud,Stats,Family Sharing"/>
    <s v="Casual,Indie,Simulation"/>
    <n v="942"/>
    <s v="RTX 2060"/>
    <s v="Y"/>
    <s v="Y"/>
    <s v="N"/>
    <s v="Y"/>
    <s v="N"/>
    <s v="Y"/>
    <s v="N"/>
    <s v="N"/>
    <s v="N"/>
  </r>
  <r>
    <n v="386940"/>
    <s v="GROUND BRANCH"/>
    <x v="760"/>
    <n v="350"/>
    <b v="1"/>
    <s v="Multi-player,PvP,Online PvP,Shared/Split Screen PvP,Co-op,Online Co-op,Shared/Split Screen Co-op,Shared/Split Screen,Cross-Platform Multiplayer,Steam Achievements,Full controller support,Steam Trading Cards,Steam Cloud,Includes level editor,Remote Play on TV,Remote Play Together,Family Sharing"/>
    <s v="Action,Casual,Indie"/>
    <n v="946"/>
    <s v="Radeon Vega 8"/>
    <s v="N"/>
    <s v="Y"/>
    <s v="Y"/>
    <s v="Y"/>
    <s v="N"/>
    <s v="N"/>
    <s v="N"/>
    <s v="N"/>
    <s v="N"/>
  </r>
  <r>
    <n v="16900"/>
    <s v="Fisher Online"/>
    <x v="761"/>
    <n v="349"/>
    <b v="0"/>
    <s v="Single-player,Multi-player,PvP,Online PvP,Co-op,Online Co-op,Steam Workshop,Partial Controller Support,Family Sharing"/>
    <s v="Action,Indie,Simulation,Early Access"/>
    <n v="947"/>
    <s v="RTX 4070"/>
    <s v="Y"/>
    <s v="Y"/>
    <s v="Y"/>
    <s v="Y"/>
    <s v="N"/>
    <s v="Y"/>
    <s v="N"/>
    <s v="N"/>
    <s v="N"/>
  </r>
  <r>
    <n v="1094780"/>
    <s v="Loop Hero"/>
    <x v="762"/>
    <n v="349"/>
    <b v="0"/>
    <s v="Multi-player,MMO,PvP,Co-op,Steam Achievements,Steam Workshop,In-App Purchases,Partial Controller Support,Family Sharing"/>
    <s v="Simulation"/>
    <n v="947"/>
    <s v="RTX 3060"/>
    <s v="N"/>
    <s v="Y"/>
    <s v="N"/>
    <s v="N"/>
    <s v="N"/>
    <s v="Y"/>
    <s v="N"/>
    <s v="N"/>
    <s v="N"/>
  </r>
  <r>
    <n v="1282730"/>
    <s v="Stacklands"/>
    <x v="763"/>
    <n v="348"/>
    <b v="1"/>
    <s v="Single-player,Steam Achievements,Steam Trading Cards,Steam Cloud,Family Sharing"/>
    <s v="Indie,RPG,Strategy"/>
    <n v="949"/>
    <s v="Radeon Vega 8"/>
    <s v="Y"/>
    <s v="N"/>
    <s v="N"/>
    <s v="Y"/>
    <s v="N"/>
    <s v="N"/>
    <s v="Y"/>
    <s v="Y"/>
    <s v="N"/>
  </r>
  <r>
    <n v="1948280"/>
    <s v="Look Outside"/>
    <x v="764"/>
    <n v="347"/>
    <b v="1"/>
    <s v="Single-player,Steam Achievements,Steam Trading Cards,Steam Workshop,Partial Controller Support,Steam Cloud,Family Sharing"/>
    <s v="Casual,Indie,Simulation"/>
    <n v="950"/>
    <s v="Radeon Vega 11"/>
    <s v="Y"/>
    <s v="N"/>
    <s v="N"/>
    <s v="Y"/>
    <s v="N"/>
    <s v="Y"/>
    <s v="N"/>
    <s v="N"/>
    <s v="N"/>
  </r>
  <r>
    <n v="3373660"/>
    <s v="Command &amp; Conquer 3: Kane's Wrath"/>
    <x v="765"/>
    <n v="346"/>
    <b v="0"/>
    <s v="Single-player,Steam Achievements,Steam Cloud,Family Sharing"/>
    <s v="Adventure,RPG"/>
    <n v="951"/>
    <s v="Radeon Vega 11"/>
    <s v="Y"/>
    <s v="N"/>
    <s v="N"/>
    <s v="N"/>
    <s v="Y"/>
    <s v="N"/>
    <s v="Y"/>
    <s v="N"/>
    <s v="N"/>
  </r>
  <r>
    <n v="24810"/>
    <s v="Easy Red 2"/>
    <x v="766"/>
    <n v="346"/>
    <b v="0"/>
    <s v="Single-player,Multi-player,Steam Workshop,Steam Cloud,Includes level editor,Family Sharing"/>
    <s v="Action,Strategy"/>
    <n v="951"/>
    <s v="Radeon Graphics"/>
    <s v="Y"/>
    <s v="Y"/>
    <s v="Y"/>
    <s v="N"/>
    <s v="N"/>
    <s v="N"/>
    <s v="N"/>
    <s v="Y"/>
    <s v="N"/>
  </r>
  <r>
    <n v="1324780"/>
    <s v="DOOM + DOOM II"/>
    <x v="767"/>
    <n v="346"/>
    <b v="1"/>
    <s v="Single-player,Multi-player,PvP,Online PvP,Co-op,Online Co-op,Cross-Platform Multiplayer,Steam Achievements,Full controller support,Steam Trading Cards,Steam Workshop,Steam Workshop,Steam Cloud,Includes level editor,Family Sharing"/>
    <s v="Action,Indie,Simulation,Strategy"/>
    <n v="951"/>
    <s v="GTX 1070 Ti"/>
    <s v="Y"/>
    <s v="Y"/>
    <s v="Y"/>
    <s v="Y"/>
    <s v="N"/>
    <s v="Y"/>
    <s v="N"/>
    <s v="Y"/>
    <s v="N"/>
  </r>
  <r>
    <n v="2280"/>
    <s v="Hotel Architect"/>
    <x v="768"/>
    <n v="345"/>
    <b v="0"/>
    <s v="Single-player,Multi-player,PvP,Online PvP,LAN PvP,Shared/Split Screen PvP,Co-op,Online Co-op,LAN Co-op,Shared/Split Screen Co-op,Shared/Split Screen,Cross-Platform Multiplayer,Full controller support,Camera Comfort,Custom Volume Controls,Adjustable Difficulty,Keyboard Only Option,Stereo Sound,Steam Cloud,Remote Play Together,Family Sharing"/>
    <s v="Action"/>
    <n v="954"/>
    <s v="Radeon Graphics"/>
    <s v="Y"/>
    <s v="Y"/>
    <s v="Y"/>
    <s v="N"/>
    <s v="N"/>
    <s v="N"/>
    <s v="N"/>
    <s v="N"/>
    <s v="N"/>
  </r>
  <r>
    <n v="1602000"/>
    <s v="The Killing Antidote"/>
    <x v="109"/>
    <n v="344"/>
    <b v="0"/>
    <s v="Single-player,Steam Achievements,Steam Trading Cards,Camera Comfort,Color Alternatives,Custom Volume Controls,Mouse Only Option,Playable without Timed Input,Save Anytime,Steam Cloud,Family Sharing"/>
    <s v="Indie,Simulation,Strategy,Early Access"/>
    <n v="955"/>
    <s v="RTX 2070"/>
    <s v="Y"/>
    <s v="N"/>
    <s v="N"/>
    <s v="Y"/>
    <s v="N"/>
    <s v="Y"/>
    <s v="N"/>
    <s v="Y"/>
    <s v="N"/>
  </r>
  <r>
    <n v="2254890"/>
    <s v="ACE COMBAT 7: SKIES UNKNOWN"/>
    <x v="769"/>
    <n v="343"/>
    <b v="0"/>
    <s v="Single-player,Steam Achievements,Full controller support,Steam Workshop,Steam Cloud,Family Sharing"/>
    <s v="Action,Adventure,Indie,RPG,Early Access"/>
    <n v="956"/>
    <s v="RTX 2070"/>
    <s v="Y"/>
    <s v="N"/>
    <s v="Y"/>
    <s v="Y"/>
    <s v="Y"/>
    <s v="N"/>
    <s v="Y"/>
    <s v="N"/>
    <s v="N"/>
  </r>
  <r>
    <n v="502500"/>
    <s v="Ages of Conflict: World War Simulator"/>
    <x v="770"/>
    <n v="340"/>
    <b v="0"/>
    <s v="Single-player,Multi-player,PvP,Online PvP,Steam Achievements,Full controller support,Steam Trading Cards,Steam Cloud,Family Sharing"/>
    <s v="Action,Simulation"/>
    <n v="957"/>
    <s v="GTX 1060"/>
    <s v="Y"/>
    <s v="Y"/>
    <s v="Y"/>
    <s v="N"/>
    <s v="N"/>
    <s v="Y"/>
    <s v="N"/>
    <s v="N"/>
    <s v="N"/>
  </r>
  <r>
    <n v="2186320"/>
    <s v="FINAL FANTASY XV WINDOWS EDITION"/>
    <x v="771"/>
    <n v="340"/>
    <b v="1"/>
    <s v="Single-player,Steam Achievements,Steam Workshop,Camera Comfort,Custom Volume Controls,Playable without Timed Input,Save Anytime,Steam Cloud,Stats,Includes level editor,Family Sharing"/>
    <s v="Casual,Indie,Simulation,Early Access"/>
    <n v="957"/>
    <s v="GTX 1080 Ti"/>
    <s v="Y"/>
    <s v="N"/>
    <s v="N"/>
    <s v="Y"/>
    <s v="N"/>
    <s v="Y"/>
    <s v="N"/>
    <s v="N"/>
    <s v="N"/>
  </r>
  <r>
    <n v="637650"/>
    <s v="Smalland: Survive the Wilds"/>
    <x v="772"/>
    <n v="339"/>
    <b v="0"/>
    <s v="Single-player,Multi-player,PvP,Online PvP,Co-op,Online Co-op,Steam Achievements,Full controller support,Steam Trading Cards,Steam Cloud,Remote Play on Tablet,Family Sharing"/>
    <s v="RPG"/>
    <n v="959"/>
    <s v="GTX 1060"/>
    <s v="Y"/>
    <s v="Y"/>
    <s v="N"/>
    <s v="N"/>
    <s v="N"/>
    <s v="N"/>
    <s v="Y"/>
    <s v="N"/>
    <s v="N"/>
  </r>
  <r>
    <n v="768200"/>
    <s v="The Texas Chain Saw Massacre"/>
    <x v="665"/>
    <n v="338"/>
    <b v="0"/>
    <s v="Single-player,Multi-player,Co-op,Online Co-op,Steam Achievements,Full controller support,Family Sharing"/>
    <s v="Action,Adventure,Indie,RPG"/>
    <n v="960"/>
    <s v="RTX 2070"/>
    <s v="Y"/>
    <s v="Y"/>
    <s v="Y"/>
    <s v="Y"/>
    <s v="Y"/>
    <s v="N"/>
    <s v="Y"/>
    <s v="N"/>
    <s v="N"/>
  </r>
  <r>
    <n v="1433140"/>
    <s v="LEGO Star Wars - The Complete Saga"/>
    <x v="755"/>
    <n v="336"/>
    <b v="0"/>
    <s v="Multi-player,PvP,Online PvP,Steam Achievements,Full controller support,Steam Trading Cards,Steam Cloud,Family Sharing"/>
    <s v="Action,Indie"/>
    <n v="961"/>
    <s v="RTX 3070"/>
    <s v="N"/>
    <s v="Y"/>
    <s v="Y"/>
    <s v="Y"/>
    <s v="N"/>
    <s v="N"/>
    <s v="N"/>
    <s v="N"/>
    <s v="N"/>
  </r>
  <r>
    <n v="32440"/>
    <s v="Roots of Pacha"/>
    <x v="773"/>
    <n v="334"/>
    <b v="0"/>
    <s v="Single-player,Multi-player,Shared/Split Screen,Full controller support,Steam Cloud,Remote Play on Phone,Remote Play on Tablet,Remote Play on TV,Remote Play Together,Family Sharing"/>
    <s v="Adventure"/>
    <n v="962"/>
    <s v="Radeon Graphics"/>
    <s v="Y"/>
    <s v="Y"/>
    <s v="N"/>
    <s v="N"/>
    <s v="Y"/>
    <s v="N"/>
    <s v="N"/>
    <s v="N"/>
    <s v="N"/>
  </r>
  <r>
    <n v="1245560"/>
    <s v="Supremacy: 1914"/>
    <x v="614"/>
    <n v="334"/>
    <b v="1"/>
    <s v="Single-player,Multi-player,Co-op,Online Co-op,Cross-Platform Multiplayer,Steam Achievements,Partial Controller Support,Steam Cloud,Family Sharing"/>
    <s v="Indie,RPG,Simulation"/>
    <n v="962"/>
    <s v="Radeon Vega 11"/>
    <s v="Y"/>
    <s v="Y"/>
    <s v="N"/>
    <s v="Y"/>
    <s v="N"/>
    <s v="Y"/>
    <s v="Y"/>
    <s v="N"/>
    <s v="N"/>
  </r>
  <r>
    <n v="979920"/>
    <s v="EVERSPACE 2"/>
    <x v="774"/>
    <n v="334"/>
    <b v="1"/>
    <s v="Multi-player,MMO,PvP,Online PvP,Co-op,Online Co-op,Cross-Platform Multiplayer,In-App Purchases,Stats"/>
    <s v="Massively Multiplayer,Simulation,Strategy,Free To Play"/>
    <n v="962"/>
    <s v="RTX 2070"/>
    <s v="N"/>
    <s v="Y"/>
    <s v="N"/>
    <s v="N"/>
    <s v="N"/>
    <s v="Y"/>
    <s v="N"/>
    <s v="Y"/>
    <s v="Y"/>
  </r>
  <r>
    <n v="1128920"/>
    <s v="SimCity 4 Deluxe Edition"/>
    <x v="775"/>
    <n v="331"/>
    <b v="1"/>
    <s v="Single-player,Steam Achievements,Full controller support,Steam Trading Cards,Steam Cloud,Family Sharing"/>
    <s v="Action,Adventure,RPG,Simulation"/>
    <n v="965"/>
    <s v="RTX 2070"/>
    <s v="Y"/>
    <s v="N"/>
    <s v="Y"/>
    <s v="N"/>
    <s v="Y"/>
    <s v="Y"/>
    <s v="Y"/>
    <s v="N"/>
    <s v="N"/>
  </r>
  <r>
    <n v="24780"/>
    <s v="Grand Theft Auto: San Andreas ' The Definitive Edition"/>
    <x v="776"/>
    <n v="331"/>
    <b v="1"/>
    <s v="Single-player,Family Sharing"/>
    <s v="Simulation,Strategy"/>
    <n v="965"/>
    <s v="GTX 970"/>
    <s v="Y"/>
    <s v="N"/>
    <s v="N"/>
    <s v="N"/>
    <s v="N"/>
    <s v="Y"/>
    <s v="N"/>
    <s v="Y"/>
    <s v="N"/>
  </r>
  <r>
    <n v="1547000"/>
    <s v="Galactic Civilizations IV"/>
    <x v="777"/>
    <n v="330"/>
    <b v="0"/>
    <s v="Single-player,Full controller support"/>
    <s v="Action,Adventure"/>
    <n v="967"/>
    <s v="GTX 970"/>
    <s v="Y"/>
    <s v="N"/>
    <s v="Y"/>
    <s v="N"/>
    <s v="Y"/>
    <s v="N"/>
    <s v="N"/>
    <s v="N"/>
    <s v="N"/>
  </r>
  <r>
    <n v="1357210"/>
    <s v="Aloft"/>
    <x v="778"/>
    <n v="330"/>
    <b v="0"/>
    <s v="Single-player,Multi-player,PvP,Online PvP,Co-op,Online Co-op,Cross-Platform Multiplayer,Steam Achievements,Steam Workshop,Adjustable Text Size,Camera Comfort,Custom Volume Controls,Adjustable Difficulty,Playable without Timed Input,Save Anytime,Stereo Sound,Surround Sound,Steam Cloud,Family Sharing"/>
    <s v="Simulation,Strategy"/>
    <n v="967"/>
    <s v="Arc A770"/>
    <s v="Y"/>
    <s v="Y"/>
    <s v="N"/>
    <s v="N"/>
    <s v="N"/>
    <s v="Y"/>
    <s v="N"/>
    <s v="Y"/>
    <s v="N"/>
  </r>
  <r>
    <n v="1660080"/>
    <s v="Dragon's Dogma: Dark Arisen"/>
    <x v="779"/>
    <n v="329"/>
    <b v="0"/>
    <s v="Single-player,Multi-player,Co-op,Online Co-op,Steam Achievements,Full controller support,Steam Workshop,Steam Cloud,Family Sharing"/>
    <s v="Adventure,Casual,Indie,Simulation,Early Access"/>
    <n v="969"/>
    <s v="RX 6700 XT"/>
    <s v="Y"/>
    <s v="Y"/>
    <s v="N"/>
    <s v="Y"/>
    <s v="Y"/>
    <s v="Y"/>
    <s v="N"/>
    <s v="N"/>
    <s v="N"/>
  </r>
  <r>
    <n v="367500"/>
    <s v="Mini Motorways"/>
    <x v="780"/>
    <n v="329"/>
    <b v="0"/>
    <s v="Single-player,Steam Achievements,Full controller support,Steam Trading Cards,Steam Cloud,Steam Leaderboards,Remote Play on Phone,Remote Play on Tablet,Remote Play on TV,Family Sharing"/>
    <s v="Action,Adventure,RPG"/>
    <n v="969"/>
    <s v="GTX 950"/>
    <s v="Y"/>
    <s v="N"/>
    <s v="Y"/>
    <s v="N"/>
    <s v="Y"/>
    <s v="N"/>
    <s v="Y"/>
    <s v="N"/>
    <s v="N"/>
  </r>
  <r>
    <n v="1127500"/>
    <s v="Derail Valley"/>
    <x v="781"/>
    <n v="328"/>
    <b v="1"/>
    <s v="Single-player,Steam Achievements,Full controller support,Steam Cloud,Steam Leaderboards,Family Sharing"/>
    <s v="Casual,Simulation,Strategy"/>
    <n v="971"/>
    <s v="GTX 970"/>
    <s v="Y"/>
    <s v="N"/>
    <s v="N"/>
    <s v="N"/>
    <s v="N"/>
    <s v="Y"/>
    <s v="N"/>
    <s v="Y"/>
    <s v="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83">
  <r>
    <n v="730"/>
    <s v="Counter-Strike 2"/>
    <d v="2012-08-21T00:00:00"/>
    <n v="1013936"/>
    <b v="0"/>
    <n v="1"/>
    <s v="GTX 970"/>
    <x v="0"/>
    <x v="0"/>
  </r>
  <r>
    <n v="730"/>
    <s v="Counter-Strike 2"/>
    <d v="2012-08-21T00:00:00"/>
    <n v="1013936"/>
    <b v="0"/>
    <n v="1"/>
    <s v="GTX 970"/>
    <x v="1"/>
    <x v="1"/>
  </r>
  <r>
    <n v="730"/>
    <s v="Counter-Strike 2"/>
    <d v="2012-08-21T00:00:00"/>
    <n v="1013936"/>
    <b v="0"/>
    <n v="1"/>
    <s v="GTX 970"/>
    <x v="2"/>
    <x v="1"/>
  </r>
  <r>
    <n v="730"/>
    <s v="Counter-Strike 2"/>
    <d v="2012-08-21T00:00:00"/>
    <n v="1013936"/>
    <b v="0"/>
    <n v="1"/>
    <s v="GTX 970"/>
    <x v="3"/>
    <x v="1"/>
  </r>
  <r>
    <n v="730"/>
    <s v="Counter-Strike 2"/>
    <d v="2012-08-21T00:00:00"/>
    <n v="1013936"/>
    <b v="0"/>
    <n v="1"/>
    <s v="GTX 970"/>
    <x v="4"/>
    <x v="1"/>
  </r>
  <r>
    <n v="730"/>
    <s v="Counter-Strike 2"/>
    <d v="2012-08-21T00:00:00"/>
    <n v="1013936"/>
    <b v="0"/>
    <n v="1"/>
    <s v="GTX 970"/>
    <x v="5"/>
    <x v="1"/>
  </r>
  <r>
    <n v="730"/>
    <s v="Counter-Strike 2"/>
    <d v="2012-08-21T00:00:00"/>
    <n v="1013936"/>
    <b v="0"/>
    <n v="1"/>
    <s v="GTX 970"/>
    <x v="6"/>
    <x v="0"/>
  </r>
  <r>
    <n v="570"/>
    <s v="Dota 2"/>
    <d v="2013-07-09T00:00:00"/>
    <n v="623941"/>
    <b v="1"/>
    <n v="2"/>
    <s v="R9 290"/>
    <x v="0"/>
    <x v="0"/>
  </r>
  <r>
    <n v="570"/>
    <s v="Dota 2"/>
    <d v="2013-07-09T00:00:00"/>
    <n v="623941"/>
    <b v="1"/>
    <n v="2"/>
    <s v="R9 290"/>
    <x v="1"/>
    <x v="1"/>
  </r>
  <r>
    <n v="570"/>
    <s v="Dota 2"/>
    <d v="2013-07-09T00:00:00"/>
    <n v="623941"/>
    <b v="1"/>
    <n v="2"/>
    <s v="R9 290"/>
    <x v="2"/>
    <x v="1"/>
  </r>
  <r>
    <n v="570"/>
    <s v="Dota 2"/>
    <d v="2013-07-09T00:00:00"/>
    <n v="623941"/>
    <b v="1"/>
    <n v="2"/>
    <s v="R9 290"/>
    <x v="3"/>
    <x v="1"/>
  </r>
  <r>
    <n v="570"/>
    <s v="Dota 2"/>
    <d v="2013-07-09T00:00:00"/>
    <n v="623941"/>
    <b v="1"/>
    <n v="2"/>
    <s v="R9 290"/>
    <x v="4"/>
    <x v="1"/>
  </r>
  <r>
    <n v="570"/>
    <s v="Dota 2"/>
    <d v="2013-07-09T00:00:00"/>
    <n v="623941"/>
    <b v="1"/>
    <n v="2"/>
    <s v="R9 290"/>
    <x v="5"/>
    <x v="0"/>
  </r>
  <r>
    <n v="570"/>
    <s v="Dota 2"/>
    <d v="2013-07-09T00:00:00"/>
    <n v="623941"/>
    <b v="1"/>
    <n v="2"/>
    <s v="R9 290"/>
    <x v="6"/>
    <x v="0"/>
  </r>
  <r>
    <n v="578080"/>
    <s v="PUBG: BATTLEGROUNDS"/>
    <d v="2017-12-21T00:00:00"/>
    <n v="314682"/>
    <b v="0"/>
    <n v="3"/>
    <s v="RX 580"/>
    <x v="0"/>
    <x v="0"/>
  </r>
  <r>
    <n v="578080"/>
    <s v="PUBG: BATTLEGROUNDS"/>
    <d v="2017-12-21T00:00:00"/>
    <n v="314682"/>
    <b v="0"/>
    <n v="3"/>
    <s v="RX 580"/>
    <x v="1"/>
    <x v="1"/>
  </r>
  <r>
    <n v="578080"/>
    <s v="PUBG: BATTLEGROUNDS"/>
    <d v="2017-12-21T00:00:00"/>
    <n v="314682"/>
    <b v="0"/>
    <n v="3"/>
    <s v="RX 580"/>
    <x v="2"/>
    <x v="0"/>
  </r>
  <r>
    <n v="578080"/>
    <s v="PUBG: BATTLEGROUNDS"/>
    <d v="2017-12-21T00:00:00"/>
    <n v="314682"/>
    <b v="0"/>
    <n v="3"/>
    <s v="RX 580"/>
    <x v="3"/>
    <x v="1"/>
  </r>
  <r>
    <n v="578080"/>
    <s v="PUBG: BATTLEGROUNDS"/>
    <d v="2017-12-21T00:00:00"/>
    <n v="314682"/>
    <b v="0"/>
    <n v="3"/>
    <s v="RX 580"/>
    <x v="4"/>
    <x v="1"/>
  </r>
  <r>
    <n v="578080"/>
    <s v="PUBG: BATTLEGROUNDS"/>
    <d v="2017-12-21T00:00:00"/>
    <n v="314682"/>
    <b v="0"/>
    <n v="3"/>
    <s v="RX 580"/>
    <x v="5"/>
    <x v="1"/>
  </r>
  <r>
    <n v="578080"/>
    <s v="PUBG: BATTLEGROUNDS"/>
    <d v="2017-12-21T00:00:00"/>
    <n v="314682"/>
    <b v="0"/>
    <n v="3"/>
    <s v="RX 580"/>
    <x v="6"/>
    <x v="0"/>
  </r>
  <r>
    <n v="3419430"/>
    <s v="Bongo Cat"/>
    <d v="2025-03-05T00:00:00"/>
    <n v="164168"/>
    <b v="0"/>
    <n v="4"/>
    <s v="Radeon Vega 11"/>
    <x v="0"/>
    <x v="1"/>
  </r>
  <r>
    <n v="3419430"/>
    <s v="Bongo Cat"/>
    <d v="2025-03-05T00:00:00"/>
    <n v="164168"/>
    <b v="0"/>
    <n v="4"/>
    <s v="Radeon Vega 11"/>
    <x v="1"/>
    <x v="0"/>
  </r>
  <r>
    <n v="3419430"/>
    <s v="Bongo Cat"/>
    <d v="2025-03-05T00:00:00"/>
    <n v="164168"/>
    <b v="0"/>
    <n v="4"/>
    <s v="Radeon Vega 11"/>
    <x v="2"/>
    <x v="1"/>
  </r>
  <r>
    <n v="3419430"/>
    <s v="Bongo Cat"/>
    <d v="2025-03-05T00:00:00"/>
    <n v="164168"/>
    <b v="0"/>
    <n v="4"/>
    <s v="Radeon Vega 11"/>
    <x v="3"/>
    <x v="0"/>
  </r>
  <r>
    <n v="3419430"/>
    <s v="Bongo Cat"/>
    <d v="2025-03-05T00:00:00"/>
    <n v="164168"/>
    <b v="0"/>
    <n v="4"/>
    <s v="Radeon Vega 11"/>
    <x v="4"/>
    <x v="1"/>
  </r>
  <r>
    <n v="3419430"/>
    <s v="Bongo Cat"/>
    <d v="2025-03-05T00:00:00"/>
    <n v="164168"/>
    <b v="0"/>
    <n v="4"/>
    <s v="Radeon Vega 11"/>
    <x v="5"/>
    <x v="1"/>
  </r>
  <r>
    <n v="3419430"/>
    <s v="Bongo Cat"/>
    <d v="2025-03-05T00:00:00"/>
    <n v="164168"/>
    <b v="0"/>
    <n v="4"/>
    <s v="Radeon Vega 11"/>
    <x v="6"/>
    <x v="0"/>
  </r>
  <r>
    <n v="2622380"/>
    <s v="ELDEN RING NIGHTREIGN"/>
    <d v="2025-05-29T00:00:00"/>
    <n v="163599"/>
    <b v="0"/>
    <n v="5"/>
    <s v="GTX 1070"/>
    <x v="0"/>
    <x v="0"/>
  </r>
  <r>
    <n v="2622380"/>
    <s v="ELDEN RING NIGHTREIGN"/>
    <d v="2025-05-29T00:00:00"/>
    <n v="163599"/>
    <b v="0"/>
    <n v="5"/>
    <s v="GTX 1070"/>
    <x v="1"/>
    <x v="1"/>
  </r>
  <r>
    <n v="2622380"/>
    <s v="ELDEN RING NIGHTREIGN"/>
    <d v="2025-05-29T00:00:00"/>
    <n v="163599"/>
    <b v="0"/>
    <n v="5"/>
    <s v="GTX 1070"/>
    <x v="2"/>
    <x v="1"/>
  </r>
  <r>
    <n v="2622380"/>
    <s v="ELDEN RING NIGHTREIGN"/>
    <d v="2025-05-29T00:00:00"/>
    <n v="163599"/>
    <b v="0"/>
    <n v="5"/>
    <s v="GTX 1070"/>
    <x v="3"/>
    <x v="1"/>
  </r>
  <r>
    <n v="2622380"/>
    <s v="ELDEN RING NIGHTREIGN"/>
    <d v="2025-05-29T00:00:00"/>
    <n v="163599"/>
    <b v="0"/>
    <n v="5"/>
    <s v="GTX 1070"/>
    <x v="4"/>
    <x v="0"/>
  </r>
  <r>
    <n v="2622380"/>
    <s v="ELDEN RING NIGHTREIGN"/>
    <d v="2025-05-29T00:00:00"/>
    <n v="163599"/>
    <b v="0"/>
    <n v="5"/>
    <s v="GTX 1070"/>
    <x v="5"/>
    <x v="1"/>
  </r>
  <r>
    <n v="2622380"/>
    <s v="ELDEN RING NIGHTREIGN"/>
    <d v="2025-05-29T00:00:00"/>
    <n v="163599"/>
    <b v="0"/>
    <n v="5"/>
    <s v="GTX 1070"/>
    <x v="6"/>
    <x v="1"/>
  </r>
  <r>
    <n v="252490"/>
    <s v="Rust"/>
    <d v="2018-02-08T00:00:00"/>
    <n v="143870"/>
    <b v="1"/>
    <n v="6"/>
    <s v="RTX 3060"/>
    <x v="0"/>
    <x v="0"/>
  </r>
  <r>
    <n v="252490"/>
    <s v="Rust"/>
    <d v="2018-02-08T00:00:00"/>
    <n v="143870"/>
    <b v="1"/>
    <n v="6"/>
    <s v="RTX 3060"/>
    <x v="1"/>
    <x v="0"/>
  </r>
  <r>
    <n v="252490"/>
    <s v="Rust"/>
    <d v="2018-02-08T00:00:00"/>
    <n v="143870"/>
    <b v="1"/>
    <n v="6"/>
    <s v="RTX 3060"/>
    <x v="2"/>
    <x v="0"/>
  </r>
  <r>
    <n v="252490"/>
    <s v="Rust"/>
    <d v="2018-02-08T00:00:00"/>
    <n v="143870"/>
    <b v="1"/>
    <n v="6"/>
    <s v="RTX 3060"/>
    <x v="3"/>
    <x v="1"/>
  </r>
  <r>
    <n v="252490"/>
    <s v="Rust"/>
    <d v="2018-02-08T00:00:00"/>
    <n v="143870"/>
    <b v="1"/>
    <n v="6"/>
    <s v="RTX 3060"/>
    <x v="4"/>
    <x v="0"/>
  </r>
  <r>
    <n v="252490"/>
    <s v="Rust"/>
    <d v="2018-02-08T00:00:00"/>
    <n v="143870"/>
    <b v="1"/>
    <n v="6"/>
    <s v="RTX 3060"/>
    <x v="5"/>
    <x v="1"/>
  </r>
  <r>
    <n v="252490"/>
    <s v="Rust"/>
    <d v="2018-02-08T00:00:00"/>
    <n v="143870"/>
    <b v="1"/>
    <n v="6"/>
    <s v="RTX 3060"/>
    <x v="6"/>
    <x v="1"/>
  </r>
  <r>
    <n v="1172470"/>
    <s v="Apex Legends"/>
    <d v="2020-11-04T00:00:00"/>
    <n v="124262"/>
    <b v="0"/>
    <n v="7"/>
    <s v="GTX 970"/>
    <x v="0"/>
    <x v="0"/>
  </r>
  <r>
    <n v="1172470"/>
    <s v="Apex Legends"/>
    <d v="2020-11-04T00:00:00"/>
    <n v="124262"/>
    <b v="0"/>
    <n v="7"/>
    <s v="GTX 970"/>
    <x v="1"/>
    <x v="1"/>
  </r>
  <r>
    <n v="1172470"/>
    <s v="Apex Legends"/>
    <d v="2020-11-04T00:00:00"/>
    <n v="124262"/>
    <b v="0"/>
    <n v="7"/>
    <s v="GTX 970"/>
    <x v="2"/>
    <x v="0"/>
  </r>
  <r>
    <n v="1172470"/>
    <s v="Apex Legends"/>
    <d v="2020-11-04T00:00:00"/>
    <n v="124262"/>
    <b v="0"/>
    <n v="7"/>
    <s v="GTX 970"/>
    <x v="3"/>
    <x v="1"/>
  </r>
  <r>
    <n v="1172470"/>
    <s v="Apex Legends"/>
    <d v="2020-11-04T00:00:00"/>
    <n v="124262"/>
    <b v="0"/>
    <n v="7"/>
    <s v="GTX 970"/>
    <x v="4"/>
    <x v="1"/>
  </r>
  <r>
    <n v="1172470"/>
    <s v="Apex Legends"/>
    <d v="2020-11-04T00:00:00"/>
    <n v="124262"/>
    <b v="0"/>
    <n v="7"/>
    <s v="GTX 970"/>
    <x v="5"/>
    <x v="1"/>
  </r>
  <r>
    <n v="1172470"/>
    <s v="Apex Legends"/>
    <d v="2020-11-04T00:00:00"/>
    <n v="124262"/>
    <b v="0"/>
    <n v="7"/>
    <s v="GTX 970"/>
    <x v="6"/>
    <x v="0"/>
  </r>
  <r>
    <n v="2767030"/>
    <s v="Marvel Rivals"/>
    <d v="2024-12-05T00:00:00"/>
    <n v="106611"/>
    <b v="0"/>
    <n v="8"/>
    <s v="RTX 2060"/>
    <x v="0"/>
    <x v="0"/>
  </r>
  <r>
    <n v="2767030"/>
    <s v="Marvel Rivals"/>
    <d v="2024-12-05T00:00:00"/>
    <n v="106611"/>
    <b v="0"/>
    <n v="8"/>
    <s v="RTX 2060"/>
    <x v="1"/>
    <x v="1"/>
  </r>
  <r>
    <n v="2767030"/>
    <s v="Marvel Rivals"/>
    <d v="2024-12-05T00:00:00"/>
    <n v="106611"/>
    <b v="0"/>
    <n v="8"/>
    <s v="RTX 2060"/>
    <x v="2"/>
    <x v="1"/>
  </r>
  <r>
    <n v="2767030"/>
    <s v="Marvel Rivals"/>
    <d v="2024-12-05T00:00:00"/>
    <n v="106611"/>
    <b v="0"/>
    <n v="8"/>
    <s v="RTX 2060"/>
    <x v="3"/>
    <x v="1"/>
  </r>
  <r>
    <n v="2767030"/>
    <s v="Marvel Rivals"/>
    <d v="2024-12-05T00:00:00"/>
    <n v="106611"/>
    <b v="0"/>
    <n v="8"/>
    <s v="RTX 2060"/>
    <x v="4"/>
    <x v="1"/>
  </r>
  <r>
    <n v="2767030"/>
    <s v="Marvel Rivals"/>
    <d v="2024-12-05T00:00:00"/>
    <n v="106611"/>
    <b v="0"/>
    <n v="8"/>
    <s v="RTX 2060"/>
    <x v="5"/>
    <x v="1"/>
  </r>
  <r>
    <n v="2767030"/>
    <s v="Marvel Rivals"/>
    <d v="2024-12-05T00:00:00"/>
    <n v="106611"/>
    <b v="0"/>
    <n v="8"/>
    <s v="RTX 2060"/>
    <x v="6"/>
    <x v="0"/>
  </r>
  <r>
    <n v="431960"/>
    <s v="Wallpaper Engine"/>
    <d v="2018-11-16T00:00:00"/>
    <n v="91184"/>
    <b v="0"/>
    <n v="9"/>
    <s v="RX 560"/>
    <x v="0"/>
    <x v="1"/>
  </r>
  <r>
    <n v="431960"/>
    <s v="Wallpaper Engine"/>
    <d v="2018-11-16T00:00:00"/>
    <n v="91184"/>
    <b v="0"/>
    <n v="9"/>
    <s v="RX 560"/>
    <x v="1"/>
    <x v="0"/>
  </r>
  <r>
    <n v="431960"/>
    <s v="Wallpaper Engine"/>
    <d v="2018-11-16T00:00:00"/>
    <n v="91184"/>
    <b v="0"/>
    <n v="9"/>
    <s v="RX 560"/>
    <x v="2"/>
    <x v="1"/>
  </r>
  <r>
    <n v="431960"/>
    <s v="Wallpaper Engine"/>
    <d v="2018-11-16T00:00:00"/>
    <n v="91184"/>
    <b v="0"/>
    <n v="9"/>
    <s v="RX 560"/>
    <x v="3"/>
    <x v="1"/>
  </r>
  <r>
    <n v="431960"/>
    <s v="Wallpaper Engine"/>
    <d v="2018-11-16T00:00:00"/>
    <n v="91184"/>
    <b v="0"/>
    <n v="9"/>
    <s v="RX 560"/>
    <x v="4"/>
    <x v="1"/>
  </r>
  <r>
    <n v="431960"/>
    <s v="Wallpaper Engine"/>
    <d v="2018-11-16T00:00:00"/>
    <n v="91184"/>
    <b v="0"/>
    <n v="9"/>
    <s v="RX 560"/>
    <x v="5"/>
    <x v="1"/>
  </r>
  <r>
    <n v="431960"/>
    <s v="Wallpaper Engine"/>
    <d v="2018-11-16T00:00:00"/>
    <n v="91184"/>
    <b v="0"/>
    <n v="9"/>
    <s v="RX 560"/>
    <x v="6"/>
    <x v="1"/>
  </r>
  <r>
    <n v="1671210"/>
    <s v="DELTARUNE"/>
    <d v="2025-06-04T00:00:00"/>
    <n v="83936"/>
    <b v="1"/>
    <n v="10"/>
    <s v="Radeon Vega 11"/>
    <x v="0"/>
    <x v="1"/>
  </r>
  <r>
    <n v="1671210"/>
    <s v="DELTARUNE"/>
    <d v="2025-06-04T00:00:00"/>
    <n v="83936"/>
    <b v="1"/>
    <n v="10"/>
    <s v="Radeon Vega 11"/>
    <x v="1"/>
    <x v="0"/>
  </r>
  <r>
    <n v="1671210"/>
    <s v="DELTARUNE"/>
    <d v="2025-06-04T00:00:00"/>
    <n v="83936"/>
    <b v="1"/>
    <n v="10"/>
    <s v="Radeon Vega 11"/>
    <x v="2"/>
    <x v="1"/>
  </r>
  <r>
    <n v="1671210"/>
    <s v="DELTARUNE"/>
    <d v="2025-06-04T00:00:00"/>
    <n v="83936"/>
    <b v="1"/>
    <n v="10"/>
    <s v="Radeon Vega 11"/>
    <x v="3"/>
    <x v="1"/>
  </r>
  <r>
    <n v="1671210"/>
    <s v="DELTARUNE"/>
    <d v="2025-06-04T00:00:00"/>
    <n v="83936"/>
    <b v="1"/>
    <n v="10"/>
    <s v="Radeon Vega 11"/>
    <x v="4"/>
    <x v="0"/>
  </r>
  <r>
    <n v="1671210"/>
    <s v="DELTARUNE"/>
    <d v="2025-06-04T00:00:00"/>
    <n v="83936"/>
    <b v="1"/>
    <n v="10"/>
    <s v="Radeon Vega 11"/>
    <x v="5"/>
    <x v="1"/>
  </r>
  <r>
    <n v="1671210"/>
    <s v="DELTARUNE"/>
    <d v="2025-06-04T00:00:00"/>
    <n v="83936"/>
    <b v="1"/>
    <n v="10"/>
    <s v="Radeon Vega 11"/>
    <x v="6"/>
    <x v="1"/>
  </r>
  <r>
    <n v="271590"/>
    <s v="Grand Theft Auto V Legacy"/>
    <d v="2015-04-13T00:00:00"/>
    <n v="67851"/>
    <b v="0"/>
    <n v="11"/>
    <s v="R9 380"/>
    <x v="0"/>
    <x v="0"/>
  </r>
  <r>
    <n v="271590"/>
    <s v="Grand Theft Auto V Legacy"/>
    <d v="2015-04-13T00:00:00"/>
    <n v="67851"/>
    <b v="0"/>
    <n v="11"/>
    <s v="R9 380"/>
    <x v="1"/>
    <x v="1"/>
  </r>
  <r>
    <n v="271590"/>
    <s v="Grand Theft Auto V Legacy"/>
    <d v="2015-04-13T00:00:00"/>
    <n v="67851"/>
    <b v="0"/>
    <n v="11"/>
    <s v="R9 380"/>
    <x v="2"/>
    <x v="0"/>
  </r>
  <r>
    <n v="271590"/>
    <s v="Grand Theft Auto V Legacy"/>
    <d v="2015-04-13T00:00:00"/>
    <n v="67851"/>
    <b v="0"/>
    <n v="11"/>
    <s v="R9 380"/>
    <x v="3"/>
    <x v="1"/>
  </r>
  <r>
    <n v="271590"/>
    <s v="Grand Theft Auto V Legacy"/>
    <d v="2015-04-13T00:00:00"/>
    <n v="67851"/>
    <b v="0"/>
    <n v="11"/>
    <s v="R9 380"/>
    <x v="4"/>
    <x v="1"/>
  </r>
  <r>
    <n v="271590"/>
    <s v="Grand Theft Auto V Legacy"/>
    <d v="2015-04-13T00:00:00"/>
    <n v="67851"/>
    <b v="0"/>
    <n v="11"/>
    <s v="R9 380"/>
    <x v="5"/>
    <x v="1"/>
  </r>
  <r>
    <n v="271590"/>
    <s v="Grand Theft Auto V Legacy"/>
    <d v="2015-04-13T00:00:00"/>
    <n v="67851"/>
    <b v="0"/>
    <n v="11"/>
    <s v="R9 380"/>
    <x v="6"/>
    <x v="1"/>
  </r>
  <r>
    <n v="1938090"/>
    <s v="Call of Duty"/>
    <d v="2022-10-27T00:00:00"/>
    <n v="67419"/>
    <b v="0"/>
    <n v="12"/>
    <s v="RX 6600 XT"/>
    <x v="0"/>
    <x v="0"/>
  </r>
  <r>
    <n v="1938090"/>
    <s v="Call of Duty"/>
    <d v="2022-10-27T00:00:00"/>
    <n v="67419"/>
    <b v="0"/>
    <n v="12"/>
    <s v="RX 6600 XT"/>
    <x v="1"/>
    <x v="1"/>
  </r>
  <r>
    <n v="1938090"/>
    <s v="Call of Duty"/>
    <d v="2022-10-27T00:00:00"/>
    <n v="67419"/>
    <b v="0"/>
    <n v="12"/>
    <s v="RX 6600 XT"/>
    <x v="2"/>
    <x v="1"/>
  </r>
  <r>
    <n v="1938090"/>
    <s v="Call of Duty"/>
    <d v="2022-10-27T00:00:00"/>
    <n v="67419"/>
    <b v="0"/>
    <n v="12"/>
    <s v="RX 6600 XT"/>
    <x v="3"/>
    <x v="1"/>
  </r>
  <r>
    <n v="1938090"/>
    <s v="Call of Duty"/>
    <d v="2022-10-27T00:00:00"/>
    <n v="67419"/>
    <b v="0"/>
    <n v="12"/>
    <s v="RX 6600 XT"/>
    <x v="4"/>
    <x v="1"/>
  </r>
  <r>
    <n v="1938090"/>
    <s v="Call of Duty"/>
    <d v="2022-10-27T00:00:00"/>
    <n v="67419"/>
    <b v="0"/>
    <n v="12"/>
    <s v="RX 6600 XT"/>
    <x v="5"/>
    <x v="1"/>
  </r>
  <r>
    <n v="1938090"/>
    <s v="Call of Duty"/>
    <d v="2022-10-27T00:00:00"/>
    <n v="67419"/>
    <b v="0"/>
    <n v="12"/>
    <s v="RX 6600 XT"/>
    <x v="6"/>
    <x v="1"/>
  </r>
  <r>
    <n v="1203220"/>
    <s v="NARAKA: BLADEPOINT"/>
    <d v="2021-08-11T00:00:00"/>
    <n v="66954"/>
    <b v="0"/>
    <n v="13"/>
    <s v="GTX 1060"/>
    <x v="0"/>
    <x v="0"/>
  </r>
  <r>
    <n v="1203220"/>
    <s v="NARAKA: BLADEPOINT"/>
    <d v="2021-08-11T00:00:00"/>
    <n v="66954"/>
    <b v="0"/>
    <n v="13"/>
    <s v="GTX 1060"/>
    <x v="1"/>
    <x v="1"/>
  </r>
  <r>
    <n v="1203220"/>
    <s v="NARAKA: BLADEPOINT"/>
    <d v="2021-08-11T00:00:00"/>
    <n v="66954"/>
    <b v="0"/>
    <n v="13"/>
    <s v="GTX 1060"/>
    <x v="2"/>
    <x v="0"/>
  </r>
  <r>
    <n v="1203220"/>
    <s v="NARAKA: BLADEPOINT"/>
    <d v="2021-08-11T00:00:00"/>
    <n v="66954"/>
    <b v="0"/>
    <n v="13"/>
    <s v="GTX 1060"/>
    <x v="3"/>
    <x v="1"/>
  </r>
  <r>
    <n v="1203220"/>
    <s v="NARAKA: BLADEPOINT"/>
    <d v="2021-08-11T00:00:00"/>
    <n v="66954"/>
    <b v="0"/>
    <n v="13"/>
    <s v="GTX 1060"/>
    <x v="4"/>
    <x v="1"/>
  </r>
  <r>
    <n v="1203220"/>
    <s v="NARAKA: BLADEPOINT"/>
    <d v="2021-08-11T00:00:00"/>
    <n v="66954"/>
    <b v="0"/>
    <n v="13"/>
    <s v="GTX 1060"/>
    <x v="5"/>
    <x v="1"/>
  </r>
  <r>
    <n v="1203220"/>
    <s v="NARAKA: BLADEPOINT"/>
    <d v="2021-08-11T00:00:00"/>
    <n v="66954"/>
    <b v="0"/>
    <n v="13"/>
    <s v="GTX 1060"/>
    <x v="6"/>
    <x v="0"/>
  </r>
  <r>
    <n v="1086940"/>
    <s v="Baldur's Gate 3"/>
    <d v="2023-08-03T00:00:00"/>
    <n v="54771"/>
    <b v="1"/>
    <n v="14"/>
    <s v="RX 5700 XT"/>
    <x v="0"/>
    <x v="1"/>
  </r>
  <r>
    <n v="1086940"/>
    <s v="Baldur's Gate 3"/>
    <d v="2023-08-03T00:00:00"/>
    <n v="54771"/>
    <b v="1"/>
    <n v="14"/>
    <s v="RX 5700 XT"/>
    <x v="1"/>
    <x v="1"/>
  </r>
  <r>
    <n v="1086940"/>
    <s v="Baldur's Gate 3"/>
    <d v="2023-08-03T00:00:00"/>
    <n v="54771"/>
    <b v="1"/>
    <n v="14"/>
    <s v="RX 5700 XT"/>
    <x v="2"/>
    <x v="0"/>
  </r>
  <r>
    <n v="1086940"/>
    <s v="Baldur's Gate 3"/>
    <d v="2023-08-03T00:00:00"/>
    <n v="54771"/>
    <b v="1"/>
    <n v="14"/>
    <s v="RX 5700 XT"/>
    <x v="3"/>
    <x v="1"/>
  </r>
  <r>
    <n v="1086940"/>
    <s v="Baldur's Gate 3"/>
    <d v="2023-08-03T00:00:00"/>
    <n v="54771"/>
    <b v="1"/>
    <n v="14"/>
    <s v="RX 5700 XT"/>
    <x v="4"/>
    <x v="0"/>
  </r>
  <r>
    <n v="1086940"/>
    <s v="Baldur's Gate 3"/>
    <d v="2023-08-03T00:00:00"/>
    <n v="54771"/>
    <b v="1"/>
    <n v="14"/>
    <s v="RX 5700 XT"/>
    <x v="5"/>
    <x v="0"/>
  </r>
  <r>
    <n v="1086940"/>
    <s v="Baldur's Gate 3"/>
    <d v="2023-08-03T00:00:00"/>
    <n v="54771"/>
    <b v="1"/>
    <n v="14"/>
    <s v="RX 5700 XT"/>
    <x v="6"/>
    <x v="1"/>
  </r>
  <r>
    <n v="553850"/>
    <s v="HELLDIVERS 2"/>
    <d v="2024-02-08T00:00:00"/>
    <n v="53399"/>
    <b v="0"/>
    <n v="15"/>
    <s v="RTX 2060"/>
    <x v="0"/>
    <x v="0"/>
  </r>
  <r>
    <n v="553850"/>
    <s v="HELLDIVERS 2"/>
    <d v="2024-02-08T00:00:00"/>
    <n v="53399"/>
    <b v="0"/>
    <n v="15"/>
    <s v="RTX 2060"/>
    <x v="1"/>
    <x v="1"/>
  </r>
  <r>
    <n v="553850"/>
    <s v="HELLDIVERS 2"/>
    <d v="2024-02-08T00:00:00"/>
    <n v="53399"/>
    <b v="0"/>
    <n v="15"/>
    <s v="RTX 2060"/>
    <x v="2"/>
    <x v="1"/>
  </r>
  <r>
    <n v="553850"/>
    <s v="HELLDIVERS 2"/>
    <d v="2024-02-08T00:00:00"/>
    <n v="53399"/>
    <b v="0"/>
    <n v="15"/>
    <s v="RTX 2060"/>
    <x v="3"/>
    <x v="1"/>
  </r>
  <r>
    <n v="553850"/>
    <s v="HELLDIVERS 2"/>
    <d v="2024-02-08T00:00:00"/>
    <n v="53399"/>
    <b v="0"/>
    <n v="15"/>
    <s v="RTX 2060"/>
    <x v="4"/>
    <x v="1"/>
  </r>
  <r>
    <n v="553850"/>
    <s v="HELLDIVERS 2"/>
    <d v="2024-02-08T00:00:00"/>
    <n v="53399"/>
    <b v="0"/>
    <n v="15"/>
    <s v="RTX 2060"/>
    <x v="5"/>
    <x v="1"/>
  </r>
  <r>
    <n v="553850"/>
    <s v="HELLDIVERS 2"/>
    <d v="2024-02-08T00:00:00"/>
    <n v="53399"/>
    <b v="0"/>
    <n v="15"/>
    <s v="RTX 2060"/>
    <x v="6"/>
    <x v="1"/>
  </r>
  <r>
    <n v="359550"/>
    <s v="Tom Clancy's Rainbow Six Siege X"/>
    <d v="2015-12-01T00:00:00"/>
    <n v="51847"/>
    <b v="0"/>
    <n v="16"/>
    <s v="RTX 2060"/>
    <x v="0"/>
    <x v="0"/>
  </r>
  <r>
    <n v="359550"/>
    <s v="Tom Clancy's Rainbow Six Siege X"/>
    <d v="2015-12-01T00:00:00"/>
    <n v="51847"/>
    <b v="0"/>
    <n v="16"/>
    <s v="RTX 2060"/>
    <x v="1"/>
    <x v="1"/>
  </r>
  <r>
    <n v="359550"/>
    <s v="Tom Clancy's Rainbow Six Siege X"/>
    <d v="2015-12-01T00:00:00"/>
    <n v="51847"/>
    <b v="0"/>
    <n v="16"/>
    <s v="RTX 2060"/>
    <x v="2"/>
    <x v="1"/>
  </r>
  <r>
    <n v="359550"/>
    <s v="Tom Clancy's Rainbow Six Siege X"/>
    <d v="2015-12-01T00:00:00"/>
    <n v="51847"/>
    <b v="0"/>
    <n v="16"/>
    <s v="RTX 2060"/>
    <x v="3"/>
    <x v="1"/>
  </r>
  <r>
    <n v="359550"/>
    <s v="Tom Clancy's Rainbow Six Siege X"/>
    <d v="2015-12-01T00:00:00"/>
    <n v="51847"/>
    <b v="0"/>
    <n v="16"/>
    <s v="RTX 2060"/>
    <x v="4"/>
    <x v="1"/>
  </r>
  <r>
    <n v="359550"/>
    <s v="Tom Clancy's Rainbow Six Siege X"/>
    <d v="2015-12-01T00:00:00"/>
    <n v="51847"/>
    <b v="0"/>
    <n v="16"/>
    <s v="RTX 2060"/>
    <x v="5"/>
    <x v="1"/>
  </r>
  <r>
    <n v="359550"/>
    <s v="Tom Clancy's Rainbow Six Siege X"/>
    <d v="2015-12-01T00:00:00"/>
    <n v="51847"/>
    <b v="0"/>
    <n v="16"/>
    <s v="RTX 2060"/>
    <x v="6"/>
    <x v="0"/>
  </r>
  <r>
    <n v="413150"/>
    <s v="Stardew Valley"/>
    <d v="2016-02-26T00:00:00"/>
    <n v="50662"/>
    <b v="1"/>
    <n v="17"/>
    <s v="Intel HD Graphics"/>
    <x v="0"/>
    <x v="1"/>
  </r>
  <r>
    <n v="413150"/>
    <s v="Stardew Valley"/>
    <d v="2016-02-26T00:00:00"/>
    <n v="50662"/>
    <b v="1"/>
    <n v="17"/>
    <s v="Intel HD Graphics"/>
    <x v="1"/>
    <x v="0"/>
  </r>
  <r>
    <n v="413150"/>
    <s v="Stardew Valley"/>
    <d v="2016-02-26T00:00:00"/>
    <n v="50662"/>
    <b v="1"/>
    <n v="17"/>
    <s v="Intel HD Graphics"/>
    <x v="2"/>
    <x v="1"/>
  </r>
  <r>
    <n v="413150"/>
    <s v="Stardew Valley"/>
    <d v="2016-02-26T00:00:00"/>
    <n v="50662"/>
    <b v="1"/>
    <n v="17"/>
    <s v="Intel HD Graphics"/>
    <x v="3"/>
    <x v="0"/>
  </r>
  <r>
    <n v="413150"/>
    <s v="Stardew Valley"/>
    <d v="2016-02-26T00:00:00"/>
    <n v="50662"/>
    <b v="1"/>
    <n v="17"/>
    <s v="Intel HD Graphics"/>
    <x v="4"/>
    <x v="0"/>
  </r>
  <r>
    <n v="413150"/>
    <s v="Stardew Valley"/>
    <d v="2016-02-26T00:00:00"/>
    <n v="50662"/>
    <b v="1"/>
    <n v="17"/>
    <s v="Intel HD Graphics"/>
    <x v="5"/>
    <x v="1"/>
  </r>
  <r>
    <n v="413150"/>
    <s v="Stardew Valley"/>
    <d v="2016-02-26T00:00:00"/>
    <n v="50662"/>
    <b v="1"/>
    <n v="17"/>
    <s v="Intel HD Graphics"/>
    <x v="6"/>
    <x v="1"/>
  </r>
  <r>
    <n v="236390"/>
    <s v="War Thunder"/>
    <d v="2013-08-15T00:00:00"/>
    <n v="50478"/>
    <b v="1"/>
    <n v="18"/>
    <s v="GTX 780 Ti"/>
    <x v="0"/>
    <x v="0"/>
  </r>
  <r>
    <n v="236390"/>
    <s v="War Thunder"/>
    <d v="2013-08-15T00:00:00"/>
    <n v="50478"/>
    <b v="1"/>
    <n v="18"/>
    <s v="GTX 780 Ti"/>
    <x v="1"/>
    <x v="1"/>
  </r>
  <r>
    <n v="236390"/>
    <s v="War Thunder"/>
    <d v="2013-08-15T00:00:00"/>
    <n v="50478"/>
    <b v="1"/>
    <n v="18"/>
    <s v="GTX 780 Ti"/>
    <x v="2"/>
    <x v="1"/>
  </r>
  <r>
    <n v="236390"/>
    <s v="War Thunder"/>
    <d v="2013-08-15T00:00:00"/>
    <n v="50478"/>
    <b v="1"/>
    <n v="18"/>
    <s v="GTX 780 Ti"/>
    <x v="3"/>
    <x v="0"/>
  </r>
  <r>
    <n v="236390"/>
    <s v="War Thunder"/>
    <d v="2013-08-15T00:00:00"/>
    <n v="50478"/>
    <b v="1"/>
    <n v="18"/>
    <s v="GTX 780 Ti"/>
    <x v="4"/>
    <x v="1"/>
  </r>
  <r>
    <n v="236390"/>
    <s v="War Thunder"/>
    <d v="2013-08-15T00:00:00"/>
    <n v="50478"/>
    <b v="1"/>
    <n v="18"/>
    <s v="GTX 780 Ti"/>
    <x v="5"/>
    <x v="1"/>
  </r>
  <r>
    <n v="236390"/>
    <s v="War Thunder"/>
    <d v="2013-08-15T00:00:00"/>
    <n v="50478"/>
    <b v="1"/>
    <n v="18"/>
    <s v="GTX 780 Ti"/>
    <x v="6"/>
    <x v="0"/>
  </r>
  <r>
    <n v="2252570"/>
    <s v="Football Manager 2024"/>
    <d v="2023-11-06T00:00:00"/>
    <n v="47931"/>
    <b v="1"/>
    <n v="19"/>
    <s v="Radeon Vega 11"/>
    <x v="0"/>
    <x v="1"/>
  </r>
  <r>
    <n v="2252570"/>
    <s v="Football Manager 2024"/>
    <d v="2023-11-06T00:00:00"/>
    <n v="47931"/>
    <b v="1"/>
    <n v="19"/>
    <s v="Radeon Vega 11"/>
    <x v="1"/>
    <x v="1"/>
  </r>
  <r>
    <n v="2252570"/>
    <s v="Football Manager 2024"/>
    <d v="2023-11-06T00:00:00"/>
    <n v="47931"/>
    <b v="1"/>
    <n v="19"/>
    <s v="Radeon Vega 11"/>
    <x v="2"/>
    <x v="1"/>
  </r>
  <r>
    <n v="2252570"/>
    <s v="Football Manager 2024"/>
    <d v="2023-11-06T00:00:00"/>
    <n v="47931"/>
    <b v="1"/>
    <n v="19"/>
    <s v="Radeon Vega 11"/>
    <x v="3"/>
    <x v="0"/>
  </r>
  <r>
    <n v="2252570"/>
    <s v="Football Manager 2024"/>
    <d v="2023-11-06T00:00:00"/>
    <n v="47931"/>
    <b v="1"/>
    <n v="19"/>
    <s v="Radeon Vega 11"/>
    <x v="4"/>
    <x v="1"/>
  </r>
  <r>
    <n v="2252570"/>
    <s v="Football Manager 2024"/>
    <d v="2023-11-06T00:00:00"/>
    <n v="47931"/>
    <b v="1"/>
    <n v="19"/>
    <s v="Radeon Vega 11"/>
    <x v="5"/>
    <x v="0"/>
  </r>
  <r>
    <n v="2252570"/>
    <s v="Football Manager 2024"/>
    <d v="2023-11-06T00:00:00"/>
    <n v="47931"/>
    <b v="1"/>
    <n v="19"/>
    <s v="Radeon Vega 11"/>
    <x v="6"/>
    <x v="1"/>
  </r>
  <r>
    <n v="381210"/>
    <s v="Dead by Daylight"/>
    <d v="2016-06-14T00:00:00"/>
    <n v="44886"/>
    <b v="0"/>
    <n v="20"/>
    <s v="GTX 970"/>
    <x v="0"/>
    <x v="0"/>
  </r>
  <r>
    <n v="381210"/>
    <s v="Dead by Daylight"/>
    <d v="2016-06-14T00:00:00"/>
    <n v="44886"/>
    <b v="0"/>
    <n v="20"/>
    <s v="GTX 970"/>
    <x v="1"/>
    <x v="1"/>
  </r>
  <r>
    <n v="381210"/>
    <s v="Dead by Daylight"/>
    <d v="2016-06-14T00:00:00"/>
    <n v="44886"/>
    <b v="0"/>
    <n v="20"/>
    <s v="GTX 970"/>
    <x v="2"/>
    <x v="1"/>
  </r>
  <r>
    <n v="381210"/>
    <s v="Dead by Daylight"/>
    <d v="2016-06-14T00:00:00"/>
    <n v="44886"/>
    <b v="0"/>
    <n v="20"/>
    <s v="GTX 970"/>
    <x v="3"/>
    <x v="1"/>
  </r>
  <r>
    <n v="381210"/>
    <s v="Dead by Daylight"/>
    <d v="2016-06-14T00:00:00"/>
    <n v="44886"/>
    <b v="0"/>
    <n v="20"/>
    <s v="GTX 970"/>
    <x v="4"/>
    <x v="1"/>
  </r>
  <r>
    <n v="381210"/>
    <s v="Dead by Daylight"/>
    <d v="2016-06-14T00:00:00"/>
    <n v="44886"/>
    <b v="0"/>
    <n v="20"/>
    <s v="GTX 970"/>
    <x v="5"/>
    <x v="1"/>
  </r>
  <r>
    <n v="381210"/>
    <s v="Dead by Daylight"/>
    <d v="2016-06-14T00:00:00"/>
    <n v="44886"/>
    <b v="0"/>
    <n v="20"/>
    <s v="GTX 970"/>
    <x v="6"/>
    <x v="1"/>
  </r>
  <r>
    <n v="440"/>
    <s v="Team Fortress 2"/>
    <d v="2007-10-10T00:00:00"/>
    <n v="43819"/>
    <b v="0"/>
    <n v="21"/>
    <s v="Radeon Graphics"/>
    <x v="0"/>
    <x v="0"/>
  </r>
  <r>
    <n v="440"/>
    <s v="Team Fortress 2"/>
    <d v="2007-10-10T00:00:00"/>
    <n v="43819"/>
    <b v="0"/>
    <n v="21"/>
    <s v="Radeon Graphics"/>
    <x v="1"/>
    <x v="1"/>
  </r>
  <r>
    <n v="440"/>
    <s v="Team Fortress 2"/>
    <d v="2007-10-10T00:00:00"/>
    <n v="43819"/>
    <b v="0"/>
    <n v="21"/>
    <s v="Radeon Graphics"/>
    <x v="2"/>
    <x v="1"/>
  </r>
  <r>
    <n v="440"/>
    <s v="Team Fortress 2"/>
    <d v="2007-10-10T00:00:00"/>
    <n v="43819"/>
    <b v="0"/>
    <n v="21"/>
    <s v="Radeon Graphics"/>
    <x v="3"/>
    <x v="1"/>
  </r>
  <r>
    <n v="440"/>
    <s v="Team Fortress 2"/>
    <d v="2007-10-10T00:00:00"/>
    <n v="43819"/>
    <b v="0"/>
    <n v="21"/>
    <s v="Radeon Graphics"/>
    <x v="4"/>
    <x v="1"/>
  </r>
  <r>
    <n v="440"/>
    <s v="Team Fortress 2"/>
    <d v="2007-10-10T00:00:00"/>
    <n v="43819"/>
    <b v="0"/>
    <n v="21"/>
    <s v="Radeon Graphics"/>
    <x v="5"/>
    <x v="1"/>
  </r>
  <r>
    <n v="440"/>
    <s v="Team Fortress 2"/>
    <d v="2007-10-10T00:00:00"/>
    <n v="43819"/>
    <b v="0"/>
    <n v="21"/>
    <s v="Radeon Graphics"/>
    <x v="6"/>
    <x v="0"/>
  </r>
  <r>
    <n v="2669320"/>
    <s v="EA SPORTS FC 25"/>
    <d v="2024-09-26T00:00:00"/>
    <n v="42032"/>
    <b v="0"/>
    <n v="22"/>
    <s v="RX 5600 XT"/>
    <x v="0"/>
    <x v="1"/>
  </r>
  <r>
    <n v="2669320"/>
    <s v="EA SPORTS FC 25"/>
    <d v="2024-09-26T00:00:00"/>
    <n v="42032"/>
    <b v="0"/>
    <n v="22"/>
    <s v="RX 5600 XT"/>
    <x v="1"/>
    <x v="1"/>
  </r>
  <r>
    <n v="2669320"/>
    <s v="EA SPORTS FC 25"/>
    <d v="2024-09-26T00:00:00"/>
    <n v="42032"/>
    <b v="0"/>
    <n v="22"/>
    <s v="RX 5600 XT"/>
    <x v="2"/>
    <x v="1"/>
  </r>
  <r>
    <n v="2669320"/>
    <s v="EA SPORTS FC 25"/>
    <d v="2024-09-26T00:00:00"/>
    <n v="42032"/>
    <b v="0"/>
    <n v="22"/>
    <s v="RX 5600 XT"/>
    <x v="3"/>
    <x v="0"/>
  </r>
  <r>
    <n v="2669320"/>
    <s v="EA SPORTS FC 25"/>
    <d v="2024-09-26T00:00:00"/>
    <n v="42032"/>
    <b v="0"/>
    <n v="22"/>
    <s v="RX 5600 XT"/>
    <x v="4"/>
    <x v="1"/>
  </r>
  <r>
    <n v="2669320"/>
    <s v="EA SPORTS FC 25"/>
    <d v="2024-09-26T00:00:00"/>
    <n v="42032"/>
    <b v="0"/>
    <n v="22"/>
    <s v="RX 5600 XT"/>
    <x v="5"/>
    <x v="1"/>
  </r>
  <r>
    <n v="2669320"/>
    <s v="EA SPORTS FC 25"/>
    <d v="2024-09-26T00:00:00"/>
    <n v="42032"/>
    <b v="0"/>
    <n v="22"/>
    <s v="RX 5600 XT"/>
    <x v="6"/>
    <x v="1"/>
  </r>
  <r>
    <n v="1366800"/>
    <s v="Crosshair X"/>
    <d v="2020-08-17T00:00:00"/>
    <n v="41428"/>
    <b v="0"/>
    <n v="23"/>
    <s v="GTX 1050"/>
    <x v="0"/>
    <x v="0"/>
  </r>
  <r>
    <n v="1366800"/>
    <s v="Crosshair X"/>
    <d v="2020-08-17T00:00:00"/>
    <n v="41428"/>
    <b v="0"/>
    <n v="23"/>
    <s v="GTX 1050"/>
    <x v="1"/>
    <x v="0"/>
  </r>
  <r>
    <n v="1366800"/>
    <s v="Crosshair X"/>
    <d v="2020-08-17T00:00:00"/>
    <n v="41428"/>
    <b v="0"/>
    <n v="23"/>
    <s v="GTX 1050"/>
    <x v="2"/>
    <x v="0"/>
  </r>
  <r>
    <n v="1366800"/>
    <s v="Crosshair X"/>
    <d v="2020-08-17T00:00:00"/>
    <n v="41428"/>
    <b v="0"/>
    <n v="23"/>
    <s v="GTX 1050"/>
    <x v="3"/>
    <x v="1"/>
  </r>
  <r>
    <n v="1366800"/>
    <s v="Crosshair X"/>
    <d v="2020-08-17T00:00:00"/>
    <n v="41428"/>
    <b v="0"/>
    <n v="23"/>
    <s v="GTX 1050"/>
    <x v="4"/>
    <x v="1"/>
  </r>
  <r>
    <n v="1366800"/>
    <s v="Crosshair X"/>
    <d v="2020-08-17T00:00:00"/>
    <n v="41428"/>
    <b v="0"/>
    <n v="23"/>
    <s v="GTX 1050"/>
    <x v="5"/>
    <x v="1"/>
  </r>
  <r>
    <n v="1366800"/>
    <s v="Crosshair X"/>
    <d v="2020-08-17T00:00:00"/>
    <n v="41428"/>
    <b v="0"/>
    <n v="23"/>
    <s v="GTX 1050"/>
    <x v="6"/>
    <x v="1"/>
  </r>
  <r>
    <n v="3240220"/>
    <s v="Grand Theft Auto V Enhanced"/>
    <d v="2025-03-04T00:00:00"/>
    <n v="39502"/>
    <b v="0"/>
    <n v="24"/>
    <s v="RTX 3060"/>
    <x v="0"/>
    <x v="0"/>
  </r>
  <r>
    <n v="3240220"/>
    <s v="Grand Theft Auto V Enhanced"/>
    <d v="2025-03-04T00:00:00"/>
    <n v="39502"/>
    <b v="0"/>
    <n v="24"/>
    <s v="RTX 3060"/>
    <x v="1"/>
    <x v="1"/>
  </r>
  <r>
    <n v="3240220"/>
    <s v="Grand Theft Auto V Enhanced"/>
    <d v="2025-03-04T00:00:00"/>
    <n v="39502"/>
    <b v="0"/>
    <n v="24"/>
    <s v="RTX 3060"/>
    <x v="2"/>
    <x v="0"/>
  </r>
  <r>
    <n v="3240220"/>
    <s v="Grand Theft Auto V Enhanced"/>
    <d v="2025-03-04T00:00:00"/>
    <n v="39502"/>
    <b v="0"/>
    <n v="24"/>
    <s v="RTX 3060"/>
    <x v="3"/>
    <x v="1"/>
  </r>
  <r>
    <n v="3240220"/>
    <s v="Grand Theft Auto V Enhanced"/>
    <d v="2025-03-04T00:00:00"/>
    <n v="39502"/>
    <b v="0"/>
    <n v="24"/>
    <s v="RTX 3060"/>
    <x v="4"/>
    <x v="1"/>
  </r>
  <r>
    <n v="3240220"/>
    <s v="Grand Theft Auto V Enhanced"/>
    <d v="2025-03-04T00:00:00"/>
    <n v="39502"/>
    <b v="0"/>
    <n v="24"/>
    <s v="RTX 3060"/>
    <x v="5"/>
    <x v="1"/>
  </r>
  <r>
    <n v="3240220"/>
    <s v="Grand Theft Auto V Enhanced"/>
    <d v="2025-03-04T00:00:00"/>
    <n v="39502"/>
    <b v="0"/>
    <n v="24"/>
    <s v="RTX 3060"/>
    <x v="6"/>
    <x v="1"/>
  </r>
  <r>
    <n v="221100"/>
    <s v="DayZ"/>
    <d v="2018-12-13T00:00:00"/>
    <n v="37066"/>
    <b v="0"/>
    <n v="25"/>
    <s v="GTX 1060"/>
    <x v="0"/>
    <x v="0"/>
  </r>
  <r>
    <n v="221100"/>
    <s v="DayZ"/>
    <d v="2018-12-13T00:00:00"/>
    <n v="37066"/>
    <b v="0"/>
    <n v="25"/>
    <s v="GTX 1060"/>
    <x v="1"/>
    <x v="1"/>
  </r>
  <r>
    <n v="221100"/>
    <s v="DayZ"/>
    <d v="2018-12-13T00:00:00"/>
    <n v="37066"/>
    <b v="0"/>
    <n v="25"/>
    <s v="GTX 1060"/>
    <x v="2"/>
    <x v="0"/>
  </r>
  <r>
    <n v="221100"/>
    <s v="DayZ"/>
    <d v="2018-12-13T00:00:00"/>
    <n v="37066"/>
    <b v="0"/>
    <n v="25"/>
    <s v="GTX 1060"/>
    <x v="3"/>
    <x v="1"/>
  </r>
  <r>
    <n v="221100"/>
    <s v="DayZ"/>
    <d v="2018-12-13T00:00:00"/>
    <n v="37066"/>
    <b v="0"/>
    <n v="25"/>
    <s v="GTX 1060"/>
    <x v="4"/>
    <x v="1"/>
  </r>
  <r>
    <n v="221100"/>
    <s v="DayZ"/>
    <d v="2018-12-13T00:00:00"/>
    <n v="37066"/>
    <b v="0"/>
    <n v="25"/>
    <s v="GTX 1060"/>
    <x v="5"/>
    <x v="1"/>
  </r>
  <r>
    <n v="221100"/>
    <s v="DayZ"/>
    <d v="2018-12-13T00:00:00"/>
    <n v="37066"/>
    <b v="0"/>
    <n v="25"/>
    <s v="GTX 1060"/>
    <x v="6"/>
    <x v="1"/>
  </r>
  <r>
    <n v="230410"/>
    <s v="Warframe"/>
    <d v="2013-03-25T00:00:00"/>
    <n v="36195"/>
    <b v="0"/>
    <n v="26"/>
    <s v="R9 290"/>
    <x v="0"/>
    <x v="0"/>
  </r>
  <r>
    <n v="230410"/>
    <s v="Warframe"/>
    <d v="2013-03-25T00:00:00"/>
    <n v="36195"/>
    <b v="0"/>
    <n v="26"/>
    <s v="R9 290"/>
    <x v="1"/>
    <x v="1"/>
  </r>
  <r>
    <n v="230410"/>
    <s v="Warframe"/>
    <d v="2013-03-25T00:00:00"/>
    <n v="36195"/>
    <b v="0"/>
    <n v="26"/>
    <s v="R9 290"/>
    <x v="2"/>
    <x v="1"/>
  </r>
  <r>
    <n v="230410"/>
    <s v="Warframe"/>
    <d v="2013-03-25T00:00:00"/>
    <n v="36195"/>
    <b v="0"/>
    <n v="26"/>
    <s v="R9 290"/>
    <x v="3"/>
    <x v="1"/>
  </r>
  <r>
    <n v="230410"/>
    <s v="Warframe"/>
    <d v="2013-03-25T00:00:00"/>
    <n v="36195"/>
    <b v="0"/>
    <n v="26"/>
    <s v="R9 290"/>
    <x v="4"/>
    <x v="0"/>
  </r>
  <r>
    <n v="230410"/>
    <s v="Warframe"/>
    <d v="2013-03-25T00:00:00"/>
    <n v="36195"/>
    <b v="0"/>
    <n v="26"/>
    <s v="R9 290"/>
    <x v="5"/>
    <x v="1"/>
  </r>
  <r>
    <n v="230410"/>
    <s v="Warframe"/>
    <d v="2013-03-25T00:00:00"/>
    <n v="36195"/>
    <b v="0"/>
    <n v="26"/>
    <s v="R9 290"/>
    <x v="6"/>
    <x v="0"/>
  </r>
  <r>
    <n v="438100"/>
    <s v="VRChat"/>
    <d v="2017-02-01T00:00:00"/>
    <n v="34699"/>
    <b v="0"/>
    <n v="27"/>
    <s v="GTX 970"/>
    <x v="0"/>
    <x v="1"/>
  </r>
  <r>
    <n v="438100"/>
    <s v="VRChat"/>
    <d v="2017-02-01T00:00:00"/>
    <n v="34699"/>
    <b v="0"/>
    <n v="27"/>
    <s v="GTX 970"/>
    <x v="1"/>
    <x v="1"/>
  </r>
  <r>
    <n v="438100"/>
    <s v="VRChat"/>
    <d v="2017-02-01T00:00:00"/>
    <n v="34699"/>
    <b v="0"/>
    <n v="27"/>
    <s v="GTX 970"/>
    <x v="2"/>
    <x v="0"/>
  </r>
  <r>
    <n v="438100"/>
    <s v="VRChat"/>
    <d v="2017-02-01T00:00:00"/>
    <n v="34699"/>
    <b v="0"/>
    <n v="27"/>
    <s v="GTX 970"/>
    <x v="3"/>
    <x v="0"/>
  </r>
  <r>
    <n v="438100"/>
    <s v="VRChat"/>
    <d v="2017-02-01T00:00:00"/>
    <n v="34699"/>
    <b v="0"/>
    <n v="27"/>
    <s v="GTX 970"/>
    <x v="4"/>
    <x v="1"/>
  </r>
  <r>
    <n v="438100"/>
    <s v="VRChat"/>
    <d v="2017-02-01T00:00:00"/>
    <n v="34699"/>
    <b v="0"/>
    <n v="27"/>
    <s v="GTX 970"/>
    <x v="5"/>
    <x v="1"/>
  </r>
  <r>
    <n v="438100"/>
    <s v="VRChat"/>
    <d v="2017-02-01T00:00:00"/>
    <n v="34699"/>
    <b v="0"/>
    <n v="27"/>
    <s v="GTX 970"/>
    <x v="6"/>
    <x v="0"/>
  </r>
  <r>
    <n v="3241660"/>
    <s v="R.E.P.O."/>
    <d v="2025-02-26T00:00:00"/>
    <n v="32349"/>
    <b v="0"/>
    <n v="28"/>
    <s v="GTX 1070"/>
    <x v="0"/>
    <x v="0"/>
  </r>
  <r>
    <n v="3241660"/>
    <s v="R.E.P.O."/>
    <d v="2025-02-26T00:00:00"/>
    <n v="32349"/>
    <b v="0"/>
    <n v="28"/>
    <s v="GTX 1070"/>
    <x v="1"/>
    <x v="1"/>
  </r>
  <r>
    <n v="3241660"/>
    <s v="R.E.P.O."/>
    <d v="2025-02-26T00:00:00"/>
    <n v="32349"/>
    <b v="0"/>
    <n v="28"/>
    <s v="GTX 1070"/>
    <x v="2"/>
    <x v="1"/>
  </r>
  <r>
    <n v="3241660"/>
    <s v="R.E.P.O."/>
    <d v="2025-02-26T00:00:00"/>
    <n v="32349"/>
    <b v="0"/>
    <n v="28"/>
    <s v="GTX 1070"/>
    <x v="3"/>
    <x v="1"/>
  </r>
  <r>
    <n v="3241660"/>
    <s v="R.E.P.O."/>
    <d v="2025-02-26T00:00:00"/>
    <n v="32349"/>
    <b v="0"/>
    <n v="28"/>
    <s v="GTX 1070"/>
    <x v="4"/>
    <x v="1"/>
  </r>
  <r>
    <n v="3241660"/>
    <s v="R.E.P.O."/>
    <d v="2025-02-26T00:00:00"/>
    <n v="32349"/>
    <b v="0"/>
    <n v="28"/>
    <s v="GTX 1070"/>
    <x v="5"/>
    <x v="1"/>
  </r>
  <r>
    <n v="3241660"/>
    <s v="R.E.P.O."/>
    <d v="2025-02-26T00:00:00"/>
    <n v="32349"/>
    <b v="0"/>
    <n v="28"/>
    <s v="GTX 1070"/>
    <x v="6"/>
    <x v="1"/>
  </r>
  <r>
    <n v="394360"/>
    <s v="Hearts of Iron IV"/>
    <d v="2016-06-06T00:00:00"/>
    <n v="32112"/>
    <b v="1"/>
    <n v="29"/>
    <s v="R9 390X"/>
    <x v="0"/>
    <x v="1"/>
  </r>
  <r>
    <n v="394360"/>
    <s v="Hearts of Iron IV"/>
    <d v="2016-06-06T00:00:00"/>
    <n v="32112"/>
    <b v="1"/>
    <n v="29"/>
    <s v="R9 390X"/>
    <x v="1"/>
    <x v="1"/>
  </r>
  <r>
    <n v="394360"/>
    <s v="Hearts of Iron IV"/>
    <d v="2016-06-06T00:00:00"/>
    <n v="32112"/>
    <b v="1"/>
    <n v="29"/>
    <s v="R9 390X"/>
    <x v="2"/>
    <x v="1"/>
  </r>
  <r>
    <n v="394360"/>
    <s v="Hearts of Iron IV"/>
    <d v="2016-06-06T00:00:00"/>
    <n v="32112"/>
    <b v="1"/>
    <n v="29"/>
    <s v="R9 390X"/>
    <x v="3"/>
    <x v="0"/>
  </r>
  <r>
    <n v="394360"/>
    <s v="Hearts of Iron IV"/>
    <d v="2016-06-06T00:00:00"/>
    <n v="32112"/>
    <b v="1"/>
    <n v="29"/>
    <s v="R9 390X"/>
    <x v="4"/>
    <x v="1"/>
  </r>
  <r>
    <n v="394360"/>
    <s v="Hearts of Iron IV"/>
    <d v="2016-06-06T00:00:00"/>
    <n v="32112"/>
    <b v="1"/>
    <n v="29"/>
    <s v="R9 390X"/>
    <x v="5"/>
    <x v="0"/>
  </r>
  <r>
    <n v="394360"/>
    <s v="Hearts of Iron IV"/>
    <d v="2016-06-06T00:00:00"/>
    <n v="32112"/>
    <b v="1"/>
    <n v="29"/>
    <s v="R9 390X"/>
    <x v="6"/>
    <x v="1"/>
  </r>
  <r>
    <n v="322330"/>
    <s v="Don't Starve Together"/>
    <d v="2016-04-21T00:00:00"/>
    <n v="30542"/>
    <b v="1"/>
    <n v="30"/>
    <s v="Radeon Vega 8"/>
    <x v="0"/>
    <x v="0"/>
  </r>
  <r>
    <n v="322330"/>
    <s v="Don't Starve Together"/>
    <d v="2016-04-21T00:00:00"/>
    <n v="30542"/>
    <b v="1"/>
    <n v="30"/>
    <s v="Radeon Vega 8"/>
    <x v="1"/>
    <x v="0"/>
  </r>
  <r>
    <n v="322330"/>
    <s v="Don't Starve Together"/>
    <d v="2016-04-21T00:00:00"/>
    <n v="30542"/>
    <b v="1"/>
    <n v="30"/>
    <s v="Radeon Vega 8"/>
    <x v="2"/>
    <x v="0"/>
  </r>
  <r>
    <n v="322330"/>
    <s v="Don't Starve Together"/>
    <d v="2016-04-21T00:00:00"/>
    <n v="30542"/>
    <b v="1"/>
    <n v="30"/>
    <s v="Radeon Vega 8"/>
    <x v="3"/>
    <x v="0"/>
  </r>
  <r>
    <n v="322330"/>
    <s v="Don't Starve Together"/>
    <d v="2016-04-21T00:00:00"/>
    <n v="30542"/>
    <b v="1"/>
    <n v="30"/>
    <s v="Radeon Vega 8"/>
    <x v="4"/>
    <x v="0"/>
  </r>
  <r>
    <n v="322330"/>
    <s v="Don't Starve Together"/>
    <d v="2016-04-21T00:00:00"/>
    <n v="30542"/>
    <b v="1"/>
    <n v="30"/>
    <s v="Radeon Vega 8"/>
    <x v="5"/>
    <x v="0"/>
  </r>
  <r>
    <n v="322330"/>
    <s v="Don't Starve Together"/>
    <d v="2016-04-21T00:00:00"/>
    <n v="30542"/>
    <b v="1"/>
    <n v="30"/>
    <s v="Radeon Vega 8"/>
    <x v="6"/>
    <x v="1"/>
  </r>
  <r>
    <n v="1174180"/>
    <s v="Red Dead Redemption 2"/>
    <d v="2019-12-05T00:00:00"/>
    <n v="29885"/>
    <b v="0"/>
    <n v="31"/>
    <s v="GTX 1060"/>
    <x v="0"/>
    <x v="0"/>
  </r>
  <r>
    <n v="1174180"/>
    <s v="Red Dead Redemption 2"/>
    <d v="2019-12-05T00:00:00"/>
    <n v="29885"/>
    <b v="0"/>
    <n v="31"/>
    <s v="GTX 1060"/>
    <x v="1"/>
    <x v="1"/>
  </r>
  <r>
    <n v="1174180"/>
    <s v="Red Dead Redemption 2"/>
    <d v="2019-12-05T00:00:00"/>
    <n v="29885"/>
    <b v="0"/>
    <n v="31"/>
    <s v="GTX 1060"/>
    <x v="2"/>
    <x v="0"/>
  </r>
  <r>
    <n v="1174180"/>
    <s v="Red Dead Redemption 2"/>
    <d v="2019-12-05T00:00:00"/>
    <n v="29885"/>
    <b v="0"/>
    <n v="31"/>
    <s v="GTX 1060"/>
    <x v="3"/>
    <x v="1"/>
  </r>
  <r>
    <n v="1174180"/>
    <s v="Red Dead Redemption 2"/>
    <d v="2019-12-05T00:00:00"/>
    <n v="29885"/>
    <b v="0"/>
    <n v="31"/>
    <s v="GTX 1060"/>
    <x v="4"/>
    <x v="1"/>
  </r>
  <r>
    <n v="1174180"/>
    <s v="Red Dead Redemption 2"/>
    <d v="2019-12-05T00:00:00"/>
    <n v="29885"/>
    <b v="0"/>
    <n v="31"/>
    <s v="GTX 1060"/>
    <x v="5"/>
    <x v="1"/>
  </r>
  <r>
    <n v="1174180"/>
    <s v="Red Dead Redemption 2"/>
    <d v="2019-12-05T00:00:00"/>
    <n v="29885"/>
    <b v="0"/>
    <n v="31"/>
    <s v="GTX 1060"/>
    <x v="6"/>
    <x v="1"/>
  </r>
  <r>
    <n v="1245620"/>
    <s v="ELDEN RING"/>
    <d v="2022-02-24T00:00:00"/>
    <n v="29529"/>
    <b v="0"/>
    <n v="32"/>
    <s v="GTX 1070"/>
    <x v="0"/>
    <x v="0"/>
  </r>
  <r>
    <n v="1245620"/>
    <s v="ELDEN RING"/>
    <d v="2022-02-24T00:00:00"/>
    <n v="29529"/>
    <b v="0"/>
    <n v="32"/>
    <s v="GTX 1070"/>
    <x v="1"/>
    <x v="1"/>
  </r>
  <r>
    <n v="1245620"/>
    <s v="ELDEN RING"/>
    <d v="2022-02-24T00:00:00"/>
    <n v="29529"/>
    <b v="0"/>
    <n v="32"/>
    <s v="GTX 1070"/>
    <x v="2"/>
    <x v="1"/>
  </r>
  <r>
    <n v="1245620"/>
    <s v="ELDEN RING"/>
    <d v="2022-02-24T00:00:00"/>
    <n v="29529"/>
    <b v="0"/>
    <n v="32"/>
    <s v="GTX 1070"/>
    <x v="3"/>
    <x v="1"/>
  </r>
  <r>
    <n v="1245620"/>
    <s v="ELDEN RING"/>
    <d v="2022-02-24T00:00:00"/>
    <n v="29529"/>
    <b v="0"/>
    <n v="32"/>
    <s v="GTX 1070"/>
    <x v="4"/>
    <x v="0"/>
  </r>
  <r>
    <n v="1245620"/>
    <s v="ELDEN RING"/>
    <d v="2022-02-24T00:00:00"/>
    <n v="29529"/>
    <b v="0"/>
    <n v="32"/>
    <s v="GTX 1070"/>
    <x v="5"/>
    <x v="1"/>
  </r>
  <r>
    <n v="1245620"/>
    <s v="ELDEN RING"/>
    <d v="2022-02-24T00:00:00"/>
    <n v="29529"/>
    <b v="0"/>
    <n v="32"/>
    <s v="GTX 1070"/>
    <x v="6"/>
    <x v="1"/>
  </r>
  <r>
    <n v="3188910"/>
    <s v="Clicker Cuties - Anime Idler"/>
    <d v="2024-12-03T00:00:00"/>
    <n v="28258"/>
    <b v="1"/>
    <n v="33"/>
    <s v="Radeon Vega 8"/>
    <x v="0"/>
    <x v="1"/>
  </r>
  <r>
    <n v="3188910"/>
    <s v="Clicker Cuties - Anime Idler"/>
    <d v="2024-12-03T00:00:00"/>
    <n v="28258"/>
    <b v="1"/>
    <n v="33"/>
    <s v="Radeon Vega 8"/>
    <x v="1"/>
    <x v="0"/>
  </r>
  <r>
    <n v="3188910"/>
    <s v="Clicker Cuties - Anime Idler"/>
    <d v="2024-12-03T00:00:00"/>
    <n v="28258"/>
    <b v="1"/>
    <n v="33"/>
    <s v="Radeon Vega 8"/>
    <x v="2"/>
    <x v="1"/>
  </r>
  <r>
    <n v="3188910"/>
    <s v="Clicker Cuties - Anime Idler"/>
    <d v="2024-12-03T00:00:00"/>
    <n v="28258"/>
    <b v="1"/>
    <n v="33"/>
    <s v="Radeon Vega 8"/>
    <x v="3"/>
    <x v="0"/>
  </r>
  <r>
    <n v="3188910"/>
    <s v="Clicker Cuties - Anime Idler"/>
    <d v="2024-12-03T00:00:00"/>
    <n v="28258"/>
    <b v="1"/>
    <n v="33"/>
    <s v="Radeon Vega 8"/>
    <x v="4"/>
    <x v="0"/>
  </r>
  <r>
    <n v="3188910"/>
    <s v="Clicker Cuties - Anime Idler"/>
    <d v="2024-12-03T00:00:00"/>
    <n v="28258"/>
    <b v="1"/>
    <n v="33"/>
    <s v="Radeon Vega 8"/>
    <x v="5"/>
    <x v="1"/>
  </r>
  <r>
    <n v="3188910"/>
    <s v="Clicker Cuties - Anime Idler"/>
    <d v="2024-12-03T00:00:00"/>
    <n v="28258"/>
    <b v="1"/>
    <n v="33"/>
    <s v="Radeon Vega 8"/>
    <x v="6"/>
    <x v="0"/>
  </r>
  <r>
    <n v="1903340"/>
    <s v="Clair Obscur: Expedition 33"/>
    <d v="2025-04-24T00:00:00"/>
    <n v="27880"/>
    <b v="0"/>
    <n v="34"/>
    <s v="RTX 3060 Ti"/>
    <x v="0"/>
    <x v="0"/>
  </r>
  <r>
    <n v="1903340"/>
    <s v="Clair Obscur: Expedition 33"/>
    <d v="2025-04-24T00:00:00"/>
    <n v="27880"/>
    <b v="0"/>
    <n v="34"/>
    <s v="RTX 3060 Ti"/>
    <x v="1"/>
    <x v="1"/>
  </r>
  <r>
    <n v="1903340"/>
    <s v="Clair Obscur: Expedition 33"/>
    <d v="2025-04-24T00:00:00"/>
    <n v="27880"/>
    <b v="0"/>
    <n v="34"/>
    <s v="RTX 3060 Ti"/>
    <x v="2"/>
    <x v="1"/>
  </r>
  <r>
    <n v="1903340"/>
    <s v="Clair Obscur: Expedition 33"/>
    <d v="2025-04-24T00:00:00"/>
    <n v="27880"/>
    <b v="0"/>
    <n v="34"/>
    <s v="RTX 3060 Ti"/>
    <x v="3"/>
    <x v="1"/>
  </r>
  <r>
    <n v="1903340"/>
    <s v="Clair Obscur: Expedition 33"/>
    <d v="2025-04-24T00:00:00"/>
    <n v="27880"/>
    <b v="0"/>
    <n v="34"/>
    <s v="RTX 3060 Ti"/>
    <x v="4"/>
    <x v="0"/>
  </r>
  <r>
    <n v="1903340"/>
    <s v="Clair Obscur: Expedition 33"/>
    <d v="2025-04-24T00:00:00"/>
    <n v="27880"/>
    <b v="0"/>
    <n v="34"/>
    <s v="RTX 3060 Ti"/>
    <x v="5"/>
    <x v="1"/>
  </r>
  <r>
    <n v="1903340"/>
    <s v="Clair Obscur: Expedition 33"/>
    <d v="2025-04-24T00:00:00"/>
    <n v="27880"/>
    <b v="0"/>
    <n v="34"/>
    <s v="RTX 3060 Ti"/>
    <x v="6"/>
    <x v="1"/>
  </r>
  <r>
    <n v="322170"/>
    <s v="Geometry Dash"/>
    <d v="2014-12-22T00:00:00"/>
    <n v="27850"/>
    <b v="1"/>
    <n v="35"/>
    <s v="GTX 750"/>
    <x v="0"/>
    <x v="0"/>
  </r>
  <r>
    <n v="322170"/>
    <s v="Geometry Dash"/>
    <d v="2014-12-22T00:00:00"/>
    <n v="27850"/>
    <b v="1"/>
    <n v="35"/>
    <s v="GTX 750"/>
    <x v="1"/>
    <x v="0"/>
  </r>
  <r>
    <n v="322170"/>
    <s v="Geometry Dash"/>
    <d v="2014-12-22T00:00:00"/>
    <n v="27850"/>
    <b v="1"/>
    <n v="35"/>
    <s v="GTX 750"/>
    <x v="2"/>
    <x v="1"/>
  </r>
  <r>
    <n v="322170"/>
    <s v="Geometry Dash"/>
    <d v="2014-12-22T00:00:00"/>
    <n v="27850"/>
    <b v="1"/>
    <n v="35"/>
    <s v="GTX 750"/>
    <x v="3"/>
    <x v="1"/>
  </r>
  <r>
    <n v="322170"/>
    <s v="Geometry Dash"/>
    <d v="2014-12-22T00:00:00"/>
    <n v="27850"/>
    <b v="1"/>
    <n v="35"/>
    <s v="GTX 750"/>
    <x v="4"/>
    <x v="1"/>
  </r>
  <r>
    <n v="322170"/>
    <s v="Geometry Dash"/>
    <d v="2014-12-22T00:00:00"/>
    <n v="27850"/>
    <b v="1"/>
    <n v="35"/>
    <s v="GTX 750"/>
    <x v="5"/>
    <x v="1"/>
  </r>
  <r>
    <n v="322170"/>
    <s v="Geometry Dash"/>
    <d v="2014-12-22T00:00:00"/>
    <n v="27850"/>
    <b v="1"/>
    <n v="35"/>
    <s v="GTX 750"/>
    <x v="6"/>
    <x v="1"/>
  </r>
  <r>
    <n v="2878980"/>
    <s v="NBA 2K25"/>
    <d v="2024-10-28T00:00:00"/>
    <n v="27486"/>
    <b v="0"/>
    <n v="36"/>
    <s v="RTX 2070"/>
    <x v="0"/>
    <x v="1"/>
  </r>
  <r>
    <n v="2878980"/>
    <s v="NBA 2K25"/>
    <d v="2024-10-28T00:00:00"/>
    <n v="27486"/>
    <b v="0"/>
    <n v="36"/>
    <s v="RTX 2070"/>
    <x v="1"/>
    <x v="1"/>
  </r>
  <r>
    <n v="2878980"/>
    <s v="NBA 2K25"/>
    <d v="2024-10-28T00:00:00"/>
    <n v="27486"/>
    <b v="0"/>
    <n v="36"/>
    <s v="RTX 2070"/>
    <x v="2"/>
    <x v="1"/>
  </r>
  <r>
    <n v="2878980"/>
    <s v="NBA 2K25"/>
    <d v="2024-10-28T00:00:00"/>
    <n v="27486"/>
    <b v="0"/>
    <n v="36"/>
    <s v="RTX 2070"/>
    <x v="3"/>
    <x v="0"/>
  </r>
  <r>
    <n v="2878980"/>
    <s v="NBA 2K25"/>
    <d v="2024-10-28T00:00:00"/>
    <n v="27486"/>
    <b v="0"/>
    <n v="36"/>
    <s v="RTX 2070"/>
    <x v="4"/>
    <x v="1"/>
  </r>
  <r>
    <n v="2878980"/>
    <s v="NBA 2K25"/>
    <d v="2024-10-28T00:00:00"/>
    <n v="27486"/>
    <b v="0"/>
    <n v="36"/>
    <s v="RTX 2070"/>
    <x v="5"/>
    <x v="1"/>
  </r>
  <r>
    <n v="2878980"/>
    <s v="NBA 2K25"/>
    <d v="2024-10-28T00:00:00"/>
    <n v="27486"/>
    <b v="0"/>
    <n v="36"/>
    <s v="RTX 2070"/>
    <x v="6"/>
    <x v="1"/>
  </r>
  <r>
    <n v="218620"/>
    <s v="PAYDAY 2"/>
    <d v="2013-08-13T00:00:00"/>
    <n v="27254"/>
    <b v="0"/>
    <n v="37"/>
    <s v="GTX 750"/>
    <x v="0"/>
    <x v="0"/>
  </r>
  <r>
    <n v="218620"/>
    <s v="PAYDAY 2"/>
    <d v="2013-08-13T00:00:00"/>
    <n v="27254"/>
    <b v="0"/>
    <n v="37"/>
    <s v="GTX 750"/>
    <x v="1"/>
    <x v="1"/>
  </r>
  <r>
    <n v="218620"/>
    <s v="PAYDAY 2"/>
    <d v="2013-08-13T00:00:00"/>
    <n v="27254"/>
    <b v="0"/>
    <n v="37"/>
    <s v="GTX 750"/>
    <x v="2"/>
    <x v="1"/>
  </r>
  <r>
    <n v="218620"/>
    <s v="PAYDAY 2"/>
    <d v="2013-08-13T00:00:00"/>
    <n v="27254"/>
    <b v="0"/>
    <n v="37"/>
    <s v="GTX 750"/>
    <x v="3"/>
    <x v="1"/>
  </r>
  <r>
    <n v="218620"/>
    <s v="PAYDAY 2"/>
    <d v="2013-08-13T00:00:00"/>
    <n v="27254"/>
    <b v="0"/>
    <n v="37"/>
    <s v="GTX 750"/>
    <x v="4"/>
    <x v="0"/>
  </r>
  <r>
    <n v="218620"/>
    <s v="PAYDAY 2"/>
    <d v="2013-08-13T00:00:00"/>
    <n v="27254"/>
    <b v="0"/>
    <n v="37"/>
    <s v="GTX 750"/>
    <x v="5"/>
    <x v="1"/>
  </r>
  <r>
    <n v="218620"/>
    <s v="PAYDAY 2"/>
    <d v="2013-08-13T00:00:00"/>
    <n v="27254"/>
    <b v="0"/>
    <n v="37"/>
    <s v="GTX 750"/>
    <x v="6"/>
    <x v="1"/>
  </r>
  <r>
    <n v="289070"/>
    <s v="Sid Meier's Civilization VI"/>
    <d v="2016-10-20T00:00:00"/>
    <n v="25420"/>
    <b v="1"/>
    <n v="38"/>
    <s v="GTX 1050"/>
    <x v="0"/>
    <x v="1"/>
  </r>
  <r>
    <n v="289070"/>
    <s v="Sid Meier's Civilization VI"/>
    <d v="2016-10-20T00:00:00"/>
    <n v="25420"/>
    <b v="1"/>
    <n v="38"/>
    <s v="GTX 1050"/>
    <x v="1"/>
    <x v="1"/>
  </r>
  <r>
    <n v="289070"/>
    <s v="Sid Meier's Civilization VI"/>
    <d v="2016-10-20T00:00:00"/>
    <n v="25420"/>
    <b v="1"/>
    <n v="38"/>
    <s v="GTX 1050"/>
    <x v="2"/>
    <x v="1"/>
  </r>
  <r>
    <n v="289070"/>
    <s v="Sid Meier's Civilization VI"/>
    <d v="2016-10-20T00:00:00"/>
    <n v="25420"/>
    <b v="1"/>
    <n v="38"/>
    <s v="GTX 1050"/>
    <x v="3"/>
    <x v="1"/>
  </r>
  <r>
    <n v="289070"/>
    <s v="Sid Meier's Civilization VI"/>
    <d v="2016-10-20T00:00:00"/>
    <n v="25420"/>
    <b v="1"/>
    <n v="38"/>
    <s v="GTX 1050"/>
    <x v="4"/>
    <x v="1"/>
  </r>
  <r>
    <n v="289070"/>
    <s v="Sid Meier's Civilization VI"/>
    <d v="2016-10-20T00:00:00"/>
    <n v="25420"/>
    <b v="1"/>
    <n v="38"/>
    <s v="GTX 1050"/>
    <x v="5"/>
    <x v="0"/>
  </r>
  <r>
    <n v="289070"/>
    <s v="Sid Meier's Civilization VI"/>
    <d v="2016-10-20T00:00:00"/>
    <n v="25420"/>
    <b v="1"/>
    <n v="38"/>
    <s v="GTX 1050"/>
    <x v="6"/>
    <x v="1"/>
  </r>
  <r>
    <n v="1222670"/>
    <s v="The Sims 4"/>
    <d v="2020-06-18T00:00:00"/>
    <n v="25276"/>
    <b v="0"/>
    <n v="39"/>
    <s v="Radeon Vega 8"/>
    <x v="0"/>
    <x v="1"/>
  </r>
  <r>
    <n v="1222670"/>
    <s v="The Sims 4"/>
    <d v="2020-06-18T00:00:00"/>
    <n v="25276"/>
    <b v="0"/>
    <n v="39"/>
    <s v="Radeon Vega 8"/>
    <x v="1"/>
    <x v="1"/>
  </r>
  <r>
    <n v="1222670"/>
    <s v="The Sims 4"/>
    <d v="2020-06-18T00:00:00"/>
    <n v="25276"/>
    <b v="0"/>
    <n v="39"/>
    <s v="Radeon Vega 8"/>
    <x v="2"/>
    <x v="0"/>
  </r>
  <r>
    <n v="1222670"/>
    <s v="The Sims 4"/>
    <d v="2020-06-18T00:00:00"/>
    <n v="25276"/>
    <b v="0"/>
    <n v="39"/>
    <s v="Radeon Vega 8"/>
    <x v="3"/>
    <x v="0"/>
  </r>
  <r>
    <n v="1222670"/>
    <s v="The Sims 4"/>
    <d v="2020-06-18T00:00:00"/>
    <n v="25276"/>
    <b v="0"/>
    <n v="39"/>
    <s v="Radeon Vega 8"/>
    <x v="4"/>
    <x v="1"/>
  </r>
  <r>
    <n v="1222670"/>
    <s v="The Sims 4"/>
    <d v="2020-06-18T00:00:00"/>
    <n v="25276"/>
    <b v="0"/>
    <n v="39"/>
    <s v="Radeon Vega 8"/>
    <x v="5"/>
    <x v="1"/>
  </r>
  <r>
    <n v="1222670"/>
    <s v="The Sims 4"/>
    <d v="2020-06-18T00:00:00"/>
    <n v="25276"/>
    <b v="0"/>
    <n v="39"/>
    <s v="Radeon Vega 8"/>
    <x v="6"/>
    <x v="0"/>
  </r>
  <r>
    <n v="550"/>
    <s v="Left 4 Dead 2"/>
    <d v="2009-11-16T00:00:00"/>
    <n v="25122"/>
    <b v="0"/>
    <n v="40"/>
    <s v="Radeon Graphics"/>
    <x v="0"/>
    <x v="0"/>
  </r>
  <r>
    <n v="550"/>
    <s v="Left 4 Dead 2"/>
    <d v="2009-11-16T00:00:00"/>
    <n v="25122"/>
    <b v="0"/>
    <n v="40"/>
    <s v="Radeon Graphics"/>
    <x v="1"/>
    <x v="1"/>
  </r>
  <r>
    <n v="550"/>
    <s v="Left 4 Dead 2"/>
    <d v="2009-11-16T00:00:00"/>
    <n v="25122"/>
    <b v="0"/>
    <n v="40"/>
    <s v="Radeon Graphics"/>
    <x v="2"/>
    <x v="1"/>
  </r>
  <r>
    <n v="550"/>
    <s v="Left 4 Dead 2"/>
    <d v="2009-11-16T00:00:00"/>
    <n v="25122"/>
    <b v="0"/>
    <n v="40"/>
    <s v="Radeon Graphics"/>
    <x v="3"/>
    <x v="1"/>
  </r>
  <r>
    <n v="550"/>
    <s v="Left 4 Dead 2"/>
    <d v="2009-11-16T00:00:00"/>
    <n v="25122"/>
    <b v="0"/>
    <n v="40"/>
    <s v="Radeon Graphics"/>
    <x v="4"/>
    <x v="1"/>
  </r>
  <r>
    <n v="550"/>
    <s v="Left 4 Dead 2"/>
    <d v="2009-11-16T00:00:00"/>
    <n v="25122"/>
    <b v="0"/>
    <n v="40"/>
    <s v="Radeon Graphics"/>
    <x v="5"/>
    <x v="1"/>
  </r>
  <r>
    <n v="550"/>
    <s v="Left 4 Dead 2"/>
    <d v="2009-11-16T00:00:00"/>
    <n v="25122"/>
    <b v="0"/>
    <n v="40"/>
    <s v="Radeon Graphics"/>
    <x v="6"/>
    <x v="1"/>
  </r>
  <r>
    <n v="489830"/>
    <s v="The Elder Scrolls V: Skyrim Special Edition"/>
    <d v="2016-10-27T00:00:00"/>
    <n v="25085"/>
    <b v="0"/>
    <n v="41"/>
    <s v="GTX 1050 Ti"/>
    <x v="0"/>
    <x v="1"/>
  </r>
  <r>
    <n v="489830"/>
    <s v="The Elder Scrolls V: Skyrim Special Edition"/>
    <d v="2016-10-27T00:00:00"/>
    <n v="25085"/>
    <b v="0"/>
    <n v="41"/>
    <s v="GTX 1050 Ti"/>
    <x v="1"/>
    <x v="1"/>
  </r>
  <r>
    <n v="489830"/>
    <s v="The Elder Scrolls V: Skyrim Special Edition"/>
    <d v="2016-10-27T00:00:00"/>
    <n v="25085"/>
    <b v="0"/>
    <n v="41"/>
    <s v="GTX 1050 Ti"/>
    <x v="2"/>
    <x v="1"/>
  </r>
  <r>
    <n v="489830"/>
    <s v="The Elder Scrolls V: Skyrim Special Edition"/>
    <d v="2016-10-27T00:00:00"/>
    <n v="25085"/>
    <b v="0"/>
    <n v="41"/>
    <s v="GTX 1050 Ti"/>
    <x v="3"/>
    <x v="1"/>
  </r>
  <r>
    <n v="489830"/>
    <s v="The Elder Scrolls V: Skyrim Special Edition"/>
    <d v="2016-10-27T00:00:00"/>
    <n v="25085"/>
    <b v="0"/>
    <n v="41"/>
    <s v="GTX 1050 Ti"/>
    <x v="4"/>
    <x v="0"/>
  </r>
  <r>
    <n v="489830"/>
    <s v="The Elder Scrolls V: Skyrim Special Edition"/>
    <d v="2016-10-27T00:00:00"/>
    <n v="25085"/>
    <b v="0"/>
    <n v="41"/>
    <s v="GTX 1050 Ti"/>
    <x v="5"/>
    <x v="1"/>
  </r>
  <r>
    <n v="489830"/>
    <s v="The Elder Scrolls V: Skyrim Special Edition"/>
    <d v="2016-10-27T00:00:00"/>
    <n v="25085"/>
    <b v="0"/>
    <n v="41"/>
    <s v="GTX 1050 Ti"/>
    <x v="6"/>
    <x v="1"/>
  </r>
  <r>
    <n v="1085660"/>
    <s v="Destiny 2"/>
    <d v="2019-10-01T00:00:00"/>
    <n v="24619"/>
    <b v="0"/>
    <n v="42"/>
    <s v="GTX 970"/>
    <x v="0"/>
    <x v="0"/>
  </r>
  <r>
    <n v="1085660"/>
    <s v="Destiny 2"/>
    <d v="2019-10-01T00:00:00"/>
    <n v="24619"/>
    <b v="0"/>
    <n v="42"/>
    <s v="GTX 970"/>
    <x v="1"/>
    <x v="1"/>
  </r>
  <r>
    <n v="1085660"/>
    <s v="Destiny 2"/>
    <d v="2019-10-01T00:00:00"/>
    <n v="24619"/>
    <b v="0"/>
    <n v="42"/>
    <s v="GTX 970"/>
    <x v="2"/>
    <x v="0"/>
  </r>
  <r>
    <n v="1085660"/>
    <s v="Destiny 2"/>
    <d v="2019-10-01T00:00:00"/>
    <n v="24619"/>
    <b v="0"/>
    <n v="42"/>
    <s v="GTX 970"/>
    <x v="3"/>
    <x v="1"/>
  </r>
  <r>
    <n v="1085660"/>
    <s v="Destiny 2"/>
    <d v="2019-10-01T00:00:00"/>
    <n v="24619"/>
    <b v="0"/>
    <n v="42"/>
    <s v="GTX 970"/>
    <x v="4"/>
    <x v="1"/>
  </r>
  <r>
    <n v="1085660"/>
    <s v="Destiny 2"/>
    <d v="2019-10-01T00:00:00"/>
    <n v="24619"/>
    <b v="0"/>
    <n v="42"/>
    <s v="GTX 970"/>
    <x v="5"/>
    <x v="1"/>
  </r>
  <r>
    <n v="1085660"/>
    <s v="Destiny 2"/>
    <d v="2019-10-01T00:00:00"/>
    <n v="24619"/>
    <b v="0"/>
    <n v="42"/>
    <s v="GTX 970"/>
    <x v="6"/>
    <x v="0"/>
  </r>
  <r>
    <n v="105600"/>
    <s v="Terraria"/>
    <d v="2011-05-16T00:00:00"/>
    <n v="24580"/>
    <b v="1"/>
    <n v="43"/>
    <s v="Radeon Graphics"/>
    <x v="0"/>
    <x v="0"/>
  </r>
  <r>
    <n v="105600"/>
    <s v="Terraria"/>
    <d v="2011-05-16T00:00:00"/>
    <n v="24580"/>
    <b v="1"/>
    <n v="43"/>
    <s v="Radeon Graphics"/>
    <x v="1"/>
    <x v="0"/>
  </r>
  <r>
    <n v="105600"/>
    <s v="Terraria"/>
    <d v="2011-05-16T00:00:00"/>
    <n v="24580"/>
    <b v="1"/>
    <n v="43"/>
    <s v="Radeon Graphics"/>
    <x v="2"/>
    <x v="0"/>
  </r>
  <r>
    <n v="105600"/>
    <s v="Terraria"/>
    <d v="2011-05-16T00:00:00"/>
    <n v="24580"/>
    <b v="1"/>
    <n v="43"/>
    <s v="Radeon Graphics"/>
    <x v="3"/>
    <x v="1"/>
  </r>
  <r>
    <n v="105600"/>
    <s v="Terraria"/>
    <d v="2011-05-16T00:00:00"/>
    <n v="24580"/>
    <b v="1"/>
    <n v="43"/>
    <s v="Radeon Graphics"/>
    <x v="4"/>
    <x v="0"/>
  </r>
  <r>
    <n v="105600"/>
    <s v="Terraria"/>
    <d v="2011-05-16T00:00:00"/>
    <n v="24580"/>
    <b v="1"/>
    <n v="43"/>
    <s v="Radeon Graphics"/>
    <x v="5"/>
    <x v="1"/>
  </r>
  <r>
    <n v="105600"/>
    <s v="Terraria"/>
    <d v="2011-05-16T00:00:00"/>
    <n v="24580"/>
    <b v="1"/>
    <n v="43"/>
    <s v="Radeon Graphics"/>
    <x v="6"/>
    <x v="1"/>
  </r>
  <r>
    <n v="108600"/>
    <s v="Project Zomboid"/>
    <d v="2013-11-08T00:00:00"/>
    <n v="22864"/>
    <b v="1"/>
    <n v="44"/>
    <s v="Radeon Graphics"/>
    <x v="0"/>
    <x v="1"/>
  </r>
  <r>
    <n v="108600"/>
    <s v="Project Zomboid"/>
    <d v="2013-11-08T00:00:00"/>
    <n v="22864"/>
    <b v="1"/>
    <n v="44"/>
    <s v="Radeon Graphics"/>
    <x v="1"/>
    <x v="0"/>
  </r>
  <r>
    <n v="108600"/>
    <s v="Project Zomboid"/>
    <d v="2013-11-08T00:00:00"/>
    <n v="22864"/>
    <b v="1"/>
    <n v="44"/>
    <s v="Radeon Graphics"/>
    <x v="2"/>
    <x v="1"/>
  </r>
  <r>
    <n v="108600"/>
    <s v="Project Zomboid"/>
    <d v="2013-11-08T00:00:00"/>
    <n v="22864"/>
    <b v="1"/>
    <n v="44"/>
    <s v="Radeon Graphics"/>
    <x v="3"/>
    <x v="0"/>
  </r>
  <r>
    <n v="108600"/>
    <s v="Project Zomboid"/>
    <d v="2013-11-08T00:00:00"/>
    <n v="22864"/>
    <b v="1"/>
    <n v="44"/>
    <s v="Radeon Graphics"/>
    <x v="4"/>
    <x v="0"/>
  </r>
  <r>
    <n v="108600"/>
    <s v="Project Zomboid"/>
    <d v="2013-11-08T00:00:00"/>
    <n v="22864"/>
    <b v="1"/>
    <n v="44"/>
    <s v="Radeon Graphics"/>
    <x v="5"/>
    <x v="1"/>
  </r>
  <r>
    <n v="108600"/>
    <s v="Project Zomboid"/>
    <d v="2013-11-08T00:00:00"/>
    <n v="22864"/>
    <b v="1"/>
    <n v="44"/>
    <s v="Radeon Graphics"/>
    <x v="6"/>
    <x v="1"/>
  </r>
  <r>
    <n v="3164500"/>
    <s v="Schedule I"/>
    <d v="2025-03-24T00:00:00"/>
    <n v="22757"/>
    <b v="0"/>
    <n v="45"/>
    <s v="RTX 3060"/>
    <x v="0"/>
    <x v="0"/>
  </r>
  <r>
    <n v="3164500"/>
    <s v="Schedule I"/>
    <d v="2025-03-24T00:00:00"/>
    <n v="22757"/>
    <b v="0"/>
    <n v="45"/>
    <s v="RTX 3060"/>
    <x v="1"/>
    <x v="0"/>
  </r>
  <r>
    <n v="3164500"/>
    <s v="Schedule I"/>
    <d v="2025-03-24T00:00:00"/>
    <n v="22757"/>
    <b v="0"/>
    <n v="45"/>
    <s v="RTX 3060"/>
    <x v="2"/>
    <x v="1"/>
  </r>
  <r>
    <n v="3164500"/>
    <s v="Schedule I"/>
    <d v="2025-03-24T00:00:00"/>
    <n v="22757"/>
    <b v="0"/>
    <n v="45"/>
    <s v="RTX 3060"/>
    <x v="3"/>
    <x v="0"/>
  </r>
  <r>
    <n v="3164500"/>
    <s v="Schedule I"/>
    <d v="2025-03-24T00:00:00"/>
    <n v="22757"/>
    <b v="0"/>
    <n v="45"/>
    <s v="RTX 3060"/>
    <x v="4"/>
    <x v="1"/>
  </r>
  <r>
    <n v="3164500"/>
    <s v="Schedule I"/>
    <d v="2025-03-24T00:00:00"/>
    <n v="22757"/>
    <b v="0"/>
    <n v="45"/>
    <s v="RTX 3060"/>
    <x v="5"/>
    <x v="0"/>
  </r>
  <r>
    <n v="3164500"/>
    <s v="Schedule I"/>
    <d v="2025-03-24T00:00:00"/>
    <n v="22757"/>
    <b v="0"/>
    <n v="45"/>
    <s v="RTX 3060"/>
    <x v="6"/>
    <x v="1"/>
  </r>
  <r>
    <n v="1091500"/>
    <s v="Cyberpunk 2077"/>
    <d v="2020-12-09T00:00:00"/>
    <n v="22265"/>
    <b v="1"/>
    <n v="46"/>
    <s v="RTX 2060 SUPER"/>
    <x v="0"/>
    <x v="1"/>
  </r>
  <r>
    <n v="1091500"/>
    <s v="Cyberpunk 2077"/>
    <d v="2020-12-09T00:00:00"/>
    <n v="22265"/>
    <b v="1"/>
    <n v="46"/>
    <s v="RTX 2060 SUPER"/>
    <x v="1"/>
    <x v="1"/>
  </r>
  <r>
    <n v="1091500"/>
    <s v="Cyberpunk 2077"/>
    <d v="2020-12-09T00:00:00"/>
    <n v="22265"/>
    <b v="1"/>
    <n v="46"/>
    <s v="RTX 2060 SUPER"/>
    <x v="2"/>
    <x v="1"/>
  </r>
  <r>
    <n v="1091500"/>
    <s v="Cyberpunk 2077"/>
    <d v="2020-12-09T00:00:00"/>
    <n v="22265"/>
    <b v="1"/>
    <n v="46"/>
    <s v="RTX 2060 SUPER"/>
    <x v="3"/>
    <x v="1"/>
  </r>
  <r>
    <n v="1091500"/>
    <s v="Cyberpunk 2077"/>
    <d v="2020-12-09T00:00:00"/>
    <n v="22265"/>
    <b v="1"/>
    <n v="46"/>
    <s v="RTX 2060 SUPER"/>
    <x v="4"/>
    <x v="0"/>
  </r>
  <r>
    <n v="1091500"/>
    <s v="Cyberpunk 2077"/>
    <d v="2020-12-09T00:00:00"/>
    <n v="22265"/>
    <b v="1"/>
    <n v="46"/>
    <s v="RTX 2060 SUPER"/>
    <x v="5"/>
    <x v="1"/>
  </r>
  <r>
    <n v="1091500"/>
    <s v="Cyberpunk 2077"/>
    <d v="2020-12-09T00:00:00"/>
    <n v="22265"/>
    <b v="1"/>
    <n v="46"/>
    <s v="RTX 2060 SUPER"/>
    <x v="6"/>
    <x v="1"/>
  </r>
  <r>
    <n v="346110"/>
    <s v="ARK: Survival Evolved"/>
    <d v="2017-08-27T00:00:00"/>
    <n v="22170"/>
    <b v="1"/>
    <n v="47"/>
    <s v="GTX 1050"/>
    <x v="0"/>
    <x v="0"/>
  </r>
  <r>
    <n v="346110"/>
    <s v="ARK: Survival Evolved"/>
    <d v="2017-08-27T00:00:00"/>
    <n v="22170"/>
    <b v="1"/>
    <n v="47"/>
    <s v="GTX 1050"/>
    <x v="1"/>
    <x v="0"/>
  </r>
  <r>
    <n v="346110"/>
    <s v="ARK: Survival Evolved"/>
    <d v="2017-08-27T00:00:00"/>
    <n v="22170"/>
    <b v="1"/>
    <n v="47"/>
    <s v="GTX 1050"/>
    <x v="2"/>
    <x v="0"/>
  </r>
  <r>
    <n v="346110"/>
    <s v="ARK: Survival Evolved"/>
    <d v="2017-08-27T00:00:00"/>
    <n v="22170"/>
    <b v="1"/>
    <n v="47"/>
    <s v="GTX 1050"/>
    <x v="3"/>
    <x v="1"/>
  </r>
  <r>
    <n v="346110"/>
    <s v="ARK: Survival Evolved"/>
    <d v="2017-08-27T00:00:00"/>
    <n v="22170"/>
    <b v="1"/>
    <n v="47"/>
    <s v="GTX 1050"/>
    <x v="4"/>
    <x v="0"/>
  </r>
  <r>
    <n v="346110"/>
    <s v="ARK: Survival Evolved"/>
    <d v="2017-08-27T00:00:00"/>
    <n v="22170"/>
    <b v="1"/>
    <n v="47"/>
    <s v="GTX 1050"/>
    <x v="5"/>
    <x v="1"/>
  </r>
  <r>
    <n v="346110"/>
    <s v="ARK: Survival Evolved"/>
    <d v="2017-08-27T00:00:00"/>
    <n v="22170"/>
    <b v="1"/>
    <n v="47"/>
    <s v="GTX 1050"/>
    <x v="6"/>
    <x v="1"/>
  </r>
  <r>
    <n v="252950"/>
    <s v="Rocket League"/>
    <d v="2015-07-06T00:00:00"/>
    <n v="21106"/>
    <b v="0"/>
    <n v="48"/>
    <s v="GTX 980"/>
    <x v="0"/>
    <x v="0"/>
  </r>
  <r>
    <n v="252950"/>
    <s v="Rocket League"/>
    <d v="2015-07-06T00:00:00"/>
    <n v="21106"/>
    <b v="0"/>
    <n v="48"/>
    <s v="GTX 980"/>
    <x v="1"/>
    <x v="0"/>
  </r>
  <r>
    <n v="252950"/>
    <s v="Rocket League"/>
    <d v="2015-07-06T00:00:00"/>
    <n v="21106"/>
    <b v="0"/>
    <n v="48"/>
    <s v="GTX 980"/>
    <x v="2"/>
    <x v="1"/>
  </r>
  <r>
    <n v="252950"/>
    <s v="Rocket League"/>
    <d v="2015-07-06T00:00:00"/>
    <n v="21106"/>
    <b v="0"/>
    <n v="48"/>
    <s v="GTX 980"/>
    <x v="3"/>
    <x v="1"/>
  </r>
  <r>
    <n v="252950"/>
    <s v="Rocket League"/>
    <d v="2015-07-06T00:00:00"/>
    <n v="21106"/>
    <b v="0"/>
    <n v="48"/>
    <s v="GTX 980"/>
    <x v="4"/>
    <x v="1"/>
  </r>
  <r>
    <n v="252950"/>
    <s v="Rocket League"/>
    <d v="2015-07-06T00:00:00"/>
    <n v="21106"/>
    <b v="0"/>
    <n v="48"/>
    <s v="GTX 980"/>
    <x v="5"/>
    <x v="1"/>
  </r>
  <r>
    <n v="252950"/>
    <s v="Rocket League"/>
    <d v="2015-07-06T00:00:00"/>
    <n v="21106"/>
    <b v="0"/>
    <n v="48"/>
    <s v="GTX 980"/>
    <x v="6"/>
    <x v="1"/>
  </r>
  <r>
    <n v="39210"/>
    <s v="FINAL FANTASY XIV Online"/>
    <d v="2014-02-18T00:00:00"/>
    <n v="19824"/>
    <b v="0"/>
    <n v="49"/>
    <s v="RTX 2060"/>
    <x v="0"/>
    <x v="1"/>
  </r>
  <r>
    <n v="39210"/>
    <s v="FINAL FANTASY XIV Online"/>
    <d v="2014-02-18T00:00:00"/>
    <n v="19824"/>
    <b v="0"/>
    <n v="49"/>
    <s v="RTX 2060"/>
    <x v="1"/>
    <x v="1"/>
  </r>
  <r>
    <n v="39210"/>
    <s v="FINAL FANTASY XIV Online"/>
    <d v="2014-02-18T00:00:00"/>
    <n v="19824"/>
    <b v="0"/>
    <n v="49"/>
    <s v="RTX 2060"/>
    <x v="2"/>
    <x v="1"/>
  </r>
  <r>
    <n v="39210"/>
    <s v="FINAL FANTASY XIV Online"/>
    <d v="2014-02-18T00:00:00"/>
    <n v="19824"/>
    <b v="0"/>
    <n v="49"/>
    <s v="RTX 2060"/>
    <x v="3"/>
    <x v="1"/>
  </r>
  <r>
    <n v="39210"/>
    <s v="FINAL FANTASY XIV Online"/>
    <d v="2014-02-18T00:00:00"/>
    <n v="19824"/>
    <b v="0"/>
    <n v="49"/>
    <s v="RTX 2060"/>
    <x v="4"/>
    <x v="0"/>
  </r>
  <r>
    <n v="39210"/>
    <s v="FINAL FANTASY XIV Online"/>
    <d v="2014-02-18T00:00:00"/>
    <n v="19824"/>
    <b v="0"/>
    <n v="49"/>
    <s v="RTX 2060"/>
    <x v="5"/>
    <x v="1"/>
  </r>
  <r>
    <n v="39210"/>
    <s v="FINAL FANTASY XIV Online"/>
    <d v="2014-02-18T00:00:00"/>
    <n v="19824"/>
    <b v="0"/>
    <n v="49"/>
    <s v="RTX 2060"/>
    <x v="6"/>
    <x v="1"/>
  </r>
  <r>
    <n v="2993780"/>
    <s v="FANTASY LIFE i: The Girl Who Steals Time"/>
    <d v="2025-05-21T00:00:00"/>
    <n v="19498"/>
    <b v="0"/>
    <n v="50"/>
    <s v="GTX 1060"/>
    <x v="0"/>
    <x v="1"/>
  </r>
  <r>
    <n v="2993780"/>
    <s v="FANTASY LIFE i: The Girl Who Steals Time"/>
    <d v="2025-05-21T00:00:00"/>
    <n v="19498"/>
    <b v="0"/>
    <n v="50"/>
    <s v="GTX 1060"/>
    <x v="1"/>
    <x v="1"/>
  </r>
  <r>
    <n v="2993780"/>
    <s v="FANTASY LIFE i: The Girl Who Steals Time"/>
    <d v="2025-05-21T00:00:00"/>
    <n v="19498"/>
    <b v="0"/>
    <n v="50"/>
    <s v="GTX 1060"/>
    <x v="2"/>
    <x v="1"/>
  </r>
  <r>
    <n v="2993780"/>
    <s v="FANTASY LIFE i: The Girl Who Steals Time"/>
    <d v="2025-05-21T00:00:00"/>
    <n v="19498"/>
    <b v="0"/>
    <n v="50"/>
    <s v="GTX 1060"/>
    <x v="3"/>
    <x v="1"/>
  </r>
  <r>
    <n v="2993780"/>
    <s v="FANTASY LIFE i: The Girl Who Steals Time"/>
    <d v="2025-05-21T00:00:00"/>
    <n v="19498"/>
    <b v="0"/>
    <n v="50"/>
    <s v="GTX 1060"/>
    <x v="4"/>
    <x v="0"/>
  </r>
  <r>
    <n v="2993780"/>
    <s v="FANTASY LIFE i: The Girl Who Steals Time"/>
    <d v="2025-05-21T00:00:00"/>
    <n v="19498"/>
    <b v="0"/>
    <n v="50"/>
    <s v="GTX 1060"/>
    <x v="5"/>
    <x v="1"/>
  </r>
  <r>
    <n v="2993780"/>
    <s v="FANTASY LIFE i: The Girl Who Steals Time"/>
    <d v="2025-05-21T00:00:00"/>
    <n v="19498"/>
    <b v="0"/>
    <n v="50"/>
    <s v="GTX 1060"/>
    <x v="6"/>
    <x v="1"/>
  </r>
  <r>
    <n v="294100"/>
    <s v="RimWorld"/>
    <d v="2018-10-17T00:00:00"/>
    <n v="19211"/>
    <b v="1"/>
    <n v="51"/>
    <s v="Intel UHD Graphics"/>
    <x v="0"/>
    <x v="1"/>
  </r>
  <r>
    <n v="294100"/>
    <s v="RimWorld"/>
    <d v="2018-10-17T00:00:00"/>
    <n v="19211"/>
    <b v="1"/>
    <n v="51"/>
    <s v="Intel UHD Graphics"/>
    <x v="1"/>
    <x v="0"/>
  </r>
  <r>
    <n v="294100"/>
    <s v="RimWorld"/>
    <d v="2018-10-17T00:00:00"/>
    <n v="19211"/>
    <b v="1"/>
    <n v="51"/>
    <s v="Intel UHD Graphics"/>
    <x v="2"/>
    <x v="1"/>
  </r>
  <r>
    <n v="294100"/>
    <s v="RimWorld"/>
    <d v="2018-10-17T00:00:00"/>
    <n v="19211"/>
    <b v="1"/>
    <n v="51"/>
    <s v="Intel UHD Graphics"/>
    <x v="3"/>
    <x v="0"/>
  </r>
  <r>
    <n v="294100"/>
    <s v="RimWorld"/>
    <d v="2018-10-17T00:00:00"/>
    <n v="19211"/>
    <b v="1"/>
    <n v="51"/>
    <s v="Intel UHD Graphics"/>
    <x v="4"/>
    <x v="1"/>
  </r>
  <r>
    <n v="294100"/>
    <s v="RimWorld"/>
    <d v="2018-10-17T00:00:00"/>
    <n v="19211"/>
    <b v="1"/>
    <n v="51"/>
    <s v="Intel UHD Graphics"/>
    <x v="5"/>
    <x v="0"/>
  </r>
  <r>
    <n v="294100"/>
    <s v="RimWorld"/>
    <d v="2018-10-17T00:00:00"/>
    <n v="19211"/>
    <b v="1"/>
    <n v="51"/>
    <s v="Intel UHD Graphics"/>
    <x v="6"/>
    <x v="1"/>
  </r>
  <r>
    <n v="4000"/>
    <s v="Garry's Mod"/>
    <d v="2006-11-29T00:00:00"/>
    <n v="18400"/>
    <b v="1"/>
    <n v="52"/>
    <s v="Intel HD Graphics"/>
    <x v="0"/>
    <x v="1"/>
  </r>
  <r>
    <n v="4000"/>
    <s v="Garry's Mod"/>
    <d v="2006-11-29T00:00:00"/>
    <n v="18400"/>
    <b v="1"/>
    <n v="52"/>
    <s v="Intel HD Graphics"/>
    <x v="1"/>
    <x v="0"/>
  </r>
  <r>
    <n v="4000"/>
    <s v="Garry's Mod"/>
    <d v="2006-11-29T00:00:00"/>
    <n v="18400"/>
    <b v="1"/>
    <n v="52"/>
    <s v="Intel HD Graphics"/>
    <x v="2"/>
    <x v="1"/>
  </r>
  <r>
    <n v="4000"/>
    <s v="Garry's Mod"/>
    <d v="2006-11-29T00:00:00"/>
    <n v="18400"/>
    <b v="1"/>
    <n v="52"/>
    <s v="Intel HD Graphics"/>
    <x v="3"/>
    <x v="0"/>
  </r>
  <r>
    <n v="4000"/>
    <s v="Garry's Mod"/>
    <d v="2006-11-29T00:00:00"/>
    <n v="18400"/>
    <b v="1"/>
    <n v="52"/>
    <s v="Intel HD Graphics"/>
    <x v="4"/>
    <x v="1"/>
  </r>
  <r>
    <n v="4000"/>
    <s v="Garry's Mod"/>
    <d v="2006-11-29T00:00:00"/>
    <n v="18400"/>
    <b v="1"/>
    <n v="52"/>
    <s v="Intel HD Graphics"/>
    <x v="5"/>
    <x v="1"/>
  </r>
  <r>
    <n v="4000"/>
    <s v="Garry's Mod"/>
    <d v="2006-11-29T00:00:00"/>
    <n v="18400"/>
    <b v="1"/>
    <n v="52"/>
    <s v="Intel HD Graphics"/>
    <x v="6"/>
    <x v="1"/>
  </r>
  <r>
    <n v="1623730"/>
    <s v="Palworld"/>
    <d v="2024-01-18T00:00:00"/>
    <n v="18028"/>
    <b v="0"/>
    <n v="53"/>
    <s v="RTX 3060 Ti"/>
    <x v="0"/>
    <x v="0"/>
  </r>
  <r>
    <n v="1623730"/>
    <s v="Palworld"/>
    <d v="2024-01-18T00:00:00"/>
    <n v="18028"/>
    <b v="0"/>
    <n v="53"/>
    <s v="RTX 3060 Ti"/>
    <x v="1"/>
    <x v="0"/>
  </r>
  <r>
    <n v="1623730"/>
    <s v="Palworld"/>
    <d v="2024-01-18T00:00:00"/>
    <n v="18028"/>
    <b v="0"/>
    <n v="53"/>
    <s v="RTX 3060 Ti"/>
    <x v="2"/>
    <x v="0"/>
  </r>
  <r>
    <n v="1623730"/>
    <s v="Palworld"/>
    <d v="2024-01-18T00:00:00"/>
    <n v="18028"/>
    <b v="0"/>
    <n v="53"/>
    <s v="RTX 3060 Ti"/>
    <x v="3"/>
    <x v="1"/>
  </r>
  <r>
    <n v="1623730"/>
    <s v="Palworld"/>
    <d v="2024-01-18T00:00:00"/>
    <n v="18028"/>
    <b v="0"/>
    <n v="53"/>
    <s v="RTX 3060 Ti"/>
    <x v="4"/>
    <x v="0"/>
  </r>
  <r>
    <n v="1623730"/>
    <s v="Palworld"/>
    <d v="2024-01-18T00:00:00"/>
    <n v="18028"/>
    <b v="0"/>
    <n v="53"/>
    <s v="RTX 3060 Ti"/>
    <x v="5"/>
    <x v="1"/>
  </r>
  <r>
    <n v="1623730"/>
    <s v="Palworld"/>
    <d v="2024-01-18T00:00:00"/>
    <n v="18028"/>
    <b v="0"/>
    <n v="53"/>
    <s v="RTX 3060 Ti"/>
    <x v="6"/>
    <x v="1"/>
  </r>
  <r>
    <n v="1599340"/>
    <s v="Lost Ark"/>
    <d v="2022-02-11T00:00:00"/>
    <n v="17355"/>
    <b v="0"/>
    <n v="54"/>
    <s v="GTX 1660 SUPER"/>
    <x v="0"/>
    <x v="0"/>
  </r>
  <r>
    <n v="1599340"/>
    <s v="Lost Ark"/>
    <d v="2022-02-11T00:00:00"/>
    <n v="17355"/>
    <b v="0"/>
    <n v="54"/>
    <s v="GTX 1660 SUPER"/>
    <x v="1"/>
    <x v="1"/>
  </r>
  <r>
    <n v="1599340"/>
    <s v="Lost Ark"/>
    <d v="2022-02-11T00:00:00"/>
    <n v="17355"/>
    <b v="0"/>
    <n v="54"/>
    <s v="GTX 1660 SUPER"/>
    <x v="2"/>
    <x v="0"/>
  </r>
  <r>
    <n v="1599340"/>
    <s v="Lost Ark"/>
    <d v="2022-02-11T00:00:00"/>
    <n v="17355"/>
    <b v="0"/>
    <n v="54"/>
    <s v="GTX 1660 SUPER"/>
    <x v="3"/>
    <x v="1"/>
  </r>
  <r>
    <n v="1599340"/>
    <s v="Lost Ark"/>
    <d v="2022-02-11T00:00:00"/>
    <n v="17355"/>
    <b v="0"/>
    <n v="54"/>
    <s v="GTX 1660 SUPER"/>
    <x v="4"/>
    <x v="0"/>
  </r>
  <r>
    <n v="1599340"/>
    <s v="Lost Ark"/>
    <d v="2022-02-11T00:00:00"/>
    <n v="17355"/>
    <b v="0"/>
    <n v="54"/>
    <s v="GTX 1660 SUPER"/>
    <x v="5"/>
    <x v="1"/>
  </r>
  <r>
    <n v="1599340"/>
    <s v="Lost Ark"/>
    <d v="2022-02-11T00:00:00"/>
    <n v="17355"/>
    <b v="0"/>
    <n v="54"/>
    <s v="GTX 1660 SUPER"/>
    <x v="6"/>
    <x v="0"/>
  </r>
  <r>
    <n v="227300"/>
    <s v="Euro Truck Simulator 2"/>
    <d v="2012-10-12T00:00:00"/>
    <n v="17281"/>
    <b v="1"/>
    <n v="55"/>
    <s v="GTX 980 Ti"/>
    <x v="0"/>
    <x v="1"/>
  </r>
  <r>
    <n v="227300"/>
    <s v="Euro Truck Simulator 2"/>
    <d v="2012-10-12T00:00:00"/>
    <n v="17281"/>
    <b v="1"/>
    <n v="55"/>
    <s v="GTX 980 Ti"/>
    <x v="1"/>
    <x v="0"/>
  </r>
  <r>
    <n v="227300"/>
    <s v="Euro Truck Simulator 2"/>
    <d v="2012-10-12T00:00:00"/>
    <n v="17281"/>
    <b v="1"/>
    <n v="55"/>
    <s v="GTX 980 Ti"/>
    <x v="2"/>
    <x v="1"/>
  </r>
  <r>
    <n v="227300"/>
    <s v="Euro Truck Simulator 2"/>
    <d v="2012-10-12T00:00:00"/>
    <n v="17281"/>
    <b v="1"/>
    <n v="55"/>
    <s v="GTX 980 Ti"/>
    <x v="3"/>
    <x v="0"/>
  </r>
  <r>
    <n v="227300"/>
    <s v="Euro Truck Simulator 2"/>
    <d v="2012-10-12T00:00:00"/>
    <n v="17281"/>
    <b v="1"/>
    <n v="55"/>
    <s v="GTX 980 Ti"/>
    <x v="4"/>
    <x v="1"/>
  </r>
  <r>
    <n v="227300"/>
    <s v="Euro Truck Simulator 2"/>
    <d v="2012-10-12T00:00:00"/>
    <n v="17281"/>
    <b v="1"/>
    <n v="55"/>
    <s v="GTX 980 Ti"/>
    <x v="5"/>
    <x v="1"/>
  </r>
  <r>
    <n v="227300"/>
    <s v="Euro Truck Simulator 2"/>
    <d v="2012-10-12T00:00:00"/>
    <n v="17281"/>
    <b v="1"/>
    <n v="55"/>
    <s v="GTX 980 Ti"/>
    <x v="6"/>
    <x v="1"/>
  </r>
  <r>
    <n v="2379780"/>
    <s v="Balatro"/>
    <d v="2024-02-20T00:00:00"/>
    <n v="17123"/>
    <b v="1"/>
    <n v="56"/>
    <s v="Radeon Vega 11"/>
    <x v="0"/>
    <x v="1"/>
  </r>
  <r>
    <n v="2379780"/>
    <s v="Balatro"/>
    <d v="2024-02-20T00:00:00"/>
    <n v="17123"/>
    <b v="1"/>
    <n v="56"/>
    <s v="Radeon Vega 11"/>
    <x v="1"/>
    <x v="0"/>
  </r>
  <r>
    <n v="2379780"/>
    <s v="Balatro"/>
    <d v="2024-02-20T00:00:00"/>
    <n v="17123"/>
    <b v="1"/>
    <n v="56"/>
    <s v="Radeon Vega 11"/>
    <x v="2"/>
    <x v="1"/>
  </r>
  <r>
    <n v="2379780"/>
    <s v="Balatro"/>
    <d v="2024-02-20T00:00:00"/>
    <n v="17123"/>
    <b v="1"/>
    <n v="56"/>
    <s v="Radeon Vega 11"/>
    <x v="3"/>
    <x v="1"/>
  </r>
  <r>
    <n v="2379780"/>
    <s v="Balatro"/>
    <d v="2024-02-20T00:00:00"/>
    <n v="17123"/>
    <b v="1"/>
    <n v="56"/>
    <s v="Radeon Vega 11"/>
    <x v="4"/>
    <x v="1"/>
  </r>
  <r>
    <n v="2379780"/>
    <s v="Balatro"/>
    <d v="2024-02-20T00:00:00"/>
    <n v="17123"/>
    <b v="1"/>
    <n v="56"/>
    <s v="Radeon Vega 11"/>
    <x v="5"/>
    <x v="0"/>
  </r>
  <r>
    <n v="2379780"/>
    <s v="Balatro"/>
    <d v="2024-02-20T00:00:00"/>
    <n v="17123"/>
    <b v="1"/>
    <n v="56"/>
    <s v="Radeon Vega 11"/>
    <x v="6"/>
    <x v="1"/>
  </r>
  <r>
    <n v="251570"/>
    <s v="7 Days to Die"/>
    <d v="2024-07-25T00:00:00"/>
    <n v="17045"/>
    <b v="1"/>
    <n v="57"/>
    <s v="GTX 1050"/>
    <x v="0"/>
    <x v="0"/>
  </r>
  <r>
    <n v="251570"/>
    <s v="7 Days to Die"/>
    <d v="2024-07-25T00:00:00"/>
    <n v="17045"/>
    <b v="1"/>
    <n v="57"/>
    <s v="GTX 1050"/>
    <x v="1"/>
    <x v="0"/>
  </r>
  <r>
    <n v="251570"/>
    <s v="7 Days to Die"/>
    <d v="2024-07-25T00:00:00"/>
    <n v="17045"/>
    <b v="1"/>
    <n v="57"/>
    <s v="GTX 1050"/>
    <x v="2"/>
    <x v="0"/>
  </r>
  <r>
    <n v="251570"/>
    <s v="7 Days to Die"/>
    <d v="2024-07-25T00:00:00"/>
    <n v="17045"/>
    <b v="1"/>
    <n v="57"/>
    <s v="GTX 1050"/>
    <x v="3"/>
    <x v="0"/>
  </r>
  <r>
    <n v="251570"/>
    <s v="7 Days to Die"/>
    <d v="2024-07-25T00:00:00"/>
    <n v="17045"/>
    <b v="1"/>
    <n v="57"/>
    <s v="GTX 1050"/>
    <x v="4"/>
    <x v="0"/>
  </r>
  <r>
    <n v="251570"/>
    <s v="7 Days to Die"/>
    <d v="2024-07-25T00:00:00"/>
    <n v="17045"/>
    <b v="1"/>
    <n v="57"/>
    <s v="GTX 1050"/>
    <x v="5"/>
    <x v="0"/>
  </r>
  <r>
    <n v="251570"/>
    <s v="7 Days to Die"/>
    <d v="2024-07-25T00:00:00"/>
    <n v="17045"/>
    <b v="1"/>
    <n v="57"/>
    <s v="GTX 1050"/>
    <x v="6"/>
    <x v="1"/>
  </r>
  <r>
    <n v="1142710"/>
    <s v="Total War: WARHAMMER III"/>
    <d v="2022-02-16T00:00:00"/>
    <n v="16842"/>
    <b v="1"/>
    <n v="58"/>
    <s v="GTX 1660 Ti"/>
    <x v="0"/>
    <x v="0"/>
  </r>
  <r>
    <n v="1142710"/>
    <s v="Total War: WARHAMMER III"/>
    <d v="2022-02-16T00:00:00"/>
    <n v="16842"/>
    <b v="1"/>
    <n v="58"/>
    <s v="GTX 1660 Ti"/>
    <x v="1"/>
    <x v="1"/>
  </r>
  <r>
    <n v="1142710"/>
    <s v="Total War: WARHAMMER III"/>
    <d v="2022-02-16T00:00:00"/>
    <n v="16842"/>
    <b v="1"/>
    <n v="58"/>
    <s v="GTX 1660 Ti"/>
    <x v="2"/>
    <x v="1"/>
  </r>
  <r>
    <n v="1142710"/>
    <s v="Total War: WARHAMMER III"/>
    <d v="2022-02-16T00:00:00"/>
    <n v="16842"/>
    <b v="1"/>
    <n v="58"/>
    <s v="GTX 1660 Ti"/>
    <x v="3"/>
    <x v="1"/>
  </r>
  <r>
    <n v="1142710"/>
    <s v="Total War: WARHAMMER III"/>
    <d v="2022-02-16T00:00:00"/>
    <n v="16842"/>
    <b v="1"/>
    <n v="58"/>
    <s v="GTX 1660 Ti"/>
    <x v="4"/>
    <x v="1"/>
  </r>
  <r>
    <n v="1142710"/>
    <s v="Total War: WARHAMMER III"/>
    <d v="2022-02-16T00:00:00"/>
    <n v="16842"/>
    <b v="1"/>
    <n v="58"/>
    <s v="GTX 1660 Ti"/>
    <x v="5"/>
    <x v="0"/>
  </r>
  <r>
    <n v="1142710"/>
    <s v="Total War: WARHAMMER III"/>
    <d v="2022-02-16T00:00:00"/>
    <n v="16842"/>
    <b v="1"/>
    <n v="58"/>
    <s v="GTX 1660 Ti"/>
    <x v="6"/>
    <x v="1"/>
  </r>
  <r>
    <n v="2694490"/>
    <s v="Path of Exile 2"/>
    <d v="2024-12-06T00:00:00"/>
    <n v="16727"/>
    <b v="0"/>
    <n v="59"/>
    <s v="RTX 2060"/>
    <x v="0"/>
    <x v="0"/>
  </r>
  <r>
    <n v="2694490"/>
    <s v="Path of Exile 2"/>
    <d v="2024-12-06T00:00:00"/>
    <n v="16727"/>
    <b v="0"/>
    <n v="59"/>
    <s v="RTX 2060"/>
    <x v="1"/>
    <x v="1"/>
  </r>
  <r>
    <n v="2694490"/>
    <s v="Path of Exile 2"/>
    <d v="2024-12-06T00:00:00"/>
    <n v="16727"/>
    <b v="0"/>
    <n v="59"/>
    <s v="RTX 2060"/>
    <x v="2"/>
    <x v="0"/>
  </r>
  <r>
    <n v="2694490"/>
    <s v="Path of Exile 2"/>
    <d v="2024-12-06T00:00:00"/>
    <n v="16727"/>
    <b v="0"/>
    <n v="59"/>
    <s v="RTX 2060"/>
    <x v="3"/>
    <x v="1"/>
  </r>
  <r>
    <n v="2694490"/>
    <s v="Path of Exile 2"/>
    <d v="2024-12-06T00:00:00"/>
    <n v="16727"/>
    <b v="0"/>
    <n v="59"/>
    <s v="RTX 2060"/>
    <x v="4"/>
    <x v="0"/>
  </r>
  <r>
    <n v="2694490"/>
    <s v="Path of Exile 2"/>
    <d v="2024-12-06T00:00:00"/>
    <n v="16727"/>
    <b v="0"/>
    <n v="59"/>
    <s v="RTX 2060"/>
    <x v="5"/>
    <x v="1"/>
  </r>
  <r>
    <n v="2694490"/>
    <s v="Path of Exile 2"/>
    <d v="2024-12-06T00:00:00"/>
    <n v="16727"/>
    <b v="0"/>
    <n v="59"/>
    <s v="RTX 2060"/>
    <x v="6"/>
    <x v="1"/>
  </r>
  <r>
    <n v="427520"/>
    <s v="Factorio"/>
    <d v="2020-08-14T00:00:00"/>
    <n v="16426"/>
    <b v="1"/>
    <n v="60"/>
    <s v="GTX 1050 Ti"/>
    <x v="0"/>
    <x v="1"/>
  </r>
  <r>
    <n v="427520"/>
    <s v="Factorio"/>
    <d v="2020-08-14T00:00:00"/>
    <n v="16426"/>
    <b v="1"/>
    <n v="60"/>
    <s v="GTX 1050 Ti"/>
    <x v="1"/>
    <x v="0"/>
  </r>
  <r>
    <n v="427520"/>
    <s v="Factorio"/>
    <d v="2020-08-14T00:00:00"/>
    <n v="16426"/>
    <b v="1"/>
    <n v="60"/>
    <s v="GTX 1050 Ti"/>
    <x v="2"/>
    <x v="1"/>
  </r>
  <r>
    <n v="427520"/>
    <s v="Factorio"/>
    <d v="2020-08-14T00:00:00"/>
    <n v="16426"/>
    <b v="1"/>
    <n v="60"/>
    <s v="GTX 1050 Ti"/>
    <x v="3"/>
    <x v="0"/>
  </r>
  <r>
    <n v="427520"/>
    <s v="Factorio"/>
    <d v="2020-08-14T00:00:00"/>
    <n v="16426"/>
    <b v="1"/>
    <n v="60"/>
    <s v="GTX 1050 Ti"/>
    <x v="4"/>
    <x v="1"/>
  </r>
  <r>
    <n v="427520"/>
    <s v="Factorio"/>
    <d v="2020-08-14T00:00:00"/>
    <n v="16426"/>
    <b v="1"/>
    <n v="60"/>
    <s v="GTX 1050 Ti"/>
    <x v="5"/>
    <x v="0"/>
  </r>
  <r>
    <n v="427520"/>
    <s v="Factorio"/>
    <d v="2020-08-14T00:00:00"/>
    <n v="16426"/>
    <b v="1"/>
    <n v="60"/>
    <s v="GTX 1050 Ti"/>
    <x v="6"/>
    <x v="1"/>
  </r>
  <r>
    <n v="306130"/>
    <s v="The Elder Scrolls Online"/>
    <d v="2017-05-22T00:00:00"/>
    <n v="15987"/>
    <b v="1"/>
    <n v="61"/>
    <s v="GTX 970"/>
    <x v="0"/>
    <x v="0"/>
  </r>
  <r>
    <n v="306130"/>
    <s v="The Elder Scrolls Online"/>
    <d v="2017-05-22T00:00:00"/>
    <n v="15987"/>
    <b v="1"/>
    <n v="61"/>
    <s v="GTX 970"/>
    <x v="1"/>
    <x v="1"/>
  </r>
  <r>
    <n v="306130"/>
    <s v="The Elder Scrolls Online"/>
    <d v="2017-05-22T00:00:00"/>
    <n v="15987"/>
    <b v="1"/>
    <n v="61"/>
    <s v="GTX 970"/>
    <x v="2"/>
    <x v="0"/>
  </r>
  <r>
    <n v="306130"/>
    <s v="The Elder Scrolls Online"/>
    <d v="2017-05-22T00:00:00"/>
    <n v="15987"/>
    <b v="1"/>
    <n v="61"/>
    <s v="GTX 970"/>
    <x v="3"/>
    <x v="1"/>
  </r>
  <r>
    <n v="306130"/>
    <s v="The Elder Scrolls Online"/>
    <d v="2017-05-22T00:00:00"/>
    <n v="15987"/>
    <b v="1"/>
    <n v="61"/>
    <s v="GTX 970"/>
    <x v="4"/>
    <x v="0"/>
  </r>
  <r>
    <n v="306130"/>
    <s v="The Elder Scrolls Online"/>
    <d v="2017-05-22T00:00:00"/>
    <n v="15987"/>
    <b v="1"/>
    <n v="61"/>
    <s v="GTX 970"/>
    <x v="5"/>
    <x v="1"/>
  </r>
  <r>
    <n v="306130"/>
    <s v="The Elder Scrolls Online"/>
    <d v="2017-05-22T00:00:00"/>
    <n v="15987"/>
    <b v="1"/>
    <n v="61"/>
    <s v="GTX 970"/>
    <x v="6"/>
    <x v="1"/>
  </r>
  <r>
    <n v="292030"/>
    <s v="The Witcher 3: Wild Hunt"/>
    <d v="2015-05-18T00:00:00"/>
    <n v="15893"/>
    <b v="0"/>
    <n v="62"/>
    <s v="GTX 980 Ti"/>
    <x v="0"/>
    <x v="1"/>
  </r>
  <r>
    <n v="292030"/>
    <s v="The Witcher 3: Wild Hunt"/>
    <d v="2015-05-18T00:00:00"/>
    <n v="15893"/>
    <b v="0"/>
    <n v="62"/>
    <s v="GTX 980 Ti"/>
    <x v="1"/>
    <x v="1"/>
  </r>
  <r>
    <n v="292030"/>
    <s v="The Witcher 3: Wild Hunt"/>
    <d v="2015-05-18T00:00:00"/>
    <n v="15893"/>
    <b v="0"/>
    <n v="62"/>
    <s v="GTX 980 Ti"/>
    <x v="2"/>
    <x v="1"/>
  </r>
  <r>
    <n v="292030"/>
    <s v="The Witcher 3: Wild Hunt"/>
    <d v="2015-05-18T00:00:00"/>
    <n v="15893"/>
    <b v="0"/>
    <n v="62"/>
    <s v="GTX 980 Ti"/>
    <x v="3"/>
    <x v="1"/>
  </r>
  <r>
    <n v="292030"/>
    <s v="The Witcher 3: Wild Hunt"/>
    <d v="2015-05-18T00:00:00"/>
    <n v="15893"/>
    <b v="0"/>
    <n v="62"/>
    <s v="GTX 980 Ti"/>
    <x v="4"/>
    <x v="0"/>
  </r>
  <r>
    <n v="292030"/>
    <s v="The Witcher 3: Wild Hunt"/>
    <d v="2015-05-18T00:00:00"/>
    <n v="15893"/>
    <b v="0"/>
    <n v="62"/>
    <s v="GTX 980 Ti"/>
    <x v="5"/>
    <x v="1"/>
  </r>
  <r>
    <n v="292030"/>
    <s v="The Witcher 3: Wild Hunt"/>
    <d v="2015-05-18T00:00:00"/>
    <n v="15893"/>
    <b v="0"/>
    <n v="62"/>
    <s v="GTX 980 Ti"/>
    <x v="6"/>
    <x v="1"/>
  </r>
  <r>
    <n v="284160"/>
    <s v="BeamNG.drive"/>
    <d v="2015-05-29T00:00:00"/>
    <n v="15863"/>
    <b v="0"/>
    <n v="63"/>
    <s v="RX 6700"/>
    <x v="0"/>
    <x v="1"/>
  </r>
  <r>
    <n v="284160"/>
    <s v="BeamNG.drive"/>
    <d v="2015-05-29T00:00:00"/>
    <n v="15863"/>
    <b v="0"/>
    <n v="63"/>
    <s v="RX 6700"/>
    <x v="1"/>
    <x v="1"/>
  </r>
  <r>
    <n v="284160"/>
    <s v="BeamNG.drive"/>
    <d v="2015-05-29T00:00:00"/>
    <n v="15863"/>
    <b v="0"/>
    <n v="63"/>
    <s v="RX 6700"/>
    <x v="2"/>
    <x v="1"/>
  </r>
  <r>
    <n v="284160"/>
    <s v="BeamNG.drive"/>
    <d v="2015-05-29T00:00:00"/>
    <n v="15863"/>
    <b v="0"/>
    <n v="63"/>
    <s v="RX 6700"/>
    <x v="3"/>
    <x v="0"/>
  </r>
  <r>
    <n v="284160"/>
    <s v="BeamNG.drive"/>
    <d v="2015-05-29T00:00:00"/>
    <n v="15863"/>
    <b v="0"/>
    <n v="63"/>
    <s v="RX 6700"/>
    <x v="4"/>
    <x v="1"/>
  </r>
  <r>
    <n v="284160"/>
    <s v="BeamNG.drive"/>
    <d v="2015-05-29T00:00:00"/>
    <n v="15863"/>
    <b v="0"/>
    <n v="63"/>
    <s v="RX 6700"/>
    <x v="5"/>
    <x v="1"/>
  </r>
  <r>
    <n v="284160"/>
    <s v="BeamNG.drive"/>
    <d v="2015-05-29T00:00:00"/>
    <n v="15863"/>
    <b v="0"/>
    <n v="63"/>
    <s v="RX 6700"/>
    <x v="6"/>
    <x v="1"/>
  </r>
  <r>
    <n v="629520"/>
    <s v="Soundpad"/>
    <d v="2017-09-30T00:00:00"/>
    <n v="15279"/>
    <b v="0"/>
    <n v="64"/>
    <s v="Radeon Vega 8"/>
    <x v="0"/>
    <x v="1"/>
  </r>
  <r>
    <n v="629520"/>
    <s v="Soundpad"/>
    <d v="2017-09-30T00:00:00"/>
    <n v="15279"/>
    <b v="0"/>
    <n v="64"/>
    <s v="Radeon Vega 8"/>
    <x v="1"/>
    <x v="1"/>
  </r>
  <r>
    <n v="629520"/>
    <s v="Soundpad"/>
    <d v="2017-09-30T00:00:00"/>
    <n v="15279"/>
    <b v="0"/>
    <n v="64"/>
    <s v="Radeon Vega 8"/>
    <x v="2"/>
    <x v="1"/>
  </r>
  <r>
    <n v="629520"/>
    <s v="Soundpad"/>
    <d v="2017-09-30T00:00:00"/>
    <n v="15279"/>
    <b v="0"/>
    <n v="64"/>
    <s v="Radeon Vega 8"/>
    <x v="3"/>
    <x v="1"/>
  </r>
  <r>
    <n v="629520"/>
    <s v="Soundpad"/>
    <d v="2017-09-30T00:00:00"/>
    <n v="15279"/>
    <b v="0"/>
    <n v="64"/>
    <s v="Radeon Vega 8"/>
    <x v="4"/>
    <x v="1"/>
  </r>
  <r>
    <n v="629520"/>
    <s v="Soundpad"/>
    <d v="2017-09-30T00:00:00"/>
    <n v="15279"/>
    <b v="0"/>
    <n v="64"/>
    <s v="Radeon Vega 8"/>
    <x v="5"/>
    <x v="1"/>
  </r>
  <r>
    <n v="629520"/>
    <s v="Soundpad"/>
    <d v="2017-09-30T00:00:00"/>
    <n v="15279"/>
    <b v="0"/>
    <n v="64"/>
    <s v="Radeon Vega 8"/>
    <x v="6"/>
    <x v="1"/>
  </r>
  <r>
    <n v="646570"/>
    <s v="Slay the Spire"/>
    <d v="2019-01-23T00:00:00"/>
    <n v="15038"/>
    <b v="1"/>
    <n v="65"/>
    <s v="GTX 750"/>
    <x v="0"/>
    <x v="1"/>
  </r>
  <r>
    <n v="646570"/>
    <s v="Slay the Spire"/>
    <d v="2019-01-23T00:00:00"/>
    <n v="15038"/>
    <b v="1"/>
    <n v="65"/>
    <s v="GTX 750"/>
    <x v="1"/>
    <x v="0"/>
  </r>
  <r>
    <n v="646570"/>
    <s v="Slay the Spire"/>
    <d v="2019-01-23T00:00:00"/>
    <n v="15038"/>
    <b v="1"/>
    <n v="65"/>
    <s v="GTX 750"/>
    <x v="2"/>
    <x v="1"/>
  </r>
  <r>
    <n v="646570"/>
    <s v="Slay the Spire"/>
    <d v="2019-01-23T00:00:00"/>
    <n v="15038"/>
    <b v="1"/>
    <n v="65"/>
    <s v="GTX 750"/>
    <x v="3"/>
    <x v="1"/>
  </r>
  <r>
    <n v="646570"/>
    <s v="Slay the Spire"/>
    <d v="2019-01-23T00:00:00"/>
    <n v="15038"/>
    <b v="1"/>
    <n v="65"/>
    <s v="GTX 750"/>
    <x v="4"/>
    <x v="1"/>
  </r>
  <r>
    <n v="646570"/>
    <s v="Slay the Spire"/>
    <d v="2019-01-23T00:00:00"/>
    <n v="15038"/>
    <b v="1"/>
    <n v="65"/>
    <s v="GTX 750"/>
    <x v="5"/>
    <x v="0"/>
  </r>
  <r>
    <n v="646570"/>
    <s v="Slay the Spire"/>
    <d v="2019-01-23T00:00:00"/>
    <n v="15038"/>
    <b v="1"/>
    <n v="65"/>
    <s v="GTX 750"/>
    <x v="6"/>
    <x v="1"/>
  </r>
  <r>
    <n v="2358720"/>
    <s v="Black Myth: Wukong"/>
    <d v="2024-08-19T00:00:00"/>
    <n v="15004"/>
    <b v="0"/>
    <n v="66"/>
    <s v="RTX 2060"/>
    <x v="0"/>
    <x v="0"/>
  </r>
  <r>
    <n v="2358720"/>
    <s v="Black Myth: Wukong"/>
    <d v="2024-08-19T00:00:00"/>
    <n v="15004"/>
    <b v="0"/>
    <n v="66"/>
    <s v="RTX 2060"/>
    <x v="1"/>
    <x v="1"/>
  </r>
  <r>
    <n v="2358720"/>
    <s v="Black Myth: Wukong"/>
    <d v="2024-08-19T00:00:00"/>
    <n v="15004"/>
    <b v="0"/>
    <n v="66"/>
    <s v="RTX 2060"/>
    <x v="2"/>
    <x v="0"/>
  </r>
  <r>
    <n v="2358720"/>
    <s v="Black Myth: Wukong"/>
    <d v="2024-08-19T00:00:00"/>
    <n v="15004"/>
    <b v="0"/>
    <n v="66"/>
    <s v="RTX 2060"/>
    <x v="3"/>
    <x v="1"/>
  </r>
  <r>
    <n v="2358720"/>
    <s v="Black Myth: Wukong"/>
    <d v="2024-08-19T00:00:00"/>
    <n v="15004"/>
    <b v="0"/>
    <n v="66"/>
    <s v="RTX 2060"/>
    <x v="4"/>
    <x v="0"/>
  </r>
  <r>
    <n v="2358720"/>
    <s v="Black Myth: Wukong"/>
    <d v="2024-08-19T00:00:00"/>
    <n v="15004"/>
    <b v="0"/>
    <n v="66"/>
    <s v="RTX 2060"/>
    <x v="5"/>
    <x v="1"/>
  </r>
  <r>
    <n v="2358720"/>
    <s v="Black Myth: Wukong"/>
    <d v="2024-08-19T00:00:00"/>
    <n v="15004"/>
    <b v="0"/>
    <n v="66"/>
    <s v="RTX 2060"/>
    <x v="6"/>
    <x v="1"/>
  </r>
  <r>
    <n v="766570"/>
    <s v="Russian Fishing 4"/>
    <d v="2021-11-10T00:00:00"/>
    <n v="14950"/>
    <b v="0"/>
    <n v="67"/>
    <s v="GTX 1060"/>
    <x v="0"/>
    <x v="1"/>
  </r>
  <r>
    <n v="766570"/>
    <s v="Russian Fishing 4"/>
    <d v="2021-11-10T00:00:00"/>
    <n v="14950"/>
    <b v="0"/>
    <n v="67"/>
    <s v="GTX 1060"/>
    <x v="1"/>
    <x v="1"/>
  </r>
  <r>
    <n v="766570"/>
    <s v="Russian Fishing 4"/>
    <d v="2021-11-10T00:00:00"/>
    <n v="14950"/>
    <b v="0"/>
    <n v="67"/>
    <s v="GTX 1060"/>
    <x v="2"/>
    <x v="0"/>
  </r>
  <r>
    <n v="766570"/>
    <s v="Russian Fishing 4"/>
    <d v="2021-11-10T00:00:00"/>
    <n v="14950"/>
    <b v="0"/>
    <n v="67"/>
    <s v="GTX 1060"/>
    <x v="3"/>
    <x v="0"/>
  </r>
  <r>
    <n v="766570"/>
    <s v="Russian Fishing 4"/>
    <d v="2021-11-10T00:00:00"/>
    <n v="14950"/>
    <b v="0"/>
    <n v="67"/>
    <s v="GTX 1060"/>
    <x v="4"/>
    <x v="0"/>
  </r>
  <r>
    <n v="766570"/>
    <s v="Russian Fishing 4"/>
    <d v="2021-11-10T00:00:00"/>
    <n v="14950"/>
    <b v="0"/>
    <n v="67"/>
    <s v="GTX 1060"/>
    <x v="5"/>
    <x v="1"/>
  </r>
  <r>
    <n v="766570"/>
    <s v="Russian Fishing 4"/>
    <d v="2021-11-10T00:00:00"/>
    <n v="14950"/>
    <b v="0"/>
    <n v="67"/>
    <s v="GTX 1060"/>
    <x v="6"/>
    <x v="0"/>
  </r>
  <r>
    <n v="1364780"/>
    <s v="Street Fighter 6"/>
    <d v="2023-06-01T00:00:00"/>
    <n v="14920"/>
    <b v="0"/>
    <n v="68"/>
    <s v="RTX 2070"/>
    <x v="0"/>
    <x v="0"/>
  </r>
  <r>
    <n v="1364780"/>
    <s v="Street Fighter 6"/>
    <d v="2023-06-01T00:00:00"/>
    <n v="14920"/>
    <b v="0"/>
    <n v="68"/>
    <s v="RTX 2070"/>
    <x v="1"/>
    <x v="1"/>
  </r>
  <r>
    <n v="1364780"/>
    <s v="Street Fighter 6"/>
    <d v="2023-06-01T00:00:00"/>
    <n v="14920"/>
    <b v="0"/>
    <n v="68"/>
    <s v="RTX 2070"/>
    <x v="2"/>
    <x v="0"/>
  </r>
  <r>
    <n v="1364780"/>
    <s v="Street Fighter 6"/>
    <d v="2023-06-01T00:00:00"/>
    <n v="14920"/>
    <b v="0"/>
    <n v="68"/>
    <s v="RTX 2070"/>
    <x v="3"/>
    <x v="1"/>
  </r>
  <r>
    <n v="1364780"/>
    <s v="Street Fighter 6"/>
    <d v="2023-06-01T00:00:00"/>
    <n v="14920"/>
    <b v="0"/>
    <n v="68"/>
    <s v="RTX 2070"/>
    <x v="4"/>
    <x v="1"/>
  </r>
  <r>
    <n v="1364780"/>
    <s v="Street Fighter 6"/>
    <d v="2023-06-01T00:00:00"/>
    <n v="14920"/>
    <b v="0"/>
    <n v="68"/>
    <s v="RTX 2070"/>
    <x v="5"/>
    <x v="1"/>
  </r>
  <r>
    <n v="1364780"/>
    <s v="Street Fighter 6"/>
    <d v="2023-06-01T00:00:00"/>
    <n v="14920"/>
    <b v="0"/>
    <n v="68"/>
    <s v="RTX 2070"/>
    <x v="6"/>
    <x v="1"/>
  </r>
  <r>
    <n v="250900"/>
    <s v="The Binding of Isaac: Rebirth"/>
    <d v="2014-11-04T00:00:00"/>
    <n v="14904"/>
    <b v="1"/>
    <n v="69"/>
    <s v="Intel HD Graphics"/>
    <x v="0"/>
    <x v="0"/>
  </r>
  <r>
    <n v="250900"/>
    <s v="The Binding of Isaac: Rebirth"/>
    <d v="2014-11-04T00:00:00"/>
    <n v="14904"/>
    <b v="1"/>
    <n v="69"/>
    <s v="Intel HD Graphics"/>
    <x v="1"/>
    <x v="1"/>
  </r>
  <r>
    <n v="250900"/>
    <s v="The Binding of Isaac: Rebirth"/>
    <d v="2014-11-04T00:00:00"/>
    <n v="14904"/>
    <b v="1"/>
    <n v="69"/>
    <s v="Intel HD Graphics"/>
    <x v="2"/>
    <x v="1"/>
  </r>
  <r>
    <n v="250900"/>
    <s v="The Binding of Isaac: Rebirth"/>
    <d v="2014-11-04T00:00:00"/>
    <n v="14904"/>
    <b v="1"/>
    <n v="69"/>
    <s v="Intel HD Graphics"/>
    <x v="3"/>
    <x v="1"/>
  </r>
  <r>
    <n v="250900"/>
    <s v="The Binding of Isaac: Rebirth"/>
    <d v="2014-11-04T00:00:00"/>
    <n v="14904"/>
    <b v="1"/>
    <n v="69"/>
    <s v="Intel HD Graphics"/>
    <x v="4"/>
    <x v="1"/>
  </r>
  <r>
    <n v="250900"/>
    <s v="The Binding of Isaac: Rebirth"/>
    <d v="2014-11-04T00:00:00"/>
    <n v="14904"/>
    <b v="1"/>
    <n v="69"/>
    <s v="Intel HD Graphics"/>
    <x v="5"/>
    <x v="1"/>
  </r>
  <r>
    <n v="250900"/>
    <s v="The Binding of Isaac: Rebirth"/>
    <d v="2014-11-04T00:00:00"/>
    <n v="14904"/>
    <b v="1"/>
    <n v="69"/>
    <s v="Intel HD Graphics"/>
    <x v="6"/>
    <x v="1"/>
  </r>
  <r>
    <n v="261550"/>
    <s v="Mount &amp; Blade II: Bannerlord"/>
    <d v="2022-10-25T00:00:00"/>
    <n v="14477"/>
    <b v="0"/>
    <n v="70"/>
    <s v="GTX 1060"/>
    <x v="0"/>
    <x v="0"/>
  </r>
  <r>
    <n v="261550"/>
    <s v="Mount &amp; Blade II: Bannerlord"/>
    <d v="2022-10-25T00:00:00"/>
    <n v="14477"/>
    <b v="0"/>
    <n v="70"/>
    <s v="GTX 1060"/>
    <x v="1"/>
    <x v="0"/>
  </r>
  <r>
    <n v="261550"/>
    <s v="Mount &amp; Blade II: Bannerlord"/>
    <d v="2022-10-25T00:00:00"/>
    <n v="14477"/>
    <b v="0"/>
    <n v="70"/>
    <s v="GTX 1060"/>
    <x v="2"/>
    <x v="1"/>
  </r>
  <r>
    <n v="261550"/>
    <s v="Mount &amp; Blade II: Bannerlord"/>
    <d v="2022-10-25T00:00:00"/>
    <n v="14477"/>
    <b v="0"/>
    <n v="70"/>
    <s v="GTX 1060"/>
    <x v="3"/>
    <x v="0"/>
  </r>
  <r>
    <n v="261550"/>
    <s v="Mount &amp; Blade II: Bannerlord"/>
    <d v="2022-10-25T00:00:00"/>
    <n v="14477"/>
    <b v="0"/>
    <n v="70"/>
    <s v="GTX 1060"/>
    <x v="4"/>
    <x v="0"/>
  </r>
  <r>
    <n v="261550"/>
    <s v="Mount &amp; Blade II: Bannerlord"/>
    <d v="2022-10-25T00:00:00"/>
    <n v="14477"/>
    <b v="0"/>
    <n v="70"/>
    <s v="GTX 1060"/>
    <x v="5"/>
    <x v="0"/>
  </r>
  <r>
    <n v="261550"/>
    <s v="Mount &amp; Blade II: Bannerlord"/>
    <d v="2022-10-25T00:00:00"/>
    <n v="14477"/>
    <b v="0"/>
    <n v="70"/>
    <s v="GTX 1060"/>
    <x v="6"/>
    <x v="1"/>
  </r>
  <r>
    <n v="892970"/>
    <s v="Valheim"/>
    <d v="2021-02-02T00:00:00"/>
    <n v="14439"/>
    <b v="1"/>
    <n v="71"/>
    <s v="RX 580"/>
    <x v="0"/>
    <x v="0"/>
  </r>
  <r>
    <n v="892970"/>
    <s v="Valheim"/>
    <d v="2021-02-02T00:00:00"/>
    <n v="14439"/>
    <b v="1"/>
    <n v="71"/>
    <s v="RX 580"/>
    <x v="1"/>
    <x v="0"/>
  </r>
  <r>
    <n v="892970"/>
    <s v="Valheim"/>
    <d v="2021-02-02T00:00:00"/>
    <n v="14439"/>
    <b v="1"/>
    <n v="71"/>
    <s v="RX 580"/>
    <x v="2"/>
    <x v="0"/>
  </r>
  <r>
    <n v="892970"/>
    <s v="Valheim"/>
    <d v="2021-02-02T00:00:00"/>
    <n v="14439"/>
    <b v="1"/>
    <n v="71"/>
    <s v="RX 580"/>
    <x v="3"/>
    <x v="1"/>
  </r>
  <r>
    <n v="892970"/>
    <s v="Valheim"/>
    <d v="2021-02-02T00:00:00"/>
    <n v="14439"/>
    <b v="1"/>
    <n v="71"/>
    <s v="RX 580"/>
    <x v="4"/>
    <x v="0"/>
  </r>
  <r>
    <n v="892970"/>
    <s v="Valheim"/>
    <d v="2021-02-02T00:00:00"/>
    <n v="14439"/>
    <b v="1"/>
    <n v="71"/>
    <s v="RX 580"/>
    <x v="5"/>
    <x v="1"/>
  </r>
  <r>
    <n v="892970"/>
    <s v="Valheim"/>
    <d v="2021-02-02T00:00:00"/>
    <n v="14439"/>
    <b v="1"/>
    <n v="71"/>
    <s v="RX 580"/>
    <x v="6"/>
    <x v="1"/>
  </r>
  <r>
    <n v="2623190"/>
    <s v="The Elder Scrolls IV: Oblivion Remastered"/>
    <d v="2025-04-22T00:00:00"/>
    <n v="14420"/>
    <b v="0"/>
    <n v="72"/>
    <s v="RX 6800 XT"/>
    <x v="0"/>
    <x v="1"/>
  </r>
  <r>
    <n v="2623190"/>
    <s v="The Elder Scrolls IV: Oblivion Remastered"/>
    <d v="2025-04-22T00:00:00"/>
    <n v="14420"/>
    <b v="0"/>
    <n v="72"/>
    <s v="RX 6800 XT"/>
    <x v="1"/>
    <x v="1"/>
  </r>
  <r>
    <n v="2623190"/>
    <s v="The Elder Scrolls IV: Oblivion Remastered"/>
    <d v="2025-04-22T00:00:00"/>
    <n v="14420"/>
    <b v="0"/>
    <n v="72"/>
    <s v="RX 6800 XT"/>
    <x v="2"/>
    <x v="1"/>
  </r>
  <r>
    <n v="2623190"/>
    <s v="The Elder Scrolls IV: Oblivion Remastered"/>
    <d v="2025-04-22T00:00:00"/>
    <n v="14420"/>
    <b v="0"/>
    <n v="72"/>
    <s v="RX 6800 XT"/>
    <x v="3"/>
    <x v="1"/>
  </r>
  <r>
    <n v="2623190"/>
    <s v="The Elder Scrolls IV: Oblivion Remastered"/>
    <d v="2025-04-22T00:00:00"/>
    <n v="14420"/>
    <b v="0"/>
    <n v="72"/>
    <s v="RX 6800 XT"/>
    <x v="4"/>
    <x v="0"/>
  </r>
  <r>
    <n v="2623190"/>
    <s v="The Elder Scrolls IV: Oblivion Remastered"/>
    <d v="2025-04-22T00:00:00"/>
    <n v="14420"/>
    <b v="0"/>
    <n v="72"/>
    <s v="RX 6800 XT"/>
    <x v="5"/>
    <x v="1"/>
  </r>
  <r>
    <n v="2623190"/>
    <s v="The Elder Scrolls IV: Oblivion Remastered"/>
    <d v="2025-04-22T00:00:00"/>
    <n v="14420"/>
    <b v="0"/>
    <n v="72"/>
    <s v="RX 6800 XT"/>
    <x v="6"/>
    <x v="1"/>
  </r>
  <r>
    <n v="582660"/>
    <s v="Black Desert"/>
    <d v="2017-05-24T00:00:00"/>
    <n v="14345"/>
    <b v="0"/>
    <n v="73"/>
    <s v="RX 570"/>
    <x v="0"/>
    <x v="0"/>
  </r>
  <r>
    <n v="582660"/>
    <s v="Black Desert"/>
    <d v="2017-05-24T00:00:00"/>
    <n v="14345"/>
    <b v="0"/>
    <n v="73"/>
    <s v="RX 570"/>
    <x v="1"/>
    <x v="1"/>
  </r>
  <r>
    <n v="582660"/>
    <s v="Black Desert"/>
    <d v="2017-05-24T00:00:00"/>
    <n v="14345"/>
    <b v="0"/>
    <n v="73"/>
    <s v="RX 570"/>
    <x v="2"/>
    <x v="0"/>
  </r>
  <r>
    <n v="582660"/>
    <s v="Black Desert"/>
    <d v="2017-05-24T00:00:00"/>
    <n v="14345"/>
    <b v="0"/>
    <n v="73"/>
    <s v="RX 570"/>
    <x v="3"/>
    <x v="1"/>
  </r>
  <r>
    <n v="582660"/>
    <s v="Black Desert"/>
    <d v="2017-05-24T00:00:00"/>
    <n v="14345"/>
    <b v="0"/>
    <n v="73"/>
    <s v="RX 570"/>
    <x v="4"/>
    <x v="0"/>
  </r>
  <r>
    <n v="582660"/>
    <s v="Black Desert"/>
    <d v="2017-05-24T00:00:00"/>
    <n v="14345"/>
    <b v="0"/>
    <n v="73"/>
    <s v="RX 570"/>
    <x v="5"/>
    <x v="0"/>
  </r>
  <r>
    <n v="582660"/>
    <s v="Black Desert"/>
    <d v="2017-05-24T00:00:00"/>
    <n v="14345"/>
    <b v="0"/>
    <n v="73"/>
    <s v="RX 570"/>
    <x v="6"/>
    <x v="1"/>
  </r>
  <r>
    <n v="1158310"/>
    <s v="Crusader Kings III"/>
    <d v="2020-09-01T00:00:00"/>
    <n v="14302"/>
    <b v="1"/>
    <n v="74"/>
    <s v="GTX 970"/>
    <x v="0"/>
    <x v="1"/>
  </r>
  <r>
    <n v="1158310"/>
    <s v="Crusader Kings III"/>
    <d v="2020-09-01T00:00:00"/>
    <n v="14302"/>
    <b v="1"/>
    <n v="74"/>
    <s v="GTX 970"/>
    <x v="1"/>
    <x v="1"/>
  </r>
  <r>
    <n v="1158310"/>
    <s v="Crusader Kings III"/>
    <d v="2020-09-01T00:00:00"/>
    <n v="14302"/>
    <b v="1"/>
    <n v="74"/>
    <s v="GTX 970"/>
    <x v="2"/>
    <x v="1"/>
  </r>
  <r>
    <n v="1158310"/>
    <s v="Crusader Kings III"/>
    <d v="2020-09-01T00:00:00"/>
    <n v="14302"/>
    <b v="1"/>
    <n v="74"/>
    <s v="GTX 970"/>
    <x v="3"/>
    <x v="0"/>
  </r>
  <r>
    <n v="1158310"/>
    <s v="Crusader Kings III"/>
    <d v="2020-09-01T00:00:00"/>
    <n v="14302"/>
    <b v="1"/>
    <n v="74"/>
    <s v="GTX 970"/>
    <x v="4"/>
    <x v="0"/>
  </r>
  <r>
    <n v="1158310"/>
    <s v="Crusader Kings III"/>
    <d v="2020-09-01T00:00:00"/>
    <n v="14302"/>
    <b v="1"/>
    <n v="74"/>
    <s v="GTX 970"/>
    <x v="5"/>
    <x v="0"/>
  </r>
  <r>
    <n v="1158310"/>
    <s v="Crusader Kings III"/>
    <d v="2020-09-01T00:00:00"/>
    <n v="14302"/>
    <b v="1"/>
    <n v="74"/>
    <s v="GTX 970"/>
    <x v="6"/>
    <x v="1"/>
  </r>
  <r>
    <n v="291550"/>
    <s v="Brawlhalla"/>
    <d v="2017-10-17T00:00:00"/>
    <n v="14169"/>
    <b v="1"/>
    <n v="75"/>
    <s v="Radeon Vega 8"/>
    <x v="0"/>
    <x v="0"/>
  </r>
  <r>
    <n v="291550"/>
    <s v="Brawlhalla"/>
    <d v="2017-10-17T00:00:00"/>
    <n v="14169"/>
    <b v="1"/>
    <n v="75"/>
    <s v="Radeon Vega 8"/>
    <x v="1"/>
    <x v="0"/>
  </r>
  <r>
    <n v="291550"/>
    <s v="Brawlhalla"/>
    <d v="2017-10-17T00:00:00"/>
    <n v="14169"/>
    <b v="1"/>
    <n v="75"/>
    <s v="Radeon Vega 8"/>
    <x v="2"/>
    <x v="1"/>
  </r>
  <r>
    <n v="291550"/>
    <s v="Brawlhalla"/>
    <d v="2017-10-17T00:00:00"/>
    <n v="14169"/>
    <b v="1"/>
    <n v="75"/>
    <s v="Radeon Vega 8"/>
    <x v="3"/>
    <x v="1"/>
  </r>
  <r>
    <n v="291550"/>
    <s v="Brawlhalla"/>
    <d v="2017-10-17T00:00:00"/>
    <n v="14169"/>
    <b v="1"/>
    <n v="75"/>
    <s v="Radeon Vega 8"/>
    <x v="4"/>
    <x v="1"/>
  </r>
  <r>
    <n v="291550"/>
    <s v="Brawlhalla"/>
    <d v="2017-10-17T00:00:00"/>
    <n v="14169"/>
    <b v="1"/>
    <n v="75"/>
    <s v="Radeon Vega 8"/>
    <x v="5"/>
    <x v="1"/>
  </r>
  <r>
    <n v="291550"/>
    <s v="Brawlhalla"/>
    <d v="2017-10-17T00:00:00"/>
    <n v="14169"/>
    <b v="1"/>
    <n v="75"/>
    <s v="Radeon Vega 8"/>
    <x v="6"/>
    <x v="0"/>
  </r>
  <r>
    <n v="281990"/>
    <s v="Stellaris"/>
    <d v="2016-05-09T00:00:00"/>
    <n v="13727"/>
    <b v="1"/>
    <n v="76"/>
    <s v="R9 390X"/>
    <x v="0"/>
    <x v="1"/>
  </r>
  <r>
    <n v="281990"/>
    <s v="Stellaris"/>
    <d v="2016-05-09T00:00:00"/>
    <n v="13727"/>
    <b v="1"/>
    <n v="76"/>
    <s v="R9 390X"/>
    <x v="1"/>
    <x v="1"/>
  </r>
  <r>
    <n v="281990"/>
    <s v="Stellaris"/>
    <d v="2016-05-09T00:00:00"/>
    <n v="13727"/>
    <b v="1"/>
    <n v="76"/>
    <s v="R9 390X"/>
    <x v="2"/>
    <x v="1"/>
  </r>
  <r>
    <n v="281990"/>
    <s v="Stellaris"/>
    <d v="2016-05-09T00:00:00"/>
    <n v="13727"/>
    <b v="1"/>
    <n v="76"/>
    <s v="R9 390X"/>
    <x v="3"/>
    <x v="0"/>
  </r>
  <r>
    <n v="281990"/>
    <s v="Stellaris"/>
    <d v="2016-05-09T00:00:00"/>
    <n v="13727"/>
    <b v="1"/>
    <n v="76"/>
    <s v="R9 390X"/>
    <x v="4"/>
    <x v="1"/>
  </r>
  <r>
    <n v="281990"/>
    <s v="Stellaris"/>
    <d v="2016-05-09T00:00:00"/>
    <n v="13727"/>
    <b v="1"/>
    <n v="76"/>
    <s v="R9 390X"/>
    <x v="5"/>
    <x v="0"/>
  </r>
  <r>
    <n v="281990"/>
    <s v="Stellaris"/>
    <d v="2016-05-09T00:00:00"/>
    <n v="13727"/>
    <b v="1"/>
    <n v="76"/>
    <s v="R9 390X"/>
    <x v="6"/>
    <x v="1"/>
  </r>
  <r>
    <n v="813780"/>
    <s v="Age of Empires II: Definitive Edition"/>
    <d v="2019-11-14T00:00:00"/>
    <n v="13465"/>
    <b v="0"/>
    <n v="77"/>
    <s v="Radeon Vega 8"/>
    <x v="0"/>
    <x v="1"/>
  </r>
  <r>
    <n v="813780"/>
    <s v="Age of Empires II: Definitive Edition"/>
    <d v="2019-11-14T00:00:00"/>
    <n v="13465"/>
    <b v="0"/>
    <n v="77"/>
    <s v="Radeon Vega 8"/>
    <x v="1"/>
    <x v="1"/>
  </r>
  <r>
    <n v="813780"/>
    <s v="Age of Empires II: Definitive Edition"/>
    <d v="2019-11-14T00:00:00"/>
    <n v="13465"/>
    <b v="0"/>
    <n v="77"/>
    <s v="Radeon Vega 8"/>
    <x v="2"/>
    <x v="1"/>
  </r>
  <r>
    <n v="813780"/>
    <s v="Age of Empires II: Definitive Edition"/>
    <d v="2019-11-14T00:00:00"/>
    <n v="13465"/>
    <b v="0"/>
    <n v="77"/>
    <s v="Radeon Vega 8"/>
    <x v="3"/>
    <x v="1"/>
  </r>
  <r>
    <n v="813780"/>
    <s v="Age of Empires II: Definitive Edition"/>
    <d v="2019-11-14T00:00:00"/>
    <n v="13465"/>
    <b v="0"/>
    <n v="77"/>
    <s v="Radeon Vega 8"/>
    <x v="4"/>
    <x v="1"/>
  </r>
  <r>
    <n v="813780"/>
    <s v="Age of Empires II: Definitive Edition"/>
    <d v="2019-11-14T00:00:00"/>
    <n v="13465"/>
    <b v="0"/>
    <n v="77"/>
    <s v="Radeon Vega 8"/>
    <x v="5"/>
    <x v="0"/>
  </r>
  <r>
    <n v="813780"/>
    <s v="Age of Empires II: Definitive Edition"/>
    <d v="2019-11-14T00:00:00"/>
    <n v="13465"/>
    <b v="0"/>
    <n v="77"/>
    <s v="Radeon Vega 8"/>
    <x v="6"/>
    <x v="1"/>
  </r>
  <r>
    <n v="2300320"/>
    <s v="Farming Simulator 25"/>
    <d v="2024-11-12T00:00:00"/>
    <n v="13431"/>
    <b v="1"/>
    <n v="78"/>
    <s v="RTX 2070"/>
    <x v="0"/>
    <x v="1"/>
  </r>
  <r>
    <n v="2300320"/>
    <s v="Farming Simulator 25"/>
    <d v="2024-11-12T00:00:00"/>
    <n v="13431"/>
    <b v="1"/>
    <n v="78"/>
    <s v="RTX 2070"/>
    <x v="1"/>
    <x v="1"/>
  </r>
  <r>
    <n v="2300320"/>
    <s v="Farming Simulator 25"/>
    <d v="2024-11-12T00:00:00"/>
    <n v="13431"/>
    <b v="1"/>
    <n v="78"/>
    <s v="RTX 2070"/>
    <x v="2"/>
    <x v="1"/>
  </r>
  <r>
    <n v="2300320"/>
    <s v="Farming Simulator 25"/>
    <d v="2024-11-12T00:00:00"/>
    <n v="13431"/>
    <b v="1"/>
    <n v="78"/>
    <s v="RTX 2070"/>
    <x v="3"/>
    <x v="0"/>
  </r>
  <r>
    <n v="2300320"/>
    <s v="Farming Simulator 25"/>
    <d v="2024-11-12T00:00:00"/>
    <n v="13431"/>
    <b v="1"/>
    <n v="78"/>
    <s v="RTX 2070"/>
    <x v="4"/>
    <x v="1"/>
  </r>
  <r>
    <n v="2300320"/>
    <s v="Farming Simulator 25"/>
    <d v="2024-11-12T00:00:00"/>
    <n v="13431"/>
    <b v="1"/>
    <n v="78"/>
    <s v="RTX 2070"/>
    <x v="5"/>
    <x v="1"/>
  </r>
  <r>
    <n v="2300320"/>
    <s v="Farming Simulator 25"/>
    <d v="2024-11-12T00:00:00"/>
    <n v="13431"/>
    <b v="1"/>
    <n v="78"/>
    <s v="RTX 2070"/>
    <x v="6"/>
    <x v="1"/>
  </r>
  <r>
    <n v="1665460"/>
    <s v="eFootball"/>
    <d v="2021-09-29T00:00:00"/>
    <n v="13404"/>
    <b v="0"/>
    <n v="79"/>
    <s v="GTX 1060"/>
    <x v="0"/>
    <x v="1"/>
  </r>
  <r>
    <n v="1665460"/>
    <s v="eFootball"/>
    <d v="2021-09-29T00:00:00"/>
    <n v="13404"/>
    <b v="0"/>
    <n v="79"/>
    <s v="GTX 1060"/>
    <x v="1"/>
    <x v="1"/>
  </r>
  <r>
    <n v="1665460"/>
    <s v="eFootball"/>
    <d v="2021-09-29T00:00:00"/>
    <n v="13404"/>
    <b v="0"/>
    <n v="79"/>
    <s v="GTX 1060"/>
    <x v="2"/>
    <x v="1"/>
  </r>
  <r>
    <n v="1665460"/>
    <s v="eFootball"/>
    <d v="2021-09-29T00:00:00"/>
    <n v="13404"/>
    <b v="0"/>
    <n v="79"/>
    <s v="GTX 1060"/>
    <x v="3"/>
    <x v="0"/>
  </r>
  <r>
    <n v="1665460"/>
    <s v="eFootball"/>
    <d v="2021-09-29T00:00:00"/>
    <n v="13404"/>
    <b v="0"/>
    <n v="79"/>
    <s v="GTX 1060"/>
    <x v="4"/>
    <x v="1"/>
  </r>
  <r>
    <n v="1665460"/>
    <s v="eFootball"/>
    <d v="2021-09-29T00:00:00"/>
    <n v="13404"/>
    <b v="0"/>
    <n v="79"/>
    <s v="GTX 1060"/>
    <x v="5"/>
    <x v="1"/>
  </r>
  <r>
    <n v="1665460"/>
    <s v="eFootball"/>
    <d v="2021-09-29T00:00:00"/>
    <n v="13404"/>
    <b v="0"/>
    <n v="79"/>
    <s v="GTX 1060"/>
    <x v="6"/>
    <x v="0"/>
  </r>
  <r>
    <n v="526870"/>
    <s v="Satisfactory"/>
    <d v="2024-09-10T00:00:00"/>
    <n v="12596"/>
    <b v="0"/>
    <n v="80"/>
    <s v="RTX 2070"/>
    <x v="0"/>
    <x v="1"/>
  </r>
  <r>
    <n v="526870"/>
    <s v="Satisfactory"/>
    <d v="2024-09-10T00:00:00"/>
    <n v="12596"/>
    <b v="0"/>
    <n v="80"/>
    <s v="RTX 2070"/>
    <x v="1"/>
    <x v="0"/>
  </r>
  <r>
    <n v="526870"/>
    <s v="Satisfactory"/>
    <d v="2024-09-10T00:00:00"/>
    <n v="12596"/>
    <b v="0"/>
    <n v="80"/>
    <s v="RTX 2070"/>
    <x v="2"/>
    <x v="0"/>
  </r>
  <r>
    <n v="526870"/>
    <s v="Satisfactory"/>
    <d v="2024-09-10T00:00:00"/>
    <n v="12596"/>
    <b v="0"/>
    <n v="80"/>
    <s v="RTX 2070"/>
    <x v="3"/>
    <x v="0"/>
  </r>
  <r>
    <n v="526870"/>
    <s v="Satisfactory"/>
    <d v="2024-09-10T00:00:00"/>
    <n v="12596"/>
    <b v="0"/>
    <n v="80"/>
    <s v="RTX 2070"/>
    <x v="4"/>
    <x v="1"/>
  </r>
  <r>
    <n v="526870"/>
    <s v="Satisfactory"/>
    <d v="2024-09-10T00:00:00"/>
    <n v="12596"/>
    <b v="0"/>
    <n v="80"/>
    <s v="RTX 2070"/>
    <x v="5"/>
    <x v="0"/>
  </r>
  <r>
    <n v="526870"/>
    <s v="Satisfactory"/>
    <d v="2024-09-10T00:00:00"/>
    <n v="12596"/>
    <b v="0"/>
    <n v="80"/>
    <s v="RTX 2070"/>
    <x v="6"/>
    <x v="1"/>
  </r>
  <r>
    <n v="2246340"/>
    <s v="Monster Hunter Wilds"/>
    <d v="2025-02-27T00:00:00"/>
    <n v="12494"/>
    <b v="0"/>
    <n v="81"/>
    <s v="RTX 2060 SUPER"/>
    <x v="0"/>
    <x v="0"/>
  </r>
  <r>
    <n v="2246340"/>
    <s v="Monster Hunter Wilds"/>
    <d v="2025-02-27T00:00:00"/>
    <n v="12494"/>
    <b v="0"/>
    <n v="81"/>
    <s v="RTX 2060 SUPER"/>
    <x v="1"/>
    <x v="1"/>
  </r>
  <r>
    <n v="2246340"/>
    <s v="Monster Hunter Wilds"/>
    <d v="2025-02-27T00:00:00"/>
    <n v="12494"/>
    <b v="0"/>
    <n v="81"/>
    <s v="RTX 2060 SUPER"/>
    <x v="2"/>
    <x v="0"/>
  </r>
  <r>
    <n v="2246340"/>
    <s v="Monster Hunter Wilds"/>
    <d v="2025-02-27T00:00:00"/>
    <n v="12494"/>
    <b v="0"/>
    <n v="81"/>
    <s v="RTX 2060 SUPER"/>
    <x v="3"/>
    <x v="1"/>
  </r>
  <r>
    <n v="2246340"/>
    <s v="Monster Hunter Wilds"/>
    <d v="2025-02-27T00:00:00"/>
    <n v="12494"/>
    <b v="0"/>
    <n v="81"/>
    <s v="RTX 2060 SUPER"/>
    <x v="4"/>
    <x v="0"/>
  </r>
  <r>
    <n v="2246340"/>
    <s v="Monster Hunter Wilds"/>
    <d v="2025-02-27T00:00:00"/>
    <n v="12494"/>
    <b v="0"/>
    <n v="81"/>
    <s v="RTX 2060 SUPER"/>
    <x v="5"/>
    <x v="1"/>
  </r>
  <r>
    <n v="2246340"/>
    <s v="Monster Hunter Wilds"/>
    <d v="2025-02-27T00:00:00"/>
    <n v="12494"/>
    <b v="0"/>
    <n v="81"/>
    <s v="RTX 2060 SUPER"/>
    <x v="6"/>
    <x v="1"/>
  </r>
  <r>
    <n v="236850"/>
    <s v="Europa Universalis IV"/>
    <d v="2013-08-13T00:00:00"/>
    <n v="12445"/>
    <b v="1"/>
    <n v="82"/>
    <s v="GTX 780 Ti"/>
    <x v="0"/>
    <x v="1"/>
  </r>
  <r>
    <n v="236850"/>
    <s v="Europa Universalis IV"/>
    <d v="2013-08-13T00:00:00"/>
    <n v="12445"/>
    <b v="1"/>
    <n v="82"/>
    <s v="GTX 780 Ti"/>
    <x v="1"/>
    <x v="1"/>
  </r>
  <r>
    <n v="236850"/>
    <s v="Europa Universalis IV"/>
    <d v="2013-08-13T00:00:00"/>
    <n v="12445"/>
    <b v="1"/>
    <n v="82"/>
    <s v="GTX 780 Ti"/>
    <x v="2"/>
    <x v="1"/>
  </r>
  <r>
    <n v="236850"/>
    <s v="Europa Universalis IV"/>
    <d v="2013-08-13T00:00:00"/>
    <n v="12445"/>
    <b v="1"/>
    <n v="82"/>
    <s v="GTX 780 Ti"/>
    <x v="3"/>
    <x v="0"/>
  </r>
  <r>
    <n v="236850"/>
    <s v="Europa Universalis IV"/>
    <d v="2013-08-13T00:00:00"/>
    <n v="12445"/>
    <b v="1"/>
    <n v="82"/>
    <s v="GTX 780 Ti"/>
    <x v="4"/>
    <x v="1"/>
  </r>
  <r>
    <n v="236850"/>
    <s v="Europa Universalis IV"/>
    <d v="2013-08-13T00:00:00"/>
    <n v="12445"/>
    <b v="1"/>
    <n v="82"/>
    <s v="GTX 780 Ti"/>
    <x v="5"/>
    <x v="0"/>
  </r>
  <r>
    <n v="236850"/>
    <s v="Europa Universalis IV"/>
    <d v="2013-08-13T00:00:00"/>
    <n v="12445"/>
    <b v="1"/>
    <n v="82"/>
    <s v="GTX 780 Ti"/>
    <x v="6"/>
    <x v="1"/>
  </r>
  <r>
    <n v="1049590"/>
    <s v="Eternal Return"/>
    <d v="2023-07-19T00:00:00"/>
    <n v="12341"/>
    <b v="0"/>
    <n v="83"/>
    <s v="RX 580"/>
    <x v="0"/>
    <x v="1"/>
  </r>
  <r>
    <n v="1049590"/>
    <s v="Eternal Return"/>
    <d v="2023-07-19T00:00:00"/>
    <n v="12341"/>
    <b v="0"/>
    <n v="83"/>
    <s v="RX 580"/>
    <x v="1"/>
    <x v="0"/>
  </r>
  <r>
    <n v="1049590"/>
    <s v="Eternal Return"/>
    <d v="2023-07-19T00:00:00"/>
    <n v="12341"/>
    <b v="0"/>
    <n v="83"/>
    <s v="RX 580"/>
    <x v="2"/>
    <x v="1"/>
  </r>
  <r>
    <n v="1049590"/>
    <s v="Eternal Return"/>
    <d v="2023-07-19T00:00:00"/>
    <n v="12341"/>
    <b v="0"/>
    <n v="83"/>
    <s v="RX 580"/>
    <x v="3"/>
    <x v="1"/>
  </r>
  <r>
    <n v="1049590"/>
    <s v="Eternal Return"/>
    <d v="2023-07-19T00:00:00"/>
    <n v="12341"/>
    <b v="0"/>
    <n v="83"/>
    <s v="RX 580"/>
    <x v="4"/>
    <x v="1"/>
  </r>
  <r>
    <n v="1049590"/>
    <s v="Eternal Return"/>
    <d v="2023-07-19T00:00:00"/>
    <n v="12341"/>
    <b v="0"/>
    <n v="83"/>
    <s v="RX 580"/>
    <x v="5"/>
    <x v="0"/>
  </r>
  <r>
    <n v="1049590"/>
    <s v="Eternal Return"/>
    <d v="2023-07-19T00:00:00"/>
    <n v="12341"/>
    <b v="0"/>
    <n v="83"/>
    <s v="RX 580"/>
    <x v="6"/>
    <x v="0"/>
  </r>
  <r>
    <n v="275850"/>
    <s v="No Man's Sky"/>
    <d v="2016-08-12T00:00:00"/>
    <n v="12291"/>
    <b v="1"/>
    <n v="84"/>
    <s v="GTX 980"/>
    <x v="0"/>
    <x v="0"/>
  </r>
  <r>
    <n v="275850"/>
    <s v="No Man's Sky"/>
    <d v="2016-08-12T00:00:00"/>
    <n v="12291"/>
    <b v="1"/>
    <n v="84"/>
    <s v="GTX 980"/>
    <x v="1"/>
    <x v="1"/>
  </r>
  <r>
    <n v="275850"/>
    <s v="No Man's Sky"/>
    <d v="2016-08-12T00:00:00"/>
    <n v="12291"/>
    <b v="1"/>
    <n v="84"/>
    <s v="GTX 980"/>
    <x v="2"/>
    <x v="0"/>
  </r>
  <r>
    <n v="275850"/>
    <s v="No Man's Sky"/>
    <d v="2016-08-12T00:00:00"/>
    <n v="12291"/>
    <b v="1"/>
    <n v="84"/>
    <s v="GTX 980"/>
    <x v="3"/>
    <x v="1"/>
  </r>
  <r>
    <n v="275850"/>
    <s v="No Man's Sky"/>
    <d v="2016-08-12T00:00:00"/>
    <n v="12291"/>
    <b v="1"/>
    <n v="84"/>
    <s v="GTX 980"/>
    <x v="4"/>
    <x v="1"/>
  </r>
  <r>
    <n v="275850"/>
    <s v="No Man's Sky"/>
    <d v="2016-08-12T00:00:00"/>
    <n v="12291"/>
    <b v="1"/>
    <n v="84"/>
    <s v="GTX 980"/>
    <x v="5"/>
    <x v="1"/>
  </r>
  <r>
    <n v="275850"/>
    <s v="No Man's Sky"/>
    <d v="2016-08-12T00:00:00"/>
    <n v="12291"/>
    <b v="1"/>
    <n v="84"/>
    <s v="GTX 980"/>
    <x v="6"/>
    <x v="1"/>
  </r>
  <r>
    <n v="8930"/>
    <s v="Sid Meier's Civilization V"/>
    <d v="2010-09-21T00:00:00"/>
    <n v="12206"/>
    <b v="1"/>
    <n v="85"/>
    <s v="Radeon Graphics"/>
    <x v="0"/>
    <x v="1"/>
  </r>
  <r>
    <n v="8930"/>
    <s v="Sid Meier's Civilization V"/>
    <d v="2010-09-21T00:00:00"/>
    <n v="12206"/>
    <b v="1"/>
    <n v="85"/>
    <s v="Radeon Graphics"/>
    <x v="1"/>
    <x v="1"/>
  </r>
  <r>
    <n v="8930"/>
    <s v="Sid Meier's Civilization V"/>
    <d v="2010-09-21T00:00:00"/>
    <n v="12206"/>
    <b v="1"/>
    <n v="85"/>
    <s v="Radeon Graphics"/>
    <x v="2"/>
    <x v="1"/>
  </r>
  <r>
    <n v="8930"/>
    <s v="Sid Meier's Civilization V"/>
    <d v="2010-09-21T00:00:00"/>
    <n v="12206"/>
    <b v="1"/>
    <n v="85"/>
    <s v="Radeon Graphics"/>
    <x v="3"/>
    <x v="1"/>
  </r>
  <r>
    <n v="8930"/>
    <s v="Sid Meier's Civilization V"/>
    <d v="2010-09-21T00:00:00"/>
    <n v="12206"/>
    <b v="1"/>
    <n v="85"/>
    <s v="Radeon Graphics"/>
    <x v="4"/>
    <x v="1"/>
  </r>
  <r>
    <n v="8930"/>
    <s v="Sid Meier's Civilization V"/>
    <d v="2010-09-21T00:00:00"/>
    <n v="12206"/>
    <b v="1"/>
    <n v="85"/>
    <s v="Radeon Graphics"/>
    <x v="5"/>
    <x v="0"/>
  </r>
  <r>
    <n v="8930"/>
    <s v="Sid Meier's Civilization V"/>
    <d v="2010-09-21T00:00:00"/>
    <n v="12206"/>
    <b v="1"/>
    <n v="85"/>
    <s v="Radeon Graphics"/>
    <x v="6"/>
    <x v="1"/>
  </r>
  <r>
    <n v="2399830"/>
    <s v="ARK: Survival Ascended"/>
    <d v="2023-10-25T00:00:00"/>
    <n v="12007"/>
    <b v="0"/>
    <n v="86"/>
    <s v="RX 6800"/>
    <x v="0"/>
    <x v="0"/>
  </r>
  <r>
    <n v="2399830"/>
    <s v="ARK: Survival Ascended"/>
    <d v="2023-10-25T00:00:00"/>
    <n v="12007"/>
    <b v="0"/>
    <n v="86"/>
    <s v="RX 6800"/>
    <x v="1"/>
    <x v="0"/>
  </r>
  <r>
    <n v="2399830"/>
    <s v="ARK: Survival Ascended"/>
    <d v="2023-10-25T00:00:00"/>
    <n v="12007"/>
    <b v="0"/>
    <n v="86"/>
    <s v="RX 6800"/>
    <x v="2"/>
    <x v="0"/>
  </r>
  <r>
    <n v="2399830"/>
    <s v="ARK: Survival Ascended"/>
    <d v="2023-10-25T00:00:00"/>
    <n v="12007"/>
    <b v="0"/>
    <n v="86"/>
    <s v="RX 6800"/>
    <x v="3"/>
    <x v="1"/>
  </r>
  <r>
    <n v="2399830"/>
    <s v="ARK: Survival Ascended"/>
    <d v="2023-10-25T00:00:00"/>
    <n v="12007"/>
    <b v="0"/>
    <n v="86"/>
    <s v="RX 6800"/>
    <x v="4"/>
    <x v="0"/>
  </r>
  <r>
    <n v="2399830"/>
    <s v="ARK: Survival Ascended"/>
    <d v="2023-10-25T00:00:00"/>
    <n v="12007"/>
    <b v="0"/>
    <n v="86"/>
    <s v="RX 6800"/>
    <x v="5"/>
    <x v="1"/>
  </r>
  <r>
    <n v="2399830"/>
    <s v="ARK: Survival Ascended"/>
    <d v="2023-10-25T00:00:00"/>
    <n v="12007"/>
    <b v="0"/>
    <n v="86"/>
    <s v="RX 6800"/>
    <x v="6"/>
    <x v="1"/>
  </r>
  <r>
    <n v="582010"/>
    <s v="Monster Hunter: World"/>
    <d v="2018-08-08T00:00:00"/>
    <n v="11923"/>
    <b v="0"/>
    <n v="87"/>
    <s v="GTX 1060"/>
    <x v="0"/>
    <x v="0"/>
  </r>
  <r>
    <n v="582010"/>
    <s v="Monster Hunter: World"/>
    <d v="2018-08-08T00:00:00"/>
    <n v="11923"/>
    <b v="0"/>
    <n v="87"/>
    <s v="GTX 1060"/>
    <x v="1"/>
    <x v="1"/>
  </r>
  <r>
    <n v="582010"/>
    <s v="Monster Hunter: World"/>
    <d v="2018-08-08T00:00:00"/>
    <n v="11923"/>
    <b v="0"/>
    <n v="87"/>
    <s v="GTX 1060"/>
    <x v="2"/>
    <x v="1"/>
  </r>
  <r>
    <n v="582010"/>
    <s v="Monster Hunter: World"/>
    <d v="2018-08-08T00:00:00"/>
    <n v="11923"/>
    <b v="0"/>
    <n v="87"/>
    <s v="GTX 1060"/>
    <x v="3"/>
    <x v="1"/>
  </r>
  <r>
    <n v="582010"/>
    <s v="Monster Hunter: World"/>
    <d v="2018-08-08T00:00:00"/>
    <n v="11923"/>
    <b v="0"/>
    <n v="87"/>
    <s v="GTX 1060"/>
    <x v="4"/>
    <x v="1"/>
  </r>
  <r>
    <n v="582010"/>
    <s v="Monster Hunter: World"/>
    <d v="2018-08-08T00:00:00"/>
    <n v="11923"/>
    <b v="0"/>
    <n v="87"/>
    <s v="GTX 1060"/>
    <x v="5"/>
    <x v="1"/>
  </r>
  <r>
    <n v="582010"/>
    <s v="Monster Hunter: World"/>
    <d v="2018-08-08T00:00:00"/>
    <n v="11923"/>
    <b v="0"/>
    <n v="87"/>
    <s v="GTX 1060"/>
    <x v="6"/>
    <x v="1"/>
  </r>
  <r>
    <n v="1874880"/>
    <s v="Arma Reforger"/>
    <d v="2023-11-16T00:00:00"/>
    <n v="11466"/>
    <b v="0"/>
    <n v="88"/>
    <s v="GTX 1070 Ti"/>
    <x v="0"/>
    <x v="0"/>
  </r>
  <r>
    <n v="1874880"/>
    <s v="Arma Reforger"/>
    <d v="2023-11-16T00:00:00"/>
    <n v="11466"/>
    <b v="0"/>
    <n v="88"/>
    <s v="GTX 1070 Ti"/>
    <x v="1"/>
    <x v="1"/>
  </r>
  <r>
    <n v="1874880"/>
    <s v="Arma Reforger"/>
    <d v="2023-11-16T00:00:00"/>
    <n v="11466"/>
    <b v="0"/>
    <n v="88"/>
    <s v="GTX 1070 Ti"/>
    <x v="2"/>
    <x v="1"/>
  </r>
  <r>
    <n v="1874880"/>
    <s v="Arma Reforger"/>
    <d v="2023-11-16T00:00:00"/>
    <n v="11466"/>
    <b v="0"/>
    <n v="88"/>
    <s v="GTX 1070 Ti"/>
    <x v="3"/>
    <x v="0"/>
  </r>
  <r>
    <n v="1874880"/>
    <s v="Arma Reforger"/>
    <d v="2023-11-16T00:00:00"/>
    <n v="11466"/>
    <b v="0"/>
    <n v="88"/>
    <s v="GTX 1070 Ti"/>
    <x v="4"/>
    <x v="1"/>
  </r>
  <r>
    <n v="1874880"/>
    <s v="Arma Reforger"/>
    <d v="2023-11-16T00:00:00"/>
    <n v="11466"/>
    <b v="0"/>
    <n v="88"/>
    <s v="GTX 1070 Ti"/>
    <x v="5"/>
    <x v="0"/>
  </r>
  <r>
    <n v="1874880"/>
    <s v="Arma Reforger"/>
    <d v="2023-11-16T00:00:00"/>
    <n v="11466"/>
    <b v="0"/>
    <n v="88"/>
    <s v="GTX 1070 Ti"/>
    <x v="6"/>
    <x v="1"/>
  </r>
  <r>
    <n v="377160"/>
    <s v="Fallout 4"/>
    <d v="2015-11-09T00:00:00"/>
    <n v="11179"/>
    <b v="0"/>
    <n v="89"/>
    <s v="R9 380"/>
    <x v="0"/>
    <x v="1"/>
  </r>
  <r>
    <n v="377160"/>
    <s v="Fallout 4"/>
    <d v="2015-11-09T00:00:00"/>
    <n v="11179"/>
    <b v="0"/>
    <n v="89"/>
    <s v="R9 380"/>
    <x v="1"/>
    <x v="1"/>
  </r>
  <r>
    <n v="377160"/>
    <s v="Fallout 4"/>
    <d v="2015-11-09T00:00:00"/>
    <n v="11179"/>
    <b v="0"/>
    <n v="89"/>
    <s v="R9 380"/>
    <x v="2"/>
    <x v="1"/>
  </r>
  <r>
    <n v="377160"/>
    <s v="Fallout 4"/>
    <d v="2015-11-09T00:00:00"/>
    <n v="11179"/>
    <b v="0"/>
    <n v="89"/>
    <s v="R9 380"/>
    <x v="3"/>
    <x v="1"/>
  </r>
  <r>
    <n v="377160"/>
    <s v="Fallout 4"/>
    <d v="2015-11-09T00:00:00"/>
    <n v="11179"/>
    <b v="0"/>
    <n v="89"/>
    <s v="R9 380"/>
    <x v="4"/>
    <x v="0"/>
  </r>
  <r>
    <n v="377160"/>
    <s v="Fallout 4"/>
    <d v="2015-11-09T00:00:00"/>
    <n v="11179"/>
    <b v="0"/>
    <n v="89"/>
    <s v="R9 380"/>
    <x v="5"/>
    <x v="1"/>
  </r>
  <r>
    <n v="377160"/>
    <s v="Fallout 4"/>
    <d v="2015-11-09T00:00:00"/>
    <n v="11179"/>
    <b v="0"/>
    <n v="89"/>
    <s v="R9 380"/>
    <x v="6"/>
    <x v="1"/>
  </r>
  <r>
    <n v="1476970"/>
    <s v="IdleOn"/>
    <d v="2025-11-06T00:00:00"/>
    <n v="11081"/>
    <b v="0"/>
    <n v="90"/>
    <s v="GTX 1050"/>
    <x v="0"/>
    <x v="1"/>
  </r>
  <r>
    <n v="1476970"/>
    <s v="IdleOn"/>
    <d v="2025-11-06T00:00:00"/>
    <n v="11081"/>
    <b v="0"/>
    <n v="90"/>
    <s v="GTX 1050"/>
    <x v="1"/>
    <x v="0"/>
  </r>
  <r>
    <n v="1476970"/>
    <s v="IdleOn"/>
    <d v="2025-11-06T00:00:00"/>
    <n v="11081"/>
    <b v="0"/>
    <n v="90"/>
    <s v="GTX 1050"/>
    <x v="2"/>
    <x v="1"/>
  </r>
  <r>
    <n v="1476970"/>
    <s v="IdleOn"/>
    <d v="2025-11-06T00:00:00"/>
    <n v="11081"/>
    <b v="0"/>
    <n v="90"/>
    <s v="GTX 1050"/>
    <x v="3"/>
    <x v="0"/>
  </r>
  <r>
    <n v="1476970"/>
    <s v="IdleOn"/>
    <d v="2025-11-06T00:00:00"/>
    <n v="11081"/>
    <b v="0"/>
    <n v="90"/>
    <s v="GTX 1050"/>
    <x v="4"/>
    <x v="0"/>
  </r>
  <r>
    <n v="1476970"/>
    <s v="IdleOn"/>
    <d v="2025-11-06T00:00:00"/>
    <n v="11081"/>
    <b v="0"/>
    <n v="90"/>
    <s v="GTX 1050"/>
    <x v="5"/>
    <x v="1"/>
  </r>
  <r>
    <n v="1476970"/>
    <s v="IdleOn"/>
    <d v="2025-11-06T00:00:00"/>
    <n v="11081"/>
    <b v="0"/>
    <n v="90"/>
    <s v="GTX 1050"/>
    <x v="6"/>
    <x v="0"/>
  </r>
  <r>
    <n v="1604030"/>
    <s v="V Rising"/>
    <d v="2024-05-08T00:00:00"/>
    <n v="10961"/>
    <b v="0"/>
    <n v="91"/>
    <s v="GTX 1070"/>
    <x v="0"/>
    <x v="0"/>
  </r>
  <r>
    <n v="1604030"/>
    <s v="V Rising"/>
    <d v="2024-05-08T00:00:00"/>
    <n v="10961"/>
    <b v="0"/>
    <n v="91"/>
    <s v="GTX 1070"/>
    <x v="1"/>
    <x v="1"/>
  </r>
  <r>
    <n v="1604030"/>
    <s v="V Rising"/>
    <d v="2024-05-08T00:00:00"/>
    <n v="10961"/>
    <b v="0"/>
    <n v="91"/>
    <s v="GTX 1070"/>
    <x v="2"/>
    <x v="0"/>
  </r>
  <r>
    <n v="1604030"/>
    <s v="V Rising"/>
    <d v="2024-05-08T00:00:00"/>
    <n v="10961"/>
    <b v="0"/>
    <n v="91"/>
    <s v="GTX 1070"/>
    <x v="3"/>
    <x v="1"/>
  </r>
  <r>
    <n v="1604030"/>
    <s v="V Rising"/>
    <d v="2024-05-08T00:00:00"/>
    <n v="10961"/>
    <b v="0"/>
    <n v="91"/>
    <s v="GTX 1070"/>
    <x v="4"/>
    <x v="1"/>
  </r>
  <r>
    <n v="1604030"/>
    <s v="V Rising"/>
    <d v="2024-05-08T00:00:00"/>
    <n v="10961"/>
    <b v="0"/>
    <n v="91"/>
    <s v="GTX 1070"/>
    <x v="5"/>
    <x v="1"/>
  </r>
  <r>
    <n v="1604030"/>
    <s v="V Rising"/>
    <d v="2024-05-08T00:00:00"/>
    <n v="10961"/>
    <b v="0"/>
    <n v="91"/>
    <s v="GTX 1070"/>
    <x v="6"/>
    <x v="1"/>
  </r>
  <r>
    <n v="1203620"/>
    <s v="Enshrouded"/>
    <d v="2024-01-24T00:00:00"/>
    <n v="10654"/>
    <b v="0"/>
    <n v="92"/>
    <s v="RTX 2070 SUPER"/>
    <x v="0"/>
    <x v="0"/>
  </r>
  <r>
    <n v="1203620"/>
    <s v="Enshrouded"/>
    <d v="2024-01-24T00:00:00"/>
    <n v="10654"/>
    <b v="0"/>
    <n v="92"/>
    <s v="RTX 2070 SUPER"/>
    <x v="1"/>
    <x v="0"/>
  </r>
  <r>
    <n v="1203620"/>
    <s v="Enshrouded"/>
    <d v="2024-01-24T00:00:00"/>
    <n v="10654"/>
    <b v="0"/>
    <n v="92"/>
    <s v="RTX 2070 SUPER"/>
    <x v="2"/>
    <x v="0"/>
  </r>
  <r>
    <n v="1203620"/>
    <s v="Enshrouded"/>
    <d v="2024-01-24T00:00:00"/>
    <n v="10654"/>
    <b v="0"/>
    <n v="92"/>
    <s v="RTX 2070 SUPER"/>
    <x v="3"/>
    <x v="1"/>
  </r>
  <r>
    <n v="1203620"/>
    <s v="Enshrouded"/>
    <d v="2024-01-24T00:00:00"/>
    <n v="10654"/>
    <b v="0"/>
    <n v="92"/>
    <s v="RTX 2070 SUPER"/>
    <x v="4"/>
    <x v="0"/>
  </r>
  <r>
    <n v="1203620"/>
    <s v="Enshrouded"/>
    <d v="2024-01-24T00:00:00"/>
    <n v="10654"/>
    <b v="0"/>
    <n v="92"/>
    <s v="RTX 2070 SUPER"/>
    <x v="5"/>
    <x v="1"/>
  </r>
  <r>
    <n v="1203620"/>
    <s v="Enshrouded"/>
    <d v="2024-01-24T00:00:00"/>
    <n v="10654"/>
    <b v="0"/>
    <n v="92"/>
    <s v="RTX 2070 SUPER"/>
    <x v="6"/>
    <x v="1"/>
  </r>
  <r>
    <n v="304930"/>
    <s v="Unturned"/>
    <d v="2017-07-07T00:00:00"/>
    <n v="10408"/>
    <b v="1"/>
    <n v="93"/>
    <s v="RX 560"/>
    <x v="0"/>
    <x v="0"/>
  </r>
  <r>
    <n v="304930"/>
    <s v="Unturned"/>
    <d v="2017-07-07T00:00:00"/>
    <n v="10408"/>
    <b v="1"/>
    <n v="93"/>
    <s v="RX 560"/>
    <x v="1"/>
    <x v="0"/>
  </r>
  <r>
    <n v="304930"/>
    <s v="Unturned"/>
    <d v="2017-07-07T00:00:00"/>
    <n v="10408"/>
    <b v="1"/>
    <n v="93"/>
    <s v="RX 560"/>
    <x v="2"/>
    <x v="0"/>
  </r>
  <r>
    <n v="304930"/>
    <s v="Unturned"/>
    <d v="2017-07-07T00:00:00"/>
    <n v="10408"/>
    <b v="1"/>
    <n v="93"/>
    <s v="RX 560"/>
    <x v="3"/>
    <x v="1"/>
  </r>
  <r>
    <n v="304930"/>
    <s v="Unturned"/>
    <d v="2017-07-07T00:00:00"/>
    <n v="10408"/>
    <b v="1"/>
    <n v="93"/>
    <s v="RX 560"/>
    <x v="4"/>
    <x v="1"/>
  </r>
  <r>
    <n v="304930"/>
    <s v="Unturned"/>
    <d v="2017-07-07T00:00:00"/>
    <n v="10408"/>
    <b v="1"/>
    <n v="93"/>
    <s v="RX 560"/>
    <x v="5"/>
    <x v="1"/>
  </r>
  <r>
    <n v="304930"/>
    <s v="Unturned"/>
    <d v="2017-07-07T00:00:00"/>
    <n v="10408"/>
    <b v="1"/>
    <n v="93"/>
    <s v="RX 560"/>
    <x v="6"/>
    <x v="0"/>
  </r>
  <r>
    <n v="1325860"/>
    <s v="VTube Studio"/>
    <d v="2021-03-12T00:00:00"/>
    <n v="10139"/>
    <b v="1"/>
    <n v="94"/>
    <s v="GTX 1060"/>
    <x v="0"/>
    <x v="1"/>
  </r>
  <r>
    <n v="1325860"/>
    <s v="VTube Studio"/>
    <d v="2021-03-12T00:00:00"/>
    <n v="10139"/>
    <b v="1"/>
    <n v="94"/>
    <s v="GTX 1060"/>
    <x v="1"/>
    <x v="0"/>
  </r>
  <r>
    <n v="1325860"/>
    <s v="VTube Studio"/>
    <d v="2021-03-12T00:00:00"/>
    <n v="10139"/>
    <b v="1"/>
    <n v="94"/>
    <s v="GTX 1060"/>
    <x v="2"/>
    <x v="1"/>
  </r>
  <r>
    <n v="1325860"/>
    <s v="VTube Studio"/>
    <d v="2021-03-12T00:00:00"/>
    <n v="10139"/>
    <b v="1"/>
    <n v="94"/>
    <s v="GTX 1060"/>
    <x v="3"/>
    <x v="1"/>
  </r>
  <r>
    <n v="1325860"/>
    <s v="VTube Studio"/>
    <d v="2021-03-12T00:00:00"/>
    <n v="10139"/>
    <b v="1"/>
    <n v="94"/>
    <s v="GTX 1060"/>
    <x v="4"/>
    <x v="1"/>
  </r>
  <r>
    <n v="1325860"/>
    <s v="VTube Studio"/>
    <d v="2021-03-12T00:00:00"/>
    <n v="10139"/>
    <b v="1"/>
    <n v="94"/>
    <s v="GTX 1060"/>
    <x v="5"/>
    <x v="1"/>
  </r>
  <r>
    <n v="1325860"/>
    <s v="VTube Studio"/>
    <d v="2021-03-12T00:00:00"/>
    <n v="10139"/>
    <b v="1"/>
    <n v="94"/>
    <s v="GTX 1060"/>
    <x v="6"/>
    <x v="1"/>
  </r>
  <r>
    <n v="1551360"/>
    <s v="Forza Horizon 5"/>
    <d v="2021-11-08T00:00:00"/>
    <n v="10009"/>
    <b v="0"/>
    <n v="95"/>
    <s v="GTX 1070"/>
    <x v="0"/>
    <x v="0"/>
  </r>
  <r>
    <n v="1551360"/>
    <s v="Forza Horizon 5"/>
    <d v="2021-11-08T00:00:00"/>
    <n v="10009"/>
    <b v="0"/>
    <n v="95"/>
    <s v="GTX 1070"/>
    <x v="1"/>
    <x v="1"/>
  </r>
  <r>
    <n v="1551360"/>
    <s v="Forza Horizon 5"/>
    <d v="2021-11-08T00:00:00"/>
    <n v="10009"/>
    <b v="0"/>
    <n v="95"/>
    <s v="GTX 1070"/>
    <x v="2"/>
    <x v="0"/>
  </r>
  <r>
    <n v="1551360"/>
    <s v="Forza Horizon 5"/>
    <d v="2021-11-08T00:00:00"/>
    <n v="10009"/>
    <b v="0"/>
    <n v="95"/>
    <s v="GTX 1070"/>
    <x v="3"/>
    <x v="0"/>
  </r>
  <r>
    <n v="1551360"/>
    <s v="Forza Horizon 5"/>
    <d v="2021-11-08T00:00:00"/>
    <n v="10009"/>
    <b v="0"/>
    <n v="95"/>
    <s v="GTX 1070"/>
    <x v="4"/>
    <x v="1"/>
  </r>
  <r>
    <n v="1551360"/>
    <s v="Forza Horizon 5"/>
    <d v="2021-11-08T00:00:00"/>
    <n v="10009"/>
    <b v="0"/>
    <n v="95"/>
    <s v="GTX 1070"/>
    <x v="5"/>
    <x v="1"/>
  </r>
  <r>
    <n v="1551360"/>
    <s v="Forza Horizon 5"/>
    <d v="2021-11-08T00:00:00"/>
    <n v="10009"/>
    <b v="0"/>
    <n v="95"/>
    <s v="GTX 1070"/>
    <x v="6"/>
    <x v="1"/>
  </r>
  <r>
    <n v="739630"/>
    <s v="Phasmophobia"/>
    <d v="2020-09-18T00:00:00"/>
    <n v="9978"/>
    <b v="0"/>
    <n v="96"/>
    <s v="RTX 2060"/>
    <x v="0"/>
    <x v="0"/>
  </r>
  <r>
    <n v="739630"/>
    <s v="Phasmophobia"/>
    <d v="2020-09-18T00:00:00"/>
    <n v="9978"/>
    <b v="0"/>
    <n v="96"/>
    <s v="RTX 2060"/>
    <x v="1"/>
    <x v="0"/>
  </r>
  <r>
    <n v="739630"/>
    <s v="Phasmophobia"/>
    <d v="2020-09-18T00:00:00"/>
    <n v="9978"/>
    <b v="0"/>
    <n v="96"/>
    <s v="RTX 2060"/>
    <x v="2"/>
    <x v="1"/>
  </r>
  <r>
    <n v="739630"/>
    <s v="Phasmophobia"/>
    <d v="2020-09-18T00:00:00"/>
    <n v="9978"/>
    <b v="0"/>
    <n v="96"/>
    <s v="RTX 2060"/>
    <x v="3"/>
    <x v="1"/>
  </r>
  <r>
    <n v="739630"/>
    <s v="Phasmophobia"/>
    <d v="2020-09-18T00:00:00"/>
    <n v="9978"/>
    <b v="0"/>
    <n v="96"/>
    <s v="RTX 2060"/>
    <x v="4"/>
    <x v="1"/>
  </r>
  <r>
    <n v="739630"/>
    <s v="Phasmophobia"/>
    <d v="2020-09-18T00:00:00"/>
    <n v="9978"/>
    <b v="0"/>
    <n v="96"/>
    <s v="RTX 2060"/>
    <x v="5"/>
    <x v="1"/>
  </r>
  <r>
    <n v="739630"/>
    <s v="Phasmophobia"/>
    <d v="2020-09-18T00:00:00"/>
    <n v="9978"/>
    <b v="0"/>
    <n v="96"/>
    <s v="RTX 2060"/>
    <x v="6"/>
    <x v="1"/>
  </r>
  <r>
    <n v="1454400"/>
    <s v="Cookie Clicker"/>
    <d v="2021-09-01T00:00:00"/>
    <n v="9583"/>
    <b v="1"/>
    <n v="97"/>
    <s v="Radeon Vega 11"/>
    <x v="0"/>
    <x v="1"/>
  </r>
  <r>
    <n v="1454400"/>
    <s v="Cookie Clicker"/>
    <d v="2021-09-01T00:00:00"/>
    <n v="9583"/>
    <b v="1"/>
    <n v="97"/>
    <s v="Radeon Vega 11"/>
    <x v="1"/>
    <x v="0"/>
  </r>
  <r>
    <n v="1454400"/>
    <s v="Cookie Clicker"/>
    <d v="2021-09-01T00:00:00"/>
    <n v="9583"/>
    <b v="1"/>
    <n v="97"/>
    <s v="Radeon Vega 11"/>
    <x v="2"/>
    <x v="1"/>
  </r>
  <r>
    <n v="1454400"/>
    <s v="Cookie Clicker"/>
    <d v="2021-09-01T00:00:00"/>
    <n v="9583"/>
    <b v="1"/>
    <n v="97"/>
    <s v="Radeon Vega 11"/>
    <x v="3"/>
    <x v="0"/>
  </r>
  <r>
    <n v="1454400"/>
    <s v="Cookie Clicker"/>
    <d v="2021-09-01T00:00:00"/>
    <n v="9583"/>
    <b v="1"/>
    <n v="97"/>
    <s v="Radeon Vega 11"/>
    <x v="4"/>
    <x v="1"/>
  </r>
  <r>
    <n v="1454400"/>
    <s v="Cookie Clicker"/>
    <d v="2021-09-01T00:00:00"/>
    <n v="9583"/>
    <b v="1"/>
    <n v="97"/>
    <s v="Radeon Vega 11"/>
    <x v="5"/>
    <x v="0"/>
  </r>
  <r>
    <n v="1454400"/>
    <s v="Cookie Clicker"/>
    <d v="2021-09-01T00:00:00"/>
    <n v="9583"/>
    <b v="1"/>
    <n v="97"/>
    <s v="Radeon Vega 11"/>
    <x v="6"/>
    <x v="1"/>
  </r>
  <r>
    <n v="2221490"/>
    <s v="Tom Clancy's The Division 2"/>
    <d v="2023-01-12T00:00:00"/>
    <n v="9481"/>
    <b v="0"/>
    <n v="98"/>
    <s v="RX 480"/>
    <x v="0"/>
    <x v="0"/>
  </r>
  <r>
    <n v="2221490"/>
    <s v="Tom Clancy's The Division 2"/>
    <d v="2023-01-12T00:00:00"/>
    <n v="9481"/>
    <b v="0"/>
    <n v="98"/>
    <s v="RX 480"/>
    <x v="1"/>
    <x v="1"/>
  </r>
  <r>
    <n v="2221490"/>
    <s v="Tom Clancy's The Division 2"/>
    <d v="2023-01-12T00:00:00"/>
    <n v="9481"/>
    <b v="0"/>
    <n v="98"/>
    <s v="RX 480"/>
    <x v="2"/>
    <x v="0"/>
  </r>
  <r>
    <n v="2221490"/>
    <s v="Tom Clancy's The Division 2"/>
    <d v="2023-01-12T00:00:00"/>
    <n v="9481"/>
    <b v="0"/>
    <n v="98"/>
    <s v="RX 480"/>
    <x v="3"/>
    <x v="1"/>
  </r>
  <r>
    <n v="2221490"/>
    <s v="Tom Clancy's The Division 2"/>
    <d v="2023-01-12T00:00:00"/>
    <n v="9481"/>
    <b v="0"/>
    <n v="98"/>
    <s v="RX 480"/>
    <x v="4"/>
    <x v="0"/>
  </r>
  <r>
    <n v="2221490"/>
    <s v="Tom Clancy's The Division 2"/>
    <d v="2023-01-12T00:00:00"/>
    <n v="9481"/>
    <b v="0"/>
    <n v="98"/>
    <s v="RX 480"/>
    <x v="5"/>
    <x v="1"/>
  </r>
  <r>
    <n v="2221490"/>
    <s v="Tom Clancy's The Division 2"/>
    <d v="2023-01-12T00:00:00"/>
    <n v="9481"/>
    <b v="0"/>
    <n v="98"/>
    <s v="RX 480"/>
    <x v="6"/>
    <x v="1"/>
  </r>
  <r>
    <n v="1237950"/>
    <s v="STAR WARS Battlefront II"/>
    <d v="2020-06-11T00:00:00"/>
    <n v="9213"/>
    <b v="0"/>
    <n v="99"/>
    <s v="RX 480"/>
    <x v="0"/>
    <x v="0"/>
  </r>
  <r>
    <n v="1237950"/>
    <s v="STAR WARS Battlefront II"/>
    <d v="2020-06-11T00:00:00"/>
    <n v="9213"/>
    <b v="0"/>
    <n v="99"/>
    <s v="RX 480"/>
    <x v="1"/>
    <x v="1"/>
  </r>
  <r>
    <n v="1237950"/>
    <s v="STAR WARS Battlefront II"/>
    <d v="2020-06-11T00:00:00"/>
    <n v="9213"/>
    <b v="0"/>
    <n v="99"/>
    <s v="RX 480"/>
    <x v="2"/>
    <x v="0"/>
  </r>
  <r>
    <n v="1237950"/>
    <s v="STAR WARS Battlefront II"/>
    <d v="2020-06-11T00:00:00"/>
    <n v="9213"/>
    <b v="0"/>
    <n v="99"/>
    <s v="RX 480"/>
    <x v="3"/>
    <x v="1"/>
  </r>
  <r>
    <n v="1237950"/>
    <s v="STAR WARS Battlefront II"/>
    <d v="2020-06-11T00:00:00"/>
    <n v="9213"/>
    <b v="0"/>
    <n v="99"/>
    <s v="RX 480"/>
    <x v="4"/>
    <x v="1"/>
  </r>
  <r>
    <n v="1237950"/>
    <s v="STAR WARS Battlefront II"/>
    <d v="2020-06-11T00:00:00"/>
    <n v="9213"/>
    <b v="0"/>
    <n v="99"/>
    <s v="RX 480"/>
    <x v="5"/>
    <x v="1"/>
  </r>
  <r>
    <n v="1237950"/>
    <s v="STAR WARS Battlefront II"/>
    <d v="2020-06-11T00:00:00"/>
    <n v="9213"/>
    <b v="0"/>
    <n v="99"/>
    <s v="RX 480"/>
    <x v="6"/>
    <x v="1"/>
  </r>
  <r>
    <n v="393380"/>
    <s v="Squad"/>
    <d v="2020-09-23T00:00:00"/>
    <n v="9116"/>
    <b v="0"/>
    <n v="100"/>
    <s v="RTX 3060"/>
    <x v="0"/>
    <x v="0"/>
  </r>
  <r>
    <n v="393380"/>
    <s v="Squad"/>
    <d v="2020-09-23T00:00:00"/>
    <n v="9116"/>
    <b v="0"/>
    <n v="100"/>
    <s v="RTX 3060"/>
    <x v="1"/>
    <x v="0"/>
  </r>
  <r>
    <n v="393380"/>
    <s v="Squad"/>
    <d v="2020-09-23T00:00:00"/>
    <n v="9116"/>
    <b v="0"/>
    <n v="100"/>
    <s v="RTX 3060"/>
    <x v="2"/>
    <x v="1"/>
  </r>
  <r>
    <n v="393380"/>
    <s v="Squad"/>
    <d v="2020-09-23T00:00:00"/>
    <n v="9116"/>
    <b v="0"/>
    <n v="100"/>
    <s v="RTX 3060"/>
    <x v="3"/>
    <x v="1"/>
  </r>
  <r>
    <n v="393380"/>
    <s v="Squad"/>
    <d v="2020-09-23T00:00:00"/>
    <n v="9116"/>
    <b v="0"/>
    <n v="100"/>
    <s v="RTX 3060"/>
    <x v="4"/>
    <x v="1"/>
  </r>
  <r>
    <n v="393380"/>
    <s v="Squad"/>
    <d v="2020-09-23T00:00:00"/>
    <n v="9116"/>
    <b v="0"/>
    <n v="100"/>
    <s v="RTX 3060"/>
    <x v="5"/>
    <x v="0"/>
  </r>
  <r>
    <n v="393380"/>
    <s v="Squad"/>
    <d v="2020-09-23T00:00:00"/>
    <n v="9116"/>
    <b v="0"/>
    <n v="100"/>
    <s v="RTX 3060"/>
    <x v="6"/>
    <x v="1"/>
  </r>
  <r>
    <n v="244210"/>
    <s v="Assetto Corsa"/>
    <d v="2014-12-19T00:00:00"/>
    <n v="8961"/>
    <b v="0"/>
    <n v="101"/>
    <s v="GTX 980 Ti"/>
    <x v="0"/>
    <x v="1"/>
  </r>
  <r>
    <n v="244210"/>
    <s v="Assetto Corsa"/>
    <d v="2014-12-19T00:00:00"/>
    <n v="8961"/>
    <b v="0"/>
    <n v="101"/>
    <s v="GTX 980 Ti"/>
    <x v="1"/>
    <x v="0"/>
  </r>
  <r>
    <n v="244210"/>
    <s v="Assetto Corsa"/>
    <d v="2014-12-19T00:00:00"/>
    <n v="8961"/>
    <b v="0"/>
    <n v="101"/>
    <s v="GTX 980 Ti"/>
    <x v="2"/>
    <x v="1"/>
  </r>
  <r>
    <n v="244210"/>
    <s v="Assetto Corsa"/>
    <d v="2014-12-19T00:00:00"/>
    <n v="8961"/>
    <b v="0"/>
    <n v="101"/>
    <s v="GTX 980 Ti"/>
    <x v="3"/>
    <x v="0"/>
  </r>
  <r>
    <n v="244210"/>
    <s v="Assetto Corsa"/>
    <d v="2014-12-19T00:00:00"/>
    <n v="8961"/>
    <b v="0"/>
    <n v="101"/>
    <s v="GTX 980 Ti"/>
    <x v="4"/>
    <x v="1"/>
  </r>
  <r>
    <n v="244210"/>
    <s v="Assetto Corsa"/>
    <d v="2014-12-19T00:00:00"/>
    <n v="8961"/>
    <b v="0"/>
    <n v="101"/>
    <s v="GTX 980 Ti"/>
    <x v="5"/>
    <x v="1"/>
  </r>
  <r>
    <n v="244210"/>
    <s v="Assetto Corsa"/>
    <d v="2014-12-19T00:00:00"/>
    <n v="8961"/>
    <b v="0"/>
    <n v="101"/>
    <s v="GTX 980 Ti"/>
    <x v="6"/>
    <x v="1"/>
  </r>
  <r>
    <n v="255710"/>
    <s v="Cities: Skylines"/>
    <d v="2015-03-10T00:00:00"/>
    <n v="8842"/>
    <b v="1"/>
    <n v="102"/>
    <s v="GTX 950"/>
    <x v="0"/>
    <x v="1"/>
  </r>
  <r>
    <n v="255710"/>
    <s v="Cities: Skylines"/>
    <d v="2015-03-10T00:00:00"/>
    <n v="8842"/>
    <b v="1"/>
    <n v="102"/>
    <s v="GTX 950"/>
    <x v="1"/>
    <x v="1"/>
  </r>
  <r>
    <n v="255710"/>
    <s v="Cities: Skylines"/>
    <d v="2015-03-10T00:00:00"/>
    <n v="8842"/>
    <b v="1"/>
    <n v="102"/>
    <s v="GTX 950"/>
    <x v="2"/>
    <x v="1"/>
  </r>
  <r>
    <n v="255710"/>
    <s v="Cities: Skylines"/>
    <d v="2015-03-10T00:00:00"/>
    <n v="8842"/>
    <b v="1"/>
    <n v="102"/>
    <s v="GTX 950"/>
    <x v="3"/>
    <x v="0"/>
  </r>
  <r>
    <n v="255710"/>
    <s v="Cities: Skylines"/>
    <d v="2015-03-10T00:00:00"/>
    <n v="8842"/>
    <b v="1"/>
    <n v="102"/>
    <s v="GTX 950"/>
    <x v="4"/>
    <x v="1"/>
  </r>
  <r>
    <n v="255710"/>
    <s v="Cities: Skylines"/>
    <d v="2015-03-10T00:00:00"/>
    <n v="8842"/>
    <b v="1"/>
    <n v="102"/>
    <s v="GTX 950"/>
    <x v="5"/>
    <x v="0"/>
  </r>
  <r>
    <n v="255710"/>
    <s v="Cities: Skylines"/>
    <d v="2015-03-10T00:00:00"/>
    <n v="8842"/>
    <b v="1"/>
    <n v="102"/>
    <s v="GTX 950"/>
    <x v="6"/>
    <x v="1"/>
  </r>
  <r>
    <n v="2344520"/>
    <s v="Diablo IV"/>
    <d v="2023-10-17T00:00:00"/>
    <n v="8835"/>
    <b v="0"/>
    <n v="103"/>
    <s v="GTX 970"/>
    <x v="0"/>
    <x v="0"/>
  </r>
  <r>
    <n v="2344520"/>
    <s v="Diablo IV"/>
    <d v="2023-10-17T00:00:00"/>
    <n v="8835"/>
    <b v="0"/>
    <n v="103"/>
    <s v="GTX 970"/>
    <x v="1"/>
    <x v="1"/>
  </r>
  <r>
    <n v="2344520"/>
    <s v="Diablo IV"/>
    <d v="2023-10-17T00:00:00"/>
    <n v="8835"/>
    <b v="0"/>
    <n v="103"/>
    <s v="GTX 970"/>
    <x v="2"/>
    <x v="1"/>
  </r>
  <r>
    <n v="2344520"/>
    <s v="Diablo IV"/>
    <d v="2023-10-17T00:00:00"/>
    <n v="8835"/>
    <b v="0"/>
    <n v="103"/>
    <s v="GTX 970"/>
    <x v="3"/>
    <x v="1"/>
  </r>
  <r>
    <n v="2344520"/>
    <s v="Diablo IV"/>
    <d v="2023-10-17T00:00:00"/>
    <n v="8835"/>
    <b v="0"/>
    <n v="103"/>
    <s v="GTX 970"/>
    <x v="4"/>
    <x v="0"/>
  </r>
  <r>
    <n v="2344520"/>
    <s v="Diablo IV"/>
    <d v="2023-10-17T00:00:00"/>
    <n v="8835"/>
    <b v="0"/>
    <n v="103"/>
    <s v="GTX 970"/>
    <x v="5"/>
    <x v="1"/>
  </r>
  <r>
    <n v="2344520"/>
    <s v="Diablo IV"/>
    <d v="2023-10-17T00:00:00"/>
    <n v="8835"/>
    <b v="0"/>
    <n v="103"/>
    <s v="GTX 970"/>
    <x v="6"/>
    <x v="1"/>
  </r>
  <r>
    <n v="1151340"/>
    <s v="Fallout 76"/>
    <d v="2020-04-14T00:00:00"/>
    <n v="8796"/>
    <b v="0"/>
    <n v="104"/>
    <s v="GTX 970"/>
    <x v="0"/>
    <x v="1"/>
  </r>
  <r>
    <n v="1151340"/>
    <s v="Fallout 76"/>
    <d v="2020-04-14T00:00:00"/>
    <n v="8796"/>
    <b v="0"/>
    <n v="104"/>
    <s v="GTX 970"/>
    <x v="1"/>
    <x v="1"/>
  </r>
  <r>
    <n v="1151340"/>
    <s v="Fallout 76"/>
    <d v="2020-04-14T00:00:00"/>
    <n v="8796"/>
    <b v="0"/>
    <n v="104"/>
    <s v="GTX 970"/>
    <x v="2"/>
    <x v="1"/>
  </r>
  <r>
    <n v="1151340"/>
    <s v="Fallout 76"/>
    <d v="2020-04-14T00:00:00"/>
    <n v="8796"/>
    <b v="0"/>
    <n v="104"/>
    <s v="GTX 970"/>
    <x v="3"/>
    <x v="1"/>
  </r>
  <r>
    <n v="1151340"/>
    <s v="Fallout 76"/>
    <d v="2020-04-14T00:00:00"/>
    <n v="8796"/>
    <b v="0"/>
    <n v="104"/>
    <s v="GTX 970"/>
    <x v="4"/>
    <x v="0"/>
  </r>
  <r>
    <n v="1151340"/>
    <s v="Fallout 76"/>
    <d v="2020-04-14T00:00:00"/>
    <n v="8796"/>
    <b v="0"/>
    <n v="104"/>
    <s v="GTX 970"/>
    <x v="5"/>
    <x v="1"/>
  </r>
  <r>
    <n v="1151340"/>
    <s v="Fallout 76"/>
    <d v="2020-04-14T00:00:00"/>
    <n v="8796"/>
    <b v="0"/>
    <n v="104"/>
    <s v="GTX 970"/>
    <x v="6"/>
    <x v="1"/>
  </r>
  <r>
    <n v="49520"/>
    <s v="Borderlands 2"/>
    <d v="2012-09-17T00:00:00"/>
    <n v="8551"/>
    <b v="1"/>
    <n v="105"/>
    <s v="GTX 750"/>
    <x v="0"/>
    <x v="0"/>
  </r>
  <r>
    <n v="49520"/>
    <s v="Borderlands 2"/>
    <d v="2012-09-17T00:00:00"/>
    <n v="8551"/>
    <b v="1"/>
    <n v="105"/>
    <s v="GTX 750"/>
    <x v="1"/>
    <x v="1"/>
  </r>
  <r>
    <n v="49520"/>
    <s v="Borderlands 2"/>
    <d v="2012-09-17T00:00:00"/>
    <n v="8551"/>
    <b v="1"/>
    <n v="105"/>
    <s v="GTX 750"/>
    <x v="2"/>
    <x v="1"/>
  </r>
  <r>
    <n v="49520"/>
    <s v="Borderlands 2"/>
    <d v="2012-09-17T00:00:00"/>
    <n v="8551"/>
    <b v="1"/>
    <n v="105"/>
    <s v="GTX 750"/>
    <x v="3"/>
    <x v="1"/>
  </r>
  <r>
    <n v="49520"/>
    <s v="Borderlands 2"/>
    <d v="2012-09-17T00:00:00"/>
    <n v="8551"/>
    <b v="1"/>
    <n v="105"/>
    <s v="GTX 750"/>
    <x v="4"/>
    <x v="0"/>
  </r>
  <r>
    <n v="49520"/>
    <s v="Borderlands 2"/>
    <d v="2012-09-17T00:00:00"/>
    <n v="8551"/>
    <b v="1"/>
    <n v="105"/>
    <s v="GTX 750"/>
    <x v="5"/>
    <x v="1"/>
  </r>
  <r>
    <n v="49520"/>
    <s v="Borderlands 2"/>
    <d v="2012-09-17T00:00:00"/>
    <n v="8551"/>
    <b v="1"/>
    <n v="105"/>
    <s v="GTX 750"/>
    <x v="6"/>
    <x v="1"/>
  </r>
  <r>
    <n v="513710"/>
    <s v="SCUM"/>
    <d v="2025-06-17T00:00:00"/>
    <n v="8535"/>
    <b v="0"/>
    <n v="106"/>
    <s v="RTX 2060"/>
    <x v="0"/>
    <x v="0"/>
  </r>
  <r>
    <n v="513710"/>
    <s v="SCUM"/>
    <d v="2025-06-17T00:00:00"/>
    <n v="8535"/>
    <b v="0"/>
    <n v="106"/>
    <s v="RTX 2060"/>
    <x v="1"/>
    <x v="0"/>
  </r>
  <r>
    <n v="513710"/>
    <s v="SCUM"/>
    <d v="2025-06-17T00:00:00"/>
    <n v="8535"/>
    <b v="0"/>
    <n v="106"/>
    <s v="RTX 2060"/>
    <x v="2"/>
    <x v="0"/>
  </r>
  <r>
    <n v="513710"/>
    <s v="SCUM"/>
    <d v="2025-06-17T00:00:00"/>
    <n v="8535"/>
    <b v="0"/>
    <n v="106"/>
    <s v="RTX 2060"/>
    <x v="3"/>
    <x v="1"/>
  </r>
  <r>
    <n v="513710"/>
    <s v="SCUM"/>
    <d v="2025-06-17T00:00:00"/>
    <n v="8535"/>
    <b v="0"/>
    <n v="106"/>
    <s v="RTX 2060"/>
    <x v="4"/>
    <x v="1"/>
  </r>
  <r>
    <n v="513710"/>
    <s v="SCUM"/>
    <d v="2025-06-17T00:00:00"/>
    <n v="8535"/>
    <b v="0"/>
    <n v="106"/>
    <s v="RTX 2060"/>
    <x v="5"/>
    <x v="1"/>
  </r>
  <r>
    <n v="513710"/>
    <s v="SCUM"/>
    <d v="2025-06-17T00:00:00"/>
    <n v="8535"/>
    <b v="0"/>
    <n v="106"/>
    <s v="RTX 2060"/>
    <x v="6"/>
    <x v="1"/>
  </r>
  <r>
    <n v="552990"/>
    <s v="World of Warships"/>
    <d v="2017-11-15T00:00:00"/>
    <n v="8518"/>
    <b v="0"/>
    <n v="107"/>
    <s v="GTX 1050 Ti"/>
    <x v="0"/>
    <x v="0"/>
  </r>
  <r>
    <n v="552990"/>
    <s v="World of Warships"/>
    <d v="2017-11-15T00:00:00"/>
    <n v="8518"/>
    <b v="0"/>
    <n v="107"/>
    <s v="GTX 1050 Ti"/>
    <x v="1"/>
    <x v="1"/>
  </r>
  <r>
    <n v="552990"/>
    <s v="World of Warships"/>
    <d v="2017-11-15T00:00:00"/>
    <n v="8518"/>
    <b v="0"/>
    <n v="107"/>
    <s v="GTX 1050 Ti"/>
    <x v="2"/>
    <x v="1"/>
  </r>
  <r>
    <n v="552990"/>
    <s v="World of Warships"/>
    <d v="2017-11-15T00:00:00"/>
    <n v="8518"/>
    <b v="0"/>
    <n v="107"/>
    <s v="GTX 1050 Ti"/>
    <x v="3"/>
    <x v="0"/>
  </r>
  <r>
    <n v="552990"/>
    <s v="World of Warships"/>
    <d v="2017-11-15T00:00:00"/>
    <n v="8518"/>
    <b v="0"/>
    <n v="107"/>
    <s v="GTX 1050 Ti"/>
    <x v="4"/>
    <x v="1"/>
  </r>
  <r>
    <n v="552990"/>
    <s v="World of Warships"/>
    <d v="2017-11-15T00:00:00"/>
    <n v="8518"/>
    <b v="0"/>
    <n v="107"/>
    <s v="GTX 1050 Ti"/>
    <x v="5"/>
    <x v="0"/>
  </r>
  <r>
    <n v="552990"/>
    <s v="World of Warships"/>
    <d v="2017-11-15T00:00:00"/>
    <n v="8518"/>
    <b v="0"/>
    <n v="107"/>
    <s v="GTX 1050 Ti"/>
    <x v="6"/>
    <x v="0"/>
  </r>
  <r>
    <n v="1283970"/>
    <s v="YoloMouse - Game Cursor Changer"/>
    <d v="2020-05-01T00:00:00"/>
    <n v="8493"/>
    <b v="0"/>
    <n v="108"/>
    <s v="Radeon Vega 11"/>
    <x v="0"/>
    <x v="1"/>
  </r>
  <r>
    <n v="1283970"/>
    <s v="YoloMouse - Game Cursor Changer"/>
    <d v="2020-05-01T00:00:00"/>
    <n v="8493"/>
    <b v="0"/>
    <n v="108"/>
    <s v="Radeon Vega 11"/>
    <x v="1"/>
    <x v="1"/>
  </r>
  <r>
    <n v="1283970"/>
    <s v="YoloMouse - Game Cursor Changer"/>
    <d v="2020-05-01T00:00:00"/>
    <n v="8493"/>
    <b v="0"/>
    <n v="108"/>
    <s v="Radeon Vega 11"/>
    <x v="2"/>
    <x v="1"/>
  </r>
  <r>
    <n v="1283970"/>
    <s v="YoloMouse - Game Cursor Changer"/>
    <d v="2020-05-01T00:00:00"/>
    <n v="8493"/>
    <b v="0"/>
    <n v="108"/>
    <s v="Radeon Vega 11"/>
    <x v="3"/>
    <x v="1"/>
  </r>
  <r>
    <n v="1283970"/>
    <s v="YoloMouse - Game Cursor Changer"/>
    <d v="2020-05-01T00:00:00"/>
    <n v="8493"/>
    <b v="0"/>
    <n v="108"/>
    <s v="Radeon Vega 11"/>
    <x v="4"/>
    <x v="1"/>
  </r>
  <r>
    <n v="1283970"/>
    <s v="YoloMouse - Game Cursor Changer"/>
    <d v="2020-05-01T00:00:00"/>
    <n v="8493"/>
    <b v="0"/>
    <n v="108"/>
    <s v="Radeon Vega 11"/>
    <x v="5"/>
    <x v="1"/>
  </r>
  <r>
    <n v="1283970"/>
    <s v="YoloMouse - Game Cursor Changer"/>
    <d v="2020-05-01T00:00:00"/>
    <n v="8493"/>
    <b v="0"/>
    <n v="108"/>
    <s v="Radeon Vega 11"/>
    <x v="6"/>
    <x v="1"/>
  </r>
  <r>
    <n v="761890"/>
    <s v="Albion Online"/>
    <d v="2018-05-16T00:00:00"/>
    <n v="8184"/>
    <b v="1"/>
    <n v="109"/>
    <s v="Radeon Vega 8"/>
    <x v="0"/>
    <x v="1"/>
  </r>
  <r>
    <n v="761890"/>
    <s v="Albion Online"/>
    <d v="2018-05-16T00:00:00"/>
    <n v="8184"/>
    <b v="1"/>
    <n v="109"/>
    <s v="Radeon Vega 8"/>
    <x v="1"/>
    <x v="1"/>
  </r>
  <r>
    <n v="761890"/>
    <s v="Albion Online"/>
    <d v="2018-05-16T00:00:00"/>
    <n v="8184"/>
    <b v="1"/>
    <n v="109"/>
    <s v="Radeon Vega 8"/>
    <x v="2"/>
    <x v="1"/>
  </r>
  <r>
    <n v="761890"/>
    <s v="Albion Online"/>
    <d v="2018-05-16T00:00:00"/>
    <n v="8184"/>
    <b v="1"/>
    <n v="109"/>
    <s v="Radeon Vega 8"/>
    <x v="3"/>
    <x v="1"/>
  </r>
  <r>
    <n v="761890"/>
    <s v="Albion Online"/>
    <d v="2018-05-16T00:00:00"/>
    <n v="8184"/>
    <b v="1"/>
    <n v="109"/>
    <s v="Radeon Vega 8"/>
    <x v="4"/>
    <x v="0"/>
  </r>
  <r>
    <n v="761890"/>
    <s v="Albion Online"/>
    <d v="2018-05-16T00:00:00"/>
    <n v="8184"/>
    <b v="1"/>
    <n v="109"/>
    <s v="Radeon Vega 8"/>
    <x v="5"/>
    <x v="1"/>
  </r>
  <r>
    <n v="761890"/>
    <s v="Albion Online"/>
    <d v="2018-05-16T00:00:00"/>
    <n v="8184"/>
    <b v="1"/>
    <n v="109"/>
    <s v="Radeon Vega 8"/>
    <x v="6"/>
    <x v="0"/>
  </r>
  <r>
    <n v="1466060"/>
    <s v="Tainted Grail: The Fall of Avalon"/>
    <d v="2025-05-23T00:00:00"/>
    <n v="8175"/>
    <b v="0"/>
    <n v="110"/>
    <s v="RTX 2070 SUPER"/>
    <x v="0"/>
    <x v="0"/>
  </r>
  <r>
    <n v="1466060"/>
    <s v="Tainted Grail: The Fall of Avalon"/>
    <d v="2025-05-23T00:00:00"/>
    <n v="8175"/>
    <b v="0"/>
    <n v="110"/>
    <s v="RTX 2070 SUPER"/>
    <x v="1"/>
    <x v="0"/>
  </r>
  <r>
    <n v="1466060"/>
    <s v="Tainted Grail: The Fall of Avalon"/>
    <d v="2025-05-23T00:00:00"/>
    <n v="8175"/>
    <b v="0"/>
    <n v="110"/>
    <s v="RTX 2070 SUPER"/>
    <x v="2"/>
    <x v="0"/>
  </r>
  <r>
    <n v="1466060"/>
    <s v="Tainted Grail: The Fall of Avalon"/>
    <d v="2025-05-23T00:00:00"/>
    <n v="8175"/>
    <b v="0"/>
    <n v="110"/>
    <s v="RTX 2070 SUPER"/>
    <x v="3"/>
    <x v="1"/>
  </r>
  <r>
    <n v="1466060"/>
    <s v="Tainted Grail: The Fall of Avalon"/>
    <d v="2025-05-23T00:00:00"/>
    <n v="8175"/>
    <b v="0"/>
    <n v="110"/>
    <s v="RTX 2070 SUPER"/>
    <x v="4"/>
    <x v="0"/>
  </r>
  <r>
    <n v="1466060"/>
    <s v="Tainted Grail: The Fall of Avalon"/>
    <d v="2025-05-23T00:00:00"/>
    <n v="8175"/>
    <b v="0"/>
    <n v="110"/>
    <s v="RTX 2070 SUPER"/>
    <x v="5"/>
    <x v="1"/>
  </r>
  <r>
    <n v="1466060"/>
    <s v="Tainted Grail: The Fall of Avalon"/>
    <d v="2025-05-23T00:00:00"/>
    <n v="8175"/>
    <b v="0"/>
    <n v="110"/>
    <s v="RTX 2070 SUPER"/>
    <x v="6"/>
    <x v="1"/>
  </r>
  <r>
    <n v="2104890"/>
    <s v="RoadCraft"/>
    <d v="2025-05-20T00:00:00"/>
    <n v="8156"/>
    <b v="0"/>
    <n v="111"/>
    <s v="RX 6600 XT"/>
    <x v="0"/>
    <x v="1"/>
  </r>
  <r>
    <n v="2104890"/>
    <s v="RoadCraft"/>
    <d v="2025-05-20T00:00:00"/>
    <n v="8156"/>
    <b v="0"/>
    <n v="111"/>
    <s v="RX 6600 XT"/>
    <x v="1"/>
    <x v="1"/>
  </r>
  <r>
    <n v="2104890"/>
    <s v="RoadCraft"/>
    <d v="2025-05-20T00:00:00"/>
    <n v="8156"/>
    <b v="0"/>
    <n v="111"/>
    <s v="RX 6600 XT"/>
    <x v="2"/>
    <x v="0"/>
  </r>
  <r>
    <n v="2104890"/>
    <s v="RoadCraft"/>
    <d v="2025-05-20T00:00:00"/>
    <n v="8156"/>
    <b v="0"/>
    <n v="111"/>
    <s v="RX 6600 XT"/>
    <x v="3"/>
    <x v="0"/>
  </r>
  <r>
    <n v="2104890"/>
    <s v="RoadCraft"/>
    <d v="2025-05-20T00:00:00"/>
    <n v="8156"/>
    <b v="0"/>
    <n v="111"/>
    <s v="RX 6600 XT"/>
    <x v="4"/>
    <x v="1"/>
  </r>
  <r>
    <n v="2104890"/>
    <s v="RoadCraft"/>
    <d v="2025-05-20T00:00:00"/>
    <n v="8156"/>
    <b v="0"/>
    <n v="111"/>
    <s v="RX 6600 XT"/>
    <x v="5"/>
    <x v="1"/>
  </r>
  <r>
    <n v="2104890"/>
    <s v="RoadCraft"/>
    <d v="2025-05-20T00:00:00"/>
    <n v="8156"/>
    <b v="0"/>
    <n v="111"/>
    <s v="RX 6600 XT"/>
    <x v="6"/>
    <x v="1"/>
  </r>
  <r>
    <n v="216150"/>
    <s v="MapleStory"/>
    <d v="2012-08-09T00:00:00"/>
    <n v="8092"/>
    <b v="0"/>
    <n v="112"/>
    <s v="R9 270"/>
    <x v="0"/>
    <x v="0"/>
  </r>
  <r>
    <n v="216150"/>
    <s v="MapleStory"/>
    <d v="2012-08-09T00:00:00"/>
    <n v="8092"/>
    <b v="0"/>
    <n v="112"/>
    <s v="R9 270"/>
    <x v="1"/>
    <x v="1"/>
  </r>
  <r>
    <n v="216150"/>
    <s v="MapleStory"/>
    <d v="2012-08-09T00:00:00"/>
    <n v="8092"/>
    <b v="0"/>
    <n v="112"/>
    <s v="R9 270"/>
    <x v="2"/>
    <x v="0"/>
  </r>
  <r>
    <n v="216150"/>
    <s v="MapleStory"/>
    <d v="2012-08-09T00:00:00"/>
    <n v="8092"/>
    <b v="0"/>
    <n v="112"/>
    <s v="R9 270"/>
    <x v="3"/>
    <x v="1"/>
  </r>
  <r>
    <n v="216150"/>
    <s v="MapleStory"/>
    <d v="2012-08-09T00:00:00"/>
    <n v="8092"/>
    <b v="0"/>
    <n v="112"/>
    <s v="R9 270"/>
    <x v="4"/>
    <x v="0"/>
  </r>
  <r>
    <n v="216150"/>
    <s v="MapleStory"/>
    <d v="2012-08-09T00:00:00"/>
    <n v="8092"/>
    <b v="0"/>
    <n v="112"/>
    <s v="R9 270"/>
    <x v="5"/>
    <x v="1"/>
  </r>
  <r>
    <n v="216150"/>
    <s v="MapleStory"/>
    <d v="2012-08-09T00:00:00"/>
    <n v="8092"/>
    <b v="0"/>
    <n v="112"/>
    <s v="R9 270"/>
    <x v="6"/>
    <x v="0"/>
  </r>
  <r>
    <n v="632360"/>
    <s v="Risk of Rain 2"/>
    <d v="2020-08-11T00:00:00"/>
    <n v="7902"/>
    <b v="0"/>
    <n v="113"/>
    <s v="GTX 1050 Ti"/>
    <x v="0"/>
    <x v="0"/>
  </r>
  <r>
    <n v="632360"/>
    <s v="Risk of Rain 2"/>
    <d v="2020-08-11T00:00:00"/>
    <n v="7902"/>
    <b v="0"/>
    <n v="113"/>
    <s v="GTX 1050 Ti"/>
    <x v="1"/>
    <x v="0"/>
  </r>
  <r>
    <n v="632360"/>
    <s v="Risk of Rain 2"/>
    <d v="2020-08-11T00:00:00"/>
    <n v="7902"/>
    <b v="0"/>
    <n v="113"/>
    <s v="GTX 1050 Ti"/>
    <x v="2"/>
    <x v="1"/>
  </r>
  <r>
    <n v="632360"/>
    <s v="Risk of Rain 2"/>
    <d v="2020-08-11T00:00:00"/>
    <n v="7902"/>
    <b v="0"/>
    <n v="113"/>
    <s v="GTX 1050 Ti"/>
    <x v="3"/>
    <x v="1"/>
  </r>
  <r>
    <n v="632360"/>
    <s v="Risk of Rain 2"/>
    <d v="2020-08-11T00:00:00"/>
    <n v="7902"/>
    <b v="0"/>
    <n v="113"/>
    <s v="GTX 1050 Ti"/>
    <x v="4"/>
    <x v="1"/>
  </r>
  <r>
    <n v="632360"/>
    <s v="Risk of Rain 2"/>
    <d v="2020-08-11T00:00:00"/>
    <n v="7902"/>
    <b v="0"/>
    <n v="113"/>
    <s v="GTX 1050 Ti"/>
    <x v="5"/>
    <x v="1"/>
  </r>
  <r>
    <n v="632360"/>
    <s v="Risk of Rain 2"/>
    <d v="2020-08-11T00:00:00"/>
    <n v="7902"/>
    <b v="0"/>
    <n v="113"/>
    <s v="GTX 1050 Ti"/>
    <x v="6"/>
    <x v="1"/>
  </r>
  <r>
    <n v="3117820"/>
    <s v="Sultan's Game"/>
    <d v="2025-03-30T00:00:00"/>
    <n v="7726"/>
    <b v="1"/>
    <n v="114"/>
    <s v="GTX 1070"/>
    <x v="0"/>
    <x v="1"/>
  </r>
  <r>
    <n v="3117820"/>
    <s v="Sultan's Game"/>
    <d v="2025-03-30T00:00:00"/>
    <n v="7726"/>
    <b v="1"/>
    <n v="114"/>
    <s v="GTX 1070"/>
    <x v="1"/>
    <x v="0"/>
  </r>
  <r>
    <n v="3117820"/>
    <s v="Sultan's Game"/>
    <d v="2025-03-30T00:00:00"/>
    <n v="7726"/>
    <b v="1"/>
    <n v="114"/>
    <s v="GTX 1070"/>
    <x v="2"/>
    <x v="0"/>
  </r>
  <r>
    <n v="3117820"/>
    <s v="Sultan's Game"/>
    <d v="2025-03-30T00:00:00"/>
    <n v="7726"/>
    <b v="1"/>
    <n v="114"/>
    <s v="GTX 1070"/>
    <x v="3"/>
    <x v="0"/>
  </r>
  <r>
    <n v="3117820"/>
    <s v="Sultan's Game"/>
    <d v="2025-03-30T00:00:00"/>
    <n v="7726"/>
    <b v="1"/>
    <n v="114"/>
    <s v="GTX 1070"/>
    <x v="4"/>
    <x v="0"/>
  </r>
  <r>
    <n v="3117820"/>
    <s v="Sultan's Game"/>
    <d v="2025-03-30T00:00:00"/>
    <n v="7726"/>
    <b v="1"/>
    <n v="114"/>
    <s v="GTX 1070"/>
    <x v="5"/>
    <x v="0"/>
  </r>
  <r>
    <n v="3117820"/>
    <s v="Sultan's Game"/>
    <d v="2025-03-30T00:00:00"/>
    <n v="7726"/>
    <b v="1"/>
    <n v="114"/>
    <s v="GTX 1070"/>
    <x v="6"/>
    <x v="1"/>
  </r>
  <r>
    <n v="457140"/>
    <s v="Oxygen Not Included"/>
    <d v="2019-07-30T00:00:00"/>
    <n v="7545"/>
    <b v="1"/>
    <n v="115"/>
    <s v="GTX 750"/>
    <x v="0"/>
    <x v="1"/>
  </r>
  <r>
    <n v="457140"/>
    <s v="Oxygen Not Included"/>
    <d v="2019-07-30T00:00:00"/>
    <n v="7545"/>
    <b v="1"/>
    <n v="115"/>
    <s v="GTX 750"/>
    <x v="1"/>
    <x v="0"/>
  </r>
  <r>
    <n v="457140"/>
    <s v="Oxygen Not Included"/>
    <d v="2019-07-30T00:00:00"/>
    <n v="7545"/>
    <b v="1"/>
    <n v="115"/>
    <s v="GTX 750"/>
    <x v="2"/>
    <x v="1"/>
  </r>
  <r>
    <n v="457140"/>
    <s v="Oxygen Not Included"/>
    <d v="2019-07-30T00:00:00"/>
    <n v="7545"/>
    <b v="1"/>
    <n v="115"/>
    <s v="GTX 750"/>
    <x v="3"/>
    <x v="0"/>
  </r>
  <r>
    <n v="457140"/>
    <s v="Oxygen Not Included"/>
    <d v="2019-07-30T00:00:00"/>
    <n v="7545"/>
    <b v="1"/>
    <n v="115"/>
    <s v="GTX 750"/>
    <x v="4"/>
    <x v="1"/>
  </r>
  <r>
    <n v="457140"/>
    <s v="Oxygen Not Included"/>
    <d v="2019-07-30T00:00:00"/>
    <n v="7545"/>
    <b v="1"/>
    <n v="115"/>
    <s v="GTX 750"/>
    <x v="5"/>
    <x v="1"/>
  </r>
  <r>
    <n v="457140"/>
    <s v="Oxygen Not Included"/>
    <d v="2019-07-30T00:00:00"/>
    <n v="7545"/>
    <b v="1"/>
    <n v="115"/>
    <s v="GTX 750"/>
    <x v="6"/>
    <x v="1"/>
  </r>
  <r>
    <n v="2479810"/>
    <s v="Gray Zone Warfare"/>
    <d v="2024-04-30T00:00:00"/>
    <n v="7543"/>
    <b v="0"/>
    <n v="116"/>
    <s v="RTX 2080 Ti"/>
    <x v="0"/>
    <x v="0"/>
  </r>
  <r>
    <n v="2479810"/>
    <s v="Gray Zone Warfare"/>
    <d v="2024-04-30T00:00:00"/>
    <n v="7543"/>
    <b v="0"/>
    <n v="116"/>
    <s v="RTX 2080 Ti"/>
    <x v="1"/>
    <x v="1"/>
  </r>
  <r>
    <n v="2479810"/>
    <s v="Gray Zone Warfare"/>
    <d v="2024-04-30T00:00:00"/>
    <n v="7543"/>
    <b v="0"/>
    <n v="116"/>
    <s v="RTX 2080 Ti"/>
    <x v="2"/>
    <x v="1"/>
  </r>
  <r>
    <n v="2479810"/>
    <s v="Gray Zone Warfare"/>
    <d v="2024-04-30T00:00:00"/>
    <n v="7543"/>
    <b v="0"/>
    <n v="116"/>
    <s v="RTX 2080 Ti"/>
    <x v="3"/>
    <x v="0"/>
  </r>
  <r>
    <n v="2479810"/>
    <s v="Gray Zone Warfare"/>
    <d v="2024-04-30T00:00:00"/>
    <n v="7543"/>
    <b v="0"/>
    <n v="116"/>
    <s v="RTX 2080 Ti"/>
    <x v="4"/>
    <x v="1"/>
  </r>
  <r>
    <n v="2479810"/>
    <s v="Gray Zone Warfare"/>
    <d v="2024-04-30T00:00:00"/>
    <n v="7543"/>
    <b v="0"/>
    <n v="116"/>
    <s v="RTX 2080 Ti"/>
    <x v="5"/>
    <x v="1"/>
  </r>
  <r>
    <n v="2479810"/>
    <s v="Gray Zone Warfare"/>
    <d v="2024-04-30T00:00:00"/>
    <n v="7543"/>
    <b v="0"/>
    <n v="116"/>
    <s v="RTX 2080 Ti"/>
    <x v="6"/>
    <x v="1"/>
  </r>
  <r>
    <n v="960090"/>
    <s v="Bloons TD 6"/>
    <d v="2018-12-17T00:00:00"/>
    <n v="7489"/>
    <b v="1"/>
    <n v="117"/>
    <s v="Radeon Vega 8"/>
    <x v="0"/>
    <x v="1"/>
  </r>
  <r>
    <n v="960090"/>
    <s v="Bloons TD 6"/>
    <d v="2018-12-17T00:00:00"/>
    <n v="7489"/>
    <b v="1"/>
    <n v="117"/>
    <s v="Radeon Vega 8"/>
    <x v="1"/>
    <x v="1"/>
  </r>
  <r>
    <n v="960090"/>
    <s v="Bloons TD 6"/>
    <d v="2018-12-17T00:00:00"/>
    <n v="7489"/>
    <b v="1"/>
    <n v="117"/>
    <s v="Radeon Vega 8"/>
    <x v="2"/>
    <x v="1"/>
  </r>
  <r>
    <n v="960090"/>
    <s v="Bloons TD 6"/>
    <d v="2018-12-17T00:00:00"/>
    <n v="7489"/>
    <b v="1"/>
    <n v="117"/>
    <s v="Radeon Vega 8"/>
    <x v="3"/>
    <x v="1"/>
  </r>
  <r>
    <n v="960090"/>
    <s v="Bloons TD 6"/>
    <d v="2018-12-17T00:00:00"/>
    <n v="7489"/>
    <b v="1"/>
    <n v="117"/>
    <s v="Radeon Vega 8"/>
    <x v="4"/>
    <x v="1"/>
  </r>
  <r>
    <n v="960090"/>
    <s v="Bloons TD 6"/>
    <d v="2018-12-17T00:00:00"/>
    <n v="7489"/>
    <b v="1"/>
    <n v="117"/>
    <s v="Radeon Vega 8"/>
    <x v="5"/>
    <x v="0"/>
  </r>
  <r>
    <n v="960090"/>
    <s v="Bloons TD 6"/>
    <d v="2018-12-17T00:00:00"/>
    <n v="7489"/>
    <b v="1"/>
    <n v="117"/>
    <s v="Radeon Vega 8"/>
    <x v="6"/>
    <x v="1"/>
  </r>
  <r>
    <n v="1284190"/>
    <s v="The Planet Crafter"/>
    <d v="2024-04-10T00:00:00"/>
    <n v="7330"/>
    <b v="0"/>
    <n v="118"/>
    <s v="GTX 1660"/>
    <x v="0"/>
    <x v="1"/>
  </r>
  <r>
    <n v="1284190"/>
    <s v="The Planet Crafter"/>
    <d v="2024-04-10T00:00:00"/>
    <n v="7330"/>
    <b v="0"/>
    <n v="118"/>
    <s v="GTX 1660"/>
    <x v="1"/>
    <x v="1"/>
  </r>
  <r>
    <n v="1284190"/>
    <s v="The Planet Crafter"/>
    <d v="2024-04-10T00:00:00"/>
    <n v="7330"/>
    <b v="0"/>
    <n v="118"/>
    <s v="GTX 1660"/>
    <x v="2"/>
    <x v="0"/>
  </r>
  <r>
    <n v="1284190"/>
    <s v="The Planet Crafter"/>
    <d v="2024-04-10T00:00:00"/>
    <n v="7330"/>
    <b v="0"/>
    <n v="118"/>
    <s v="GTX 1660"/>
    <x v="3"/>
    <x v="1"/>
  </r>
  <r>
    <n v="1284190"/>
    <s v="The Planet Crafter"/>
    <d v="2024-04-10T00:00:00"/>
    <n v="7330"/>
    <b v="0"/>
    <n v="118"/>
    <s v="GTX 1660"/>
    <x v="4"/>
    <x v="1"/>
  </r>
  <r>
    <n v="1284190"/>
    <s v="The Planet Crafter"/>
    <d v="2024-04-10T00:00:00"/>
    <n v="7330"/>
    <b v="0"/>
    <n v="118"/>
    <s v="GTX 1660"/>
    <x v="5"/>
    <x v="1"/>
  </r>
  <r>
    <n v="1284190"/>
    <s v="The Planet Crafter"/>
    <d v="2024-04-10T00:00:00"/>
    <n v="7330"/>
    <b v="0"/>
    <n v="118"/>
    <s v="GTX 1660"/>
    <x v="6"/>
    <x v="1"/>
  </r>
  <r>
    <n v="10"/>
    <s v="Counter-Strike"/>
    <d v="2000-11-01T00:00:00"/>
    <n v="7323"/>
    <b v="1"/>
    <n v="119"/>
    <s v="Intel HD Graphics"/>
    <x v="0"/>
    <x v="0"/>
  </r>
  <r>
    <n v="10"/>
    <s v="Counter-Strike"/>
    <d v="2000-11-01T00:00:00"/>
    <n v="7323"/>
    <b v="1"/>
    <n v="119"/>
    <s v="Intel HD Graphics"/>
    <x v="1"/>
    <x v="1"/>
  </r>
  <r>
    <n v="10"/>
    <s v="Counter-Strike"/>
    <d v="2000-11-01T00:00:00"/>
    <n v="7323"/>
    <b v="1"/>
    <n v="119"/>
    <s v="Intel HD Graphics"/>
    <x v="2"/>
    <x v="1"/>
  </r>
  <r>
    <n v="10"/>
    <s v="Counter-Strike"/>
    <d v="2000-11-01T00:00:00"/>
    <n v="7323"/>
    <b v="1"/>
    <n v="119"/>
    <s v="Intel HD Graphics"/>
    <x v="3"/>
    <x v="1"/>
  </r>
  <r>
    <n v="10"/>
    <s v="Counter-Strike"/>
    <d v="2000-11-01T00:00:00"/>
    <n v="7323"/>
    <b v="1"/>
    <n v="119"/>
    <s v="Intel HD Graphics"/>
    <x v="4"/>
    <x v="1"/>
  </r>
  <r>
    <n v="10"/>
    <s v="Counter-Strike"/>
    <d v="2000-11-01T00:00:00"/>
    <n v="7323"/>
    <b v="1"/>
    <n v="119"/>
    <s v="Intel HD Graphics"/>
    <x v="5"/>
    <x v="1"/>
  </r>
  <r>
    <n v="10"/>
    <s v="Counter-Strike"/>
    <d v="2000-11-01T00:00:00"/>
    <n v="7323"/>
    <b v="1"/>
    <n v="119"/>
    <s v="Intel HD Graphics"/>
    <x v="6"/>
    <x v="1"/>
  </r>
  <r>
    <n v="1361210"/>
    <s v="Warhammer 40,000: Darktide"/>
    <d v="2022-11-30T00:00:00"/>
    <n v="7267"/>
    <b v="0"/>
    <n v="120"/>
    <s v="RTX 3060"/>
    <x v="0"/>
    <x v="0"/>
  </r>
  <r>
    <n v="1361210"/>
    <s v="Warhammer 40,000: Darktide"/>
    <d v="2022-11-30T00:00:00"/>
    <n v="7267"/>
    <b v="0"/>
    <n v="120"/>
    <s v="RTX 3060"/>
    <x v="1"/>
    <x v="1"/>
  </r>
  <r>
    <n v="1361210"/>
    <s v="Warhammer 40,000: Darktide"/>
    <d v="2022-11-30T00:00:00"/>
    <n v="7267"/>
    <b v="0"/>
    <n v="120"/>
    <s v="RTX 3060"/>
    <x v="2"/>
    <x v="0"/>
  </r>
  <r>
    <n v="1361210"/>
    <s v="Warhammer 40,000: Darktide"/>
    <d v="2022-11-30T00:00:00"/>
    <n v="7267"/>
    <b v="0"/>
    <n v="120"/>
    <s v="RTX 3060"/>
    <x v="3"/>
    <x v="1"/>
  </r>
  <r>
    <n v="1361210"/>
    <s v="Warhammer 40,000: Darktide"/>
    <d v="2022-11-30T00:00:00"/>
    <n v="7267"/>
    <b v="0"/>
    <n v="120"/>
    <s v="RTX 3060"/>
    <x v="4"/>
    <x v="0"/>
  </r>
  <r>
    <n v="1361210"/>
    <s v="Warhammer 40,000: Darktide"/>
    <d v="2022-11-30T00:00:00"/>
    <n v="7267"/>
    <b v="0"/>
    <n v="120"/>
    <s v="RTX 3060"/>
    <x v="5"/>
    <x v="1"/>
  </r>
  <r>
    <n v="1361210"/>
    <s v="Warhammer 40,000: Darktide"/>
    <d v="2022-11-30T00:00:00"/>
    <n v="7267"/>
    <b v="0"/>
    <n v="120"/>
    <s v="RTX 3060"/>
    <x v="6"/>
    <x v="1"/>
  </r>
  <r>
    <n v="107410"/>
    <s v="Arma 3"/>
    <d v="2013-09-12T00:00:00"/>
    <n v="7181"/>
    <b v="1"/>
    <n v="121"/>
    <s v="GTX 780 Ti"/>
    <x v="0"/>
    <x v="0"/>
  </r>
  <r>
    <n v="107410"/>
    <s v="Arma 3"/>
    <d v="2013-09-12T00:00:00"/>
    <n v="7181"/>
    <b v="1"/>
    <n v="121"/>
    <s v="GTX 780 Ti"/>
    <x v="1"/>
    <x v="1"/>
  </r>
  <r>
    <n v="107410"/>
    <s v="Arma 3"/>
    <d v="2013-09-12T00:00:00"/>
    <n v="7181"/>
    <b v="1"/>
    <n v="121"/>
    <s v="GTX 780 Ti"/>
    <x v="2"/>
    <x v="1"/>
  </r>
  <r>
    <n v="107410"/>
    <s v="Arma 3"/>
    <d v="2013-09-12T00:00:00"/>
    <n v="7181"/>
    <b v="1"/>
    <n v="121"/>
    <s v="GTX 780 Ti"/>
    <x v="3"/>
    <x v="0"/>
  </r>
  <r>
    <n v="107410"/>
    <s v="Arma 3"/>
    <d v="2013-09-12T00:00:00"/>
    <n v="7181"/>
    <b v="1"/>
    <n v="121"/>
    <s v="GTX 780 Ti"/>
    <x v="4"/>
    <x v="1"/>
  </r>
  <r>
    <n v="107410"/>
    <s v="Arma 3"/>
    <d v="2013-09-12T00:00:00"/>
    <n v="7181"/>
    <b v="1"/>
    <n v="121"/>
    <s v="GTX 780 Ti"/>
    <x v="5"/>
    <x v="0"/>
  </r>
  <r>
    <n v="107410"/>
    <s v="Arma 3"/>
    <d v="2013-09-12T00:00:00"/>
    <n v="7181"/>
    <b v="1"/>
    <n v="121"/>
    <s v="GTX 780 Ti"/>
    <x v="6"/>
    <x v="1"/>
  </r>
  <r>
    <n v="1466860"/>
    <s v="Age of Empires IV: Anniversary Edition"/>
    <d v="2021-10-28T00:00:00"/>
    <n v="7084"/>
    <b v="0"/>
    <n v="122"/>
    <s v="RX 570"/>
    <x v="0"/>
    <x v="1"/>
  </r>
  <r>
    <n v="1466860"/>
    <s v="Age of Empires IV: Anniversary Edition"/>
    <d v="2021-10-28T00:00:00"/>
    <n v="7084"/>
    <b v="0"/>
    <n v="122"/>
    <s v="RX 570"/>
    <x v="1"/>
    <x v="1"/>
  </r>
  <r>
    <n v="1466860"/>
    <s v="Age of Empires IV: Anniversary Edition"/>
    <d v="2021-10-28T00:00:00"/>
    <n v="7084"/>
    <b v="0"/>
    <n v="122"/>
    <s v="RX 570"/>
    <x v="2"/>
    <x v="1"/>
  </r>
  <r>
    <n v="1466860"/>
    <s v="Age of Empires IV: Anniversary Edition"/>
    <d v="2021-10-28T00:00:00"/>
    <n v="7084"/>
    <b v="0"/>
    <n v="122"/>
    <s v="RX 570"/>
    <x v="3"/>
    <x v="1"/>
  </r>
  <r>
    <n v="1466860"/>
    <s v="Age of Empires IV: Anniversary Edition"/>
    <d v="2021-10-28T00:00:00"/>
    <n v="7084"/>
    <b v="0"/>
    <n v="122"/>
    <s v="RX 570"/>
    <x v="4"/>
    <x v="1"/>
  </r>
  <r>
    <n v="1466860"/>
    <s v="Age of Empires IV: Anniversary Edition"/>
    <d v="2021-10-28T00:00:00"/>
    <n v="7084"/>
    <b v="0"/>
    <n v="122"/>
    <s v="RX 570"/>
    <x v="5"/>
    <x v="0"/>
  </r>
  <r>
    <n v="1466860"/>
    <s v="Age of Empires IV: Anniversary Edition"/>
    <d v="2021-10-28T00:00:00"/>
    <n v="7084"/>
    <b v="0"/>
    <n v="122"/>
    <s v="RX 570"/>
    <x v="6"/>
    <x v="1"/>
  </r>
  <r>
    <n v="1771300"/>
    <s v="Kingdom Come: Deliverance II"/>
    <d v="2025-02-04T00:00:00"/>
    <n v="7073"/>
    <b v="0"/>
    <n v="123"/>
    <s v="RTX 4070"/>
    <x v="0"/>
    <x v="0"/>
  </r>
  <r>
    <n v="1771300"/>
    <s v="Kingdom Come: Deliverance II"/>
    <d v="2025-02-04T00:00:00"/>
    <n v="7073"/>
    <b v="0"/>
    <n v="123"/>
    <s v="RTX 4070"/>
    <x v="1"/>
    <x v="1"/>
  </r>
  <r>
    <n v="1771300"/>
    <s v="Kingdom Come: Deliverance II"/>
    <d v="2025-02-04T00:00:00"/>
    <n v="7073"/>
    <b v="0"/>
    <n v="123"/>
    <s v="RTX 4070"/>
    <x v="2"/>
    <x v="0"/>
  </r>
  <r>
    <n v="1771300"/>
    <s v="Kingdom Come: Deliverance II"/>
    <d v="2025-02-04T00:00:00"/>
    <n v="7073"/>
    <b v="0"/>
    <n v="123"/>
    <s v="RTX 4070"/>
    <x v="3"/>
    <x v="1"/>
  </r>
  <r>
    <n v="1771300"/>
    <s v="Kingdom Come: Deliverance II"/>
    <d v="2025-02-04T00:00:00"/>
    <n v="7073"/>
    <b v="0"/>
    <n v="123"/>
    <s v="RTX 4070"/>
    <x v="4"/>
    <x v="0"/>
  </r>
  <r>
    <n v="1771300"/>
    <s v="Kingdom Come: Deliverance II"/>
    <d v="2025-02-04T00:00:00"/>
    <n v="7073"/>
    <b v="0"/>
    <n v="123"/>
    <s v="RTX 4070"/>
    <x v="5"/>
    <x v="1"/>
  </r>
  <r>
    <n v="1771300"/>
    <s v="Kingdom Come: Deliverance II"/>
    <d v="2025-02-04T00:00:00"/>
    <n v="7073"/>
    <b v="0"/>
    <n v="123"/>
    <s v="RTX 4070"/>
    <x v="6"/>
    <x v="1"/>
  </r>
  <r>
    <n v="2784470"/>
    <s v="9 Kings"/>
    <d v="2025-05-23T00:00:00"/>
    <n v="6920"/>
    <b v="1"/>
    <n v="124"/>
    <s v="Radeon Vega 8"/>
    <x v="0"/>
    <x v="1"/>
  </r>
  <r>
    <n v="2784470"/>
    <s v="9 Kings"/>
    <d v="2025-05-23T00:00:00"/>
    <n v="6920"/>
    <b v="1"/>
    <n v="124"/>
    <s v="Radeon Vega 8"/>
    <x v="1"/>
    <x v="1"/>
  </r>
  <r>
    <n v="2784470"/>
    <s v="9 Kings"/>
    <d v="2025-05-23T00:00:00"/>
    <n v="6920"/>
    <b v="1"/>
    <n v="124"/>
    <s v="Radeon Vega 8"/>
    <x v="2"/>
    <x v="1"/>
  </r>
  <r>
    <n v="2784470"/>
    <s v="9 Kings"/>
    <d v="2025-05-23T00:00:00"/>
    <n v="6920"/>
    <b v="1"/>
    <n v="124"/>
    <s v="Radeon Vega 8"/>
    <x v="3"/>
    <x v="1"/>
  </r>
  <r>
    <n v="2784470"/>
    <s v="9 Kings"/>
    <d v="2025-05-23T00:00:00"/>
    <n v="6920"/>
    <b v="1"/>
    <n v="124"/>
    <s v="Radeon Vega 8"/>
    <x v="4"/>
    <x v="0"/>
  </r>
  <r>
    <n v="2784470"/>
    <s v="9 Kings"/>
    <d v="2025-05-23T00:00:00"/>
    <n v="6920"/>
    <b v="1"/>
    <n v="124"/>
    <s v="Radeon Vega 8"/>
    <x v="5"/>
    <x v="0"/>
  </r>
  <r>
    <n v="2784470"/>
    <s v="9 Kings"/>
    <d v="2025-05-23T00:00:00"/>
    <n v="6920"/>
    <b v="1"/>
    <n v="124"/>
    <s v="Radeon Vega 8"/>
    <x v="6"/>
    <x v="1"/>
  </r>
  <r>
    <n v="2183900"/>
    <s v="Warhammer 40,000: Space Marine 2"/>
    <d v="2024-09-09T00:00:00"/>
    <n v="6851"/>
    <b v="0"/>
    <n v="125"/>
    <s v="RX 6800 XT"/>
    <x v="0"/>
    <x v="0"/>
  </r>
  <r>
    <n v="2183900"/>
    <s v="Warhammer 40,000: Space Marine 2"/>
    <d v="2024-09-09T00:00:00"/>
    <n v="6851"/>
    <b v="0"/>
    <n v="125"/>
    <s v="RX 6800 XT"/>
    <x v="1"/>
    <x v="1"/>
  </r>
  <r>
    <n v="2183900"/>
    <s v="Warhammer 40,000: Space Marine 2"/>
    <d v="2024-09-09T00:00:00"/>
    <n v="6851"/>
    <b v="0"/>
    <n v="125"/>
    <s v="RX 6800 XT"/>
    <x v="2"/>
    <x v="0"/>
  </r>
  <r>
    <n v="2183900"/>
    <s v="Warhammer 40,000: Space Marine 2"/>
    <d v="2024-09-09T00:00:00"/>
    <n v="6851"/>
    <b v="0"/>
    <n v="125"/>
    <s v="RX 6800 XT"/>
    <x v="3"/>
    <x v="1"/>
  </r>
  <r>
    <n v="2183900"/>
    <s v="Warhammer 40,000: Space Marine 2"/>
    <d v="2024-09-09T00:00:00"/>
    <n v="6851"/>
    <b v="0"/>
    <n v="125"/>
    <s v="RX 6800 XT"/>
    <x v="4"/>
    <x v="0"/>
  </r>
  <r>
    <n v="2183900"/>
    <s v="Warhammer 40,000: Space Marine 2"/>
    <d v="2024-09-09T00:00:00"/>
    <n v="6851"/>
    <b v="0"/>
    <n v="125"/>
    <s v="RX 6800 XT"/>
    <x v="5"/>
    <x v="1"/>
  </r>
  <r>
    <n v="2183900"/>
    <s v="Warhammer 40,000: Space Marine 2"/>
    <d v="2024-09-09T00:00:00"/>
    <n v="6851"/>
    <b v="0"/>
    <n v="125"/>
    <s v="RX 6800 XT"/>
    <x v="6"/>
    <x v="1"/>
  </r>
  <r>
    <n v="814380"/>
    <s v="Sekiro: Shadows Die Twice - GOTY Edition"/>
    <d v="2019-03-21T00:00:00"/>
    <n v="6767"/>
    <b v="0"/>
    <n v="126"/>
    <s v="GTX 970"/>
    <x v="0"/>
    <x v="0"/>
  </r>
  <r>
    <n v="814380"/>
    <s v="Sekiro: Shadows Die Twice - GOTY Edition"/>
    <d v="2019-03-21T00:00:00"/>
    <n v="6767"/>
    <b v="0"/>
    <n v="126"/>
    <s v="GTX 970"/>
    <x v="1"/>
    <x v="1"/>
  </r>
  <r>
    <n v="814380"/>
    <s v="Sekiro: Shadows Die Twice - GOTY Edition"/>
    <d v="2019-03-21T00:00:00"/>
    <n v="6767"/>
    <b v="0"/>
    <n v="126"/>
    <s v="GTX 970"/>
    <x v="2"/>
    <x v="0"/>
  </r>
  <r>
    <n v="814380"/>
    <s v="Sekiro: Shadows Die Twice - GOTY Edition"/>
    <d v="2019-03-21T00:00:00"/>
    <n v="6767"/>
    <b v="0"/>
    <n v="126"/>
    <s v="GTX 970"/>
    <x v="3"/>
    <x v="1"/>
  </r>
  <r>
    <n v="814380"/>
    <s v="Sekiro: Shadows Die Twice - GOTY Edition"/>
    <d v="2019-03-21T00:00:00"/>
    <n v="6767"/>
    <b v="0"/>
    <n v="126"/>
    <s v="GTX 970"/>
    <x v="4"/>
    <x v="1"/>
  </r>
  <r>
    <n v="814380"/>
    <s v="Sekiro: Shadows Die Twice - GOTY Edition"/>
    <d v="2019-03-21T00:00:00"/>
    <n v="6767"/>
    <b v="0"/>
    <n v="126"/>
    <s v="GTX 970"/>
    <x v="5"/>
    <x v="1"/>
  </r>
  <r>
    <n v="814380"/>
    <s v="Sekiro: Shadows Die Twice - GOTY Edition"/>
    <d v="2019-03-21T00:00:00"/>
    <n v="6767"/>
    <b v="0"/>
    <n v="126"/>
    <s v="GTX 970"/>
    <x v="6"/>
    <x v="1"/>
  </r>
  <r>
    <n v="270880"/>
    <s v="American Truck Simulator"/>
    <d v="2016-02-02T00:00:00"/>
    <n v="6742"/>
    <b v="1"/>
    <n v="127"/>
    <s v="GTX 980 Ti"/>
    <x v="0"/>
    <x v="1"/>
  </r>
  <r>
    <n v="270880"/>
    <s v="American Truck Simulator"/>
    <d v="2016-02-02T00:00:00"/>
    <n v="6742"/>
    <b v="1"/>
    <n v="127"/>
    <s v="GTX 980 Ti"/>
    <x v="1"/>
    <x v="0"/>
  </r>
  <r>
    <n v="270880"/>
    <s v="American Truck Simulator"/>
    <d v="2016-02-02T00:00:00"/>
    <n v="6742"/>
    <b v="1"/>
    <n v="127"/>
    <s v="GTX 980 Ti"/>
    <x v="2"/>
    <x v="1"/>
  </r>
  <r>
    <n v="270880"/>
    <s v="American Truck Simulator"/>
    <d v="2016-02-02T00:00:00"/>
    <n v="6742"/>
    <b v="1"/>
    <n v="127"/>
    <s v="GTX 980 Ti"/>
    <x v="3"/>
    <x v="0"/>
  </r>
  <r>
    <n v="270880"/>
    <s v="American Truck Simulator"/>
    <d v="2016-02-02T00:00:00"/>
    <n v="6742"/>
    <b v="1"/>
    <n v="127"/>
    <s v="GTX 980 Ti"/>
    <x v="4"/>
    <x v="1"/>
  </r>
  <r>
    <n v="270880"/>
    <s v="American Truck Simulator"/>
    <d v="2016-02-02T00:00:00"/>
    <n v="6742"/>
    <b v="1"/>
    <n v="127"/>
    <s v="GTX 980 Ti"/>
    <x v="5"/>
    <x v="1"/>
  </r>
  <r>
    <n v="270880"/>
    <s v="American Truck Simulator"/>
    <d v="2016-02-02T00:00:00"/>
    <n v="6742"/>
    <b v="1"/>
    <n v="127"/>
    <s v="GTX 980 Ti"/>
    <x v="6"/>
    <x v="1"/>
  </r>
  <r>
    <n v="1286830"/>
    <s v="STAR WARS: The Old Republic"/>
    <d v="2020-07-21T00:00:00"/>
    <n v="6625"/>
    <b v="0"/>
    <n v="128"/>
    <s v="GTX 1650"/>
    <x v="0"/>
    <x v="1"/>
  </r>
  <r>
    <n v="1286830"/>
    <s v="STAR WARS: The Old Republic"/>
    <d v="2020-07-21T00:00:00"/>
    <n v="6625"/>
    <b v="0"/>
    <n v="128"/>
    <s v="GTX 1650"/>
    <x v="1"/>
    <x v="1"/>
  </r>
  <r>
    <n v="1286830"/>
    <s v="STAR WARS: The Old Republic"/>
    <d v="2020-07-21T00:00:00"/>
    <n v="6625"/>
    <b v="0"/>
    <n v="128"/>
    <s v="GTX 1650"/>
    <x v="2"/>
    <x v="1"/>
  </r>
  <r>
    <n v="1286830"/>
    <s v="STAR WARS: The Old Republic"/>
    <d v="2020-07-21T00:00:00"/>
    <n v="6625"/>
    <b v="0"/>
    <n v="128"/>
    <s v="GTX 1650"/>
    <x v="3"/>
    <x v="1"/>
  </r>
  <r>
    <n v="1286830"/>
    <s v="STAR WARS: The Old Republic"/>
    <d v="2020-07-21T00:00:00"/>
    <n v="6625"/>
    <b v="0"/>
    <n v="128"/>
    <s v="GTX 1650"/>
    <x v="4"/>
    <x v="0"/>
  </r>
  <r>
    <n v="1286830"/>
    <s v="STAR WARS: The Old Republic"/>
    <d v="2020-07-21T00:00:00"/>
    <n v="6625"/>
    <b v="0"/>
    <n v="128"/>
    <s v="GTX 1650"/>
    <x v="5"/>
    <x v="1"/>
  </r>
  <r>
    <n v="1286830"/>
    <s v="STAR WARS: The Old Republic"/>
    <d v="2020-07-21T00:00:00"/>
    <n v="6625"/>
    <b v="0"/>
    <n v="128"/>
    <s v="GTX 1650"/>
    <x v="6"/>
    <x v="0"/>
  </r>
  <r>
    <n v="2742830"/>
    <s v="Monster Train 2"/>
    <d v="2025-05-21T00:00:00"/>
    <n v="6617"/>
    <b v="1"/>
    <n v="129"/>
    <s v="GTX 1080"/>
    <x v="0"/>
    <x v="1"/>
  </r>
  <r>
    <n v="2742830"/>
    <s v="Monster Train 2"/>
    <d v="2025-05-21T00:00:00"/>
    <n v="6617"/>
    <b v="1"/>
    <n v="129"/>
    <s v="GTX 1080"/>
    <x v="1"/>
    <x v="0"/>
  </r>
  <r>
    <n v="2742830"/>
    <s v="Monster Train 2"/>
    <d v="2025-05-21T00:00:00"/>
    <n v="6617"/>
    <b v="1"/>
    <n v="129"/>
    <s v="GTX 1080"/>
    <x v="2"/>
    <x v="1"/>
  </r>
  <r>
    <n v="2742830"/>
    <s v="Monster Train 2"/>
    <d v="2025-05-21T00:00:00"/>
    <n v="6617"/>
    <b v="1"/>
    <n v="129"/>
    <s v="GTX 1080"/>
    <x v="3"/>
    <x v="1"/>
  </r>
  <r>
    <n v="2742830"/>
    <s v="Monster Train 2"/>
    <d v="2025-05-21T00:00:00"/>
    <n v="6617"/>
    <b v="1"/>
    <n v="129"/>
    <s v="GTX 1080"/>
    <x v="4"/>
    <x v="1"/>
  </r>
  <r>
    <n v="2742830"/>
    <s v="Monster Train 2"/>
    <d v="2025-05-21T00:00:00"/>
    <n v="6617"/>
    <b v="1"/>
    <n v="129"/>
    <s v="GTX 1080"/>
    <x v="5"/>
    <x v="0"/>
  </r>
  <r>
    <n v="2742830"/>
    <s v="Monster Train 2"/>
    <d v="2025-05-21T00:00:00"/>
    <n v="6617"/>
    <b v="1"/>
    <n v="129"/>
    <s v="GTX 1080"/>
    <x v="6"/>
    <x v="1"/>
  </r>
  <r>
    <n v="1942280"/>
    <s v="Brotato"/>
    <d v="2023-06-23T00:00:00"/>
    <n v="6389"/>
    <b v="1"/>
    <n v="130"/>
    <s v="Radeon Vega 11"/>
    <x v="0"/>
    <x v="0"/>
  </r>
  <r>
    <n v="1942280"/>
    <s v="Brotato"/>
    <d v="2023-06-23T00:00:00"/>
    <n v="6389"/>
    <b v="1"/>
    <n v="130"/>
    <s v="Radeon Vega 11"/>
    <x v="1"/>
    <x v="0"/>
  </r>
  <r>
    <n v="1942280"/>
    <s v="Brotato"/>
    <d v="2023-06-23T00:00:00"/>
    <n v="6389"/>
    <b v="1"/>
    <n v="130"/>
    <s v="Radeon Vega 11"/>
    <x v="2"/>
    <x v="1"/>
  </r>
  <r>
    <n v="1942280"/>
    <s v="Brotato"/>
    <d v="2023-06-23T00:00:00"/>
    <n v="6389"/>
    <b v="1"/>
    <n v="130"/>
    <s v="Radeon Vega 11"/>
    <x v="3"/>
    <x v="1"/>
  </r>
  <r>
    <n v="1942280"/>
    <s v="Brotato"/>
    <d v="2023-06-23T00:00:00"/>
    <n v="6389"/>
    <b v="1"/>
    <n v="130"/>
    <s v="Radeon Vega 11"/>
    <x v="4"/>
    <x v="0"/>
  </r>
  <r>
    <n v="1942280"/>
    <s v="Brotato"/>
    <d v="2023-06-23T00:00:00"/>
    <n v="6389"/>
    <b v="1"/>
    <n v="130"/>
    <s v="Radeon Vega 11"/>
    <x v="5"/>
    <x v="1"/>
  </r>
  <r>
    <n v="1942280"/>
    <s v="Brotato"/>
    <d v="2023-06-23T00:00:00"/>
    <n v="6389"/>
    <b v="1"/>
    <n v="130"/>
    <s v="Radeon Vega 11"/>
    <x v="6"/>
    <x v="1"/>
  </r>
  <r>
    <n v="1238810"/>
    <s v="Battlefield V"/>
    <d v="2020-10-22T00:00:00"/>
    <n v="6327"/>
    <b v="0"/>
    <n v="131"/>
    <s v="GTX 1060"/>
    <x v="0"/>
    <x v="0"/>
  </r>
  <r>
    <n v="1238810"/>
    <s v="Battlefield V"/>
    <d v="2020-10-22T00:00:00"/>
    <n v="6327"/>
    <b v="0"/>
    <n v="131"/>
    <s v="GTX 1060"/>
    <x v="1"/>
    <x v="1"/>
  </r>
  <r>
    <n v="1238810"/>
    <s v="Battlefield V"/>
    <d v="2020-10-22T00:00:00"/>
    <n v="6327"/>
    <b v="0"/>
    <n v="131"/>
    <s v="GTX 1060"/>
    <x v="2"/>
    <x v="1"/>
  </r>
  <r>
    <n v="1238810"/>
    <s v="Battlefield V"/>
    <d v="2020-10-22T00:00:00"/>
    <n v="6327"/>
    <b v="0"/>
    <n v="131"/>
    <s v="GTX 1060"/>
    <x v="3"/>
    <x v="1"/>
  </r>
  <r>
    <n v="1238810"/>
    <s v="Battlefield V"/>
    <d v="2020-10-22T00:00:00"/>
    <n v="6327"/>
    <b v="0"/>
    <n v="131"/>
    <s v="GTX 1060"/>
    <x v="4"/>
    <x v="1"/>
  </r>
  <r>
    <n v="1238810"/>
    <s v="Battlefield V"/>
    <d v="2020-10-22T00:00:00"/>
    <n v="6327"/>
    <b v="0"/>
    <n v="131"/>
    <s v="GTX 1060"/>
    <x v="5"/>
    <x v="1"/>
  </r>
  <r>
    <n v="1238810"/>
    <s v="Battlefield V"/>
    <d v="2020-10-22T00:00:00"/>
    <n v="6327"/>
    <b v="0"/>
    <n v="131"/>
    <s v="GTX 1060"/>
    <x v="6"/>
    <x v="1"/>
  </r>
  <r>
    <n v="1238840"/>
    <s v="Battlefield 1"/>
    <d v="2020-06-11T00:00:00"/>
    <n v="6308"/>
    <b v="0"/>
    <n v="132"/>
    <s v="RX 480"/>
    <x v="0"/>
    <x v="0"/>
  </r>
  <r>
    <n v="1238840"/>
    <s v="Battlefield 1"/>
    <d v="2020-06-11T00:00:00"/>
    <n v="6308"/>
    <b v="0"/>
    <n v="132"/>
    <s v="RX 480"/>
    <x v="1"/>
    <x v="1"/>
  </r>
  <r>
    <n v="1238840"/>
    <s v="Battlefield 1"/>
    <d v="2020-06-11T00:00:00"/>
    <n v="6308"/>
    <b v="0"/>
    <n v="132"/>
    <s v="RX 480"/>
    <x v="2"/>
    <x v="1"/>
  </r>
  <r>
    <n v="1238840"/>
    <s v="Battlefield 1"/>
    <d v="2020-06-11T00:00:00"/>
    <n v="6308"/>
    <b v="0"/>
    <n v="132"/>
    <s v="RX 480"/>
    <x v="3"/>
    <x v="1"/>
  </r>
  <r>
    <n v="1238840"/>
    <s v="Battlefield 1"/>
    <d v="2020-06-11T00:00:00"/>
    <n v="6308"/>
    <b v="0"/>
    <n v="132"/>
    <s v="RX 480"/>
    <x v="4"/>
    <x v="1"/>
  </r>
  <r>
    <n v="1238840"/>
    <s v="Battlefield 1"/>
    <d v="2020-06-11T00:00:00"/>
    <n v="6308"/>
    <b v="0"/>
    <n v="132"/>
    <s v="RX 480"/>
    <x v="5"/>
    <x v="1"/>
  </r>
  <r>
    <n v="1238840"/>
    <s v="Battlefield 1"/>
    <d v="2020-06-11T00:00:00"/>
    <n v="6308"/>
    <b v="0"/>
    <n v="132"/>
    <s v="RX 480"/>
    <x v="6"/>
    <x v="1"/>
  </r>
  <r>
    <n v="594650"/>
    <s v="Hunt: Showdown 1896"/>
    <d v="2019-08-27T00:00:00"/>
    <n v="6300"/>
    <b v="0"/>
    <n v="133"/>
    <s v="RTX 2060 SUPER"/>
    <x v="0"/>
    <x v="0"/>
  </r>
  <r>
    <n v="594650"/>
    <s v="Hunt: Showdown 1896"/>
    <d v="2019-08-27T00:00:00"/>
    <n v="6300"/>
    <b v="0"/>
    <n v="133"/>
    <s v="RTX 2060 SUPER"/>
    <x v="1"/>
    <x v="1"/>
  </r>
  <r>
    <n v="594650"/>
    <s v="Hunt: Showdown 1896"/>
    <d v="2019-08-27T00:00:00"/>
    <n v="6300"/>
    <b v="0"/>
    <n v="133"/>
    <s v="RTX 2060 SUPER"/>
    <x v="2"/>
    <x v="1"/>
  </r>
  <r>
    <n v="594650"/>
    <s v="Hunt: Showdown 1896"/>
    <d v="2019-08-27T00:00:00"/>
    <n v="6300"/>
    <b v="0"/>
    <n v="133"/>
    <s v="RTX 2060 SUPER"/>
    <x v="3"/>
    <x v="1"/>
  </r>
  <r>
    <n v="594650"/>
    <s v="Hunt: Showdown 1896"/>
    <d v="2019-08-27T00:00:00"/>
    <n v="6300"/>
    <b v="0"/>
    <n v="133"/>
    <s v="RTX 2060 SUPER"/>
    <x v="4"/>
    <x v="1"/>
  </r>
  <r>
    <n v="594650"/>
    <s v="Hunt: Showdown 1896"/>
    <d v="2019-08-27T00:00:00"/>
    <n v="6300"/>
    <b v="0"/>
    <n v="133"/>
    <s v="RTX 2060 SUPER"/>
    <x v="5"/>
    <x v="1"/>
  </r>
  <r>
    <n v="594650"/>
    <s v="Hunt: Showdown 1896"/>
    <d v="2019-08-27T00:00:00"/>
    <n v="6300"/>
    <b v="0"/>
    <n v="133"/>
    <s v="RTX 2060 SUPER"/>
    <x v="6"/>
    <x v="1"/>
  </r>
  <r>
    <n v="1966720"/>
    <s v="Lethal Company"/>
    <d v="2023-10-23T00:00:00"/>
    <n v="6199"/>
    <b v="0"/>
    <n v="134"/>
    <s v="GTX 1050"/>
    <x v="0"/>
    <x v="0"/>
  </r>
  <r>
    <n v="1966720"/>
    <s v="Lethal Company"/>
    <d v="2023-10-23T00:00:00"/>
    <n v="6199"/>
    <b v="0"/>
    <n v="134"/>
    <s v="GTX 1050"/>
    <x v="1"/>
    <x v="0"/>
  </r>
  <r>
    <n v="1966720"/>
    <s v="Lethal Company"/>
    <d v="2023-10-23T00:00:00"/>
    <n v="6199"/>
    <b v="0"/>
    <n v="134"/>
    <s v="GTX 1050"/>
    <x v="2"/>
    <x v="0"/>
  </r>
  <r>
    <n v="1966720"/>
    <s v="Lethal Company"/>
    <d v="2023-10-23T00:00:00"/>
    <n v="6199"/>
    <b v="0"/>
    <n v="134"/>
    <s v="GTX 1050"/>
    <x v="3"/>
    <x v="1"/>
  </r>
  <r>
    <n v="1966720"/>
    <s v="Lethal Company"/>
    <d v="2023-10-23T00:00:00"/>
    <n v="6199"/>
    <b v="0"/>
    <n v="134"/>
    <s v="GTX 1050"/>
    <x v="4"/>
    <x v="1"/>
  </r>
  <r>
    <n v="1966720"/>
    <s v="Lethal Company"/>
    <d v="2023-10-23T00:00:00"/>
    <n v="6199"/>
    <b v="0"/>
    <n v="134"/>
    <s v="GTX 1050"/>
    <x v="5"/>
    <x v="1"/>
  </r>
  <r>
    <n v="1966720"/>
    <s v="Lethal Company"/>
    <d v="2023-10-23T00:00:00"/>
    <n v="6199"/>
    <b v="0"/>
    <n v="134"/>
    <s v="GTX 1050"/>
    <x v="6"/>
    <x v="1"/>
  </r>
  <r>
    <n v="240"/>
    <s v="Counter-Strike: Source"/>
    <d v="2004-11-01T00:00:00"/>
    <n v="6187"/>
    <b v="0"/>
    <n v="135"/>
    <s v="Intel HD Graphics"/>
    <x v="0"/>
    <x v="0"/>
  </r>
  <r>
    <n v="240"/>
    <s v="Counter-Strike: Source"/>
    <d v="2004-11-01T00:00:00"/>
    <n v="6187"/>
    <b v="0"/>
    <n v="135"/>
    <s v="Intel HD Graphics"/>
    <x v="1"/>
    <x v="1"/>
  </r>
  <r>
    <n v="240"/>
    <s v="Counter-Strike: Source"/>
    <d v="2004-11-01T00:00:00"/>
    <n v="6187"/>
    <b v="0"/>
    <n v="135"/>
    <s v="Intel HD Graphics"/>
    <x v="2"/>
    <x v="1"/>
  </r>
  <r>
    <n v="240"/>
    <s v="Counter-Strike: Source"/>
    <d v="2004-11-01T00:00:00"/>
    <n v="6187"/>
    <b v="0"/>
    <n v="135"/>
    <s v="Intel HD Graphics"/>
    <x v="3"/>
    <x v="1"/>
  </r>
  <r>
    <n v="240"/>
    <s v="Counter-Strike: Source"/>
    <d v="2004-11-01T00:00:00"/>
    <n v="6187"/>
    <b v="0"/>
    <n v="135"/>
    <s v="Intel HD Graphics"/>
    <x v="4"/>
    <x v="1"/>
  </r>
  <r>
    <n v="240"/>
    <s v="Counter-Strike: Source"/>
    <d v="2004-11-01T00:00:00"/>
    <n v="6187"/>
    <b v="0"/>
    <n v="135"/>
    <s v="Intel HD Graphics"/>
    <x v="5"/>
    <x v="1"/>
  </r>
  <r>
    <n v="240"/>
    <s v="Counter-Strike: Source"/>
    <d v="2004-11-01T00:00:00"/>
    <n v="6187"/>
    <b v="0"/>
    <n v="135"/>
    <s v="Intel HD Graphics"/>
    <x v="6"/>
    <x v="1"/>
  </r>
  <r>
    <n v="376210"/>
    <s v="The Isle"/>
    <d v="2015-12-01T00:00:00"/>
    <n v="5946"/>
    <b v="0"/>
    <n v="136"/>
    <s v="GTX 980 Ti"/>
    <x v="0"/>
    <x v="0"/>
  </r>
  <r>
    <n v="376210"/>
    <s v="The Isle"/>
    <d v="2015-12-01T00:00:00"/>
    <n v="5946"/>
    <b v="0"/>
    <n v="136"/>
    <s v="GTX 980 Ti"/>
    <x v="1"/>
    <x v="0"/>
  </r>
  <r>
    <n v="376210"/>
    <s v="The Isle"/>
    <d v="2015-12-01T00:00:00"/>
    <n v="5946"/>
    <b v="0"/>
    <n v="136"/>
    <s v="GTX 980 Ti"/>
    <x v="2"/>
    <x v="0"/>
  </r>
  <r>
    <n v="376210"/>
    <s v="The Isle"/>
    <d v="2015-12-01T00:00:00"/>
    <n v="5946"/>
    <b v="0"/>
    <n v="136"/>
    <s v="GTX 980 Ti"/>
    <x v="3"/>
    <x v="0"/>
  </r>
  <r>
    <n v="376210"/>
    <s v="The Isle"/>
    <d v="2015-12-01T00:00:00"/>
    <n v="5946"/>
    <b v="0"/>
    <n v="136"/>
    <s v="GTX 980 Ti"/>
    <x v="4"/>
    <x v="1"/>
  </r>
  <r>
    <n v="376210"/>
    <s v="The Isle"/>
    <d v="2015-12-01T00:00:00"/>
    <n v="5946"/>
    <b v="0"/>
    <n v="136"/>
    <s v="GTX 980 Ti"/>
    <x v="5"/>
    <x v="1"/>
  </r>
  <r>
    <n v="376210"/>
    <s v="The Isle"/>
    <d v="2015-12-01T00:00:00"/>
    <n v="5946"/>
    <b v="0"/>
    <n v="136"/>
    <s v="GTX 980 Ti"/>
    <x v="6"/>
    <x v="1"/>
  </r>
  <r>
    <n v="1295660"/>
    <s v="Sid Meier's Civilization VII"/>
    <d v="2025-02-10T00:00:00"/>
    <n v="5931"/>
    <b v="1"/>
    <n v="137"/>
    <s v="RTX 2060"/>
    <x v="0"/>
    <x v="1"/>
  </r>
  <r>
    <n v="1295660"/>
    <s v="Sid Meier's Civilization VII"/>
    <d v="2025-02-10T00:00:00"/>
    <n v="5931"/>
    <b v="1"/>
    <n v="137"/>
    <s v="RTX 2060"/>
    <x v="1"/>
    <x v="1"/>
  </r>
  <r>
    <n v="1295660"/>
    <s v="Sid Meier's Civilization VII"/>
    <d v="2025-02-10T00:00:00"/>
    <n v="5931"/>
    <b v="1"/>
    <n v="137"/>
    <s v="RTX 2060"/>
    <x v="2"/>
    <x v="1"/>
  </r>
  <r>
    <n v="1295660"/>
    <s v="Sid Meier's Civilization VII"/>
    <d v="2025-02-10T00:00:00"/>
    <n v="5931"/>
    <b v="1"/>
    <n v="137"/>
    <s v="RTX 2060"/>
    <x v="3"/>
    <x v="0"/>
  </r>
  <r>
    <n v="1295660"/>
    <s v="Sid Meier's Civilization VII"/>
    <d v="2025-02-10T00:00:00"/>
    <n v="5931"/>
    <b v="1"/>
    <n v="137"/>
    <s v="RTX 2060"/>
    <x v="4"/>
    <x v="1"/>
  </r>
  <r>
    <n v="1295660"/>
    <s v="Sid Meier's Civilization VII"/>
    <d v="2025-02-10T00:00:00"/>
    <n v="5931"/>
    <b v="1"/>
    <n v="137"/>
    <s v="RTX 2060"/>
    <x v="5"/>
    <x v="0"/>
  </r>
  <r>
    <n v="1295660"/>
    <s v="Sid Meier's Civilization VII"/>
    <d v="2025-02-10T00:00:00"/>
    <n v="5931"/>
    <b v="1"/>
    <n v="137"/>
    <s v="RTX 2060"/>
    <x v="6"/>
    <x v="1"/>
  </r>
  <r>
    <n v="2864560"/>
    <s v="Rune Factory: Guardians of Azuma"/>
    <d v="2025-06-04T00:00:00"/>
    <n v="5831"/>
    <b v="0"/>
    <n v="138"/>
    <s v="RTX 2060 SUPER"/>
    <x v="0"/>
    <x v="0"/>
  </r>
  <r>
    <n v="2864560"/>
    <s v="Rune Factory: Guardians of Azuma"/>
    <d v="2025-06-04T00:00:00"/>
    <n v="5831"/>
    <b v="0"/>
    <n v="138"/>
    <s v="RTX 2060 SUPER"/>
    <x v="1"/>
    <x v="1"/>
  </r>
  <r>
    <n v="2864560"/>
    <s v="Rune Factory: Guardians of Azuma"/>
    <d v="2025-06-04T00:00:00"/>
    <n v="5831"/>
    <b v="0"/>
    <n v="138"/>
    <s v="RTX 2060 SUPER"/>
    <x v="2"/>
    <x v="0"/>
  </r>
  <r>
    <n v="2864560"/>
    <s v="Rune Factory: Guardians of Azuma"/>
    <d v="2025-06-04T00:00:00"/>
    <n v="5831"/>
    <b v="0"/>
    <n v="138"/>
    <s v="RTX 2060 SUPER"/>
    <x v="3"/>
    <x v="1"/>
  </r>
  <r>
    <n v="2864560"/>
    <s v="Rune Factory: Guardians of Azuma"/>
    <d v="2025-06-04T00:00:00"/>
    <n v="5831"/>
    <b v="0"/>
    <n v="138"/>
    <s v="RTX 2060 SUPER"/>
    <x v="4"/>
    <x v="0"/>
  </r>
  <r>
    <n v="2864560"/>
    <s v="Rune Factory: Guardians of Azuma"/>
    <d v="2025-06-04T00:00:00"/>
    <n v="5831"/>
    <b v="0"/>
    <n v="138"/>
    <s v="RTX 2060 SUPER"/>
    <x v="5"/>
    <x v="1"/>
  </r>
  <r>
    <n v="2864560"/>
    <s v="Rune Factory: Guardians of Azuma"/>
    <d v="2025-06-04T00:00:00"/>
    <n v="5831"/>
    <b v="0"/>
    <n v="138"/>
    <s v="RTX 2060 SUPER"/>
    <x v="6"/>
    <x v="1"/>
  </r>
  <r>
    <n v="899770"/>
    <s v="Last Epoch"/>
    <d v="2024-02-21T00:00:00"/>
    <n v="5831"/>
    <b v="0"/>
    <n v="138"/>
    <s v="RTX 3060"/>
    <x v="0"/>
    <x v="0"/>
  </r>
  <r>
    <n v="899770"/>
    <s v="Last Epoch"/>
    <d v="2024-02-21T00:00:00"/>
    <n v="5831"/>
    <b v="0"/>
    <n v="138"/>
    <s v="RTX 3060"/>
    <x v="1"/>
    <x v="0"/>
  </r>
  <r>
    <n v="899770"/>
    <s v="Last Epoch"/>
    <d v="2024-02-21T00:00:00"/>
    <n v="5831"/>
    <b v="0"/>
    <n v="138"/>
    <s v="RTX 3060"/>
    <x v="2"/>
    <x v="0"/>
  </r>
  <r>
    <n v="899770"/>
    <s v="Last Epoch"/>
    <d v="2024-02-21T00:00:00"/>
    <n v="5831"/>
    <b v="0"/>
    <n v="138"/>
    <s v="RTX 3060"/>
    <x v="3"/>
    <x v="1"/>
  </r>
  <r>
    <n v="899770"/>
    <s v="Last Epoch"/>
    <d v="2024-02-21T00:00:00"/>
    <n v="5831"/>
    <b v="0"/>
    <n v="138"/>
    <s v="RTX 3060"/>
    <x v="4"/>
    <x v="0"/>
  </r>
  <r>
    <n v="899770"/>
    <s v="Last Epoch"/>
    <d v="2024-02-21T00:00:00"/>
    <n v="5831"/>
    <b v="0"/>
    <n v="138"/>
    <s v="RTX 3060"/>
    <x v="5"/>
    <x v="1"/>
  </r>
  <r>
    <n v="899770"/>
    <s v="Last Epoch"/>
    <d v="2024-02-21T00:00:00"/>
    <n v="5831"/>
    <b v="0"/>
    <n v="138"/>
    <s v="RTX 3060"/>
    <x v="6"/>
    <x v="1"/>
  </r>
  <r>
    <n v="990080"/>
    <s v="Hogwarts Legacy"/>
    <d v="2023-02-10T00:00:00"/>
    <n v="5716"/>
    <b v="0"/>
    <n v="140"/>
    <s v="RX 5700 XT"/>
    <x v="0"/>
    <x v="0"/>
  </r>
  <r>
    <n v="990080"/>
    <s v="Hogwarts Legacy"/>
    <d v="2023-02-10T00:00:00"/>
    <n v="5716"/>
    <b v="0"/>
    <n v="140"/>
    <s v="RX 5700 XT"/>
    <x v="1"/>
    <x v="1"/>
  </r>
  <r>
    <n v="990080"/>
    <s v="Hogwarts Legacy"/>
    <d v="2023-02-10T00:00:00"/>
    <n v="5716"/>
    <b v="0"/>
    <n v="140"/>
    <s v="RX 5700 XT"/>
    <x v="2"/>
    <x v="0"/>
  </r>
  <r>
    <n v="990080"/>
    <s v="Hogwarts Legacy"/>
    <d v="2023-02-10T00:00:00"/>
    <n v="5716"/>
    <b v="0"/>
    <n v="140"/>
    <s v="RX 5700 XT"/>
    <x v="3"/>
    <x v="1"/>
  </r>
  <r>
    <n v="990080"/>
    <s v="Hogwarts Legacy"/>
    <d v="2023-02-10T00:00:00"/>
    <n v="5716"/>
    <b v="0"/>
    <n v="140"/>
    <s v="RX 5700 XT"/>
    <x v="4"/>
    <x v="0"/>
  </r>
  <r>
    <n v="990080"/>
    <s v="Hogwarts Legacy"/>
    <d v="2023-02-10T00:00:00"/>
    <n v="5716"/>
    <b v="0"/>
    <n v="140"/>
    <s v="RX 5700 XT"/>
    <x v="5"/>
    <x v="1"/>
  </r>
  <r>
    <n v="990080"/>
    <s v="Hogwarts Legacy"/>
    <d v="2023-02-10T00:00:00"/>
    <n v="5716"/>
    <b v="0"/>
    <n v="140"/>
    <s v="RX 5700 XT"/>
    <x v="6"/>
    <x v="1"/>
  </r>
  <r>
    <n v="444200"/>
    <s v="World of Tanks Blitz"/>
    <d v="2016-11-09T00:00:00"/>
    <n v="5707"/>
    <b v="1"/>
    <n v="141"/>
    <s v="Radeon Vega 8"/>
    <x v="0"/>
    <x v="0"/>
  </r>
  <r>
    <n v="444200"/>
    <s v="World of Tanks Blitz"/>
    <d v="2016-11-09T00:00:00"/>
    <n v="5707"/>
    <b v="1"/>
    <n v="141"/>
    <s v="Radeon Vega 8"/>
    <x v="1"/>
    <x v="1"/>
  </r>
  <r>
    <n v="444200"/>
    <s v="World of Tanks Blitz"/>
    <d v="2016-11-09T00:00:00"/>
    <n v="5707"/>
    <b v="1"/>
    <n v="141"/>
    <s v="Radeon Vega 8"/>
    <x v="2"/>
    <x v="1"/>
  </r>
  <r>
    <n v="444200"/>
    <s v="World of Tanks Blitz"/>
    <d v="2016-11-09T00:00:00"/>
    <n v="5707"/>
    <b v="1"/>
    <n v="141"/>
    <s v="Radeon Vega 8"/>
    <x v="3"/>
    <x v="0"/>
  </r>
  <r>
    <n v="444200"/>
    <s v="World of Tanks Blitz"/>
    <d v="2016-11-09T00:00:00"/>
    <n v="5707"/>
    <b v="1"/>
    <n v="141"/>
    <s v="Radeon Vega 8"/>
    <x v="4"/>
    <x v="1"/>
  </r>
  <r>
    <n v="444200"/>
    <s v="World of Tanks Blitz"/>
    <d v="2016-11-09T00:00:00"/>
    <n v="5707"/>
    <b v="1"/>
    <n v="141"/>
    <s v="Radeon Vega 8"/>
    <x v="5"/>
    <x v="0"/>
  </r>
  <r>
    <n v="444200"/>
    <s v="World of Tanks Blitz"/>
    <d v="2016-11-09T00:00:00"/>
    <n v="5707"/>
    <b v="1"/>
    <n v="141"/>
    <s v="Radeon Vega 8"/>
    <x v="6"/>
    <x v="0"/>
  </r>
  <r>
    <n v="440900"/>
    <s v="Conan Exiles"/>
    <d v="2018-05-08T00:00:00"/>
    <n v="5677"/>
    <b v="0"/>
    <n v="142"/>
    <s v="RTX 3060"/>
    <x v="0"/>
    <x v="0"/>
  </r>
  <r>
    <n v="440900"/>
    <s v="Conan Exiles"/>
    <d v="2018-05-08T00:00:00"/>
    <n v="5677"/>
    <b v="0"/>
    <n v="142"/>
    <s v="RTX 3060"/>
    <x v="1"/>
    <x v="1"/>
  </r>
  <r>
    <n v="440900"/>
    <s v="Conan Exiles"/>
    <d v="2018-05-08T00:00:00"/>
    <n v="5677"/>
    <b v="0"/>
    <n v="142"/>
    <s v="RTX 3060"/>
    <x v="2"/>
    <x v="0"/>
  </r>
  <r>
    <n v="440900"/>
    <s v="Conan Exiles"/>
    <d v="2018-05-08T00:00:00"/>
    <n v="5677"/>
    <b v="0"/>
    <n v="142"/>
    <s v="RTX 3060"/>
    <x v="3"/>
    <x v="0"/>
  </r>
  <r>
    <n v="440900"/>
    <s v="Conan Exiles"/>
    <d v="2018-05-08T00:00:00"/>
    <n v="5677"/>
    <b v="0"/>
    <n v="142"/>
    <s v="RTX 3060"/>
    <x v="4"/>
    <x v="0"/>
  </r>
  <r>
    <n v="440900"/>
    <s v="Conan Exiles"/>
    <d v="2018-05-08T00:00:00"/>
    <n v="5677"/>
    <b v="0"/>
    <n v="142"/>
    <s v="RTX 3060"/>
    <x v="5"/>
    <x v="0"/>
  </r>
  <r>
    <n v="440900"/>
    <s v="Conan Exiles"/>
    <d v="2018-05-08T00:00:00"/>
    <n v="5677"/>
    <b v="0"/>
    <n v="142"/>
    <s v="RTX 3060"/>
    <x v="6"/>
    <x v="1"/>
  </r>
  <r>
    <n v="1063730"/>
    <s v="New World: Aeternum"/>
    <d v="2021-09-28T00:00:00"/>
    <n v="5583"/>
    <b v="0"/>
    <n v="143"/>
    <s v="RTX 2060"/>
    <x v="0"/>
    <x v="0"/>
  </r>
  <r>
    <n v="1063730"/>
    <s v="New World: Aeternum"/>
    <d v="2021-09-28T00:00:00"/>
    <n v="5583"/>
    <b v="0"/>
    <n v="143"/>
    <s v="RTX 2060"/>
    <x v="1"/>
    <x v="1"/>
  </r>
  <r>
    <n v="1063730"/>
    <s v="New World: Aeternum"/>
    <d v="2021-09-28T00:00:00"/>
    <n v="5583"/>
    <b v="0"/>
    <n v="143"/>
    <s v="RTX 2060"/>
    <x v="2"/>
    <x v="0"/>
  </r>
  <r>
    <n v="1063730"/>
    <s v="New World: Aeternum"/>
    <d v="2021-09-28T00:00:00"/>
    <n v="5583"/>
    <b v="0"/>
    <n v="143"/>
    <s v="RTX 2060"/>
    <x v="3"/>
    <x v="1"/>
  </r>
  <r>
    <n v="1063730"/>
    <s v="New World: Aeternum"/>
    <d v="2021-09-28T00:00:00"/>
    <n v="5583"/>
    <b v="0"/>
    <n v="143"/>
    <s v="RTX 2060"/>
    <x v="4"/>
    <x v="0"/>
  </r>
  <r>
    <n v="1063730"/>
    <s v="New World: Aeternum"/>
    <d v="2021-09-28T00:00:00"/>
    <n v="5583"/>
    <b v="0"/>
    <n v="143"/>
    <s v="RTX 2060"/>
    <x v="5"/>
    <x v="1"/>
  </r>
  <r>
    <n v="1063730"/>
    <s v="New World: Aeternum"/>
    <d v="2021-09-28T00:00:00"/>
    <n v="5583"/>
    <b v="0"/>
    <n v="143"/>
    <s v="RTX 2060"/>
    <x v="6"/>
    <x v="1"/>
  </r>
  <r>
    <n v="2001120"/>
    <s v="Split Fiction"/>
    <d v="2025-03-06T00:00:00"/>
    <n v="5476"/>
    <b v="0"/>
    <n v="144"/>
    <s v="RTX 3070"/>
    <x v="0"/>
    <x v="0"/>
  </r>
  <r>
    <n v="2001120"/>
    <s v="Split Fiction"/>
    <d v="2025-03-06T00:00:00"/>
    <n v="5476"/>
    <b v="0"/>
    <n v="144"/>
    <s v="RTX 3070"/>
    <x v="1"/>
    <x v="1"/>
  </r>
  <r>
    <n v="2001120"/>
    <s v="Split Fiction"/>
    <d v="2025-03-06T00:00:00"/>
    <n v="5476"/>
    <b v="0"/>
    <n v="144"/>
    <s v="RTX 3070"/>
    <x v="2"/>
    <x v="0"/>
  </r>
  <r>
    <n v="2001120"/>
    <s v="Split Fiction"/>
    <d v="2025-03-06T00:00:00"/>
    <n v="5476"/>
    <b v="0"/>
    <n v="144"/>
    <s v="RTX 3070"/>
    <x v="3"/>
    <x v="1"/>
  </r>
  <r>
    <n v="2001120"/>
    <s v="Split Fiction"/>
    <d v="2025-03-06T00:00:00"/>
    <n v="5476"/>
    <b v="0"/>
    <n v="144"/>
    <s v="RTX 3070"/>
    <x v="4"/>
    <x v="1"/>
  </r>
  <r>
    <n v="2001120"/>
    <s v="Split Fiction"/>
    <d v="2025-03-06T00:00:00"/>
    <n v="5476"/>
    <b v="0"/>
    <n v="144"/>
    <s v="RTX 3070"/>
    <x v="5"/>
    <x v="1"/>
  </r>
  <r>
    <n v="2001120"/>
    <s v="Split Fiction"/>
    <d v="2025-03-06T00:00:00"/>
    <n v="5476"/>
    <b v="0"/>
    <n v="144"/>
    <s v="RTX 3070"/>
    <x v="6"/>
    <x v="1"/>
  </r>
  <r>
    <n v="1172620"/>
    <s v="Sea of Thieves: 2025 Edition"/>
    <d v="2020-06-03T00:00:00"/>
    <n v="5437"/>
    <b v="0"/>
    <n v="145"/>
    <s v="GTX 1080 Ti"/>
    <x v="0"/>
    <x v="0"/>
  </r>
  <r>
    <n v="1172620"/>
    <s v="Sea of Thieves: 2025 Edition"/>
    <d v="2020-06-03T00:00:00"/>
    <n v="5437"/>
    <b v="0"/>
    <n v="145"/>
    <s v="GTX 1080 Ti"/>
    <x v="1"/>
    <x v="1"/>
  </r>
  <r>
    <n v="1172620"/>
    <s v="Sea of Thieves: 2025 Edition"/>
    <d v="2020-06-03T00:00:00"/>
    <n v="5437"/>
    <b v="0"/>
    <n v="145"/>
    <s v="GTX 1080 Ti"/>
    <x v="2"/>
    <x v="0"/>
  </r>
  <r>
    <n v="1172620"/>
    <s v="Sea of Thieves: 2025 Edition"/>
    <d v="2020-06-03T00:00:00"/>
    <n v="5437"/>
    <b v="0"/>
    <n v="145"/>
    <s v="GTX 1080 Ti"/>
    <x v="3"/>
    <x v="1"/>
  </r>
  <r>
    <n v="1172620"/>
    <s v="Sea of Thieves: 2025 Edition"/>
    <d v="2020-06-03T00:00:00"/>
    <n v="5437"/>
    <b v="0"/>
    <n v="145"/>
    <s v="GTX 1080 Ti"/>
    <x v="4"/>
    <x v="1"/>
  </r>
  <r>
    <n v="1172620"/>
    <s v="Sea of Thieves: 2025 Edition"/>
    <d v="2020-06-03T00:00:00"/>
    <n v="5437"/>
    <b v="0"/>
    <n v="145"/>
    <s v="GTX 1080 Ti"/>
    <x v="5"/>
    <x v="1"/>
  </r>
  <r>
    <n v="1172620"/>
    <s v="Sea of Thieves: 2025 Edition"/>
    <d v="2020-06-03T00:00:00"/>
    <n v="5437"/>
    <b v="0"/>
    <n v="145"/>
    <s v="GTX 1080 Ti"/>
    <x v="6"/>
    <x v="1"/>
  </r>
  <r>
    <n v="1248130"/>
    <s v="Farming Simulator 22"/>
    <d v="2021-11-21T00:00:00"/>
    <n v="5419"/>
    <b v="1"/>
    <n v="146"/>
    <s v="GTX 1060"/>
    <x v="0"/>
    <x v="1"/>
  </r>
  <r>
    <n v="1248130"/>
    <s v="Farming Simulator 22"/>
    <d v="2021-11-21T00:00:00"/>
    <n v="5419"/>
    <b v="1"/>
    <n v="146"/>
    <s v="GTX 1060"/>
    <x v="1"/>
    <x v="1"/>
  </r>
  <r>
    <n v="1248130"/>
    <s v="Farming Simulator 22"/>
    <d v="2021-11-21T00:00:00"/>
    <n v="5419"/>
    <b v="1"/>
    <n v="146"/>
    <s v="GTX 1060"/>
    <x v="2"/>
    <x v="1"/>
  </r>
  <r>
    <n v="1248130"/>
    <s v="Farming Simulator 22"/>
    <d v="2021-11-21T00:00:00"/>
    <n v="5419"/>
    <b v="1"/>
    <n v="146"/>
    <s v="GTX 1060"/>
    <x v="3"/>
    <x v="0"/>
  </r>
  <r>
    <n v="1248130"/>
    <s v="Farming Simulator 22"/>
    <d v="2021-11-21T00:00:00"/>
    <n v="5419"/>
    <b v="1"/>
    <n v="146"/>
    <s v="GTX 1060"/>
    <x v="4"/>
    <x v="1"/>
  </r>
  <r>
    <n v="1248130"/>
    <s v="Farming Simulator 22"/>
    <d v="2021-11-21T00:00:00"/>
    <n v="5419"/>
    <b v="1"/>
    <n v="146"/>
    <s v="GTX 1060"/>
    <x v="5"/>
    <x v="1"/>
  </r>
  <r>
    <n v="1248130"/>
    <s v="Farming Simulator 22"/>
    <d v="2021-11-21T00:00:00"/>
    <n v="5419"/>
    <b v="1"/>
    <n v="146"/>
    <s v="GTX 1060"/>
    <x v="6"/>
    <x v="1"/>
  </r>
  <r>
    <n v="311210"/>
    <s v="Call of Duty: Black Ops III"/>
    <d v="2015-11-05T00:00:00"/>
    <n v="5414"/>
    <b v="1"/>
    <n v="147"/>
    <s v="GTX 950"/>
    <x v="0"/>
    <x v="0"/>
  </r>
  <r>
    <n v="311210"/>
    <s v="Call of Duty: Black Ops III"/>
    <d v="2015-11-05T00:00:00"/>
    <n v="5414"/>
    <b v="1"/>
    <n v="147"/>
    <s v="GTX 950"/>
    <x v="1"/>
    <x v="1"/>
  </r>
  <r>
    <n v="311210"/>
    <s v="Call of Duty: Black Ops III"/>
    <d v="2015-11-05T00:00:00"/>
    <n v="5414"/>
    <b v="1"/>
    <n v="147"/>
    <s v="GTX 950"/>
    <x v="2"/>
    <x v="0"/>
  </r>
  <r>
    <n v="311210"/>
    <s v="Call of Duty: Black Ops III"/>
    <d v="2015-11-05T00:00:00"/>
    <n v="5414"/>
    <b v="1"/>
    <n v="147"/>
    <s v="GTX 950"/>
    <x v="3"/>
    <x v="1"/>
  </r>
  <r>
    <n v="311210"/>
    <s v="Call of Duty: Black Ops III"/>
    <d v="2015-11-05T00:00:00"/>
    <n v="5414"/>
    <b v="1"/>
    <n v="147"/>
    <s v="GTX 950"/>
    <x v="4"/>
    <x v="1"/>
  </r>
  <r>
    <n v="311210"/>
    <s v="Call of Duty: Black Ops III"/>
    <d v="2015-11-05T00:00:00"/>
    <n v="5414"/>
    <b v="1"/>
    <n v="147"/>
    <s v="GTX 950"/>
    <x v="5"/>
    <x v="1"/>
  </r>
  <r>
    <n v="311210"/>
    <s v="Call of Duty: Black Ops III"/>
    <d v="2015-11-05T00:00:00"/>
    <n v="5414"/>
    <b v="1"/>
    <n v="147"/>
    <s v="GTX 950"/>
    <x v="6"/>
    <x v="1"/>
  </r>
  <r>
    <n v="233860"/>
    <s v="Kenshi"/>
    <d v="2018-12-06T00:00:00"/>
    <n v="5412"/>
    <b v="0"/>
    <n v="148"/>
    <s v="GTX 970"/>
    <x v="0"/>
    <x v="0"/>
  </r>
  <r>
    <n v="233860"/>
    <s v="Kenshi"/>
    <d v="2018-12-06T00:00:00"/>
    <n v="5412"/>
    <b v="0"/>
    <n v="148"/>
    <s v="GTX 970"/>
    <x v="1"/>
    <x v="0"/>
  </r>
  <r>
    <n v="233860"/>
    <s v="Kenshi"/>
    <d v="2018-12-06T00:00:00"/>
    <n v="5412"/>
    <b v="0"/>
    <n v="148"/>
    <s v="GTX 970"/>
    <x v="2"/>
    <x v="1"/>
  </r>
  <r>
    <n v="233860"/>
    <s v="Kenshi"/>
    <d v="2018-12-06T00:00:00"/>
    <n v="5412"/>
    <b v="0"/>
    <n v="148"/>
    <s v="GTX 970"/>
    <x v="3"/>
    <x v="0"/>
  </r>
  <r>
    <n v="233860"/>
    <s v="Kenshi"/>
    <d v="2018-12-06T00:00:00"/>
    <n v="5412"/>
    <b v="0"/>
    <n v="148"/>
    <s v="GTX 970"/>
    <x v="4"/>
    <x v="0"/>
  </r>
  <r>
    <n v="233860"/>
    <s v="Kenshi"/>
    <d v="2018-12-06T00:00:00"/>
    <n v="5412"/>
    <b v="0"/>
    <n v="148"/>
    <s v="GTX 970"/>
    <x v="5"/>
    <x v="0"/>
  </r>
  <r>
    <n v="233860"/>
    <s v="Kenshi"/>
    <d v="2018-12-06T00:00:00"/>
    <n v="5412"/>
    <b v="0"/>
    <n v="148"/>
    <s v="GTX 970"/>
    <x v="6"/>
    <x v="1"/>
  </r>
  <r>
    <n v="949230"/>
    <s v="Cities: Skylines II"/>
    <d v="2023-10-24T00:00:00"/>
    <n v="5392"/>
    <b v="0"/>
    <n v="149"/>
    <s v="RTX 3080"/>
    <x v="0"/>
    <x v="1"/>
  </r>
  <r>
    <n v="949230"/>
    <s v="Cities: Skylines II"/>
    <d v="2023-10-24T00:00:00"/>
    <n v="5392"/>
    <b v="0"/>
    <n v="149"/>
    <s v="RTX 3080"/>
    <x v="1"/>
    <x v="1"/>
  </r>
  <r>
    <n v="949230"/>
    <s v="Cities: Skylines II"/>
    <d v="2023-10-24T00:00:00"/>
    <n v="5392"/>
    <b v="0"/>
    <n v="149"/>
    <s v="RTX 3080"/>
    <x v="2"/>
    <x v="1"/>
  </r>
  <r>
    <n v="949230"/>
    <s v="Cities: Skylines II"/>
    <d v="2023-10-24T00:00:00"/>
    <n v="5392"/>
    <b v="0"/>
    <n v="149"/>
    <s v="RTX 3080"/>
    <x v="3"/>
    <x v="0"/>
  </r>
  <r>
    <n v="949230"/>
    <s v="Cities: Skylines II"/>
    <d v="2023-10-24T00:00:00"/>
    <n v="5392"/>
    <b v="0"/>
    <n v="149"/>
    <s v="RTX 3080"/>
    <x v="4"/>
    <x v="1"/>
  </r>
  <r>
    <n v="949230"/>
    <s v="Cities: Skylines II"/>
    <d v="2023-10-24T00:00:00"/>
    <n v="5392"/>
    <b v="0"/>
    <n v="149"/>
    <s v="RTX 3080"/>
    <x v="5"/>
    <x v="1"/>
  </r>
  <r>
    <n v="949230"/>
    <s v="Cities: Skylines II"/>
    <d v="2023-10-24T00:00:00"/>
    <n v="5392"/>
    <b v="0"/>
    <n v="149"/>
    <s v="RTX 3080"/>
    <x v="6"/>
    <x v="1"/>
  </r>
  <r>
    <n v="3059520"/>
    <s v="F1 25"/>
    <d v="2025-05-30T00:00:00"/>
    <n v="5272"/>
    <b v="0"/>
    <n v="150"/>
    <s v="RTX 2070"/>
    <x v="0"/>
    <x v="1"/>
  </r>
  <r>
    <n v="3059520"/>
    <s v="F1 25"/>
    <d v="2025-05-30T00:00:00"/>
    <n v="5272"/>
    <b v="0"/>
    <n v="150"/>
    <s v="RTX 2070"/>
    <x v="1"/>
    <x v="1"/>
  </r>
  <r>
    <n v="3059520"/>
    <s v="F1 25"/>
    <d v="2025-05-30T00:00:00"/>
    <n v="5272"/>
    <b v="0"/>
    <n v="150"/>
    <s v="RTX 2070"/>
    <x v="2"/>
    <x v="1"/>
  </r>
  <r>
    <n v="3059520"/>
    <s v="F1 25"/>
    <d v="2025-05-30T00:00:00"/>
    <n v="5272"/>
    <b v="0"/>
    <n v="150"/>
    <s v="RTX 2070"/>
    <x v="3"/>
    <x v="0"/>
  </r>
  <r>
    <n v="3059520"/>
    <s v="F1 25"/>
    <d v="2025-05-30T00:00:00"/>
    <n v="5272"/>
    <b v="0"/>
    <n v="150"/>
    <s v="RTX 2070"/>
    <x v="4"/>
    <x v="1"/>
  </r>
  <r>
    <n v="3059520"/>
    <s v="F1 25"/>
    <d v="2025-05-30T00:00:00"/>
    <n v="5272"/>
    <b v="0"/>
    <n v="150"/>
    <s v="RTX 2070"/>
    <x v="5"/>
    <x v="1"/>
  </r>
  <r>
    <n v="3059520"/>
    <s v="F1 25"/>
    <d v="2025-05-30T00:00:00"/>
    <n v="5272"/>
    <b v="0"/>
    <n v="150"/>
    <s v="RTX 2070"/>
    <x v="6"/>
    <x v="1"/>
  </r>
  <r>
    <n v="714010"/>
    <s v="Aimlabs"/>
    <d v="2023-06-16T00:00:00"/>
    <n v="5223"/>
    <b v="0"/>
    <n v="151"/>
    <s v="Radeon Vega 11"/>
    <x v="0"/>
    <x v="0"/>
  </r>
  <r>
    <n v="714010"/>
    <s v="Aimlabs"/>
    <d v="2023-06-16T00:00:00"/>
    <n v="5223"/>
    <b v="0"/>
    <n v="151"/>
    <s v="Radeon Vega 11"/>
    <x v="1"/>
    <x v="0"/>
  </r>
  <r>
    <n v="714010"/>
    <s v="Aimlabs"/>
    <d v="2023-06-16T00:00:00"/>
    <n v="5223"/>
    <b v="0"/>
    <n v="151"/>
    <s v="Radeon Vega 11"/>
    <x v="2"/>
    <x v="0"/>
  </r>
  <r>
    <n v="714010"/>
    <s v="Aimlabs"/>
    <d v="2023-06-16T00:00:00"/>
    <n v="5223"/>
    <b v="0"/>
    <n v="151"/>
    <s v="Radeon Vega 11"/>
    <x v="3"/>
    <x v="0"/>
  </r>
  <r>
    <n v="714010"/>
    <s v="Aimlabs"/>
    <d v="2023-06-16T00:00:00"/>
    <n v="5223"/>
    <b v="0"/>
    <n v="151"/>
    <s v="Radeon Vega 11"/>
    <x v="4"/>
    <x v="1"/>
  </r>
  <r>
    <n v="714010"/>
    <s v="Aimlabs"/>
    <d v="2023-06-16T00:00:00"/>
    <n v="5223"/>
    <b v="0"/>
    <n v="151"/>
    <s v="Radeon Vega 11"/>
    <x v="5"/>
    <x v="1"/>
  </r>
  <r>
    <n v="714010"/>
    <s v="Aimlabs"/>
    <d v="2023-06-16T00:00:00"/>
    <n v="5223"/>
    <b v="0"/>
    <n v="151"/>
    <s v="Radeon Vega 11"/>
    <x v="6"/>
    <x v="0"/>
  </r>
  <r>
    <n v="548430"/>
    <s v="Deep Rock Galactic"/>
    <d v="2020-05-13T00:00:00"/>
    <n v="5216"/>
    <b v="0"/>
    <n v="152"/>
    <s v="RX 570"/>
    <x v="0"/>
    <x v="0"/>
  </r>
  <r>
    <n v="548430"/>
    <s v="Deep Rock Galactic"/>
    <d v="2020-05-13T00:00:00"/>
    <n v="5216"/>
    <b v="0"/>
    <n v="152"/>
    <s v="RX 570"/>
    <x v="1"/>
    <x v="1"/>
  </r>
  <r>
    <n v="548430"/>
    <s v="Deep Rock Galactic"/>
    <d v="2020-05-13T00:00:00"/>
    <n v="5216"/>
    <b v="0"/>
    <n v="152"/>
    <s v="RX 570"/>
    <x v="2"/>
    <x v="1"/>
  </r>
  <r>
    <n v="548430"/>
    <s v="Deep Rock Galactic"/>
    <d v="2020-05-13T00:00:00"/>
    <n v="5216"/>
    <b v="0"/>
    <n v="152"/>
    <s v="RX 570"/>
    <x v="3"/>
    <x v="1"/>
  </r>
  <r>
    <n v="548430"/>
    <s v="Deep Rock Galactic"/>
    <d v="2020-05-13T00:00:00"/>
    <n v="5216"/>
    <b v="0"/>
    <n v="152"/>
    <s v="RX 570"/>
    <x v="4"/>
    <x v="1"/>
  </r>
  <r>
    <n v="548430"/>
    <s v="Deep Rock Galactic"/>
    <d v="2020-05-13T00:00:00"/>
    <n v="5216"/>
    <b v="0"/>
    <n v="152"/>
    <s v="RX 570"/>
    <x v="5"/>
    <x v="1"/>
  </r>
  <r>
    <n v="548430"/>
    <s v="Deep Rock Galactic"/>
    <d v="2020-05-13T00:00:00"/>
    <n v="5216"/>
    <b v="0"/>
    <n v="152"/>
    <s v="RX 570"/>
    <x v="6"/>
    <x v="1"/>
  </r>
  <r>
    <n v="2707930"/>
    <s v="Palia"/>
    <d v="2024-03-25T00:00:00"/>
    <n v="5140"/>
    <b v="0"/>
    <n v="153"/>
    <s v="GTX 1060"/>
    <x v="0"/>
    <x v="1"/>
  </r>
  <r>
    <n v="2707930"/>
    <s v="Palia"/>
    <d v="2024-03-25T00:00:00"/>
    <n v="5140"/>
    <b v="0"/>
    <n v="153"/>
    <s v="GTX 1060"/>
    <x v="1"/>
    <x v="0"/>
  </r>
  <r>
    <n v="2707930"/>
    <s v="Palia"/>
    <d v="2024-03-25T00:00:00"/>
    <n v="5140"/>
    <b v="0"/>
    <n v="153"/>
    <s v="GTX 1060"/>
    <x v="2"/>
    <x v="0"/>
  </r>
  <r>
    <n v="2707930"/>
    <s v="Palia"/>
    <d v="2024-03-25T00:00:00"/>
    <n v="5140"/>
    <b v="0"/>
    <n v="153"/>
    <s v="GTX 1060"/>
    <x v="3"/>
    <x v="0"/>
  </r>
  <r>
    <n v="2707930"/>
    <s v="Palia"/>
    <d v="2024-03-25T00:00:00"/>
    <n v="5140"/>
    <b v="0"/>
    <n v="153"/>
    <s v="GTX 1060"/>
    <x v="4"/>
    <x v="0"/>
  </r>
  <r>
    <n v="2707930"/>
    <s v="Palia"/>
    <d v="2024-03-25T00:00:00"/>
    <n v="5140"/>
    <b v="0"/>
    <n v="153"/>
    <s v="GTX 1060"/>
    <x v="5"/>
    <x v="1"/>
  </r>
  <r>
    <n v="2707930"/>
    <s v="Palia"/>
    <d v="2024-03-25T00:00:00"/>
    <n v="5140"/>
    <b v="0"/>
    <n v="153"/>
    <s v="GTX 1060"/>
    <x v="6"/>
    <x v="0"/>
  </r>
  <r>
    <n v="1812620"/>
    <s v="DSX"/>
    <d v="2022-06-24T00:00:00"/>
    <n v="5121"/>
    <b v="0"/>
    <n v="154"/>
    <s v="Radeon Vega 11"/>
    <x v="0"/>
    <x v="0"/>
  </r>
  <r>
    <n v="1812620"/>
    <s v="DSX"/>
    <d v="2022-06-24T00:00:00"/>
    <n v="5121"/>
    <b v="0"/>
    <n v="154"/>
    <s v="Radeon Vega 11"/>
    <x v="1"/>
    <x v="0"/>
  </r>
  <r>
    <n v="1812620"/>
    <s v="DSX"/>
    <d v="2022-06-24T00:00:00"/>
    <n v="5121"/>
    <b v="0"/>
    <n v="154"/>
    <s v="Radeon Vega 11"/>
    <x v="2"/>
    <x v="0"/>
  </r>
  <r>
    <n v="1812620"/>
    <s v="DSX"/>
    <d v="2022-06-24T00:00:00"/>
    <n v="5121"/>
    <b v="0"/>
    <n v="154"/>
    <s v="Radeon Vega 11"/>
    <x v="3"/>
    <x v="0"/>
  </r>
  <r>
    <n v="1812620"/>
    <s v="DSX"/>
    <d v="2022-06-24T00:00:00"/>
    <n v="5121"/>
    <b v="0"/>
    <n v="154"/>
    <s v="Radeon Vega 11"/>
    <x v="4"/>
    <x v="1"/>
  </r>
  <r>
    <n v="1812620"/>
    <s v="DSX"/>
    <d v="2022-06-24T00:00:00"/>
    <n v="5121"/>
    <b v="0"/>
    <n v="154"/>
    <s v="Radeon Vega 11"/>
    <x v="5"/>
    <x v="1"/>
  </r>
  <r>
    <n v="1812620"/>
    <s v="DSX"/>
    <d v="2022-06-24T00:00:00"/>
    <n v="5121"/>
    <b v="0"/>
    <n v="154"/>
    <s v="Radeon Vega 11"/>
    <x v="6"/>
    <x v="1"/>
  </r>
  <r>
    <n v="2195250"/>
    <s v="EA SPORTS FC 24"/>
    <d v="2023-09-28T00:00:00"/>
    <n v="5110"/>
    <b v="0"/>
    <n v="155"/>
    <s v="GTX 1660"/>
    <x v="0"/>
    <x v="1"/>
  </r>
  <r>
    <n v="2195250"/>
    <s v="EA SPORTS FC 24"/>
    <d v="2023-09-28T00:00:00"/>
    <n v="5110"/>
    <b v="0"/>
    <n v="155"/>
    <s v="GTX 1660"/>
    <x v="1"/>
    <x v="1"/>
  </r>
  <r>
    <n v="2195250"/>
    <s v="EA SPORTS FC 24"/>
    <d v="2023-09-28T00:00:00"/>
    <n v="5110"/>
    <b v="0"/>
    <n v="155"/>
    <s v="GTX 1660"/>
    <x v="2"/>
    <x v="1"/>
  </r>
  <r>
    <n v="2195250"/>
    <s v="EA SPORTS FC 24"/>
    <d v="2023-09-28T00:00:00"/>
    <n v="5110"/>
    <b v="0"/>
    <n v="155"/>
    <s v="GTX 1660"/>
    <x v="3"/>
    <x v="0"/>
  </r>
  <r>
    <n v="2195250"/>
    <s v="EA SPORTS FC 24"/>
    <d v="2023-09-28T00:00:00"/>
    <n v="5110"/>
    <b v="0"/>
    <n v="155"/>
    <s v="GTX 1660"/>
    <x v="4"/>
    <x v="1"/>
  </r>
  <r>
    <n v="2195250"/>
    <s v="EA SPORTS FC 24"/>
    <d v="2023-09-28T00:00:00"/>
    <n v="5110"/>
    <b v="0"/>
    <n v="155"/>
    <s v="GTX 1660"/>
    <x v="5"/>
    <x v="1"/>
  </r>
  <r>
    <n v="2195250"/>
    <s v="EA SPORTS FC 24"/>
    <d v="2023-09-28T00:00:00"/>
    <n v="5110"/>
    <b v="0"/>
    <n v="155"/>
    <s v="GTX 1660"/>
    <x v="6"/>
    <x v="1"/>
  </r>
  <r>
    <n v="286160"/>
    <s v="Tabletop Simulator"/>
    <d v="2015-06-05T00:00:00"/>
    <n v="5021"/>
    <b v="1"/>
    <n v="156"/>
    <s v="Radeon Graphics"/>
    <x v="0"/>
    <x v="1"/>
  </r>
  <r>
    <n v="286160"/>
    <s v="Tabletop Simulator"/>
    <d v="2015-06-05T00:00:00"/>
    <n v="5021"/>
    <b v="1"/>
    <n v="156"/>
    <s v="Radeon Graphics"/>
    <x v="1"/>
    <x v="0"/>
  </r>
  <r>
    <n v="286160"/>
    <s v="Tabletop Simulator"/>
    <d v="2015-06-05T00:00:00"/>
    <n v="5021"/>
    <b v="1"/>
    <n v="156"/>
    <s v="Radeon Graphics"/>
    <x v="2"/>
    <x v="1"/>
  </r>
  <r>
    <n v="286160"/>
    <s v="Tabletop Simulator"/>
    <d v="2015-06-05T00:00:00"/>
    <n v="5021"/>
    <b v="1"/>
    <n v="156"/>
    <s v="Radeon Graphics"/>
    <x v="3"/>
    <x v="0"/>
  </r>
  <r>
    <n v="286160"/>
    <s v="Tabletop Simulator"/>
    <d v="2015-06-05T00:00:00"/>
    <n v="5021"/>
    <b v="1"/>
    <n v="156"/>
    <s v="Radeon Graphics"/>
    <x v="4"/>
    <x v="0"/>
  </r>
  <r>
    <n v="286160"/>
    <s v="Tabletop Simulator"/>
    <d v="2015-06-05T00:00:00"/>
    <n v="5021"/>
    <b v="1"/>
    <n v="156"/>
    <s v="Radeon Graphics"/>
    <x v="5"/>
    <x v="0"/>
  </r>
  <r>
    <n v="286160"/>
    <s v="Tabletop Simulator"/>
    <d v="2015-06-05T00:00:00"/>
    <n v="5021"/>
    <b v="1"/>
    <n v="156"/>
    <s v="Radeon Graphics"/>
    <x v="6"/>
    <x v="1"/>
  </r>
  <r>
    <n v="1426210"/>
    <s v="It Takes Two"/>
    <d v="2021-03-25T00:00:00"/>
    <n v="5018"/>
    <b v="0"/>
    <n v="157"/>
    <s v="GTX 980"/>
    <x v="0"/>
    <x v="0"/>
  </r>
  <r>
    <n v="1426210"/>
    <s v="It Takes Two"/>
    <d v="2021-03-25T00:00:00"/>
    <n v="5018"/>
    <b v="0"/>
    <n v="157"/>
    <s v="GTX 980"/>
    <x v="1"/>
    <x v="1"/>
  </r>
  <r>
    <n v="1426210"/>
    <s v="It Takes Two"/>
    <d v="2021-03-25T00:00:00"/>
    <n v="5018"/>
    <b v="0"/>
    <n v="157"/>
    <s v="GTX 980"/>
    <x v="2"/>
    <x v="0"/>
  </r>
  <r>
    <n v="1426210"/>
    <s v="It Takes Two"/>
    <d v="2021-03-25T00:00:00"/>
    <n v="5018"/>
    <b v="0"/>
    <n v="157"/>
    <s v="GTX 980"/>
    <x v="3"/>
    <x v="1"/>
  </r>
  <r>
    <n v="1426210"/>
    <s v="It Takes Two"/>
    <d v="2021-03-25T00:00:00"/>
    <n v="5018"/>
    <b v="0"/>
    <n v="157"/>
    <s v="GTX 980"/>
    <x v="4"/>
    <x v="1"/>
  </r>
  <r>
    <n v="1426210"/>
    <s v="It Takes Two"/>
    <d v="2021-03-25T00:00:00"/>
    <n v="5018"/>
    <b v="0"/>
    <n v="157"/>
    <s v="GTX 980"/>
    <x v="5"/>
    <x v="1"/>
  </r>
  <r>
    <n v="1426210"/>
    <s v="It Takes Two"/>
    <d v="2021-03-25T00:00:00"/>
    <n v="5018"/>
    <b v="0"/>
    <n v="157"/>
    <s v="GTX 980"/>
    <x v="6"/>
    <x v="1"/>
  </r>
  <r>
    <n v="1687950"/>
    <s v="Persona 5 Royal"/>
    <d v="2022-10-20T00:00:00"/>
    <n v="4994"/>
    <b v="0"/>
    <n v="158"/>
    <s v="GTX 1050"/>
    <x v="0"/>
    <x v="1"/>
  </r>
  <r>
    <n v="1687950"/>
    <s v="Persona 5 Royal"/>
    <d v="2022-10-20T00:00:00"/>
    <n v="4994"/>
    <b v="0"/>
    <n v="158"/>
    <s v="GTX 1050"/>
    <x v="1"/>
    <x v="1"/>
  </r>
  <r>
    <n v="1687950"/>
    <s v="Persona 5 Royal"/>
    <d v="2022-10-20T00:00:00"/>
    <n v="4994"/>
    <b v="0"/>
    <n v="158"/>
    <s v="GTX 1050"/>
    <x v="2"/>
    <x v="1"/>
  </r>
  <r>
    <n v="1687950"/>
    <s v="Persona 5 Royal"/>
    <d v="2022-10-20T00:00:00"/>
    <n v="4994"/>
    <b v="0"/>
    <n v="158"/>
    <s v="GTX 1050"/>
    <x v="3"/>
    <x v="1"/>
  </r>
  <r>
    <n v="1687950"/>
    <s v="Persona 5 Royal"/>
    <d v="2022-10-20T00:00:00"/>
    <n v="4994"/>
    <b v="0"/>
    <n v="158"/>
    <s v="GTX 1050"/>
    <x v="4"/>
    <x v="0"/>
  </r>
  <r>
    <n v="1687950"/>
    <s v="Persona 5 Royal"/>
    <d v="2022-10-20T00:00:00"/>
    <n v="4994"/>
    <b v="0"/>
    <n v="158"/>
    <s v="GTX 1050"/>
    <x v="5"/>
    <x v="1"/>
  </r>
  <r>
    <n v="1687950"/>
    <s v="Persona 5 Royal"/>
    <d v="2022-10-20T00:00:00"/>
    <n v="4994"/>
    <b v="0"/>
    <n v="158"/>
    <s v="GTX 1050"/>
    <x v="6"/>
    <x v="1"/>
  </r>
  <r>
    <n v="2437170"/>
    <s v="SMITE 2"/>
    <d v="2024-08-27T00:00:00"/>
    <n v="4975"/>
    <b v="0"/>
    <n v="159"/>
    <s v="GTX 1050 Ti"/>
    <x v="0"/>
    <x v="0"/>
  </r>
  <r>
    <n v="2437170"/>
    <s v="SMITE 2"/>
    <d v="2024-08-27T00:00:00"/>
    <n v="4975"/>
    <b v="0"/>
    <n v="159"/>
    <s v="GTX 1050 Ti"/>
    <x v="1"/>
    <x v="1"/>
  </r>
  <r>
    <n v="2437170"/>
    <s v="SMITE 2"/>
    <d v="2024-08-27T00:00:00"/>
    <n v="4975"/>
    <b v="0"/>
    <n v="159"/>
    <s v="GTX 1050 Ti"/>
    <x v="2"/>
    <x v="0"/>
  </r>
  <r>
    <n v="2437170"/>
    <s v="SMITE 2"/>
    <d v="2024-08-27T00:00:00"/>
    <n v="4975"/>
    <b v="0"/>
    <n v="159"/>
    <s v="GTX 1050 Ti"/>
    <x v="3"/>
    <x v="1"/>
  </r>
  <r>
    <n v="2437170"/>
    <s v="SMITE 2"/>
    <d v="2024-08-27T00:00:00"/>
    <n v="4975"/>
    <b v="0"/>
    <n v="159"/>
    <s v="GTX 1050 Ti"/>
    <x v="4"/>
    <x v="0"/>
  </r>
  <r>
    <n v="2437170"/>
    <s v="SMITE 2"/>
    <d v="2024-08-27T00:00:00"/>
    <n v="4975"/>
    <b v="0"/>
    <n v="159"/>
    <s v="GTX 1050 Ti"/>
    <x v="5"/>
    <x v="0"/>
  </r>
  <r>
    <n v="2437170"/>
    <s v="SMITE 2"/>
    <d v="2024-08-27T00:00:00"/>
    <n v="4975"/>
    <b v="0"/>
    <n v="159"/>
    <s v="GTX 1050 Ti"/>
    <x v="6"/>
    <x v="0"/>
  </r>
  <r>
    <n v="239140"/>
    <s v="Dying Light"/>
    <d v="2015-01-26T00:00:00"/>
    <n v="4953"/>
    <b v="1"/>
    <n v="160"/>
    <s v="R9 380"/>
    <x v="0"/>
    <x v="0"/>
  </r>
  <r>
    <n v="239140"/>
    <s v="Dying Light"/>
    <d v="2015-01-26T00:00:00"/>
    <n v="4953"/>
    <b v="1"/>
    <n v="160"/>
    <s v="R9 380"/>
    <x v="1"/>
    <x v="1"/>
  </r>
  <r>
    <n v="239140"/>
    <s v="Dying Light"/>
    <d v="2015-01-26T00:00:00"/>
    <n v="4953"/>
    <b v="1"/>
    <n v="160"/>
    <s v="R9 380"/>
    <x v="2"/>
    <x v="1"/>
  </r>
  <r>
    <n v="239140"/>
    <s v="Dying Light"/>
    <d v="2015-01-26T00:00:00"/>
    <n v="4953"/>
    <b v="1"/>
    <n v="160"/>
    <s v="R9 380"/>
    <x v="3"/>
    <x v="1"/>
  </r>
  <r>
    <n v="239140"/>
    <s v="Dying Light"/>
    <d v="2015-01-26T00:00:00"/>
    <n v="4953"/>
    <b v="1"/>
    <n v="160"/>
    <s v="R9 380"/>
    <x v="4"/>
    <x v="0"/>
  </r>
  <r>
    <n v="239140"/>
    <s v="Dying Light"/>
    <d v="2015-01-26T00:00:00"/>
    <n v="4953"/>
    <b v="1"/>
    <n v="160"/>
    <s v="R9 380"/>
    <x v="5"/>
    <x v="1"/>
  </r>
  <r>
    <n v="239140"/>
    <s v="Dying Light"/>
    <d v="2015-01-26T00:00:00"/>
    <n v="4953"/>
    <b v="1"/>
    <n v="160"/>
    <s v="R9 380"/>
    <x v="6"/>
    <x v="1"/>
  </r>
  <r>
    <n v="367520"/>
    <s v="Hollow Knight"/>
    <d v="2017-02-24T00:00:00"/>
    <n v="4912"/>
    <b v="1"/>
    <n v="161"/>
    <s v="GTX 1050"/>
    <x v="0"/>
    <x v="0"/>
  </r>
  <r>
    <n v="367520"/>
    <s v="Hollow Knight"/>
    <d v="2017-02-24T00:00:00"/>
    <n v="4912"/>
    <b v="1"/>
    <n v="161"/>
    <s v="GTX 1050"/>
    <x v="1"/>
    <x v="0"/>
  </r>
  <r>
    <n v="367520"/>
    <s v="Hollow Knight"/>
    <d v="2017-02-24T00:00:00"/>
    <n v="4912"/>
    <b v="1"/>
    <n v="161"/>
    <s v="GTX 1050"/>
    <x v="2"/>
    <x v="0"/>
  </r>
  <r>
    <n v="367520"/>
    <s v="Hollow Knight"/>
    <d v="2017-02-24T00:00:00"/>
    <n v="4912"/>
    <b v="1"/>
    <n v="161"/>
    <s v="GTX 1050"/>
    <x v="3"/>
    <x v="1"/>
  </r>
  <r>
    <n v="367520"/>
    <s v="Hollow Knight"/>
    <d v="2017-02-24T00:00:00"/>
    <n v="4912"/>
    <b v="1"/>
    <n v="161"/>
    <s v="GTX 1050"/>
    <x v="4"/>
    <x v="1"/>
  </r>
  <r>
    <n v="367520"/>
    <s v="Hollow Knight"/>
    <d v="2017-02-24T00:00:00"/>
    <n v="4912"/>
    <b v="1"/>
    <n v="161"/>
    <s v="GTX 1050"/>
    <x v="5"/>
    <x v="1"/>
  </r>
  <r>
    <n v="367520"/>
    <s v="Hollow Knight"/>
    <d v="2017-02-24T00:00:00"/>
    <n v="4912"/>
    <b v="1"/>
    <n v="161"/>
    <s v="GTX 1050"/>
    <x v="6"/>
    <x v="1"/>
  </r>
  <r>
    <n v="359320"/>
    <s v="Elite Dangerous"/>
    <d v="2015-04-02T00:00:00"/>
    <n v="4845"/>
    <b v="0"/>
    <n v="162"/>
    <s v="R9 380"/>
    <x v="0"/>
    <x v="0"/>
  </r>
  <r>
    <n v="359320"/>
    <s v="Elite Dangerous"/>
    <d v="2015-04-02T00:00:00"/>
    <n v="4845"/>
    <b v="0"/>
    <n v="162"/>
    <s v="R9 380"/>
    <x v="1"/>
    <x v="1"/>
  </r>
  <r>
    <n v="359320"/>
    <s v="Elite Dangerous"/>
    <d v="2015-04-02T00:00:00"/>
    <n v="4845"/>
    <b v="0"/>
    <n v="162"/>
    <s v="R9 380"/>
    <x v="2"/>
    <x v="0"/>
  </r>
  <r>
    <n v="359320"/>
    <s v="Elite Dangerous"/>
    <d v="2015-04-02T00:00:00"/>
    <n v="4845"/>
    <b v="0"/>
    <n v="162"/>
    <s v="R9 380"/>
    <x v="3"/>
    <x v="0"/>
  </r>
  <r>
    <n v="359320"/>
    <s v="Elite Dangerous"/>
    <d v="2015-04-02T00:00:00"/>
    <n v="4845"/>
    <b v="0"/>
    <n v="162"/>
    <s v="R9 380"/>
    <x v="4"/>
    <x v="0"/>
  </r>
  <r>
    <n v="359320"/>
    <s v="Elite Dangerous"/>
    <d v="2015-04-02T00:00:00"/>
    <n v="4845"/>
    <b v="0"/>
    <n v="162"/>
    <s v="R9 380"/>
    <x v="5"/>
    <x v="0"/>
  </r>
  <r>
    <n v="359320"/>
    <s v="Elite Dangerous"/>
    <d v="2015-04-02T00:00:00"/>
    <n v="4845"/>
    <b v="0"/>
    <n v="162"/>
    <s v="R9 380"/>
    <x v="6"/>
    <x v="1"/>
  </r>
  <r>
    <n v="544810"/>
    <s v="KARDS - The WW2 Card Game"/>
    <d v="2020-04-15T00:00:00"/>
    <n v="4796"/>
    <b v="0"/>
    <n v="163"/>
    <s v="Intel UHD Graphics"/>
    <x v="0"/>
    <x v="1"/>
  </r>
  <r>
    <n v="544810"/>
    <s v="KARDS - The WW2 Card Game"/>
    <d v="2020-04-15T00:00:00"/>
    <n v="4796"/>
    <b v="0"/>
    <n v="163"/>
    <s v="Intel UHD Graphics"/>
    <x v="1"/>
    <x v="0"/>
  </r>
  <r>
    <n v="544810"/>
    <s v="KARDS - The WW2 Card Game"/>
    <d v="2020-04-15T00:00:00"/>
    <n v="4796"/>
    <b v="0"/>
    <n v="163"/>
    <s v="Intel UHD Graphics"/>
    <x v="2"/>
    <x v="1"/>
  </r>
  <r>
    <n v="544810"/>
    <s v="KARDS - The WW2 Card Game"/>
    <d v="2020-04-15T00:00:00"/>
    <n v="4796"/>
    <b v="0"/>
    <n v="163"/>
    <s v="Intel UHD Graphics"/>
    <x v="3"/>
    <x v="1"/>
  </r>
  <r>
    <n v="544810"/>
    <s v="KARDS - The WW2 Card Game"/>
    <d v="2020-04-15T00:00:00"/>
    <n v="4796"/>
    <b v="0"/>
    <n v="163"/>
    <s v="Intel UHD Graphics"/>
    <x v="4"/>
    <x v="1"/>
  </r>
  <r>
    <n v="544810"/>
    <s v="KARDS - The WW2 Card Game"/>
    <d v="2020-04-15T00:00:00"/>
    <n v="4796"/>
    <b v="0"/>
    <n v="163"/>
    <s v="Intel UHD Graphics"/>
    <x v="5"/>
    <x v="0"/>
  </r>
  <r>
    <n v="544810"/>
    <s v="KARDS - The WW2 Card Game"/>
    <d v="2020-04-15T00:00:00"/>
    <n v="4796"/>
    <b v="0"/>
    <n v="163"/>
    <s v="Intel UHD Graphics"/>
    <x v="6"/>
    <x v="0"/>
  </r>
  <r>
    <n v="2709570"/>
    <s v="Supermarket Together"/>
    <d v="2024-08-09T00:00:00"/>
    <n v="4704"/>
    <b v="0"/>
    <n v="164"/>
    <s v="GTX 1070"/>
    <x v="0"/>
    <x v="1"/>
  </r>
  <r>
    <n v="2709570"/>
    <s v="Supermarket Together"/>
    <d v="2024-08-09T00:00:00"/>
    <n v="4704"/>
    <b v="0"/>
    <n v="164"/>
    <s v="GTX 1070"/>
    <x v="1"/>
    <x v="0"/>
  </r>
  <r>
    <n v="2709570"/>
    <s v="Supermarket Together"/>
    <d v="2024-08-09T00:00:00"/>
    <n v="4704"/>
    <b v="0"/>
    <n v="164"/>
    <s v="GTX 1070"/>
    <x v="2"/>
    <x v="1"/>
  </r>
  <r>
    <n v="2709570"/>
    <s v="Supermarket Together"/>
    <d v="2024-08-09T00:00:00"/>
    <n v="4704"/>
    <b v="0"/>
    <n v="164"/>
    <s v="GTX 1070"/>
    <x v="3"/>
    <x v="0"/>
  </r>
  <r>
    <n v="2709570"/>
    <s v="Supermarket Together"/>
    <d v="2024-08-09T00:00:00"/>
    <n v="4704"/>
    <b v="0"/>
    <n v="164"/>
    <s v="GTX 1070"/>
    <x v="4"/>
    <x v="1"/>
  </r>
  <r>
    <n v="2709570"/>
    <s v="Supermarket Together"/>
    <d v="2024-08-09T00:00:00"/>
    <n v="4704"/>
    <b v="0"/>
    <n v="164"/>
    <s v="GTX 1070"/>
    <x v="5"/>
    <x v="1"/>
  </r>
  <r>
    <n v="2709570"/>
    <s v="Supermarket Together"/>
    <d v="2024-08-09T00:00:00"/>
    <n v="4704"/>
    <b v="0"/>
    <n v="164"/>
    <s v="GTX 1070"/>
    <x v="6"/>
    <x v="0"/>
  </r>
  <r>
    <n v="648800"/>
    <s v="Raft"/>
    <d v="2022-06-20T00:00:00"/>
    <n v="4701"/>
    <b v="0"/>
    <n v="165"/>
    <s v="GTX 1050"/>
    <x v="0"/>
    <x v="1"/>
  </r>
  <r>
    <n v="648800"/>
    <s v="Raft"/>
    <d v="2022-06-20T00:00:00"/>
    <n v="4701"/>
    <b v="0"/>
    <n v="165"/>
    <s v="GTX 1050"/>
    <x v="1"/>
    <x v="0"/>
  </r>
  <r>
    <n v="648800"/>
    <s v="Raft"/>
    <d v="2022-06-20T00:00:00"/>
    <n v="4701"/>
    <b v="0"/>
    <n v="165"/>
    <s v="GTX 1050"/>
    <x v="2"/>
    <x v="0"/>
  </r>
  <r>
    <n v="648800"/>
    <s v="Raft"/>
    <d v="2022-06-20T00:00:00"/>
    <n v="4701"/>
    <b v="0"/>
    <n v="165"/>
    <s v="GTX 1050"/>
    <x v="3"/>
    <x v="0"/>
  </r>
  <r>
    <n v="648800"/>
    <s v="Raft"/>
    <d v="2022-06-20T00:00:00"/>
    <n v="4701"/>
    <b v="0"/>
    <n v="165"/>
    <s v="GTX 1050"/>
    <x v="4"/>
    <x v="1"/>
  </r>
  <r>
    <n v="648800"/>
    <s v="Raft"/>
    <d v="2022-06-20T00:00:00"/>
    <n v="4701"/>
    <b v="0"/>
    <n v="165"/>
    <s v="GTX 1050"/>
    <x v="5"/>
    <x v="1"/>
  </r>
  <r>
    <n v="648800"/>
    <s v="Raft"/>
    <d v="2022-06-20T00:00:00"/>
    <n v="4701"/>
    <b v="0"/>
    <n v="165"/>
    <s v="GTX 1050"/>
    <x v="6"/>
    <x v="1"/>
  </r>
  <r>
    <n v="700330"/>
    <s v="SCP: Secret Laboratory"/>
    <d v="2017-12-29T00:00:00"/>
    <n v="4696"/>
    <b v="0"/>
    <n v="166"/>
    <s v="RTX 3060"/>
    <x v="0"/>
    <x v="0"/>
  </r>
  <r>
    <n v="700330"/>
    <s v="SCP: Secret Laboratory"/>
    <d v="2017-12-29T00:00:00"/>
    <n v="4696"/>
    <b v="0"/>
    <n v="166"/>
    <s v="RTX 3060"/>
    <x v="1"/>
    <x v="0"/>
  </r>
  <r>
    <n v="700330"/>
    <s v="SCP: Secret Laboratory"/>
    <d v="2017-12-29T00:00:00"/>
    <n v="4696"/>
    <b v="0"/>
    <n v="166"/>
    <s v="RTX 3060"/>
    <x v="2"/>
    <x v="1"/>
  </r>
  <r>
    <n v="700330"/>
    <s v="SCP: Secret Laboratory"/>
    <d v="2017-12-29T00:00:00"/>
    <n v="4696"/>
    <b v="0"/>
    <n v="166"/>
    <s v="RTX 3060"/>
    <x v="3"/>
    <x v="1"/>
  </r>
  <r>
    <n v="700330"/>
    <s v="SCP: Secret Laboratory"/>
    <d v="2017-12-29T00:00:00"/>
    <n v="4696"/>
    <b v="0"/>
    <n v="166"/>
    <s v="RTX 3060"/>
    <x v="4"/>
    <x v="0"/>
  </r>
  <r>
    <n v="700330"/>
    <s v="SCP: Secret Laboratory"/>
    <d v="2017-12-29T00:00:00"/>
    <n v="4696"/>
    <b v="0"/>
    <n v="166"/>
    <s v="RTX 3060"/>
    <x v="5"/>
    <x v="1"/>
  </r>
  <r>
    <n v="700330"/>
    <s v="SCP: Secret Laboratory"/>
    <d v="2017-12-29T00:00:00"/>
    <n v="4696"/>
    <b v="0"/>
    <n v="166"/>
    <s v="RTX 3060"/>
    <x v="6"/>
    <x v="0"/>
  </r>
  <r>
    <n v="238960"/>
    <s v="Path of Exile"/>
    <d v="2013-10-23T00:00:00"/>
    <n v="4694"/>
    <b v="1"/>
    <n v="167"/>
    <s v="R9 280X"/>
    <x v="0"/>
    <x v="0"/>
  </r>
  <r>
    <n v="238960"/>
    <s v="Path of Exile"/>
    <d v="2013-10-23T00:00:00"/>
    <n v="4694"/>
    <b v="1"/>
    <n v="167"/>
    <s v="R9 280X"/>
    <x v="1"/>
    <x v="0"/>
  </r>
  <r>
    <n v="238960"/>
    <s v="Path of Exile"/>
    <d v="2013-10-23T00:00:00"/>
    <n v="4694"/>
    <b v="1"/>
    <n v="167"/>
    <s v="R9 280X"/>
    <x v="2"/>
    <x v="0"/>
  </r>
  <r>
    <n v="238960"/>
    <s v="Path of Exile"/>
    <d v="2013-10-23T00:00:00"/>
    <n v="4694"/>
    <b v="1"/>
    <n v="167"/>
    <s v="R9 280X"/>
    <x v="3"/>
    <x v="1"/>
  </r>
  <r>
    <n v="238960"/>
    <s v="Path of Exile"/>
    <d v="2013-10-23T00:00:00"/>
    <n v="4694"/>
    <b v="1"/>
    <n v="167"/>
    <s v="R9 280X"/>
    <x v="4"/>
    <x v="0"/>
  </r>
  <r>
    <n v="238960"/>
    <s v="Path of Exile"/>
    <d v="2013-10-23T00:00:00"/>
    <n v="4694"/>
    <b v="1"/>
    <n v="167"/>
    <s v="R9 280X"/>
    <x v="5"/>
    <x v="1"/>
  </r>
  <r>
    <n v="238960"/>
    <s v="Path of Exile"/>
    <d v="2013-10-23T00:00:00"/>
    <n v="4694"/>
    <b v="1"/>
    <n v="167"/>
    <s v="R9 280X"/>
    <x v="6"/>
    <x v="0"/>
  </r>
  <r>
    <n v="529340"/>
    <s v="Victoria 3"/>
    <d v="2022-10-25T00:00:00"/>
    <n v="4609"/>
    <b v="1"/>
    <n v="168"/>
    <s v="GTX 1660"/>
    <x v="0"/>
    <x v="1"/>
  </r>
  <r>
    <n v="529340"/>
    <s v="Victoria 3"/>
    <d v="2022-10-25T00:00:00"/>
    <n v="4609"/>
    <b v="1"/>
    <n v="168"/>
    <s v="GTX 1660"/>
    <x v="1"/>
    <x v="1"/>
  </r>
  <r>
    <n v="529340"/>
    <s v="Victoria 3"/>
    <d v="2022-10-25T00:00:00"/>
    <n v="4609"/>
    <b v="1"/>
    <n v="168"/>
    <s v="GTX 1660"/>
    <x v="2"/>
    <x v="1"/>
  </r>
  <r>
    <n v="529340"/>
    <s v="Victoria 3"/>
    <d v="2022-10-25T00:00:00"/>
    <n v="4609"/>
    <b v="1"/>
    <n v="168"/>
    <s v="GTX 1660"/>
    <x v="3"/>
    <x v="0"/>
  </r>
  <r>
    <n v="529340"/>
    <s v="Victoria 3"/>
    <d v="2022-10-25T00:00:00"/>
    <n v="4609"/>
    <b v="1"/>
    <n v="168"/>
    <s v="GTX 1660"/>
    <x v="4"/>
    <x v="1"/>
  </r>
  <r>
    <n v="529340"/>
    <s v="Victoria 3"/>
    <d v="2022-10-25T00:00:00"/>
    <n v="4609"/>
    <b v="1"/>
    <n v="168"/>
    <s v="GTX 1660"/>
    <x v="5"/>
    <x v="0"/>
  </r>
  <r>
    <n v="529340"/>
    <s v="Victoria 3"/>
    <d v="2022-10-25T00:00:00"/>
    <n v="4609"/>
    <b v="1"/>
    <n v="168"/>
    <s v="GTX 1660"/>
    <x v="6"/>
    <x v="1"/>
  </r>
  <r>
    <n v="1267910"/>
    <s v="Melvor Idle"/>
    <d v="2021-11-18T00:00:00"/>
    <n v="4551"/>
    <b v="1"/>
    <n v="169"/>
    <s v="Radeon Vega 11"/>
    <x v="0"/>
    <x v="1"/>
  </r>
  <r>
    <n v="1267910"/>
    <s v="Melvor Idle"/>
    <d v="2021-11-18T00:00:00"/>
    <n v="4551"/>
    <b v="1"/>
    <n v="169"/>
    <s v="Radeon Vega 11"/>
    <x v="1"/>
    <x v="0"/>
  </r>
  <r>
    <n v="1267910"/>
    <s v="Melvor Idle"/>
    <d v="2021-11-18T00:00:00"/>
    <n v="4551"/>
    <b v="1"/>
    <n v="169"/>
    <s v="Radeon Vega 11"/>
    <x v="2"/>
    <x v="0"/>
  </r>
  <r>
    <n v="1267910"/>
    <s v="Melvor Idle"/>
    <d v="2021-11-18T00:00:00"/>
    <n v="4551"/>
    <b v="1"/>
    <n v="169"/>
    <s v="Radeon Vega 11"/>
    <x v="3"/>
    <x v="1"/>
  </r>
  <r>
    <n v="1267910"/>
    <s v="Melvor Idle"/>
    <d v="2021-11-18T00:00:00"/>
    <n v="4551"/>
    <b v="1"/>
    <n v="169"/>
    <s v="Radeon Vega 11"/>
    <x v="4"/>
    <x v="0"/>
  </r>
  <r>
    <n v="1267910"/>
    <s v="Melvor Idle"/>
    <d v="2021-11-18T00:00:00"/>
    <n v="4551"/>
    <b v="1"/>
    <n v="169"/>
    <s v="Radeon Vega 11"/>
    <x v="5"/>
    <x v="1"/>
  </r>
  <r>
    <n v="1267910"/>
    <s v="Melvor Idle"/>
    <d v="2021-11-18T00:00:00"/>
    <n v="4551"/>
    <b v="1"/>
    <n v="169"/>
    <s v="Radeon Vega 11"/>
    <x v="6"/>
    <x v="1"/>
  </r>
  <r>
    <n v="232090"/>
    <s v="Killing Floor 2"/>
    <d v="2016-11-18T00:00:00"/>
    <n v="4508"/>
    <b v="0"/>
    <n v="170"/>
    <s v="GTX 980 Ti"/>
    <x v="0"/>
    <x v="0"/>
  </r>
  <r>
    <n v="232090"/>
    <s v="Killing Floor 2"/>
    <d v="2016-11-18T00:00:00"/>
    <n v="4508"/>
    <b v="0"/>
    <n v="170"/>
    <s v="GTX 980 Ti"/>
    <x v="1"/>
    <x v="1"/>
  </r>
  <r>
    <n v="232090"/>
    <s v="Killing Floor 2"/>
    <d v="2016-11-18T00:00:00"/>
    <n v="4508"/>
    <b v="0"/>
    <n v="170"/>
    <s v="GTX 980 Ti"/>
    <x v="2"/>
    <x v="1"/>
  </r>
  <r>
    <n v="232090"/>
    <s v="Killing Floor 2"/>
    <d v="2016-11-18T00:00:00"/>
    <n v="4508"/>
    <b v="0"/>
    <n v="170"/>
    <s v="GTX 980 Ti"/>
    <x v="3"/>
    <x v="1"/>
  </r>
  <r>
    <n v="232090"/>
    <s v="Killing Floor 2"/>
    <d v="2016-11-18T00:00:00"/>
    <n v="4508"/>
    <b v="0"/>
    <n v="170"/>
    <s v="GTX 980 Ti"/>
    <x v="4"/>
    <x v="1"/>
  </r>
  <r>
    <n v="232090"/>
    <s v="Killing Floor 2"/>
    <d v="2016-11-18T00:00:00"/>
    <n v="4508"/>
    <b v="0"/>
    <n v="170"/>
    <s v="GTX 980 Ti"/>
    <x v="5"/>
    <x v="1"/>
  </r>
  <r>
    <n v="232090"/>
    <s v="Killing Floor 2"/>
    <d v="2016-11-18T00:00:00"/>
    <n v="4508"/>
    <b v="0"/>
    <n v="170"/>
    <s v="GTX 980 Ti"/>
    <x v="6"/>
    <x v="1"/>
  </r>
  <r>
    <n v="779340"/>
    <s v="Total War: THREE KINGDOMS"/>
    <d v="2019-05-23T00:00:00"/>
    <n v="4507"/>
    <b v="1"/>
    <n v="171"/>
    <s v="GTX 970"/>
    <x v="0"/>
    <x v="0"/>
  </r>
  <r>
    <n v="779340"/>
    <s v="Total War: THREE KINGDOMS"/>
    <d v="2019-05-23T00:00:00"/>
    <n v="4507"/>
    <b v="1"/>
    <n v="171"/>
    <s v="GTX 970"/>
    <x v="1"/>
    <x v="1"/>
  </r>
  <r>
    <n v="779340"/>
    <s v="Total War: THREE KINGDOMS"/>
    <d v="2019-05-23T00:00:00"/>
    <n v="4507"/>
    <b v="1"/>
    <n v="171"/>
    <s v="GTX 970"/>
    <x v="2"/>
    <x v="1"/>
  </r>
  <r>
    <n v="779340"/>
    <s v="Total War: THREE KINGDOMS"/>
    <d v="2019-05-23T00:00:00"/>
    <n v="4507"/>
    <b v="1"/>
    <n v="171"/>
    <s v="GTX 970"/>
    <x v="3"/>
    <x v="1"/>
  </r>
  <r>
    <n v="779340"/>
    <s v="Total War: THREE KINGDOMS"/>
    <d v="2019-05-23T00:00:00"/>
    <n v="4507"/>
    <b v="1"/>
    <n v="171"/>
    <s v="GTX 970"/>
    <x v="4"/>
    <x v="1"/>
  </r>
  <r>
    <n v="779340"/>
    <s v="Total War: THREE KINGDOMS"/>
    <d v="2019-05-23T00:00:00"/>
    <n v="4507"/>
    <b v="1"/>
    <n v="171"/>
    <s v="GTX 970"/>
    <x v="5"/>
    <x v="0"/>
  </r>
  <r>
    <n v="779340"/>
    <s v="Total War: THREE KINGDOMS"/>
    <d v="2019-05-23T00:00:00"/>
    <n v="4507"/>
    <b v="1"/>
    <n v="171"/>
    <s v="GTX 970"/>
    <x v="6"/>
    <x v="1"/>
  </r>
  <r>
    <n v="1118200"/>
    <s v="People Playground"/>
    <d v="2019-07-23T00:00:00"/>
    <n v="4505"/>
    <b v="0"/>
    <n v="172"/>
    <s v="Radeon Vega 11"/>
    <x v="0"/>
    <x v="0"/>
  </r>
  <r>
    <n v="1118200"/>
    <s v="People Playground"/>
    <d v="2019-07-23T00:00:00"/>
    <n v="4505"/>
    <b v="0"/>
    <n v="172"/>
    <s v="Radeon Vega 11"/>
    <x v="1"/>
    <x v="0"/>
  </r>
  <r>
    <n v="1118200"/>
    <s v="People Playground"/>
    <d v="2019-07-23T00:00:00"/>
    <n v="4505"/>
    <b v="0"/>
    <n v="172"/>
    <s v="Radeon Vega 11"/>
    <x v="2"/>
    <x v="1"/>
  </r>
  <r>
    <n v="1118200"/>
    <s v="People Playground"/>
    <d v="2019-07-23T00:00:00"/>
    <n v="4505"/>
    <b v="0"/>
    <n v="172"/>
    <s v="Radeon Vega 11"/>
    <x v="3"/>
    <x v="0"/>
  </r>
  <r>
    <n v="1118200"/>
    <s v="People Playground"/>
    <d v="2019-07-23T00:00:00"/>
    <n v="4505"/>
    <b v="0"/>
    <n v="172"/>
    <s v="Radeon Vega 11"/>
    <x v="4"/>
    <x v="1"/>
  </r>
  <r>
    <n v="1118200"/>
    <s v="People Playground"/>
    <d v="2019-07-23T00:00:00"/>
    <n v="4505"/>
    <b v="0"/>
    <n v="172"/>
    <s v="Radeon Vega 11"/>
    <x v="5"/>
    <x v="1"/>
  </r>
  <r>
    <n v="1118200"/>
    <s v="People Playground"/>
    <d v="2019-07-23T00:00:00"/>
    <n v="4505"/>
    <b v="0"/>
    <n v="172"/>
    <s v="Radeon Vega 11"/>
    <x v="6"/>
    <x v="1"/>
  </r>
  <r>
    <n v="1326470"/>
    <s v="Sons Of The Forest"/>
    <d v="2024-02-22T00:00:00"/>
    <n v="4450"/>
    <b v="0"/>
    <n v="173"/>
    <s v="RX 5700 XT"/>
    <x v="0"/>
    <x v="0"/>
  </r>
  <r>
    <n v="1326470"/>
    <s v="Sons Of The Forest"/>
    <d v="2024-02-22T00:00:00"/>
    <n v="4450"/>
    <b v="0"/>
    <n v="173"/>
    <s v="RX 5700 XT"/>
    <x v="1"/>
    <x v="0"/>
  </r>
  <r>
    <n v="1326470"/>
    <s v="Sons Of The Forest"/>
    <d v="2024-02-22T00:00:00"/>
    <n v="4450"/>
    <b v="0"/>
    <n v="173"/>
    <s v="RX 5700 XT"/>
    <x v="2"/>
    <x v="0"/>
  </r>
  <r>
    <n v="1326470"/>
    <s v="Sons Of The Forest"/>
    <d v="2024-02-22T00:00:00"/>
    <n v="4450"/>
    <b v="0"/>
    <n v="173"/>
    <s v="RX 5700 XT"/>
    <x v="3"/>
    <x v="0"/>
  </r>
  <r>
    <n v="1326470"/>
    <s v="Sons Of The Forest"/>
    <d v="2024-02-22T00:00:00"/>
    <n v="4450"/>
    <b v="0"/>
    <n v="173"/>
    <s v="RX 5700 XT"/>
    <x v="4"/>
    <x v="1"/>
  </r>
  <r>
    <n v="1326470"/>
    <s v="Sons Of The Forest"/>
    <d v="2024-02-22T00:00:00"/>
    <n v="4450"/>
    <b v="0"/>
    <n v="173"/>
    <s v="RX 5700 XT"/>
    <x v="5"/>
    <x v="1"/>
  </r>
  <r>
    <n v="1326470"/>
    <s v="Sons Of The Forest"/>
    <d v="2024-02-22T00:00:00"/>
    <n v="4450"/>
    <b v="0"/>
    <n v="173"/>
    <s v="RX 5700 XT"/>
    <x v="6"/>
    <x v="1"/>
  </r>
  <r>
    <n v="1778820"/>
    <s v="TEKKEN 8"/>
    <d v="2024-01-25T00:00:00"/>
    <n v="4409"/>
    <b v="0"/>
    <n v="174"/>
    <s v="RTX 2070"/>
    <x v="0"/>
    <x v="0"/>
  </r>
  <r>
    <n v="1778820"/>
    <s v="TEKKEN 8"/>
    <d v="2024-01-25T00:00:00"/>
    <n v="4409"/>
    <b v="0"/>
    <n v="174"/>
    <s v="RTX 2070"/>
    <x v="1"/>
    <x v="1"/>
  </r>
  <r>
    <n v="1778820"/>
    <s v="TEKKEN 8"/>
    <d v="2024-01-25T00:00:00"/>
    <n v="4409"/>
    <b v="0"/>
    <n v="174"/>
    <s v="RTX 2070"/>
    <x v="2"/>
    <x v="1"/>
  </r>
  <r>
    <n v="1778820"/>
    <s v="TEKKEN 8"/>
    <d v="2024-01-25T00:00:00"/>
    <n v="4409"/>
    <b v="0"/>
    <n v="174"/>
    <s v="RTX 2070"/>
    <x v="3"/>
    <x v="1"/>
  </r>
  <r>
    <n v="1778820"/>
    <s v="TEKKEN 8"/>
    <d v="2024-01-25T00:00:00"/>
    <n v="4409"/>
    <b v="0"/>
    <n v="174"/>
    <s v="RTX 2070"/>
    <x v="4"/>
    <x v="1"/>
  </r>
  <r>
    <n v="1778820"/>
    <s v="TEKKEN 8"/>
    <d v="2024-01-25T00:00:00"/>
    <n v="4409"/>
    <b v="0"/>
    <n v="174"/>
    <s v="RTX 2070"/>
    <x v="5"/>
    <x v="1"/>
  </r>
  <r>
    <n v="1778820"/>
    <s v="TEKKEN 8"/>
    <d v="2024-01-25T00:00:00"/>
    <n v="4409"/>
    <b v="0"/>
    <n v="174"/>
    <s v="RTX 2070"/>
    <x v="6"/>
    <x v="1"/>
  </r>
  <r>
    <n v="2531310"/>
    <s v="The Last of Us Part II Remastered"/>
    <d v="2025-04-03T00:00:00"/>
    <n v="4405"/>
    <b v="0"/>
    <n v="175"/>
    <s v="RTX 3060"/>
    <x v="0"/>
    <x v="0"/>
  </r>
  <r>
    <n v="2531310"/>
    <s v="The Last of Us Part II Remastered"/>
    <d v="2025-04-03T00:00:00"/>
    <n v="4405"/>
    <b v="0"/>
    <n v="175"/>
    <s v="RTX 3060"/>
    <x v="1"/>
    <x v="1"/>
  </r>
  <r>
    <n v="2531310"/>
    <s v="The Last of Us Part II Remastered"/>
    <d v="2025-04-03T00:00:00"/>
    <n v="4405"/>
    <b v="0"/>
    <n v="175"/>
    <s v="RTX 3060"/>
    <x v="2"/>
    <x v="0"/>
  </r>
  <r>
    <n v="2531310"/>
    <s v="The Last of Us Part II Remastered"/>
    <d v="2025-04-03T00:00:00"/>
    <n v="4405"/>
    <b v="0"/>
    <n v="175"/>
    <s v="RTX 3060"/>
    <x v="3"/>
    <x v="1"/>
  </r>
  <r>
    <n v="2531310"/>
    <s v="The Last of Us Part II Remastered"/>
    <d v="2025-04-03T00:00:00"/>
    <n v="4405"/>
    <b v="0"/>
    <n v="175"/>
    <s v="RTX 3060"/>
    <x v="4"/>
    <x v="1"/>
  </r>
  <r>
    <n v="2531310"/>
    <s v="The Last of Us Part II Remastered"/>
    <d v="2025-04-03T00:00:00"/>
    <n v="4405"/>
    <b v="0"/>
    <n v="175"/>
    <s v="RTX 3060"/>
    <x v="5"/>
    <x v="1"/>
  </r>
  <r>
    <n v="2531310"/>
    <s v="The Last of Us Part II Remastered"/>
    <d v="2025-04-03T00:00:00"/>
    <n v="4405"/>
    <b v="0"/>
    <n v="175"/>
    <s v="RTX 3060"/>
    <x v="6"/>
    <x v="1"/>
  </r>
  <r>
    <n v="1594320"/>
    <s v="Captain of Industry"/>
    <d v="2022-05-31T00:00:00"/>
    <n v="4404"/>
    <b v="0"/>
    <n v="176"/>
    <s v="GTX 1660"/>
    <x v="0"/>
    <x v="1"/>
  </r>
  <r>
    <n v="1594320"/>
    <s v="Captain of Industry"/>
    <d v="2022-05-31T00:00:00"/>
    <n v="4404"/>
    <b v="0"/>
    <n v="176"/>
    <s v="GTX 1660"/>
    <x v="1"/>
    <x v="0"/>
  </r>
  <r>
    <n v="1594320"/>
    <s v="Captain of Industry"/>
    <d v="2022-05-31T00:00:00"/>
    <n v="4404"/>
    <b v="0"/>
    <n v="176"/>
    <s v="GTX 1660"/>
    <x v="2"/>
    <x v="1"/>
  </r>
  <r>
    <n v="1594320"/>
    <s v="Captain of Industry"/>
    <d v="2022-05-31T00:00:00"/>
    <n v="4404"/>
    <b v="0"/>
    <n v="176"/>
    <s v="GTX 1660"/>
    <x v="3"/>
    <x v="0"/>
  </r>
  <r>
    <n v="1594320"/>
    <s v="Captain of Industry"/>
    <d v="2022-05-31T00:00:00"/>
    <n v="4404"/>
    <b v="0"/>
    <n v="176"/>
    <s v="GTX 1660"/>
    <x v="4"/>
    <x v="1"/>
  </r>
  <r>
    <n v="1594320"/>
    <s v="Captain of Industry"/>
    <d v="2022-05-31T00:00:00"/>
    <n v="4404"/>
    <b v="0"/>
    <n v="176"/>
    <s v="GTX 1660"/>
    <x v="5"/>
    <x v="0"/>
  </r>
  <r>
    <n v="1594320"/>
    <s v="Captain of Industry"/>
    <d v="2022-05-31T00:00:00"/>
    <n v="4404"/>
    <b v="0"/>
    <n v="176"/>
    <s v="GTX 1660"/>
    <x v="6"/>
    <x v="1"/>
  </r>
  <r>
    <n v="1569580"/>
    <s v="Blue Prince"/>
    <d v="2025-04-10T00:00:00"/>
    <n v="4395"/>
    <b v="1"/>
    <n v="177"/>
    <s v="RX 5700"/>
    <x v="0"/>
    <x v="1"/>
  </r>
  <r>
    <n v="1569580"/>
    <s v="Blue Prince"/>
    <d v="2025-04-10T00:00:00"/>
    <n v="4395"/>
    <b v="1"/>
    <n v="177"/>
    <s v="RX 5700"/>
    <x v="1"/>
    <x v="0"/>
  </r>
  <r>
    <n v="1569580"/>
    <s v="Blue Prince"/>
    <d v="2025-04-10T00:00:00"/>
    <n v="4395"/>
    <b v="1"/>
    <n v="177"/>
    <s v="RX 5700"/>
    <x v="2"/>
    <x v="0"/>
  </r>
  <r>
    <n v="1569580"/>
    <s v="Blue Prince"/>
    <d v="2025-04-10T00:00:00"/>
    <n v="4395"/>
    <b v="1"/>
    <n v="177"/>
    <s v="RX 5700"/>
    <x v="3"/>
    <x v="1"/>
  </r>
  <r>
    <n v="1569580"/>
    <s v="Blue Prince"/>
    <d v="2025-04-10T00:00:00"/>
    <n v="4395"/>
    <b v="1"/>
    <n v="177"/>
    <s v="RX 5700"/>
    <x v="4"/>
    <x v="1"/>
  </r>
  <r>
    <n v="1569580"/>
    <s v="Blue Prince"/>
    <d v="2025-04-10T00:00:00"/>
    <n v="4395"/>
    <b v="1"/>
    <n v="177"/>
    <s v="RX 5700"/>
    <x v="5"/>
    <x v="0"/>
  </r>
  <r>
    <n v="1569580"/>
    <s v="Blue Prince"/>
    <d v="2025-04-10T00:00:00"/>
    <n v="4395"/>
    <b v="1"/>
    <n v="177"/>
    <s v="RX 5700"/>
    <x v="6"/>
    <x v="1"/>
  </r>
  <r>
    <n v="374320"/>
    <s v="DARK SOULS III"/>
    <d v="2016-04-11T00:00:00"/>
    <n v="4381"/>
    <b v="0"/>
    <n v="178"/>
    <s v="GTX 970"/>
    <x v="0"/>
    <x v="0"/>
  </r>
  <r>
    <n v="374320"/>
    <s v="DARK SOULS III"/>
    <d v="2016-04-11T00:00:00"/>
    <n v="4381"/>
    <b v="0"/>
    <n v="178"/>
    <s v="GTX 970"/>
    <x v="1"/>
    <x v="1"/>
  </r>
  <r>
    <n v="374320"/>
    <s v="DARK SOULS III"/>
    <d v="2016-04-11T00:00:00"/>
    <n v="4381"/>
    <b v="0"/>
    <n v="178"/>
    <s v="GTX 970"/>
    <x v="2"/>
    <x v="1"/>
  </r>
  <r>
    <n v="374320"/>
    <s v="DARK SOULS III"/>
    <d v="2016-04-11T00:00:00"/>
    <n v="4381"/>
    <b v="0"/>
    <n v="178"/>
    <s v="GTX 970"/>
    <x v="3"/>
    <x v="1"/>
  </r>
  <r>
    <n v="374320"/>
    <s v="DARK SOULS III"/>
    <d v="2016-04-11T00:00:00"/>
    <n v="4381"/>
    <b v="0"/>
    <n v="178"/>
    <s v="GTX 970"/>
    <x v="4"/>
    <x v="1"/>
  </r>
  <r>
    <n v="374320"/>
    <s v="DARK SOULS III"/>
    <d v="2016-04-11T00:00:00"/>
    <n v="4381"/>
    <b v="0"/>
    <n v="178"/>
    <s v="GTX 970"/>
    <x v="5"/>
    <x v="1"/>
  </r>
  <r>
    <n v="374320"/>
    <s v="DARK SOULS III"/>
    <d v="2016-04-11T00:00:00"/>
    <n v="4381"/>
    <b v="0"/>
    <n v="178"/>
    <s v="GTX 970"/>
    <x v="6"/>
    <x v="1"/>
  </r>
  <r>
    <n v="2543180"/>
    <s v="POPUCOM"/>
    <d v="2025-06-01T00:00:00"/>
    <n v="4352"/>
    <b v="0"/>
    <n v="179"/>
    <s v="RTX 2060"/>
    <x v="0"/>
    <x v="0"/>
  </r>
  <r>
    <n v="2543180"/>
    <s v="POPUCOM"/>
    <d v="2025-06-01T00:00:00"/>
    <n v="4352"/>
    <b v="0"/>
    <n v="179"/>
    <s v="RTX 2060"/>
    <x v="1"/>
    <x v="1"/>
  </r>
  <r>
    <n v="2543180"/>
    <s v="POPUCOM"/>
    <d v="2025-06-01T00:00:00"/>
    <n v="4352"/>
    <b v="0"/>
    <n v="179"/>
    <s v="RTX 2060"/>
    <x v="2"/>
    <x v="0"/>
  </r>
  <r>
    <n v="2543180"/>
    <s v="POPUCOM"/>
    <d v="2025-06-01T00:00:00"/>
    <n v="4352"/>
    <b v="0"/>
    <n v="179"/>
    <s v="RTX 2060"/>
    <x v="3"/>
    <x v="1"/>
  </r>
  <r>
    <n v="2543180"/>
    <s v="POPUCOM"/>
    <d v="2025-06-01T00:00:00"/>
    <n v="4352"/>
    <b v="0"/>
    <n v="179"/>
    <s v="RTX 2060"/>
    <x v="4"/>
    <x v="1"/>
  </r>
  <r>
    <n v="2543180"/>
    <s v="POPUCOM"/>
    <d v="2025-06-01T00:00:00"/>
    <n v="4352"/>
    <b v="0"/>
    <n v="179"/>
    <s v="RTX 2060"/>
    <x v="5"/>
    <x v="1"/>
  </r>
  <r>
    <n v="2543180"/>
    <s v="POPUCOM"/>
    <d v="2025-06-01T00:00:00"/>
    <n v="4352"/>
    <b v="0"/>
    <n v="179"/>
    <s v="RTX 2060"/>
    <x v="6"/>
    <x v="1"/>
  </r>
  <r>
    <n v="1144200"/>
    <s v="Ready or Not"/>
    <d v="2023-12-13T00:00:00"/>
    <n v="4296"/>
    <b v="0"/>
    <n v="180"/>
    <s v="GTX 1060"/>
    <x v="0"/>
    <x v="0"/>
  </r>
  <r>
    <n v="1144200"/>
    <s v="Ready or Not"/>
    <d v="2023-12-13T00:00:00"/>
    <n v="4296"/>
    <b v="0"/>
    <n v="180"/>
    <s v="GTX 1060"/>
    <x v="1"/>
    <x v="0"/>
  </r>
  <r>
    <n v="1144200"/>
    <s v="Ready or Not"/>
    <d v="2023-12-13T00:00:00"/>
    <n v="4296"/>
    <b v="0"/>
    <n v="180"/>
    <s v="GTX 1060"/>
    <x v="2"/>
    <x v="0"/>
  </r>
  <r>
    <n v="1144200"/>
    <s v="Ready or Not"/>
    <d v="2023-12-13T00:00:00"/>
    <n v="4296"/>
    <b v="0"/>
    <n v="180"/>
    <s v="GTX 1060"/>
    <x v="3"/>
    <x v="1"/>
  </r>
  <r>
    <n v="1144200"/>
    <s v="Ready or Not"/>
    <d v="2023-12-13T00:00:00"/>
    <n v="4296"/>
    <b v="0"/>
    <n v="180"/>
    <s v="GTX 1060"/>
    <x v="4"/>
    <x v="1"/>
  </r>
  <r>
    <n v="1144200"/>
    <s v="Ready or Not"/>
    <d v="2023-12-13T00:00:00"/>
    <n v="4296"/>
    <b v="0"/>
    <n v="180"/>
    <s v="GTX 1060"/>
    <x v="5"/>
    <x v="1"/>
  </r>
  <r>
    <n v="1144200"/>
    <s v="Ready or Not"/>
    <d v="2023-12-13T00:00:00"/>
    <n v="4296"/>
    <b v="0"/>
    <n v="180"/>
    <s v="GTX 1060"/>
    <x v="6"/>
    <x v="1"/>
  </r>
  <r>
    <n v="534380"/>
    <s v="Dying Light 2 Stay Human: Reloaded Edition"/>
    <d v="2022-02-03T00:00:00"/>
    <n v="4223"/>
    <b v="0"/>
    <n v="181"/>
    <s v="GTX 1050 Ti"/>
    <x v="0"/>
    <x v="0"/>
  </r>
  <r>
    <n v="534380"/>
    <s v="Dying Light 2 Stay Human: Reloaded Edition"/>
    <d v="2022-02-03T00:00:00"/>
    <n v="4223"/>
    <b v="0"/>
    <n v="181"/>
    <s v="GTX 1050 Ti"/>
    <x v="1"/>
    <x v="1"/>
  </r>
  <r>
    <n v="534380"/>
    <s v="Dying Light 2 Stay Human: Reloaded Edition"/>
    <d v="2022-02-03T00:00:00"/>
    <n v="4223"/>
    <b v="0"/>
    <n v="181"/>
    <s v="GTX 1050 Ti"/>
    <x v="2"/>
    <x v="0"/>
  </r>
  <r>
    <n v="534380"/>
    <s v="Dying Light 2 Stay Human: Reloaded Edition"/>
    <d v="2022-02-03T00:00:00"/>
    <n v="4223"/>
    <b v="0"/>
    <n v="181"/>
    <s v="GTX 1050 Ti"/>
    <x v="3"/>
    <x v="1"/>
  </r>
  <r>
    <n v="534380"/>
    <s v="Dying Light 2 Stay Human: Reloaded Edition"/>
    <d v="2022-02-03T00:00:00"/>
    <n v="4223"/>
    <b v="0"/>
    <n v="181"/>
    <s v="GTX 1050 Ti"/>
    <x v="4"/>
    <x v="0"/>
  </r>
  <r>
    <n v="534380"/>
    <s v="Dying Light 2 Stay Human: Reloaded Edition"/>
    <d v="2022-02-03T00:00:00"/>
    <n v="4223"/>
    <b v="0"/>
    <n v="181"/>
    <s v="GTX 1050 Ti"/>
    <x v="5"/>
    <x v="1"/>
  </r>
  <r>
    <n v="534380"/>
    <s v="Dying Light 2 Stay Human: Reloaded Edition"/>
    <d v="2022-02-03T00:00:00"/>
    <n v="4223"/>
    <b v="0"/>
    <n v="181"/>
    <s v="GTX 1050 Ti"/>
    <x v="6"/>
    <x v="1"/>
  </r>
  <r>
    <n v="244850"/>
    <s v="Space Engineers"/>
    <d v="2019-02-28T00:00:00"/>
    <n v="4201"/>
    <b v="0"/>
    <n v="182"/>
    <s v="GTX 1050"/>
    <x v="0"/>
    <x v="0"/>
  </r>
  <r>
    <n v="244850"/>
    <s v="Space Engineers"/>
    <d v="2019-02-28T00:00:00"/>
    <n v="4201"/>
    <b v="0"/>
    <n v="182"/>
    <s v="GTX 1050"/>
    <x v="1"/>
    <x v="0"/>
  </r>
  <r>
    <n v="244850"/>
    <s v="Space Engineers"/>
    <d v="2019-02-28T00:00:00"/>
    <n v="4201"/>
    <b v="0"/>
    <n v="182"/>
    <s v="GTX 1050"/>
    <x v="2"/>
    <x v="1"/>
  </r>
  <r>
    <n v="244850"/>
    <s v="Space Engineers"/>
    <d v="2019-02-28T00:00:00"/>
    <n v="4201"/>
    <b v="0"/>
    <n v="182"/>
    <s v="GTX 1050"/>
    <x v="3"/>
    <x v="0"/>
  </r>
  <r>
    <n v="244850"/>
    <s v="Space Engineers"/>
    <d v="2019-02-28T00:00:00"/>
    <n v="4201"/>
    <b v="0"/>
    <n v="182"/>
    <s v="GTX 1050"/>
    <x v="4"/>
    <x v="1"/>
  </r>
  <r>
    <n v="244850"/>
    <s v="Space Engineers"/>
    <d v="2019-02-28T00:00:00"/>
    <n v="4201"/>
    <b v="0"/>
    <n v="182"/>
    <s v="GTX 1050"/>
    <x v="5"/>
    <x v="0"/>
  </r>
  <r>
    <n v="244850"/>
    <s v="Space Engineers"/>
    <d v="2019-02-28T00:00:00"/>
    <n v="4201"/>
    <b v="0"/>
    <n v="182"/>
    <s v="GTX 1050"/>
    <x v="6"/>
    <x v="1"/>
  </r>
  <r>
    <n v="1904540"/>
    <s v="Football Manager 2023"/>
    <d v="2022-11-08T00:00:00"/>
    <n v="4178"/>
    <b v="1"/>
    <n v="183"/>
    <s v="Radeon Vega 11"/>
    <x v="0"/>
    <x v="1"/>
  </r>
  <r>
    <n v="1904540"/>
    <s v="Football Manager 2023"/>
    <d v="2022-11-08T00:00:00"/>
    <n v="4178"/>
    <b v="1"/>
    <n v="183"/>
    <s v="Radeon Vega 11"/>
    <x v="1"/>
    <x v="1"/>
  </r>
  <r>
    <n v="1904540"/>
    <s v="Football Manager 2023"/>
    <d v="2022-11-08T00:00:00"/>
    <n v="4178"/>
    <b v="1"/>
    <n v="183"/>
    <s v="Radeon Vega 11"/>
    <x v="2"/>
    <x v="1"/>
  </r>
  <r>
    <n v="1904540"/>
    <s v="Football Manager 2023"/>
    <d v="2022-11-08T00:00:00"/>
    <n v="4178"/>
    <b v="1"/>
    <n v="183"/>
    <s v="Radeon Vega 11"/>
    <x v="3"/>
    <x v="0"/>
  </r>
  <r>
    <n v="1904540"/>
    <s v="Football Manager 2023"/>
    <d v="2022-11-08T00:00:00"/>
    <n v="4178"/>
    <b v="1"/>
    <n v="183"/>
    <s v="Radeon Vega 11"/>
    <x v="4"/>
    <x v="1"/>
  </r>
  <r>
    <n v="1904540"/>
    <s v="Football Manager 2023"/>
    <d v="2022-11-08T00:00:00"/>
    <n v="4178"/>
    <b v="1"/>
    <n v="183"/>
    <s v="Radeon Vega 11"/>
    <x v="5"/>
    <x v="1"/>
  </r>
  <r>
    <n v="1904540"/>
    <s v="Football Manager 2023"/>
    <d v="2022-11-08T00:00:00"/>
    <n v="4178"/>
    <b v="1"/>
    <n v="183"/>
    <s v="Radeon Vega 11"/>
    <x v="6"/>
    <x v="1"/>
  </r>
  <r>
    <n v="1888930"/>
    <s v="The Last of Us Part I"/>
    <d v="2023-03-28T00:00:00"/>
    <n v="4144"/>
    <b v="0"/>
    <n v="184"/>
    <s v="RX 5700 XT"/>
    <x v="0"/>
    <x v="0"/>
  </r>
  <r>
    <n v="1888930"/>
    <s v="The Last of Us Part I"/>
    <d v="2023-03-28T00:00:00"/>
    <n v="4144"/>
    <b v="0"/>
    <n v="184"/>
    <s v="RX 5700 XT"/>
    <x v="1"/>
    <x v="1"/>
  </r>
  <r>
    <n v="1888930"/>
    <s v="The Last of Us Part I"/>
    <d v="2023-03-28T00:00:00"/>
    <n v="4144"/>
    <b v="0"/>
    <n v="184"/>
    <s v="RX 5700 XT"/>
    <x v="2"/>
    <x v="0"/>
  </r>
  <r>
    <n v="1888930"/>
    <s v="The Last of Us Part I"/>
    <d v="2023-03-28T00:00:00"/>
    <n v="4144"/>
    <b v="0"/>
    <n v="184"/>
    <s v="RX 5700 XT"/>
    <x v="3"/>
    <x v="1"/>
  </r>
  <r>
    <n v="1888930"/>
    <s v="The Last of Us Part I"/>
    <d v="2023-03-28T00:00:00"/>
    <n v="4144"/>
    <b v="0"/>
    <n v="184"/>
    <s v="RX 5700 XT"/>
    <x v="4"/>
    <x v="1"/>
  </r>
  <r>
    <n v="1888930"/>
    <s v="The Last of Us Part I"/>
    <d v="2023-03-28T00:00:00"/>
    <n v="4144"/>
    <b v="0"/>
    <n v="184"/>
    <s v="RX 5700 XT"/>
    <x v="5"/>
    <x v="1"/>
  </r>
  <r>
    <n v="1888930"/>
    <s v="The Last of Us Part I"/>
    <d v="2023-03-28T00:00:00"/>
    <n v="4144"/>
    <b v="0"/>
    <n v="184"/>
    <s v="RX 5700 XT"/>
    <x v="6"/>
    <x v="1"/>
  </r>
  <r>
    <n v="1468810"/>
    <s v="ｬｼｰｷｫ Tale of Immortal"/>
    <d v="2023-05-26T00:00:00"/>
    <n v="4116"/>
    <b v="0"/>
    <n v="185"/>
    <s v="Intel UHD Graphics"/>
    <x v="0"/>
    <x v="0"/>
  </r>
  <r>
    <n v="1468810"/>
    <s v="ｬｼｰｷｫ Tale of Immortal"/>
    <d v="2023-05-26T00:00:00"/>
    <n v="4116"/>
    <b v="0"/>
    <n v="185"/>
    <s v="Intel UHD Graphics"/>
    <x v="1"/>
    <x v="0"/>
  </r>
  <r>
    <n v="1468810"/>
    <s v="ｬｼｰｷｫ Tale of Immortal"/>
    <d v="2023-05-26T00:00:00"/>
    <n v="4116"/>
    <b v="0"/>
    <n v="185"/>
    <s v="Intel UHD Graphics"/>
    <x v="2"/>
    <x v="0"/>
  </r>
  <r>
    <n v="1468810"/>
    <s v="ｬｼｰｷｫ Tale of Immortal"/>
    <d v="2023-05-26T00:00:00"/>
    <n v="4116"/>
    <b v="0"/>
    <n v="185"/>
    <s v="Intel UHD Graphics"/>
    <x v="3"/>
    <x v="0"/>
  </r>
  <r>
    <n v="1468810"/>
    <s v="ｬｼｰｷｫ Tale of Immortal"/>
    <d v="2023-05-26T00:00:00"/>
    <n v="4116"/>
    <b v="0"/>
    <n v="185"/>
    <s v="Intel UHD Graphics"/>
    <x v="4"/>
    <x v="0"/>
  </r>
  <r>
    <n v="1468810"/>
    <s v="ｬｼｰｷｫ Tale of Immortal"/>
    <d v="2023-05-26T00:00:00"/>
    <n v="4116"/>
    <b v="0"/>
    <n v="185"/>
    <s v="Intel UHD Graphics"/>
    <x v="5"/>
    <x v="1"/>
  </r>
  <r>
    <n v="1468810"/>
    <s v="ｬｼｰｷｫ Tale of Immortal"/>
    <d v="2023-05-26T00:00:00"/>
    <n v="4116"/>
    <b v="0"/>
    <n v="185"/>
    <s v="Intel UHD Graphics"/>
    <x v="6"/>
    <x v="1"/>
  </r>
  <r>
    <n v="214950"/>
    <s v="Total War: ROME II - Emperor Edition"/>
    <d v="2013-09-02T00:00:00"/>
    <n v="3901"/>
    <b v="1"/>
    <n v="186"/>
    <s v="Radeon Graphics"/>
    <x v="0"/>
    <x v="1"/>
  </r>
  <r>
    <n v="214950"/>
    <s v="Total War: ROME II - Emperor Edition"/>
    <d v="2013-09-02T00:00:00"/>
    <n v="3901"/>
    <b v="1"/>
    <n v="186"/>
    <s v="Radeon Graphics"/>
    <x v="1"/>
    <x v="1"/>
  </r>
  <r>
    <n v="214950"/>
    <s v="Total War: ROME II - Emperor Edition"/>
    <d v="2013-09-02T00:00:00"/>
    <n v="3901"/>
    <b v="1"/>
    <n v="186"/>
    <s v="Radeon Graphics"/>
    <x v="2"/>
    <x v="1"/>
  </r>
  <r>
    <n v="214950"/>
    <s v="Total War: ROME II - Emperor Edition"/>
    <d v="2013-09-02T00:00:00"/>
    <n v="3901"/>
    <b v="1"/>
    <n v="186"/>
    <s v="Radeon Graphics"/>
    <x v="3"/>
    <x v="1"/>
  </r>
  <r>
    <n v="214950"/>
    <s v="Total War: ROME II - Emperor Edition"/>
    <d v="2013-09-02T00:00:00"/>
    <n v="3901"/>
    <b v="1"/>
    <n v="186"/>
    <s v="Radeon Graphics"/>
    <x v="4"/>
    <x v="1"/>
  </r>
  <r>
    <n v="214950"/>
    <s v="Total War: ROME II - Emperor Edition"/>
    <d v="2013-09-02T00:00:00"/>
    <n v="3901"/>
    <b v="1"/>
    <n v="186"/>
    <s v="Radeon Graphics"/>
    <x v="5"/>
    <x v="0"/>
  </r>
  <r>
    <n v="214950"/>
    <s v="Total War: ROME II - Emperor Edition"/>
    <d v="2013-09-02T00:00:00"/>
    <n v="3901"/>
    <b v="1"/>
    <n v="186"/>
    <s v="Radeon Graphics"/>
    <x v="6"/>
    <x v="1"/>
  </r>
  <r>
    <n v="22380"/>
    <s v="Fallout: New Vegas"/>
    <d v="2010-10-19T00:00:00"/>
    <n v="3892"/>
    <b v="0"/>
    <n v="187"/>
    <s v="GTX 750"/>
    <x v="0"/>
    <x v="0"/>
  </r>
  <r>
    <n v="22380"/>
    <s v="Fallout: New Vegas"/>
    <d v="2010-10-19T00:00:00"/>
    <n v="3892"/>
    <b v="0"/>
    <n v="187"/>
    <s v="GTX 750"/>
    <x v="1"/>
    <x v="1"/>
  </r>
  <r>
    <n v="22380"/>
    <s v="Fallout: New Vegas"/>
    <d v="2010-10-19T00:00:00"/>
    <n v="3892"/>
    <b v="0"/>
    <n v="187"/>
    <s v="GTX 750"/>
    <x v="2"/>
    <x v="1"/>
  </r>
  <r>
    <n v="22380"/>
    <s v="Fallout: New Vegas"/>
    <d v="2010-10-19T00:00:00"/>
    <n v="3892"/>
    <b v="0"/>
    <n v="187"/>
    <s v="GTX 750"/>
    <x v="3"/>
    <x v="1"/>
  </r>
  <r>
    <n v="22380"/>
    <s v="Fallout: New Vegas"/>
    <d v="2010-10-19T00:00:00"/>
    <n v="3892"/>
    <b v="0"/>
    <n v="187"/>
    <s v="GTX 750"/>
    <x v="4"/>
    <x v="0"/>
  </r>
  <r>
    <n v="22380"/>
    <s v="Fallout: New Vegas"/>
    <d v="2010-10-19T00:00:00"/>
    <n v="3892"/>
    <b v="0"/>
    <n v="187"/>
    <s v="GTX 750"/>
    <x v="5"/>
    <x v="1"/>
  </r>
  <r>
    <n v="22380"/>
    <s v="Fallout: New Vegas"/>
    <d v="2010-10-19T00:00:00"/>
    <n v="3892"/>
    <b v="0"/>
    <n v="187"/>
    <s v="GTX 750"/>
    <x v="6"/>
    <x v="1"/>
  </r>
  <r>
    <n v="1062090"/>
    <s v="Timberborn"/>
    <d v="2021-09-15T00:00:00"/>
    <n v="3884"/>
    <b v="1"/>
    <n v="188"/>
    <s v="RTX 2070"/>
    <x v="0"/>
    <x v="1"/>
  </r>
  <r>
    <n v="1062090"/>
    <s v="Timberborn"/>
    <d v="2021-09-15T00:00:00"/>
    <n v="3884"/>
    <b v="1"/>
    <n v="188"/>
    <s v="RTX 2070"/>
    <x v="1"/>
    <x v="0"/>
  </r>
  <r>
    <n v="1062090"/>
    <s v="Timberborn"/>
    <d v="2021-09-15T00:00:00"/>
    <n v="3884"/>
    <b v="1"/>
    <n v="188"/>
    <s v="RTX 2070"/>
    <x v="2"/>
    <x v="1"/>
  </r>
  <r>
    <n v="1062090"/>
    <s v="Timberborn"/>
    <d v="2021-09-15T00:00:00"/>
    <n v="3884"/>
    <b v="1"/>
    <n v="188"/>
    <s v="RTX 2070"/>
    <x v="3"/>
    <x v="0"/>
  </r>
  <r>
    <n v="1062090"/>
    <s v="Timberborn"/>
    <d v="2021-09-15T00:00:00"/>
    <n v="3884"/>
    <b v="1"/>
    <n v="188"/>
    <s v="RTX 2070"/>
    <x v="4"/>
    <x v="1"/>
  </r>
  <r>
    <n v="1062090"/>
    <s v="Timberborn"/>
    <d v="2021-09-15T00:00:00"/>
    <n v="3884"/>
    <b v="1"/>
    <n v="188"/>
    <s v="RTX 2070"/>
    <x v="5"/>
    <x v="0"/>
  </r>
  <r>
    <n v="1062090"/>
    <s v="Timberborn"/>
    <d v="2021-09-15T00:00:00"/>
    <n v="3884"/>
    <b v="1"/>
    <n v="188"/>
    <s v="RTX 2070"/>
    <x v="6"/>
    <x v="1"/>
  </r>
  <r>
    <n v="1407200"/>
    <s v="World of Tanks"/>
    <d v="2021-04-28T00:00:00"/>
    <n v="3869"/>
    <b v="0"/>
    <n v="189"/>
    <s v="GTX 1650"/>
    <x v="0"/>
    <x v="0"/>
  </r>
  <r>
    <n v="1407200"/>
    <s v="World of Tanks"/>
    <d v="2021-04-28T00:00:00"/>
    <n v="3869"/>
    <b v="0"/>
    <n v="189"/>
    <s v="GTX 1650"/>
    <x v="1"/>
    <x v="1"/>
  </r>
  <r>
    <n v="1407200"/>
    <s v="World of Tanks"/>
    <d v="2021-04-28T00:00:00"/>
    <n v="3869"/>
    <b v="0"/>
    <n v="189"/>
    <s v="GTX 1650"/>
    <x v="2"/>
    <x v="1"/>
  </r>
  <r>
    <n v="1407200"/>
    <s v="World of Tanks"/>
    <d v="2021-04-28T00:00:00"/>
    <n v="3869"/>
    <b v="0"/>
    <n v="189"/>
    <s v="GTX 1650"/>
    <x v="3"/>
    <x v="0"/>
  </r>
  <r>
    <n v="1407200"/>
    <s v="World of Tanks"/>
    <d v="2021-04-28T00:00:00"/>
    <n v="3869"/>
    <b v="0"/>
    <n v="189"/>
    <s v="GTX 1650"/>
    <x v="4"/>
    <x v="1"/>
  </r>
  <r>
    <n v="1407200"/>
    <s v="World of Tanks"/>
    <d v="2021-04-28T00:00:00"/>
    <n v="3869"/>
    <b v="0"/>
    <n v="189"/>
    <s v="GTX 1650"/>
    <x v="5"/>
    <x v="1"/>
  </r>
  <r>
    <n v="1407200"/>
    <s v="World of Tanks"/>
    <d v="2021-04-28T00:00:00"/>
    <n v="3869"/>
    <b v="0"/>
    <n v="189"/>
    <s v="GTX 1650"/>
    <x v="6"/>
    <x v="0"/>
  </r>
  <r>
    <n v="262060"/>
    <s v="Darkest Dungeon"/>
    <d v="2016-01-19T00:00:00"/>
    <n v="3848"/>
    <b v="1"/>
    <n v="190"/>
    <s v="GTX 970"/>
    <x v="0"/>
    <x v="1"/>
  </r>
  <r>
    <n v="262060"/>
    <s v="Darkest Dungeon"/>
    <d v="2016-01-19T00:00:00"/>
    <n v="3848"/>
    <b v="1"/>
    <n v="190"/>
    <s v="GTX 970"/>
    <x v="1"/>
    <x v="0"/>
  </r>
  <r>
    <n v="262060"/>
    <s v="Darkest Dungeon"/>
    <d v="2016-01-19T00:00:00"/>
    <n v="3848"/>
    <b v="1"/>
    <n v="190"/>
    <s v="GTX 970"/>
    <x v="2"/>
    <x v="1"/>
  </r>
  <r>
    <n v="262060"/>
    <s v="Darkest Dungeon"/>
    <d v="2016-01-19T00:00:00"/>
    <n v="3848"/>
    <b v="1"/>
    <n v="190"/>
    <s v="GTX 970"/>
    <x v="3"/>
    <x v="1"/>
  </r>
  <r>
    <n v="262060"/>
    <s v="Darkest Dungeon"/>
    <d v="2016-01-19T00:00:00"/>
    <n v="3848"/>
    <b v="1"/>
    <n v="190"/>
    <s v="GTX 970"/>
    <x v="4"/>
    <x v="0"/>
  </r>
  <r>
    <n v="262060"/>
    <s v="Darkest Dungeon"/>
    <d v="2016-01-19T00:00:00"/>
    <n v="3848"/>
    <b v="1"/>
    <n v="190"/>
    <s v="GTX 970"/>
    <x v="5"/>
    <x v="0"/>
  </r>
  <r>
    <n v="262060"/>
    <s v="Darkest Dungeon"/>
    <d v="2016-01-19T00:00:00"/>
    <n v="3848"/>
    <b v="1"/>
    <n v="190"/>
    <s v="GTX 970"/>
    <x v="6"/>
    <x v="1"/>
  </r>
  <r>
    <n v="945360"/>
    <s v="Among Us"/>
    <d v="2018-11-16T00:00:00"/>
    <n v="3832"/>
    <b v="0"/>
    <n v="191"/>
    <s v="Radeon Vega 8"/>
    <x v="0"/>
    <x v="1"/>
  </r>
  <r>
    <n v="945360"/>
    <s v="Among Us"/>
    <d v="2018-11-16T00:00:00"/>
    <n v="3832"/>
    <b v="0"/>
    <n v="191"/>
    <s v="Radeon Vega 8"/>
    <x v="1"/>
    <x v="1"/>
  </r>
  <r>
    <n v="945360"/>
    <s v="Among Us"/>
    <d v="2018-11-16T00:00:00"/>
    <n v="3832"/>
    <b v="0"/>
    <n v="191"/>
    <s v="Radeon Vega 8"/>
    <x v="2"/>
    <x v="1"/>
  </r>
  <r>
    <n v="945360"/>
    <s v="Among Us"/>
    <d v="2018-11-16T00:00:00"/>
    <n v="3832"/>
    <b v="0"/>
    <n v="191"/>
    <s v="Radeon Vega 8"/>
    <x v="3"/>
    <x v="1"/>
  </r>
  <r>
    <n v="945360"/>
    <s v="Among Us"/>
    <d v="2018-11-16T00:00:00"/>
    <n v="3832"/>
    <b v="0"/>
    <n v="191"/>
    <s v="Radeon Vega 8"/>
    <x v="4"/>
    <x v="1"/>
  </r>
  <r>
    <n v="945360"/>
    <s v="Among Us"/>
    <d v="2018-11-16T00:00:00"/>
    <n v="3832"/>
    <b v="0"/>
    <n v="191"/>
    <s v="Radeon Vega 8"/>
    <x v="5"/>
    <x v="1"/>
  </r>
  <r>
    <n v="945360"/>
    <s v="Among Us"/>
    <d v="2018-11-16T00:00:00"/>
    <n v="3832"/>
    <b v="0"/>
    <n v="191"/>
    <s v="Radeon Vega 8"/>
    <x v="6"/>
    <x v="1"/>
  </r>
  <r>
    <n v="2050650"/>
    <s v="Resident Evil 4"/>
    <d v="2023-03-23T00:00:00"/>
    <n v="3748"/>
    <b v="0"/>
    <n v="192"/>
    <s v="RX 5700"/>
    <x v="0"/>
    <x v="0"/>
  </r>
  <r>
    <n v="2050650"/>
    <s v="Resident Evil 4"/>
    <d v="2023-03-23T00:00:00"/>
    <n v="3748"/>
    <b v="0"/>
    <n v="192"/>
    <s v="RX 5700"/>
    <x v="1"/>
    <x v="1"/>
  </r>
  <r>
    <n v="2050650"/>
    <s v="Resident Evil 4"/>
    <d v="2023-03-23T00:00:00"/>
    <n v="3748"/>
    <b v="0"/>
    <n v="192"/>
    <s v="RX 5700"/>
    <x v="2"/>
    <x v="0"/>
  </r>
  <r>
    <n v="2050650"/>
    <s v="Resident Evil 4"/>
    <d v="2023-03-23T00:00:00"/>
    <n v="3748"/>
    <b v="0"/>
    <n v="192"/>
    <s v="RX 5700"/>
    <x v="3"/>
    <x v="1"/>
  </r>
  <r>
    <n v="2050650"/>
    <s v="Resident Evil 4"/>
    <d v="2023-03-23T00:00:00"/>
    <n v="3748"/>
    <b v="0"/>
    <n v="192"/>
    <s v="RX 5700"/>
    <x v="4"/>
    <x v="1"/>
  </r>
  <r>
    <n v="2050650"/>
    <s v="Resident Evil 4"/>
    <d v="2023-03-23T00:00:00"/>
    <n v="3748"/>
    <b v="0"/>
    <n v="192"/>
    <s v="RX 5700"/>
    <x v="5"/>
    <x v="1"/>
  </r>
  <r>
    <n v="2050650"/>
    <s v="Resident Evil 4"/>
    <d v="2023-03-23T00:00:00"/>
    <n v="3748"/>
    <b v="0"/>
    <n v="192"/>
    <s v="RX 5700"/>
    <x v="6"/>
    <x v="1"/>
  </r>
  <r>
    <n v="1304930"/>
    <s v="The Outlast Trials"/>
    <d v="2024-03-05T00:00:00"/>
    <n v="3743"/>
    <b v="0"/>
    <n v="193"/>
    <s v="GTX 1660"/>
    <x v="0"/>
    <x v="0"/>
  </r>
  <r>
    <n v="1304930"/>
    <s v="The Outlast Trials"/>
    <d v="2024-03-05T00:00:00"/>
    <n v="3743"/>
    <b v="0"/>
    <n v="193"/>
    <s v="GTX 1660"/>
    <x v="1"/>
    <x v="0"/>
  </r>
  <r>
    <n v="1304930"/>
    <s v="The Outlast Trials"/>
    <d v="2024-03-05T00:00:00"/>
    <n v="3743"/>
    <b v="0"/>
    <n v="193"/>
    <s v="GTX 1660"/>
    <x v="2"/>
    <x v="0"/>
  </r>
  <r>
    <n v="1304930"/>
    <s v="The Outlast Trials"/>
    <d v="2024-03-05T00:00:00"/>
    <n v="3743"/>
    <b v="0"/>
    <n v="193"/>
    <s v="GTX 1660"/>
    <x v="3"/>
    <x v="1"/>
  </r>
  <r>
    <n v="1304930"/>
    <s v="The Outlast Trials"/>
    <d v="2024-03-05T00:00:00"/>
    <n v="3743"/>
    <b v="0"/>
    <n v="193"/>
    <s v="GTX 1660"/>
    <x v="4"/>
    <x v="1"/>
  </r>
  <r>
    <n v="1304930"/>
    <s v="The Outlast Trials"/>
    <d v="2024-03-05T00:00:00"/>
    <n v="3743"/>
    <b v="0"/>
    <n v="193"/>
    <s v="GTX 1660"/>
    <x v="5"/>
    <x v="1"/>
  </r>
  <r>
    <n v="1304930"/>
    <s v="The Outlast Trials"/>
    <d v="2024-03-05T00:00:00"/>
    <n v="3743"/>
    <b v="0"/>
    <n v="193"/>
    <s v="GTX 1660"/>
    <x v="6"/>
    <x v="1"/>
  </r>
  <r>
    <n v="1716740"/>
    <s v="Starfield"/>
    <d v="2023-09-05T00:00:00"/>
    <n v="3725"/>
    <b v="0"/>
    <n v="194"/>
    <s v="RX 6800 XT"/>
    <x v="0"/>
    <x v="1"/>
  </r>
  <r>
    <n v="1716740"/>
    <s v="Starfield"/>
    <d v="2023-09-05T00:00:00"/>
    <n v="3725"/>
    <b v="0"/>
    <n v="194"/>
    <s v="RX 6800 XT"/>
    <x v="1"/>
    <x v="1"/>
  </r>
  <r>
    <n v="1716740"/>
    <s v="Starfield"/>
    <d v="2023-09-05T00:00:00"/>
    <n v="3725"/>
    <b v="0"/>
    <n v="194"/>
    <s v="RX 6800 XT"/>
    <x v="2"/>
    <x v="1"/>
  </r>
  <r>
    <n v="1716740"/>
    <s v="Starfield"/>
    <d v="2023-09-05T00:00:00"/>
    <n v="3725"/>
    <b v="0"/>
    <n v="194"/>
    <s v="RX 6800 XT"/>
    <x v="3"/>
    <x v="1"/>
  </r>
  <r>
    <n v="1716740"/>
    <s v="Starfield"/>
    <d v="2023-09-05T00:00:00"/>
    <n v="3725"/>
    <b v="0"/>
    <n v="194"/>
    <s v="RX 6800 XT"/>
    <x v="4"/>
    <x v="0"/>
  </r>
  <r>
    <n v="1716740"/>
    <s v="Starfield"/>
    <d v="2023-09-05T00:00:00"/>
    <n v="3725"/>
    <b v="0"/>
    <n v="194"/>
    <s v="RX 6800 XT"/>
    <x v="5"/>
    <x v="1"/>
  </r>
  <r>
    <n v="1716740"/>
    <s v="Starfield"/>
    <d v="2023-09-05T00:00:00"/>
    <n v="3725"/>
    <b v="0"/>
    <n v="194"/>
    <s v="RX 6800 XT"/>
    <x v="6"/>
    <x v="1"/>
  </r>
  <r>
    <n v="8500"/>
    <s v="EVE Online"/>
    <d v="2010-12-15T00:00:00"/>
    <n v="3705"/>
    <b v="1"/>
    <n v="195"/>
    <s v="Radeon Graphics"/>
    <x v="0"/>
    <x v="0"/>
  </r>
  <r>
    <n v="8500"/>
    <s v="EVE Online"/>
    <d v="2010-12-15T00:00:00"/>
    <n v="3705"/>
    <b v="1"/>
    <n v="195"/>
    <s v="Radeon Graphics"/>
    <x v="1"/>
    <x v="1"/>
  </r>
  <r>
    <n v="8500"/>
    <s v="EVE Online"/>
    <d v="2010-12-15T00:00:00"/>
    <n v="3705"/>
    <b v="1"/>
    <n v="195"/>
    <s v="Radeon Graphics"/>
    <x v="2"/>
    <x v="1"/>
  </r>
  <r>
    <n v="8500"/>
    <s v="EVE Online"/>
    <d v="2010-12-15T00:00:00"/>
    <n v="3705"/>
    <b v="1"/>
    <n v="195"/>
    <s v="Radeon Graphics"/>
    <x v="3"/>
    <x v="1"/>
  </r>
  <r>
    <n v="8500"/>
    <s v="EVE Online"/>
    <d v="2010-12-15T00:00:00"/>
    <n v="3705"/>
    <b v="1"/>
    <n v="195"/>
    <s v="Radeon Graphics"/>
    <x v="4"/>
    <x v="0"/>
  </r>
  <r>
    <n v="8500"/>
    <s v="EVE Online"/>
    <d v="2010-12-15T00:00:00"/>
    <n v="3705"/>
    <b v="1"/>
    <n v="195"/>
    <s v="Radeon Graphics"/>
    <x v="5"/>
    <x v="0"/>
  </r>
  <r>
    <n v="8500"/>
    <s v="EVE Online"/>
    <d v="2010-12-15T00:00:00"/>
    <n v="3705"/>
    <b v="1"/>
    <n v="195"/>
    <s v="Radeon Graphics"/>
    <x v="6"/>
    <x v="0"/>
  </r>
  <r>
    <n v="1621690"/>
    <s v="Core Keeper"/>
    <d v="2024-08-27T00:00:00"/>
    <n v="3688"/>
    <b v="0"/>
    <n v="196"/>
    <s v="GTX 1050 Ti"/>
    <x v="0"/>
    <x v="0"/>
  </r>
  <r>
    <n v="1621690"/>
    <s v="Core Keeper"/>
    <d v="2024-08-27T00:00:00"/>
    <n v="3688"/>
    <b v="0"/>
    <n v="196"/>
    <s v="GTX 1050 Ti"/>
    <x v="1"/>
    <x v="0"/>
  </r>
  <r>
    <n v="1621690"/>
    <s v="Core Keeper"/>
    <d v="2024-08-27T00:00:00"/>
    <n v="3688"/>
    <b v="0"/>
    <n v="196"/>
    <s v="GTX 1050 Ti"/>
    <x v="2"/>
    <x v="0"/>
  </r>
  <r>
    <n v="1621690"/>
    <s v="Core Keeper"/>
    <d v="2024-08-27T00:00:00"/>
    <n v="3688"/>
    <b v="0"/>
    <n v="196"/>
    <s v="GTX 1050 Ti"/>
    <x v="3"/>
    <x v="0"/>
  </r>
  <r>
    <n v="1621690"/>
    <s v="Core Keeper"/>
    <d v="2024-08-27T00:00:00"/>
    <n v="3688"/>
    <b v="0"/>
    <n v="196"/>
    <s v="GTX 1050 Ti"/>
    <x v="4"/>
    <x v="0"/>
  </r>
  <r>
    <n v="1621690"/>
    <s v="Core Keeper"/>
    <d v="2024-08-27T00:00:00"/>
    <n v="3688"/>
    <b v="0"/>
    <n v="196"/>
    <s v="GTX 1050 Ti"/>
    <x v="5"/>
    <x v="1"/>
  </r>
  <r>
    <n v="1621690"/>
    <s v="Core Keeper"/>
    <d v="2024-08-27T00:00:00"/>
    <n v="3688"/>
    <b v="0"/>
    <n v="196"/>
    <s v="GTX 1050 Ti"/>
    <x v="6"/>
    <x v="1"/>
  </r>
  <r>
    <n v="1446780"/>
    <s v="MONSTER HUNTER RISE"/>
    <d v="2022-01-12T00:00:00"/>
    <n v="3658"/>
    <b v="0"/>
    <n v="197"/>
    <s v="GTX 1060"/>
    <x v="0"/>
    <x v="0"/>
  </r>
  <r>
    <n v="1446780"/>
    <s v="MONSTER HUNTER RISE"/>
    <d v="2022-01-12T00:00:00"/>
    <n v="3658"/>
    <b v="0"/>
    <n v="197"/>
    <s v="GTX 1060"/>
    <x v="1"/>
    <x v="1"/>
  </r>
  <r>
    <n v="1446780"/>
    <s v="MONSTER HUNTER RISE"/>
    <d v="2022-01-12T00:00:00"/>
    <n v="3658"/>
    <b v="0"/>
    <n v="197"/>
    <s v="GTX 1060"/>
    <x v="2"/>
    <x v="1"/>
  </r>
  <r>
    <n v="1446780"/>
    <s v="MONSTER HUNTER RISE"/>
    <d v="2022-01-12T00:00:00"/>
    <n v="3658"/>
    <b v="0"/>
    <n v="197"/>
    <s v="GTX 1060"/>
    <x v="3"/>
    <x v="1"/>
  </r>
  <r>
    <n v="1446780"/>
    <s v="MONSTER HUNTER RISE"/>
    <d v="2022-01-12T00:00:00"/>
    <n v="3658"/>
    <b v="0"/>
    <n v="197"/>
    <s v="GTX 1060"/>
    <x v="4"/>
    <x v="1"/>
  </r>
  <r>
    <n v="1446780"/>
    <s v="MONSTER HUNTER RISE"/>
    <d v="2022-01-12T00:00:00"/>
    <n v="3658"/>
    <b v="0"/>
    <n v="197"/>
    <s v="GTX 1060"/>
    <x v="5"/>
    <x v="1"/>
  </r>
  <r>
    <n v="1446780"/>
    <s v="MONSTER HUNTER RISE"/>
    <d v="2022-01-12T00:00:00"/>
    <n v="3658"/>
    <b v="0"/>
    <n v="197"/>
    <s v="GTX 1060"/>
    <x v="6"/>
    <x v="1"/>
  </r>
  <r>
    <n v="655500"/>
    <s v="MX Bikes"/>
    <d v="2019-10-07T00:00:00"/>
    <n v="3605"/>
    <b v="0"/>
    <n v="198"/>
    <s v="GTX 970"/>
    <x v="0"/>
    <x v="1"/>
  </r>
  <r>
    <n v="655500"/>
    <s v="MX Bikes"/>
    <d v="2019-10-07T00:00:00"/>
    <n v="3605"/>
    <b v="0"/>
    <n v="198"/>
    <s v="GTX 970"/>
    <x v="1"/>
    <x v="1"/>
  </r>
  <r>
    <n v="655500"/>
    <s v="MX Bikes"/>
    <d v="2019-10-07T00:00:00"/>
    <n v="3605"/>
    <b v="0"/>
    <n v="198"/>
    <s v="GTX 970"/>
    <x v="2"/>
    <x v="1"/>
  </r>
  <r>
    <n v="655500"/>
    <s v="MX Bikes"/>
    <d v="2019-10-07T00:00:00"/>
    <n v="3605"/>
    <b v="0"/>
    <n v="198"/>
    <s v="GTX 970"/>
    <x v="3"/>
    <x v="0"/>
  </r>
  <r>
    <n v="655500"/>
    <s v="MX Bikes"/>
    <d v="2019-10-07T00:00:00"/>
    <n v="3605"/>
    <b v="0"/>
    <n v="198"/>
    <s v="GTX 970"/>
    <x v="4"/>
    <x v="1"/>
  </r>
  <r>
    <n v="655500"/>
    <s v="MX Bikes"/>
    <d v="2019-10-07T00:00:00"/>
    <n v="3605"/>
    <b v="0"/>
    <n v="198"/>
    <s v="GTX 970"/>
    <x v="5"/>
    <x v="1"/>
  </r>
  <r>
    <n v="655500"/>
    <s v="MX Bikes"/>
    <d v="2019-10-07T00:00:00"/>
    <n v="3605"/>
    <b v="0"/>
    <n v="198"/>
    <s v="GTX 970"/>
    <x v="6"/>
    <x v="1"/>
  </r>
  <r>
    <n v="3037410"/>
    <s v="Fish Idle 2: Underwater Mystery"/>
    <d v="2024-11-15T00:00:00"/>
    <n v="3589"/>
    <b v="0"/>
    <n v="199"/>
    <s v="Radeon Vega 11"/>
    <x v="0"/>
    <x v="1"/>
  </r>
  <r>
    <n v="3037410"/>
    <s v="Fish Idle 2: Underwater Mystery"/>
    <d v="2024-11-15T00:00:00"/>
    <n v="3589"/>
    <b v="0"/>
    <n v="199"/>
    <s v="Radeon Vega 11"/>
    <x v="1"/>
    <x v="0"/>
  </r>
  <r>
    <n v="3037410"/>
    <s v="Fish Idle 2: Underwater Mystery"/>
    <d v="2024-11-15T00:00:00"/>
    <n v="3589"/>
    <b v="0"/>
    <n v="199"/>
    <s v="Radeon Vega 11"/>
    <x v="2"/>
    <x v="0"/>
  </r>
  <r>
    <n v="3037410"/>
    <s v="Fish Idle 2: Underwater Mystery"/>
    <d v="2024-11-15T00:00:00"/>
    <n v="3589"/>
    <b v="0"/>
    <n v="199"/>
    <s v="Radeon Vega 11"/>
    <x v="3"/>
    <x v="1"/>
  </r>
  <r>
    <n v="3037410"/>
    <s v="Fish Idle 2: Underwater Mystery"/>
    <d v="2024-11-15T00:00:00"/>
    <n v="3589"/>
    <b v="0"/>
    <n v="199"/>
    <s v="Radeon Vega 11"/>
    <x v="4"/>
    <x v="1"/>
  </r>
  <r>
    <n v="3037410"/>
    <s v="Fish Idle 2: Underwater Mystery"/>
    <d v="2024-11-15T00:00:00"/>
    <n v="3589"/>
    <b v="0"/>
    <n v="199"/>
    <s v="Radeon Vega 11"/>
    <x v="5"/>
    <x v="1"/>
  </r>
  <r>
    <n v="3037410"/>
    <s v="Fish Idle 2: Underwater Mystery"/>
    <d v="2024-11-15T00:00:00"/>
    <n v="3589"/>
    <b v="0"/>
    <n v="199"/>
    <s v="Radeon Vega 11"/>
    <x v="6"/>
    <x v="0"/>
  </r>
  <r>
    <n v="1401590"/>
    <s v="Disney Dreamlight Valley"/>
    <d v="2023-12-05T00:00:00"/>
    <n v="3587"/>
    <b v="0"/>
    <n v="200"/>
    <s v="GTX 1050 Ti"/>
    <x v="0"/>
    <x v="0"/>
  </r>
  <r>
    <n v="1401590"/>
    <s v="Disney Dreamlight Valley"/>
    <d v="2023-12-05T00:00:00"/>
    <n v="3587"/>
    <b v="0"/>
    <n v="200"/>
    <s v="GTX 1050 Ti"/>
    <x v="1"/>
    <x v="1"/>
  </r>
  <r>
    <n v="1401590"/>
    <s v="Disney Dreamlight Valley"/>
    <d v="2023-12-05T00:00:00"/>
    <n v="3587"/>
    <b v="0"/>
    <n v="200"/>
    <s v="GTX 1050 Ti"/>
    <x v="2"/>
    <x v="0"/>
  </r>
  <r>
    <n v="1401590"/>
    <s v="Disney Dreamlight Valley"/>
    <d v="2023-12-05T00:00:00"/>
    <n v="3587"/>
    <b v="0"/>
    <n v="200"/>
    <s v="GTX 1050 Ti"/>
    <x v="3"/>
    <x v="0"/>
  </r>
  <r>
    <n v="1401590"/>
    <s v="Disney Dreamlight Valley"/>
    <d v="2023-12-05T00:00:00"/>
    <n v="3587"/>
    <b v="0"/>
    <n v="200"/>
    <s v="GTX 1050 Ti"/>
    <x v="4"/>
    <x v="0"/>
  </r>
  <r>
    <n v="1401590"/>
    <s v="Disney Dreamlight Valley"/>
    <d v="2023-12-05T00:00:00"/>
    <n v="3587"/>
    <b v="0"/>
    <n v="200"/>
    <s v="GTX 1050 Ti"/>
    <x v="5"/>
    <x v="1"/>
  </r>
  <r>
    <n v="1401590"/>
    <s v="Disney Dreamlight Valley"/>
    <d v="2023-12-05T00:00:00"/>
    <n v="3587"/>
    <b v="0"/>
    <n v="200"/>
    <s v="GTX 1050 Ti"/>
    <x v="6"/>
    <x v="1"/>
  </r>
  <r>
    <n v="2186680"/>
    <s v="Warhammer 40,000: Rogue Trader"/>
    <d v="2023-12-07T00:00:00"/>
    <n v="3582"/>
    <b v="1"/>
    <n v="201"/>
    <s v="RX 570"/>
    <x v="0"/>
    <x v="0"/>
  </r>
  <r>
    <n v="2186680"/>
    <s v="Warhammer 40,000: Rogue Trader"/>
    <d v="2023-12-07T00:00:00"/>
    <n v="3582"/>
    <b v="1"/>
    <n v="201"/>
    <s v="RX 570"/>
    <x v="1"/>
    <x v="0"/>
  </r>
  <r>
    <n v="2186680"/>
    <s v="Warhammer 40,000: Rogue Trader"/>
    <d v="2023-12-07T00:00:00"/>
    <n v="3582"/>
    <b v="1"/>
    <n v="201"/>
    <s v="RX 570"/>
    <x v="2"/>
    <x v="0"/>
  </r>
  <r>
    <n v="2186680"/>
    <s v="Warhammer 40,000: Rogue Trader"/>
    <d v="2023-12-07T00:00:00"/>
    <n v="3582"/>
    <b v="1"/>
    <n v="201"/>
    <s v="RX 570"/>
    <x v="3"/>
    <x v="1"/>
  </r>
  <r>
    <n v="2186680"/>
    <s v="Warhammer 40,000: Rogue Trader"/>
    <d v="2023-12-07T00:00:00"/>
    <n v="3582"/>
    <b v="1"/>
    <n v="201"/>
    <s v="RX 570"/>
    <x v="4"/>
    <x v="0"/>
  </r>
  <r>
    <n v="2186680"/>
    <s v="Warhammer 40,000: Rogue Trader"/>
    <d v="2023-12-07T00:00:00"/>
    <n v="3582"/>
    <b v="1"/>
    <n v="201"/>
    <s v="RX 570"/>
    <x v="5"/>
    <x v="0"/>
  </r>
  <r>
    <n v="2186680"/>
    <s v="Warhammer 40,000: Rogue Trader"/>
    <d v="2023-12-07T00:00:00"/>
    <n v="3582"/>
    <b v="1"/>
    <n v="201"/>
    <s v="RX 570"/>
    <x v="6"/>
    <x v="1"/>
  </r>
  <r>
    <n v="2904000"/>
    <s v="The Spell Brigade"/>
    <d v="2024-09-16T00:00:00"/>
    <n v="3580"/>
    <b v="0"/>
    <n v="202"/>
    <s v="GTX 1050"/>
    <x v="0"/>
    <x v="0"/>
  </r>
  <r>
    <n v="2904000"/>
    <s v="The Spell Brigade"/>
    <d v="2024-09-16T00:00:00"/>
    <n v="3580"/>
    <b v="0"/>
    <n v="202"/>
    <s v="GTX 1050"/>
    <x v="1"/>
    <x v="0"/>
  </r>
  <r>
    <n v="2904000"/>
    <s v="The Spell Brigade"/>
    <d v="2024-09-16T00:00:00"/>
    <n v="3580"/>
    <b v="0"/>
    <n v="202"/>
    <s v="GTX 1050"/>
    <x v="2"/>
    <x v="1"/>
  </r>
  <r>
    <n v="2904000"/>
    <s v="The Spell Brigade"/>
    <d v="2024-09-16T00:00:00"/>
    <n v="3580"/>
    <b v="0"/>
    <n v="202"/>
    <s v="GTX 1050"/>
    <x v="3"/>
    <x v="1"/>
  </r>
  <r>
    <n v="2904000"/>
    <s v="The Spell Brigade"/>
    <d v="2024-09-16T00:00:00"/>
    <n v="3580"/>
    <b v="0"/>
    <n v="202"/>
    <s v="GTX 1050"/>
    <x v="4"/>
    <x v="1"/>
  </r>
  <r>
    <n v="2904000"/>
    <s v="The Spell Brigade"/>
    <d v="2024-09-16T00:00:00"/>
    <n v="3580"/>
    <b v="0"/>
    <n v="202"/>
    <s v="GTX 1050"/>
    <x v="5"/>
    <x v="1"/>
  </r>
  <r>
    <n v="2904000"/>
    <s v="The Spell Brigade"/>
    <d v="2024-09-16T00:00:00"/>
    <n v="3580"/>
    <b v="0"/>
    <n v="202"/>
    <s v="GTX 1050"/>
    <x v="6"/>
    <x v="0"/>
  </r>
  <r>
    <n v="3017860"/>
    <s v="DOOM: The Dark Ages"/>
    <d v="2025-05-14T00:00:00"/>
    <n v="3518"/>
    <b v="0"/>
    <n v="203"/>
    <s v="RTX 3080"/>
    <x v="0"/>
    <x v="0"/>
  </r>
  <r>
    <n v="3017860"/>
    <s v="DOOM: The Dark Ages"/>
    <d v="2025-05-14T00:00:00"/>
    <n v="3518"/>
    <b v="0"/>
    <n v="203"/>
    <s v="RTX 3080"/>
    <x v="1"/>
    <x v="1"/>
  </r>
  <r>
    <n v="3017860"/>
    <s v="DOOM: The Dark Ages"/>
    <d v="2025-05-14T00:00:00"/>
    <n v="3518"/>
    <b v="0"/>
    <n v="203"/>
    <s v="RTX 3080"/>
    <x v="2"/>
    <x v="1"/>
  </r>
  <r>
    <n v="3017860"/>
    <s v="DOOM: The Dark Ages"/>
    <d v="2025-05-14T00:00:00"/>
    <n v="3518"/>
    <b v="0"/>
    <n v="203"/>
    <s v="RTX 3080"/>
    <x v="3"/>
    <x v="1"/>
  </r>
  <r>
    <n v="3017860"/>
    <s v="DOOM: The Dark Ages"/>
    <d v="2025-05-14T00:00:00"/>
    <n v="3518"/>
    <b v="0"/>
    <n v="203"/>
    <s v="RTX 3080"/>
    <x v="4"/>
    <x v="1"/>
  </r>
  <r>
    <n v="3017860"/>
    <s v="DOOM: The Dark Ages"/>
    <d v="2025-05-14T00:00:00"/>
    <n v="3518"/>
    <b v="0"/>
    <n v="203"/>
    <s v="RTX 3080"/>
    <x v="5"/>
    <x v="1"/>
  </r>
  <r>
    <n v="3017860"/>
    <s v="DOOM: The Dark Ages"/>
    <d v="2025-05-14T00:00:00"/>
    <n v="3518"/>
    <b v="0"/>
    <n v="203"/>
    <s v="RTX 3080"/>
    <x v="6"/>
    <x v="1"/>
  </r>
  <r>
    <n v="435150"/>
    <s v="Divinity: Original Sin 2 - Definitive Edition"/>
    <d v="2017-09-14T00:00:00"/>
    <n v="3510"/>
    <b v="1"/>
    <n v="204"/>
    <s v="GTX 1050 Ti"/>
    <x v="0"/>
    <x v="1"/>
  </r>
  <r>
    <n v="435150"/>
    <s v="Divinity: Original Sin 2 - Definitive Edition"/>
    <d v="2017-09-14T00:00:00"/>
    <n v="3510"/>
    <b v="1"/>
    <n v="204"/>
    <s v="GTX 1050 Ti"/>
    <x v="1"/>
    <x v="1"/>
  </r>
  <r>
    <n v="435150"/>
    <s v="Divinity: Original Sin 2 - Definitive Edition"/>
    <d v="2017-09-14T00:00:00"/>
    <n v="3510"/>
    <b v="1"/>
    <n v="204"/>
    <s v="GTX 1050 Ti"/>
    <x v="2"/>
    <x v="0"/>
  </r>
  <r>
    <n v="435150"/>
    <s v="Divinity: Original Sin 2 - Definitive Edition"/>
    <d v="2017-09-14T00:00:00"/>
    <n v="3510"/>
    <b v="1"/>
    <n v="204"/>
    <s v="GTX 1050 Ti"/>
    <x v="3"/>
    <x v="1"/>
  </r>
  <r>
    <n v="435150"/>
    <s v="Divinity: Original Sin 2 - Definitive Edition"/>
    <d v="2017-09-14T00:00:00"/>
    <n v="3510"/>
    <b v="1"/>
    <n v="204"/>
    <s v="GTX 1050 Ti"/>
    <x v="4"/>
    <x v="0"/>
  </r>
  <r>
    <n v="435150"/>
    <s v="Divinity: Original Sin 2 - Definitive Edition"/>
    <d v="2017-09-14T00:00:00"/>
    <n v="3510"/>
    <b v="1"/>
    <n v="204"/>
    <s v="GTX 1050 Ti"/>
    <x v="5"/>
    <x v="0"/>
  </r>
  <r>
    <n v="435150"/>
    <s v="Divinity: Original Sin 2 - Definitive Edition"/>
    <d v="2017-09-14T00:00:00"/>
    <n v="3510"/>
    <b v="1"/>
    <n v="204"/>
    <s v="GTX 1050 Ti"/>
    <x v="6"/>
    <x v="1"/>
  </r>
  <r>
    <n v="1066780"/>
    <s v="Transport Fever 2"/>
    <d v="2019-12-11T00:00:00"/>
    <n v="3465"/>
    <b v="1"/>
    <n v="205"/>
    <s v="RX 580"/>
    <x v="0"/>
    <x v="1"/>
  </r>
  <r>
    <n v="1066780"/>
    <s v="Transport Fever 2"/>
    <d v="2019-12-11T00:00:00"/>
    <n v="3465"/>
    <b v="1"/>
    <n v="205"/>
    <s v="RX 580"/>
    <x v="1"/>
    <x v="0"/>
  </r>
  <r>
    <n v="1066780"/>
    <s v="Transport Fever 2"/>
    <d v="2019-12-11T00:00:00"/>
    <n v="3465"/>
    <b v="1"/>
    <n v="205"/>
    <s v="RX 580"/>
    <x v="2"/>
    <x v="1"/>
  </r>
  <r>
    <n v="1066780"/>
    <s v="Transport Fever 2"/>
    <d v="2019-12-11T00:00:00"/>
    <n v="3465"/>
    <b v="1"/>
    <n v="205"/>
    <s v="RX 580"/>
    <x v="3"/>
    <x v="0"/>
  </r>
  <r>
    <n v="1066780"/>
    <s v="Transport Fever 2"/>
    <d v="2019-12-11T00:00:00"/>
    <n v="3465"/>
    <b v="1"/>
    <n v="205"/>
    <s v="RX 580"/>
    <x v="4"/>
    <x v="1"/>
  </r>
  <r>
    <n v="1066780"/>
    <s v="Transport Fever 2"/>
    <d v="2019-12-11T00:00:00"/>
    <n v="3465"/>
    <b v="1"/>
    <n v="205"/>
    <s v="RX 580"/>
    <x v="5"/>
    <x v="0"/>
  </r>
  <r>
    <n v="1066780"/>
    <s v="Transport Fever 2"/>
    <d v="2019-12-11T00:00:00"/>
    <n v="3465"/>
    <b v="1"/>
    <n v="205"/>
    <s v="RX 580"/>
    <x v="6"/>
    <x v="1"/>
  </r>
  <r>
    <n v="2665680"/>
    <s v="Tower of Babel: Survivors of Chaos"/>
    <d v="2025-05-19T00:00:00"/>
    <n v="3392"/>
    <b v="1"/>
    <n v="206"/>
    <s v="GTX 1050 Ti"/>
    <x v="0"/>
    <x v="0"/>
  </r>
  <r>
    <n v="2665680"/>
    <s v="Tower of Babel: Survivors of Chaos"/>
    <d v="2025-05-19T00:00:00"/>
    <n v="3392"/>
    <b v="1"/>
    <n v="206"/>
    <s v="GTX 1050 Ti"/>
    <x v="1"/>
    <x v="1"/>
  </r>
  <r>
    <n v="2665680"/>
    <s v="Tower of Babel: Survivors of Chaos"/>
    <d v="2025-05-19T00:00:00"/>
    <n v="3392"/>
    <b v="1"/>
    <n v="206"/>
    <s v="GTX 1050 Ti"/>
    <x v="2"/>
    <x v="1"/>
  </r>
  <r>
    <n v="2665680"/>
    <s v="Tower of Babel: Survivors of Chaos"/>
    <d v="2025-05-19T00:00:00"/>
    <n v="3392"/>
    <b v="1"/>
    <n v="206"/>
    <s v="GTX 1050 Ti"/>
    <x v="3"/>
    <x v="1"/>
  </r>
  <r>
    <n v="2665680"/>
    <s v="Tower of Babel: Survivors of Chaos"/>
    <d v="2025-05-19T00:00:00"/>
    <n v="3392"/>
    <b v="1"/>
    <n v="206"/>
    <s v="GTX 1050 Ti"/>
    <x v="4"/>
    <x v="0"/>
  </r>
  <r>
    <n v="2665680"/>
    <s v="Tower of Babel: Survivors of Chaos"/>
    <d v="2025-05-19T00:00:00"/>
    <n v="3392"/>
    <b v="1"/>
    <n v="206"/>
    <s v="GTX 1050 Ti"/>
    <x v="5"/>
    <x v="1"/>
  </r>
  <r>
    <n v="2665680"/>
    <s v="Tower of Babel: Survivors of Chaos"/>
    <d v="2025-05-19T00:00:00"/>
    <n v="3392"/>
    <b v="1"/>
    <n v="206"/>
    <s v="GTX 1050 Ti"/>
    <x v="6"/>
    <x v="1"/>
  </r>
  <r>
    <n v="1147690"/>
    <s v="NGU IDLE"/>
    <d v="2019-10-01T00:00:00"/>
    <n v="3382"/>
    <b v="0"/>
    <n v="207"/>
    <s v="Radeon Vega 11"/>
    <x v="0"/>
    <x v="1"/>
  </r>
  <r>
    <n v="1147690"/>
    <s v="NGU IDLE"/>
    <d v="2019-10-01T00:00:00"/>
    <n v="3382"/>
    <b v="0"/>
    <n v="207"/>
    <s v="Radeon Vega 11"/>
    <x v="1"/>
    <x v="0"/>
  </r>
  <r>
    <n v="1147690"/>
    <s v="NGU IDLE"/>
    <d v="2019-10-01T00:00:00"/>
    <n v="3382"/>
    <b v="0"/>
    <n v="207"/>
    <s v="Radeon Vega 11"/>
    <x v="2"/>
    <x v="0"/>
  </r>
  <r>
    <n v="1147690"/>
    <s v="NGU IDLE"/>
    <d v="2019-10-01T00:00:00"/>
    <n v="3382"/>
    <b v="0"/>
    <n v="207"/>
    <s v="Radeon Vega 11"/>
    <x v="3"/>
    <x v="0"/>
  </r>
  <r>
    <n v="1147690"/>
    <s v="NGU IDLE"/>
    <d v="2019-10-01T00:00:00"/>
    <n v="3382"/>
    <b v="0"/>
    <n v="207"/>
    <s v="Radeon Vega 11"/>
    <x v="4"/>
    <x v="1"/>
  </r>
  <r>
    <n v="1147690"/>
    <s v="NGU IDLE"/>
    <d v="2019-10-01T00:00:00"/>
    <n v="3382"/>
    <b v="0"/>
    <n v="207"/>
    <s v="Radeon Vega 11"/>
    <x v="5"/>
    <x v="1"/>
  </r>
  <r>
    <n v="1147690"/>
    <s v="NGU IDLE"/>
    <d v="2019-10-01T00:00:00"/>
    <n v="3382"/>
    <b v="0"/>
    <n v="207"/>
    <s v="Radeon Vega 11"/>
    <x v="6"/>
    <x v="0"/>
  </r>
  <r>
    <n v="686810"/>
    <s v="Hell Let Loose"/>
    <d v="2021-07-27T00:00:00"/>
    <n v="3380"/>
    <b v="0"/>
    <n v="208"/>
    <s v="GTX 1060"/>
    <x v="0"/>
    <x v="0"/>
  </r>
  <r>
    <n v="686810"/>
    <s v="Hell Let Loose"/>
    <d v="2021-07-27T00:00:00"/>
    <n v="3380"/>
    <b v="0"/>
    <n v="208"/>
    <s v="GTX 1060"/>
    <x v="1"/>
    <x v="0"/>
  </r>
  <r>
    <n v="686810"/>
    <s v="Hell Let Loose"/>
    <d v="2021-07-27T00:00:00"/>
    <n v="3380"/>
    <b v="0"/>
    <n v="208"/>
    <s v="GTX 1060"/>
    <x v="2"/>
    <x v="1"/>
  </r>
  <r>
    <n v="686810"/>
    <s v="Hell Let Loose"/>
    <d v="2021-07-27T00:00:00"/>
    <n v="3380"/>
    <b v="0"/>
    <n v="208"/>
    <s v="GTX 1060"/>
    <x v="3"/>
    <x v="0"/>
  </r>
  <r>
    <n v="686810"/>
    <s v="Hell Let Loose"/>
    <d v="2021-07-27T00:00:00"/>
    <n v="3380"/>
    <b v="0"/>
    <n v="208"/>
    <s v="GTX 1060"/>
    <x v="4"/>
    <x v="1"/>
  </r>
  <r>
    <n v="686810"/>
    <s v="Hell Let Loose"/>
    <d v="2021-07-27T00:00:00"/>
    <n v="3380"/>
    <b v="0"/>
    <n v="208"/>
    <s v="GTX 1060"/>
    <x v="5"/>
    <x v="0"/>
  </r>
  <r>
    <n v="686810"/>
    <s v="Hell Let Loose"/>
    <d v="2021-07-27T00:00:00"/>
    <n v="3380"/>
    <b v="0"/>
    <n v="208"/>
    <s v="GTX 1060"/>
    <x v="6"/>
    <x v="1"/>
  </r>
  <r>
    <n v="1868140"/>
    <s v="DAVE THE DIVER"/>
    <d v="2023-06-28T00:00:00"/>
    <n v="3367"/>
    <b v="1"/>
    <n v="209"/>
    <s v="GTX 1060"/>
    <x v="0"/>
    <x v="1"/>
  </r>
  <r>
    <n v="1868140"/>
    <s v="DAVE THE DIVER"/>
    <d v="2023-06-28T00:00:00"/>
    <n v="3367"/>
    <b v="1"/>
    <n v="209"/>
    <s v="GTX 1060"/>
    <x v="1"/>
    <x v="1"/>
  </r>
  <r>
    <n v="1868140"/>
    <s v="DAVE THE DIVER"/>
    <d v="2023-06-28T00:00:00"/>
    <n v="3367"/>
    <b v="1"/>
    <n v="209"/>
    <s v="GTX 1060"/>
    <x v="2"/>
    <x v="0"/>
  </r>
  <r>
    <n v="1868140"/>
    <s v="DAVE THE DIVER"/>
    <d v="2023-06-28T00:00:00"/>
    <n v="3367"/>
    <b v="1"/>
    <n v="209"/>
    <s v="GTX 1060"/>
    <x v="3"/>
    <x v="0"/>
  </r>
  <r>
    <n v="1868140"/>
    <s v="DAVE THE DIVER"/>
    <d v="2023-06-28T00:00:00"/>
    <n v="3367"/>
    <b v="1"/>
    <n v="209"/>
    <s v="GTX 1060"/>
    <x v="4"/>
    <x v="0"/>
  </r>
  <r>
    <n v="1868140"/>
    <s v="DAVE THE DIVER"/>
    <d v="2023-06-28T00:00:00"/>
    <n v="3367"/>
    <b v="1"/>
    <n v="209"/>
    <s v="GTX 1060"/>
    <x v="5"/>
    <x v="1"/>
  </r>
  <r>
    <n v="1868140"/>
    <s v="DAVE THE DIVER"/>
    <d v="2023-06-28T00:00:00"/>
    <n v="3367"/>
    <b v="1"/>
    <n v="209"/>
    <s v="GTX 1060"/>
    <x v="6"/>
    <x v="1"/>
  </r>
  <r>
    <n v="2625420"/>
    <s v="Drive Beyond Horizons"/>
    <d v="2025-03-24T00:00:00"/>
    <n v="3366"/>
    <b v="0"/>
    <n v="210"/>
    <s v="RTX 3060"/>
    <x v="0"/>
    <x v="0"/>
  </r>
  <r>
    <n v="2625420"/>
    <s v="Drive Beyond Horizons"/>
    <d v="2025-03-24T00:00:00"/>
    <n v="3366"/>
    <b v="0"/>
    <n v="210"/>
    <s v="RTX 3060"/>
    <x v="1"/>
    <x v="0"/>
  </r>
  <r>
    <n v="2625420"/>
    <s v="Drive Beyond Horizons"/>
    <d v="2025-03-24T00:00:00"/>
    <n v="3366"/>
    <b v="0"/>
    <n v="210"/>
    <s v="RTX 3060"/>
    <x v="2"/>
    <x v="0"/>
  </r>
  <r>
    <n v="2625420"/>
    <s v="Drive Beyond Horizons"/>
    <d v="2025-03-24T00:00:00"/>
    <n v="3366"/>
    <b v="0"/>
    <n v="210"/>
    <s v="RTX 3060"/>
    <x v="3"/>
    <x v="0"/>
  </r>
  <r>
    <n v="2625420"/>
    <s v="Drive Beyond Horizons"/>
    <d v="2025-03-24T00:00:00"/>
    <n v="3366"/>
    <b v="0"/>
    <n v="210"/>
    <s v="RTX 3060"/>
    <x v="4"/>
    <x v="1"/>
  </r>
  <r>
    <n v="2625420"/>
    <s v="Drive Beyond Horizons"/>
    <d v="2025-03-24T00:00:00"/>
    <n v="3366"/>
    <b v="0"/>
    <n v="210"/>
    <s v="RTX 3060"/>
    <x v="5"/>
    <x v="1"/>
  </r>
  <r>
    <n v="2625420"/>
    <s v="Drive Beyond Horizons"/>
    <d v="2025-03-24T00:00:00"/>
    <n v="3366"/>
    <b v="0"/>
    <n v="210"/>
    <s v="RTX 3060"/>
    <x v="6"/>
    <x v="1"/>
  </r>
  <r>
    <n v="976730"/>
    <s v="Halo: The Master Chief Collection"/>
    <d v="2019-12-03T00:00:00"/>
    <n v="3362"/>
    <b v="0"/>
    <n v="211"/>
    <s v="GTX 970"/>
    <x v="0"/>
    <x v="0"/>
  </r>
  <r>
    <n v="976730"/>
    <s v="Halo: The Master Chief Collection"/>
    <d v="2019-12-03T00:00:00"/>
    <n v="3362"/>
    <b v="0"/>
    <n v="211"/>
    <s v="GTX 970"/>
    <x v="1"/>
    <x v="1"/>
  </r>
  <r>
    <n v="976730"/>
    <s v="Halo: The Master Chief Collection"/>
    <d v="2019-12-03T00:00:00"/>
    <n v="3362"/>
    <b v="0"/>
    <n v="211"/>
    <s v="GTX 970"/>
    <x v="2"/>
    <x v="1"/>
  </r>
  <r>
    <n v="976730"/>
    <s v="Halo: The Master Chief Collection"/>
    <d v="2019-12-03T00:00:00"/>
    <n v="3362"/>
    <b v="0"/>
    <n v="211"/>
    <s v="GTX 970"/>
    <x v="3"/>
    <x v="1"/>
  </r>
  <r>
    <n v="976730"/>
    <s v="Halo: The Master Chief Collection"/>
    <d v="2019-12-03T00:00:00"/>
    <n v="3362"/>
    <b v="0"/>
    <n v="211"/>
    <s v="GTX 970"/>
    <x v="4"/>
    <x v="1"/>
  </r>
  <r>
    <n v="976730"/>
    <s v="Halo: The Master Chief Collection"/>
    <d v="2019-12-03T00:00:00"/>
    <n v="3362"/>
    <b v="0"/>
    <n v="211"/>
    <s v="GTX 970"/>
    <x v="5"/>
    <x v="1"/>
  </r>
  <r>
    <n v="976730"/>
    <s v="Halo: The Master Chief Collection"/>
    <d v="2019-12-03T00:00:00"/>
    <n v="3362"/>
    <b v="0"/>
    <n v="211"/>
    <s v="GTX 970"/>
    <x v="6"/>
    <x v="1"/>
  </r>
  <r>
    <n v="1009850"/>
    <s v="OVR Advanced Settings"/>
    <d v="2020-04-14T00:00:00"/>
    <n v="3358"/>
    <b v="0"/>
    <n v="212"/>
    <s v="GTX 970"/>
    <x v="0"/>
    <x v="1"/>
  </r>
  <r>
    <n v="1009850"/>
    <s v="OVR Advanced Settings"/>
    <d v="2020-04-14T00:00:00"/>
    <n v="3358"/>
    <b v="0"/>
    <n v="212"/>
    <s v="GTX 970"/>
    <x v="1"/>
    <x v="1"/>
  </r>
  <r>
    <n v="1009850"/>
    <s v="OVR Advanced Settings"/>
    <d v="2020-04-14T00:00:00"/>
    <n v="3358"/>
    <b v="0"/>
    <n v="212"/>
    <s v="GTX 970"/>
    <x v="2"/>
    <x v="1"/>
  </r>
  <r>
    <n v="1009850"/>
    <s v="OVR Advanced Settings"/>
    <d v="2020-04-14T00:00:00"/>
    <n v="3358"/>
    <b v="0"/>
    <n v="212"/>
    <s v="GTX 970"/>
    <x v="3"/>
    <x v="1"/>
  </r>
  <r>
    <n v="1009850"/>
    <s v="OVR Advanced Settings"/>
    <d v="2020-04-14T00:00:00"/>
    <n v="3358"/>
    <b v="0"/>
    <n v="212"/>
    <s v="GTX 970"/>
    <x v="4"/>
    <x v="1"/>
  </r>
  <r>
    <n v="1009850"/>
    <s v="OVR Advanced Settings"/>
    <d v="2020-04-14T00:00:00"/>
    <n v="3358"/>
    <b v="0"/>
    <n v="212"/>
    <s v="GTX 970"/>
    <x v="5"/>
    <x v="1"/>
  </r>
  <r>
    <n v="1009850"/>
    <s v="OVR Advanced Settings"/>
    <d v="2020-04-14T00:00:00"/>
    <n v="3358"/>
    <b v="0"/>
    <n v="212"/>
    <s v="GTX 970"/>
    <x v="6"/>
    <x v="1"/>
  </r>
  <r>
    <n v="391540"/>
    <s v="Undertale"/>
    <d v="2015-09-15T00:00:00"/>
    <n v="3331"/>
    <b v="1"/>
    <n v="213"/>
    <s v="Radeon Graphics"/>
    <x v="0"/>
    <x v="1"/>
  </r>
  <r>
    <n v="391540"/>
    <s v="Undertale"/>
    <d v="2015-09-15T00:00:00"/>
    <n v="3331"/>
    <b v="1"/>
    <n v="213"/>
    <s v="Radeon Graphics"/>
    <x v="1"/>
    <x v="0"/>
  </r>
  <r>
    <n v="391540"/>
    <s v="Undertale"/>
    <d v="2015-09-15T00:00:00"/>
    <n v="3331"/>
    <b v="1"/>
    <n v="213"/>
    <s v="Radeon Graphics"/>
    <x v="2"/>
    <x v="1"/>
  </r>
  <r>
    <n v="391540"/>
    <s v="Undertale"/>
    <d v="2015-09-15T00:00:00"/>
    <n v="3331"/>
    <b v="1"/>
    <n v="213"/>
    <s v="Radeon Graphics"/>
    <x v="3"/>
    <x v="1"/>
  </r>
  <r>
    <n v="391540"/>
    <s v="Undertale"/>
    <d v="2015-09-15T00:00:00"/>
    <n v="3331"/>
    <b v="1"/>
    <n v="213"/>
    <s v="Radeon Graphics"/>
    <x v="4"/>
    <x v="0"/>
  </r>
  <r>
    <n v="391540"/>
    <s v="Undertale"/>
    <d v="2015-09-15T00:00:00"/>
    <n v="3331"/>
    <b v="1"/>
    <n v="213"/>
    <s v="Radeon Graphics"/>
    <x v="5"/>
    <x v="1"/>
  </r>
  <r>
    <n v="391540"/>
    <s v="Undertale"/>
    <d v="2015-09-15T00:00:00"/>
    <n v="3331"/>
    <b v="1"/>
    <n v="213"/>
    <s v="Radeon Graphics"/>
    <x v="6"/>
    <x v="1"/>
  </r>
  <r>
    <n v="1546320"/>
    <s v="Your Chronicle"/>
    <d v="2021-04-04T00:00:00"/>
    <n v="3324"/>
    <b v="1"/>
    <n v="214"/>
    <s v="Radeon Vega 11"/>
    <x v="0"/>
    <x v="1"/>
  </r>
  <r>
    <n v="1546320"/>
    <s v="Your Chronicle"/>
    <d v="2021-04-04T00:00:00"/>
    <n v="3324"/>
    <b v="1"/>
    <n v="214"/>
    <s v="Radeon Vega 11"/>
    <x v="1"/>
    <x v="1"/>
  </r>
  <r>
    <n v="1546320"/>
    <s v="Your Chronicle"/>
    <d v="2021-04-04T00:00:00"/>
    <n v="3324"/>
    <b v="1"/>
    <n v="214"/>
    <s v="Radeon Vega 11"/>
    <x v="2"/>
    <x v="1"/>
  </r>
  <r>
    <n v="1546320"/>
    <s v="Your Chronicle"/>
    <d v="2021-04-04T00:00:00"/>
    <n v="3324"/>
    <b v="1"/>
    <n v="214"/>
    <s v="Radeon Vega 11"/>
    <x v="3"/>
    <x v="1"/>
  </r>
  <r>
    <n v="1546320"/>
    <s v="Your Chronicle"/>
    <d v="2021-04-04T00:00:00"/>
    <n v="3324"/>
    <b v="1"/>
    <n v="214"/>
    <s v="Radeon Vega 11"/>
    <x v="4"/>
    <x v="0"/>
  </r>
  <r>
    <n v="1546320"/>
    <s v="Your Chronicle"/>
    <d v="2021-04-04T00:00:00"/>
    <n v="3324"/>
    <b v="1"/>
    <n v="214"/>
    <s v="Radeon Vega 11"/>
    <x v="5"/>
    <x v="1"/>
  </r>
  <r>
    <n v="1546320"/>
    <s v="Your Chronicle"/>
    <d v="2021-04-04T00:00:00"/>
    <n v="3324"/>
    <b v="1"/>
    <n v="214"/>
    <s v="Radeon Vega 11"/>
    <x v="6"/>
    <x v="0"/>
  </r>
  <r>
    <n v="2404880"/>
    <s v="Car Dealer Simulator"/>
    <d v="2025-05-29T00:00:00"/>
    <n v="3296"/>
    <b v="0"/>
    <n v="215"/>
    <s v="RTX 3070"/>
    <x v="0"/>
    <x v="1"/>
  </r>
  <r>
    <n v="2404880"/>
    <s v="Car Dealer Simulator"/>
    <d v="2025-05-29T00:00:00"/>
    <n v="3296"/>
    <b v="0"/>
    <n v="215"/>
    <s v="RTX 3070"/>
    <x v="1"/>
    <x v="0"/>
  </r>
  <r>
    <n v="2404880"/>
    <s v="Car Dealer Simulator"/>
    <d v="2025-05-29T00:00:00"/>
    <n v="3296"/>
    <b v="0"/>
    <n v="215"/>
    <s v="RTX 3070"/>
    <x v="2"/>
    <x v="1"/>
  </r>
  <r>
    <n v="2404880"/>
    <s v="Car Dealer Simulator"/>
    <d v="2025-05-29T00:00:00"/>
    <n v="3296"/>
    <b v="0"/>
    <n v="215"/>
    <s v="RTX 3070"/>
    <x v="3"/>
    <x v="0"/>
  </r>
  <r>
    <n v="2404880"/>
    <s v="Car Dealer Simulator"/>
    <d v="2025-05-29T00:00:00"/>
    <n v="3296"/>
    <b v="0"/>
    <n v="215"/>
    <s v="RTX 3070"/>
    <x v="4"/>
    <x v="1"/>
  </r>
  <r>
    <n v="2404880"/>
    <s v="Car Dealer Simulator"/>
    <d v="2025-05-29T00:00:00"/>
    <n v="3296"/>
    <b v="0"/>
    <n v="215"/>
    <s v="RTX 3070"/>
    <x v="5"/>
    <x v="1"/>
  </r>
  <r>
    <n v="2404880"/>
    <s v="Car Dealer Simulator"/>
    <d v="2025-05-29T00:00:00"/>
    <n v="3296"/>
    <b v="0"/>
    <n v="215"/>
    <s v="RTX 3070"/>
    <x v="6"/>
    <x v="1"/>
  </r>
  <r>
    <n v="1258080"/>
    <s v="Shop Titans"/>
    <d v="2020-05-05T00:00:00"/>
    <n v="3279"/>
    <b v="0"/>
    <n v="216"/>
    <s v="Radeon Vega 11"/>
    <x v="0"/>
    <x v="1"/>
  </r>
  <r>
    <n v="1258080"/>
    <s v="Shop Titans"/>
    <d v="2020-05-05T00:00:00"/>
    <n v="3279"/>
    <b v="0"/>
    <n v="216"/>
    <s v="Radeon Vega 11"/>
    <x v="1"/>
    <x v="1"/>
  </r>
  <r>
    <n v="1258080"/>
    <s v="Shop Titans"/>
    <d v="2020-05-05T00:00:00"/>
    <n v="3279"/>
    <b v="0"/>
    <n v="216"/>
    <s v="Radeon Vega 11"/>
    <x v="2"/>
    <x v="0"/>
  </r>
  <r>
    <n v="1258080"/>
    <s v="Shop Titans"/>
    <d v="2020-05-05T00:00:00"/>
    <n v="3279"/>
    <b v="0"/>
    <n v="216"/>
    <s v="Radeon Vega 11"/>
    <x v="3"/>
    <x v="0"/>
  </r>
  <r>
    <n v="1258080"/>
    <s v="Shop Titans"/>
    <d v="2020-05-05T00:00:00"/>
    <n v="3279"/>
    <b v="0"/>
    <n v="216"/>
    <s v="Radeon Vega 11"/>
    <x v="4"/>
    <x v="0"/>
  </r>
  <r>
    <n v="1258080"/>
    <s v="Shop Titans"/>
    <d v="2020-05-05T00:00:00"/>
    <n v="3279"/>
    <b v="0"/>
    <n v="216"/>
    <s v="Radeon Vega 11"/>
    <x v="5"/>
    <x v="1"/>
  </r>
  <r>
    <n v="1258080"/>
    <s v="Shop Titans"/>
    <d v="2020-05-05T00:00:00"/>
    <n v="3279"/>
    <b v="0"/>
    <n v="216"/>
    <s v="Radeon Vega 11"/>
    <x v="6"/>
    <x v="0"/>
  </r>
  <r>
    <n v="529760"/>
    <s v="TAIKU MANSION"/>
    <d v="2017-02-13T00:00:00"/>
    <n v="3278"/>
    <b v="0"/>
    <n v="217"/>
    <s v="GTX 970"/>
    <x v="0"/>
    <x v="0"/>
  </r>
  <r>
    <n v="529760"/>
    <s v="TAIKU MANSION"/>
    <d v="2017-02-13T00:00:00"/>
    <n v="3278"/>
    <b v="0"/>
    <n v="217"/>
    <s v="GTX 970"/>
    <x v="1"/>
    <x v="1"/>
  </r>
  <r>
    <n v="529760"/>
    <s v="TAIKU MANSION"/>
    <d v="2017-02-13T00:00:00"/>
    <n v="3278"/>
    <b v="0"/>
    <n v="217"/>
    <s v="GTX 970"/>
    <x v="2"/>
    <x v="0"/>
  </r>
  <r>
    <n v="529760"/>
    <s v="TAIKU MANSION"/>
    <d v="2017-02-13T00:00:00"/>
    <n v="3278"/>
    <b v="0"/>
    <n v="217"/>
    <s v="GTX 970"/>
    <x v="3"/>
    <x v="1"/>
  </r>
  <r>
    <n v="529760"/>
    <s v="TAIKU MANSION"/>
    <d v="2017-02-13T00:00:00"/>
    <n v="3278"/>
    <b v="0"/>
    <n v="217"/>
    <s v="GTX 970"/>
    <x v="4"/>
    <x v="1"/>
  </r>
  <r>
    <n v="529760"/>
    <s v="TAIKU MANSION"/>
    <d v="2017-02-13T00:00:00"/>
    <n v="3278"/>
    <b v="0"/>
    <n v="217"/>
    <s v="GTX 970"/>
    <x v="5"/>
    <x v="1"/>
  </r>
  <r>
    <n v="529760"/>
    <s v="TAIKU MANSION"/>
    <d v="2017-02-13T00:00:00"/>
    <n v="3278"/>
    <b v="0"/>
    <n v="217"/>
    <s v="GTX 970"/>
    <x v="6"/>
    <x v="1"/>
  </r>
  <r>
    <n v="1284210"/>
    <s v="Guild Wars 2"/>
    <d v="2022-08-23T00:00:00"/>
    <n v="3277"/>
    <b v="0"/>
    <n v="218"/>
    <s v="GTX 750"/>
    <x v="0"/>
    <x v="1"/>
  </r>
  <r>
    <n v="1284210"/>
    <s v="Guild Wars 2"/>
    <d v="2022-08-23T00:00:00"/>
    <n v="3277"/>
    <b v="0"/>
    <n v="218"/>
    <s v="GTX 750"/>
    <x v="1"/>
    <x v="1"/>
  </r>
  <r>
    <n v="1284210"/>
    <s v="Guild Wars 2"/>
    <d v="2022-08-23T00:00:00"/>
    <n v="3277"/>
    <b v="0"/>
    <n v="218"/>
    <s v="GTX 750"/>
    <x v="2"/>
    <x v="0"/>
  </r>
  <r>
    <n v="1284210"/>
    <s v="Guild Wars 2"/>
    <d v="2022-08-23T00:00:00"/>
    <n v="3277"/>
    <b v="0"/>
    <n v="218"/>
    <s v="GTX 750"/>
    <x v="3"/>
    <x v="1"/>
  </r>
  <r>
    <n v="1284210"/>
    <s v="Guild Wars 2"/>
    <d v="2022-08-23T00:00:00"/>
    <n v="3277"/>
    <b v="0"/>
    <n v="218"/>
    <s v="GTX 750"/>
    <x v="4"/>
    <x v="0"/>
  </r>
  <r>
    <n v="1284210"/>
    <s v="Guild Wars 2"/>
    <d v="2022-08-23T00:00:00"/>
    <n v="3277"/>
    <b v="0"/>
    <n v="218"/>
    <s v="GTX 750"/>
    <x v="5"/>
    <x v="1"/>
  </r>
  <r>
    <n v="1284210"/>
    <s v="Guild Wars 2"/>
    <d v="2022-08-23T00:00:00"/>
    <n v="3277"/>
    <b v="0"/>
    <n v="218"/>
    <s v="GTX 750"/>
    <x v="6"/>
    <x v="0"/>
  </r>
  <r>
    <n v="1250410"/>
    <s v="Microsoft Flight Simulator (2020) 40th Anniversary Edition"/>
    <d v="2020-08-17T00:00:00"/>
    <n v="3245"/>
    <b v="0"/>
    <n v="219"/>
    <s v="GTX 970"/>
    <x v="0"/>
    <x v="1"/>
  </r>
  <r>
    <n v="1250410"/>
    <s v="Microsoft Flight Simulator (2020) 40th Anniversary Edition"/>
    <d v="2020-08-17T00:00:00"/>
    <n v="3245"/>
    <b v="0"/>
    <n v="219"/>
    <s v="GTX 970"/>
    <x v="1"/>
    <x v="1"/>
  </r>
  <r>
    <n v="1250410"/>
    <s v="Microsoft Flight Simulator (2020) 40th Anniversary Edition"/>
    <d v="2020-08-17T00:00:00"/>
    <n v="3245"/>
    <b v="0"/>
    <n v="219"/>
    <s v="GTX 970"/>
    <x v="2"/>
    <x v="1"/>
  </r>
  <r>
    <n v="1250410"/>
    <s v="Microsoft Flight Simulator (2020) 40th Anniversary Edition"/>
    <d v="2020-08-17T00:00:00"/>
    <n v="3245"/>
    <b v="0"/>
    <n v="219"/>
    <s v="GTX 970"/>
    <x v="3"/>
    <x v="0"/>
  </r>
  <r>
    <n v="1250410"/>
    <s v="Microsoft Flight Simulator (2020) 40th Anniversary Edition"/>
    <d v="2020-08-17T00:00:00"/>
    <n v="3245"/>
    <b v="0"/>
    <n v="219"/>
    <s v="GTX 970"/>
    <x v="4"/>
    <x v="1"/>
  </r>
  <r>
    <n v="1250410"/>
    <s v="Microsoft Flight Simulator (2020) 40th Anniversary Edition"/>
    <d v="2020-08-17T00:00:00"/>
    <n v="3245"/>
    <b v="0"/>
    <n v="219"/>
    <s v="GTX 970"/>
    <x v="5"/>
    <x v="1"/>
  </r>
  <r>
    <n v="1250410"/>
    <s v="Microsoft Flight Simulator (2020) 40th Anniversary Edition"/>
    <d v="2020-08-17T00:00:00"/>
    <n v="3245"/>
    <b v="0"/>
    <n v="219"/>
    <s v="GTX 970"/>
    <x v="6"/>
    <x v="1"/>
  </r>
  <r>
    <n v="2622000"/>
    <s v="Astral Party"/>
    <d v="2024-02-28T00:00:00"/>
    <n v="3227"/>
    <b v="0"/>
    <n v="220"/>
    <s v="GTX 1660"/>
    <x v="0"/>
    <x v="1"/>
  </r>
  <r>
    <n v="2622000"/>
    <s v="Astral Party"/>
    <d v="2024-02-28T00:00:00"/>
    <n v="3227"/>
    <b v="0"/>
    <n v="220"/>
    <s v="GTX 1660"/>
    <x v="1"/>
    <x v="0"/>
  </r>
  <r>
    <n v="2622000"/>
    <s v="Astral Party"/>
    <d v="2024-02-28T00:00:00"/>
    <n v="3227"/>
    <b v="0"/>
    <n v="220"/>
    <s v="GTX 1660"/>
    <x v="2"/>
    <x v="1"/>
  </r>
  <r>
    <n v="2622000"/>
    <s v="Astral Party"/>
    <d v="2024-02-28T00:00:00"/>
    <n v="3227"/>
    <b v="0"/>
    <n v="220"/>
    <s v="GTX 1660"/>
    <x v="3"/>
    <x v="1"/>
  </r>
  <r>
    <n v="2622000"/>
    <s v="Astral Party"/>
    <d v="2024-02-28T00:00:00"/>
    <n v="3227"/>
    <b v="0"/>
    <n v="220"/>
    <s v="GTX 1660"/>
    <x v="4"/>
    <x v="0"/>
  </r>
  <r>
    <n v="2622000"/>
    <s v="Astral Party"/>
    <d v="2024-02-28T00:00:00"/>
    <n v="3227"/>
    <b v="0"/>
    <n v="220"/>
    <s v="GTX 1660"/>
    <x v="5"/>
    <x v="0"/>
  </r>
  <r>
    <n v="2622000"/>
    <s v="Astral Party"/>
    <d v="2024-02-28T00:00:00"/>
    <n v="3227"/>
    <b v="0"/>
    <n v="220"/>
    <s v="GTX 1660"/>
    <x v="6"/>
    <x v="1"/>
  </r>
  <r>
    <n v="397540"/>
    <s v="Borderlands 3"/>
    <d v="2020-03-13T00:00:00"/>
    <n v="3164"/>
    <b v="0"/>
    <n v="221"/>
    <s v="RX 590"/>
    <x v="0"/>
    <x v="0"/>
  </r>
  <r>
    <n v="397540"/>
    <s v="Borderlands 3"/>
    <d v="2020-03-13T00:00:00"/>
    <n v="3164"/>
    <b v="0"/>
    <n v="221"/>
    <s v="RX 590"/>
    <x v="1"/>
    <x v="1"/>
  </r>
  <r>
    <n v="397540"/>
    <s v="Borderlands 3"/>
    <d v="2020-03-13T00:00:00"/>
    <n v="3164"/>
    <b v="0"/>
    <n v="221"/>
    <s v="RX 590"/>
    <x v="2"/>
    <x v="1"/>
  </r>
  <r>
    <n v="397540"/>
    <s v="Borderlands 3"/>
    <d v="2020-03-13T00:00:00"/>
    <n v="3164"/>
    <b v="0"/>
    <n v="221"/>
    <s v="RX 590"/>
    <x v="3"/>
    <x v="1"/>
  </r>
  <r>
    <n v="397540"/>
    <s v="Borderlands 3"/>
    <d v="2020-03-13T00:00:00"/>
    <n v="3164"/>
    <b v="0"/>
    <n v="221"/>
    <s v="RX 590"/>
    <x v="4"/>
    <x v="0"/>
  </r>
  <r>
    <n v="397540"/>
    <s v="Borderlands 3"/>
    <d v="2020-03-13T00:00:00"/>
    <n v="3164"/>
    <b v="0"/>
    <n v="221"/>
    <s v="RX 590"/>
    <x v="5"/>
    <x v="1"/>
  </r>
  <r>
    <n v="397540"/>
    <s v="Borderlands 3"/>
    <d v="2020-03-13T00:00:00"/>
    <n v="3164"/>
    <b v="0"/>
    <n v="221"/>
    <s v="RX 590"/>
    <x v="6"/>
    <x v="1"/>
  </r>
  <r>
    <n v="1465360"/>
    <s v="SnowRunner"/>
    <d v="2021-05-17T00:00:00"/>
    <n v="3132"/>
    <b v="1"/>
    <n v="222"/>
    <s v="GTX 970"/>
    <x v="0"/>
    <x v="1"/>
  </r>
  <r>
    <n v="1465360"/>
    <s v="SnowRunner"/>
    <d v="2021-05-17T00:00:00"/>
    <n v="3132"/>
    <b v="1"/>
    <n v="222"/>
    <s v="GTX 970"/>
    <x v="1"/>
    <x v="1"/>
  </r>
  <r>
    <n v="1465360"/>
    <s v="SnowRunner"/>
    <d v="2021-05-17T00:00:00"/>
    <n v="3132"/>
    <b v="1"/>
    <n v="222"/>
    <s v="GTX 970"/>
    <x v="2"/>
    <x v="0"/>
  </r>
  <r>
    <n v="1465360"/>
    <s v="SnowRunner"/>
    <d v="2021-05-17T00:00:00"/>
    <n v="3132"/>
    <b v="1"/>
    <n v="222"/>
    <s v="GTX 970"/>
    <x v="3"/>
    <x v="0"/>
  </r>
  <r>
    <n v="1465360"/>
    <s v="SnowRunner"/>
    <d v="2021-05-17T00:00:00"/>
    <n v="3132"/>
    <b v="1"/>
    <n v="222"/>
    <s v="GTX 970"/>
    <x v="4"/>
    <x v="1"/>
  </r>
  <r>
    <n v="1465360"/>
    <s v="SnowRunner"/>
    <d v="2021-05-17T00:00:00"/>
    <n v="3132"/>
    <b v="1"/>
    <n v="222"/>
    <s v="GTX 970"/>
    <x v="5"/>
    <x v="1"/>
  </r>
  <r>
    <n v="1465360"/>
    <s v="SnowRunner"/>
    <d v="2021-05-17T00:00:00"/>
    <n v="3132"/>
    <b v="1"/>
    <n v="222"/>
    <s v="GTX 970"/>
    <x v="6"/>
    <x v="1"/>
  </r>
  <r>
    <n v="268500"/>
    <s v="XCOM 2"/>
    <d v="2016-02-04T00:00:00"/>
    <n v="3123"/>
    <b v="1"/>
    <n v="223"/>
    <s v="GTX 1050 Ti"/>
    <x v="0"/>
    <x v="1"/>
  </r>
  <r>
    <n v="268500"/>
    <s v="XCOM 2"/>
    <d v="2016-02-04T00:00:00"/>
    <n v="3123"/>
    <b v="1"/>
    <n v="223"/>
    <s v="GTX 1050 Ti"/>
    <x v="1"/>
    <x v="1"/>
  </r>
  <r>
    <n v="268500"/>
    <s v="XCOM 2"/>
    <d v="2016-02-04T00:00:00"/>
    <n v="3123"/>
    <b v="1"/>
    <n v="223"/>
    <s v="GTX 1050 Ti"/>
    <x v="2"/>
    <x v="1"/>
  </r>
  <r>
    <n v="268500"/>
    <s v="XCOM 2"/>
    <d v="2016-02-04T00:00:00"/>
    <n v="3123"/>
    <b v="1"/>
    <n v="223"/>
    <s v="GTX 1050 Ti"/>
    <x v="3"/>
    <x v="1"/>
  </r>
  <r>
    <n v="268500"/>
    <s v="XCOM 2"/>
    <d v="2016-02-04T00:00:00"/>
    <n v="3123"/>
    <b v="1"/>
    <n v="223"/>
    <s v="GTX 1050 Ti"/>
    <x v="4"/>
    <x v="1"/>
  </r>
  <r>
    <n v="268500"/>
    <s v="XCOM 2"/>
    <d v="2016-02-04T00:00:00"/>
    <n v="3123"/>
    <b v="1"/>
    <n v="223"/>
    <s v="GTX 1050 Ti"/>
    <x v="5"/>
    <x v="0"/>
  </r>
  <r>
    <n v="268500"/>
    <s v="XCOM 2"/>
    <d v="2016-02-04T00:00:00"/>
    <n v="3123"/>
    <b v="1"/>
    <n v="223"/>
    <s v="GTX 1050 Ti"/>
    <x v="6"/>
    <x v="1"/>
  </r>
  <r>
    <n v="1229490"/>
    <s v="ULTRAKILL"/>
    <d v="2020-09-03T00:00:00"/>
    <n v="3122"/>
    <b v="0"/>
    <n v="224"/>
    <s v="GTX 970"/>
    <x v="0"/>
    <x v="0"/>
  </r>
  <r>
    <n v="1229490"/>
    <s v="ULTRAKILL"/>
    <d v="2020-09-03T00:00:00"/>
    <n v="3122"/>
    <b v="0"/>
    <n v="224"/>
    <s v="GTX 970"/>
    <x v="1"/>
    <x v="0"/>
  </r>
  <r>
    <n v="1229490"/>
    <s v="ULTRAKILL"/>
    <d v="2020-09-03T00:00:00"/>
    <n v="3122"/>
    <b v="0"/>
    <n v="224"/>
    <s v="GTX 970"/>
    <x v="2"/>
    <x v="1"/>
  </r>
  <r>
    <n v="1229490"/>
    <s v="ULTRAKILL"/>
    <d v="2020-09-03T00:00:00"/>
    <n v="3122"/>
    <b v="0"/>
    <n v="224"/>
    <s v="GTX 970"/>
    <x v="3"/>
    <x v="1"/>
  </r>
  <r>
    <n v="1229490"/>
    <s v="ULTRAKILL"/>
    <d v="2020-09-03T00:00:00"/>
    <n v="3122"/>
    <b v="0"/>
    <n v="224"/>
    <s v="GTX 970"/>
    <x v="4"/>
    <x v="1"/>
  </r>
  <r>
    <n v="1229490"/>
    <s v="ULTRAKILL"/>
    <d v="2020-09-03T00:00:00"/>
    <n v="3122"/>
    <b v="0"/>
    <n v="224"/>
    <s v="GTX 970"/>
    <x v="5"/>
    <x v="1"/>
  </r>
  <r>
    <n v="1229490"/>
    <s v="ULTRAKILL"/>
    <d v="2020-09-03T00:00:00"/>
    <n v="3122"/>
    <b v="0"/>
    <n v="224"/>
    <s v="GTX 970"/>
    <x v="6"/>
    <x v="1"/>
  </r>
  <r>
    <n v="1260320"/>
    <s v="Party Animals"/>
    <d v="2023-09-20T00:00:00"/>
    <n v="3070"/>
    <b v="0"/>
    <n v="225"/>
    <s v="GTX 1060"/>
    <x v="0"/>
    <x v="0"/>
  </r>
  <r>
    <n v="1260320"/>
    <s v="Party Animals"/>
    <d v="2023-09-20T00:00:00"/>
    <n v="3070"/>
    <b v="0"/>
    <n v="225"/>
    <s v="GTX 1060"/>
    <x v="1"/>
    <x v="0"/>
  </r>
  <r>
    <n v="1260320"/>
    <s v="Party Animals"/>
    <d v="2023-09-20T00:00:00"/>
    <n v="3070"/>
    <b v="0"/>
    <n v="225"/>
    <s v="GTX 1060"/>
    <x v="2"/>
    <x v="1"/>
  </r>
  <r>
    <n v="1260320"/>
    <s v="Party Animals"/>
    <d v="2023-09-20T00:00:00"/>
    <n v="3070"/>
    <b v="0"/>
    <n v="225"/>
    <s v="GTX 1060"/>
    <x v="3"/>
    <x v="1"/>
  </r>
  <r>
    <n v="1260320"/>
    <s v="Party Animals"/>
    <d v="2023-09-20T00:00:00"/>
    <n v="3070"/>
    <b v="0"/>
    <n v="225"/>
    <s v="GTX 1060"/>
    <x v="4"/>
    <x v="1"/>
  </r>
  <r>
    <n v="1260320"/>
    <s v="Party Animals"/>
    <d v="2023-09-20T00:00:00"/>
    <n v="3070"/>
    <b v="0"/>
    <n v="225"/>
    <s v="GTX 1060"/>
    <x v="5"/>
    <x v="1"/>
  </r>
  <r>
    <n v="1260320"/>
    <s v="Party Animals"/>
    <d v="2023-09-20T00:00:00"/>
    <n v="3070"/>
    <b v="0"/>
    <n v="225"/>
    <s v="GTX 1060"/>
    <x v="6"/>
    <x v="1"/>
  </r>
  <r>
    <n v="3400930"/>
    <s v="Guilty as Sock!"/>
    <d v="2025-05-29T00:00:00"/>
    <n v="3056"/>
    <b v="1"/>
    <n v="226"/>
    <s v="Radeon Vega 11"/>
    <x v="0"/>
    <x v="1"/>
  </r>
  <r>
    <n v="3400930"/>
    <s v="Guilty as Sock!"/>
    <d v="2025-05-29T00:00:00"/>
    <n v="3056"/>
    <b v="1"/>
    <n v="226"/>
    <s v="Radeon Vega 11"/>
    <x v="1"/>
    <x v="1"/>
  </r>
  <r>
    <n v="3400930"/>
    <s v="Guilty as Sock!"/>
    <d v="2025-05-29T00:00:00"/>
    <n v="3056"/>
    <b v="1"/>
    <n v="226"/>
    <s v="Radeon Vega 11"/>
    <x v="2"/>
    <x v="1"/>
  </r>
  <r>
    <n v="3400930"/>
    <s v="Guilty as Sock!"/>
    <d v="2025-05-29T00:00:00"/>
    <n v="3056"/>
    <b v="1"/>
    <n v="226"/>
    <s v="Radeon Vega 11"/>
    <x v="3"/>
    <x v="0"/>
  </r>
  <r>
    <n v="3400930"/>
    <s v="Guilty as Sock!"/>
    <d v="2025-05-29T00:00:00"/>
    <n v="3056"/>
    <b v="1"/>
    <n v="226"/>
    <s v="Radeon Vega 11"/>
    <x v="4"/>
    <x v="1"/>
  </r>
  <r>
    <n v="3400930"/>
    <s v="Guilty as Sock!"/>
    <d v="2025-05-29T00:00:00"/>
    <n v="3056"/>
    <b v="1"/>
    <n v="226"/>
    <s v="Radeon Vega 11"/>
    <x v="5"/>
    <x v="1"/>
  </r>
  <r>
    <n v="3400930"/>
    <s v="Guilty as Sock!"/>
    <d v="2025-05-29T00:00:00"/>
    <n v="3056"/>
    <b v="1"/>
    <n v="226"/>
    <s v="Radeon Vega 11"/>
    <x v="6"/>
    <x v="1"/>
  </r>
  <r>
    <n v="48700"/>
    <s v="Mount &amp; Blade: Warband"/>
    <d v="2010-03-31T00:00:00"/>
    <n v="3055"/>
    <b v="1"/>
    <n v="227"/>
    <s v="GTX 770"/>
    <x v="0"/>
    <x v="0"/>
  </r>
  <r>
    <n v="48700"/>
    <s v="Mount &amp; Blade: Warband"/>
    <d v="2010-03-31T00:00:00"/>
    <n v="3055"/>
    <b v="1"/>
    <n v="227"/>
    <s v="GTX 770"/>
    <x v="1"/>
    <x v="1"/>
  </r>
  <r>
    <n v="48700"/>
    <s v="Mount &amp; Blade: Warband"/>
    <d v="2010-03-31T00:00:00"/>
    <n v="3055"/>
    <b v="1"/>
    <n v="227"/>
    <s v="GTX 770"/>
    <x v="2"/>
    <x v="1"/>
  </r>
  <r>
    <n v="48700"/>
    <s v="Mount &amp; Blade: Warband"/>
    <d v="2010-03-31T00:00:00"/>
    <n v="3055"/>
    <b v="1"/>
    <n v="227"/>
    <s v="GTX 770"/>
    <x v="3"/>
    <x v="1"/>
  </r>
  <r>
    <n v="48700"/>
    <s v="Mount &amp; Blade: Warband"/>
    <d v="2010-03-31T00:00:00"/>
    <n v="3055"/>
    <b v="1"/>
    <n v="227"/>
    <s v="GTX 770"/>
    <x v="4"/>
    <x v="0"/>
  </r>
  <r>
    <n v="48700"/>
    <s v="Mount &amp; Blade: Warband"/>
    <d v="2010-03-31T00:00:00"/>
    <n v="3055"/>
    <b v="1"/>
    <n v="227"/>
    <s v="GTX 770"/>
    <x v="5"/>
    <x v="1"/>
  </r>
  <r>
    <n v="48700"/>
    <s v="Mount &amp; Blade: Warband"/>
    <d v="2010-03-31T00:00:00"/>
    <n v="3055"/>
    <b v="1"/>
    <n v="227"/>
    <s v="GTX 770"/>
    <x v="6"/>
    <x v="1"/>
  </r>
  <r>
    <n v="977400"/>
    <s v="Cell to Singularity - Evolution Never Ends"/>
    <d v="2021-11-03T00:00:00"/>
    <n v="3036"/>
    <b v="1"/>
    <n v="228"/>
    <s v="Radeon Vega 11"/>
    <x v="0"/>
    <x v="1"/>
  </r>
  <r>
    <n v="977400"/>
    <s v="Cell to Singularity - Evolution Never Ends"/>
    <d v="2021-11-03T00:00:00"/>
    <n v="3036"/>
    <b v="1"/>
    <n v="228"/>
    <s v="Radeon Vega 11"/>
    <x v="1"/>
    <x v="1"/>
  </r>
  <r>
    <n v="977400"/>
    <s v="Cell to Singularity - Evolution Never Ends"/>
    <d v="2021-11-03T00:00:00"/>
    <n v="3036"/>
    <b v="1"/>
    <n v="228"/>
    <s v="Radeon Vega 11"/>
    <x v="2"/>
    <x v="1"/>
  </r>
  <r>
    <n v="977400"/>
    <s v="Cell to Singularity - Evolution Never Ends"/>
    <d v="2021-11-03T00:00:00"/>
    <n v="3036"/>
    <b v="1"/>
    <n v="228"/>
    <s v="Radeon Vega 11"/>
    <x v="3"/>
    <x v="0"/>
  </r>
  <r>
    <n v="977400"/>
    <s v="Cell to Singularity - Evolution Never Ends"/>
    <d v="2021-11-03T00:00:00"/>
    <n v="3036"/>
    <b v="1"/>
    <n v="228"/>
    <s v="Radeon Vega 11"/>
    <x v="4"/>
    <x v="1"/>
  </r>
  <r>
    <n v="977400"/>
    <s v="Cell to Singularity - Evolution Never Ends"/>
    <d v="2021-11-03T00:00:00"/>
    <n v="3036"/>
    <b v="1"/>
    <n v="228"/>
    <s v="Radeon Vega 11"/>
    <x v="5"/>
    <x v="1"/>
  </r>
  <r>
    <n v="977400"/>
    <s v="Cell to Singularity - Evolution Never Ends"/>
    <d v="2021-11-03T00:00:00"/>
    <n v="3036"/>
    <b v="1"/>
    <n v="228"/>
    <s v="Radeon Vega 11"/>
    <x v="6"/>
    <x v="0"/>
  </r>
  <r>
    <n v="627690"/>
    <s v="Idle Champions of the Forgotten Realms"/>
    <d v="2020-03-25T00:00:00"/>
    <n v="3034"/>
    <b v="1"/>
    <n v="229"/>
    <s v="Radeon Vega 11"/>
    <x v="0"/>
    <x v="0"/>
  </r>
  <r>
    <n v="627690"/>
    <s v="Idle Champions of the Forgotten Realms"/>
    <d v="2020-03-25T00:00:00"/>
    <n v="3034"/>
    <b v="1"/>
    <n v="229"/>
    <s v="Radeon Vega 11"/>
    <x v="1"/>
    <x v="0"/>
  </r>
  <r>
    <n v="627690"/>
    <s v="Idle Champions of the Forgotten Realms"/>
    <d v="2020-03-25T00:00:00"/>
    <n v="3034"/>
    <b v="1"/>
    <n v="229"/>
    <s v="Radeon Vega 11"/>
    <x v="2"/>
    <x v="0"/>
  </r>
  <r>
    <n v="627690"/>
    <s v="Idle Champions of the Forgotten Realms"/>
    <d v="2020-03-25T00:00:00"/>
    <n v="3034"/>
    <b v="1"/>
    <n v="229"/>
    <s v="Radeon Vega 11"/>
    <x v="3"/>
    <x v="1"/>
  </r>
  <r>
    <n v="627690"/>
    <s v="Idle Champions of the Forgotten Realms"/>
    <d v="2020-03-25T00:00:00"/>
    <n v="3034"/>
    <b v="1"/>
    <n v="229"/>
    <s v="Radeon Vega 11"/>
    <x v="4"/>
    <x v="1"/>
  </r>
  <r>
    <n v="627690"/>
    <s v="Idle Champions of the Forgotten Realms"/>
    <d v="2020-03-25T00:00:00"/>
    <n v="3034"/>
    <b v="1"/>
    <n v="229"/>
    <s v="Radeon Vega 11"/>
    <x v="5"/>
    <x v="0"/>
  </r>
  <r>
    <n v="627690"/>
    <s v="Idle Champions of the Forgotten Realms"/>
    <d v="2020-03-25T00:00:00"/>
    <n v="3034"/>
    <b v="1"/>
    <n v="229"/>
    <s v="Radeon Vega 11"/>
    <x v="6"/>
    <x v="0"/>
  </r>
  <r>
    <n v="933110"/>
    <s v="Age of Empires III: Definitive Edition"/>
    <d v="2020-10-15T00:00:00"/>
    <n v="3016"/>
    <b v="0"/>
    <n v="230"/>
    <s v="GTX 980"/>
    <x v="0"/>
    <x v="1"/>
  </r>
  <r>
    <n v="933110"/>
    <s v="Age of Empires III: Definitive Edition"/>
    <d v="2020-10-15T00:00:00"/>
    <n v="3016"/>
    <b v="0"/>
    <n v="230"/>
    <s v="GTX 980"/>
    <x v="1"/>
    <x v="1"/>
  </r>
  <r>
    <n v="933110"/>
    <s v="Age of Empires III: Definitive Edition"/>
    <d v="2020-10-15T00:00:00"/>
    <n v="3016"/>
    <b v="0"/>
    <n v="230"/>
    <s v="GTX 980"/>
    <x v="2"/>
    <x v="1"/>
  </r>
  <r>
    <n v="933110"/>
    <s v="Age of Empires III: Definitive Edition"/>
    <d v="2020-10-15T00:00:00"/>
    <n v="3016"/>
    <b v="0"/>
    <n v="230"/>
    <s v="GTX 980"/>
    <x v="3"/>
    <x v="1"/>
  </r>
  <r>
    <n v="933110"/>
    <s v="Age of Empires III: Definitive Edition"/>
    <d v="2020-10-15T00:00:00"/>
    <n v="3016"/>
    <b v="0"/>
    <n v="230"/>
    <s v="GTX 980"/>
    <x v="4"/>
    <x v="1"/>
  </r>
  <r>
    <n v="933110"/>
    <s v="Age of Empires III: Definitive Edition"/>
    <d v="2020-10-15T00:00:00"/>
    <n v="3016"/>
    <b v="0"/>
    <n v="230"/>
    <s v="GTX 980"/>
    <x v="5"/>
    <x v="0"/>
  </r>
  <r>
    <n v="933110"/>
    <s v="Age of Empires III: Definitive Edition"/>
    <d v="2020-10-15T00:00:00"/>
    <n v="3016"/>
    <b v="0"/>
    <n v="230"/>
    <s v="GTX 980"/>
    <x v="6"/>
    <x v="0"/>
  </r>
  <r>
    <n v="1794680"/>
    <s v="Vampire Survivors"/>
    <d v="2022-10-20T00:00:00"/>
    <n v="2966"/>
    <b v="1"/>
    <n v="231"/>
    <s v="Radeon Vega 11"/>
    <x v="0"/>
    <x v="0"/>
  </r>
  <r>
    <n v="1794680"/>
    <s v="Vampire Survivors"/>
    <d v="2022-10-20T00:00:00"/>
    <n v="2966"/>
    <b v="1"/>
    <n v="231"/>
    <s v="Radeon Vega 11"/>
    <x v="1"/>
    <x v="0"/>
  </r>
  <r>
    <n v="1794680"/>
    <s v="Vampire Survivors"/>
    <d v="2022-10-20T00:00:00"/>
    <n v="2966"/>
    <b v="1"/>
    <n v="231"/>
    <s v="Radeon Vega 11"/>
    <x v="2"/>
    <x v="1"/>
  </r>
  <r>
    <n v="1794680"/>
    <s v="Vampire Survivors"/>
    <d v="2022-10-20T00:00:00"/>
    <n v="2966"/>
    <b v="1"/>
    <n v="231"/>
    <s v="Radeon Vega 11"/>
    <x v="3"/>
    <x v="1"/>
  </r>
  <r>
    <n v="1794680"/>
    <s v="Vampire Survivors"/>
    <d v="2022-10-20T00:00:00"/>
    <n v="2966"/>
    <b v="1"/>
    <n v="231"/>
    <s v="Radeon Vega 11"/>
    <x v="4"/>
    <x v="0"/>
  </r>
  <r>
    <n v="1794680"/>
    <s v="Vampire Survivors"/>
    <d v="2022-10-20T00:00:00"/>
    <n v="2966"/>
    <b v="1"/>
    <n v="231"/>
    <s v="Radeon Vega 11"/>
    <x v="5"/>
    <x v="1"/>
  </r>
  <r>
    <n v="1794680"/>
    <s v="Vampire Survivors"/>
    <d v="2022-10-20T00:00:00"/>
    <n v="2966"/>
    <b v="1"/>
    <n v="231"/>
    <s v="Radeon Vega 11"/>
    <x v="6"/>
    <x v="1"/>
  </r>
  <r>
    <n v="1677740"/>
    <s v="Stumble Guys"/>
    <d v="2021-10-07T00:00:00"/>
    <n v="2928"/>
    <b v="0"/>
    <n v="232"/>
    <s v="Radeon Vega 11"/>
    <x v="0"/>
    <x v="0"/>
  </r>
  <r>
    <n v="1677740"/>
    <s v="Stumble Guys"/>
    <d v="2021-10-07T00:00:00"/>
    <n v="2928"/>
    <b v="0"/>
    <n v="232"/>
    <s v="Radeon Vega 11"/>
    <x v="1"/>
    <x v="0"/>
  </r>
  <r>
    <n v="1677740"/>
    <s v="Stumble Guys"/>
    <d v="2021-10-07T00:00:00"/>
    <n v="2928"/>
    <b v="0"/>
    <n v="232"/>
    <s v="Radeon Vega 11"/>
    <x v="2"/>
    <x v="1"/>
  </r>
  <r>
    <n v="1677740"/>
    <s v="Stumble Guys"/>
    <d v="2021-10-07T00:00:00"/>
    <n v="2928"/>
    <b v="0"/>
    <n v="232"/>
    <s v="Radeon Vega 11"/>
    <x v="3"/>
    <x v="1"/>
  </r>
  <r>
    <n v="1677740"/>
    <s v="Stumble Guys"/>
    <d v="2021-10-07T00:00:00"/>
    <n v="2928"/>
    <b v="0"/>
    <n v="232"/>
    <s v="Radeon Vega 11"/>
    <x v="4"/>
    <x v="1"/>
  </r>
  <r>
    <n v="1677740"/>
    <s v="Stumble Guys"/>
    <d v="2021-10-07T00:00:00"/>
    <n v="2928"/>
    <b v="0"/>
    <n v="232"/>
    <s v="Radeon Vega 11"/>
    <x v="5"/>
    <x v="1"/>
  </r>
  <r>
    <n v="1677740"/>
    <s v="Stumble Guys"/>
    <d v="2021-10-07T00:00:00"/>
    <n v="2928"/>
    <b v="0"/>
    <n v="232"/>
    <s v="Radeon Vega 11"/>
    <x v="6"/>
    <x v="0"/>
  </r>
  <r>
    <n v="1782210"/>
    <s v="Crab Game"/>
    <d v="2021-10-29T00:00:00"/>
    <n v="2921"/>
    <b v="1"/>
    <n v="233"/>
    <s v="Radeon Vega 8"/>
    <x v="0"/>
    <x v="0"/>
  </r>
  <r>
    <n v="1782210"/>
    <s v="Crab Game"/>
    <d v="2021-10-29T00:00:00"/>
    <n v="2921"/>
    <b v="1"/>
    <n v="233"/>
    <s v="Radeon Vega 8"/>
    <x v="1"/>
    <x v="0"/>
  </r>
  <r>
    <n v="1782210"/>
    <s v="Crab Game"/>
    <d v="2021-10-29T00:00:00"/>
    <n v="2921"/>
    <b v="1"/>
    <n v="233"/>
    <s v="Radeon Vega 8"/>
    <x v="2"/>
    <x v="1"/>
  </r>
  <r>
    <n v="1782210"/>
    <s v="Crab Game"/>
    <d v="2021-10-29T00:00:00"/>
    <n v="2921"/>
    <b v="1"/>
    <n v="233"/>
    <s v="Radeon Vega 8"/>
    <x v="3"/>
    <x v="1"/>
  </r>
  <r>
    <n v="1782210"/>
    <s v="Crab Game"/>
    <d v="2021-10-29T00:00:00"/>
    <n v="2921"/>
    <b v="1"/>
    <n v="233"/>
    <s v="Radeon Vega 8"/>
    <x v="4"/>
    <x v="1"/>
  </r>
  <r>
    <n v="1782210"/>
    <s v="Crab Game"/>
    <d v="2021-10-29T00:00:00"/>
    <n v="2921"/>
    <b v="1"/>
    <n v="233"/>
    <s v="Radeon Vega 8"/>
    <x v="5"/>
    <x v="1"/>
  </r>
  <r>
    <n v="1782210"/>
    <s v="Crab Game"/>
    <d v="2021-10-29T00:00:00"/>
    <n v="2921"/>
    <b v="1"/>
    <n v="233"/>
    <s v="Radeon Vega 8"/>
    <x v="6"/>
    <x v="0"/>
  </r>
  <r>
    <n v="242760"/>
    <s v="The Forest"/>
    <d v="2018-04-30T00:00:00"/>
    <n v="2892"/>
    <b v="0"/>
    <n v="234"/>
    <s v="Radeon Vega 8"/>
    <x v="0"/>
    <x v="0"/>
  </r>
  <r>
    <n v="242760"/>
    <s v="The Forest"/>
    <d v="2018-04-30T00:00:00"/>
    <n v="2892"/>
    <b v="0"/>
    <n v="234"/>
    <s v="Radeon Vega 8"/>
    <x v="1"/>
    <x v="0"/>
  </r>
  <r>
    <n v="242760"/>
    <s v="The Forest"/>
    <d v="2018-04-30T00:00:00"/>
    <n v="2892"/>
    <b v="0"/>
    <n v="234"/>
    <s v="Radeon Vega 8"/>
    <x v="2"/>
    <x v="0"/>
  </r>
  <r>
    <n v="242760"/>
    <s v="The Forest"/>
    <d v="2018-04-30T00:00:00"/>
    <n v="2892"/>
    <b v="0"/>
    <n v="234"/>
    <s v="Radeon Vega 8"/>
    <x v="3"/>
    <x v="0"/>
  </r>
  <r>
    <n v="242760"/>
    <s v="The Forest"/>
    <d v="2018-04-30T00:00:00"/>
    <n v="2892"/>
    <b v="0"/>
    <n v="234"/>
    <s v="Radeon Vega 8"/>
    <x v="4"/>
    <x v="1"/>
  </r>
  <r>
    <n v="242760"/>
    <s v="The Forest"/>
    <d v="2018-04-30T00:00:00"/>
    <n v="2892"/>
    <b v="0"/>
    <n v="234"/>
    <s v="Radeon Vega 8"/>
    <x v="5"/>
    <x v="1"/>
  </r>
  <r>
    <n v="242760"/>
    <s v="The Forest"/>
    <d v="2018-04-30T00:00:00"/>
    <n v="2892"/>
    <b v="0"/>
    <n v="234"/>
    <s v="Radeon Vega 8"/>
    <x v="6"/>
    <x v="1"/>
  </r>
  <r>
    <n v="570940"/>
    <s v="DARK SOULS: REMASTERED"/>
    <d v="2018-05-23T00:00:00"/>
    <n v="2879"/>
    <b v="0"/>
    <n v="235"/>
    <s v="RX 560"/>
    <x v="0"/>
    <x v="0"/>
  </r>
  <r>
    <n v="570940"/>
    <s v="DARK SOULS: REMASTERED"/>
    <d v="2018-05-23T00:00:00"/>
    <n v="2879"/>
    <b v="0"/>
    <n v="235"/>
    <s v="RX 560"/>
    <x v="1"/>
    <x v="1"/>
  </r>
  <r>
    <n v="570940"/>
    <s v="DARK SOULS: REMASTERED"/>
    <d v="2018-05-23T00:00:00"/>
    <n v="2879"/>
    <b v="0"/>
    <n v="235"/>
    <s v="RX 560"/>
    <x v="2"/>
    <x v="1"/>
  </r>
  <r>
    <n v="570940"/>
    <s v="DARK SOULS: REMASTERED"/>
    <d v="2018-05-23T00:00:00"/>
    <n v="2879"/>
    <b v="0"/>
    <n v="235"/>
    <s v="RX 560"/>
    <x v="3"/>
    <x v="1"/>
  </r>
  <r>
    <n v="570940"/>
    <s v="DARK SOULS: REMASTERED"/>
    <d v="2018-05-23T00:00:00"/>
    <n v="2879"/>
    <b v="0"/>
    <n v="235"/>
    <s v="RX 560"/>
    <x v="4"/>
    <x v="1"/>
  </r>
  <r>
    <n v="570940"/>
    <s v="DARK SOULS: REMASTERED"/>
    <d v="2018-05-23T00:00:00"/>
    <n v="2879"/>
    <b v="0"/>
    <n v="235"/>
    <s v="RX 560"/>
    <x v="5"/>
    <x v="1"/>
  </r>
  <r>
    <n v="570940"/>
    <s v="DARK SOULS: REMASTERED"/>
    <d v="2018-05-23T00:00:00"/>
    <n v="2879"/>
    <b v="0"/>
    <n v="235"/>
    <s v="RX 560"/>
    <x v="6"/>
    <x v="1"/>
  </r>
  <r>
    <n v="364690"/>
    <s v="SUPER DISTRO"/>
    <d v="2015-07-22T00:00:00"/>
    <n v="2861"/>
    <b v="0"/>
    <n v="236"/>
    <s v="GTX 950"/>
    <x v="0"/>
    <x v="0"/>
  </r>
  <r>
    <n v="364690"/>
    <s v="SUPER DISTRO"/>
    <d v="2015-07-22T00:00:00"/>
    <n v="2861"/>
    <b v="0"/>
    <n v="236"/>
    <s v="GTX 950"/>
    <x v="1"/>
    <x v="0"/>
  </r>
  <r>
    <n v="364690"/>
    <s v="SUPER DISTRO"/>
    <d v="2015-07-22T00:00:00"/>
    <n v="2861"/>
    <b v="0"/>
    <n v="236"/>
    <s v="GTX 950"/>
    <x v="2"/>
    <x v="0"/>
  </r>
  <r>
    <n v="364690"/>
    <s v="SUPER DISTRO"/>
    <d v="2015-07-22T00:00:00"/>
    <n v="2861"/>
    <b v="0"/>
    <n v="236"/>
    <s v="GTX 950"/>
    <x v="3"/>
    <x v="1"/>
  </r>
  <r>
    <n v="364690"/>
    <s v="SUPER DISTRO"/>
    <d v="2015-07-22T00:00:00"/>
    <n v="2861"/>
    <b v="0"/>
    <n v="236"/>
    <s v="GTX 950"/>
    <x v="4"/>
    <x v="1"/>
  </r>
  <r>
    <n v="364690"/>
    <s v="SUPER DISTRO"/>
    <d v="2015-07-22T00:00:00"/>
    <n v="2861"/>
    <b v="0"/>
    <n v="236"/>
    <s v="GTX 950"/>
    <x v="5"/>
    <x v="1"/>
  </r>
  <r>
    <n v="364690"/>
    <s v="SUPER DISTRO"/>
    <d v="2015-07-22T00:00:00"/>
    <n v="2861"/>
    <b v="0"/>
    <n v="236"/>
    <s v="GTX 950"/>
    <x v="6"/>
    <x v="1"/>
  </r>
  <r>
    <n v="505460"/>
    <s v="Foxhole"/>
    <d v="2022-09-28T00:00:00"/>
    <n v="2821"/>
    <b v="0"/>
    <n v="237"/>
    <s v="RTX 2070"/>
    <x v="0"/>
    <x v="0"/>
  </r>
  <r>
    <n v="505460"/>
    <s v="Foxhole"/>
    <d v="2022-09-28T00:00:00"/>
    <n v="2821"/>
    <b v="0"/>
    <n v="237"/>
    <s v="RTX 2070"/>
    <x v="1"/>
    <x v="0"/>
  </r>
  <r>
    <n v="505460"/>
    <s v="Foxhole"/>
    <d v="2022-09-28T00:00:00"/>
    <n v="2821"/>
    <b v="0"/>
    <n v="237"/>
    <s v="RTX 2070"/>
    <x v="2"/>
    <x v="1"/>
  </r>
  <r>
    <n v="505460"/>
    <s v="Foxhole"/>
    <d v="2022-09-28T00:00:00"/>
    <n v="2821"/>
    <b v="0"/>
    <n v="237"/>
    <s v="RTX 2070"/>
    <x v="3"/>
    <x v="1"/>
  </r>
  <r>
    <n v="505460"/>
    <s v="Foxhole"/>
    <d v="2022-09-28T00:00:00"/>
    <n v="2821"/>
    <b v="0"/>
    <n v="237"/>
    <s v="RTX 2070"/>
    <x v="4"/>
    <x v="0"/>
  </r>
  <r>
    <n v="505460"/>
    <s v="Foxhole"/>
    <d v="2022-09-28T00:00:00"/>
    <n v="2821"/>
    <b v="0"/>
    <n v="237"/>
    <s v="RTX 2070"/>
    <x v="5"/>
    <x v="0"/>
  </r>
  <r>
    <n v="505460"/>
    <s v="Foxhole"/>
    <d v="2022-09-28T00:00:00"/>
    <n v="2821"/>
    <b v="0"/>
    <n v="237"/>
    <s v="RTX 2070"/>
    <x v="6"/>
    <x v="1"/>
  </r>
  <r>
    <n v="32470"/>
    <s v="STAR WARS Empire at War - Gold Pack"/>
    <d v="2010-05-25T00:00:00"/>
    <n v="2818"/>
    <b v="0"/>
    <n v="238"/>
    <s v="Radeon Graphics"/>
    <x v="0"/>
    <x v="1"/>
  </r>
  <r>
    <n v="32470"/>
    <s v="STAR WARS Empire at War - Gold Pack"/>
    <d v="2010-05-25T00:00:00"/>
    <n v="2818"/>
    <b v="0"/>
    <n v="238"/>
    <s v="Radeon Graphics"/>
    <x v="1"/>
    <x v="1"/>
  </r>
  <r>
    <n v="32470"/>
    <s v="STAR WARS Empire at War - Gold Pack"/>
    <d v="2010-05-25T00:00:00"/>
    <n v="2818"/>
    <b v="0"/>
    <n v="238"/>
    <s v="Radeon Graphics"/>
    <x v="2"/>
    <x v="1"/>
  </r>
  <r>
    <n v="32470"/>
    <s v="STAR WARS Empire at War - Gold Pack"/>
    <d v="2010-05-25T00:00:00"/>
    <n v="2818"/>
    <b v="0"/>
    <n v="238"/>
    <s v="Radeon Graphics"/>
    <x v="3"/>
    <x v="1"/>
  </r>
  <r>
    <n v="32470"/>
    <s v="STAR WARS Empire at War - Gold Pack"/>
    <d v="2010-05-25T00:00:00"/>
    <n v="2818"/>
    <b v="0"/>
    <n v="238"/>
    <s v="Radeon Graphics"/>
    <x v="4"/>
    <x v="1"/>
  </r>
  <r>
    <n v="32470"/>
    <s v="STAR WARS Empire at War - Gold Pack"/>
    <d v="2010-05-25T00:00:00"/>
    <n v="2818"/>
    <b v="0"/>
    <n v="238"/>
    <s v="Radeon Graphics"/>
    <x v="5"/>
    <x v="0"/>
  </r>
  <r>
    <n v="32470"/>
    <s v="STAR WARS Empire at War - Gold Pack"/>
    <d v="2010-05-25T00:00:00"/>
    <n v="2818"/>
    <b v="0"/>
    <n v="238"/>
    <s v="Radeon Graphics"/>
    <x v="6"/>
    <x v="1"/>
  </r>
  <r>
    <n v="4700"/>
    <s v="Total War: MEDIEVAL II ' Definitive Edition"/>
    <d v="2006-11-15T00:00:00"/>
    <n v="2814"/>
    <b v="1"/>
    <n v="239"/>
    <s v="Intel HD Graphics"/>
    <x v="0"/>
    <x v="1"/>
  </r>
  <r>
    <n v="4700"/>
    <s v="Total War: MEDIEVAL II ' Definitive Edition"/>
    <d v="2006-11-15T00:00:00"/>
    <n v="2814"/>
    <b v="1"/>
    <n v="239"/>
    <s v="Intel HD Graphics"/>
    <x v="1"/>
    <x v="1"/>
  </r>
  <r>
    <n v="4700"/>
    <s v="Total War: MEDIEVAL II ' Definitive Edition"/>
    <d v="2006-11-15T00:00:00"/>
    <n v="2814"/>
    <b v="1"/>
    <n v="239"/>
    <s v="Intel HD Graphics"/>
    <x v="2"/>
    <x v="1"/>
  </r>
  <r>
    <n v="4700"/>
    <s v="Total War: MEDIEVAL II ' Definitive Edition"/>
    <d v="2006-11-15T00:00:00"/>
    <n v="2814"/>
    <b v="1"/>
    <n v="239"/>
    <s v="Intel HD Graphics"/>
    <x v="3"/>
    <x v="1"/>
  </r>
  <r>
    <n v="4700"/>
    <s v="Total War: MEDIEVAL II ' Definitive Edition"/>
    <d v="2006-11-15T00:00:00"/>
    <n v="2814"/>
    <b v="1"/>
    <n v="239"/>
    <s v="Intel HD Graphics"/>
    <x v="4"/>
    <x v="1"/>
  </r>
  <r>
    <n v="4700"/>
    <s v="Total War: MEDIEVAL II ' Definitive Edition"/>
    <d v="2006-11-15T00:00:00"/>
    <n v="2814"/>
    <b v="1"/>
    <n v="239"/>
    <s v="Intel HD Graphics"/>
    <x v="5"/>
    <x v="0"/>
  </r>
  <r>
    <n v="4700"/>
    <s v="Total War: MEDIEVAL II ' Definitive Edition"/>
    <d v="2006-11-15T00:00:00"/>
    <n v="2814"/>
    <b v="1"/>
    <n v="239"/>
    <s v="Intel HD Graphics"/>
    <x v="6"/>
    <x v="1"/>
  </r>
  <r>
    <n v="916440"/>
    <s v="Anno 1800"/>
    <d v="2019-04-16T00:00:00"/>
    <n v="2784"/>
    <b v="0"/>
    <n v="240"/>
    <s v="RX 480"/>
    <x v="0"/>
    <x v="1"/>
  </r>
  <r>
    <n v="916440"/>
    <s v="Anno 1800"/>
    <d v="2019-04-16T00:00:00"/>
    <n v="2784"/>
    <b v="0"/>
    <n v="240"/>
    <s v="RX 480"/>
    <x v="1"/>
    <x v="1"/>
  </r>
  <r>
    <n v="916440"/>
    <s v="Anno 1800"/>
    <d v="2019-04-16T00:00:00"/>
    <n v="2784"/>
    <b v="0"/>
    <n v="240"/>
    <s v="RX 480"/>
    <x v="2"/>
    <x v="1"/>
  </r>
  <r>
    <n v="916440"/>
    <s v="Anno 1800"/>
    <d v="2019-04-16T00:00:00"/>
    <n v="2784"/>
    <b v="0"/>
    <n v="240"/>
    <s v="RX 480"/>
    <x v="3"/>
    <x v="0"/>
  </r>
  <r>
    <n v="916440"/>
    <s v="Anno 1800"/>
    <d v="2019-04-16T00:00:00"/>
    <n v="2784"/>
    <b v="0"/>
    <n v="240"/>
    <s v="RX 480"/>
    <x v="4"/>
    <x v="1"/>
  </r>
  <r>
    <n v="916440"/>
    <s v="Anno 1800"/>
    <d v="2019-04-16T00:00:00"/>
    <n v="2784"/>
    <b v="0"/>
    <n v="240"/>
    <s v="RX 480"/>
    <x v="5"/>
    <x v="0"/>
  </r>
  <r>
    <n v="916440"/>
    <s v="Anno 1800"/>
    <d v="2019-04-16T00:00:00"/>
    <n v="2784"/>
    <b v="0"/>
    <n v="240"/>
    <s v="RX 480"/>
    <x v="6"/>
    <x v="1"/>
  </r>
  <r>
    <n v="380600"/>
    <s v="Fishing Planet"/>
    <d v="2017-08-28T00:00:00"/>
    <n v="2781"/>
    <b v="1"/>
    <n v="241"/>
    <s v="RTX 4060"/>
    <x v="0"/>
    <x v="1"/>
  </r>
  <r>
    <n v="380600"/>
    <s v="Fishing Planet"/>
    <d v="2017-08-28T00:00:00"/>
    <n v="2781"/>
    <b v="1"/>
    <n v="241"/>
    <s v="RTX 4060"/>
    <x v="1"/>
    <x v="1"/>
  </r>
  <r>
    <n v="380600"/>
    <s v="Fishing Planet"/>
    <d v="2017-08-28T00:00:00"/>
    <n v="2781"/>
    <b v="1"/>
    <n v="241"/>
    <s v="RTX 4060"/>
    <x v="2"/>
    <x v="1"/>
  </r>
  <r>
    <n v="380600"/>
    <s v="Fishing Planet"/>
    <d v="2017-08-28T00:00:00"/>
    <n v="2781"/>
    <b v="1"/>
    <n v="241"/>
    <s v="RTX 4060"/>
    <x v="3"/>
    <x v="0"/>
  </r>
  <r>
    <n v="380600"/>
    <s v="Fishing Planet"/>
    <d v="2017-08-28T00:00:00"/>
    <n v="2781"/>
    <b v="1"/>
    <n v="241"/>
    <s v="RTX 4060"/>
    <x v="4"/>
    <x v="1"/>
  </r>
  <r>
    <n v="380600"/>
    <s v="Fishing Planet"/>
    <d v="2017-08-28T00:00:00"/>
    <n v="2781"/>
    <b v="1"/>
    <n v="241"/>
    <s v="RTX 4060"/>
    <x v="5"/>
    <x v="1"/>
  </r>
  <r>
    <n v="380600"/>
    <s v="Fishing Planet"/>
    <d v="2017-08-28T00:00:00"/>
    <n v="2781"/>
    <b v="1"/>
    <n v="241"/>
    <s v="RTX 4060"/>
    <x v="6"/>
    <x v="0"/>
  </r>
  <r>
    <n v="1517290"/>
    <s v="Battlefield 2042"/>
    <d v="2021-11-19T00:00:00"/>
    <n v="2774"/>
    <b v="0"/>
    <n v="242"/>
    <s v="RX 6600 XT"/>
    <x v="0"/>
    <x v="0"/>
  </r>
  <r>
    <n v="1517290"/>
    <s v="Battlefield 2042"/>
    <d v="2021-11-19T00:00:00"/>
    <n v="2774"/>
    <b v="0"/>
    <n v="242"/>
    <s v="RX 6600 XT"/>
    <x v="1"/>
    <x v="1"/>
  </r>
  <r>
    <n v="1517290"/>
    <s v="Battlefield 2042"/>
    <d v="2021-11-19T00:00:00"/>
    <n v="2774"/>
    <b v="0"/>
    <n v="242"/>
    <s v="RX 6600 XT"/>
    <x v="2"/>
    <x v="0"/>
  </r>
  <r>
    <n v="1517290"/>
    <s v="Battlefield 2042"/>
    <d v="2021-11-19T00:00:00"/>
    <n v="2774"/>
    <b v="0"/>
    <n v="242"/>
    <s v="RX 6600 XT"/>
    <x v="3"/>
    <x v="1"/>
  </r>
  <r>
    <n v="1517290"/>
    <s v="Battlefield 2042"/>
    <d v="2021-11-19T00:00:00"/>
    <n v="2774"/>
    <b v="0"/>
    <n v="242"/>
    <s v="RX 6600 XT"/>
    <x v="4"/>
    <x v="1"/>
  </r>
  <r>
    <n v="1517290"/>
    <s v="Battlefield 2042"/>
    <d v="2021-11-19T00:00:00"/>
    <n v="2774"/>
    <b v="0"/>
    <n v="242"/>
    <s v="RX 6600 XT"/>
    <x v="5"/>
    <x v="1"/>
  </r>
  <r>
    <n v="1517290"/>
    <s v="Battlefield 2042"/>
    <d v="2021-11-19T00:00:00"/>
    <n v="2774"/>
    <b v="0"/>
    <n v="242"/>
    <s v="RX 6600 XT"/>
    <x v="6"/>
    <x v="1"/>
  </r>
  <r>
    <n v="2646460"/>
    <s v="Soulmask"/>
    <d v="2024-05-30T00:00:00"/>
    <n v="2760"/>
    <b v="0"/>
    <n v="243"/>
    <s v="RTX 3060"/>
    <x v="0"/>
    <x v="1"/>
  </r>
  <r>
    <n v="2646460"/>
    <s v="Soulmask"/>
    <d v="2024-05-30T00:00:00"/>
    <n v="2760"/>
    <b v="0"/>
    <n v="243"/>
    <s v="RTX 3060"/>
    <x v="1"/>
    <x v="0"/>
  </r>
  <r>
    <n v="2646460"/>
    <s v="Soulmask"/>
    <d v="2024-05-30T00:00:00"/>
    <n v="2760"/>
    <b v="0"/>
    <n v="243"/>
    <s v="RTX 3060"/>
    <x v="2"/>
    <x v="0"/>
  </r>
  <r>
    <n v="2646460"/>
    <s v="Soulmask"/>
    <d v="2024-05-30T00:00:00"/>
    <n v="2760"/>
    <b v="0"/>
    <n v="243"/>
    <s v="RTX 3060"/>
    <x v="3"/>
    <x v="0"/>
  </r>
  <r>
    <n v="2646460"/>
    <s v="Soulmask"/>
    <d v="2024-05-30T00:00:00"/>
    <n v="2760"/>
    <b v="0"/>
    <n v="243"/>
    <s v="RTX 3060"/>
    <x v="4"/>
    <x v="0"/>
  </r>
  <r>
    <n v="2646460"/>
    <s v="Soulmask"/>
    <d v="2024-05-30T00:00:00"/>
    <n v="2760"/>
    <b v="0"/>
    <n v="243"/>
    <s v="RTX 3060"/>
    <x v="5"/>
    <x v="1"/>
  </r>
  <r>
    <n v="2646460"/>
    <s v="Soulmask"/>
    <d v="2024-05-30T00:00:00"/>
    <n v="2760"/>
    <b v="0"/>
    <n v="243"/>
    <s v="RTX 3060"/>
    <x v="6"/>
    <x v="0"/>
  </r>
  <r>
    <n v="644930"/>
    <s v="They Are Billions"/>
    <d v="2019-06-18T00:00:00"/>
    <n v="2751"/>
    <b v="0"/>
    <n v="244"/>
    <s v="RX 570"/>
    <x v="0"/>
    <x v="1"/>
  </r>
  <r>
    <n v="644930"/>
    <s v="They Are Billions"/>
    <d v="2019-06-18T00:00:00"/>
    <n v="2751"/>
    <b v="0"/>
    <n v="244"/>
    <s v="RX 570"/>
    <x v="1"/>
    <x v="1"/>
  </r>
  <r>
    <n v="644930"/>
    <s v="They Are Billions"/>
    <d v="2019-06-18T00:00:00"/>
    <n v="2751"/>
    <b v="0"/>
    <n v="244"/>
    <s v="RX 570"/>
    <x v="2"/>
    <x v="1"/>
  </r>
  <r>
    <n v="644930"/>
    <s v="They Are Billions"/>
    <d v="2019-06-18T00:00:00"/>
    <n v="2751"/>
    <b v="0"/>
    <n v="244"/>
    <s v="RX 570"/>
    <x v="3"/>
    <x v="1"/>
  </r>
  <r>
    <n v="644930"/>
    <s v="They Are Billions"/>
    <d v="2019-06-18T00:00:00"/>
    <n v="2751"/>
    <b v="0"/>
    <n v="244"/>
    <s v="RX 570"/>
    <x v="4"/>
    <x v="1"/>
  </r>
  <r>
    <n v="644930"/>
    <s v="They Are Billions"/>
    <d v="2019-06-18T00:00:00"/>
    <n v="2751"/>
    <b v="0"/>
    <n v="244"/>
    <s v="RX 570"/>
    <x v="5"/>
    <x v="0"/>
  </r>
  <r>
    <n v="644930"/>
    <s v="They Are Billions"/>
    <d v="2019-06-18T00:00:00"/>
    <n v="2751"/>
    <b v="0"/>
    <n v="244"/>
    <s v="RX 570"/>
    <x v="6"/>
    <x v="1"/>
  </r>
  <r>
    <n v="264710"/>
    <s v="Subnautica"/>
    <d v="2018-01-23T00:00:00"/>
    <n v="2719"/>
    <b v="1"/>
    <n v="245"/>
    <s v="Radeon Vega 8"/>
    <x v="0"/>
    <x v="1"/>
  </r>
  <r>
    <n v="264710"/>
    <s v="Subnautica"/>
    <d v="2018-01-23T00:00:00"/>
    <n v="2719"/>
    <b v="1"/>
    <n v="245"/>
    <s v="Radeon Vega 8"/>
    <x v="1"/>
    <x v="0"/>
  </r>
  <r>
    <n v="264710"/>
    <s v="Subnautica"/>
    <d v="2018-01-23T00:00:00"/>
    <n v="2719"/>
    <b v="1"/>
    <n v="245"/>
    <s v="Radeon Vega 8"/>
    <x v="2"/>
    <x v="0"/>
  </r>
  <r>
    <n v="264710"/>
    <s v="Subnautica"/>
    <d v="2018-01-23T00:00:00"/>
    <n v="2719"/>
    <b v="1"/>
    <n v="245"/>
    <s v="Radeon Vega 8"/>
    <x v="3"/>
    <x v="1"/>
  </r>
  <r>
    <n v="264710"/>
    <s v="Subnautica"/>
    <d v="2018-01-23T00:00:00"/>
    <n v="2719"/>
    <b v="1"/>
    <n v="245"/>
    <s v="Radeon Vega 8"/>
    <x v="4"/>
    <x v="1"/>
  </r>
  <r>
    <n v="264710"/>
    <s v="Subnautica"/>
    <d v="2018-01-23T00:00:00"/>
    <n v="2719"/>
    <b v="1"/>
    <n v="245"/>
    <s v="Radeon Vega 8"/>
    <x v="5"/>
    <x v="1"/>
  </r>
  <r>
    <n v="264710"/>
    <s v="Subnautica"/>
    <d v="2018-01-23T00:00:00"/>
    <n v="2719"/>
    <b v="1"/>
    <n v="245"/>
    <s v="Radeon Vega 8"/>
    <x v="6"/>
    <x v="1"/>
  </r>
  <r>
    <n v="1366540"/>
    <s v="Dyson Sphere Program"/>
    <d v="2021-01-20T00:00:00"/>
    <n v="2703"/>
    <b v="0"/>
    <n v="246"/>
    <s v="RTX 2070"/>
    <x v="0"/>
    <x v="1"/>
  </r>
  <r>
    <n v="1366540"/>
    <s v="Dyson Sphere Program"/>
    <d v="2021-01-20T00:00:00"/>
    <n v="2703"/>
    <b v="0"/>
    <n v="246"/>
    <s v="RTX 2070"/>
    <x v="1"/>
    <x v="0"/>
  </r>
  <r>
    <n v="1366540"/>
    <s v="Dyson Sphere Program"/>
    <d v="2021-01-20T00:00:00"/>
    <n v="2703"/>
    <b v="0"/>
    <n v="246"/>
    <s v="RTX 2070"/>
    <x v="2"/>
    <x v="1"/>
  </r>
  <r>
    <n v="1366540"/>
    <s v="Dyson Sphere Program"/>
    <d v="2021-01-20T00:00:00"/>
    <n v="2703"/>
    <b v="0"/>
    <n v="246"/>
    <s v="RTX 2070"/>
    <x v="3"/>
    <x v="0"/>
  </r>
  <r>
    <n v="1366540"/>
    <s v="Dyson Sphere Program"/>
    <d v="2021-01-20T00:00:00"/>
    <n v="2703"/>
    <b v="0"/>
    <n v="246"/>
    <s v="RTX 2070"/>
    <x v="4"/>
    <x v="1"/>
  </r>
  <r>
    <n v="1366540"/>
    <s v="Dyson Sphere Program"/>
    <d v="2021-01-20T00:00:00"/>
    <n v="2703"/>
    <b v="0"/>
    <n v="246"/>
    <s v="RTX 2070"/>
    <x v="5"/>
    <x v="0"/>
  </r>
  <r>
    <n v="1366540"/>
    <s v="Dyson Sphere Program"/>
    <d v="2021-01-20T00:00:00"/>
    <n v="2703"/>
    <b v="0"/>
    <n v="246"/>
    <s v="RTX 2070"/>
    <x v="6"/>
    <x v="1"/>
  </r>
  <r>
    <n v="412220"/>
    <s v="DDNet"/>
    <d v="2020-08-17T00:00:00"/>
    <n v="2679"/>
    <b v="1"/>
    <n v="247"/>
    <s v="Radeon Vega 11"/>
    <x v="0"/>
    <x v="0"/>
  </r>
  <r>
    <n v="412220"/>
    <s v="DDNet"/>
    <d v="2020-08-17T00:00:00"/>
    <n v="2679"/>
    <b v="1"/>
    <n v="247"/>
    <s v="Radeon Vega 11"/>
    <x v="1"/>
    <x v="0"/>
  </r>
  <r>
    <n v="412220"/>
    <s v="DDNet"/>
    <d v="2020-08-17T00:00:00"/>
    <n v="2679"/>
    <b v="1"/>
    <n v="247"/>
    <s v="Radeon Vega 11"/>
    <x v="2"/>
    <x v="1"/>
  </r>
  <r>
    <n v="412220"/>
    <s v="DDNet"/>
    <d v="2020-08-17T00:00:00"/>
    <n v="2679"/>
    <b v="1"/>
    <n v="247"/>
    <s v="Radeon Vega 11"/>
    <x v="3"/>
    <x v="1"/>
  </r>
  <r>
    <n v="412220"/>
    <s v="DDNet"/>
    <d v="2020-08-17T00:00:00"/>
    <n v="2679"/>
    <b v="1"/>
    <n v="247"/>
    <s v="Radeon Vega 11"/>
    <x v="4"/>
    <x v="1"/>
  </r>
  <r>
    <n v="412220"/>
    <s v="DDNet"/>
    <d v="2020-08-17T00:00:00"/>
    <n v="2679"/>
    <b v="1"/>
    <n v="247"/>
    <s v="Radeon Vega 11"/>
    <x v="5"/>
    <x v="1"/>
  </r>
  <r>
    <n v="412220"/>
    <s v="DDNet"/>
    <d v="2020-08-17T00:00:00"/>
    <n v="2679"/>
    <b v="1"/>
    <n v="247"/>
    <s v="Radeon Vega 11"/>
    <x v="6"/>
    <x v="0"/>
  </r>
  <r>
    <n v="3590"/>
    <s v="Plants vs. Zombies GOTY Edition"/>
    <d v="2009-05-05T00:00:00"/>
    <n v="2656"/>
    <b v="1"/>
    <n v="248"/>
    <s v="Radeon Graphics"/>
    <x v="0"/>
    <x v="1"/>
  </r>
  <r>
    <n v="3590"/>
    <s v="Plants vs. Zombies GOTY Edition"/>
    <d v="2009-05-05T00:00:00"/>
    <n v="2656"/>
    <b v="1"/>
    <n v="248"/>
    <s v="Radeon Graphics"/>
    <x v="1"/>
    <x v="1"/>
  </r>
  <r>
    <n v="3590"/>
    <s v="Plants vs. Zombies GOTY Edition"/>
    <d v="2009-05-05T00:00:00"/>
    <n v="2656"/>
    <b v="1"/>
    <n v="248"/>
    <s v="Radeon Graphics"/>
    <x v="2"/>
    <x v="1"/>
  </r>
  <r>
    <n v="3590"/>
    <s v="Plants vs. Zombies GOTY Edition"/>
    <d v="2009-05-05T00:00:00"/>
    <n v="2656"/>
    <b v="1"/>
    <n v="248"/>
    <s v="Radeon Graphics"/>
    <x v="3"/>
    <x v="1"/>
  </r>
  <r>
    <n v="3590"/>
    <s v="Plants vs. Zombies GOTY Edition"/>
    <d v="2009-05-05T00:00:00"/>
    <n v="2656"/>
    <b v="1"/>
    <n v="248"/>
    <s v="Radeon Graphics"/>
    <x v="4"/>
    <x v="1"/>
  </r>
  <r>
    <n v="3590"/>
    <s v="Plants vs. Zombies GOTY Edition"/>
    <d v="2009-05-05T00:00:00"/>
    <n v="2656"/>
    <b v="1"/>
    <n v="248"/>
    <s v="Radeon Graphics"/>
    <x v="5"/>
    <x v="0"/>
  </r>
  <r>
    <n v="3590"/>
    <s v="Plants vs. Zombies GOTY Edition"/>
    <d v="2009-05-05T00:00:00"/>
    <n v="2656"/>
    <b v="1"/>
    <n v="248"/>
    <s v="Radeon Graphics"/>
    <x v="6"/>
    <x v="1"/>
  </r>
  <r>
    <n v="1659040"/>
    <s v="HITMAN World of Assassination"/>
    <d v="2022-01-20T00:00:00"/>
    <n v="2637"/>
    <b v="0"/>
    <n v="249"/>
    <s v="GTX 1070"/>
    <x v="0"/>
    <x v="0"/>
  </r>
  <r>
    <n v="1659040"/>
    <s v="HITMAN World of Assassination"/>
    <d v="2022-01-20T00:00:00"/>
    <n v="2637"/>
    <b v="0"/>
    <n v="249"/>
    <s v="GTX 1070"/>
    <x v="1"/>
    <x v="1"/>
  </r>
  <r>
    <n v="1659040"/>
    <s v="HITMAN World of Assassination"/>
    <d v="2022-01-20T00:00:00"/>
    <n v="2637"/>
    <b v="0"/>
    <n v="249"/>
    <s v="GTX 1070"/>
    <x v="2"/>
    <x v="0"/>
  </r>
  <r>
    <n v="1659040"/>
    <s v="HITMAN World of Assassination"/>
    <d v="2022-01-20T00:00:00"/>
    <n v="2637"/>
    <b v="0"/>
    <n v="249"/>
    <s v="GTX 1070"/>
    <x v="3"/>
    <x v="1"/>
  </r>
  <r>
    <n v="1659040"/>
    <s v="HITMAN World of Assassination"/>
    <d v="2022-01-20T00:00:00"/>
    <n v="2637"/>
    <b v="0"/>
    <n v="249"/>
    <s v="GTX 1070"/>
    <x v="4"/>
    <x v="1"/>
  </r>
  <r>
    <n v="1659040"/>
    <s v="HITMAN World of Assassination"/>
    <d v="2022-01-20T00:00:00"/>
    <n v="2637"/>
    <b v="0"/>
    <n v="249"/>
    <s v="GTX 1070"/>
    <x v="5"/>
    <x v="1"/>
  </r>
  <r>
    <n v="1659040"/>
    <s v="HITMAN World of Assassination"/>
    <d v="2022-01-20T00:00:00"/>
    <n v="2637"/>
    <b v="0"/>
    <n v="249"/>
    <s v="GTX 1070"/>
    <x v="6"/>
    <x v="1"/>
  </r>
  <r>
    <n v="3183280"/>
    <s v="Game of Thrones: Kingsroad"/>
    <d v="2025-05-21T00:00:00"/>
    <n v="2634"/>
    <b v="0"/>
    <n v="250"/>
    <s v="RTX 2070"/>
    <x v="0"/>
    <x v="0"/>
  </r>
  <r>
    <n v="3183280"/>
    <s v="Game of Thrones: Kingsroad"/>
    <d v="2025-05-21T00:00:00"/>
    <n v="2634"/>
    <b v="0"/>
    <n v="250"/>
    <s v="RTX 2070"/>
    <x v="1"/>
    <x v="1"/>
  </r>
  <r>
    <n v="3183280"/>
    <s v="Game of Thrones: Kingsroad"/>
    <d v="2025-05-21T00:00:00"/>
    <n v="2634"/>
    <b v="0"/>
    <n v="250"/>
    <s v="RTX 2070"/>
    <x v="2"/>
    <x v="0"/>
  </r>
  <r>
    <n v="3183280"/>
    <s v="Game of Thrones: Kingsroad"/>
    <d v="2025-05-21T00:00:00"/>
    <n v="2634"/>
    <b v="0"/>
    <n v="250"/>
    <s v="RTX 2070"/>
    <x v="3"/>
    <x v="1"/>
  </r>
  <r>
    <n v="3183280"/>
    <s v="Game of Thrones: Kingsroad"/>
    <d v="2025-05-21T00:00:00"/>
    <n v="2634"/>
    <b v="0"/>
    <n v="250"/>
    <s v="RTX 2070"/>
    <x v="4"/>
    <x v="0"/>
  </r>
  <r>
    <n v="3183280"/>
    <s v="Game of Thrones: Kingsroad"/>
    <d v="2025-05-21T00:00:00"/>
    <n v="2634"/>
    <b v="0"/>
    <n v="250"/>
    <s v="RTX 2070"/>
    <x v="5"/>
    <x v="1"/>
  </r>
  <r>
    <n v="3183280"/>
    <s v="Game of Thrones: Kingsroad"/>
    <d v="2025-05-21T00:00:00"/>
    <n v="2634"/>
    <b v="0"/>
    <n v="250"/>
    <s v="RTX 2070"/>
    <x v="6"/>
    <x v="0"/>
  </r>
  <r>
    <n v="812140"/>
    <s v="Assassin's Creed Odyssey"/>
    <d v="2018-10-05T00:00:00"/>
    <n v="2629"/>
    <b v="0"/>
    <n v="251"/>
    <s v="RX 570"/>
    <x v="0"/>
    <x v="0"/>
  </r>
  <r>
    <n v="812140"/>
    <s v="Assassin's Creed Odyssey"/>
    <d v="2018-10-05T00:00:00"/>
    <n v="2629"/>
    <b v="0"/>
    <n v="251"/>
    <s v="RX 570"/>
    <x v="1"/>
    <x v="1"/>
  </r>
  <r>
    <n v="812140"/>
    <s v="Assassin's Creed Odyssey"/>
    <d v="2018-10-05T00:00:00"/>
    <n v="2629"/>
    <b v="0"/>
    <n v="251"/>
    <s v="RX 570"/>
    <x v="2"/>
    <x v="0"/>
  </r>
  <r>
    <n v="812140"/>
    <s v="Assassin's Creed Odyssey"/>
    <d v="2018-10-05T00:00:00"/>
    <n v="2629"/>
    <b v="0"/>
    <n v="251"/>
    <s v="RX 570"/>
    <x v="3"/>
    <x v="1"/>
  </r>
  <r>
    <n v="812140"/>
    <s v="Assassin's Creed Odyssey"/>
    <d v="2018-10-05T00:00:00"/>
    <n v="2629"/>
    <b v="0"/>
    <n v="251"/>
    <s v="RX 570"/>
    <x v="4"/>
    <x v="0"/>
  </r>
  <r>
    <n v="812140"/>
    <s v="Assassin's Creed Odyssey"/>
    <d v="2018-10-05T00:00:00"/>
    <n v="2629"/>
    <b v="0"/>
    <n v="251"/>
    <s v="RX 570"/>
    <x v="5"/>
    <x v="1"/>
  </r>
  <r>
    <n v="812140"/>
    <s v="Assassin's Creed Odyssey"/>
    <d v="2018-10-05T00:00:00"/>
    <n v="2629"/>
    <b v="0"/>
    <n v="251"/>
    <s v="RX 570"/>
    <x v="6"/>
    <x v="1"/>
  </r>
  <r>
    <n v="784150"/>
    <s v="Workers &amp; Resources: Soviet Republic"/>
    <d v="2024-06-20T00:00:00"/>
    <n v="2590"/>
    <b v="0"/>
    <n v="252"/>
    <s v="GTX 1050"/>
    <x v="0"/>
    <x v="1"/>
  </r>
  <r>
    <n v="784150"/>
    <s v="Workers &amp; Resources: Soviet Republic"/>
    <d v="2024-06-20T00:00:00"/>
    <n v="2590"/>
    <b v="0"/>
    <n v="252"/>
    <s v="GTX 1050"/>
    <x v="1"/>
    <x v="1"/>
  </r>
  <r>
    <n v="784150"/>
    <s v="Workers &amp; Resources: Soviet Republic"/>
    <d v="2024-06-20T00:00:00"/>
    <n v="2590"/>
    <b v="0"/>
    <n v="252"/>
    <s v="GTX 1050"/>
    <x v="2"/>
    <x v="1"/>
  </r>
  <r>
    <n v="784150"/>
    <s v="Workers &amp; Resources: Soviet Republic"/>
    <d v="2024-06-20T00:00:00"/>
    <n v="2590"/>
    <b v="0"/>
    <n v="252"/>
    <s v="GTX 1050"/>
    <x v="3"/>
    <x v="0"/>
  </r>
  <r>
    <n v="784150"/>
    <s v="Workers &amp; Resources: Soviet Republic"/>
    <d v="2024-06-20T00:00:00"/>
    <n v="2590"/>
    <b v="0"/>
    <n v="252"/>
    <s v="GTX 1050"/>
    <x v="4"/>
    <x v="1"/>
  </r>
  <r>
    <n v="784150"/>
    <s v="Workers &amp; Resources: Soviet Republic"/>
    <d v="2024-06-20T00:00:00"/>
    <n v="2590"/>
    <b v="0"/>
    <n v="252"/>
    <s v="GTX 1050"/>
    <x v="5"/>
    <x v="0"/>
  </r>
  <r>
    <n v="784150"/>
    <s v="Workers &amp; Resources: Soviet Republic"/>
    <d v="2024-06-20T00:00:00"/>
    <n v="2590"/>
    <b v="0"/>
    <n v="252"/>
    <s v="GTX 1050"/>
    <x v="6"/>
    <x v="1"/>
  </r>
  <r>
    <n v="2071280"/>
    <s v="Ravenswatch"/>
    <d v="2024-09-26T00:00:00"/>
    <n v="2578"/>
    <b v="0"/>
    <n v="253"/>
    <s v="GTX 970"/>
    <x v="0"/>
    <x v="0"/>
  </r>
  <r>
    <n v="2071280"/>
    <s v="Ravenswatch"/>
    <d v="2024-09-26T00:00:00"/>
    <n v="2578"/>
    <b v="0"/>
    <n v="253"/>
    <s v="GTX 970"/>
    <x v="1"/>
    <x v="1"/>
  </r>
  <r>
    <n v="2071280"/>
    <s v="Ravenswatch"/>
    <d v="2024-09-26T00:00:00"/>
    <n v="2578"/>
    <b v="0"/>
    <n v="253"/>
    <s v="GTX 970"/>
    <x v="2"/>
    <x v="0"/>
  </r>
  <r>
    <n v="2071280"/>
    <s v="Ravenswatch"/>
    <d v="2024-09-26T00:00:00"/>
    <n v="2578"/>
    <b v="0"/>
    <n v="253"/>
    <s v="GTX 970"/>
    <x v="3"/>
    <x v="1"/>
  </r>
  <r>
    <n v="2071280"/>
    <s v="Ravenswatch"/>
    <d v="2024-09-26T00:00:00"/>
    <n v="2578"/>
    <b v="0"/>
    <n v="253"/>
    <s v="GTX 970"/>
    <x v="4"/>
    <x v="1"/>
  </r>
  <r>
    <n v="2071280"/>
    <s v="Ravenswatch"/>
    <d v="2024-09-26T00:00:00"/>
    <n v="2578"/>
    <b v="0"/>
    <n v="253"/>
    <s v="GTX 970"/>
    <x v="5"/>
    <x v="1"/>
  </r>
  <r>
    <n v="2071280"/>
    <s v="Ravenswatch"/>
    <d v="2024-09-26T00:00:00"/>
    <n v="2578"/>
    <b v="0"/>
    <n v="253"/>
    <s v="GTX 970"/>
    <x v="6"/>
    <x v="1"/>
  </r>
  <r>
    <n v="305620"/>
    <s v="The Long Dark"/>
    <d v="2017-08-01T00:00:00"/>
    <n v="2575"/>
    <b v="1"/>
    <n v="254"/>
    <s v="Radeon Vega 8"/>
    <x v="0"/>
    <x v="1"/>
  </r>
  <r>
    <n v="305620"/>
    <s v="The Long Dark"/>
    <d v="2017-08-01T00:00:00"/>
    <n v="2575"/>
    <b v="1"/>
    <n v="254"/>
    <s v="Radeon Vega 8"/>
    <x v="1"/>
    <x v="0"/>
  </r>
  <r>
    <n v="305620"/>
    <s v="The Long Dark"/>
    <d v="2017-08-01T00:00:00"/>
    <n v="2575"/>
    <b v="1"/>
    <n v="254"/>
    <s v="Radeon Vega 8"/>
    <x v="2"/>
    <x v="0"/>
  </r>
  <r>
    <n v="305620"/>
    <s v="The Long Dark"/>
    <d v="2017-08-01T00:00:00"/>
    <n v="2575"/>
    <b v="1"/>
    <n v="254"/>
    <s v="Radeon Vega 8"/>
    <x v="3"/>
    <x v="0"/>
  </r>
  <r>
    <n v="305620"/>
    <s v="The Long Dark"/>
    <d v="2017-08-01T00:00:00"/>
    <n v="2575"/>
    <b v="1"/>
    <n v="254"/>
    <s v="Radeon Vega 8"/>
    <x v="4"/>
    <x v="1"/>
  </r>
  <r>
    <n v="305620"/>
    <s v="The Long Dark"/>
    <d v="2017-08-01T00:00:00"/>
    <n v="2575"/>
    <b v="1"/>
    <n v="254"/>
    <s v="Radeon Vega 8"/>
    <x v="5"/>
    <x v="0"/>
  </r>
  <r>
    <n v="305620"/>
    <s v="The Long Dark"/>
    <d v="2017-08-01T00:00:00"/>
    <n v="2575"/>
    <b v="1"/>
    <n v="254"/>
    <s v="Radeon Vega 8"/>
    <x v="6"/>
    <x v="1"/>
  </r>
  <r>
    <n v="2051620"/>
    <s v="Enlisted"/>
    <d v="2024-07-16T00:00:00"/>
    <n v="2569"/>
    <b v="0"/>
    <n v="255"/>
    <s v="GTX 1080"/>
    <x v="0"/>
    <x v="0"/>
  </r>
  <r>
    <n v="2051620"/>
    <s v="Enlisted"/>
    <d v="2024-07-16T00:00:00"/>
    <n v="2569"/>
    <b v="0"/>
    <n v="255"/>
    <s v="GTX 1080"/>
    <x v="1"/>
    <x v="1"/>
  </r>
  <r>
    <n v="2051620"/>
    <s v="Enlisted"/>
    <d v="2024-07-16T00:00:00"/>
    <n v="2569"/>
    <b v="0"/>
    <n v="255"/>
    <s v="GTX 1080"/>
    <x v="2"/>
    <x v="1"/>
  </r>
  <r>
    <n v="2051620"/>
    <s v="Enlisted"/>
    <d v="2024-07-16T00:00:00"/>
    <n v="2569"/>
    <b v="0"/>
    <n v="255"/>
    <s v="GTX 1080"/>
    <x v="3"/>
    <x v="1"/>
  </r>
  <r>
    <n v="2051620"/>
    <s v="Enlisted"/>
    <d v="2024-07-16T00:00:00"/>
    <n v="2569"/>
    <b v="0"/>
    <n v="255"/>
    <s v="GTX 1080"/>
    <x v="4"/>
    <x v="1"/>
  </r>
  <r>
    <n v="2051620"/>
    <s v="Enlisted"/>
    <d v="2024-07-16T00:00:00"/>
    <n v="2569"/>
    <b v="0"/>
    <n v="255"/>
    <s v="GTX 1080"/>
    <x v="5"/>
    <x v="1"/>
  </r>
  <r>
    <n v="2051620"/>
    <s v="Enlisted"/>
    <d v="2024-07-16T00:00:00"/>
    <n v="2569"/>
    <b v="0"/>
    <n v="255"/>
    <s v="GTX 1080"/>
    <x v="6"/>
    <x v="0"/>
  </r>
  <r>
    <n v="588650"/>
    <s v="Dead Cells"/>
    <d v="2018-08-06T00:00:00"/>
    <n v="2559"/>
    <b v="1"/>
    <n v="256"/>
    <s v="Radeon Vega 8"/>
    <x v="0"/>
    <x v="0"/>
  </r>
  <r>
    <n v="588650"/>
    <s v="Dead Cells"/>
    <d v="2018-08-06T00:00:00"/>
    <n v="2559"/>
    <b v="1"/>
    <n v="256"/>
    <s v="Radeon Vega 8"/>
    <x v="1"/>
    <x v="0"/>
  </r>
  <r>
    <n v="588650"/>
    <s v="Dead Cells"/>
    <d v="2018-08-06T00:00:00"/>
    <n v="2559"/>
    <b v="1"/>
    <n v="256"/>
    <s v="Radeon Vega 8"/>
    <x v="2"/>
    <x v="0"/>
  </r>
  <r>
    <n v="588650"/>
    <s v="Dead Cells"/>
    <d v="2018-08-06T00:00:00"/>
    <n v="2559"/>
    <b v="1"/>
    <n v="256"/>
    <s v="Radeon Vega 8"/>
    <x v="3"/>
    <x v="1"/>
  </r>
  <r>
    <n v="588650"/>
    <s v="Dead Cells"/>
    <d v="2018-08-06T00:00:00"/>
    <n v="2559"/>
    <b v="1"/>
    <n v="256"/>
    <s v="Radeon Vega 8"/>
    <x v="4"/>
    <x v="1"/>
  </r>
  <r>
    <n v="588650"/>
    <s v="Dead Cells"/>
    <d v="2018-08-06T00:00:00"/>
    <n v="2559"/>
    <b v="1"/>
    <n v="256"/>
    <s v="Radeon Vega 8"/>
    <x v="5"/>
    <x v="1"/>
  </r>
  <r>
    <n v="588650"/>
    <s v="Dead Cells"/>
    <d v="2018-08-06T00:00:00"/>
    <n v="2559"/>
    <b v="1"/>
    <n v="256"/>
    <s v="Radeon Vega 8"/>
    <x v="6"/>
    <x v="1"/>
  </r>
  <r>
    <n v="1290000"/>
    <s v="PowerWash Simulator"/>
    <d v="2022-07-14T00:00:00"/>
    <n v="2547"/>
    <b v="0"/>
    <n v="257"/>
    <s v="GTX 1050"/>
    <x v="0"/>
    <x v="1"/>
  </r>
  <r>
    <n v="1290000"/>
    <s v="PowerWash Simulator"/>
    <d v="2022-07-14T00:00:00"/>
    <n v="2547"/>
    <b v="0"/>
    <n v="257"/>
    <s v="GTX 1050"/>
    <x v="1"/>
    <x v="0"/>
  </r>
  <r>
    <n v="1290000"/>
    <s v="PowerWash Simulator"/>
    <d v="2022-07-14T00:00:00"/>
    <n v="2547"/>
    <b v="0"/>
    <n v="257"/>
    <s v="GTX 1050"/>
    <x v="2"/>
    <x v="1"/>
  </r>
  <r>
    <n v="1290000"/>
    <s v="PowerWash Simulator"/>
    <d v="2022-07-14T00:00:00"/>
    <n v="2547"/>
    <b v="0"/>
    <n v="257"/>
    <s v="GTX 1050"/>
    <x v="3"/>
    <x v="0"/>
  </r>
  <r>
    <n v="1290000"/>
    <s v="PowerWash Simulator"/>
    <d v="2022-07-14T00:00:00"/>
    <n v="2547"/>
    <b v="0"/>
    <n v="257"/>
    <s v="GTX 1050"/>
    <x v="4"/>
    <x v="1"/>
  </r>
  <r>
    <n v="1290000"/>
    <s v="PowerWash Simulator"/>
    <d v="2022-07-14T00:00:00"/>
    <n v="2547"/>
    <b v="0"/>
    <n v="257"/>
    <s v="GTX 1050"/>
    <x v="5"/>
    <x v="1"/>
  </r>
  <r>
    <n v="1290000"/>
    <s v="PowerWash Simulator"/>
    <d v="2022-07-14T00:00:00"/>
    <n v="2547"/>
    <b v="0"/>
    <n v="257"/>
    <s v="GTX 1050"/>
    <x v="6"/>
    <x v="1"/>
  </r>
  <r>
    <n v="1190970"/>
    <s v="House Flipper 2"/>
    <d v="2023-12-14T00:00:00"/>
    <n v="2543"/>
    <b v="0"/>
    <n v="258"/>
    <s v="RX 5700 XT"/>
    <x v="0"/>
    <x v="1"/>
  </r>
  <r>
    <n v="1190970"/>
    <s v="House Flipper 2"/>
    <d v="2023-12-14T00:00:00"/>
    <n v="2543"/>
    <b v="0"/>
    <n v="258"/>
    <s v="RX 5700 XT"/>
    <x v="1"/>
    <x v="0"/>
  </r>
  <r>
    <n v="1190970"/>
    <s v="House Flipper 2"/>
    <d v="2023-12-14T00:00:00"/>
    <n v="2543"/>
    <b v="0"/>
    <n v="258"/>
    <s v="RX 5700 XT"/>
    <x v="2"/>
    <x v="1"/>
  </r>
  <r>
    <n v="1190970"/>
    <s v="House Flipper 2"/>
    <d v="2023-12-14T00:00:00"/>
    <n v="2543"/>
    <b v="0"/>
    <n v="258"/>
    <s v="RX 5700 XT"/>
    <x v="3"/>
    <x v="0"/>
  </r>
  <r>
    <n v="1190970"/>
    <s v="House Flipper 2"/>
    <d v="2023-12-14T00:00:00"/>
    <n v="2543"/>
    <b v="0"/>
    <n v="258"/>
    <s v="RX 5700 XT"/>
    <x v="4"/>
    <x v="1"/>
  </r>
  <r>
    <n v="1190970"/>
    <s v="House Flipper 2"/>
    <d v="2023-12-14T00:00:00"/>
    <n v="2543"/>
    <b v="0"/>
    <n v="258"/>
    <s v="RX 5700 XT"/>
    <x v="5"/>
    <x v="1"/>
  </r>
  <r>
    <n v="1190970"/>
    <s v="House Flipper 2"/>
    <d v="2023-12-14T00:00:00"/>
    <n v="2543"/>
    <b v="0"/>
    <n v="258"/>
    <s v="RX 5700 XT"/>
    <x v="6"/>
    <x v="1"/>
  </r>
  <r>
    <n v="3020510"/>
    <s v="Legend of Heroes: Three Kingdoms"/>
    <d v="2025-03-25T00:00:00"/>
    <n v="2538"/>
    <b v="0"/>
    <n v="259"/>
    <s v="RTX 2060"/>
    <x v="0"/>
    <x v="1"/>
  </r>
  <r>
    <n v="3020510"/>
    <s v="Legend of Heroes: Three Kingdoms"/>
    <d v="2025-03-25T00:00:00"/>
    <n v="2538"/>
    <b v="0"/>
    <n v="259"/>
    <s v="RTX 2060"/>
    <x v="1"/>
    <x v="0"/>
  </r>
  <r>
    <n v="3020510"/>
    <s v="Legend of Heroes: Three Kingdoms"/>
    <d v="2025-03-25T00:00:00"/>
    <n v="2538"/>
    <b v="0"/>
    <n v="259"/>
    <s v="RTX 2060"/>
    <x v="2"/>
    <x v="1"/>
  </r>
  <r>
    <n v="3020510"/>
    <s v="Legend of Heroes: Three Kingdoms"/>
    <d v="2025-03-25T00:00:00"/>
    <n v="2538"/>
    <b v="0"/>
    <n v="259"/>
    <s v="RTX 2060"/>
    <x v="3"/>
    <x v="0"/>
  </r>
  <r>
    <n v="3020510"/>
    <s v="Legend of Heroes: Three Kingdoms"/>
    <d v="2025-03-25T00:00:00"/>
    <n v="2538"/>
    <b v="0"/>
    <n v="259"/>
    <s v="RTX 2060"/>
    <x v="4"/>
    <x v="0"/>
  </r>
  <r>
    <n v="3020510"/>
    <s v="Legend of Heroes: Three Kingdoms"/>
    <d v="2025-03-25T00:00:00"/>
    <n v="2538"/>
    <b v="0"/>
    <n v="259"/>
    <s v="RTX 2060"/>
    <x v="5"/>
    <x v="0"/>
  </r>
  <r>
    <n v="3020510"/>
    <s v="Legend of Heroes: Three Kingdoms"/>
    <d v="2025-03-25T00:00:00"/>
    <n v="2538"/>
    <b v="0"/>
    <n v="259"/>
    <s v="RTX 2060"/>
    <x v="6"/>
    <x v="1"/>
  </r>
  <r>
    <n v="2488370"/>
    <s v="Cash Cleaner Simulator"/>
    <d v="2025-05-08T00:00:00"/>
    <n v="2538"/>
    <b v="0"/>
    <n v="259"/>
    <s v="RTX 2070"/>
    <x v="0"/>
    <x v="1"/>
  </r>
  <r>
    <n v="2488370"/>
    <s v="Cash Cleaner Simulator"/>
    <d v="2025-05-08T00:00:00"/>
    <n v="2538"/>
    <b v="0"/>
    <n v="259"/>
    <s v="RTX 2070"/>
    <x v="1"/>
    <x v="0"/>
  </r>
  <r>
    <n v="2488370"/>
    <s v="Cash Cleaner Simulator"/>
    <d v="2025-05-08T00:00:00"/>
    <n v="2538"/>
    <b v="0"/>
    <n v="259"/>
    <s v="RTX 2070"/>
    <x v="2"/>
    <x v="1"/>
  </r>
  <r>
    <n v="2488370"/>
    <s v="Cash Cleaner Simulator"/>
    <d v="2025-05-08T00:00:00"/>
    <n v="2538"/>
    <b v="0"/>
    <n v="259"/>
    <s v="RTX 2070"/>
    <x v="3"/>
    <x v="0"/>
  </r>
  <r>
    <n v="2488370"/>
    <s v="Cash Cleaner Simulator"/>
    <d v="2025-05-08T00:00:00"/>
    <n v="2538"/>
    <b v="0"/>
    <n v="259"/>
    <s v="RTX 2070"/>
    <x v="4"/>
    <x v="1"/>
  </r>
  <r>
    <n v="2488370"/>
    <s v="Cash Cleaner Simulator"/>
    <d v="2025-05-08T00:00:00"/>
    <n v="2538"/>
    <b v="0"/>
    <n v="259"/>
    <s v="RTX 2070"/>
    <x v="5"/>
    <x v="1"/>
  </r>
  <r>
    <n v="2488370"/>
    <s v="Cash Cleaner Simulator"/>
    <d v="2025-05-08T00:00:00"/>
    <n v="2538"/>
    <b v="0"/>
    <n v="259"/>
    <s v="RTX 2070"/>
    <x v="6"/>
    <x v="1"/>
  </r>
  <r>
    <n v="379430"/>
    <s v="Kingdom Come: Deliverance"/>
    <d v="2018-02-13T00:00:00"/>
    <n v="2520"/>
    <b v="0"/>
    <n v="261"/>
    <s v="RX 580"/>
    <x v="0"/>
    <x v="0"/>
  </r>
  <r>
    <n v="379430"/>
    <s v="Kingdom Come: Deliverance"/>
    <d v="2018-02-13T00:00:00"/>
    <n v="2520"/>
    <b v="0"/>
    <n v="261"/>
    <s v="RX 580"/>
    <x v="1"/>
    <x v="1"/>
  </r>
  <r>
    <n v="379430"/>
    <s v="Kingdom Come: Deliverance"/>
    <d v="2018-02-13T00:00:00"/>
    <n v="2520"/>
    <b v="0"/>
    <n v="261"/>
    <s v="RX 580"/>
    <x v="2"/>
    <x v="0"/>
  </r>
  <r>
    <n v="379430"/>
    <s v="Kingdom Come: Deliverance"/>
    <d v="2018-02-13T00:00:00"/>
    <n v="2520"/>
    <b v="0"/>
    <n v="261"/>
    <s v="RX 580"/>
    <x v="3"/>
    <x v="1"/>
  </r>
  <r>
    <n v="379430"/>
    <s v="Kingdom Come: Deliverance"/>
    <d v="2018-02-13T00:00:00"/>
    <n v="2520"/>
    <b v="0"/>
    <n v="261"/>
    <s v="RX 580"/>
    <x v="4"/>
    <x v="0"/>
  </r>
  <r>
    <n v="379430"/>
    <s v="Kingdom Come: Deliverance"/>
    <d v="2018-02-13T00:00:00"/>
    <n v="2520"/>
    <b v="0"/>
    <n v="261"/>
    <s v="RX 580"/>
    <x v="5"/>
    <x v="1"/>
  </r>
  <r>
    <n v="379430"/>
    <s v="Kingdom Come: Deliverance"/>
    <d v="2018-02-13T00:00:00"/>
    <n v="2520"/>
    <b v="0"/>
    <n v="261"/>
    <s v="RX 580"/>
    <x v="6"/>
    <x v="1"/>
  </r>
  <r>
    <n v="703080"/>
    <s v="Planet Zoo"/>
    <d v="2019-11-05T00:00:00"/>
    <n v="2497"/>
    <b v="0"/>
    <n v="262"/>
    <s v="GTX 1070"/>
    <x v="0"/>
    <x v="1"/>
  </r>
  <r>
    <n v="703080"/>
    <s v="Planet Zoo"/>
    <d v="2019-11-05T00:00:00"/>
    <n v="2497"/>
    <b v="0"/>
    <n v="262"/>
    <s v="GTX 1070"/>
    <x v="1"/>
    <x v="1"/>
  </r>
  <r>
    <n v="703080"/>
    <s v="Planet Zoo"/>
    <d v="2019-11-05T00:00:00"/>
    <n v="2497"/>
    <b v="0"/>
    <n v="262"/>
    <s v="GTX 1070"/>
    <x v="2"/>
    <x v="1"/>
  </r>
  <r>
    <n v="703080"/>
    <s v="Planet Zoo"/>
    <d v="2019-11-05T00:00:00"/>
    <n v="2497"/>
    <b v="0"/>
    <n v="262"/>
    <s v="GTX 1070"/>
    <x v="3"/>
    <x v="0"/>
  </r>
  <r>
    <n v="703080"/>
    <s v="Planet Zoo"/>
    <d v="2019-11-05T00:00:00"/>
    <n v="2497"/>
    <b v="0"/>
    <n v="262"/>
    <s v="GTX 1070"/>
    <x v="4"/>
    <x v="1"/>
  </r>
  <r>
    <n v="703080"/>
    <s v="Planet Zoo"/>
    <d v="2019-11-05T00:00:00"/>
    <n v="2497"/>
    <b v="0"/>
    <n v="262"/>
    <s v="GTX 1070"/>
    <x v="5"/>
    <x v="0"/>
  </r>
  <r>
    <n v="703080"/>
    <s v="Planet Zoo"/>
    <d v="2019-11-05T00:00:00"/>
    <n v="2497"/>
    <b v="0"/>
    <n v="262"/>
    <s v="GTX 1070"/>
    <x v="6"/>
    <x v="1"/>
  </r>
  <r>
    <n v="1343400"/>
    <s v="RuneScape "/>
    <d v="2020-10-14T00:00:00"/>
    <n v="2496"/>
    <b v="1"/>
    <n v="263"/>
    <s v="GTX 1050 Ti"/>
    <x v="0"/>
    <x v="1"/>
  </r>
  <r>
    <n v="1343400"/>
    <s v="RuneScape "/>
    <d v="2020-10-14T00:00:00"/>
    <n v="2496"/>
    <b v="1"/>
    <n v="263"/>
    <s v="GTX 1050 Ti"/>
    <x v="1"/>
    <x v="1"/>
  </r>
  <r>
    <n v="1343400"/>
    <s v="RuneScape "/>
    <d v="2020-10-14T00:00:00"/>
    <n v="2496"/>
    <b v="1"/>
    <n v="263"/>
    <s v="GTX 1050 Ti"/>
    <x v="2"/>
    <x v="1"/>
  </r>
  <r>
    <n v="1343400"/>
    <s v="RuneScape "/>
    <d v="2020-10-14T00:00:00"/>
    <n v="2496"/>
    <b v="1"/>
    <n v="263"/>
    <s v="GTX 1050 Ti"/>
    <x v="3"/>
    <x v="1"/>
  </r>
  <r>
    <n v="1343400"/>
    <s v="RuneScape "/>
    <d v="2020-10-14T00:00:00"/>
    <n v="2496"/>
    <b v="1"/>
    <n v="263"/>
    <s v="GTX 1050 Ti"/>
    <x v="4"/>
    <x v="0"/>
  </r>
  <r>
    <n v="1343400"/>
    <s v="RuneScape "/>
    <d v="2020-10-14T00:00:00"/>
    <n v="2496"/>
    <b v="1"/>
    <n v="263"/>
    <s v="GTX 1050 Ti"/>
    <x v="5"/>
    <x v="1"/>
  </r>
  <r>
    <n v="1343400"/>
    <s v="RuneScape "/>
    <d v="2020-10-14T00:00:00"/>
    <n v="2496"/>
    <b v="1"/>
    <n v="263"/>
    <s v="GTX 1050 Ti"/>
    <x v="6"/>
    <x v="0"/>
  </r>
  <r>
    <n v="2670630"/>
    <s v="Supermarket Simulator"/>
    <d v="2025-06-19T00:00:00"/>
    <n v="2464"/>
    <b v="1"/>
    <n v="264"/>
    <s v="RTX 2070"/>
    <x v="0"/>
    <x v="1"/>
  </r>
  <r>
    <n v="2670630"/>
    <s v="Supermarket Simulator"/>
    <d v="2025-06-19T00:00:00"/>
    <n v="2464"/>
    <b v="1"/>
    <n v="264"/>
    <s v="RTX 2070"/>
    <x v="1"/>
    <x v="0"/>
  </r>
  <r>
    <n v="2670630"/>
    <s v="Supermarket Simulator"/>
    <d v="2025-06-19T00:00:00"/>
    <n v="2464"/>
    <b v="1"/>
    <n v="264"/>
    <s v="RTX 2070"/>
    <x v="2"/>
    <x v="1"/>
  </r>
  <r>
    <n v="2670630"/>
    <s v="Supermarket Simulator"/>
    <d v="2025-06-19T00:00:00"/>
    <n v="2464"/>
    <b v="1"/>
    <n v="264"/>
    <s v="RTX 2070"/>
    <x v="3"/>
    <x v="0"/>
  </r>
  <r>
    <n v="2670630"/>
    <s v="Supermarket Simulator"/>
    <d v="2025-06-19T00:00:00"/>
    <n v="2464"/>
    <b v="1"/>
    <n v="264"/>
    <s v="RTX 2070"/>
    <x v="4"/>
    <x v="1"/>
  </r>
  <r>
    <n v="2670630"/>
    <s v="Supermarket Simulator"/>
    <d v="2025-06-19T00:00:00"/>
    <n v="2464"/>
    <b v="1"/>
    <n v="264"/>
    <s v="RTX 2070"/>
    <x v="5"/>
    <x v="1"/>
  </r>
  <r>
    <n v="2670630"/>
    <s v="Supermarket Simulator"/>
    <d v="2025-06-19T00:00:00"/>
    <n v="2464"/>
    <b v="1"/>
    <n v="264"/>
    <s v="RTX 2070"/>
    <x v="6"/>
    <x v="1"/>
  </r>
  <r>
    <n v="1384160"/>
    <s v="GUILTY GEAR -STRIVE-"/>
    <d v="2021-06-11T00:00:00"/>
    <n v="2463"/>
    <b v="0"/>
    <n v="265"/>
    <s v="RX 560"/>
    <x v="0"/>
    <x v="0"/>
  </r>
  <r>
    <n v="1384160"/>
    <s v="GUILTY GEAR -STRIVE-"/>
    <d v="2021-06-11T00:00:00"/>
    <n v="2463"/>
    <b v="0"/>
    <n v="265"/>
    <s v="RX 560"/>
    <x v="1"/>
    <x v="1"/>
  </r>
  <r>
    <n v="1384160"/>
    <s v="GUILTY GEAR -STRIVE-"/>
    <d v="2021-06-11T00:00:00"/>
    <n v="2463"/>
    <b v="0"/>
    <n v="265"/>
    <s v="RX 560"/>
    <x v="2"/>
    <x v="1"/>
  </r>
  <r>
    <n v="1384160"/>
    <s v="GUILTY GEAR -STRIVE-"/>
    <d v="2021-06-11T00:00:00"/>
    <n v="2463"/>
    <b v="0"/>
    <n v="265"/>
    <s v="RX 560"/>
    <x v="3"/>
    <x v="1"/>
  </r>
  <r>
    <n v="1384160"/>
    <s v="GUILTY GEAR -STRIVE-"/>
    <d v="2021-06-11T00:00:00"/>
    <n v="2463"/>
    <b v="0"/>
    <n v="265"/>
    <s v="RX 560"/>
    <x v="4"/>
    <x v="1"/>
  </r>
  <r>
    <n v="1384160"/>
    <s v="GUILTY GEAR -STRIVE-"/>
    <d v="2021-06-11T00:00:00"/>
    <n v="2463"/>
    <b v="0"/>
    <n v="265"/>
    <s v="RX 560"/>
    <x v="5"/>
    <x v="1"/>
  </r>
  <r>
    <n v="1384160"/>
    <s v="GUILTY GEAR -STRIVE-"/>
    <d v="2021-06-11T00:00:00"/>
    <n v="2463"/>
    <b v="0"/>
    <n v="265"/>
    <s v="RX 560"/>
    <x v="6"/>
    <x v="1"/>
  </r>
  <r>
    <n v="1062520"/>
    <s v="Dinkum"/>
    <d v="2025-04-22T00:00:00"/>
    <n v="2422"/>
    <b v="0"/>
    <n v="266"/>
    <s v="RTX 3060"/>
    <x v="0"/>
    <x v="1"/>
  </r>
  <r>
    <n v="1062520"/>
    <s v="Dinkum"/>
    <d v="2025-04-22T00:00:00"/>
    <n v="2422"/>
    <b v="0"/>
    <n v="266"/>
    <s v="RTX 3060"/>
    <x v="1"/>
    <x v="0"/>
  </r>
  <r>
    <n v="1062520"/>
    <s v="Dinkum"/>
    <d v="2025-04-22T00:00:00"/>
    <n v="2422"/>
    <b v="0"/>
    <n v="266"/>
    <s v="RTX 3060"/>
    <x v="2"/>
    <x v="0"/>
  </r>
  <r>
    <n v="1062520"/>
    <s v="Dinkum"/>
    <d v="2025-04-22T00:00:00"/>
    <n v="2422"/>
    <b v="0"/>
    <n v="266"/>
    <s v="RTX 3060"/>
    <x v="3"/>
    <x v="0"/>
  </r>
  <r>
    <n v="1062520"/>
    <s v="Dinkum"/>
    <d v="2025-04-22T00:00:00"/>
    <n v="2422"/>
    <b v="0"/>
    <n v="266"/>
    <s v="RTX 3060"/>
    <x v="4"/>
    <x v="0"/>
  </r>
  <r>
    <n v="1062520"/>
    <s v="Dinkum"/>
    <d v="2025-04-22T00:00:00"/>
    <n v="2422"/>
    <b v="0"/>
    <n v="266"/>
    <s v="RTX 3060"/>
    <x v="5"/>
    <x v="1"/>
  </r>
  <r>
    <n v="1062520"/>
    <s v="Dinkum"/>
    <d v="2025-04-22T00:00:00"/>
    <n v="2422"/>
    <b v="0"/>
    <n v="266"/>
    <s v="RTX 3060"/>
    <x v="6"/>
    <x v="1"/>
  </r>
  <r>
    <n v="1328670"/>
    <s v="Mass Effect Legendary Edition"/>
    <d v="2021-05-14T00:00:00"/>
    <n v="2420"/>
    <b v="0"/>
    <n v="267"/>
    <s v="GTX 1070"/>
    <x v="0"/>
    <x v="0"/>
  </r>
  <r>
    <n v="1328670"/>
    <s v="Mass Effect Legendary Edition"/>
    <d v="2021-05-14T00:00:00"/>
    <n v="2420"/>
    <b v="0"/>
    <n v="267"/>
    <s v="GTX 1070"/>
    <x v="1"/>
    <x v="1"/>
  </r>
  <r>
    <n v="1328670"/>
    <s v="Mass Effect Legendary Edition"/>
    <d v="2021-05-14T00:00:00"/>
    <n v="2420"/>
    <b v="0"/>
    <n v="267"/>
    <s v="GTX 1070"/>
    <x v="2"/>
    <x v="1"/>
  </r>
  <r>
    <n v="1328670"/>
    <s v="Mass Effect Legendary Edition"/>
    <d v="2021-05-14T00:00:00"/>
    <n v="2420"/>
    <b v="0"/>
    <n v="267"/>
    <s v="GTX 1070"/>
    <x v="3"/>
    <x v="1"/>
  </r>
  <r>
    <n v="1328670"/>
    <s v="Mass Effect Legendary Edition"/>
    <d v="2021-05-14T00:00:00"/>
    <n v="2420"/>
    <b v="0"/>
    <n v="267"/>
    <s v="GTX 1070"/>
    <x v="4"/>
    <x v="0"/>
  </r>
  <r>
    <n v="1328670"/>
    <s v="Mass Effect Legendary Edition"/>
    <d v="2021-05-14T00:00:00"/>
    <n v="2420"/>
    <b v="0"/>
    <n v="267"/>
    <s v="GTX 1070"/>
    <x v="5"/>
    <x v="1"/>
  </r>
  <r>
    <n v="1328670"/>
    <s v="Mass Effect Legendary Edition"/>
    <d v="2021-05-14T00:00:00"/>
    <n v="2420"/>
    <b v="0"/>
    <n v="267"/>
    <s v="GTX 1070"/>
    <x v="6"/>
    <x v="1"/>
  </r>
  <r>
    <n v="1643320"/>
    <s v="S.T.A.L.K.E.R. 2: Heart of Chornobyl"/>
    <d v="2024-11-20T00:00:00"/>
    <n v="2403"/>
    <b v="0"/>
    <n v="268"/>
    <s v="RTX 3070 Ti"/>
    <x v="0"/>
    <x v="0"/>
  </r>
  <r>
    <n v="1643320"/>
    <s v="S.T.A.L.K.E.R. 2: Heart of Chornobyl"/>
    <d v="2024-11-20T00:00:00"/>
    <n v="2403"/>
    <b v="0"/>
    <n v="268"/>
    <s v="RTX 3070 Ti"/>
    <x v="1"/>
    <x v="1"/>
  </r>
  <r>
    <n v="1643320"/>
    <s v="S.T.A.L.K.E.R. 2: Heart of Chornobyl"/>
    <d v="2024-11-20T00:00:00"/>
    <n v="2403"/>
    <b v="0"/>
    <n v="268"/>
    <s v="RTX 3070 Ti"/>
    <x v="2"/>
    <x v="0"/>
  </r>
  <r>
    <n v="1643320"/>
    <s v="S.T.A.L.K.E.R. 2: Heart of Chornobyl"/>
    <d v="2024-11-20T00:00:00"/>
    <n v="2403"/>
    <b v="0"/>
    <n v="268"/>
    <s v="RTX 3070 Ti"/>
    <x v="3"/>
    <x v="1"/>
  </r>
  <r>
    <n v="1643320"/>
    <s v="S.T.A.L.K.E.R. 2: Heart of Chornobyl"/>
    <d v="2024-11-20T00:00:00"/>
    <n v="2403"/>
    <b v="0"/>
    <n v="268"/>
    <s v="RTX 3070 Ti"/>
    <x v="4"/>
    <x v="0"/>
  </r>
  <r>
    <n v="1643320"/>
    <s v="S.T.A.L.K.E.R. 2: Heart of Chornobyl"/>
    <d v="2024-11-20T00:00:00"/>
    <n v="2403"/>
    <b v="0"/>
    <n v="268"/>
    <s v="RTX 3070 Ti"/>
    <x v="5"/>
    <x v="1"/>
  </r>
  <r>
    <n v="1643320"/>
    <s v="S.T.A.L.K.E.R. 2: Heart of Chornobyl"/>
    <d v="2024-11-20T00:00:00"/>
    <n v="2403"/>
    <b v="0"/>
    <n v="268"/>
    <s v="RTX 3070 Ti"/>
    <x v="6"/>
    <x v="1"/>
  </r>
  <r>
    <n v="2162800"/>
    <s v="shapez 2"/>
    <d v="2024-08-15T00:00:00"/>
    <n v="2399"/>
    <b v="1"/>
    <n v="269"/>
    <s v="RTX 2060"/>
    <x v="0"/>
    <x v="1"/>
  </r>
  <r>
    <n v="2162800"/>
    <s v="shapez 2"/>
    <d v="2024-08-15T00:00:00"/>
    <n v="2399"/>
    <b v="1"/>
    <n v="269"/>
    <s v="RTX 2060"/>
    <x v="1"/>
    <x v="0"/>
  </r>
  <r>
    <n v="2162800"/>
    <s v="shapez 2"/>
    <d v="2024-08-15T00:00:00"/>
    <n v="2399"/>
    <b v="1"/>
    <n v="269"/>
    <s v="RTX 2060"/>
    <x v="2"/>
    <x v="1"/>
  </r>
  <r>
    <n v="2162800"/>
    <s v="shapez 2"/>
    <d v="2024-08-15T00:00:00"/>
    <n v="2399"/>
    <b v="1"/>
    <n v="269"/>
    <s v="RTX 2060"/>
    <x v="3"/>
    <x v="0"/>
  </r>
  <r>
    <n v="2162800"/>
    <s v="shapez 2"/>
    <d v="2024-08-15T00:00:00"/>
    <n v="2399"/>
    <b v="1"/>
    <n v="269"/>
    <s v="RTX 2060"/>
    <x v="4"/>
    <x v="1"/>
  </r>
  <r>
    <n v="2162800"/>
    <s v="shapez 2"/>
    <d v="2024-08-15T00:00:00"/>
    <n v="2399"/>
    <b v="1"/>
    <n v="269"/>
    <s v="RTX 2060"/>
    <x v="5"/>
    <x v="0"/>
  </r>
  <r>
    <n v="2162800"/>
    <s v="shapez 2"/>
    <d v="2024-08-15T00:00:00"/>
    <n v="2399"/>
    <b v="1"/>
    <n v="269"/>
    <s v="RTX 2060"/>
    <x v="6"/>
    <x v="1"/>
  </r>
  <r>
    <n v="962130"/>
    <s v="Grounded"/>
    <d v="2022-09-27T00:00:00"/>
    <n v="2394"/>
    <b v="0"/>
    <n v="270"/>
    <s v="GTX 1060"/>
    <x v="0"/>
    <x v="0"/>
  </r>
  <r>
    <n v="962130"/>
    <s v="Grounded"/>
    <d v="2022-09-27T00:00:00"/>
    <n v="2394"/>
    <b v="0"/>
    <n v="270"/>
    <s v="GTX 1060"/>
    <x v="1"/>
    <x v="1"/>
  </r>
  <r>
    <n v="962130"/>
    <s v="Grounded"/>
    <d v="2022-09-27T00:00:00"/>
    <n v="2394"/>
    <b v="0"/>
    <n v="270"/>
    <s v="GTX 1060"/>
    <x v="2"/>
    <x v="0"/>
  </r>
  <r>
    <n v="962130"/>
    <s v="Grounded"/>
    <d v="2022-09-27T00:00:00"/>
    <n v="2394"/>
    <b v="0"/>
    <n v="270"/>
    <s v="GTX 1060"/>
    <x v="3"/>
    <x v="1"/>
  </r>
  <r>
    <n v="962130"/>
    <s v="Grounded"/>
    <d v="2022-09-27T00:00:00"/>
    <n v="2394"/>
    <b v="0"/>
    <n v="270"/>
    <s v="GTX 1060"/>
    <x v="4"/>
    <x v="1"/>
  </r>
  <r>
    <n v="962130"/>
    <s v="Grounded"/>
    <d v="2022-09-27T00:00:00"/>
    <n v="2394"/>
    <b v="0"/>
    <n v="270"/>
    <s v="GTX 1060"/>
    <x v="5"/>
    <x v="1"/>
  </r>
  <r>
    <n v="962130"/>
    <s v="Grounded"/>
    <d v="2022-09-27T00:00:00"/>
    <n v="2394"/>
    <b v="0"/>
    <n v="270"/>
    <s v="GTX 1060"/>
    <x v="6"/>
    <x v="1"/>
  </r>
  <r>
    <n v="1787090"/>
    <s v="MyDockFinder"/>
    <d v="2021-11-25T00:00:00"/>
    <n v="2384"/>
    <b v="0"/>
    <n v="271"/>
    <s v="Radeon Vega 11"/>
    <x v="0"/>
    <x v="1"/>
  </r>
  <r>
    <n v="1787090"/>
    <s v="MyDockFinder"/>
    <d v="2021-11-25T00:00:00"/>
    <n v="2384"/>
    <b v="0"/>
    <n v="271"/>
    <s v="Radeon Vega 11"/>
    <x v="1"/>
    <x v="1"/>
  </r>
  <r>
    <n v="1787090"/>
    <s v="MyDockFinder"/>
    <d v="2021-11-25T00:00:00"/>
    <n v="2384"/>
    <b v="0"/>
    <n v="271"/>
    <s v="Radeon Vega 11"/>
    <x v="2"/>
    <x v="1"/>
  </r>
  <r>
    <n v="1787090"/>
    <s v="MyDockFinder"/>
    <d v="2021-11-25T00:00:00"/>
    <n v="2384"/>
    <b v="0"/>
    <n v="271"/>
    <s v="Radeon Vega 11"/>
    <x v="3"/>
    <x v="1"/>
  </r>
  <r>
    <n v="1787090"/>
    <s v="MyDockFinder"/>
    <d v="2021-11-25T00:00:00"/>
    <n v="2384"/>
    <b v="0"/>
    <n v="271"/>
    <s v="Radeon Vega 11"/>
    <x v="4"/>
    <x v="1"/>
  </r>
  <r>
    <n v="1787090"/>
    <s v="MyDockFinder"/>
    <d v="2021-11-25T00:00:00"/>
    <n v="2384"/>
    <b v="0"/>
    <n v="271"/>
    <s v="Radeon Vega 11"/>
    <x v="5"/>
    <x v="1"/>
  </r>
  <r>
    <n v="1787090"/>
    <s v="MyDockFinder"/>
    <d v="2021-11-25T00:00:00"/>
    <n v="2384"/>
    <b v="0"/>
    <n v="271"/>
    <s v="Radeon Vega 11"/>
    <x v="6"/>
    <x v="1"/>
  </r>
  <r>
    <n v="219990"/>
    <s v="Grim Dawn"/>
    <d v="2016-02-25T00:00:00"/>
    <n v="2376"/>
    <b v="0"/>
    <n v="272"/>
    <s v="R9 390X"/>
    <x v="0"/>
    <x v="0"/>
  </r>
  <r>
    <n v="219990"/>
    <s v="Grim Dawn"/>
    <d v="2016-02-25T00:00:00"/>
    <n v="2376"/>
    <b v="0"/>
    <n v="272"/>
    <s v="R9 390X"/>
    <x v="1"/>
    <x v="0"/>
  </r>
  <r>
    <n v="219990"/>
    <s v="Grim Dawn"/>
    <d v="2016-02-25T00:00:00"/>
    <n v="2376"/>
    <b v="0"/>
    <n v="272"/>
    <s v="R9 390X"/>
    <x v="2"/>
    <x v="0"/>
  </r>
  <r>
    <n v="219990"/>
    <s v="Grim Dawn"/>
    <d v="2016-02-25T00:00:00"/>
    <n v="2376"/>
    <b v="0"/>
    <n v="272"/>
    <s v="R9 390X"/>
    <x v="3"/>
    <x v="1"/>
  </r>
  <r>
    <n v="219990"/>
    <s v="Grim Dawn"/>
    <d v="2016-02-25T00:00:00"/>
    <n v="2376"/>
    <b v="0"/>
    <n v="272"/>
    <s v="R9 390X"/>
    <x v="4"/>
    <x v="0"/>
  </r>
  <r>
    <n v="219990"/>
    <s v="Grim Dawn"/>
    <d v="2016-02-25T00:00:00"/>
    <n v="2376"/>
    <b v="0"/>
    <n v="272"/>
    <s v="R9 390X"/>
    <x v="5"/>
    <x v="1"/>
  </r>
  <r>
    <n v="219990"/>
    <s v="Grim Dawn"/>
    <d v="2016-02-25T00:00:00"/>
    <n v="2376"/>
    <b v="0"/>
    <n v="272"/>
    <s v="R9 390X"/>
    <x v="6"/>
    <x v="1"/>
  </r>
  <r>
    <n v="602960"/>
    <s v="Barotrauma"/>
    <d v="2023-03-13T00:00:00"/>
    <n v="2371"/>
    <b v="1"/>
    <n v="273"/>
    <s v="GTX 1050"/>
    <x v="0"/>
    <x v="0"/>
  </r>
  <r>
    <n v="602960"/>
    <s v="Barotrauma"/>
    <d v="2023-03-13T00:00:00"/>
    <n v="2371"/>
    <b v="1"/>
    <n v="273"/>
    <s v="GTX 1050"/>
    <x v="1"/>
    <x v="0"/>
  </r>
  <r>
    <n v="602960"/>
    <s v="Barotrauma"/>
    <d v="2023-03-13T00:00:00"/>
    <n v="2371"/>
    <b v="1"/>
    <n v="273"/>
    <s v="GTX 1050"/>
    <x v="2"/>
    <x v="1"/>
  </r>
  <r>
    <n v="602960"/>
    <s v="Barotrauma"/>
    <d v="2023-03-13T00:00:00"/>
    <n v="2371"/>
    <b v="1"/>
    <n v="273"/>
    <s v="GTX 1050"/>
    <x v="3"/>
    <x v="0"/>
  </r>
  <r>
    <n v="602960"/>
    <s v="Barotrauma"/>
    <d v="2023-03-13T00:00:00"/>
    <n v="2371"/>
    <b v="1"/>
    <n v="273"/>
    <s v="GTX 1050"/>
    <x v="4"/>
    <x v="1"/>
  </r>
  <r>
    <n v="602960"/>
    <s v="Barotrauma"/>
    <d v="2023-03-13T00:00:00"/>
    <n v="2371"/>
    <b v="1"/>
    <n v="273"/>
    <s v="GTX 1050"/>
    <x v="5"/>
    <x v="0"/>
  </r>
  <r>
    <n v="602960"/>
    <s v="Barotrauma"/>
    <d v="2023-03-13T00:00:00"/>
    <n v="2371"/>
    <b v="1"/>
    <n v="273"/>
    <s v="GTX 1050"/>
    <x v="6"/>
    <x v="1"/>
  </r>
  <r>
    <n v="1774580"/>
    <s v="STAR WARS Jedi: Survivor"/>
    <d v="2023-04-27T00:00:00"/>
    <n v="2353"/>
    <b v="0"/>
    <n v="274"/>
    <s v="RTX 2070"/>
    <x v="0"/>
    <x v="0"/>
  </r>
  <r>
    <n v="1774580"/>
    <s v="STAR WARS Jedi: Survivor"/>
    <d v="2023-04-27T00:00:00"/>
    <n v="2353"/>
    <b v="0"/>
    <n v="274"/>
    <s v="RTX 2070"/>
    <x v="1"/>
    <x v="1"/>
  </r>
  <r>
    <n v="1774580"/>
    <s v="STAR WARS Jedi: Survivor"/>
    <d v="2023-04-27T00:00:00"/>
    <n v="2353"/>
    <b v="0"/>
    <n v="274"/>
    <s v="RTX 2070"/>
    <x v="2"/>
    <x v="0"/>
  </r>
  <r>
    <n v="1774580"/>
    <s v="STAR WARS Jedi: Survivor"/>
    <d v="2023-04-27T00:00:00"/>
    <n v="2353"/>
    <b v="0"/>
    <n v="274"/>
    <s v="RTX 2070"/>
    <x v="3"/>
    <x v="1"/>
  </r>
  <r>
    <n v="1774580"/>
    <s v="STAR WARS Jedi: Survivor"/>
    <d v="2023-04-27T00:00:00"/>
    <n v="2353"/>
    <b v="0"/>
    <n v="274"/>
    <s v="RTX 2070"/>
    <x v="4"/>
    <x v="1"/>
  </r>
  <r>
    <n v="1774580"/>
    <s v="STAR WARS Jedi: Survivor"/>
    <d v="2023-04-27T00:00:00"/>
    <n v="2353"/>
    <b v="0"/>
    <n v="274"/>
    <s v="RTX 2070"/>
    <x v="5"/>
    <x v="1"/>
  </r>
  <r>
    <n v="1774580"/>
    <s v="STAR WARS Jedi: Survivor"/>
    <d v="2023-04-27T00:00:00"/>
    <n v="2353"/>
    <b v="0"/>
    <n v="274"/>
    <s v="RTX 2070"/>
    <x v="6"/>
    <x v="1"/>
  </r>
  <r>
    <n v="1222140"/>
    <s v="Detroit: Become Human"/>
    <d v="2020-06-18T00:00:00"/>
    <n v="2344"/>
    <b v="0"/>
    <n v="275"/>
    <s v="RX 580"/>
    <x v="0"/>
    <x v="0"/>
  </r>
  <r>
    <n v="1222140"/>
    <s v="Detroit: Become Human"/>
    <d v="2020-06-18T00:00:00"/>
    <n v="2344"/>
    <b v="0"/>
    <n v="275"/>
    <s v="RX 580"/>
    <x v="1"/>
    <x v="1"/>
  </r>
  <r>
    <n v="1222140"/>
    <s v="Detroit: Become Human"/>
    <d v="2020-06-18T00:00:00"/>
    <n v="2344"/>
    <b v="0"/>
    <n v="275"/>
    <s v="RX 580"/>
    <x v="2"/>
    <x v="0"/>
  </r>
  <r>
    <n v="1222140"/>
    <s v="Detroit: Become Human"/>
    <d v="2020-06-18T00:00:00"/>
    <n v="2344"/>
    <b v="0"/>
    <n v="275"/>
    <s v="RX 580"/>
    <x v="3"/>
    <x v="1"/>
  </r>
  <r>
    <n v="1222140"/>
    <s v="Detroit: Become Human"/>
    <d v="2020-06-18T00:00:00"/>
    <n v="2344"/>
    <b v="0"/>
    <n v="275"/>
    <s v="RX 580"/>
    <x v="4"/>
    <x v="1"/>
  </r>
  <r>
    <n v="1222140"/>
    <s v="Detroit: Become Human"/>
    <d v="2020-06-18T00:00:00"/>
    <n v="2344"/>
    <b v="0"/>
    <n v="275"/>
    <s v="RX 580"/>
    <x v="5"/>
    <x v="1"/>
  </r>
  <r>
    <n v="1222140"/>
    <s v="Detroit: Become Human"/>
    <d v="2020-06-18T00:00:00"/>
    <n v="2344"/>
    <b v="0"/>
    <n v="275"/>
    <s v="RX 580"/>
    <x v="6"/>
    <x v="1"/>
  </r>
  <r>
    <n v="231430"/>
    <s v="Company of Heroes 2"/>
    <d v="2013-06-25T00:00:00"/>
    <n v="2330"/>
    <b v="1"/>
    <n v="276"/>
    <s v="R9 270"/>
    <x v="0"/>
    <x v="1"/>
  </r>
  <r>
    <n v="231430"/>
    <s v="Company of Heroes 2"/>
    <d v="2013-06-25T00:00:00"/>
    <n v="2330"/>
    <b v="1"/>
    <n v="276"/>
    <s v="R9 270"/>
    <x v="1"/>
    <x v="1"/>
  </r>
  <r>
    <n v="231430"/>
    <s v="Company of Heroes 2"/>
    <d v="2013-06-25T00:00:00"/>
    <n v="2330"/>
    <b v="1"/>
    <n v="276"/>
    <s v="R9 270"/>
    <x v="2"/>
    <x v="1"/>
  </r>
  <r>
    <n v="231430"/>
    <s v="Company of Heroes 2"/>
    <d v="2013-06-25T00:00:00"/>
    <n v="2330"/>
    <b v="1"/>
    <n v="276"/>
    <s v="R9 270"/>
    <x v="3"/>
    <x v="1"/>
  </r>
  <r>
    <n v="231430"/>
    <s v="Company of Heroes 2"/>
    <d v="2013-06-25T00:00:00"/>
    <n v="2330"/>
    <b v="1"/>
    <n v="276"/>
    <s v="R9 270"/>
    <x v="4"/>
    <x v="1"/>
  </r>
  <r>
    <n v="231430"/>
    <s v="Company of Heroes 2"/>
    <d v="2013-06-25T00:00:00"/>
    <n v="2330"/>
    <b v="1"/>
    <n v="276"/>
    <s v="R9 270"/>
    <x v="5"/>
    <x v="0"/>
  </r>
  <r>
    <n v="231430"/>
    <s v="Company of Heroes 2"/>
    <d v="2013-06-25T00:00:00"/>
    <n v="2330"/>
    <b v="1"/>
    <n v="276"/>
    <s v="R9 270"/>
    <x v="6"/>
    <x v="1"/>
  </r>
  <r>
    <n v="1608450"/>
    <s v="Hellslave"/>
    <d v="2022-05-26T00:00:00"/>
    <n v="2313"/>
    <b v="0"/>
    <n v="277"/>
    <s v="GTX 1050"/>
    <x v="0"/>
    <x v="1"/>
  </r>
  <r>
    <n v="1608450"/>
    <s v="Hellslave"/>
    <d v="2022-05-26T00:00:00"/>
    <n v="2313"/>
    <b v="0"/>
    <n v="277"/>
    <s v="GTX 1050"/>
    <x v="1"/>
    <x v="0"/>
  </r>
  <r>
    <n v="1608450"/>
    <s v="Hellslave"/>
    <d v="2022-05-26T00:00:00"/>
    <n v="2313"/>
    <b v="0"/>
    <n v="277"/>
    <s v="GTX 1050"/>
    <x v="2"/>
    <x v="0"/>
  </r>
  <r>
    <n v="1608450"/>
    <s v="Hellslave"/>
    <d v="2022-05-26T00:00:00"/>
    <n v="2313"/>
    <b v="0"/>
    <n v="277"/>
    <s v="GTX 1050"/>
    <x v="3"/>
    <x v="1"/>
  </r>
  <r>
    <n v="1608450"/>
    <s v="Hellslave"/>
    <d v="2022-05-26T00:00:00"/>
    <n v="2313"/>
    <b v="0"/>
    <n v="277"/>
    <s v="GTX 1050"/>
    <x v="4"/>
    <x v="0"/>
  </r>
  <r>
    <n v="1608450"/>
    <s v="Hellslave"/>
    <d v="2022-05-26T00:00:00"/>
    <n v="2313"/>
    <b v="0"/>
    <n v="277"/>
    <s v="GTX 1050"/>
    <x v="5"/>
    <x v="0"/>
  </r>
  <r>
    <n v="1608450"/>
    <s v="Hellslave"/>
    <d v="2022-05-26T00:00:00"/>
    <n v="2313"/>
    <b v="0"/>
    <n v="277"/>
    <s v="GTX 1050"/>
    <x v="6"/>
    <x v="1"/>
  </r>
  <r>
    <n v="221380"/>
    <s v="Age of Empires II (Retired)"/>
    <d v="2013-04-09T00:00:00"/>
    <n v="2278"/>
    <b v="0"/>
    <n v="278"/>
    <s v="Radeon Graphics"/>
    <x v="0"/>
    <x v="1"/>
  </r>
  <r>
    <n v="221380"/>
    <s v="Age of Empires II (Retired)"/>
    <d v="2013-04-09T00:00:00"/>
    <n v="2278"/>
    <b v="0"/>
    <n v="278"/>
    <s v="Radeon Graphics"/>
    <x v="1"/>
    <x v="1"/>
  </r>
  <r>
    <n v="221380"/>
    <s v="Age of Empires II (Retired)"/>
    <d v="2013-04-09T00:00:00"/>
    <n v="2278"/>
    <b v="0"/>
    <n v="278"/>
    <s v="Radeon Graphics"/>
    <x v="2"/>
    <x v="1"/>
  </r>
  <r>
    <n v="221380"/>
    <s v="Age of Empires II (Retired)"/>
    <d v="2013-04-09T00:00:00"/>
    <n v="2278"/>
    <b v="0"/>
    <n v="278"/>
    <s v="Radeon Graphics"/>
    <x v="3"/>
    <x v="1"/>
  </r>
  <r>
    <n v="221380"/>
    <s v="Age of Empires II (Retired)"/>
    <d v="2013-04-09T00:00:00"/>
    <n v="2278"/>
    <b v="0"/>
    <n v="278"/>
    <s v="Radeon Graphics"/>
    <x v="4"/>
    <x v="1"/>
  </r>
  <r>
    <n v="221380"/>
    <s v="Age of Empires II (Retired)"/>
    <d v="2013-04-09T00:00:00"/>
    <n v="2278"/>
    <b v="0"/>
    <n v="278"/>
    <s v="Radeon Graphics"/>
    <x v="5"/>
    <x v="0"/>
  </r>
  <r>
    <n v="221380"/>
    <s v="Age of Empires II (Retired)"/>
    <d v="2013-04-09T00:00:00"/>
    <n v="2278"/>
    <b v="0"/>
    <n v="278"/>
    <s v="Radeon Graphics"/>
    <x v="6"/>
    <x v="1"/>
  </r>
  <r>
    <n v="1240440"/>
    <s v="Halo Infinite"/>
    <d v="2021-11-15T00:00:00"/>
    <n v="2275"/>
    <b v="0"/>
    <n v="279"/>
    <s v="RX 5700 XT"/>
    <x v="0"/>
    <x v="0"/>
  </r>
  <r>
    <n v="1240440"/>
    <s v="Halo Infinite"/>
    <d v="2021-11-15T00:00:00"/>
    <n v="2275"/>
    <b v="0"/>
    <n v="279"/>
    <s v="RX 5700 XT"/>
    <x v="1"/>
    <x v="1"/>
  </r>
  <r>
    <n v="1240440"/>
    <s v="Halo Infinite"/>
    <d v="2021-11-15T00:00:00"/>
    <n v="2275"/>
    <b v="0"/>
    <n v="279"/>
    <s v="RX 5700 XT"/>
    <x v="2"/>
    <x v="1"/>
  </r>
  <r>
    <n v="1240440"/>
    <s v="Halo Infinite"/>
    <d v="2021-11-15T00:00:00"/>
    <n v="2275"/>
    <b v="0"/>
    <n v="279"/>
    <s v="RX 5700 XT"/>
    <x v="3"/>
    <x v="1"/>
  </r>
  <r>
    <n v="1240440"/>
    <s v="Halo Infinite"/>
    <d v="2021-11-15T00:00:00"/>
    <n v="2275"/>
    <b v="0"/>
    <n v="279"/>
    <s v="RX 5700 XT"/>
    <x v="4"/>
    <x v="1"/>
  </r>
  <r>
    <n v="1240440"/>
    <s v="Halo Infinite"/>
    <d v="2021-11-15T00:00:00"/>
    <n v="2275"/>
    <b v="0"/>
    <n v="279"/>
    <s v="RX 5700 XT"/>
    <x v="5"/>
    <x v="1"/>
  </r>
  <r>
    <n v="1240440"/>
    <s v="Halo Infinite"/>
    <d v="2021-11-15T00:00:00"/>
    <n v="2275"/>
    <b v="0"/>
    <n v="279"/>
    <s v="RX 5700 XT"/>
    <x v="6"/>
    <x v="0"/>
  </r>
  <r>
    <n v="2436940"/>
    <s v="Sephiria"/>
    <d v="2025-04-03T00:00:00"/>
    <n v="2268"/>
    <b v="1"/>
    <n v="280"/>
    <s v="GTX 1050"/>
    <x v="0"/>
    <x v="0"/>
  </r>
  <r>
    <n v="2436940"/>
    <s v="Sephiria"/>
    <d v="2025-04-03T00:00:00"/>
    <n v="2268"/>
    <b v="1"/>
    <n v="280"/>
    <s v="GTX 1050"/>
    <x v="1"/>
    <x v="1"/>
  </r>
  <r>
    <n v="2436940"/>
    <s v="Sephiria"/>
    <d v="2025-04-03T00:00:00"/>
    <n v="2268"/>
    <b v="1"/>
    <n v="280"/>
    <s v="GTX 1050"/>
    <x v="2"/>
    <x v="1"/>
  </r>
  <r>
    <n v="2436940"/>
    <s v="Sephiria"/>
    <d v="2025-04-03T00:00:00"/>
    <n v="2268"/>
    <b v="1"/>
    <n v="280"/>
    <s v="GTX 1050"/>
    <x v="3"/>
    <x v="1"/>
  </r>
  <r>
    <n v="2436940"/>
    <s v="Sephiria"/>
    <d v="2025-04-03T00:00:00"/>
    <n v="2268"/>
    <b v="1"/>
    <n v="280"/>
    <s v="GTX 1050"/>
    <x v="4"/>
    <x v="1"/>
  </r>
  <r>
    <n v="2436940"/>
    <s v="Sephiria"/>
    <d v="2025-04-03T00:00:00"/>
    <n v="2268"/>
    <b v="1"/>
    <n v="280"/>
    <s v="GTX 1050"/>
    <x v="5"/>
    <x v="1"/>
  </r>
  <r>
    <n v="2436940"/>
    <s v="Sephiria"/>
    <d v="2025-04-03T00:00:00"/>
    <n v="2268"/>
    <b v="1"/>
    <n v="280"/>
    <s v="GTX 1050"/>
    <x v="6"/>
    <x v="1"/>
  </r>
  <r>
    <n v="782330"/>
    <s v="DOOM Eternal"/>
    <d v="2020-03-19T00:00:00"/>
    <n v="2262"/>
    <b v="0"/>
    <n v="281"/>
    <s v="GTX 1060"/>
    <x v="0"/>
    <x v="0"/>
  </r>
  <r>
    <n v="782330"/>
    <s v="DOOM Eternal"/>
    <d v="2020-03-19T00:00:00"/>
    <n v="2262"/>
    <b v="0"/>
    <n v="281"/>
    <s v="GTX 1060"/>
    <x v="1"/>
    <x v="1"/>
  </r>
  <r>
    <n v="782330"/>
    <s v="DOOM Eternal"/>
    <d v="2020-03-19T00:00:00"/>
    <n v="2262"/>
    <b v="0"/>
    <n v="281"/>
    <s v="GTX 1060"/>
    <x v="2"/>
    <x v="1"/>
  </r>
  <r>
    <n v="782330"/>
    <s v="DOOM Eternal"/>
    <d v="2020-03-19T00:00:00"/>
    <n v="2262"/>
    <b v="0"/>
    <n v="281"/>
    <s v="GTX 1060"/>
    <x v="3"/>
    <x v="1"/>
  </r>
  <r>
    <n v="782330"/>
    <s v="DOOM Eternal"/>
    <d v="2020-03-19T00:00:00"/>
    <n v="2262"/>
    <b v="0"/>
    <n v="281"/>
    <s v="GTX 1060"/>
    <x v="4"/>
    <x v="1"/>
  </r>
  <r>
    <n v="782330"/>
    <s v="DOOM Eternal"/>
    <d v="2020-03-19T00:00:00"/>
    <n v="2262"/>
    <b v="0"/>
    <n v="281"/>
    <s v="GTX 1060"/>
    <x v="5"/>
    <x v="1"/>
  </r>
  <r>
    <n v="782330"/>
    <s v="DOOM Eternal"/>
    <d v="2020-03-19T00:00:00"/>
    <n v="2262"/>
    <b v="0"/>
    <n v="281"/>
    <s v="GTX 1060"/>
    <x v="6"/>
    <x v="1"/>
  </r>
  <r>
    <n v="3167550"/>
    <s v="Tiny Pasture"/>
    <d v="2025-02-17T00:00:00"/>
    <n v="2256"/>
    <b v="1"/>
    <n v="282"/>
    <s v="GTX 1060"/>
    <x v="0"/>
    <x v="1"/>
  </r>
  <r>
    <n v="3167550"/>
    <s v="Tiny Pasture"/>
    <d v="2025-02-17T00:00:00"/>
    <n v="2256"/>
    <b v="1"/>
    <n v="282"/>
    <s v="GTX 1060"/>
    <x v="1"/>
    <x v="0"/>
  </r>
  <r>
    <n v="3167550"/>
    <s v="Tiny Pasture"/>
    <d v="2025-02-17T00:00:00"/>
    <n v="2256"/>
    <b v="1"/>
    <n v="282"/>
    <s v="GTX 1060"/>
    <x v="2"/>
    <x v="1"/>
  </r>
  <r>
    <n v="3167550"/>
    <s v="Tiny Pasture"/>
    <d v="2025-02-17T00:00:00"/>
    <n v="2256"/>
    <b v="1"/>
    <n v="282"/>
    <s v="GTX 1060"/>
    <x v="3"/>
    <x v="0"/>
  </r>
  <r>
    <n v="3167550"/>
    <s v="Tiny Pasture"/>
    <d v="2025-02-17T00:00:00"/>
    <n v="2256"/>
    <b v="1"/>
    <n v="282"/>
    <s v="GTX 1060"/>
    <x v="4"/>
    <x v="1"/>
  </r>
  <r>
    <n v="3167550"/>
    <s v="Tiny Pasture"/>
    <d v="2025-02-17T00:00:00"/>
    <n v="2256"/>
    <b v="1"/>
    <n v="282"/>
    <s v="GTX 1060"/>
    <x v="5"/>
    <x v="1"/>
  </r>
  <r>
    <n v="3167550"/>
    <s v="Tiny Pasture"/>
    <d v="2025-02-17T00:00:00"/>
    <n v="2256"/>
    <b v="1"/>
    <n v="282"/>
    <s v="GTX 1060"/>
    <x v="6"/>
    <x v="1"/>
  </r>
  <r>
    <n v="1145360"/>
    <s v="Hades"/>
    <d v="2020-09-17T00:00:00"/>
    <n v="2253"/>
    <b v="1"/>
    <n v="283"/>
    <s v="GTX 1050"/>
    <x v="0"/>
    <x v="0"/>
  </r>
  <r>
    <n v="1145360"/>
    <s v="Hades"/>
    <d v="2020-09-17T00:00:00"/>
    <n v="2253"/>
    <b v="1"/>
    <n v="283"/>
    <s v="GTX 1050"/>
    <x v="1"/>
    <x v="0"/>
  </r>
  <r>
    <n v="1145360"/>
    <s v="Hades"/>
    <d v="2020-09-17T00:00:00"/>
    <n v="2253"/>
    <b v="1"/>
    <n v="283"/>
    <s v="GTX 1050"/>
    <x v="2"/>
    <x v="1"/>
  </r>
  <r>
    <n v="1145360"/>
    <s v="Hades"/>
    <d v="2020-09-17T00:00:00"/>
    <n v="2253"/>
    <b v="1"/>
    <n v="283"/>
    <s v="GTX 1050"/>
    <x v="3"/>
    <x v="1"/>
  </r>
  <r>
    <n v="1145360"/>
    <s v="Hades"/>
    <d v="2020-09-17T00:00:00"/>
    <n v="2253"/>
    <b v="1"/>
    <n v="283"/>
    <s v="GTX 1050"/>
    <x v="4"/>
    <x v="0"/>
  </r>
  <r>
    <n v="1145360"/>
    <s v="Hades"/>
    <d v="2020-09-17T00:00:00"/>
    <n v="2253"/>
    <b v="1"/>
    <n v="283"/>
    <s v="GTX 1050"/>
    <x v="5"/>
    <x v="1"/>
  </r>
  <r>
    <n v="1145360"/>
    <s v="Hades"/>
    <d v="2020-09-17T00:00:00"/>
    <n v="2253"/>
    <b v="1"/>
    <n v="283"/>
    <s v="GTX 1050"/>
    <x v="6"/>
    <x v="1"/>
  </r>
  <r>
    <n v="601150"/>
    <s v="Devil May Cry 5"/>
    <d v="2019-03-07T00:00:00"/>
    <n v="2248"/>
    <b v="0"/>
    <n v="284"/>
    <s v="GTX 1060"/>
    <x v="0"/>
    <x v="0"/>
  </r>
  <r>
    <n v="601150"/>
    <s v="Devil May Cry 5"/>
    <d v="2019-03-07T00:00:00"/>
    <n v="2248"/>
    <b v="0"/>
    <n v="284"/>
    <s v="GTX 1060"/>
    <x v="1"/>
    <x v="1"/>
  </r>
  <r>
    <n v="601150"/>
    <s v="Devil May Cry 5"/>
    <d v="2019-03-07T00:00:00"/>
    <n v="2248"/>
    <b v="0"/>
    <n v="284"/>
    <s v="GTX 1060"/>
    <x v="2"/>
    <x v="1"/>
  </r>
  <r>
    <n v="601150"/>
    <s v="Devil May Cry 5"/>
    <d v="2019-03-07T00:00:00"/>
    <n v="2248"/>
    <b v="0"/>
    <n v="284"/>
    <s v="GTX 1060"/>
    <x v="3"/>
    <x v="1"/>
  </r>
  <r>
    <n v="601150"/>
    <s v="Devil May Cry 5"/>
    <d v="2019-03-07T00:00:00"/>
    <n v="2248"/>
    <b v="0"/>
    <n v="284"/>
    <s v="GTX 1060"/>
    <x v="4"/>
    <x v="1"/>
  </r>
  <r>
    <n v="601150"/>
    <s v="Devil May Cry 5"/>
    <d v="2019-03-07T00:00:00"/>
    <n v="2248"/>
    <b v="0"/>
    <n v="284"/>
    <s v="GTX 1060"/>
    <x v="5"/>
    <x v="1"/>
  </r>
  <r>
    <n v="601150"/>
    <s v="Devil May Cry 5"/>
    <d v="2019-03-07T00:00:00"/>
    <n v="2248"/>
    <b v="0"/>
    <n v="284"/>
    <s v="GTX 1060"/>
    <x v="6"/>
    <x v="1"/>
  </r>
  <r>
    <n v="386180"/>
    <s v="Crossout"/>
    <d v="2017-07-26T00:00:00"/>
    <n v="2231"/>
    <b v="0"/>
    <n v="285"/>
    <s v="GTX 970"/>
    <x v="0"/>
    <x v="0"/>
  </r>
  <r>
    <n v="386180"/>
    <s v="Crossout"/>
    <d v="2017-07-26T00:00:00"/>
    <n v="2231"/>
    <b v="0"/>
    <n v="285"/>
    <s v="GTX 970"/>
    <x v="1"/>
    <x v="1"/>
  </r>
  <r>
    <n v="386180"/>
    <s v="Crossout"/>
    <d v="2017-07-26T00:00:00"/>
    <n v="2231"/>
    <b v="0"/>
    <n v="285"/>
    <s v="GTX 970"/>
    <x v="2"/>
    <x v="0"/>
  </r>
  <r>
    <n v="386180"/>
    <s v="Crossout"/>
    <d v="2017-07-26T00:00:00"/>
    <n v="2231"/>
    <b v="0"/>
    <n v="285"/>
    <s v="GTX 970"/>
    <x v="3"/>
    <x v="1"/>
  </r>
  <r>
    <n v="386180"/>
    <s v="Crossout"/>
    <d v="2017-07-26T00:00:00"/>
    <n v="2231"/>
    <b v="0"/>
    <n v="285"/>
    <s v="GTX 970"/>
    <x v="4"/>
    <x v="1"/>
  </r>
  <r>
    <n v="386180"/>
    <s v="Crossout"/>
    <d v="2017-07-26T00:00:00"/>
    <n v="2231"/>
    <b v="0"/>
    <n v="285"/>
    <s v="GTX 970"/>
    <x v="5"/>
    <x v="1"/>
  </r>
  <r>
    <n v="386180"/>
    <s v="Crossout"/>
    <d v="2017-07-26T00:00:00"/>
    <n v="2231"/>
    <b v="0"/>
    <n v="285"/>
    <s v="GTX 970"/>
    <x v="6"/>
    <x v="0"/>
  </r>
  <r>
    <n v="400750"/>
    <s v="Call to Arms - Gates of Hell: Ostfront"/>
    <d v="2021-06-11T00:00:00"/>
    <n v="2216"/>
    <b v="0"/>
    <n v="286"/>
    <s v="RTX 2070"/>
    <x v="0"/>
    <x v="0"/>
  </r>
  <r>
    <n v="400750"/>
    <s v="Call to Arms - Gates of Hell: Ostfront"/>
    <d v="2021-06-11T00:00:00"/>
    <n v="2216"/>
    <b v="0"/>
    <n v="286"/>
    <s v="RTX 2070"/>
    <x v="1"/>
    <x v="1"/>
  </r>
  <r>
    <n v="400750"/>
    <s v="Call to Arms - Gates of Hell: Ostfront"/>
    <d v="2021-06-11T00:00:00"/>
    <n v="2216"/>
    <b v="0"/>
    <n v="286"/>
    <s v="RTX 2070"/>
    <x v="2"/>
    <x v="1"/>
  </r>
  <r>
    <n v="400750"/>
    <s v="Call to Arms - Gates of Hell: Ostfront"/>
    <d v="2021-06-11T00:00:00"/>
    <n v="2216"/>
    <b v="0"/>
    <n v="286"/>
    <s v="RTX 2070"/>
    <x v="3"/>
    <x v="0"/>
  </r>
  <r>
    <n v="400750"/>
    <s v="Call to Arms - Gates of Hell: Ostfront"/>
    <d v="2021-06-11T00:00:00"/>
    <n v="2216"/>
    <b v="0"/>
    <n v="286"/>
    <s v="RTX 2070"/>
    <x v="4"/>
    <x v="1"/>
  </r>
  <r>
    <n v="400750"/>
    <s v="Call to Arms - Gates of Hell: Ostfront"/>
    <d v="2021-06-11T00:00:00"/>
    <n v="2216"/>
    <b v="0"/>
    <n v="286"/>
    <s v="RTX 2070"/>
    <x v="5"/>
    <x v="0"/>
  </r>
  <r>
    <n v="400750"/>
    <s v="Call to Arms - Gates of Hell: Ostfront"/>
    <d v="2021-06-11T00:00:00"/>
    <n v="2216"/>
    <b v="0"/>
    <n v="286"/>
    <s v="RTX 2070"/>
    <x v="6"/>
    <x v="1"/>
  </r>
  <r>
    <n v="518790"/>
    <s v="theHunter: Call of the Wild"/>
    <d v="2017-02-16T00:00:00"/>
    <n v="2207"/>
    <b v="0"/>
    <n v="287"/>
    <s v="GTX 1050"/>
    <x v="0"/>
    <x v="1"/>
  </r>
  <r>
    <n v="518790"/>
    <s v="theHunter: Call of the Wild"/>
    <d v="2017-02-16T00:00:00"/>
    <n v="2207"/>
    <b v="0"/>
    <n v="287"/>
    <s v="GTX 1050"/>
    <x v="1"/>
    <x v="1"/>
  </r>
  <r>
    <n v="518790"/>
    <s v="theHunter: Call of the Wild"/>
    <d v="2017-02-16T00:00:00"/>
    <n v="2207"/>
    <b v="0"/>
    <n v="287"/>
    <s v="GTX 1050"/>
    <x v="2"/>
    <x v="0"/>
  </r>
  <r>
    <n v="518790"/>
    <s v="theHunter: Call of the Wild"/>
    <d v="2017-02-16T00:00:00"/>
    <n v="2207"/>
    <b v="0"/>
    <n v="287"/>
    <s v="GTX 1050"/>
    <x v="3"/>
    <x v="0"/>
  </r>
  <r>
    <n v="518790"/>
    <s v="theHunter: Call of the Wild"/>
    <d v="2017-02-16T00:00:00"/>
    <n v="2207"/>
    <b v="0"/>
    <n v="287"/>
    <s v="GTX 1050"/>
    <x v="4"/>
    <x v="1"/>
  </r>
  <r>
    <n v="518790"/>
    <s v="theHunter: Call of the Wild"/>
    <d v="2017-02-16T00:00:00"/>
    <n v="2207"/>
    <b v="0"/>
    <n v="287"/>
    <s v="GTX 1050"/>
    <x v="5"/>
    <x v="1"/>
  </r>
  <r>
    <n v="518790"/>
    <s v="theHunter: Call of the Wild"/>
    <d v="2017-02-16T00:00:00"/>
    <n v="2207"/>
    <b v="0"/>
    <n v="287"/>
    <s v="GTX 1050"/>
    <x v="6"/>
    <x v="1"/>
  </r>
  <r>
    <n v="1404210"/>
    <s v="Red Dead Online"/>
    <d v="2020-12-01T00:00:00"/>
    <n v="2207"/>
    <b v="0"/>
    <n v="287"/>
    <s v="GTX 1060"/>
    <x v="0"/>
    <x v="0"/>
  </r>
  <r>
    <n v="1404210"/>
    <s v="Red Dead Online"/>
    <d v="2020-12-01T00:00:00"/>
    <n v="2207"/>
    <b v="0"/>
    <n v="287"/>
    <s v="GTX 1060"/>
    <x v="1"/>
    <x v="1"/>
  </r>
  <r>
    <n v="1404210"/>
    <s v="Red Dead Online"/>
    <d v="2020-12-01T00:00:00"/>
    <n v="2207"/>
    <b v="0"/>
    <n v="287"/>
    <s v="GTX 1060"/>
    <x v="2"/>
    <x v="0"/>
  </r>
  <r>
    <n v="1404210"/>
    <s v="Red Dead Online"/>
    <d v="2020-12-01T00:00:00"/>
    <n v="2207"/>
    <b v="0"/>
    <n v="287"/>
    <s v="GTX 1060"/>
    <x v="3"/>
    <x v="1"/>
  </r>
  <r>
    <n v="1404210"/>
    <s v="Red Dead Online"/>
    <d v="2020-12-01T00:00:00"/>
    <n v="2207"/>
    <b v="0"/>
    <n v="287"/>
    <s v="GTX 1060"/>
    <x v="4"/>
    <x v="1"/>
  </r>
  <r>
    <n v="1404210"/>
    <s v="Red Dead Online"/>
    <d v="2020-12-01T00:00:00"/>
    <n v="2207"/>
    <b v="0"/>
    <n v="287"/>
    <s v="GTX 1060"/>
    <x v="5"/>
    <x v="1"/>
  </r>
  <r>
    <n v="1404210"/>
    <s v="Red Dead Online"/>
    <d v="2020-12-01T00:00:00"/>
    <n v="2207"/>
    <b v="0"/>
    <n v="287"/>
    <s v="GTX 1060"/>
    <x v="6"/>
    <x v="1"/>
  </r>
  <r>
    <n v="1677280"/>
    <s v="Company of Heroes 3"/>
    <d v="2023-02-23T00:00:00"/>
    <n v="2183"/>
    <b v="0"/>
    <n v="289"/>
    <s v="GTX 1660"/>
    <x v="0"/>
    <x v="0"/>
  </r>
  <r>
    <n v="1677280"/>
    <s v="Company of Heroes 3"/>
    <d v="2023-02-23T00:00:00"/>
    <n v="2183"/>
    <b v="0"/>
    <n v="289"/>
    <s v="GTX 1660"/>
    <x v="1"/>
    <x v="1"/>
  </r>
  <r>
    <n v="1677280"/>
    <s v="Company of Heroes 3"/>
    <d v="2023-02-23T00:00:00"/>
    <n v="2183"/>
    <b v="0"/>
    <n v="289"/>
    <s v="GTX 1660"/>
    <x v="2"/>
    <x v="1"/>
  </r>
  <r>
    <n v="1677280"/>
    <s v="Company of Heroes 3"/>
    <d v="2023-02-23T00:00:00"/>
    <n v="2183"/>
    <b v="0"/>
    <n v="289"/>
    <s v="GTX 1660"/>
    <x v="3"/>
    <x v="1"/>
  </r>
  <r>
    <n v="1677280"/>
    <s v="Company of Heroes 3"/>
    <d v="2023-02-23T00:00:00"/>
    <n v="2183"/>
    <b v="0"/>
    <n v="289"/>
    <s v="GTX 1660"/>
    <x v="4"/>
    <x v="1"/>
  </r>
  <r>
    <n v="1677280"/>
    <s v="Company of Heroes 3"/>
    <d v="2023-02-23T00:00:00"/>
    <n v="2183"/>
    <b v="0"/>
    <n v="289"/>
    <s v="GTX 1660"/>
    <x v="5"/>
    <x v="0"/>
  </r>
  <r>
    <n v="1677280"/>
    <s v="Company of Heroes 3"/>
    <d v="2023-02-23T00:00:00"/>
    <n v="2183"/>
    <b v="0"/>
    <n v="289"/>
    <s v="GTX 1660"/>
    <x v="6"/>
    <x v="1"/>
  </r>
  <r>
    <n v="1068820"/>
    <s v="OVR Toolkit - Desktop Overlay"/>
    <d v="2019-06-28T00:00:00"/>
    <n v="2180"/>
    <b v="0"/>
    <n v="290"/>
    <s v="GTX 1080"/>
    <x v="0"/>
    <x v="1"/>
  </r>
  <r>
    <n v="1068820"/>
    <s v="OVR Toolkit - Desktop Overlay"/>
    <d v="2019-06-28T00:00:00"/>
    <n v="2180"/>
    <b v="0"/>
    <n v="290"/>
    <s v="GTX 1080"/>
    <x v="1"/>
    <x v="1"/>
  </r>
  <r>
    <n v="1068820"/>
    <s v="OVR Toolkit - Desktop Overlay"/>
    <d v="2019-06-28T00:00:00"/>
    <n v="2180"/>
    <b v="0"/>
    <n v="290"/>
    <s v="GTX 1080"/>
    <x v="2"/>
    <x v="1"/>
  </r>
  <r>
    <n v="1068820"/>
    <s v="OVR Toolkit - Desktop Overlay"/>
    <d v="2019-06-28T00:00:00"/>
    <n v="2180"/>
    <b v="0"/>
    <n v="290"/>
    <s v="GTX 1080"/>
    <x v="3"/>
    <x v="1"/>
  </r>
  <r>
    <n v="1068820"/>
    <s v="OVR Toolkit - Desktop Overlay"/>
    <d v="2019-06-28T00:00:00"/>
    <n v="2180"/>
    <b v="0"/>
    <n v="290"/>
    <s v="GTX 1080"/>
    <x v="4"/>
    <x v="1"/>
  </r>
  <r>
    <n v="1068820"/>
    <s v="OVR Toolkit - Desktop Overlay"/>
    <d v="2019-06-28T00:00:00"/>
    <n v="2180"/>
    <b v="0"/>
    <n v="290"/>
    <s v="GTX 1080"/>
    <x v="5"/>
    <x v="1"/>
  </r>
  <r>
    <n v="1068820"/>
    <s v="OVR Toolkit - Desktop Overlay"/>
    <d v="2019-06-28T00:00:00"/>
    <n v="2180"/>
    <b v="0"/>
    <n v="290"/>
    <s v="GTX 1080"/>
    <x v="6"/>
    <x v="1"/>
  </r>
  <r>
    <n v="1128810"/>
    <s v="RISK: Global Domination"/>
    <d v="2020-02-19T00:00:00"/>
    <n v="2153"/>
    <b v="1"/>
    <n v="291"/>
    <s v="Radeon Vega 11"/>
    <x v="0"/>
    <x v="1"/>
  </r>
  <r>
    <n v="1128810"/>
    <s v="RISK: Global Domination"/>
    <d v="2020-02-19T00:00:00"/>
    <n v="2153"/>
    <b v="1"/>
    <n v="291"/>
    <s v="Radeon Vega 11"/>
    <x v="1"/>
    <x v="1"/>
  </r>
  <r>
    <n v="1128810"/>
    <s v="RISK: Global Domination"/>
    <d v="2020-02-19T00:00:00"/>
    <n v="2153"/>
    <b v="1"/>
    <n v="291"/>
    <s v="Radeon Vega 11"/>
    <x v="2"/>
    <x v="1"/>
  </r>
  <r>
    <n v="1128810"/>
    <s v="RISK: Global Domination"/>
    <d v="2020-02-19T00:00:00"/>
    <n v="2153"/>
    <b v="1"/>
    <n v="291"/>
    <s v="Radeon Vega 11"/>
    <x v="3"/>
    <x v="1"/>
  </r>
  <r>
    <n v="1128810"/>
    <s v="RISK: Global Domination"/>
    <d v="2020-02-19T00:00:00"/>
    <n v="2153"/>
    <b v="1"/>
    <n v="291"/>
    <s v="Radeon Vega 11"/>
    <x v="4"/>
    <x v="1"/>
  </r>
  <r>
    <n v="1128810"/>
    <s v="RISK: Global Domination"/>
    <d v="2020-02-19T00:00:00"/>
    <n v="2153"/>
    <b v="1"/>
    <n v="291"/>
    <s v="Radeon Vega 11"/>
    <x v="5"/>
    <x v="0"/>
  </r>
  <r>
    <n v="1128810"/>
    <s v="RISK: Global Domination"/>
    <d v="2020-02-19T00:00:00"/>
    <n v="2153"/>
    <b v="1"/>
    <n v="291"/>
    <s v="Radeon Vega 11"/>
    <x v="6"/>
    <x v="0"/>
  </r>
  <r>
    <n v="304390"/>
    <s v="FOR HONOR"/>
    <d v="2017-02-13T00:00:00"/>
    <n v="2146"/>
    <b v="0"/>
    <n v="292"/>
    <s v="GTX 1060"/>
    <x v="0"/>
    <x v="0"/>
  </r>
  <r>
    <n v="304390"/>
    <s v="FOR HONOR"/>
    <d v="2017-02-13T00:00:00"/>
    <n v="2146"/>
    <b v="0"/>
    <n v="292"/>
    <s v="GTX 1060"/>
    <x v="1"/>
    <x v="1"/>
  </r>
  <r>
    <n v="304390"/>
    <s v="FOR HONOR"/>
    <d v="2017-02-13T00:00:00"/>
    <n v="2146"/>
    <b v="0"/>
    <n v="292"/>
    <s v="GTX 1060"/>
    <x v="2"/>
    <x v="1"/>
  </r>
  <r>
    <n v="304390"/>
    <s v="FOR HONOR"/>
    <d v="2017-02-13T00:00:00"/>
    <n v="2146"/>
    <b v="0"/>
    <n v="292"/>
    <s v="GTX 1060"/>
    <x v="3"/>
    <x v="1"/>
  </r>
  <r>
    <n v="304390"/>
    <s v="FOR HONOR"/>
    <d v="2017-02-13T00:00:00"/>
    <n v="2146"/>
    <b v="0"/>
    <n v="292"/>
    <s v="GTX 1060"/>
    <x v="4"/>
    <x v="1"/>
  </r>
  <r>
    <n v="304390"/>
    <s v="FOR HONOR"/>
    <d v="2017-02-13T00:00:00"/>
    <n v="2146"/>
    <b v="0"/>
    <n v="292"/>
    <s v="GTX 1060"/>
    <x v="5"/>
    <x v="1"/>
  </r>
  <r>
    <n v="304390"/>
    <s v="FOR HONOR"/>
    <d v="2017-02-13T00:00:00"/>
    <n v="2146"/>
    <b v="0"/>
    <n v="292"/>
    <s v="GTX 1060"/>
    <x v="6"/>
    <x v="1"/>
  </r>
  <r>
    <n v="392160"/>
    <s v="X4: Foundations"/>
    <d v="2018-11-30T00:00:00"/>
    <n v="2141"/>
    <b v="0"/>
    <n v="293"/>
    <s v="RTX 3060"/>
    <x v="0"/>
    <x v="0"/>
  </r>
  <r>
    <n v="392160"/>
    <s v="X4: Foundations"/>
    <d v="2018-11-30T00:00:00"/>
    <n v="2141"/>
    <b v="0"/>
    <n v="293"/>
    <s v="RTX 3060"/>
    <x v="1"/>
    <x v="1"/>
  </r>
  <r>
    <n v="392160"/>
    <s v="X4: Foundations"/>
    <d v="2018-11-30T00:00:00"/>
    <n v="2141"/>
    <b v="0"/>
    <n v="293"/>
    <s v="RTX 3060"/>
    <x v="2"/>
    <x v="1"/>
  </r>
  <r>
    <n v="392160"/>
    <s v="X4: Foundations"/>
    <d v="2018-11-30T00:00:00"/>
    <n v="2141"/>
    <b v="0"/>
    <n v="293"/>
    <s v="RTX 3060"/>
    <x v="3"/>
    <x v="0"/>
  </r>
  <r>
    <n v="392160"/>
    <s v="X4: Foundations"/>
    <d v="2018-11-30T00:00:00"/>
    <n v="2141"/>
    <b v="0"/>
    <n v="293"/>
    <s v="RTX 3060"/>
    <x v="4"/>
    <x v="1"/>
  </r>
  <r>
    <n v="392160"/>
    <s v="X4: Foundations"/>
    <d v="2018-11-30T00:00:00"/>
    <n v="2141"/>
    <b v="0"/>
    <n v="293"/>
    <s v="RTX 3060"/>
    <x v="5"/>
    <x v="0"/>
  </r>
  <r>
    <n v="392160"/>
    <s v="X4: Foundations"/>
    <d v="2018-11-30T00:00:00"/>
    <n v="2141"/>
    <b v="0"/>
    <n v="293"/>
    <s v="RTX 3060"/>
    <x v="6"/>
    <x v="1"/>
  </r>
  <r>
    <n v="552500"/>
    <s v="Warhammer: Vermintide 2"/>
    <d v="2018-03-08T00:00:00"/>
    <n v="2124"/>
    <b v="0"/>
    <n v="294"/>
    <s v="GTX 970"/>
    <x v="0"/>
    <x v="0"/>
  </r>
  <r>
    <n v="552500"/>
    <s v="Warhammer: Vermintide 2"/>
    <d v="2018-03-08T00:00:00"/>
    <n v="2124"/>
    <b v="0"/>
    <n v="294"/>
    <s v="GTX 970"/>
    <x v="1"/>
    <x v="0"/>
  </r>
  <r>
    <n v="552500"/>
    <s v="Warhammer: Vermintide 2"/>
    <d v="2018-03-08T00:00:00"/>
    <n v="2124"/>
    <b v="0"/>
    <n v="294"/>
    <s v="GTX 970"/>
    <x v="2"/>
    <x v="1"/>
  </r>
  <r>
    <n v="552500"/>
    <s v="Warhammer: Vermintide 2"/>
    <d v="2018-03-08T00:00:00"/>
    <n v="2124"/>
    <b v="0"/>
    <n v="294"/>
    <s v="GTX 970"/>
    <x v="3"/>
    <x v="1"/>
  </r>
  <r>
    <n v="552500"/>
    <s v="Warhammer: Vermintide 2"/>
    <d v="2018-03-08T00:00:00"/>
    <n v="2124"/>
    <b v="0"/>
    <n v="294"/>
    <s v="GTX 970"/>
    <x v="4"/>
    <x v="0"/>
  </r>
  <r>
    <n v="552500"/>
    <s v="Warhammer: Vermintide 2"/>
    <d v="2018-03-08T00:00:00"/>
    <n v="2124"/>
    <b v="0"/>
    <n v="294"/>
    <s v="GTX 970"/>
    <x v="5"/>
    <x v="1"/>
  </r>
  <r>
    <n v="552500"/>
    <s v="Warhammer: Vermintide 2"/>
    <d v="2018-03-08T00:00:00"/>
    <n v="2124"/>
    <b v="0"/>
    <n v="294"/>
    <s v="GTX 970"/>
    <x v="6"/>
    <x v="1"/>
  </r>
  <r>
    <n v="12210"/>
    <s v="Grand Theft Auto IV: The Complete Edition"/>
    <d v="2020-03-24T00:00:00"/>
    <n v="2122"/>
    <b v="0"/>
    <n v="295"/>
    <s v="GTX 750"/>
    <x v="0"/>
    <x v="0"/>
  </r>
  <r>
    <n v="12210"/>
    <s v="Grand Theft Auto IV: The Complete Edition"/>
    <d v="2020-03-24T00:00:00"/>
    <n v="2122"/>
    <b v="0"/>
    <n v="295"/>
    <s v="GTX 750"/>
    <x v="1"/>
    <x v="1"/>
  </r>
  <r>
    <n v="12210"/>
    <s v="Grand Theft Auto IV: The Complete Edition"/>
    <d v="2020-03-24T00:00:00"/>
    <n v="2122"/>
    <b v="0"/>
    <n v="295"/>
    <s v="GTX 750"/>
    <x v="2"/>
    <x v="0"/>
  </r>
  <r>
    <n v="12210"/>
    <s v="Grand Theft Auto IV: The Complete Edition"/>
    <d v="2020-03-24T00:00:00"/>
    <n v="2122"/>
    <b v="0"/>
    <n v="295"/>
    <s v="GTX 750"/>
    <x v="3"/>
    <x v="1"/>
  </r>
  <r>
    <n v="12210"/>
    <s v="Grand Theft Auto IV: The Complete Edition"/>
    <d v="2020-03-24T00:00:00"/>
    <n v="2122"/>
    <b v="0"/>
    <n v="295"/>
    <s v="GTX 750"/>
    <x v="4"/>
    <x v="1"/>
  </r>
  <r>
    <n v="12210"/>
    <s v="Grand Theft Auto IV: The Complete Edition"/>
    <d v="2020-03-24T00:00:00"/>
    <n v="2122"/>
    <b v="0"/>
    <n v="295"/>
    <s v="GTX 750"/>
    <x v="5"/>
    <x v="1"/>
  </r>
  <r>
    <n v="12210"/>
    <s v="Grand Theft Auto IV: The Complete Edition"/>
    <d v="2020-03-24T00:00:00"/>
    <n v="2122"/>
    <b v="0"/>
    <n v="295"/>
    <s v="GTX 750"/>
    <x v="6"/>
    <x v="1"/>
  </r>
  <r>
    <n v="728880"/>
    <s v="Overcooked! 2"/>
    <d v="2018-08-07T00:00:00"/>
    <n v="2107"/>
    <b v="1"/>
    <n v="296"/>
    <s v="Radeon Vega 8"/>
    <x v="0"/>
    <x v="0"/>
  </r>
  <r>
    <n v="728880"/>
    <s v="Overcooked! 2"/>
    <d v="2018-08-07T00:00:00"/>
    <n v="2107"/>
    <b v="1"/>
    <n v="296"/>
    <s v="Radeon Vega 8"/>
    <x v="1"/>
    <x v="0"/>
  </r>
  <r>
    <n v="728880"/>
    <s v="Overcooked! 2"/>
    <d v="2018-08-07T00:00:00"/>
    <n v="2107"/>
    <b v="1"/>
    <n v="296"/>
    <s v="Radeon Vega 8"/>
    <x v="2"/>
    <x v="1"/>
  </r>
  <r>
    <n v="728880"/>
    <s v="Overcooked! 2"/>
    <d v="2018-08-07T00:00:00"/>
    <n v="2107"/>
    <b v="1"/>
    <n v="296"/>
    <s v="Radeon Vega 8"/>
    <x v="3"/>
    <x v="1"/>
  </r>
  <r>
    <n v="728880"/>
    <s v="Overcooked! 2"/>
    <d v="2018-08-07T00:00:00"/>
    <n v="2107"/>
    <b v="1"/>
    <n v="296"/>
    <s v="Radeon Vega 8"/>
    <x v="4"/>
    <x v="1"/>
  </r>
  <r>
    <n v="728880"/>
    <s v="Overcooked! 2"/>
    <d v="2018-08-07T00:00:00"/>
    <n v="2107"/>
    <b v="1"/>
    <n v="296"/>
    <s v="Radeon Vega 8"/>
    <x v="5"/>
    <x v="1"/>
  </r>
  <r>
    <n v="728880"/>
    <s v="Overcooked! 2"/>
    <d v="2018-08-07T00:00:00"/>
    <n v="2107"/>
    <b v="1"/>
    <n v="296"/>
    <s v="Radeon Vega 8"/>
    <x v="6"/>
    <x v="1"/>
  </r>
  <r>
    <n v="268910"/>
    <s v="Cuphead"/>
    <d v="2017-09-29T00:00:00"/>
    <n v="2080"/>
    <b v="1"/>
    <n v="297"/>
    <s v="Radeon Vega 8"/>
    <x v="0"/>
    <x v="0"/>
  </r>
  <r>
    <n v="268910"/>
    <s v="Cuphead"/>
    <d v="2017-09-29T00:00:00"/>
    <n v="2080"/>
    <b v="1"/>
    <n v="297"/>
    <s v="Radeon Vega 8"/>
    <x v="1"/>
    <x v="0"/>
  </r>
  <r>
    <n v="268910"/>
    <s v="Cuphead"/>
    <d v="2017-09-29T00:00:00"/>
    <n v="2080"/>
    <b v="1"/>
    <n v="297"/>
    <s v="Radeon Vega 8"/>
    <x v="2"/>
    <x v="1"/>
  </r>
  <r>
    <n v="268910"/>
    <s v="Cuphead"/>
    <d v="2017-09-29T00:00:00"/>
    <n v="2080"/>
    <b v="1"/>
    <n v="297"/>
    <s v="Radeon Vega 8"/>
    <x v="3"/>
    <x v="1"/>
  </r>
  <r>
    <n v="268910"/>
    <s v="Cuphead"/>
    <d v="2017-09-29T00:00:00"/>
    <n v="2080"/>
    <b v="1"/>
    <n v="297"/>
    <s v="Radeon Vega 8"/>
    <x v="4"/>
    <x v="1"/>
  </r>
  <r>
    <n v="268910"/>
    <s v="Cuphead"/>
    <d v="2017-09-29T00:00:00"/>
    <n v="2080"/>
    <b v="1"/>
    <n v="297"/>
    <s v="Radeon Vega 8"/>
    <x v="5"/>
    <x v="1"/>
  </r>
  <r>
    <n v="268910"/>
    <s v="Cuphead"/>
    <d v="2017-09-29T00:00:00"/>
    <n v="2080"/>
    <b v="1"/>
    <n v="297"/>
    <s v="Radeon Vega 8"/>
    <x v="6"/>
    <x v="1"/>
  </r>
  <r>
    <n v="2488620"/>
    <s v="F1 24"/>
    <d v="2024-05-31T00:00:00"/>
    <n v="2067"/>
    <b v="0"/>
    <n v="298"/>
    <s v="RTX 2070"/>
    <x v="0"/>
    <x v="1"/>
  </r>
  <r>
    <n v="2488620"/>
    <s v="F1 24"/>
    <d v="2024-05-31T00:00:00"/>
    <n v="2067"/>
    <b v="0"/>
    <n v="298"/>
    <s v="RTX 2070"/>
    <x v="1"/>
    <x v="1"/>
  </r>
  <r>
    <n v="2488620"/>
    <s v="F1 24"/>
    <d v="2024-05-31T00:00:00"/>
    <n v="2067"/>
    <b v="0"/>
    <n v="298"/>
    <s v="RTX 2070"/>
    <x v="2"/>
    <x v="1"/>
  </r>
  <r>
    <n v="2488620"/>
    <s v="F1 24"/>
    <d v="2024-05-31T00:00:00"/>
    <n v="2067"/>
    <b v="0"/>
    <n v="298"/>
    <s v="RTX 2070"/>
    <x v="3"/>
    <x v="1"/>
  </r>
  <r>
    <n v="2488620"/>
    <s v="F1 24"/>
    <d v="2024-05-31T00:00:00"/>
    <n v="2067"/>
    <b v="0"/>
    <n v="298"/>
    <s v="RTX 2070"/>
    <x v="4"/>
    <x v="1"/>
  </r>
  <r>
    <n v="2488620"/>
    <s v="F1 24"/>
    <d v="2024-05-31T00:00:00"/>
    <n v="2067"/>
    <b v="0"/>
    <n v="298"/>
    <s v="RTX 2070"/>
    <x v="5"/>
    <x v="1"/>
  </r>
  <r>
    <n v="2488620"/>
    <s v="F1 24"/>
    <d v="2024-05-31T00:00:00"/>
    <n v="2067"/>
    <b v="0"/>
    <n v="298"/>
    <s v="RTX 2070"/>
    <x v="6"/>
    <x v="1"/>
  </r>
  <r>
    <n v="1371580"/>
    <s v="Myth of Empires"/>
    <d v="2024-02-21T00:00:00"/>
    <n v="2060"/>
    <b v="0"/>
    <n v="299"/>
    <s v="RX 580"/>
    <x v="0"/>
    <x v="0"/>
  </r>
  <r>
    <n v="1371580"/>
    <s v="Myth of Empires"/>
    <d v="2024-02-21T00:00:00"/>
    <n v="2060"/>
    <b v="0"/>
    <n v="299"/>
    <s v="RX 580"/>
    <x v="1"/>
    <x v="0"/>
  </r>
  <r>
    <n v="1371580"/>
    <s v="Myth of Empires"/>
    <d v="2024-02-21T00:00:00"/>
    <n v="2060"/>
    <b v="0"/>
    <n v="299"/>
    <s v="RX 580"/>
    <x v="2"/>
    <x v="0"/>
  </r>
  <r>
    <n v="1371580"/>
    <s v="Myth of Empires"/>
    <d v="2024-02-21T00:00:00"/>
    <n v="2060"/>
    <b v="0"/>
    <n v="299"/>
    <s v="RX 580"/>
    <x v="3"/>
    <x v="1"/>
  </r>
  <r>
    <n v="1371580"/>
    <s v="Myth of Empires"/>
    <d v="2024-02-21T00:00:00"/>
    <n v="2060"/>
    <b v="0"/>
    <n v="299"/>
    <s v="RX 580"/>
    <x v="4"/>
    <x v="0"/>
  </r>
  <r>
    <n v="1371580"/>
    <s v="Myth of Empires"/>
    <d v="2024-02-21T00:00:00"/>
    <n v="2060"/>
    <b v="0"/>
    <n v="299"/>
    <s v="RX 580"/>
    <x v="5"/>
    <x v="1"/>
  </r>
  <r>
    <n v="1371580"/>
    <s v="Myth of Empires"/>
    <d v="2024-02-21T00:00:00"/>
    <n v="2060"/>
    <b v="0"/>
    <n v="299"/>
    <s v="RX 580"/>
    <x v="6"/>
    <x v="1"/>
  </r>
  <r>
    <n v="1104280"/>
    <s v="The Slormancer"/>
    <d v="2025-05-13T00:00:00"/>
    <n v="2052"/>
    <b v="0"/>
    <n v="300"/>
    <s v="GTX 750"/>
    <x v="0"/>
    <x v="0"/>
  </r>
  <r>
    <n v="1104280"/>
    <s v="The Slormancer"/>
    <d v="2025-05-13T00:00:00"/>
    <n v="2052"/>
    <b v="0"/>
    <n v="300"/>
    <s v="GTX 750"/>
    <x v="1"/>
    <x v="0"/>
  </r>
  <r>
    <n v="1104280"/>
    <s v="The Slormancer"/>
    <d v="2025-05-13T00:00:00"/>
    <n v="2052"/>
    <b v="0"/>
    <n v="300"/>
    <s v="GTX 750"/>
    <x v="2"/>
    <x v="0"/>
  </r>
  <r>
    <n v="1104280"/>
    <s v="The Slormancer"/>
    <d v="2025-05-13T00:00:00"/>
    <n v="2052"/>
    <b v="0"/>
    <n v="300"/>
    <s v="GTX 750"/>
    <x v="3"/>
    <x v="1"/>
  </r>
  <r>
    <n v="1104280"/>
    <s v="The Slormancer"/>
    <d v="2025-05-13T00:00:00"/>
    <n v="2052"/>
    <b v="0"/>
    <n v="300"/>
    <s v="GTX 750"/>
    <x v="4"/>
    <x v="0"/>
  </r>
  <r>
    <n v="1104280"/>
    <s v="The Slormancer"/>
    <d v="2025-05-13T00:00:00"/>
    <n v="2052"/>
    <b v="0"/>
    <n v="300"/>
    <s v="GTX 750"/>
    <x v="5"/>
    <x v="1"/>
  </r>
  <r>
    <n v="1104280"/>
    <s v="The Slormancer"/>
    <d v="2025-05-13T00:00:00"/>
    <n v="2052"/>
    <b v="0"/>
    <n v="300"/>
    <s v="GTX 750"/>
    <x v="6"/>
    <x v="1"/>
  </r>
  <r>
    <n v="10500"/>
    <s v="Total War: EMPIRE ' Definitive Edition"/>
    <d v="2009-03-04T00:00:00"/>
    <n v="2028"/>
    <b v="1"/>
    <n v="301"/>
    <s v="Radeon Graphics"/>
    <x v="0"/>
    <x v="1"/>
  </r>
  <r>
    <n v="10500"/>
    <s v="Total War: EMPIRE ' Definitive Edition"/>
    <d v="2009-03-04T00:00:00"/>
    <n v="2028"/>
    <b v="1"/>
    <n v="301"/>
    <s v="Radeon Graphics"/>
    <x v="1"/>
    <x v="1"/>
  </r>
  <r>
    <n v="10500"/>
    <s v="Total War: EMPIRE ' Definitive Edition"/>
    <d v="2009-03-04T00:00:00"/>
    <n v="2028"/>
    <b v="1"/>
    <n v="301"/>
    <s v="Radeon Graphics"/>
    <x v="2"/>
    <x v="1"/>
  </r>
  <r>
    <n v="10500"/>
    <s v="Total War: EMPIRE ' Definitive Edition"/>
    <d v="2009-03-04T00:00:00"/>
    <n v="2028"/>
    <b v="1"/>
    <n v="301"/>
    <s v="Radeon Graphics"/>
    <x v="3"/>
    <x v="1"/>
  </r>
  <r>
    <n v="10500"/>
    <s v="Total War: EMPIRE ' Definitive Edition"/>
    <d v="2009-03-04T00:00:00"/>
    <n v="2028"/>
    <b v="1"/>
    <n v="301"/>
    <s v="Radeon Graphics"/>
    <x v="4"/>
    <x v="1"/>
  </r>
  <r>
    <n v="10500"/>
    <s v="Total War: EMPIRE ' Definitive Edition"/>
    <d v="2009-03-04T00:00:00"/>
    <n v="2028"/>
    <b v="1"/>
    <n v="301"/>
    <s v="Radeon Graphics"/>
    <x v="5"/>
    <x v="0"/>
  </r>
  <r>
    <n v="10500"/>
    <s v="Total War: EMPIRE ' Definitive Edition"/>
    <d v="2009-03-04T00:00:00"/>
    <n v="2028"/>
    <b v="1"/>
    <n v="301"/>
    <s v="Radeon Graphics"/>
    <x v="6"/>
    <x v="1"/>
  </r>
  <r>
    <n v="2215430"/>
    <s v="Ghost of Tsushima DIRECTOR'S CUT"/>
    <d v="2024-05-16T00:00:00"/>
    <n v="2025"/>
    <b v="0"/>
    <n v="302"/>
    <s v="RTX 2060"/>
    <x v="0"/>
    <x v="0"/>
  </r>
  <r>
    <n v="2215430"/>
    <s v="Ghost of Tsushima DIRECTOR'S CUT"/>
    <d v="2024-05-16T00:00:00"/>
    <n v="2025"/>
    <b v="0"/>
    <n v="302"/>
    <s v="RTX 2060"/>
    <x v="1"/>
    <x v="1"/>
  </r>
  <r>
    <n v="2215430"/>
    <s v="Ghost of Tsushima DIRECTOR'S CUT"/>
    <d v="2024-05-16T00:00:00"/>
    <n v="2025"/>
    <b v="0"/>
    <n v="302"/>
    <s v="RTX 2060"/>
    <x v="2"/>
    <x v="0"/>
  </r>
  <r>
    <n v="2215430"/>
    <s v="Ghost of Tsushima DIRECTOR'S CUT"/>
    <d v="2024-05-16T00:00:00"/>
    <n v="2025"/>
    <b v="0"/>
    <n v="302"/>
    <s v="RTX 2060"/>
    <x v="3"/>
    <x v="1"/>
  </r>
  <r>
    <n v="2215430"/>
    <s v="Ghost of Tsushima DIRECTOR'S CUT"/>
    <d v="2024-05-16T00:00:00"/>
    <n v="2025"/>
    <b v="0"/>
    <n v="302"/>
    <s v="RTX 2060"/>
    <x v="4"/>
    <x v="1"/>
  </r>
  <r>
    <n v="2215430"/>
    <s v="Ghost of Tsushima DIRECTOR'S CUT"/>
    <d v="2024-05-16T00:00:00"/>
    <n v="2025"/>
    <b v="0"/>
    <n v="302"/>
    <s v="RTX 2060"/>
    <x v="5"/>
    <x v="1"/>
  </r>
  <r>
    <n v="2215430"/>
    <s v="Ghost of Tsushima DIRECTOR'S CUT"/>
    <d v="2024-05-16T00:00:00"/>
    <n v="2025"/>
    <b v="0"/>
    <n v="302"/>
    <s v="RTX 2060"/>
    <x v="6"/>
    <x v="1"/>
  </r>
  <r>
    <n v="363970"/>
    <s v="Clicker Heroes"/>
    <d v="2015-05-13T00:00:00"/>
    <n v="2019"/>
    <b v="1"/>
    <n v="303"/>
    <s v="Radeon Graphics"/>
    <x v="0"/>
    <x v="1"/>
  </r>
  <r>
    <n v="363970"/>
    <s v="Clicker Heroes"/>
    <d v="2015-05-13T00:00:00"/>
    <n v="2019"/>
    <b v="1"/>
    <n v="303"/>
    <s v="Radeon Graphics"/>
    <x v="1"/>
    <x v="0"/>
  </r>
  <r>
    <n v="363970"/>
    <s v="Clicker Heroes"/>
    <d v="2015-05-13T00:00:00"/>
    <n v="2019"/>
    <b v="1"/>
    <n v="303"/>
    <s v="Radeon Graphics"/>
    <x v="2"/>
    <x v="0"/>
  </r>
  <r>
    <n v="363970"/>
    <s v="Clicker Heroes"/>
    <d v="2015-05-13T00:00:00"/>
    <n v="2019"/>
    <b v="1"/>
    <n v="303"/>
    <s v="Radeon Graphics"/>
    <x v="3"/>
    <x v="0"/>
  </r>
  <r>
    <n v="363970"/>
    <s v="Clicker Heroes"/>
    <d v="2015-05-13T00:00:00"/>
    <n v="2019"/>
    <b v="1"/>
    <n v="303"/>
    <s v="Radeon Graphics"/>
    <x v="4"/>
    <x v="0"/>
  </r>
  <r>
    <n v="363970"/>
    <s v="Clicker Heroes"/>
    <d v="2015-05-13T00:00:00"/>
    <n v="2019"/>
    <b v="1"/>
    <n v="303"/>
    <s v="Radeon Graphics"/>
    <x v="5"/>
    <x v="0"/>
  </r>
  <r>
    <n v="363970"/>
    <s v="Clicker Heroes"/>
    <d v="2015-05-13T00:00:00"/>
    <n v="2019"/>
    <b v="1"/>
    <n v="303"/>
    <s v="Radeon Graphics"/>
    <x v="6"/>
    <x v="0"/>
  </r>
  <r>
    <n v="881100"/>
    <s v="Noita"/>
    <d v="2020-10-15T00:00:00"/>
    <n v="2019"/>
    <b v="0"/>
    <n v="303"/>
    <s v="Radeon Vega 11"/>
    <x v="0"/>
    <x v="0"/>
  </r>
  <r>
    <n v="881100"/>
    <s v="Noita"/>
    <d v="2020-10-15T00:00:00"/>
    <n v="2019"/>
    <b v="0"/>
    <n v="303"/>
    <s v="Radeon Vega 11"/>
    <x v="1"/>
    <x v="0"/>
  </r>
  <r>
    <n v="881100"/>
    <s v="Noita"/>
    <d v="2020-10-15T00:00:00"/>
    <n v="2019"/>
    <b v="0"/>
    <n v="303"/>
    <s v="Radeon Vega 11"/>
    <x v="2"/>
    <x v="0"/>
  </r>
  <r>
    <n v="881100"/>
    <s v="Noita"/>
    <d v="2020-10-15T00:00:00"/>
    <n v="2019"/>
    <b v="0"/>
    <n v="303"/>
    <s v="Radeon Vega 11"/>
    <x v="3"/>
    <x v="0"/>
  </r>
  <r>
    <n v="881100"/>
    <s v="Noita"/>
    <d v="2020-10-15T00:00:00"/>
    <n v="2019"/>
    <b v="0"/>
    <n v="303"/>
    <s v="Radeon Vega 11"/>
    <x v="4"/>
    <x v="0"/>
  </r>
  <r>
    <n v="881100"/>
    <s v="Noita"/>
    <d v="2020-10-15T00:00:00"/>
    <n v="2019"/>
    <b v="0"/>
    <n v="303"/>
    <s v="Radeon Vega 11"/>
    <x v="5"/>
    <x v="1"/>
  </r>
  <r>
    <n v="881100"/>
    <s v="Noita"/>
    <d v="2020-10-15T00:00:00"/>
    <n v="2019"/>
    <b v="0"/>
    <n v="303"/>
    <s v="Radeon Vega 11"/>
    <x v="6"/>
    <x v="1"/>
  </r>
  <r>
    <n v="329110"/>
    <s v="Gems of War - Puzzle RPG"/>
    <d v="2014-11-20T00:00:00"/>
    <n v="2002"/>
    <b v="0"/>
    <n v="305"/>
    <s v="Radeon Vega 8"/>
    <x v="0"/>
    <x v="0"/>
  </r>
  <r>
    <n v="329110"/>
    <s v="Gems of War - Puzzle RPG"/>
    <d v="2014-11-20T00:00:00"/>
    <n v="2002"/>
    <b v="0"/>
    <n v="305"/>
    <s v="Radeon Vega 8"/>
    <x v="1"/>
    <x v="1"/>
  </r>
  <r>
    <n v="329110"/>
    <s v="Gems of War - Puzzle RPG"/>
    <d v="2014-11-20T00:00:00"/>
    <n v="2002"/>
    <b v="0"/>
    <n v="305"/>
    <s v="Radeon Vega 8"/>
    <x v="2"/>
    <x v="0"/>
  </r>
  <r>
    <n v="329110"/>
    <s v="Gems of War - Puzzle RPG"/>
    <d v="2014-11-20T00:00:00"/>
    <n v="2002"/>
    <b v="0"/>
    <n v="305"/>
    <s v="Radeon Vega 8"/>
    <x v="3"/>
    <x v="1"/>
  </r>
  <r>
    <n v="329110"/>
    <s v="Gems of War - Puzzle RPG"/>
    <d v="2014-11-20T00:00:00"/>
    <n v="2002"/>
    <b v="0"/>
    <n v="305"/>
    <s v="Radeon Vega 8"/>
    <x v="4"/>
    <x v="0"/>
  </r>
  <r>
    <n v="329110"/>
    <s v="Gems of War - Puzzle RPG"/>
    <d v="2014-11-20T00:00:00"/>
    <n v="2002"/>
    <b v="0"/>
    <n v="305"/>
    <s v="Radeon Vega 8"/>
    <x v="5"/>
    <x v="0"/>
  </r>
  <r>
    <n v="329110"/>
    <s v="Gems of War - Puzzle RPG"/>
    <d v="2014-11-20T00:00:00"/>
    <n v="2002"/>
    <b v="0"/>
    <n v="305"/>
    <s v="Radeon Vega 8"/>
    <x v="6"/>
    <x v="0"/>
  </r>
  <r>
    <n v="1167630"/>
    <s v="Teardown"/>
    <d v="2022-04-21T00:00:00"/>
    <n v="1984"/>
    <b v="0"/>
    <n v="306"/>
    <s v="GTX 1080"/>
    <x v="0"/>
    <x v="0"/>
  </r>
  <r>
    <n v="1167630"/>
    <s v="Teardown"/>
    <d v="2022-04-21T00:00:00"/>
    <n v="1984"/>
    <b v="0"/>
    <n v="306"/>
    <s v="GTX 1080"/>
    <x v="1"/>
    <x v="0"/>
  </r>
  <r>
    <n v="1167630"/>
    <s v="Teardown"/>
    <d v="2022-04-21T00:00:00"/>
    <n v="1984"/>
    <b v="0"/>
    <n v="306"/>
    <s v="GTX 1080"/>
    <x v="2"/>
    <x v="1"/>
  </r>
  <r>
    <n v="1167630"/>
    <s v="Teardown"/>
    <d v="2022-04-21T00:00:00"/>
    <n v="1984"/>
    <b v="0"/>
    <n v="306"/>
    <s v="GTX 1080"/>
    <x v="3"/>
    <x v="0"/>
  </r>
  <r>
    <n v="1167630"/>
    <s v="Teardown"/>
    <d v="2022-04-21T00:00:00"/>
    <n v="1984"/>
    <b v="0"/>
    <n v="306"/>
    <s v="GTX 1080"/>
    <x v="4"/>
    <x v="1"/>
  </r>
  <r>
    <n v="1167630"/>
    <s v="Teardown"/>
    <d v="2022-04-21T00:00:00"/>
    <n v="1984"/>
    <b v="0"/>
    <n v="306"/>
    <s v="GTX 1080"/>
    <x v="5"/>
    <x v="0"/>
  </r>
  <r>
    <n v="1167630"/>
    <s v="Teardown"/>
    <d v="2022-04-21T00:00:00"/>
    <n v="1984"/>
    <b v="0"/>
    <n v="306"/>
    <s v="GTX 1080"/>
    <x v="6"/>
    <x v="1"/>
  </r>
  <r>
    <n v="1363080"/>
    <s v="Manor Lords"/>
    <d v="2024-04-26T00:00:00"/>
    <n v="1977"/>
    <b v="0"/>
    <n v="307"/>
    <s v="GTX 1060"/>
    <x v="0"/>
    <x v="1"/>
  </r>
  <r>
    <n v="1363080"/>
    <s v="Manor Lords"/>
    <d v="2024-04-26T00:00:00"/>
    <n v="1977"/>
    <b v="0"/>
    <n v="307"/>
    <s v="GTX 1060"/>
    <x v="1"/>
    <x v="1"/>
  </r>
  <r>
    <n v="1363080"/>
    <s v="Manor Lords"/>
    <d v="2024-04-26T00:00:00"/>
    <n v="1977"/>
    <b v="0"/>
    <n v="307"/>
    <s v="GTX 1060"/>
    <x v="2"/>
    <x v="1"/>
  </r>
  <r>
    <n v="1363080"/>
    <s v="Manor Lords"/>
    <d v="2024-04-26T00:00:00"/>
    <n v="1977"/>
    <b v="0"/>
    <n v="307"/>
    <s v="GTX 1060"/>
    <x v="3"/>
    <x v="0"/>
  </r>
  <r>
    <n v="1363080"/>
    <s v="Manor Lords"/>
    <d v="2024-04-26T00:00:00"/>
    <n v="1977"/>
    <b v="0"/>
    <n v="307"/>
    <s v="GTX 1060"/>
    <x v="4"/>
    <x v="1"/>
  </r>
  <r>
    <n v="1363080"/>
    <s v="Manor Lords"/>
    <d v="2024-04-26T00:00:00"/>
    <n v="1977"/>
    <b v="0"/>
    <n v="307"/>
    <s v="GTX 1060"/>
    <x v="5"/>
    <x v="0"/>
  </r>
  <r>
    <n v="1363080"/>
    <s v="Manor Lords"/>
    <d v="2024-04-26T00:00:00"/>
    <n v="1977"/>
    <b v="0"/>
    <n v="307"/>
    <s v="GTX 1060"/>
    <x v="6"/>
    <x v="1"/>
  </r>
  <r>
    <n v="620"/>
    <s v="Portal 2"/>
    <d v="2011-04-18T00:00:00"/>
    <n v="1959"/>
    <b v="0"/>
    <n v="308"/>
    <s v="GTX 750"/>
    <x v="0"/>
    <x v="0"/>
  </r>
  <r>
    <n v="620"/>
    <s v="Portal 2"/>
    <d v="2011-04-18T00:00:00"/>
    <n v="1959"/>
    <b v="0"/>
    <n v="308"/>
    <s v="GTX 750"/>
    <x v="1"/>
    <x v="1"/>
  </r>
  <r>
    <n v="620"/>
    <s v="Portal 2"/>
    <d v="2011-04-18T00:00:00"/>
    <n v="1959"/>
    <b v="0"/>
    <n v="308"/>
    <s v="GTX 750"/>
    <x v="2"/>
    <x v="0"/>
  </r>
  <r>
    <n v="620"/>
    <s v="Portal 2"/>
    <d v="2011-04-18T00:00:00"/>
    <n v="1959"/>
    <b v="0"/>
    <n v="308"/>
    <s v="GTX 750"/>
    <x v="3"/>
    <x v="1"/>
  </r>
  <r>
    <n v="620"/>
    <s v="Portal 2"/>
    <d v="2011-04-18T00:00:00"/>
    <n v="1959"/>
    <b v="0"/>
    <n v="308"/>
    <s v="GTX 750"/>
    <x v="4"/>
    <x v="1"/>
  </r>
  <r>
    <n v="620"/>
    <s v="Portal 2"/>
    <d v="2011-04-18T00:00:00"/>
    <n v="1959"/>
    <b v="0"/>
    <n v="308"/>
    <s v="GTX 750"/>
    <x v="5"/>
    <x v="1"/>
  </r>
  <r>
    <n v="620"/>
    <s v="Portal 2"/>
    <d v="2011-04-18T00:00:00"/>
    <n v="1959"/>
    <b v="0"/>
    <n v="308"/>
    <s v="GTX 750"/>
    <x v="6"/>
    <x v="1"/>
  </r>
  <r>
    <n v="1184370"/>
    <s v="Pathfinder: Wrath of the Righteous - Enhanced Edition"/>
    <d v="2021-09-02T00:00:00"/>
    <n v="1874"/>
    <b v="1"/>
    <n v="309"/>
    <s v="GTX 1050 Ti"/>
    <x v="0"/>
    <x v="0"/>
  </r>
  <r>
    <n v="1184370"/>
    <s v="Pathfinder: Wrath of the Righteous - Enhanced Edition"/>
    <d v="2021-09-02T00:00:00"/>
    <n v="1874"/>
    <b v="1"/>
    <n v="309"/>
    <s v="GTX 1050 Ti"/>
    <x v="1"/>
    <x v="0"/>
  </r>
  <r>
    <n v="1184370"/>
    <s v="Pathfinder: Wrath of the Righteous - Enhanced Edition"/>
    <d v="2021-09-02T00:00:00"/>
    <n v="1874"/>
    <b v="1"/>
    <n v="309"/>
    <s v="GTX 1050 Ti"/>
    <x v="2"/>
    <x v="0"/>
  </r>
  <r>
    <n v="1184370"/>
    <s v="Pathfinder: Wrath of the Righteous - Enhanced Edition"/>
    <d v="2021-09-02T00:00:00"/>
    <n v="1874"/>
    <b v="1"/>
    <n v="309"/>
    <s v="GTX 1050 Ti"/>
    <x v="3"/>
    <x v="1"/>
  </r>
  <r>
    <n v="1184370"/>
    <s v="Pathfinder: Wrath of the Righteous - Enhanced Edition"/>
    <d v="2021-09-02T00:00:00"/>
    <n v="1874"/>
    <b v="1"/>
    <n v="309"/>
    <s v="GTX 1050 Ti"/>
    <x v="4"/>
    <x v="0"/>
  </r>
  <r>
    <n v="1184370"/>
    <s v="Pathfinder: Wrath of the Righteous - Enhanced Edition"/>
    <d v="2021-09-02T00:00:00"/>
    <n v="1874"/>
    <b v="1"/>
    <n v="309"/>
    <s v="GTX 1050 Ti"/>
    <x v="5"/>
    <x v="0"/>
  </r>
  <r>
    <n v="1184370"/>
    <s v="Pathfinder: Wrath of the Righteous - Enhanced Edition"/>
    <d v="2021-09-02T00:00:00"/>
    <n v="1874"/>
    <b v="1"/>
    <n v="309"/>
    <s v="GTX 1050 Ti"/>
    <x v="6"/>
    <x v="1"/>
  </r>
  <r>
    <n v="977950"/>
    <s v="A Dance of Fire and Ice"/>
    <d v="2019-01-24T00:00:00"/>
    <n v="1870"/>
    <b v="1"/>
    <n v="310"/>
    <s v="GTX 750"/>
    <x v="0"/>
    <x v="1"/>
  </r>
  <r>
    <n v="977950"/>
    <s v="A Dance of Fire and Ice"/>
    <d v="2019-01-24T00:00:00"/>
    <n v="1870"/>
    <b v="1"/>
    <n v="310"/>
    <s v="GTX 750"/>
    <x v="1"/>
    <x v="0"/>
  </r>
  <r>
    <n v="977950"/>
    <s v="A Dance of Fire and Ice"/>
    <d v="2019-01-24T00:00:00"/>
    <n v="1870"/>
    <b v="1"/>
    <n v="310"/>
    <s v="GTX 750"/>
    <x v="2"/>
    <x v="1"/>
  </r>
  <r>
    <n v="977950"/>
    <s v="A Dance of Fire and Ice"/>
    <d v="2019-01-24T00:00:00"/>
    <n v="1870"/>
    <b v="1"/>
    <n v="310"/>
    <s v="GTX 750"/>
    <x v="3"/>
    <x v="1"/>
  </r>
  <r>
    <n v="977950"/>
    <s v="A Dance of Fire and Ice"/>
    <d v="2019-01-24T00:00:00"/>
    <n v="1870"/>
    <b v="1"/>
    <n v="310"/>
    <s v="GTX 750"/>
    <x v="4"/>
    <x v="1"/>
  </r>
  <r>
    <n v="977950"/>
    <s v="A Dance of Fire and Ice"/>
    <d v="2019-01-24T00:00:00"/>
    <n v="1870"/>
    <b v="1"/>
    <n v="310"/>
    <s v="GTX 750"/>
    <x v="5"/>
    <x v="1"/>
  </r>
  <r>
    <n v="977950"/>
    <s v="A Dance of Fire and Ice"/>
    <d v="2019-01-24T00:00:00"/>
    <n v="1870"/>
    <b v="1"/>
    <n v="310"/>
    <s v="GTX 750"/>
    <x v="6"/>
    <x v="1"/>
  </r>
  <r>
    <n v="1645820"/>
    <s v="SurrounDead"/>
    <d v="2022-06-24T00:00:00"/>
    <n v="1870"/>
    <b v="0"/>
    <n v="310"/>
    <s v="GTX 1060"/>
    <x v="0"/>
    <x v="0"/>
  </r>
  <r>
    <n v="1645820"/>
    <s v="SurrounDead"/>
    <d v="2022-06-24T00:00:00"/>
    <n v="1870"/>
    <b v="0"/>
    <n v="310"/>
    <s v="GTX 1060"/>
    <x v="1"/>
    <x v="0"/>
  </r>
  <r>
    <n v="1645820"/>
    <s v="SurrounDead"/>
    <d v="2022-06-24T00:00:00"/>
    <n v="1870"/>
    <b v="0"/>
    <n v="310"/>
    <s v="GTX 1060"/>
    <x v="2"/>
    <x v="0"/>
  </r>
  <r>
    <n v="1645820"/>
    <s v="SurrounDead"/>
    <d v="2022-06-24T00:00:00"/>
    <n v="1870"/>
    <b v="0"/>
    <n v="310"/>
    <s v="GTX 1060"/>
    <x v="3"/>
    <x v="1"/>
  </r>
  <r>
    <n v="1645820"/>
    <s v="SurrounDead"/>
    <d v="2022-06-24T00:00:00"/>
    <n v="1870"/>
    <b v="0"/>
    <n v="310"/>
    <s v="GTX 1060"/>
    <x v="4"/>
    <x v="0"/>
  </r>
  <r>
    <n v="1645820"/>
    <s v="SurrounDead"/>
    <d v="2022-06-24T00:00:00"/>
    <n v="1870"/>
    <b v="0"/>
    <n v="310"/>
    <s v="GTX 1060"/>
    <x v="5"/>
    <x v="1"/>
  </r>
  <r>
    <n v="1645820"/>
    <s v="SurrounDead"/>
    <d v="2022-06-24T00:00:00"/>
    <n v="1870"/>
    <b v="0"/>
    <n v="310"/>
    <s v="GTX 1060"/>
    <x v="6"/>
    <x v="1"/>
  </r>
  <r>
    <n v="601510"/>
    <s v="Yu-Gi-Oh! Duel Links"/>
    <d v="2017-11-16T00:00:00"/>
    <n v="1856"/>
    <b v="0"/>
    <n v="312"/>
    <s v="RX 570"/>
    <x v="0"/>
    <x v="1"/>
  </r>
  <r>
    <n v="601510"/>
    <s v="Yu-Gi-Oh! Duel Links"/>
    <d v="2017-11-16T00:00:00"/>
    <n v="1856"/>
    <b v="0"/>
    <n v="312"/>
    <s v="RX 570"/>
    <x v="1"/>
    <x v="1"/>
  </r>
  <r>
    <n v="601510"/>
    <s v="Yu-Gi-Oh! Duel Links"/>
    <d v="2017-11-16T00:00:00"/>
    <n v="1856"/>
    <b v="0"/>
    <n v="312"/>
    <s v="RX 570"/>
    <x v="2"/>
    <x v="1"/>
  </r>
  <r>
    <n v="601510"/>
    <s v="Yu-Gi-Oh! Duel Links"/>
    <d v="2017-11-16T00:00:00"/>
    <n v="1856"/>
    <b v="0"/>
    <n v="312"/>
    <s v="RX 570"/>
    <x v="3"/>
    <x v="1"/>
  </r>
  <r>
    <n v="601510"/>
    <s v="Yu-Gi-Oh! Duel Links"/>
    <d v="2017-11-16T00:00:00"/>
    <n v="1856"/>
    <b v="0"/>
    <n v="312"/>
    <s v="RX 570"/>
    <x v="4"/>
    <x v="1"/>
  </r>
  <r>
    <n v="601510"/>
    <s v="Yu-Gi-Oh! Duel Links"/>
    <d v="2017-11-16T00:00:00"/>
    <n v="1856"/>
    <b v="0"/>
    <n v="312"/>
    <s v="RX 570"/>
    <x v="5"/>
    <x v="0"/>
  </r>
  <r>
    <n v="601510"/>
    <s v="Yu-Gi-Oh! Duel Links"/>
    <d v="2017-11-16T00:00:00"/>
    <n v="1856"/>
    <b v="0"/>
    <n v="312"/>
    <s v="RX 570"/>
    <x v="6"/>
    <x v="0"/>
  </r>
  <r>
    <n v="200210"/>
    <s v="Realm of the Mad God Exalt"/>
    <d v="2012-02-20T00:00:00"/>
    <n v="1853"/>
    <b v="1"/>
    <n v="313"/>
    <s v="Radeon Graphics"/>
    <x v="0"/>
    <x v="0"/>
  </r>
  <r>
    <n v="200210"/>
    <s v="Realm of the Mad God Exalt"/>
    <d v="2012-02-20T00:00:00"/>
    <n v="1853"/>
    <b v="1"/>
    <n v="313"/>
    <s v="Radeon Graphics"/>
    <x v="1"/>
    <x v="0"/>
  </r>
  <r>
    <n v="200210"/>
    <s v="Realm of the Mad God Exalt"/>
    <d v="2012-02-20T00:00:00"/>
    <n v="1853"/>
    <b v="1"/>
    <n v="313"/>
    <s v="Radeon Graphics"/>
    <x v="2"/>
    <x v="0"/>
  </r>
  <r>
    <n v="200210"/>
    <s v="Realm of the Mad God Exalt"/>
    <d v="2012-02-20T00:00:00"/>
    <n v="1853"/>
    <b v="1"/>
    <n v="313"/>
    <s v="Radeon Graphics"/>
    <x v="3"/>
    <x v="1"/>
  </r>
  <r>
    <n v="200210"/>
    <s v="Realm of the Mad God Exalt"/>
    <d v="2012-02-20T00:00:00"/>
    <n v="1853"/>
    <b v="1"/>
    <n v="313"/>
    <s v="Radeon Graphics"/>
    <x v="4"/>
    <x v="0"/>
  </r>
  <r>
    <n v="200210"/>
    <s v="Realm of the Mad God Exalt"/>
    <d v="2012-02-20T00:00:00"/>
    <n v="1853"/>
    <b v="1"/>
    <n v="313"/>
    <s v="Radeon Graphics"/>
    <x v="5"/>
    <x v="1"/>
  </r>
  <r>
    <n v="200210"/>
    <s v="Realm of the Mad God Exalt"/>
    <d v="2012-02-20T00:00:00"/>
    <n v="1853"/>
    <b v="1"/>
    <n v="313"/>
    <s v="Radeon Graphics"/>
    <x v="6"/>
    <x v="0"/>
  </r>
  <r>
    <n v="386360"/>
    <s v="SMITE"/>
    <d v="2015-09-08T00:00:00"/>
    <n v="1853"/>
    <b v="0"/>
    <n v="313"/>
    <s v="R9 380"/>
    <x v="0"/>
    <x v="0"/>
  </r>
  <r>
    <n v="386360"/>
    <s v="SMITE"/>
    <d v="2015-09-08T00:00:00"/>
    <n v="1853"/>
    <b v="0"/>
    <n v="313"/>
    <s v="R9 380"/>
    <x v="1"/>
    <x v="0"/>
  </r>
  <r>
    <n v="386360"/>
    <s v="SMITE"/>
    <d v="2015-09-08T00:00:00"/>
    <n v="1853"/>
    <b v="0"/>
    <n v="313"/>
    <s v="R9 380"/>
    <x v="2"/>
    <x v="0"/>
  </r>
  <r>
    <n v="386360"/>
    <s v="SMITE"/>
    <d v="2015-09-08T00:00:00"/>
    <n v="1853"/>
    <b v="0"/>
    <n v="313"/>
    <s v="R9 380"/>
    <x v="3"/>
    <x v="0"/>
  </r>
  <r>
    <n v="386360"/>
    <s v="SMITE"/>
    <d v="2015-09-08T00:00:00"/>
    <n v="1853"/>
    <b v="0"/>
    <n v="313"/>
    <s v="R9 380"/>
    <x v="4"/>
    <x v="0"/>
  </r>
  <r>
    <n v="386360"/>
    <s v="SMITE"/>
    <d v="2015-09-08T00:00:00"/>
    <n v="1853"/>
    <b v="0"/>
    <n v="313"/>
    <s v="R9 380"/>
    <x v="5"/>
    <x v="0"/>
  </r>
  <r>
    <n v="386360"/>
    <s v="SMITE"/>
    <d v="2015-09-08T00:00:00"/>
    <n v="1853"/>
    <b v="0"/>
    <n v="313"/>
    <s v="R9 380"/>
    <x v="6"/>
    <x v="0"/>
  </r>
  <r>
    <n v="220200"/>
    <s v="Kerbal Space Program"/>
    <d v="2015-04-27T00:00:00"/>
    <n v="1844"/>
    <b v="1"/>
    <n v="315"/>
    <s v="Radeon Graphics"/>
    <x v="0"/>
    <x v="1"/>
  </r>
  <r>
    <n v="220200"/>
    <s v="Kerbal Space Program"/>
    <d v="2015-04-27T00:00:00"/>
    <n v="1844"/>
    <b v="1"/>
    <n v="315"/>
    <s v="Radeon Graphics"/>
    <x v="1"/>
    <x v="0"/>
  </r>
  <r>
    <n v="220200"/>
    <s v="Kerbal Space Program"/>
    <d v="2015-04-27T00:00:00"/>
    <n v="1844"/>
    <b v="1"/>
    <n v="315"/>
    <s v="Radeon Graphics"/>
    <x v="2"/>
    <x v="1"/>
  </r>
  <r>
    <n v="220200"/>
    <s v="Kerbal Space Program"/>
    <d v="2015-04-27T00:00:00"/>
    <n v="1844"/>
    <b v="1"/>
    <n v="315"/>
    <s v="Radeon Graphics"/>
    <x v="3"/>
    <x v="0"/>
  </r>
  <r>
    <n v="220200"/>
    <s v="Kerbal Space Program"/>
    <d v="2015-04-27T00:00:00"/>
    <n v="1844"/>
    <b v="1"/>
    <n v="315"/>
    <s v="Radeon Graphics"/>
    <x v="4"/>
    <x v="1"/>
  </r>
  <r>
    <n v="220200"/>
    <s v="Kerbal Space Program"/>
    <d v="2015-04-27T00:00:00"/>
    <n v="1844"/>
    <b v="1"/>
    <n v="315"/>
    <s v="Radeon Graphics"/>
    <x v="5"/>
    <x v="1"/>
  </r>
  <r>
    <n v="220200"/>
    <s v="Kerbal Space Program"/>
    <d v="2015-04-27T00:00:00"/>
    <n v="1844"/>
    <b v="1"/>
    <n v="315"/>
    <s v="Radeon Graphics"/>
    <x v="6"/>
    <x v="1"/>
  </r>
  <r>
    <n v="1145350"/>
    <s v="Hades II"/>
    <d v="2025-09-25T00:00:00"/>
    <n v="1838"/>
    <b v="1"/>
    <n v="316"/>
    <s v="RTX 2060"/>
    <x v="0"/>
    <x v="0"/>
  </r>
  <r>
    <n v="1145350"/>
    <s v="Hades II"/>
    <d v="2025-09-25T00:00:00"/>
    <n v="1838"/>
    <b v="1"/>
    <n v="316"/>
    <s v="RTX 2060"/>
    <x v="1"/>
    <x v="0"/>
  </r>
  <r>
    <n v="1145350"/>
    <s v="Hades II"/>
    <d v="2025-09-25T00:00:00"/>
    <n v="1838"/>
    <b v="1"/>
    <n v="316"/>
    <s v="RTX 2060"/>
    <x v="2"/>
    <x v="1"/>
  </r>
  <r>
    <n v="1145350"/>
    <s v="Hades II"/>
    <d v="2025-09-25T00:00:00"/>
    <n v="1838"/>
    <b v="1"/>
    <n v="316"/>
    <s v="RTX 2060"/>
    <x v="3"/>
    <x v="1"/>
  </r>
  <r>
    <n v="1145350"/>
    <s v="Hades II"/>
    <d v="2025-09-25T00:00:00"/>
    <n v="1838"/>
    <b v="1"/>
    <n v="316"/>
    <s v="RTX 2060"/>
    <x v="4"/>
    <x v="0"/>
  </r>
  <r>
    <n v="1145350"/>
    <s v="Hades II"/>
    <d v="2025-09-25T00:00:00"/>
    <n v="1838"/>
    <b v="1"/>
    <n v="316"/>
    <s v="RTX 2060"/>
    <x v="5"/>
    <x v="1"/>
  </r>
  <r>
    <n v="1145350"/>
    <s v="Hades II"/>
    <d v="2025-09-25T00:00:00"/>
    <n v="1838"/>
    <b v="1"/>
    <n v="316"/>
    <s v="RTX 2060"/>
    <x v="6"/>
    <x v="1"/>
  </r>
  <r>
    <n v="3218710"/>
    <s v="Everlusting Life"/>
    <d v="2025-05-08T00:00:00"/>
    <n v="1838"/>
    <b v="1"/>
    <n v="316"/>
    <s v="GTX 1050"/>
    <x v="0"/>
    <x v="0"/>
  </r>
  <r>
    <n v="3218710"/>
    <s v="Everlusting Life"/>
    <d v="2025-05-08T00:00:00"/>
    <n v="1838"/>
    <b v="1"/>
    <n v="316"/>
    <s v="GTX 1050"/>
    <x v="1"/>
    <x v="1"/>
  </r>
  <r>
    <n v="3218710"/>
    <s v="Everlusting Life"/>
    <d v="2025-05-08T00:00:00"/>
    <n v="1838"/>
    <b v="1"/>
    <n v="316"/>
    <s v="GTX 1050"/>
    <x v="2"/>
    <x v="0"/>
  </r>
  <r>
    <n v="3218710"/>
    <s v="Everlusting Life"/>
    <d v="2025-05-08T00:00:00"/>
    <n v="1838"/>
    <b v="1"/>
    <n v="316"/>
    <s v="GTX 1050"/>
    <x v="3"/>
    <x v="1"/>
  </r>
  <r>
    <n v="3218710"/>
    <s v="Everlusting Life"/>
    <d v="2025-05-08T00:00:00"/>
    <n v="1838"/>
    <b v="1"/>
    <n v="316"/>
    <s v="GTX 1050"/>
    <x v="4"/>
    <x v="0"/>
  </r>
  <r>
    <n v="3218710"/>
    <s v="Everlusting Life"/>
    <d v="2025-05-08T00:00:00"/>
    <n v="1838"/>
    <b v="1"/>
    <n v="316"/>
    <s v="GTX 1050"/>
    <x v="5"/>
    <x v="0"/>
  </r>
  <r>
    <n v="3218710"/>
    <s v="Everlusting Life"/>
    <d v="2025-05-08T00:00:00"/>
    <n v="1838"/>
    <b v="1"/>
    <n v="316"/>
    <s v="GTX 1050"/>
    <x v="6"/>
    <x v="0"/>
  </r>
  <r>
    <n v="872410"/>
    <s v="ROMANCE OF THE THREE KINGDOMS XIV"/>
    <d v="2020-01-15T00:00:00"/>
    <n v="1827"/>
    <b v="0"/>
    <n v="318"/>
    <s v="GTX 1060"/>
    <x v="0"/>
    <x v="1"/>
  </r>
  <r>
    <n v="872410"/>
    <s v="ROMANCE OF THE THREE KINGDOMS XIV"/>
    <d v="2020-01-15T00:00:00"/>
    <n v="1827"/>
    <b v="0"/>
    <n v="318"/>
    <s v="GTX 1060"/>
    <x v="1"/>
    <x v="1"/>
  </r>
  <r>
    <n v="872410"/>
    <s v="ROMANCE OF THE THREE KINGDOMS XIV"/>
    <d v="2020-01-15T00:00:00"/>
    <n v="1827"/>
    <b v="0"/>
    <n v="318"/>
    <s v="GTX 1060"/>
    <x v="2"/>
    <x v="1"/>
  </r>
  <r>
    <n v="872410"/>
    <s v="ROMANCE OF THE THREE KINGDOMS XIV"/>
    <d v="2020-01-15T00:00:00"/>
    <n v="1827"/>
    <b v="0"/>
    <n v="318"/>
    <s v="GTX 1060"/>
    <x v="3"/>
    <x v="0"/>
  </r>
  <r>
    <n v="872410"/>
    <s v="ROMANCE OF THE THREE KINGDOMS XIV"/>
    <d v="2020-01-15T00:00:00"/>
    <n v="1827"/>
    <b v="0"/>
    <n v="318"/>
    <s v="GTX 1060"/>
    <x v="4"/>
    <x v="1"/>
  </r>
  <r>
    <n v="872410"/>
    <s v="ROMANCE OF THE THREE KINGDOMS XIV"/>
    <d v="2020-01-15T00:00:00"/>
    <n v="1827"/>
    <b v="0"/>
    <n v="318"/>
    <s v="GTX 1060"/>
    <x v="5"/>
    <x v="1"/>
  </r>
  <r>
    <n v="872410"/>
    <s v="ROMANCE OF THE THREE KINGDOMS XIV"/>
    <d v="2020-01-15T00:00:00"/>
    <n v="1827"/>
    <b v="0"/>
    <n v="318"/>
    <s v="GTX 1060"/>
    <x v="6"/>
    <x v="1"/>
  </r>
  <r>
    <n v="581320"/>
    <s v="Insurgency: Sandstorm"/>
    <d v="2018-12-12T00:00:00"/>
    <n v="1826"/>
    <b v="0"/>
    <n v="319"/>
    <s v="GTX 980"/>
    <x v="0"/>
    <x v="0"/>
  </r>
  <r>
    <n v="581320"/>
    <s v="Insurgency: Sandstorm"/>
    <d v="2018-12-12T00:00:00"/>
    <n v="1826"/>
    <b v="0"/>
    <n v="319"/>
    <s v="GTX 980"/>
    <x v="1"/>
    <x v="1"/>
  </r>
  <r>
    <n v="581320"/>
    <s v="Insurgency: Sandstorm"/>
    <d v="2018-12-12T00:00:00"/>
    <n v="1826"/>
    <b v="0"/>
    <n v="319"/>
    <s v="GTX 980"/>
    <x v="2"/>
    <x v="1"/>
  </r>
  <r>
    <n v="581320"/>
    <s v="Insurgency: Sandstorm"/>
    <d v="2018-12-12T00:00:00"/>
    <n v="1826"/>
    <b v="0"/>
    <n v="319"/>
    <s v="GTX 980"/>
    <x v="3"/>
    <x v="1"/>
  </r>
  <r>
    <n v="581320"/>
    <s v="Insurgency: Sandstorm"/>
    <d v="2018-12-12T00:00:00"/>
    <n v="1826"/>
    <b v="0"/>
    <n v="319"/>
    <s v="GTX 980"/>
    <x v="4"/>
    <x v="1"/>
  </r>
  <r>
    <n v="581320"/>
    <s v="Insurgency: Sandstorm"/>
    <d v="2018-12-12T00:00:00"/>
    <n v="1826"/>
    <b v="0"/>
    <n v="319"/>
    <s v="GTX 980"/>
    <x v="5"/>
    <x v="1"/>
  </r>
  <r>
    <n v="581320"/>
    <s v="Insurgency: Sandstorm"/>
    <d v="2018-12-12T00:00:00"/>
    <n v="1826"/>
    <b v="0"/>
    <n v="319"/>
    <s v="GTX 980"/>
    <x v="6"/>
    <x v="1"/>
  </r>
  <r>
    <n v="2582560"/>
    <s v="EA SPORTS Madden NFL 25"/>
    <d v="2024-08-15T00:00:00"/>
    <n v="1823"/>
    <b v="0"/>
    <n v="320"/>
    <s v="RTX 3060"/>
    <x v="0"/>
    <x v="1"/>
  </r>
  <r>
    <n v="2582560"/>
    <s v="EA SPORTS Madden NFL 25"/>
    <d v="2024-08-15T00:00:00"/>
    <n v="1823"/>
    <b v="0"/>
    <n v="320"/>
    <s v="RTX 3060"/>
    <x v="1"/>
    <x v="1"/>
  </r>
  <r>
    <n v="2582560"/>
    <s v="EA SPORTS Madden NFL 25"/>
    <d v="2024-08-15T00:00:00"/>
    <n v="1823"/>
    <b v="0"/>
    <n v="320"/>
    <s v="RTX 3060"/>
    <x v="2"/>
    <x v="1"/>
  </r>
  <r>
    <n v="2582560"/>
    <s v="EA SPORTS Madden NFL 25"/>
    <d v="2024-08-15T00:00:00"/>
    <n v="1823"/>
    <b v="0"/>
    <n v="320"/>
    <s v="RTX 3060"/>
    <x v="3"/>
    <x v="0"/>
  </r>
  <r>
    <n v="2582560"/>
    <s v="EA SPORTS Madden NFL 25"/>
    <d v="2024-08-15T00:00:00"/>
    <n v="1823"/>
    <b v="0"/>
    <n v="320"/>
    <s v="RTX 3060"/>
    <x v="4"/>
    <x v="1"/>
  </r>
  <r>
    <n v="2582560"/>
    <s v="EA SPORTS Madden NFL 25"/>
    <d v="2024-08-15T00:00:00"/>
    <n v="1823"/>
    <b v="0"/>
    <n v="320"/>
    <s v="RTX 3060"/>
    <x v="5"/>
    <x v="0"/>
  </r>
  <r>
    <n v="2582560"/>
    <s v="EA SPORTS Madden NFL 25"/>
    <d v="2024-08-15T00:00:00"/>
    <n v="1823"/>
    <b v="0"/>
    <n v="320"/>
    <s v="RTX 3060"/>
    <x v="6"/>
    <x v="1"/>
  </r>
  <r>
    <n v="2909400"/>
    <s v="FINAL FANTASY VII REBIRTH"/>
    <d v="2025-01-23T00:00:00"/>
    <n v="1818"/>
    <b v="0"/>
    <n v="321"/>
    <s v="RX 6700 XT"/>
    <x v="0"/>
    <x v="0"/>
  </r>
  <r>
    <n v="2909400"/>
    <s v="FINAL FANTASY VII REBIRTH"/>
    <d v="2025-01-23T00:00:00"/>
    <n v="1818"/>
    <b v="0"/>
    <n v="321"/>
    <s v="RX 6700 XT"/>
    <x v="1"/>
    <x v="1"/>
  </r>
  <r>
    <n v="2909400"/>
    <s v="FINAL FANTASY VII REBIRTH"/>
    <d v="2025-01-23T00:00:00"/>
    <n v="1818"/>
    <b v="0"/>
    <n v="321"/>
    <s v="RX 6700 XT"/>
    <x v="2"/>
    <x v="0"/>
  </r>
  <r>
    <n v="2909400"/>
    <s v="FINAL FANTASY VII REBIRTH"/>
    <d v="2025-01-23T00:00:00"/>
    <n v="1818"/>
    <b v="0"/>
    <n v="321"/>
    <s v="RX 6700 XT"/>
    <x v="3"/>
    <x v="1"/>
  </r>
  <r>
    <n v="2909400"/>
    <s v="FINAL FANTASY VII REBIRTH"/>
    <d v="2025-01-23T00:00:00"/>
    <n v="1818"/>
    <b v="0"/>
    <n v="321"/>
    <s v="RX 6700 XT"/>
    <x v="4"/>
    <x v="0"/>
  </r>
  <r>
    <n v="2909400"/>
    <s v="FINAL FANTASY VII REBIRTH"/>
    <d v="2025-01-23T00:00:00"/>
    <n v="1818"/>
    <b v="0"/>
    <n v="321"/>
    <s v="RX 6700 XT"/>
    <x v="5"/>
    <x v="1"/>
  </r>
  <r>
    <n v="2909400"/>
    <s v="FINAL FANTASY VII REBIRTH"/>
    <d v="2025-01-23T00:00:00"/>
    <n v="1818"/>
    <b v="0"/>
    <n v="321"/>
    <s v="RX 6700 XT"/>
    <x v="6"/>
    <x v="1"/>
  </r>
  <r>
    <n v="961200"/>
    <s v="Predecessor"/>
    <d v="2024-08-20T00:00:00"/>
    <n v="1816"/>
    <b v="0"/>
    <n v="322"/>
    <s v="GTX 1660 Ti"/>
    <x v="0"/>
    <x v="0"/>
  </r>
  <r>
    <n v="961200"/>
    <s v="Predecessor"/>
    <d v="2024-08-20T00:00:00"/>
    <n v="1816"/>
    <b v="0"/>
    <n v="322"/>
    <s v="GTX 1660 Ti"/>
    <x v="1"/>
    <x v="1"/>
  </r>
  <r>
    <n v="961200"/>
    <s v="Predecessor"/>
    <d v="2024-08-20T00:00:00"/>
    <n v="1816"/>
    <b v="0"/>
    <n v="322"/>
    <s v="GTX 1660 Ti"/>
    <x v="2"/>
    <x v="1"/>
  </r>
  <r>
    <n v="961200"/>
    <s v="Predecessor"/>
    <d v="2024-08-20T00:00:00"/>
    <n v="1816"/>
    <b v="0"/>
    <n v="322"/>
    <s v="GTX 1660 Ti"/>
    <x v="3"/>
    <x v="1"/>
  </r>
  <r>
    <n v="961200"/>
    <s v="Predecessor"/>
    <d v="2024-08-20T00:00:00"/>
    <n v="1816"/>
    <b v="0"/>
    <n v="322"/>
    <s v="GTX 1660 Ti"/>
    <x v="4"/>
    <x v="1"/>
  </r>
  <r>
    <n v="961200"/>
    <s v="Predecessor"/>
    <d v="2024-08-20T00:00:00"/>
    <n v="1816"/>
    <b v="0"/>
    <n v="322"/>
    <s v="GTX 1660 Ti"/>
    <x v="5"/>
    <x v="0"/>
  </r>
  <r>
    <n v="961200"/>
    <s v="Predecessor"/>
    <d v="2024-08-20T00:00:00"/>
    <n v="1816"/>
    <b v="0"/>
    <n v="322"/>
    <s v="GTX 1660 Ti"/>
    <x v="6"/>
    <x v="0"/>
  </r>
  <r>
    <n v="2427700"/>
    <s v="Backpack Battles"/>
    <d v="2025-06-13T00:00:00"/>
    <n v="1806"/>
    <b v="0"/>
    <n v="324"/>
    <s v="GTX 1060"/>
    <x v="0"/>
    <x v="1"/>
  </r>
  <r>
    <n v="2427700"/>
    <s v="Backpack Battles"/>
    <d v="2025-06-13T00:00:00"/>
    <n v="1806"/>
    <b v="0"/>
    <n v="324"/>
    <s v="GTX 1060"/>
    <x v="1"/>
    <x v="1"/>
  </r>
  <r>
    <n v="2427700"/>
    <s v="Backpack Battles"/>
    <d v="2025-06-13T00:00:00"/>
    <n v="1806"/>
    <b v="0"/>
    <n v="324"/>
    <s v="GTX 1060"/>
    <x v="2"/>
    <x v="1"/>
  </r>
  <r>
    <n v="2427700"/>
    <s v="Backpack Battles"/>
    <d v="2025-06-13T00:00:00"/>
    <n v="1806"/>
    <b v="0"/>
    <n v="324"/>
    <s v="GTX 1060"/>
    <x v="3"/>
    <x v="1"/>
  </r>
  <r>
    <n v="2427700"/>
    <s v="Backpack Battles"/>
    <d v="2025-06-13T00:00:00"/>
    <n v="1806"/>
    <b v="0"/>
    <n v="324"/>
    <s v="GTX 1060"/>
    <x v="4"/>
    <x v="1"/>
  </r>
  <r>
    <n v="2427700"/>
    <s v="Backpack Battles"/>
    <d v="2025-06-13T00:00:00"/>
    <n v="1806"/>
    <b v="0"/>
    <n v="324"/>
    <s v="GTX 1060"/>
    <x v="5"/>
    <x v="0"/>
  </r>
  <r>
    <n v="2427700"/>
    <s v="Backpack Battles"/>
    <d v="2025-06-13T00:00:00"/>
    <n v="1806"/>
    <b v="0"/>
    <n v="324"/>
    <s v="GTX 1060"/>
    <x v="6"/>
    <x v="1"/>
  </r>
  <r>
    <n v="2385530"/>
    <s v="PGA TOUR 2K25"/>
    <d v="2025-02-27T00:00:00"/>
    <n v="1789"/>
    <b v="0"/>
    <n v="325"/>
    <s v="RTX 2060 SUPER"/>
    <x v="0"/>
    <x v="1"/>
  </r>
  <r>
    <n v="2385530"/>
    <s v="PGA TOUR 2K25"/>
    <d v="2025-02-27T00:00:00"/>
    <n v="1789"/>
    <b v="0"/>
    <n v="325"/>
    <s v="RTX 2060 SUPER"/>
    <x v="1"/>
    <x v="1"/>
  </r>
  <r>
    <n v="2385530"/>
    <s v="PGA TOUR 2K25"/>
    <d v="2025-02-27T00:00:00"/>
    <n v="1789"/>
    <b v="0"/>
    <n v="325"/>
    <s v="RTX 2060 SUPER"/>
    <x v="2"/>
    <x v="1"/>
  </r>
  <r>
    <n v="2385530"/>
    <s v="PGA TOUR 2K25"/>
    <d v="2025-02-27T00:00:00"/>
    <n v="1789"/>
    <b v="0"/>
    <n v="325"/>
    <s v="RTX 2060 SUPER"/>
    <x v="3"/>
    <x v="0"/>
  </r>
  <r>
    <n v="2385530"/>
    <s v="PGA TOUR 2K25"/>
    <d v="2025-02-27T00:00:00"/>
    <n v="1789"/>
    <b v="0"/>
    <n v="325"/>
    <s v="RTX 2060 SUPER"/>
    <x v="4"/>
    <x v="0"/>
  </r>
  <r>
    <n v="2385530"/>
    <s v="PGA TOUR 2K25"/>
    <d v="2025-02-27T00:00:00"/>
    <n v="1789"/>
    <b v="0"/>
    <n v="325"/>
    <s v="RTX 2060 SUPER"/>
    <x v="5"/>
    <x v="1"/>
  </r>
  <r>
    <n v="2385530"/>
    <s v="PGA TOUR 2K25"/>
    <d v="2025-02-27T00:00:00"/>
    <n v="1789"/>
    <b v="0"/>
    <n v="325"/>
    <s v="RTX 2060 SUPER"/>
    <x v="6"/>
    <x v="1"/>
  </r>
  <r>
    <n v="1013320"/>
    <s v="Firestone ' Idle Clicker Online RPG"/>
    <d v="2024-04-01T00:00:00"/>
    <n v="1785"/>
    <b v="1"/>
    <n v="326"/>
    <s v="Radeon Vega 11"/>
    <x v="0"/>
    <x v="1"/>
  </r>
  <r>
    <n v="1013320"/>
    <s v="Firestone ' Idle Clicker Online RPG"/>
    <d v="2024-04-01T00:00:00"/>
    <n v="1785"/>
    <b v="1"/>
    <n v="326"/>
    <s v="Radeon Vega 11"/>
    <x v="1"/>
    <x v="0"/>
  </r>
  <r>
    <n v="1013320"/>
    <s v="Firestone ' Idle Clicker Online RPG"/>
    <d v="2024-04-01T00:00:00"/>
    <n v="1785"/>
    <b v="1"/>
    <n v="326"/>
    <s v="Radeon Vega 11"/>
    <x v="2"/>
    <x v="1"/>
  </r>
  <r>
    <n v="1013320"/>
    <s v="Firestone ' Idle Clicker Online RPG"/>
    <d v="2024-04-01T00:00:00"/>
    <n v="1785"/>
    <b v="1"/>
    <n v="326"/>
    <s v="Radeon Vega 11"/>
    <x v="3"/>
    <x v="1"/>
  </r>
  <r>
    <n v="1013320"/>
    <s v="Firestone ' Idle Clicker Online RPG"/>
    <d v="2024-04-01T00:00:00"/>
    <n v="1785"/>
    <b v="1"/>
    <n v="326"/>
    <s v="Radeon Vega 11"/>
    <x v="4"/>
    <x v="0"/>
  </r>
  <r>
    <n v="1013320"/>
    <s v="Firestone ' Idle Clicker Online RPG"/>
    <d v="2024-04-01T00:00:00"/>
    <n v="1785"/>
    <b v="1"/>
    <n v="326"/>
    <s v="Radeon Vega 11"/>
    <x v="5"/>
    <x v="1"/>
  </r>
  <r>
    <n v="1013320"/>
    <s v="Firestone ' Idle Clicker Online RPG"/>
    <d v="2024-04-01T00:00:00"/>
    <n v="1785"/>
    <b v="1"/>
    <n v="326"/>
    <s v="Radeon Vega 11"/>
    <x v="6"/>
    <x v="0"/>
  </r>
  <r>
    <n v="1943950"/>
    <s v="Escape the Backrooms"/>
    <d v="2025-10-23T00:00:00"/>
    <n v="1756"/>
    <b v="0"/>
    <n v="327"/>
    <s v="RTX 2060"/>
    <x v="0"/>
    <x v="0"/>
  </r>
  <r>
    <n v="1943950"/>
    <s v="Escape the Backrooms"/>
    <d v="2025-10-23T00:00:00"/>
    <n v="1756"/>
    <b v="0"/>
    <n v="327"/>
    <s v="RTX 2060"/>
    <x v="1"/>
    <x v="0"/>
  </r>
  <r>
    <n v="1943950"/>
    <s v="Escape the Backrooms"/>
    <d v="2025-10-23T00:00:00"/>
    <n v="1756"/>
    <b v="0"/>
    <n v="327"/>
    <s v="RTX 2060"/>
    <x v="2"/>
    <x v="1"/>
  </r>
  <r>
    <n v="1943950"/>
    <s v="Escape the Backrooms"/>
    <d v="2025-10-23T00:00:00"/>
    <n v="1756"/>
    <b v="0"/>
    <n v="327"/>
    <s v="RTX 2060"/>
    <x v="3"/>
    <x v="1"/>
  </r>
  <r>
    <n v="1943950"/>
    <s v="Escape the Backrooms"/>
    <d v="2025-10-23T00:00:00"/>
    <n v="1756"/>
    <b v="0"/>
    <n v="327"/>
    <s v="RTX 2060"/>
    <x v="4"/>
    <x v="1"/>
  </r>
  <r>
    <n v="1943950"/>
    <s v="Escape the Backrooms"/>
    <d v="2025-10-23T00:00:00"/>
    <n v="1756"/>
    <b v="0"/>
    <n v="327"/>
    <s v="RTX 2060"/>
    <x v="5"/>
    <x v="1"/>
  </r>
  <r>
    <n v="1943950"/>
    <s v="Escape the Backrooms"/>
    <d v="2025-10-23T00:00:00"/>
    <n v="1756"/>
    <b v="0"/>
    <n v="327"/>
    <s v="RTX 2060"/>
    <x v="6"/>
    <x v="1"/>
  </r>
  <r>
    <n v="2679460"/>
    <s v="Metaphor: ReFantazio"/>
    <d v="2024-10-10T00:00:00"/>
    <n v="1753"/>
    <b v="0"/>
    <n v="328"/>
    <s v="GTX 970"/>
    <x v="0"/>
    <x v="0"/>
  </r>
  <r>
    <n v="2679460"/>
    <s v="Metaphor: ReFantazio"/>
    <d v="2024-10-10T00:00:00"/>
    <n v="1753"/>
    <b v="0"/>
    <n v="328"/>
    <s v="GTX 970"/>
    <x v="1"/>
    <x v="1"/>
  </r>
  <r>
    <n v="2679460"/>
    <s v="Metaphor: ReFantazio"/>
    <d v="2024-10-10T00:00:00"/>
    <n v="1753"/>
    <b v="0"/>
    <n v="328"/>
    <s v="GTX 970"/>
    <x v="2"/>
    <x v="0"/>
  </r>
  <r>
    <n v="2679460"/>
    <s v="Metaphor: ReFantazio"/>
    <d v="2024-10-10T00:00:00"/>
    <n v="1753"/>
    <b v="0"/>
    <n v="328"/>
    <s v="GTX 970"/>
    <x v="3"/>
    <x v="1"/>
  </r>
  <r>
    <n v="2679460"/>
    <s v="Metaphor: ReFantazio"/>
    <d v="2024-10-10T00:00:00"/>
    <n v="1753"/>
    <b v="0"/>
    <n v="328"/>
    <s v="GTX 970"/>
    <x v="4"/>
    <x v="0"/>
  </r>
  <r>
    <n v="2679460"/>
    <s v="Metaphor: ReFantazio"/>
    <d v="2024-10-10T00:00:00"/>
    <n v="1753"/>
    <b v="0"/>
    <n v="328"/>
    <s v="GTX 970"/>
    <x v="5"/>
    <x v="1"/>
  </r>
  <r>
    <n v="2679460"/>
    <s v="Metaphor: ReFantazio"/>
    <d v="2024-10-10T00:00:00"/>
    <n v="1753"/>
    <b v="0"/>
    <n v="328"/>
    <s v="GTX 970"/>
    <x v="6"/>
    <x v="1"/>
  </r>
  <r>
    <n v="669330"/>
    <s v="Mechabellum"/>
    <d v="2024-09-26T00:00:00"/>
    <n v="1748"/>
    <b v="0"/>
    <n v="329"/>
    <s v="RTX 2080"/>
    <x v="0"/>
    <x v="0"/>
  </r>
  <r>
    <n v="669330"/>
    <s v="Mechabellum"/>
    <d v="2024-09-26T00:00:00"/>
    <n v="1748"/>
    <b v="0"/>
    <n v="329"/>
    <s v="RTX 2080"/>
    <x v="1"/>
    <x v="0"/>
  </r>
  <r>
    <n v="669330"/>
    <s v="Mechabellum"/>
    <d v="2024-09-26T00:00:00"/>
    <n v="1748"/>
    <b v="0"/>
    <n v="329"/>
    <s v="RTX 2080"/>
    <x v="2"/>
    <x v="1"/>
  </r>
  <r>
    <n v="669330"/>
    <s v="Mechabellum"/>
    <d v="2024-09-26T00:00:00"/>
    <n v="1748"/>
    <b v="0"/>
    <n v="329"/>
    <s v="RTX 2080"/>
    <x v="3"/>
    <x v="0"/>
  </r>
  <r>
    <n v="669330"/>
    <s v="Mechabellum"/>
    <d v="2024-09-26T00:00:00"/>
    <n v="1748"/>
    <b v="0"/>
    <n v="329"/>
    <s v="RTX 2080"/>
    <x v="4"/>
    <x v="1"/>
  </r>
  <r>
    <n v="669330"/>
    <s v="Mechabellum"/>
    <d v="2024-09-26T00:00:00"/>
    <n v="1748"/>
    <b v="0"/>
    <n v="329"/>
    <s v="RTX 2080"/>
    <x v="5"/>
    <x v="0"/>
  </r>
  <r>
    <n v="669330"/>
    <s v="Mechabellum"/>
    <d v="2024-09-26T00:00:00"/>
    <n v="1748"/>
    <b v="0"/>
    <n v="329"/>
    <s v="RTX 2080"/>
    <x v="6"/>
    <x v="1"/>
  </r>
  <r>
    <n v="2113850"/>
    <s v="Spirit City: Lofi Sessions"/>
    <d v="2024-04-08T00:00:00"/>
    <n v="1742"/>
    <b v="1"/>
    <n v="330"/>
    <s v="GTX 1060"/>
    <x v="0"/>
    <x v="1"/>
  </r>
  <r>
    <n v="2113850"/>
    <s v="Spirit City: Lofi Sessions"/>
    <d v="2024-04-08T00:00:00"/>
    <n v="1742"/>
    <b v="1"/>
    <n v="330"/>
    <s v="GTX 1060"/>
    <x v="1"/>
    <x v="0"/>
  </r>
  <r>
    <n v="2113850"/>
    <s v="Spirit City: Lofi Sessions"/>
    <d v="2024-04-08T00:00:00"/>
    <n v="1742"/>
    <b v="1"/>
    <n v="330"/>
    <s v="GTX 1060"/>
    <x v="2"/>
    <x v="1"/>
  </r>
  <r>
    <n v="2113850"/>
    <s v="Spirit City: Lofi Sessions"/>
    <d v="2024-04-08T00:00:00"/>
    <n v="1742"/>
    <b v="1"/>
    <n v="330"/>
    <s v="GTX 1060"/>
    <x v="3"/>
    <x v="0"/>
  </r>
  <r>
    <n v="2113850"/>
    <s v="Spirit City: Lofi Sessions"/>
    <d v="2024-04-08T00:00:00"/>
    <n v="1742"/>
    <b v="1"/>
    <n v="330"/>
    <s v="GTX 1060"/>
    <x v="4"/>
    <x v="1"/>
  </r>
  <r>
    <n v="2113850"/>
    <s v="Spirit City: Lofi Sessions"/>
    <d v="2024-04-08T00:00:00"/>
    <n v="1742"/>
    <b v="1"/>
    <n v="330"/>
    <s v="GTX 1060"/>
    <x v="5"/>
    <x v="1"/>
  </r>
  <r>
    <n v="2113850"/>
    <s v="Spirit City: Lofi Sessions"/>
    <d v="2024-04-08T00:00:00"/>
    <n v="1742"/>
    <b v="1"/>
    <n v="330"/>
    <s v="GTX 1060"/>
    <x v="6"/>
    <x v="1"/>
  </r>
  <r>
    <n v="1569040"/>
    <s v="Football Manager 2022"/>
    <d v="2021-11-09T00:00:00"/>
    <n v="1742"/>
    <b v="1"/>
    <n v="330"/>
    <s v="Intel UHD Graphics"/>
    <x v="0"/>
    <x v="1"/>
  </r>
  <r>
    <n v="1569040"/>
    <s v="Football Manager 2022"/>
    <d v="2021-11-09T00:00:00"/>
    <n v="1742"/>
    <b v="1"/>
    <n v="330"/>
    <s v="Intel UHD Graphics"/>
    <x v="1"/>
    <x v="1"/>
  </r>
  <r>
    <n v="1569040"/>
    <s v="Football Manager 2022"/>
    <d v="2021-11-09T00:00:00"/>
    <n v="1742"/>
    <b v="1"/>
    <n v="330"/>
    <s v="Intel UHD Graphics"/>
    <x v="2"/>
    <x v="1"/>
  </r>
  <r>
    <n v="1569040"/>
    <s v="Football Manager 2022"/>
    <d v="2021-11-09T00:00:00"/>
    <n v="1742"/>
    <b v="1"/>
    <n v="330"/>
    <s v="Intel UHD Graphics"/>
    <x v="3"/>
    <x v="0"/>
  </r>
  <r>
    <n v="1569040"/>
    <s v="Football Manager 2022"/>
    <d v="2021-11-09T00:00:00"/>
    <n v="1742"/>
    <b v="1"/>
    <n v="330"/>
    <s v="Intel UHD Graphics"/>
    <x v="4"/>
    <x v="1"/>
  </r>
  <r>
    <n v="1569040"/>
    <s v="Football Manager 2022"/>
    <d v="2021-11-09T00:00:00"/>
    <n v="1742"/>
    <b v="1"/>
    <n v="330"/>
    <s v="Intel UHD Graphics"/>
    <x v="5"/>
    <x v="1"/>
  </r>
  <r>
    <n v="1569040"/>
    <s v="Football Manager 2022"/>
    <d v="2021-11-09T00:00:00"/>
    <n v="1742"/>
    <b v="1"/>
    <n v="330"/>
    <s v="Intel UHD Graphics"/>
    <x v="6"/>
    <x v="1"/>
  </r>
  <r>
    <n v="2157560"/>
    <s v="Granblue Fantasy Versus: Rising"/>
    <d v="2023-12-13T00:00:00"/>
    <n v="1736"/>
    <b v="0"/>
    <n v="332"/>
    <s v="GTX 1050 Ti"/>
    <x v="0"/>
    <x v="0"/>
  </r>
  <r>
    <n v="2157560"/>
    <s v="Granblue Fantasy Versus: Rising"/>
    <d v="2023-12-13T00:00:00"/>
    <n v="1736"/>
    <b v="0"/>
    <n v="332"/>
    <s v="GTX 1050 Ti"/>
    <x v="1"/>
    <x v="1"/>
  </r>
  <r>
    <n v="2157560"/>
    <s v="Granblue Fantasy Versus: Rising"/>
    <d v="2023-12-13T00:00:00"/>
    <n v="1736"/>
    <b v="0"/>
    <n v="332"/>
    <s v="GTX 1050 Ti"/>
    <x v="2"/>
    <x v="1"/>
  </r>
  <r>
    <n v="2157560"/>
    <s v="Granblue Fantasy Versus: Rising"/>
    <d v="2023-12-13T00:00:00"/>
    <n v="1736"/>
    <b v="0"/>
    <n v="332"/>
    <s v="GTX 1050 Ti"/>
    <x v="3"/>
    <x v="1"/>
  </r>
  <r>
    <n v="2157560"/>
    <s v="Granblue Fantasy Versus: Rising"/>
    <d v="2023-12-13T00:00:00"/>
    <n v="1736"/>
    <b v="0"/>
    <n v="332"/>
    <s v="GTX 1050 Ti"/>
    <x v="4"/>
    <x v="1"/>
  </r>
  <r>
    <n v="2157560"/>
    <s v="Granblue Fantasy Versus: Rising"/>
    <d v="2023-12-13T00:00:00"/>
    <n v="1736"/>
    <b v="0"/>
    <n v="332"/>
    <s v="GTX 1050 Ti"/>
    <x v="5"/>
    <x v="1"/>
  </r>
  <r>
    <n v="2157560"/>
    <s v="Granblue Fantasy Versus: Rising"/>
    <d v="2023-12-13T00:00:00"/>
    <n v="1736"/>
    <b v="0"/>
    <n v="332"/>
    <s v="GTX 1050 Ti"/>
    <x v="6"/>
    <x v="1"/>
  </r>
  <r>
    <n v="824270"/>
    <s v="KovaaK's"/>
    <d v="2018-04-03T00:00:00"/>
    <n v="1719"/>
    <b v="0"/>
    <n v="333"/>
    <s v="RX 560"/>
    <x v="0"/>
    <x v="0"/>
  </r>
  <r>
    <n v="824270"/>
    <s v="KovaaK's"/>
    <d v="2018-04-03T00:00:00"/>
    <n v="1719"/>
    <b v="0"/>
    <n v="333"/>
    <s v="RX 560"/>
    <x v="1"/>
    <x v="0"/>
  </r>
  <r>
    <n v="824270"/>
    <s v="KovaaK's"/>
    <d v="2018-04-03T00:00:00"/>
    <n v="1719"/>
    <b v="0"/>
    <n v="333"/>
    <s v="RX 560"/>
    <x v="2"/>
    <x v="1"/>
  </r>
  <r>
    <n v="824270"/>
    <s v="KovaaK's"/>
    <d v="2018-04-03T00:00:00"/>
    <n v="1719"/>
    <b v="0"/>
    <n v="333"/>
    <s v="RX 560"/>
    <x v="3"/>
    <x v="0"/>
  </r>
  <r>
    <n v="824270"/>
    <s v="KovaaK's"/>
    <d v="2018-04-03T00:00:00"/>
    <n v="1719"/>
    <b v="0"/>
    <n v="333"/>
    <s v="RX 560"/>
    <x v="4"/>
    <x v="1"/>
  </r>
  <r>
    <n v="824270"/>
    <s v="KovaaK's"/>
    <d v="2018-04-03T00:00:00"/>
    <n v="1719"/>
    <b v="0"/>
    <n v="333"/>
    <s v="RX 560"/>
    <x v="5"/>
    <x v="1"/>
  </r>
  <r>
    <n v="824270"/>
    <s v="KovaaK's"/>
    <d v="2018-04-03T00:00:00"/>
    <n v="1719"/>
    <b v="0"/>
    <n v="333"/>
    <s v="RX 560"/>
    <x v="6"/>
    <x v="1"/>
  </r>
  <r>
    <n v="1669000"/>
    <s v="Age of Wonders 4"/>
    <d v="2023-05-02T00:00:00"/>
    <n v="1707"/>
    <b v="0"/>
    <n v="334"/>
    <s v="GTX 1070 Ti"/>
    <x v="0"/>
    <x v="1"/>
  </r>
  <r>
    <n v="1669000"/>
    <s v="Age of Wonders 4"/>
    <d v="2023-05-02T00:00:00"/>
    <n v="1707"/>
    <b v="0"/>
    <n v="334"/>
    <s v="GTX 1070 Ti"/>
    <x v="1"/>
    <x v="1"/>
  </r>
  <r>
    <n v="1669000"/>
    <s v="Age of Wonders 4"/>
    <d v="2023-05-02T00:00:00"/>
    <n v="1707"/>
    <b v="0"/>
    <n v="334"/>
    <s v="GTX 1070 Ti"/>
    <x v="2"/>
    <x v="1"/>
  </r>
  <r>
    <n v="1669000"/>
    <s v="Age of Wonders 4"/>
    <d v="2023-05-02T00:00:00"/>
    <n v="1707"/>
    <b v="0"/>
    <n v="334"/>
    <s v="GTX 1070 Ti"/>
    <x v="3"/>
    <x v="1"/>
  </r>
  <r>
    <n v="1669000"/>
    <s v="Age of Wonders 4"/>
    <d v="2023-05-02T00:00:00"/>
    <n v="1707"/>
    <b v="0"/>
    <n v="334"/>
    <s v="GTX 1070 Ti"/>
    <x v="4"/>
    <x v="0"/>
  </r>
  <r>
    <n v="1669000"/>
    <s v="Age of Wonders 4"/>
    <d v="2023-05-02T00:00:00"/>
    <n v="1707"/>
    <b v="0"/>
    <n v="334"/>
    <s v="GTX 1070 Ti"/>
    <x v="5"/>
    <x v="0"/>
  </r>
  <r>
    <n v="1669000"/>
    <s v="Age of Wonders 4"/>
    <d v="2023-05-02T00:00:00"/>
    <n v="1707"/>
    <b v="0"/>
    <n v="334"/>
    <s v="GTX 1070 Ti"/>
    <x v="6"/>
    <x v="1"/>
  </r>
  <r>
    <n v="323190"/>
    <s v="Frostpunk"/>
    <d v="2018-04-24T00:00:00"/>
    <n v="1699"/>
    <b v="1"/>
    <n v="335"/>
    <s v="RX 580"/>
    <x v="0"/>
    <x v="1"/>
  </r>
  <r>
    <n v="323190"/>
    <s v="Frostpunk"/>
    <d v="2018-04-24T00:00:00"/>
    <n v="1699"/>
    <b v="1"/>
    <n v="335"/>
    <s v="RX 580"/>
    <x v="1"/>
    <x v="1"/>
  </r>
  <r>
    <n v="323190"/>
    <s v="Frostpunk"/>
    <d v="2018-04-24T00:00:00"/>
    <n v="1699"/>
    <b v="1"/>
    <n v="335"/>
    <s v="RX 580"/>
    <x v="2"/>
    <x v="1"/>
  </r>
  <r>
    <n v="323190"/>
    <s v="Frostpunk"/>
    <d v="2018-04-24T00:00:00"/>
    <n v="1699"/>
    <b v="1"/>
    <n v="335"/>
    <s v="RX 580"/>
    <x v="3"/>
    <x v="0"/>
  </r>
  <r>
    <n v="323190"/>
    <s v="Frostpunk"/>
    <d v="2018-04-24T00:00:00"/>
    <n v="1699"/>
    <b v="1"/>
    <n v="335"/>
    <s v="RX 580"/>
    <x v="4"/>
    <x v="1"/>
  </r>
  <r>
    <n v="323190"/>
    <s v="Frostpunk"/>
    <d v="2018-04-24T00:00:00"/>
    <n v="1699"/>
    <b v="1"/>
    <n v="335"/>
    <s v="RX 580"/>
    <x v="5"/>
    <x v="0"/>
  </r>
  <r>
    <n v="323190"/>
    <s v="Frostpunk"/>
    <d v="2018-04-24T00:00:00"/>
    <n v="1699"/>
    <b v="1"/>
    <n v="335"/>
    <s v="RX 580"/>
    <x v="6"/>
    <x v="1"/>
  </r>
  <r>
    <n v="2161700"/>
    <s v="Persona 3 Reload"/>
    <d v="2024-02-01T00:00:00"/>
    <n v="1683"/>
    <b v="0"/>
    <n v="336"/>
    <s v="GTX 1650"/>
    <x v="0"/>
    <x v="1"/>
  </r>
  <r>
    <n v="2161700"/>
    <s v="Persona 3 Reload"/>
    <d v="2024-02-01T00:00:00"/>
    <n v="1683"/>
    <b v="0"/>
    <n v="336"/>
    <s v="GTX 1650"/>
    <x v="1"/>
    <x v="1"/>
  </r>
  <r>
    <n v="2161700"/>
    <s v="Persona 3 Reload"/>
    <d v="2024-02-01T00:00:00"/>
    <n v="1683"/>
    <b v="0"/>
    <n v="336"/>
    <s v="GTX 1650"/>
    <x v="2"/>
    <x v="0"/>
  </r>
  <r>
    <n v="2161700"/>
    <s v="Persona 3 Reload"/>
    <d v="2024-02-01T00:00:00"/>
    <n v="1683"/>
    <b v="0"/>
    <n v="336"/>
    <s v="GTX 1650"/>
    <x v="3"/>
    <x v="1"/>
  </r>
  <r>
    <n v="2161700"/>
    <s v="Persona 3 Reload"/>
    <d v="2024-02-01T00:00:00"/>
    <n v="1683"/>
    <b v="0"/>
    <n v="336"/>
    <s v="GTX 1650"/>
    <x v="4"/>
    <x v="0"/>
  </r>
  <r>
    <n v="2161700"/>
    <s v="Persona 3 Reload"/>
    <d v="2024-02-01T00:00:00"/>
    <n v="1683"/>
    <b v="0"/>
    <n v="336"/>
    <s v="GTX 1650"/>
    <x v="5"/>
    <x v="0"/>
  </r>
  <r>
    <n v="2161700"/>
    <s v="Persona 3 Reload"/>
    <d v="2024-02-01T00:00:00"/>
    <n v="1683"/>
    <b v="0"/>
    <n v="336"/>
    <s v="GTX 1650"/>
    <x v="6"/>
    <x v="1"/>
  </r>
  <r>
    <n v="2619650"/>
    <s v="Cauldron"/>
    <d v="2025-05-21T00:00:00"/>
    <n v="1682"/>
    <b v="0"/>
    <n v="337"/>
    <s v="Radeon Vega 11"/>
    <x v="0"/>
    <x v="1"/>
  </r>
  <r>
    <n v="2619650"/>
    <s v="Cauldron"/>
    <d v="2025-05-21T00:00:00"/>
    <n v="1682"/>
    <b v="0"/>
    <n v="337"/>
    <s v="Radeon Vega 11"/>
    <x v="1"/>
    <x v="0"/>
  </r>
  <r>
    <n v="2619650"/>
    <s v="Cauldron"/>
    <d v="2025-05-21T00:00:00"/>
    <n v="1682"/>
    <b v="0"/>
    <n v="337"/>
    <s v="Radeon Vega 11"/>
    <x v="2"/>
    <x v="0"/>
  </r>
  <r>
    <n v="2619650"/>
    <s v="Cauldron"/>
    <d v="2025-05-21T00:00:00"/>
    <n v="1682"/>
    <b v="0"/>
    <n v="337"/>
    <s v="Radeon Vega 11"/>
    <x v="3"/>
    <x v="0"/>
  </r>
  <r>
    <n v="2619650"/>
    <s v="Cauldron"/>
    <d v="2025-05-21T00:00:00"/>
    <n v="1682"/>
    <b v="0"/>
    <n v="337"/>
    <s v="Radeon Vega 11"/>
    <x v="4"/>
    <x v="0"/>
  </r>
  <r>
    <n v="2619650"/>
    <s v="Cauldron"/>
    <d v="2025-05-21T00:00:00"/>
    <n v="1682"/>
    <b v="0"/>
    <n v="337"/>
    <s v="Radeon Vega 11"/>
    <x v="5"/>
    <x v="0"/>
  </r>
  <r>
    <n v="2619650"/>
    <s v="Cauldron"/>
    <d v="2025-05-21T00:00:00"/>
    <n v="1682"/>
    <b v="0"/>
    <n v="337"/>
    <s v="Radeon Vega 11"/>
    <x v="6"/>
    <x v="1"/>
  </r>
  <r>
    <n v="1876890"/>
    <s v="Wandering Sword"/>
    <d v="2023-09-14T00:00:00"/>
    <n v="1679"/>
    <b v="0"/>
    <n v="338"/>
    <s v="RX 580"/>
    <x v="0"/>
    <x v="1"/>
  </r>
  <r>
    <n v="1876890"/>
    <s v="Wandering Sword"/>
    <d v="2023-09-14T00:00:00"/>
    <n v="1679"/>
    <b v="0"/>
    <n v="338"/>
    <s v="RX 580"/>
    <x v="1"/>
    <x v="0"/>
  </r>
  <r>
    <n v="1876890"/>
    <s v="Wandering Sword"/>
    <d v="2023-09-14T00:00:00"/>
    <n v="1679"/>
    <b v="0"/>
    <n v="338"/>
    <s v="RX 580"/>
    <x v="2"/>
    <x v="0"/>
  </r>
  <r>
    <n v="1876890"/>
    <s v="Wandering Sword"/>
    <d v="2023-09-14T00:00:00"/>
    <n v="1679"/>
    <b v="0"/>
    <n v="338"/>
    <s v="RX 580"/>
    <x v="3"/>
    <x v="1"/>
  </r>
  <r>
    <n v="1876890"/>
    <s v="Wandering Sword"/>
    <d v="2023-09-14T00:00:00"/>
    <n v="1679"/>
    <b v="0"/>
    <n v="338"/>
    <s v="RX 580"/>
    <x v="4"/>
    <x v="0"/>
  </r>
  <r>
    <n v="1876890"/>
    <s v="Wandering Sword"/>
    <d v="2023-09-14T00:00:00"/>
    <n v="1679"/>
    <b v="0"/>
    <n v="338"/>
    <s v="RX 580"/>
    <x v="5"/>
    <x v="0"/>
  </r>
  <r>
    <n v="1876890"/>
    <s v="Wandering Sword"/>
    <d v="2023-09-14T00:00:00"/>
    <n v="1679"/>
    <b v="0"/>
    <n v="338"/>
    <s v="RX 580"/>
    <x v="6"/>
    <x v="1"/>
  </r>
  <r>
    <n v="699130"/>
    <s v="World War Z"/>
    <d v="2021-09-21T00:00:00"/>
    <n v="1663"/>
    <b v="0"/>
    <n v="339"/>
    <s v="GTX 1050 Ti"/>
    <x v="0"/>
    <x v="0"/>
  </r>
  <r>
    <n v="699130"/>
    <s v="World War Z"/>
    <d v="2021-09-21T00:00:00"/>
    <n v="1663"/>
    <b v="0"/>
    <n v="339"/>
    <s v="GTX 1050 Ti"/>
    <x v="1"/>
    <x v="1"/>
  </r>
  <r>
    <n v="699130"/>
    <s v="World War Z"/>
    <d v="2021-09-21T00:00:00"/>
    <n v="1663"/>
    <b v="0"/>
    <n v="339"/>
    <s v="GTX 1050 Ti"/>
    <x v="2"/>
    <x v="1"/>
  </r>
  <r>
    <n v="699130"/>
    <s v="World War Z"/>
    <d v="2021-09-21T00:00:00"/>
    <n v="1663"/>
    <b v="0"/>
    <n v="339"/>
    <s v="GTX 1050 Ti"/>
    <x v="3"/>
    <x v="1"/>
  </r>
  <r>
    <n v="699130"/>
    <s v="World War Z"/>
    <d v="2021-09-21T00:00:00"/>
    <n v="1663"/>
    <b v="0"/>
    <n v="339"/>
    <s v="GTX 1050 Ti"/>
    <x v="4"/>
    <x v="1"/>
  </r>
  <r>
    <n v="699130"/>
    <s v="World War Z"/>
    <d v="2021-09-21T00:00:00"/>
    <n v="1663"/>
    <b v="0"/>
    <n v="339"/>
    <s v="GTX 1050 Ti"/>
    <x v="5"/>
    <x v="1"/>
  </r>
  <r>
    <n v="699130"/>
    <s v="World War Z"/>
    <d v="2021-09-21T00:00:00"/>
    <n v="1663"/>
    <b v="0"/>
    <n v="339"/>
    <s v="GTX 1050 Ti"/>
    <x v="6"/>
    <x v="1"/>
  </r>
  <r>
    <n v="3070070"/>
    <s v="TCG Card Shop Simulator"/>
    <d v="2024-09-15T00:00:00"/>
    <n v="1661"/>
    <b v="0"/>
    <n v="340"/>
    <s v="GTX 1070"/>
    <x v="0"/>
    <x v="1"/>
  </r>
  <r>
    <n v="3070070"/>
    <s v="TCG Card Shop Simulator"/>
    <d v="2024-09-15T00:00:00"/>
    <n v="1661"/>
    <b v="0"/>
    <n v="340"/>
    <s v="GTX 1070"/>
    <x v="1"/>
    <x v="1"/>
  </r>
  <r>
    <n v="3070070"/>
    <s v="TCG Card Shop Simulator"/>
    <d v="2024-09-15T00:00:00"/>
    <n v="1661"/>
    <b v="0"/>
    <n v="340"/>
    <s v="GTX 1070"/>
    <x v="2"/>
    <x v="1"/>
  </r>
  <r>
    <n v="3070070"/>
    <s v="TCG Card Shop Simulator"/>
    <d v="2024-09-15T00:00:00"/>
    <n v="1661"/>
    <b v="0"/>
    <n v="340"/>
    <s v="GTX 1070"/>
    <x v="3"/>
    <x v="0"/>
  </r>
  <r>
    <n v="3070070"/>
    <s v="TCG Card Shop Simulator"/>
    <d v="2024-09-15T00:00:00"/>
    <n v="1661"/>
    <b v="0"/>
    <n v="340"/>
    <s v="GTX 1070"/>
    <x v="4"/>
    <x v="1"/>
  </r>
  <r>
    <n v="3070070"/>
    <s v="TCG Card Shop Simulator"/>
    <d v="2024-09-15T00:00:00"/>
    <n v="1661"/>
    <b v="0"/>
    <n v="340"/>
    <s v="GTX 1070"/>
    <x v="5"/>
    <x v="1"/>
  </r>
  <r>
    <n v="3070070"/>
    <s v="TCG Card Shop Simulator"/>
    <d v="2024-09-15T00:00:00"/>
    <n v="1661"/>
    <b v="0"/>
    <n v="340"/>
    <s v="GTX 1070"/>
    <x v="6"/>
    <x v="1"/>
  </r>
  <r>
    <n v="635260"/>
    <s v="CarX Drift Racing Online"/>
    <d v="2017-11-17T00:00:00"/>
    <n v="1658"/>
    <b v="0"/>
    <n v="341"/>
    <s v="GTX 1060"/>
    <x v="0"/>
    <x v="1"/>
  </r>
  <r>
    <n v="635260"/>
    <s v="CarX Drift Racing Online"/>
    <d v="2017-11-17T00:00:00"/>
    <n v="1658"/>
    <b v="0"/>
    <n v="341"/>
    <s v="GTX 1060"/>
    <x v="1"/>
    <x v="1"/>
  </r>
  <r>
    <n v="635260"/>
    <s v="CarX Drift Racing Online"/>
    <d v="2017-11-17T00:00:00"/>
    <n v="1658"/>
    <b v="0"/>
    <n v="341"/>
    <s v="GTX 1060"/>
    <x v="2"/>
    <x v="1"/>
  </r>
  <r>
    <n v="635260"/>
    <s v="CarX Drift Racing Online"/>
    <d v="2017-11-17T00:00:00"/>
    <n v="1658"/>
    <b v="0"/>
    <n v="341"/>
    <s v="GTX 1060"/>
    <x v="3"/>
    <x v="0"/>
  </r>
  <r>
    <n v="635260"/>
    <s v="CarX Drift Racing Online"/>
    <d v="2017-11-17T00:00:00"/>
    <n v="1658"/>
    <b v="0"/>
    <n v="341"/>
    <s v="GTX 1060"/>
    <x v="4"/>
    <x v="1"/>
  </r>
  <r>
    <n v="635260"/>
    <s v="CarX Drift Racing Online"/>
    <d v="2017-11-17T00:00:00"/>
    <n v="1658"/>
    <b v="0"/>
    <n v="341"/>
    <s v="GTX 1060"/>
    <x v="5"/>
    <x v="1"/>
  </r>
  <r>
    <n v="635260"/>
    <s v="CarX Drift Racing Online"/>
    <d v="2017-11-17T00:00:00"/>
    <n v="1658"/>
    <b v="0"/>
    <n v="341"/>
    <s v="GTX 1060"/>
    <x v="6"/>
    <x v="1"/>
  </r>
  <r>
    <n v="815370"/>
    <s v="Green Hell"/>
    <d v="2019-09-05T00:00:00"/>
    <n v="1656"/>
    <b v="0"/>
    <n v="342"/>
    <s v="RX 580"/>
    <x v="0"/>
    <x v="0"/>
  </r>
  <r>
    <n v="815370"/>
    <s v="Green Hell"/>
    <d v="2019-09-05T00:00:00"/>
    <n v="1656"/>
    <b v="0"/>
    <n v="342"/>
    <s v="RX 580"/>
    <x v="1"/>
    <x v="0"/>
  </r>
  <r>
    <n v="815370"/>
    <s v="Green Hell"/>
    <d v="2019-09-05T00:00:00"/>
    <n v="1656"/>
    <b v="0"/>
    <n v="342"/>
    <s v="RX 580"/>
    <x v="2"/>
    <x v="0"/>
  </r>
  <r>
    <n v="815370"/>
    <s v="Green Hell"/>
    <d v="2019-09-05T00:00:00"/>
    <n v="1656"/>
    <b v="0"/>
    <n v="342"/>
    <s v="RX 580"/>
    <x v="3"/>
    <x v="0"/>
  </r>
  <r>
    <n v="815370"/>
    <s v="Green Hell"/>
    <d v="2019-09-05T00:00:00"/>
    <n v="1656"/>
    <b v="0"/>
    <n v="342"/>
    <s v="RX 580"/>
    <x v="4"/>
    <x v="1"/>
  </r>
  <r>
    <n v="815370"/>
    <s v="Green Hell"/>
    <d v="2019-09-05T00:00:00"/>
    <n v="1656"/>
    <b v="0"/>
    <n v="342"/>
    <s v="RX 580"/>
    <x v="5"/>
    <x v="1"/>
  </r>
  <r>
    <n v="815370"/>
    <s v="Green Hell"/>
    <d v="2019-09-05T00:00:00"/>
    <n v="1656"/>
    <b v="0"/>
    <n v="342"/>
    <s v="RX 580"/>
    <x v="6"/>
    <x v="1"/>
  </r>
  <r>
    <n v="2503770"/>
    <s v="House of Legacy"/>
    <d v="2025-05-14T00:00:00"/>
    <n v="1635"/>
    <b v="0"/>
    <n v="343"/>
    <s v="RTX 2060"/>
    <x v="0"/>
    <x v="1"/>
  </r>
  <r>
    <n v="2503770"/>
    <s v="House of Legacy"/>
    <d v="2025-05-14T00:00:00"/>
    <n v="1635"/>
    <b v="0"/>
    <n v="343"/>
    <s v="RTX 2060"/>
    <x v="1"/>
    <x v="1"/>
  </r>
  <r>
    <n v="2503770"/>
    <s v="House of Legacy"/>
    <d v="2025-05-14T00:00:00"/>
    <n v="1635"/>
    <b v="0"/>
    <n v="343"/>
    <s v="RTX 2060"/>
    <x v="2"/>
    <x v="0"/>
  </r>
  <r>
    <n v="2503770"/>
    <s v="House of Legacy"/>
    <d v="2025-05-14T00:00:00"/>
    <n v="1635"/>
    <b v="0"/>
    <n v="343"/>
    <s v="RTX 2060"/>
    <x v="3"/>
    <x v="0"/>
  </r>
  <r>
    <n v="2503770"/>
    <s v="House of Legacy"/>
    <d v="2025-05-14T00:00:00"/>
    <n v="1635"/>
    <b v="0"/>
    <n v="343"/>
    <s v="RTX 2060"/>
    <x v="4"/>
    <x v="0"/>
  </r>
  <r>
    <n v="2503770"/>
    <s v="House of Legacy"/>
    <d v="2025-05-14T00:00:00"/>
    <n v="1635"/>
    <b v="0"/>
    <n v="343"/>
    <s v="RTX 2060"/>
    <x v="5"/>
    <x v="0"/>
  </r>
  <r>
    <n v="2503770"/>
    <s v="House of Legacy"/>
    <d v="2025-05-14T00:00:00"/>
    <n v="1635"/>
    <b v="0"/>
    <n v="343"/>
    <s v="RTX 2060"/>
    <x v="6"/>
    <x v="1"/>
  </r>
  <r>
    <n v="1527950"/>
    <s v="Wartales"/>
    <d v="2023-04-12T00:00:00"/>
    <n v="1632"/>
    <b v="0"/>
    <n v="344"/>
    <s v="GTX 1080"/>
    <x v="0"/>
    <x v="1"/>
  </r>
  <r>
    <n v="1527950"/>
    <s v="Wartales"/>
    <d v="2023-04-12T00:00:00"/>
    <n v="1632"/>
    <b v="0"/>
    <n v="344"/>
    <s v="GTX 1080"/>
    <x v="1"/>
    <x v="0"/>
  </r>
  <r>
    <n v="1527950"/>
    <s v="Wartales"/>
    <d v="2023-04-12T00:00:00"/>
    <n v="1632"/>
    <b v="0"/>
    <n v="344"/>
    <s v="GTX 1080"/>
    <x v="2"/>
    <x v="0"/>
  </r>
  <r>
    <n v="1527950"/>
    <s v="Wartales"/>
    <d v="2023-04-12T00:00:00"/>
    <n v="1632"/>
    <b v="0"/>
    <n v="344"/>
    <s v="GTX 1080"/>
    <x v="3"/>
    <x v="1"/>
  </r>
  <r>
    <n v="1527950"/>
    <s v="Wartales"/>
    <d v="2023-04-12T00:00:00"/>
    <n v="1632"/>
    <b v="0"/>
    <n v="344"/>
    <s v="GTX 1080"/>
    <x v="4"/>
    <x v="0"/>
  </r>
  <r>
    <n v="1527950"/>
    <s v="Wartales"/>
    <d v="2023-04-12T00:00:00"/>
    <n v="1632"/>
    <b v="0"/>
    <n v="344"/>
    <s v="GTX 1080"/>
    <x v="5"/>
    <x v="0"/>
  </r>
  <r>
    <n v="1527950"/>
    <s v="Wartales"/>
    <d v="2023-04-12T00:00:00"/>
    <n v="1632"/>
    <b v="0"/>
    <n v="344"/>
    <s v="GTX 1080"/>
    <x v="6"/>
    <x v="1"/>
  </r>
  <r>
    <n v="2537590"/>
    <s v="Microsoft Flight Simulator 2024"/>
    <d v="2024-11-19T00:00:00"/>
    <n v="1622"/>
    <b v="0"/>
    <n v="345"/>
    <s v="RX 5700 XT"/>
    <x v="0"/>
    <x v="1"/>
  </r>
  <r>
    <n v="2537590"/>
    <s v="Microsoft Flight Simulator 2024"/>
    <d v="2024-11-19T00:00:00"/>
    <n v="1622"/>
    <b v="0"/>
    <n v="345"/>
    <s v="RX 5700 XT"/>
    <x v="1"/>
    <x v="1"/>
  </r>
  <r>
    <n v="2537590"/>
    <s v="Microsoft Flight Simulator 2024"/>
    <d v="2024-11-19T00:00:00"/>
    <n v="1622"/>
    <b v="0"/>
    <n v="345"/>
    <s v="RX 5700 XT"/>
    <x v="2"/>
    <x v="1"/>
  </r>
  <r>
    <n v="2537590"/>
    <s v="Microsoft Flight Simulator 2024"/>
    <d v="2024-11-19T00:00:00"/>
    <n v="1622"/>
    <b v="0"/>
    <n v="345"/>
    <s v="RX 5700 XT"/>
    <x v="3"/>
    <x v="0"/>
  </r>
  <r>
    <n v="2537590"/>
    <s v="Microsoft Flight Simulator 2024"/>
    <d v="2024-11-19T00:00:00"/>
    <n v="1622"/>
    <b v="0"/>
    <n v="345"/>
    <s v="RX 5700 XT"/>
    <x v="4"/>
    <x v="1"/>
  </r>
  <r>
    <n v="2537590"/>
    <s v="Microsoft Flight Simulator 2024"/>
    <d v="2024-11-19T00:00:00"/>
    <n v="1622"/>
    <b v="0"/>
    <n v="345"/>
    <s v="RX 5700 XT"/>
    <x v="5"/>
    <x v="1"/>
  </r>
  <r>
    <n v="2537590"/>
    <s v="Microsoft Flight Simulator 2024"/>
    <d v="2024-11-19T00:00:00"/>
    <n v="1622"/>
    <b v="0"/>
    <n v="345"/>
    <s v="RX 5700 XT"/>
    <x v="6"/>
    <x v="1"/>
  </r>
  <r>
    <n v="1468260"/>
    <s v="Leaf Blower Revolution - Idle Game"/>
    <d v="2020-12-04T00:00:00"/>
    <n v="1621"/>
    <b v="0"/>
    <n v="346"/>
    <s v="Radeon Vega 11"/>
    <x v="0"/>
    <x v="1"/>
  </r>
  <r>
    <n v="1468260"/>
    <s v="Leaf Blower Revolution - Idle Game"/>
    <d v="2020-12-04T00:00:00"/>
    <n v="1621"/>
    <b v="0"/>
    <n v="346"/>
    <s v="Radeon Vega 11"/>
    <x v="1"/>
    <x v="0"/>
  </r>
  <r>
    <n v="1468260"/>
    <s v="Leaf Blower Revolution - Idle Game"/>
    <d v="2020-12-04T00:00:00"/>
    <n v="1621"/>
    <b v="0"/>
    <n v="346"/>
    <s v="Radeon Vega 11"/>
    <x v="2"/>
    <x v="1"/>
  </r>
  <r>
    <n v="1468260"/>
    <s v="Leaf Blower Revolution - Idle Game"/>
    <d v="2020-12-04T00:00:00"/>
    <n v="1621"/>
    <b v="0"/>
    <n v="346"/>
    <s v="Radeon Vega 11"/>
    <x v="3"/>
    <x v="1"/>
  </r>
  <r>
    <n v="1468260"/>
    <s v="Leaf Blower Revolution - Idle Game"/>
    <d v="2020-12-04T00:00:00"/>
    <n v="1621"/>
    <b v="0"/>
    <n v="346"/>
    <s v="Radeon Vega 11"/>
    <x v="4"/>
    <x v="1"/>
  </r>
  <r>
    <n v="1468260"/>
    <s v="Leaf Blower Revolution - Idle Game"/>
    <d v="2020-12-04T00:00:00"/>
    <n v="1621"/>
    <b v="0"/>
    <n v="346"/>
    <s v="Radeon Vega 11"/>
    <x v="5"/>
    <x v="1"/>
  </r>
  <r>
    <n v="1468260"/>
    <s v="Leaf Blower Revolution - Idle Game"/>
    <d v="2020-12-04T00:00:00"/>
    <n v="1621"/>
    <b v="0"/>
    <n v="346"/>
    <s v="Radeon Vega 11"/>
    <x v="6"/>
    <x v="0"/>
  </r>
  <r>
    <n v="2142790"/>
    <s v="Fields of Mistria"/>
    <d v="2024-08-05T00:00:00"/>
    <n v="1616"/>
    <b v="0"/>
    <n v="347"/>
    <s v="RX 480"/>
    <x v="0"/>
    <x v="1"/>
  </r>
  <r>
    <n v="2142790"/>
    <s v="Fields of Mistria"/>
    <d v="2024-08-05T00:00:00"/>
    <n v="1616"/>
    <b v="0"/>
    <n v="347"/>
    <s v="RX 480"/>
    <x v="1"/>
    <x v="0"/>
  </r>
  <r>
    <n v="2142790"/>
    <s v="Fields of Mistria"/>
    <d v="2024-08-05T00:00:00"/>
    <n v="1616"/>
    <b v="0"/>
    <n v="347"/>
    <s v="RX 480"/>
    <x v="2"/>
    <x v="1"/>
  </r>
  <r>
    <n v="2142790"/>
    <s v="Fields of Mistria"/>
    <d v="2024-08-05T00:00:00"/>
    <n v="1616"/>
    <b v="0"/>
    <n v="347"/>
    <s v="RX 480"/>
    <x v="3"/>
    <x v="0"/>
  </r>
  <r>
    <n v="2142790"/>
    <s v="Fields of Mistria"/>
    <d v="2024-08-05T00:00:00"/>
    <n v="1616"/>
    <b v="0"/>
    <n v="347"/>
    <s v="RX 480"/>
    <x v="4"/>
    <x v="0"/>
  </r>
  <r>
    <n v="2142790"/>
    <s v="Fields of Mistria"/>
    <d v="2024-08-05T00:00:00"/>
    <n v="1616"/>
    <b v="0"/>
    <n v="347"/>
    <s v="RX 480"/>
    <x v="5"/>
    <x v="1"/>
  </r>
  <r>
    <n v="2142790"/>
    <s v="Fields of Mistria"/>
    <d v="2024-08-05T00:00:00"/>
    <n v="1616"/>
    <b v="0"/>
    <n v="347"/>
    <s v="RX 480"/>
    <x v="6"/>
    <x v="1"/>
  </r>
  <r>
    <n v="335300"/>
    <s v="DARK SOULS II: Scholar of the First Sin"/>
    <d v="2015-04-01T00:00:00"/>
    <n v="1612"/>
    <b v="0"/>
    <n v="348"/>
    <s v="R9 380"/>
    <x v="0"/>
    <x v="0"/>
  </r>
  <r>
    <n v="335300"/>
    <s v="DARK SOULS II: Scholar of the First Sin"/>
    <d v="2015-04-01T00:00:00"/>
    <n v="1612"/>
    <b v="0"/>
    <n v="348"/>
    <s v="R9 380"/>
    <x v="1"/>
    <x v="1"/>
  </r>
  <r>
    <n v="335300"/>
    <s v="DARK SOULS II: Scholar of the First Sin"/>
    <d v="2015-04-01T00:00:00"/>
    <n v="1612"/>
    <b v="0"/>
    <n v="348"/>
    <s v="R9 380"/>
    <x v="2"/>
    <x v="1"/>
  </r>
  <r>
    <n v="335300"/>
    <s v="DARK SOULS II: Scholar of the First Sin"/>
    <d v="2015-04-01T00:00:00"/>
    <n v="1612"/>
    <b v="0"/>
    <n v="348"/>
    <s v="R9 380"/>
    <x v="3"/>
    <x v="1"/>
  </r>
  <r>
    <n v="335300"/>
    <s v="DARK SOULS II: Scholar of the First Sin"/>
    <d v="2015-04-01T00:00:00"/>
    <n v="1612"/>
    <b v="0"/>
    <n v="348"/>
    <s v="R9 380"/>
    <x v="4"/>
    <x v="0"/>
  </r>
  <r>
    <n v="335300"/>
    <s v="DARK SOULS II: Scholar of the First Sin"/>
    <d v="2015-04-01T00:00:00"/>
    <n v="1612"/>
    <b v="0"/>
    <n v="348"/>
    <s v="R9 380"/>
    <x v="5"/>
    <x v="1"/>
  </r>
  <r>
    <n v="335300"/>
    <s v="DARK SOULS II: Scholar of the First Sin"/>
    <d v="2015-04-01T00:00:00"/>
    <n v="1612"/>
    <b v="0"/>
    <n v="348"/>
    <s v="R9 380"/>
    <x v="6"/>
    <x v="1"/>
  </r>
  <r>
    <n v="786520"/>
    <s v="SAO Utils: Beta"/>
    <d v="2018-03-14T00:00:00"/>
    <n v="1608"/>
    <b v="0"/>
    <n v="349"/>
    <s v="Radeon Vega 11"/>
    <x v="0"/>
    <x v="1"/>
  </r>
  <r>
    <n v="786520"/>
    <s v="SAO Utils: Beta"/>
    <d v="2018-03-14T00:00:00"/>
    <n v="1608"/>
    <b v="0"/>
    <n v="349"/>
    <s v="Radeon Vega 11"/>
    <x v="1"/>
    <x v="1"/>
  </r>
  <r>
    <n v="786520"/>
    <s v="SAO Utils: Beta"/>
    <d v="2018-03-14T00:00:00"/>
    <n v="1608"/>
    <b v="0"/>
    <n v="349"/>
    <s v="Radeon Vega 11"/>
    <x v="2"/>
    <x v="1"/>
  </r>
  <r>
    <n v="786520"/>
    <s v="SAO Utils: Beta"/>
    <d v="2018-03-14T00:00:00"/>
    <n v="1608"/>
    <b v="0"/>
    <n v="349"/>
    <s v="Radeon Vega 11"/>
    <x v="3"/>
    <x v="1"/>
  </r>
  <r>
    <n v="786520"/>
    <s v="SAO Utils: Beta"/>
    <d v="2018-03-14T00:00:00"/>
    <n v="1608"/>
    <b v="0"/>
    <n v="349"/>
    <s v="Radeon Vega 11"/>
    <x v="4"/>
    <x v="1"/>
  </r>
  <r>
    <n v="786520"/>
    <s v="SAO Utils: Beta"/>
    <d v="2018-03-14T00:00:00"/>
    <n v="1608"/>
    <b v="0"/>
    <n v="349"/>
    <s v="Radeon Vega 11"/>
    <x v="5"/>
    <x v="1"/>
  </r>
  <r>
    <n v="786520"/>
    <s v="SAO Utils: Beta"/>
    <d v="2018-03-14T00:00:00"/>
    <n v="1608"/>
    <b v="0"/>
    <n v="349"/>
    <s v="Radeon Vega 11"/>
    <x v="6"/>
    <x v="1"/>
  </r>
  <r>
    <n v="1850570"/>
    <s v="DEATH STRANDING DIRECTOR'S CUT"/>
    <d v="2022-03-30T00:00:00"/>
    <n v="1604"/>
    <b v="0"/>
    <n v="350"/>
    <s v="GTX 1060"/>
    <x v="0"/>
    <x v="0"/>
  </r>
  <r>
    <n v="1850570"/>
    <s v="DEATH STRANDING DIRECTOR'S CUT"/>
    <d v="2022-03-30T00:00:00"/>
    <n v="1604"/>
    <b v="0"/>
    <n v="350"/>
    <s v="GTX 1060"/>
    <x v="1"/>
    <x v="1"/>
  </r>
  <r>
    <n v="1850570"/>
    <s v="DEATH STRANDING DIRECTOR'S CUT"/>
    <d v="2022-03-30T00:00:00"/>
    <n v="1604"/>
    <b v="0"/>
    <n v="350"/>
    <s v="GTX 1060"/>
    <x v="2"/>
    <x v="0"/>
  </r>
  <r>
    <n v="1850570"/>
    <s v="DEATH STRANDING DIRECTOR'S CUT"/>
    <d v="2022-03-30T00:00:00"/>
    <n v="1604"/>
    <b v="0"/>
    <n v="350"/>
    <s v="GTX 1060"/>
    <x v="3"/>
    <x v="1"/>
  </r>
  <r>
    <n v="1850570"/>
    <s v="DEATH STRANDING DIRECTOR'S CUT"/>
    <d v="2022-03-30T00:00:00"/>
    <n v="1604"/>
    <b v="0"/>
    <n v="350"/>
    <s v="GTX 1060"/>
    <x v="4"/>
    <x v="1"/>
  </r>
  <r>
    <n v="1850570"/>
    <s v="DEATH STRANDING DIRECTOR'S CUT"/>
    <d v="2022-03-30T00:00:00"/>
    <n v="1604"/>
    <b v="0"/>
    <n v="350"/>
    <s v="GTX 1060"/>
    <x v="5"/>
    <x v="1"/>
  </r>
  <r>
    <n v="1850570"/>
    <s v="DEATH STRANDING DIRECTOR'S CUT"/>
    <d v="2022-03-30T00:00:00"/>
    <n v="1604"/>
    <b v="0"/>
    <n v="350"/>
    <s v="GTX 1060"/>
    <x v="6"/>
    <x v="1"/>
  </r>
  <r>
    <n v="582160"/>
    <s v="Assassin's Creed Origins"/>
    <d v="2017-10-26T00:00:00"/>
    <n v="1604"/>
    <b v="0"/>
    <n v="350"/>
    <s v="GTX 1050"/>
    <x v="0"/>
    <x v="0"/>
  </r>
  <r>
    <n v="582160"/>
    <s v="Assassin's Creed Origins"/>
    <d v="2017-10-26T00:00:00"/>
    <n v="1604"/>
    <b v="0"/>
    <n v="350"/>
    <s v="GTX 1050"/>
    <x v="1"/>
    <x v="1"/>
  </r>
  <r>
    <n v="582160"/>
    <s v="Assassin's Creed Origins"/>
    <d v="2017-10-26T00:00:00"/>
    <n v="1604"/>
    <b v="0"/>
    <n v="350"/>
    <s v="GTX 1050"/>
    <x v="2"/>
    <x v="0"/>
  </r>
  <r>
    <n v="582160"/>
    <s v="Assassin's Creed Origins"/>
    <d v="2017-10-26T00:00:00"/>
    <n v="1604"/>
    <b v="0"/>
    <n v="350"/>
    <s v="GTX 1050"/>
    <x v="3"/>
    <x v="1"/>
  </r>
  <r>
    <n v="582160"/>
    <s v="Assassin's Creed Origins"/>
    <d v="2017-10-26T00:00:00"/>
    <n v="1604"/>
    <b v="0"/>
    <n v="350"/>
    <s v="GTX 1050"/>
    <x v="4"/>
    <x v="0"/>
  </r>
  <r>
    <n v="582160"/>
    <s v="Assassin's Creed Origins"/>
    <d v="2017-10-26T00:00:00"/>
    <n v="1604"/>
    <b v="0"/>
    <n v="350"/>
    <s v="GTX 1050"/>
    <x v="5"/>
    <x v="1"/>
  </r>
  <r>
    <n v="582160"/>
    <s v="Assassin's Creed Origins"/>
    <d v="2017-10-26T00:00:00"/>
    <n v="1604"/>
    <b v="0"/>
    <n v="350"/>
    <s v="GTX 1050"/>
    <x v="6"/>
    <x v="1"/>
  </r>
  <r>
    <n v="1259420"/>
    <s v="Days Gone"/>
    <d v="2021-05-17T00:00:00"/>
    <n v="1600"/>
    <b v="0"/>
    <n v="352"/>
    <s v="RX 580"/>
    <x v="0"/>
    <x v="0"/>
  </r>
  <r>
    <n v="1259420"/>
    <s v="Days Gone"/>
    <d v="2021-05-17T00:00:00"/>
    <n v="1600"/>
    <b v="0"/>
    <n v="352"/>
    <s v="RX 580"/>
    <x v="1"/>
    <x v="1"/>
  </r>
  <r>
    <n v="1259420"/>
    <s v="Days Gone"/>
    <d v="2021-05-17T00:00:00"/>
    <n v="1600"/>
    <b v="0"/>
    <n v="352"/>
    <s v="RX 580"/>
    <x v="2"/>
    <x v="0"/>
  </r>
  <r>
    <n v="1259420"/>
    <s v="Days Gone"/>
    <d v="2021-05-17T00:00:00"/>
    <n v="1600"/>
    <b v="0"/>
    <n v="352"/>
    <s v="RX 580"/>
    <x v="3"/>
    <x v="1"/>
  </r>
  <r>
    <n v="1259420"/>
    <s v="Days Gone"/>
    <d v="2021-05-17T00:00:00"/>
    <n v="1600"/>
    <b v="0"/>
    <n v="352"/>
    <s v="RX 580"/>
    <x v="4"/>
    <x v="1"/>
  </r>
  <r>
    <n v="1259420"/>
    <s v="Days Gone"/>
    <d v="2021-05-17T00:00:00"/>
    <n v="1600"/>
    <b v="0"/>
    <n v="352"/>
    <s v="RX 580"/>
    <x v="5"/>
    <x v="1"/>
  </r>
  <r>
    <n v="1259420"/>
    <s v="Days Gone"/>
    <d v="2021-05-17T00:00:00"/>
    <n v="1600"/>
    <b v="0"/>
    <n v="352"/>
    <s v="RX 580"/>
    <x v="6"/>
    <x v="1"/>
  </r>
  <r>
    <n v="2322010"/>
    <s v="God of War Ragnarﾃｶk"/>
    <d v="2024-09-19T00:00:00"/>
    <n v="1591"/>
    <b v="0"/>
    <n v="353"/>
    <s v="RTX 2060 SUPER"/>
    <x v="0"/>
    <x v="0"/>
  </r>
  <r>
    <n v="2322010"/>
    <s v="God of War Ragnarﾃｶk"/>
    <d v="2024-09-19T00:00:00"/>
    <n v="1591"/>
    <b v="0"/>
    <n v="353"/>
    <s v="RTX 2060 SUPER"/>
    <x v="1"/>
    <x v="1"/>
  </r>
  <r>
    <n v="2322010"/>
    <s v="God of War Ragnarﾃｶk"/>
    <d v="2024-09-19T00:00:00"/>
    <n v="1591"/>
    <b v="0"/>
    <n v="353"/>
    <s v="RTX 2060 SUPER"/>
    <x v="2"/>
    <x v="0"/>
  </r>
  <r>
    <n v="2322010"/>
    <s v="God of War Ragnarﾃｶk"/>
    <d v="2024-09-19T00:00:00"/>
    <n v="1591"/>
    <b v="0"/>
    <n v="353"/>
    <s v="RTX 2060 SUPER"/>
    <x v="3"/>
    <x v="1"/>
  </r>
  <r>
    <n v="2322010"/>
    <s v="God of War Ragnarﾃｶk"/>
    <d v="2024-09-19T00:00:00"/>
    <n v="1591"/>
    <b v="0"/>
    <n v="353"/>
    <s v="RTX 2060 SUPER"/>
    <x v="4"/>
    <x v="0"/>
  </r>
  <r>
    <n v="2322010"/>
    <s v="God of War Ragnarﾃｶk"/>
    <d v="2024-09-19T00:00:00"/>
    <n v="1591"/>
    <b v="0"/>
    <n v="353"/>
    <s v="RTX 2060 SUPER"/>
    <x v="5"/>
    <x v="1"/>
  </r>
  <r>
    <n v="2322010"/>
    <s v="God of War Ragnarﾃｶk"/>
    <d v="2024-09-19T00:00:00"/>
    <n v="1591"/>
    <b v="0"/>
    <n v="353"/>
    <s v="RTX 2060 SUPER"/>
    <x v="6"/>
    <x v="1"/>
  </r>
  <r>
    <n v="379720"/>
    <s v="DOOM"/>
    <d v="2016-05-12T00:00:00"/>
    <n v="1590"/>
    <b v="0"/>
    <n v="354"/>
    <s v="GTX 970"/>
    <x v="0"/>
    <x v="0"/>
  </r>
  <r>
    <n v="379720"/>
    <s v="DOOM"/>
    <d v="2016-05-12T00:00:00"/>
    <n v="1590"/>
    <b v="0"/>
    <n v="354"/>
    <s v="GTX 970"/>
    <x v="1"/>
    <x v="1"/>
  </r>
  <r>
    <n v="379720"/>
    <s v="DOOM"/>
    <d v="2016-05-12T00:00:00"/>
    <n v="1590"/>
    <b v="0"/>
    <n v="354"/>
    <s v="GTX 970"/>
    <x v="2"/>
    <x v="1"/>
  </r>
  <r>
    <n v="379720"/>
    <s v="DOOM"/>
    <d v="2016-05-12T00:00:00"/>
    <n v="1590"/>
    <b v="0"/>
    <n v="354"/>
    <s v="GTX 970"/>
    <x v="3"/>
    <x v="1"/>
  </r>
  <r>
    <n v="379720"/>
    <s v="DOOM"/>
    <d v="2016-05-12T00:00:00"/>
    <n v="1590"/>
    <b v="0"/>
    <n v="354"/>
    <s v="GTX 970"/>
    <x v="4"/>
    <x v="1"/>
  </r>
  <r>
    <n v="379720"/>
    <s v="DOOM"/>
    <d v="2016-05-12T00:00:00"/>
    <n v="1590"/>
    <b v="0"/>
    <n v="354"/>
    <s v="GTX 970"/>
    <x v="5"/>
    <x v="1"/>
  </r>
  <r>
    <n v="379720"/>
    <s v="DOOM"/>
    <d v="2016-05-12T00:00:00"/>
    <n v="1590"/>
    <b v="0"/>
    <n v="354"/>
    <s v="GTX 970"/>
    <x v="6"/>
    <x v="1"/>
  </r>
  <r>
    <n v="1206560"/>
    <s v="WorldBox - God Simulator"/>
    <d v="2021-12-02T00:00:00"/>
    <n v="1589"/>
    <b v="1"/>
    <n v="355"/>
    <s v="Radeon Vega 11"/>
    <x v="0"/>
    <x v="1"/>
  </r>
  <r>
    <n v="1206560"/>
    <s v="WorldBox - God Simulator"/>
    <d v="2021-12-02T00:00:00"/>
    <n v="1589"/>
    <b v="1"/>
    <n v="355"/>
    <s v="Radeon Vega 11"/>
    <x v="1"/>
    <x v="0"/>
  </r>
  <r>
    <n v="1206560"/>
    <s v="WorldBox - God Simulator"/>
    <d v="2021-12-02T00:00:00"/>
    <n v="1589"/>
    <b v="1"/>
    <n v="355"/>
    <s v="Radeon Vega 11"/>
    <x v="2"/>
    <x v="1"/>
  </r>
  <r>
    <n v="1206560"/>
    <s v="WorldBox - God Simulator"/>
    <d v="2021-12-02T00:00:00"/>
    <n v="1589"/>
    <b v="1"/>
    <n v="355"/>
    <s v="Radeon Vega 11"/>
    <x v="3"/>
    <x v="0"/>
  </r>
  <r>
    <n v="1206560"/>
    <s v="WorldBox - God Simulator"/>
    <d v="2021-12-02T00:00:00"/>
    <n v="1589"/>
    <b v="1"/>
    <n v="355"/>
    <s v="Radeon Vega 11"/>
    <x v="4"/>
    <x v="1"/>
  </r>
  <r>
    <n v="1206560"/>
    <s v="WorldBox - God Simulator"/>
    <d v="2021-12-02T00:00:00"/>
    <n v="1589"/>
    <b v="1"/>
    <n v="355"/>
    <s v="Radeon Vega 11"/>
    <x v="5"/>
    <x v="1"/>
  </r>
  <r>
    <n v="1206560"/>
    <s v="WorldBox - God Simulator"/>
    <d v="2021-12-02T00:00:00"/>
    <n v="1589"/>
    <b v="1"/>
    <n v="355"/>
    <s v="Radeon Vega 11"/>
    <x v="6"/>
    <x v="1"/>
  </r>
  <r>
    <n v="208650"/>
    <s v="Batman: Arkham Knight"/>
    <d v="2015-06-23T00:00:00"/>
    <n v="1587"/>
    <b v="0"/>
    <n v="356"/>
    <s v="GTX 950"/>
    <x v="0"/>
    <x v="0"/>
  </r>
  <r>
    <n v="208650"/>
    <s v="Batman: Arkham Knight"/>
    <d v="2015-06-23T00:00:00"/>
    <n v="1587"/>
    <b v="0"/>
    <n v="356"/>
    <s v="GTX 950"/>
    <x v="1"/>
    <x v="1"/>
  </r>
  <r>
    <n v="208650"/>
    <s v="Batman: Arkham Knight"/>
    <d v="2015-06-23T00:00:00"/>
    <n v="1587"/>
    <b v="0"/>
    <n v="356"/>
    <s v="GTX 950"/>
    <x v="2"/>
    <x v="0"/>
  </r>
  <r>
    <n v="208650"/>
    <s v="Batman: Arkham Knight"/>
    <d v="2015-06-23T00:00:00"/>
    <n v="1587"/>
    <b v="0"/>
    <n v="356"/>
    <s v="GTX 950"/>
    <x v="3"/>
    <x v="1"/>
  </r>
  <r>
    <n v="208650"/>
    <s v="Batman: Arkham Knight"/>
    <d v="2015-06-23T00:00:00"/>
    <n v="1587"/>
    <b v="0"/>
    <n v="356"/>
    <s v="GTX 950"/>
    <x v="4"/>
    <x v="1"/>
  </r>
  <r>
    <n v="208650"/>
    <s v="Batman: Arkham Knight"/>
    <d v="2015-06-23T00:00:00"/>
    <n v="1587"/>
    <b v="0"/>
    <n v="356"/>
    <s v="GTX 950"/>
    <x v="5"/>
    <x v="1"/>
  </r>
  <r>
    <n v="208650"/>
    <s v="Batman: Arkham Knight"/>
    <d v="2015-06-23T00:00:00"/>
    <n v="1587"/>
    <b v="0"/>
    <n v="356"/>
    <s v="GTX 950"/>
    <x v="6"/>
    <x v="1"/>
  </r>
  <r>
    <n v="1227890"/>
    <s v="Summer Memories"/>
    <d v="2020-06-14T00:00:00"/>
    <n v="1585"/>
    <b v="0"/>
    <n v="357"/>
    <s v="Radeon Vega 8"/>
    <x v="0"/>
    <x v="1"/>
  </r>
  <r>
    <n v="1227890"/>
    <s v="Summer Memories"/>
    <d v="2020-06-14T00:00:00"/>
    <n v="1585"/>
    <b v="0"/>
    <n v="357"/>
    <s v="Radeon Vega 8"/>
    <x v="1"/>
    <x v="1"/>
  </r>
  <r>
    <n v="1227890"/>
    <s v="Summer Memories"/>
    <d v="2020-06-14T00:00:00"/>
    <n v="1585"/>
    <b v="0"/>
    <n v="357"/>
    <s v="Radeon Vega 8"/>
    <x v="2"/>
    <x v="0"/>
  </r>
  <r>
    <n v="1227890"/>
    <s v="Summer Memories"/>
    <d v="2020-06-14T00:00:00"/>
    <n v="1585"/>
    <b v="0"/>
    <n v="357"/>
    <s v="Radeon Vega 8"/>
    <x v="3"/>
    <x v="1"/>
  </r>
  <r>
    <n v="1227890"/>
    <s v="Summer Memories"/>
    <d v="2020-06-14T00:00:00"/>
    <n v="1585"/>
    <b v="0"/>
    <n v="357"/>
    <s v="Radeon Vega 8"/>
    <x v="4"/>
    <x v="0"/>
  </r>
  <r>
    <n v="1227890"/>
    <s v="Summer Memories"/>
    <d v="2020-06-14T00:00:00"/>
    <n v="1585"/>
    <b v="0"/>
    <n v="357"/>
    <s v="Radeon Vega 8"/>
    <x v="5"/>
    <x v="1"/>
  </r>
  <r>
    <n v="1227890"/>
    <s v="Summer Memories"/>
    <d v="2020-06-14T00:00:00"/>
    <n v="1585"/>
    <b v="0"/>
    <n v="357"/>
    <s v="Radeon Vega 8"/>
    <x v="6"/>
    <x v="1"/>
  </r>
  <r>
    <n v="1282100"/>
    <s v="REMNANT II"/>
    <d v="2023-07-25T00:00:00"/>
    <n v="1573"/>
    <b v="0"/>
    <n v="358"/>
    <s v="RTX 2060"/>
    <x v="0"/>
    <x v="0"/>
  </r>
  <r>
    <n v="1282100"/>
    <s v="REMNANT II"/>
    <d v="2023-07-25T00:00:00"/>
    <n v="1573"/>
    <b v="0"/>
    <n v="358"/>
    <s v="RTX 2060"/>
    <x v="1"/>
    <x v="1"/>
  </r>
  <r>
    <n v="1282100"/>
    <s v="REMNANT II"/>
    <d v="2023-07-25T00:00:00"/>
    <n v="1573"/>
    <b v="0"/>
    <n v="358"/>
    <s v="RTX 2060"/>
    <x v="2"/>
    <x v="0"/>
  </r>
  <r>
    <n v="1282100"/>
    <s v="REMNANT II"/>
    <d v="2023-07-25T00:00:00"/>
    <n v="1573"/>
    <b v="0"/>
    <n v="358"/>
    <s v="RTX 2060"/>
    <x v="3"/>
    <x v="1"/>
  </r>
  <r>
    <n v="1282100"/>
    <s v="REMNANT II"/>
    <d v="2023-07-25T00:00:00"/>
    <n v="1573"/>
    <b v="0"/>
    <n v="358"/>
    <s v="RTX 2060"/>
    <x v="4"/>
    <x v="0"/>
  </r>
  <r>
    <n v="1282100"/>
    <s v="REMNANT II"/>
    <d v="2023-07-25T00:00:00"/>
    <n v="1573"/>
    <b v="0"/>
    <n v="358"/>
    <s v="RTX 2060"/>
    <x v="5"/>
    <x v="1"/>
  </r>
  <r>
    <n v="1282100"/>
    <s v="REMNANT II"/>
    <d v="2023-07-25T00:00:00"/>
    <n v="1573"/>
    <b v="0"/>
    <n v="358"/>
    <s v="RTX 2060"/>
    <x v="6"/>
    <x v="1"/>
  </r>
  <r>
    <n v="2853590"/>
    <s v="Void War"/>
    <d v="2025-06-02T00:00:00"/>
    <n v="1571"/>
    <b v="0"/>
    <n v="359"/>
    <s v="Radeon Vega 11"/>
    <x v="0"/>
    <x v="1"/>
  </r>
  <r>
    <n v="2853590"/>
    <s v="Void War"/>
    <d v="2025-06-02T00:00:00"/>
    <n v="1571"/>
    <b v="0"/>
    <n v="359"/>
    <s v="Radeon Vega 11"/>
    <x v="1"/>
    <x v="0"/>
  </r>
  <r>
    <n v="2853590"/>
    <s v="Void War"/>
    <d v="2025-06-02T00:00:00"/>
    <n v="1571"/>
    <b v="0"/>
    <n v="359"/>
    <s v="Radeon Vega 11"/>
    <x v="2"/>
    <x v="0"/>
  </r>
  <r>
    <n v="2853590"/>
    <s v="Void War"/>
    <d v="2025-06-02T00:00:00"/>
    <n v="1571"/>
    <b v="0"/>
    <n v="359"/>
    <s v="Radeon Vega 11"/>
    <x v="3"/>
    <x v="0"/>
  </r>
  <r>
    <n v="2853590"/>
    <s v="Void War"/>
    <d v="2025-06-02T00:00:00"/>
    <n v="1571"/>
    <b v="0"/>
    <n v="359"/>
    <s v="Radeon Vega 11"/>
    <x v="4"/>
    <x v="0"/>
  </r>
  <r>
    <n v="2853590"/>
    <s v="Void War"/>
    <d v="2025-06-02T00:00:00"/>
    <n v="1571"/>
    <b v="0"/>
    <n v="359"/>
    <s v="Radeon Vega 11"/>
    <x v="5"/>
    <x v="0"/>
  </r>
  <r>
    <n v="2853590"/>
    <s v="Void War"/>
    <d v="2025-06-02T00:00:00"/>
    <n v="1571"/>
    <b v="0"/>
    <n v="359"/>
    <s v="Radeon Vega 11"/>
    <x v="6"/>
    <x v="1"/>
  </r>
  <r>
    <n v="212680"/>
    <s v="FTL: Faster Than Light"/>
    <d v="2012-09-14T00:00:00"/>
    <n v="1566"/>
    <b v="1"/>
    <n v="360"/>
    <s v="Radeon Graphics"/>
    <x v="0"/>
    <x v="1"/>
  </r>
  <r>
    <n v="212680"/>
    <s v="FTL: Faster Than Light"/>
    <d v="2012-09-14T00:00:00"/>
    <n v="1566"/>
    <b v="1"/>
    <n v="360"/>
    <s v="Radeon Graphics"/>
    <x v="1"/>
    <x v="0"/>
  </r>
  <r>
    <n v="212680"/>
    <s v="FTL: Faster Than Light"/>
    <d v="2012-09-14T00:00:00"/>
    <n v="1566"/>
    <b v="1"/>
    <n v="360"/>
    <s v="Radeon Graphics"/>
    <x v="2"/>
    <x v="1"/>
  </r>
  <r>
    <n v="212680"/>
    <s v="FTL: Faster Than Light"/>
    <d v="2012-09-14T00:00:00"/>
    <n v="1566"/>
    <b v="1"/>
    <n v="360"/>
    <s v="Radeon Graphics"/>
    <x v="3"/>
    <x v="0"/>
  </r>
  <r>
    <n v="212680"/>
    <s v="FTL: Faster Than Light"/>
    <d v="2012-09-14T00:00:00"/>
    <n v="1566"/>
    <b v="1"/>
    <n v="360"/>
    <s v="Radeon Graphics"/>
    <x v="4"/>
    <x v="1"/>
  </r>
  <r>
    <n v="212680"/>
    <s v="FTL: Faster Than Light"/>
    <d v="2012-09-14T00:00:00"/>
    <n v="1566"/>
    <b v="1"/>
    <n v="360"/>
    <s v="Radeon Graphics"/>
    <x v="5"/>
    <x v="0"/>
  </r>
  <r>
    <n v="212680"/>
    <s v="FTL: Faster Than Light"/>
    <d v="2012-09-14T00:00:00"/>
    <n v="1566"/>
    <b v="1"/>
    <n v="360"/>
    <s v="Radeon Graphics"/>
    <x v="6"/>
    <x v="1"/>
  </r>
  <r>
    <n v="1824220"/>
    <s v="Chivalry 2"/>
    <d v="2022-06-12T00:00:00"/>
    <n v="1565"/>
    <b v="0"/>
    <n v="361"/>
    <s v="GTX 1070"/>
    <x v="0"/>
    <x v="0"/>
  </r>
  <r>
    <n v="1824220"/>
    <s v="Chivalry 2"/>
    <d v="2022-06-12T00:00:00"/>
    <n v="1565"/>
    <b v="0"/>
    <n v="361"/>
    <s v="GTX 1070"/>
    <x v="1"/>
    <x v="1"/>
  </r>
  <r>
    <n v="1824220"/>
    <s v="Chivalry 2"/>
    <d v="2022-06-12T00:00:00"/>
    <n v="1565"/>
    <b v="0"/>
    <n v="361"/>
    <s v="GTX 1070"/>
    <x v="2"/>
    <x v="1"/>
  </r>
  <r>
    <n v="1824220"/>
    <s v="Chivalry 2"/>
    <d v="2022-06-12T00:00:00"/>
    <n v="1565"/>
    <b v="0"/>
    <n v="361"/>
    <s v="GTX 1070"/>
    <x v="3"/>
    <x v="1"/>
  </r>
  <r>
    <n v="1824220"/>
    <s v="Chivalry 2"/>
    <d v="2022-06-12T00:00:00"/>
    <n v="1565"/>
    <b v="0"/>
    <n v="361"/>
    <s v="GTX 1070"/>
    <x v="4"/>
    <x v="1"/>
  </r>
  <r>
    <n v="1824220"/>
    <s v="Chivalry 2"/>
    <d v="2022-06-12T00:00:00"/>
    <n v="1565"/>
    <b v="0"/>
    <n v="361"/>
    <s v="GTX 1070"/>
    <x v="5"/>
    <x v="1"/>
  </r>
  <r>
    <n v="1824220"/>
    <s v="Chivalry 2"/>
    <d v="2022-06-12T00:00:00"/>
    <n v="1565"/>
    <b v="0"/>
    <n v="361"/>
    <s v="GTX 1070"/>
    <x v="6"/>
    <x v="1"/>
  </r>
  <r>
    <n v="1934680"/>
    <s v="Age of Mythology: Retold"/>
    <d v="2024-09-04T00:00:00"/>
    <n v="1559"/>
    <b v="0"/>
    <n v="362"/>
    <s v="GTX 970"/>
    <x v="0"/>
    <x v="1"/>
  </r>
  <r>
    <n v="1934680"/>
    <s v="Age of Mythology: Retold"/>
    <d v="2024-09-04T00:00:00"/>
    <n v="1559"/>
    <b v="0"/>
    <n v="362"/>
    <s v="GTX 970"/>
    <x v="1"/>
    <x v="1"/>
  </r>
  <r>
    <n v="1934680"/>
    <s v="Age of Mythology: Retold"/>
    <d v="2024-09-04T00:00:00"/>
    <n v="1559"/>
    <b v="0"/>
    <n v="362"/>
    <s v="GTX 970"/>
    <x v="2"/>
    <x v="1"/>
  </r>
  <r>
    <n v="1934680"/>
    <s v="Age of Mythology: Retold"/>
    <d v="2024-09-04T00:00:00"/>
    <n v="1559"/>
    <b v="0"/>
    <n v="362"/>
    <s v="GTX 970"/>
    <x v="3"/>
    <x v="1"/>
  </r>
  <r>
    <n v="1934680"/>
    <s v="Age of Mythology: Retold"/>
    <d v="2024-09-04T00:00:00"/>
    <n v="1559"/>
    <b v="0"/>
    <n v="362"/>
    <s v="GTX 970"/>
    <x v="4"/>
    <x v="1"/>
  </r>
  <r>
    <n v="1934680"/>
    <s v="Age of Mythology: Retold"/>
    <d v="2024-09-04T00:00:00"/>
    <n v="1559"/>
    <b v="0"/>
    <n v="362"/>
    <s v="GTX 970"/>
    <x v="5"/>
    <x v="0"/>
  </r>
  <r>
    <n v="1934680"/>
    <s v="Age of Mythology: Retold"/>
    <d v="2024-09-04T00:00:00"/>
    <n v="1559"/>
    <b v="0"/>
    <n v="362"/>
    <s v="GTX 970"/>
    <x v="6"/>
    <x v="1"/>
  </r>
  <r>
    <n v="220"/>
    <s v="Half-Life 2"/>
    <d v="2004-11-16T00:00:00"/>
    <n v="1555"/>
    <b v="0"/>
    <n v="363"/>
    <s v="Intel HD Graphics"/>
    <x v="0"/>
    <x v="0"/>
  </r>
  <r>
    <n v="220"/>
    <s v="Half-Life 2"/>
    <d v="2004-11-16T00:00:00"/>
    <n v="1555"/>
    <b v="0"/>
    <n v="363"/>
    <s v="Intel HD Graphics"/>
    <x v="1"/>
    <x v="1"/>
  </r>
  <r>
    <n v="220"/>
    <s v="Half-Life 2"/>
    <d v="2004-11-16T00:00:00"/>
    <n v="1555"/>
    <b v="0"/>
    <n v="363"/>
    <s v="Intel HD Graphics"/>
    <x v="2"/>
    <x v="1"/>
  </r>
  <r>
    <n v="220"/>
    <s v="Half-Life 2"/>
    <d v="2004-11-16T00:00:00"/>
    <n v="1555"/>
    <b v="0"/>
    <n v="363"/>
    <s v="Intel HD Graphics"/>
    <x v="3"/>
    <x v="1"/>
  </r>
  <r>
    <n v="220"/>
    <s v="Half-Life 2"/>
    <d v="2004-11-16T00:00:00"/>
    <n v="1555"/>
    <b v="0"/>
    <n v="363"/>
    <s v="Intel HD Graphics"/>
    <x v="4"/>
    <x v="1"/>
  </r>
  <r>
    <n v="220"/>
    <s v="Half-Life 2"/>
    <d v="2004-11-16T00:00:00"/>
    <n v="1555"/>
    <b v="0"/>
    <n v="363"/>
    <s v="Intel HD Graphics"/>
    <x v="5"/>
    <x v="1"/>
  </r>
  <r>
    <n v="220"/>
    <s v="Half-Life 2"/>
    <d v="2004-11-16T00:00:00"/>
    <n v="1555"/>
    <b v="0"/>
    <n v="363"/>
    <s v="Intel HD Graphics"/>
    <x v="6"/>
    <x v="1"/>
  </r>
  <r>
    <n v="2617700"/>
    <s v="Tinkerlands"/>
    <d v="2025-05-23T00:00:00"/>
    <n v="1543"/>
    <b v="0"/>
    <n v="364"/>
    <s v="GTX 970"/>
    <x v="0"/>
    <x v="0"/>
  </r>
  <r>
    <n v="2617700"/>
    <s v="Tinkerlands"/>
    <d v="2025-05-23T00:00:00"/>
    <n v="1543"/>
    <b v="0"/>
    <n v="364"/>
    <s v="GTX 970"/>
    <x v="1"/>
    <x v="0"/>
  </r>
  <r>
    <n v="2617700"/>
    <s v="Tinkerlands"/>
    <d v="2025-05-23T00:00:00"/>
    <n v="1543"/>
    <b v="0"/>
    <n v="364"/>
    <s v="GTX 970"/>
    <x v="2"/>
    <x v="0"/>
  </r>
  <r>
    <n v="2617700"/>
    <s v="Tinkerlands"/>
    <d v="2025-05-23T00:00:00"/>
    <n v="1543"/>
    <b v="0"/>
    <n v="364"/>
    <s v="GTX 970"/>
    <x v="3"/>
    <x v="0"/>
  </r>
  <r>
    <n v="2617700"/>
    <s v="Tinkerlands"/>
    <d v="2025-05-23T00:00:00"/>
    <n v="1543"/>
    <b v="0"/>
    <n v="364"/>
    <s v="GTX 970"/>
    <x v="4"/>
    <x v="0"/>
  </r>
  <r>
    <n v="2617700"/>
    <s v="Tinkerlands"/>
    <d v="2025-05-23T00:00:00"/>
    <n v="1543"/>
    <b v="0"/>
    <n v="364"/>
    <s v="GTX 970"/>
    <x v="5"/>
    <x v="0"/>
  </r>
  <r>
    <n v="2617700"/>
    <s v="Tinkerlands"/>
    <d v="2025-05-23T00:00:00"/>
    <n v="1543"/>
    <b v="0"/>
    <n v="364"/>
    <s v="GTX 970"/>
    <x v="6"/>
    <x v="1"/>
  </r>
  <r>
    <n v="1029690"/>
    <s v="Sniper Elite 5"/>
    <d v="2022-05-25T00:00:00"/>
    <n v="1538"/>
    <b v="0"/>
    <n v="365"/>
    <s v="RTX 2060"/>
    <x v="0"/>
    <x v="0"/>
  </r>
  <r>
    <n v="1029690"/>
    <s v="Sniper Elite 5"/>
    <d v="2022-05-25T00:00:00"/>
    <n v="1538"/>
    <b v="0"/>
    <n v="365"/>
    <s v="RTX 2060"/>
    <x v="1"/>
    <x v="1"/>
  </r>
  <r>
    <n v="1029690"/>
    <s v="Sniper Elite 5"/>
    <d v="2022-05-25T00:00:00"/>
    <n v="1538"/>
    <b v="0"/>
    <n v="365"/>
    <s v="RTX 2060"/>
    <x v="2"/>
    <x v="0"/>
  </r>
  <r>
    <n v="1029690"/>
    <s v="Sniper Elite 5"/>
    <d v="2022-05-25T00:00:00"/>
    <n v="1538"/>
    <b v="0"/>
    <n v="365"/>
    <s v="RTX 2060"/>
    <x v="3"/>
    <x v="1"/>
  </r>
  <r>
    <n v="1029690"/>
    <s v="Sniper Elite 5"/>
    <d v="2022-05-25T00:00:00"/>
    <n v="1538"/>
    <b v="0"/>
    <n v="365"/>
    <s v="RTX 2060"/>
    <x v="4"/>
    <x v="1"/>
  </r>
  <r>
    <n v="1029690"/>
    <s v="Sniper Elite 5"/>
    <d v="2022-05-25T00:00:00"/>
    <n v="1538"/>
    <b v="0"/>
    <n v="365"/>
    <s v="RTX 2060"/>
    <x v="5"/>
    <x v="1"/>
  </r>
  <r>
    <n v="1029690"/>
    <s v="Sniper Elite 5"/>
    <d v="2022-05-25T00:00:00"/>
    <n v="1538"/>
    <b v="0"/>
    <n v="365"/>
    <s v="RTX 2060"/>
    <x v="6"/>
    <x v="1"/>
  </r>
  <r>
    <n v="1313140"/>
    <s v="Cult of the Lamb"/>
    <d v="2022-08-11T00:00:00"/>
    <n v="1535"/>
    <b v="1"/>
    <n v="366"/>
    <s v="GTX 1050"/>
    <x v="0"/>
    <x v="0"/>
  </r>
  <r>
    <n v="1313140"/>
    <s v="Cult of the Lamb"/>
    <d v="2022-08-11T00:00:00"/>
    <n v="1535"/>
    <b v="1"/>
    <n v="366"/>
    <s v="GTX 1050"/>
    <x v="1"/>
    <x v="0"/>
  </r>
  <r>
    <n v="1313140"/>
    <s v="Cult of the Lamb"/>
    <d v="2022-08-11T00:00:00"/>
    <n v="1535"/>
    <b v="1"/>
    <n v="366"/>
    <s v="GTX 1050"/>
    <x v="2"/>
    <x v="0"/>
  </r>
  <r>
    <n v="1313140"/>
    <s v="Cult of the Lamb"/>
    <d v="2022-08-11T00:00:00"/>
    <n v="1535"/>
    <b v="1"/>
    <n v="366"/>
    <s v="GTX 1050"/>
    <x v="3"/>
    <x v="1"/>
  </r>
  <r>
    <n v="1313140"/>
    <s v="Cult of the Lamb"/>
    <d v="2022-08-11T00:00:00"/>
    <n v="1535"/>
    <b v="1"/>
    <n v="366"/>
    <s v="GTX 1050"/>
    <x v="4"/>
    <x v="1"/>
  </r>
  <r>
    <n v="1313140"/>
    <s v="Cult of the Lamb"/>
    <d v="2022-08-11T00:00:00"/>
    <n v="1535"/>
    <b v="1"/>
    <n v="366"/>
    <s v="GTX 1050"/>
    <x v="5"/>
    <x v="0"/>
  </r>
  <r>
    <n v="1313140"/>
    <s v="Cult of the Lamb"/>
    <d v="2022-08-11T00:00:00"/>
    <n v="1535"/>
    <b v="1"/>
    <n v="366"/>
    <s v="GTX 1050"/>
    <x v="6"/>
    <x v="1"/>
  </r>
  <r>
    <n v="568220"/>
    <s v="Lobotomy Corporation | Monster Management Simulation"/>
    <d v="2018-04-09T00:00:00"/>
    <n v="1524"/>
    <b v="0"/>
    <n v="367"/>
    <s v="Radeon Vega 11"/>
    <x v="0"/>
    <x v="1"/>
  </r>
  <r>
    <n v="568220"/>
    <s v="Lobotomy Corporation | Monster Management Simulation"/>
    <d v="2018-04-09T00:00:00"/>
    <n v="1524"/>
    <b v="0"/>
    <n v="367"/>
    <s v="Radeon Vega 11"/>
    <x v="1"/>
    <x v="0"/>
  </r>
  <r>
    <n v="568220"/>
    <s v="Lobotomy Corporation | Monster Management Simulation"/>
    <d v="2018-04-09T00:00:00"/>
    <n v="1524"/>
    <b v="0"/>
    <n v="367"/>
    <s v="Radeon Vega 11"/>
    <x v="2"/>
    <x v="1"/>
  </r>
  <r>
    <n v="568220"/>
    <s v="Lobotomy Corporation | Monster Management Simulation"/>
    <d v="2018-04-09T00:00:00"/>
    <n v="1524"/>
    <b v="0"/>
    <n v="367"/>
    <s v="Radeon Vega 11"/>
    <x v="3"/>
    <x v="0"/>
  </r>
  <r>
    <n v="568220"/>
    <s v="Lobotomy Corporation | Monster Management Simulation"/>
    <d v="2018-04-09T00:00:00"/>
    <n v="1524"/>
    <b v="0"/>
    <n v="367"/>
    <s v="Radeon Vega 11"/>
    <x v="4"/>
    <x v="1"/>
  </r>
  <r>
    <n v="568220"/>
    <s v="Lobotomy Corporation | Monster Management Simulation"/>
    <d v="2018-04-09T00:00:00"/>
    <n v="1524"/>
    <b v="0"/>
    <n v="367"/>
    <s v="Radeon Vega 11"/>
    <x v="5"/>
    <x v="1"/>
  </r>
  <r>
    <n v="568220"/>
    <s v="Lobotomy Corporation | Monster Management Simulation"/>
    <d v="2018-04-09T00:00:00"/>
    <n v="1524"/>
    <b v="0"/>
    <n v="367"/>
    <s v="Radeon Vega 11"/>
    <x v="6"/>
    <x v="1"/>
  </r>
  <r>
    <n v="3014080"/>
    <s v="The Hundred Line -Last Defense Academy-"/>
    <d v="2025-04-23T00:00:00"/>
    <n v="1518"/>
    <b v="0"/>
    <n v="369"/>
    <s v="GTX 1050"/>
    <x v="0"/>
    <x v="1"/>
  </r>
  <r>
    <n v="3014080"/>
    <s v="The Hundred Line -Last Defense Academy-"/>
    <d v="2025-04-23T00:00:00"/>
    <n v="1518"/>
    <b v="0"/>
    <n v="369"/>
    <s v="GTX 1050"/>
    <x v="1"/>
    <x v="1"/>
  </r>
  <r>
    <n v="3014080"/>
    <s v="The Hundred Line -Last Defense Academy-"/>
    <d v="2025-04-23T00:00:00"/>
    <n v="1518"/>
    <b v="0"/>
    <n v="369"/>
    <s v="GTX 1050"/>
    <x v="2"/>
    <x v="0"/>
  </r>
  <r>
    <n v="3014080"/>
    <s v="The Hundred Line -Last Defense Academy-"/>
    <d v="2025-04-23T00:00:00"/>
    <n v="1518"/>
    <b v="0"/>
    <n v="369"/>
    <s v="GTX 1050"/>
    <x v="3"/>
    <x v="0"/>
  </r>
  <r>
    <n v="3014080"/>
    <s v="The Hundred Line -Last Defense Academy-"/>
    <d v="2025-04-23T00:00:00"/>
    <n v="1518"/>
    <b v="0"/>
    <n v="369"/>
    <s v="GTX 1050"/>
    <x v="4"/>
    <x v="1"/>
  </r>
  <r>
    <n v="3014080"/>
    <s v="The Hundred Line -Last Defense Academy-"/>
    <d v="2025-04-23T00:00:00"/>
    <n v="1518"/>
    <b v="0"/>
    <n v="369"/>
    <s v="GTX 1050"/>
    <x v="5"/>
    <x v="1"/>
  </r>
  <r>
    <n v="3014080"/>
    <s v="The Hundred Line -Last Defense Academy-"/>
    <d v="2025-04-23T00:00:00"/>
    <n v="1518"/>
    <b v="0"/>
    <n v="369"/>
    <s v="GTX 1050"/>
    <x v="6"/>
    <x v="1"/>
  </r>
  <r>
    <n v="471710"/>
    <s v="Rec Room"/>
    <d v="2021-09-02T00:00:00"/>
    <n v="1510"/>
    <b v="0"/>
    <n v="370"/>
    <s v="GTX 980"/>
    <x v="0"/>
    <x v="1"/>
  </r>
  <r>
    <n v="471710"/>
    <s v="Rec Room"/>
    <d v="2021-09-02T00:00:00"/>
    <n v="1510"/>
    <b v="0"/>
    <n v="370"/>
    <s v="GTX 980"/>
    <x v="1"/>
    <x v="1"/>
  </r>
  <r>
    <n v="471710"/>
    <s v="Rec Room"/>
    <d v="2021-09-02T00:00:00"/>
    <n v="1510"/>
    <b v="0"/>
    <n v="370"/>
    <s v="GTX 980"/>
    <x v="2"/>
    <x v="0"/>
  </r>
  <r>
    <n v="471710"/>
    <s v="Rec Room"/>
    <d v="2021-09-02T00:00:00"/>
    <n v="1510"/>
    <b v="0"/>
    <n v="370"/>
    <s v="GTX 980"/>
    <x v="3"/>
    <x v="1"/>
  </r>
  <r>
    <n v="471710"/>
    <s v="Rec Room"/>
    <d v="2021-09-02T00:00:00"/>
    <n v="1510"/>
    <b v="0"/>
    <n v="370"/>
    <s v="GTX 980"/>
    <x v="4"/>
    <x v="1"/>
  </r>
  <r>
    <n v="471710"/>
    <s v="Rec Room"/>
    <d v="2021-09-02T00:00:00"/>
    <n v="1510"/>
    <b v="0"/>
    <n v="370"/>
    <s v="GTX 980"/>
    <x v="5"/>
    <x v="1"/>
  </r>
  <r>
    <n v="471710"/>
    <s v="Rec Room"/>
    <d v="2021-09-02T00:00:00"/>
    <n v="1510"/>
    <b v="0"/>
    <n v="370"/>
    <s v="GTX 980"/>
    <x v="6"/>
    <x v="0"/>
  </r>
  <r>
    <n v="1084600"/>
    <s v="My Time at Sandrock"/>
    <d v="2023-11-02T00:00:00"/>
    <n v="1501"/>
    <b v="0"/>
    <n v="371"/>
    <s v="GTX 1060"/>
    <x v="0"/>
    <x v="1"/>
  </r>
  <r>
    <n v="1084600"/>
    <s v="My Time at Sandrock"/>
    <d v="2023-11-02T00:00:00"/>
    <n v="1501"/>
    <b v="0"/>
    <n v="371"/>
    <s v="GTX 1060"/>
    <x v="1"/>
    <x v="0"/>
  </r>
  <r>
    <n v="1084600"/>
    <s v="My Time at Sandrock"/>
    <d v="2023-11-02T00:00:00"/>
    <n v="1501"/>
    <b v="0"/>
    <n v="371"/>
    <s v="GTX 1060"/>
    <x v="2"/>
    <x v="0"/>
  </r>
  <r>
    <n v="1084600"/>
    <s v="My Time at Sandrock"/>
    <d v="2023-11-02T00:00:00"/>
    <n v="1501"/>
    <b v="0"/>
    <n v="371"/>
    <s v="GTX 1060"/>
    <x v="3"/>
    <x v="0"/>
  </r>
  <r>
    <n v="1084600"/>
    <s v="My Time at Sandrock"/>
    <d v="2023-11-02T00:00:00"/>
    <n v="1501"/>
    <b v="0"/>
    <n v="371"/>
    <s v="GTX 1060"/>
    <x v="4"/>
    <x v="0"/>
  </r>
  <r>
    <n v="1084600"/>
    <s v="My Time at Sandrock"/>
    <d v="2023-11-02T00:00:00"/>
    <n v="1501"/>
    <b v="0"/>
    <n v="371"/>
    <s v="GTX 1060"/>
    <x v="5"/>
    <x v="1"/>
  </r>
  <r>
    <n v="1084600"/>
    <s v="My Time at Sandrock"/>
    <d v="2023-11-02T00:00:00"/>
    <n v="1501"/>
    <b v="0"/>
    <n v="371"/>
    <s v="GTX 1060"/>
    <x v="6"/>
    <x v="1"/>
  </r>
  <r>
    <n v="246620"/>
    <s v="Plague Inc: Evolved"/>
    <d v="2016-02-18T00:00:00"/>
    <n v="1494"/>
    <b v="1"/>
    <n v="372"/>
    <s v="Radeon Vega 8"/>
    <x v="0"/>
    <x v="1"/>
  </r>
  <r>
    <n v="246620"/>
    <s v="Plague Inc: Evolved"/>
    <d v="2016-02-18T00:00:00"/>
    <n v="1494"/>
    <b v="1"/>
    <n v="372"/>
    <s v="Radeon Vega 8"/>
    <x v="1"/>
    <x v="0"/>
  </r>
  <r>
    <n v="246620"/>
    <s v="Plague Inc: Evolved"/>
    <d v="2016-02-18T00:00:00"/>
    <n v="1494"/>
    <b v="1"/>
    <n v="372"/>
    <s v="Radeon Vega 8"/>
    <x v="2"/>
    <x v="1"/>
  </r>
  <r>
    <n v="246620"/>
    <s v="Plague Inc: Evolved"/>
    <d v="2016-02-18T00:00:00"/>
    <n v="1494"/>
    <b v="1"/>
    <n v="372"/>
    <s v="Radeon Vega 8"/>
    <x v="3"/>
    <x v="0"/>
  </r>
  <r>
    <n v="246620"/>
    <s v="Plague Inc: Evolved"/>
    <d v="2016-02-18T00:00:00"/>
    <n v="1494"/>
    <b v="1"/>
    <n v="372"/>
    <s v="Radeon Vega 8"/>
    <x v="4"/>
    <x v="1"/>
  </r>
  <r>
    <n v="246620"/>
    <s v="Plague Inc: Evolved"/>
    <d v="2016-02-18T00:00:00"/>
    <n v="1494"/>
    <b v="1"/>
    <n v="372"/>
    <s v="Radeon Vega 8"/>
    <x v="5"/>
    <x v="0"/>
  </r>
  <r>
    <n v="246620"/>
    <s v="Plague Inc: Evolved"/>
    <d v="2016-02-18T00:00:00"/>
    <n v="1494"/>
    <b v="1"/>
    <n v="372"/>
    <s v="Radeon Vega 8"/>
    <x v="6"/>
    <x v="1"/>
  </r>
  <r>
    <n v="1149460"/>
    <s v="ICARUS"/>
    <d v="2021-12-03T00:00:00"/>
    <n v="1492"/>
    <b v="0"/>
    <n v="373"/>
    <s v="RTX 3060 Ti"/>
    <x v="0"/>
    <x v="0"/>
  </r>
  <r>
    <n v="1149460"/>
    <s v="ICARUS"/>
    <d v="2021-12-03T00:00:00"/>
    <n v="1492"/>
    <b v="0"/>
    <n v="373"/>
    <s v="RTX 3060 Ti"/>
    <x v="1"/>
    <x v="1"/>
  </r>
  <r>
    <n v="1149460"/>
    <s v="ICARUS"/>
    <d v="2021-12-03T00:00:00"/>
    <n v="1492"/>
    <b v="0"/>
    <n v="373"/>
    <s v="RTX 3060 Ti"/>
    <x v="2"/>
    <x v="0"/>
  </r>
  <r>
    <n v="1149460"/>
    <s v="ICARUS"/>
    <d v="2021-12-03T00:00:00"/>
    <n v="1492"/>
    <b v="0"/>
    <n v="373"/>
    <s v="RTX 3060 Ti"/>
    <x v="3"/>
    <x v="0"/>
  </r>
  <r>
    <n v="1149460"/>
    <s v="ICARUS"/>
    <d v="2021-12-03T00:00:00"/>
    <n v="1492"/>
    <b v="0"/>
    <n v="373"/>
    <s v="RTX 3060 Ti"/>
    <x v="4"/>
    <x v="1"/>
  </r>
  <r>
    <n v="1149460"/>
    <s v="ICARUS"/>
    <d v="2021-12-03T00:00:00"/>
    <n v="1492"/>
    <b v="0"/>
    <n v="373"/>
    <s v="RTX 3060 Ti"/>
    <x v="5"/>
    <x v="1"/>
  </r>
  <r>
    <n v="1149460"/>
    <s v="ICARUS"/>
    <d v="2021-12-03T00:00:00"/>
    <n v="1492"/>
    <b v="0"/>
    <n v="373"/>
    <s v="RTX 3060 Ti"/>
    <x v="6"/>
    <x v="1"/>
  </r>
  <r>
    <n v="2776450"/>
    <s v="Multiverse Loot Hunter"/>
    <d v="2025-08-15T00:00:00"/>
    <n v="1492"/>
    <b v="0"/>
    <n v="373"/>
    <s v="Radeon Vega 11"/>
    <x v="0"/>
    <x v="1"/>
  </r>
  <r>
    <n v="2776450"/>
    <s v="Multiverse Loot Hunter"/>
    <d v="2025-08-15T00:00:00"/>
    <n v="1492"/>
    <b v="0"/>
    <n v="373"/>
    <s v="Radeon Vega 11"/>
    <x v="1"/>
    <x v="0"/>
  </r>
  <r>
    <n v="2776450"/>
    <s v="Multiverse Loot Hunter"/>
    <d v="2025-08-15T00:00:00"/>
    <n v="1492"/>
    <b v="0"/>
    <n v="373"/>
    <s v="Radeon Vega 11"/>
    <x v="2"/>
    <x v="0"/>
  </r>
  <r>
    <n v="2776450"/>
    <s v="Multiverse Loot Hunter"/>
    <d v="2025-08-15T00:00:00"/>
    <n v="1492"/>
    <b v="0"/>
    <n v="373"/>
    <s v="Radeon Vega 11"/>
    <x v="3"/>
    <x v="0"/>
  </r>
  <r>
    <n v="2776450"/>
    <s v="Multiverse Loot Hunter"/>
    <d v="2025-08-15T00:00:00"/>
    <n v="1492"/>
    <b v="0"/>
    <n v="373"/>
    <s v="Radeon Vega 11"/>
    <x v="4"/>
    <x v="0"/>
  </r>
  <r>
    <n v="2776450"/>
    <s v="Multiverse Loot Hunter"/>
    <d v="2025-08-15T00:00:00"/>
    <n v="1492"/>
    <b v="0"/>
    <n v="373"/>
    <s v="Radeon Vega 11"/>
    <x v="5"/>
    <x v="0"/>
  </r>
  <r>
    <n v="2776450"/>
    <s v="Multiverse Loot Hunter"/>
    <d v="2025-08-15T00:00:00"/>
    <n v="1492"/>
    <b v="0"/>
    <n v="373"/>
    <s v="Radeon Vega 11"/>
    <x v="6"/>
    <x v="1"/>
  </r>
  <r>
    <n v="1119730"/>
    <s v="Ranch Simulator: Build, Hunt, Farm"/>
    <d v="2023-11-03T00:00:00"/>
    <n v="1488"/>
    <b v="0"/>
    <n v="375"/>
    <s v="RX 580"/>
    <x v="0"/>
    <x v="1"/>
  </r>
  <r>
    <n v="1119730"/>
    <s v="Ranch Simulator: Build, Hunt, Farm"/>
    <d v="2023-11-03T00:00:00"/>
    <n v="1488"/>
    <b v="0"/>
    <n v="375"/>
    <s v="RX 580"/>
    <x v="1"/>
    <x v="1"/>
  </r>
  <r>
    <n v="1119730"/>
    <s v="Ranch Simulator: Build, Hunt, Farm"/>
    <d v="2023-11-03T00:00:00"/>
    <n v="1488"/>
    <b v="0"/>
    <n v="375"/>
    <s v="RX 580"/>
    <x v="2"/>
    <x v="1"/>
  </r>
  <r>
    <n v="1119730"/>
    <s v="Ranch Simulator: Build, Hunt, Farm"/>
    <d v="2023-11-03T00:00:00"/>
    <n v="1488"/>
    <b v="0"/>
    <n v="375"/>
    <s v="RX 580"/>
    <x v="3"/>
    <x v="0"/>
  </r>
  <r>
    <n v="1119730"/>
    <s v="Ranch Simulator: Build, Hunt, Farm"/>
    <d v="2023-11-03T00:00:00"/>
    <n v="1488"/>
    <b v="0"/>
    <n v="375"/>
    <s v="RX 580"/>
    <x v="4"/>
    <x v="1"/>
  </r>
  <r>
    <n v="1119730"/>
    <s v="Ranch Simulator: Build, Hunt, Farm"/>
    <d v="2023-11-03T00:00:00"/>
    <n v="1488"/>
    <b v="0"/>
    <n v="375"/>
    <s v="RX 580"/>
    <x v="5"/>
    <x v="1"/>
  </r>
  <r>
    <n v="1119730"/>
    <s v="Ranch Simulator: Build, Hunt, Farm"/>
    <d v="2023-11-03T00:00:00"/>
    <n v="1488"/>
    <b v="0"/>
    <n v="375"/>
    <s v="RX 580"/>
    <x v="6"/>
    <x v="1"/>
  </r>
  <r>
    <n v="573090"/>
    <s v="Stormworks: Build and Rescue"/>
    <d v="2020-09-17T00:00:00"/>
    <n v="1488"/>
    <b v="1"/>
    <n v="375"/>
    <s v="RX 550"/>
    <x v="0"/>
    <x v="1"/>
  </r>
  <r>
    <n v="573090"/>
    <s v="Stormworks: Build and Rescue"/>
    <d v="2020-09-17T00:00:00"/>
    <n v="1488"/>
    <b v="1"/>
    <n v="375"/>
    <s v="RX 550"/>
    <x v="1"/>
    <x v="1"/>
  </r>
  <r>
    <n v="573090"/>
    <s v="Stormworks: Build and Rescue"/>
    <d v="2020-09-17T00:00:00"/>
    <n v="1488"/>
    <b v="1"/>
    <n v="375"/>
    <s v="RX 550"/>
    <x v="2"/>
    <x v="1"/>
  </r>
  <r>
    <n v="573090"/>
    <s v="Stormworks: Build and Rescue"/>
    <d v="2020-09-17T00:00:00"/>
    <n v="1488"/>
    <b v="1"/>
    <n v="375"/>
    <s v="RX 550"/>
    <x v="3"/>
    <x v="0"/>
  </r>
  <r>
    <n v="573090"/>
    <s v="Stormworks: Build and Rescue"/>
    <d v="2020-09-17T00:00:00"/>
    <n v="1488"/>
    <b v="1"/>
    <n v="375"/>
    <s v="RX 550"/>
    <x v="4"/>
    <x v="1"/>
  </r>
  <r>
    <n v="573090"/>
    <s v="Stormworks: Build and Rescue"/>
    <d v="2020-09-17T00:00:00"/>
    <n v="1488"/>
    <b v="1"/>
    <n v="375"/>
    <s v="RX 550"/>
    <x v="5"/>
    <x v="1"/>
  </r>
  <r>
    <n v="573090"/>
    <s v="Stormworks: Build and Rescue"/>
    <d v="2020-09-17T00:00:00"/>
    <n v="1488"/>
    <b v="1"/>
    <n v="375"/>
    <s v="RX 550"/>
    <x v="6"/>
    <x v="1"/>
  </r>
  <r>
    <n v="805550"/>
    <s v="Assetto Corsa Competizione"/>
    <d v="2019-05-29T00:00:00"/>
    <n v="1479"/>
    <b v="0"/>
    <n v="377"/>
    <s v="GTX 1070"/>
    <x v="0"/>
    <x v="1"/>
  </r>
  <r>
    <n v="805550"/>
    <s v="Assetto Corsa Competizione"/>
    <d v="2019-05-29T00:00:00"/>
    <n v="1479"/>
    <b v="0"/>
    <n v="377"/>
    <s v="GTX 1070"/>
    <x v="1"/>
    <x v="1"/>
  </r>
  <r>
    <n v="805550"/>
    <s v="Assetto Corsa Competizione"/>
    <d v="2019-05-29T00:00:00"/>
    <n v="1479"/>
    <b v="0"/>
    <n v="377"/>
    <s v="GTX 1070"/>
    <x v="2"/>
    <x v="1"/>
  </r>
  <r>
    <n v="805550"/>
    <s v="Assetto Corsa Competizione"/>
    <d v="2019-05-29T00:00:00"/>
    <n v="1479"/>
    <b v="0"/>
    <n v="377"/>
    <s v="GTX 1070"/>
    <x v="3"/>
    <x v="0"/>
  </r>
  <r>
    <n v="805550"/>
    <s v="Assetto Corsa Competizione"/>
    <d v="2019-05-29T00:00:00"/>
    <n v="1479"/>
    <b v="0"/>
    <n v="377"/>
    <s v="GTX 1070"/>
    <x v="4"/>
    <x v="1"/>
  </r>
  <r>
    <n v="805550"/>
    <s v="Assetto Corsa Competizione"/>
    <d v="2019-05-29T00:00:00"/>
    <n v="1479"/>
    <b v="0"/>
    <n v="377"/>
    <s v="GTX 1070"/>
    <x v="5"/>
    <x v="1"/>
  </r>
  <r>
    <n v="805550"/>
    <s v="Assetto Corsa Competizione"/>
    <d v="2019-05-29T00:00:00"/>
    <n v="1479"/>
    <b v="0"/>
    <n v="377"/>
    <s v="GTX 1070"/>
    <x v="6"/>
    <x v="1"/>
  </r>
  <r>
    <n v="219740"/>
    <s v="Don't Starve"/>
    <d v="2013-04-23T00:00:00"/>
    <n v="1472"/>
    <b v="1"/>
    <n v="378"/>
    <s v="Radeon Graphics"/>
    <x v="0"/>
    <x v="1"/>
  </r>
  <r>
    <n v="219740"/>
    <s v="Don't Starve"/>
    <d v="2013-04-23T00:00:00"/>
    <n v="1472"/>
    <b v="1"/>
    <n v="378"/>
    <s v="Radeon Graphics"/>
    <x v="1"/>
    <x v="0"/>
  </r>
  <r>
    <n v="219740"/>
    <s v="Don't Starve"/>
    <d v="2013-04-23T00:00:00"/>
    <n v="1472"/>
    <b v="1"/>
    <n v="378"/>
    <s v="Radeon Graphics"/>
    <x v="2"/>
    <x v="0"/>
  </r>
  <r>
    <n v="219740"/>
    <s v="Don't Starve"/>
    <d v="2013-04-23T00:00:00"/>
    <n v="1472"/>
    <b v="1"/>
    <n v="378"/>
    <s v="Radeon Graphics"/>
    <x v="3"/>
    <x v="0"/>
  </r>
  <r>
    <n v="219740"/>
    <s v="Don't Starve"/>
    <d v="2013-04-23T00:00:00"/>
    <n v="1472"/>
    <b v="1"/>
    <n v="378"/>
    <s v="Radeon Graphics"/>
    <x v="4"/>
    <x v="1"/>
  </r>
  <r>
    <n v="219740"/>
    <s v="Don't Starve"/>
    <d v="2013-04-23T00:00:00"/>
    <n v="1472"/>
    <b v="1"/>
    <n v="378"/>
    <s v="Radeon Graphics"/>
    <x v="5"/>
    <x v="1"/>
  </r>
  <r>
    <n v="219740"/>
    <s v="Don't Starve"/>
    <d v="2013-04-23T00:00:00"/>
    <n v="1472"/>
    <b v="1"/>
    <n v="378"/>
    <s v="Radeon Graphics"/>
    <x v="6"/>
    <x v="1"/>
  </r>
  <r>
    <n v="2918150"/>
    <s v="ONE PIECE Bounty Rush"/>
    <d v="2024-09-23T00:00:00"/>
    <n v="1469"/>
    <b v="0"/>
    <n v="379"/>
    <s v="GTX 1050"/>
    <x v="0"/>
    <x v="0"/>
  </r>
  <r>
    <n v="2918150"/>
    <s v="ONE PIECE Bounty Rush"/>
    <d v="2024-09-23T00:00:00"/>
    <n v="1469"/>
    <b v="0"/>
    <n v="379"/>
    <s v="GTX 1050"/>
    <x v="1"/>
    <x v="1"/>
  </r>
  <r>
    <n v="2918150"/>
    <s v="ONE PIECE Bounty Rush"/>
    <d v="2024-09-23T00:00:00"/>
    <n v="1469"/>
    <b v="0"/>
    <n v="379"/>
    <s v="GTX 1050"/>
    <x v="2"/>
    <x v="1"/>
  </r>
  <r>
    <n v="2918150"/>
    <s v="ONE PIECE Bounty Rush"/>
    <d v="2024-09-23T00:00:00"/>
    <n v="1469"/>
    <b v="0"/>
    <n v="379"/>
    <s v="GTX 1050"/>
    <x v="3"/>
    <x v="1"/>
  </r>
  <r>
    <n v="2918150"/>
    <s v="ONE PIECE Bounty Rush"/>
    <d v="2024-09-23T00:00:00"/>
    <n v="1469"/>
    <b v="0"/>
    <n v="379"/>
    <s v="GTX 1050"/>
    <x v="4"/>
    <x v="1"/>
  </r>
  <r>
    <n v="2918150"/>
    <s v="ONE PIECE Bounty Rush"/>
    <d v="2024-09-23T00:00:00"/>
    <n v="1469"/>
    <b v="0"/>
    <n v="379"/>
    <s v="GTX 1050"/>
    <x v="5"/>
    <x v="1"/>
  </r>
  <r>
    <n v="2918150"/>
    <s v="ONE PIECE Bounty Rush"/>
    <d v="2024-09-23T00:00:00"/>
    <n v="1469"/>
    <b v="0"/>
    <n v="379"/>
    <s v="GTX 1050"/>
    <x v="6"/>
    <x v="0"/>
  </r>
  <r>
    <n v="594570"/>
    <s v="Total War: WARHAMMER II"/>
    <d v="2017-09-28T00:00:00"/>
    <n v="1464"/>
    <b v="1"/>
    <n v="380"/>
    <s v="GTX 1050 Ti"/>
    <x v="0"/>
    <x v="0"/>
  </r>
  <r>
    <n v="594570"/>
    <s v="Total War: WARHAMMER II"/>
    <d v="2017-09-28T00:00:00"/>
    <n v="1464"/>
    <b v="1"/>
    <n v="380"/>
    <s v="GTX 1050 Ti"/>
    <x v="1"/>
    <x v="1"/>
  </r>
  <r>
    <n v="594570"/>
    <s v="Total War: WARHAMMER II"/>
    <d v="2017-09-28T00:00:00"/>
    <n v="1464"/>
    <b v="1"/>
    <n v="380"/>
    <s v="GTX 1050 Ti"/>
    <x v="2"/>
    <x v="1"/>
  </r>
  <r>
    <n v="594570"/>
    <s v="Total War: WARHAMMER II"/>
    <d v="2017-09-28T00:00:00"/>
    <n v="1464"/>
    <b v="1"/>
    <n v="380"/>
    <s v="GTX 1050 Ti"/>
    <x v="3"/>
    <x v="1"/>
  </r>
  <r>
    <n v="594570"/>
    <s v="Total War: WARHAMMER II"/>
    <d v="2017-09-28T00:00:00"/>
    <n v="1464"/>
    <b v="1"/>
    <n v="380"/>
    <s v="GTX 1050 Ti"/>
    <x v="4"/>
    <x v="1"/>
  </r>
  <r>
    <n v="594570"/>
    <s v="Total War: WARHAMMER II"/>
    <d v="2017-09-28T00:00:00"/>
    <n v="1464"/>
    <b v="1"/>
    <n v="380"/>
    <s v="GTX 1050 Ti"/>
    <x v="5"/>
    <x v="0"/>
  </r>
  <r>
    <n v="594570"/>
    <s v="Total War: WARHAMMER II"/>
    <d v="2017-09-28T00:00:00"/>
    <n v="1464"/>
    <b v="1"/>
    <n v="380"/>
    <s v="GTX 1050 Ti"/>
    <x v="6"/>
    <x v="1"/>
  </r>
  <r>
    <n v="72850"/>
    <s v="The Elder Scrolls V: Skyrim"/>
    <d v="2011-11-10T00:00:00"/>
    <n v="1463"/>
    <b v="0"/>
    <n v="381"/>
    <s v="GTX 750"/>
    <x v="0"/>
    <x v="1"/>
  </r>
  <r>
    <n v="72850"/>
    <s v="The Elder Scrolls V: Skyrim"/>
    <d v="2011-11-10T00:00:00"/>
    <n v="1463"/>
    <b v="0"/>
    <n v="381"/>
    <s v="GTX 750"/>
    <x v="1"/>
    <x v="1"/>
  </r>
  <r>
    <n v="72850"/>
    <s v="The Elder Scrolls V: Skyrim"/>
    <d v="2011-11-10T00:00:00"/>
    <n v="1463"/>
    <b v="0"/>
    <n v="381"/>
    <s v="GTX 750"/>
    <x v="2"/>
    <x v="1"/>
  </r>
  <r>
    <n v="72850"/>
    <s v="The Elder Scrolls V: Skyrim"/>
    <d v="2011-11-10T00:00:00"/>
    <n v="1463"/>
    <b v="0"/>
    <n v="381"/>
    <s v="GTX 750"/>
    <x v="3"/>
    <x v="1"/>
  </r>
  <r>
    <n v="72850"/>
    <s v="The Elder Scrolls V: Skyrim"/>
    <d v="2011-11-10T00:00:00"/>
    <n v="1463"/>
    <b v="0"/>
    <n v="381"/>
    <s v="GTX 750"/>
    <x v="4"/>
    <x v="0"/>
  </r>
  <r>
    <n v="72850"/>
    <s v="The Elder Scrolls V: Skyrim"/>
    <d v="2011-11-10T00:00:00"/>
    <n v="1463"/>
    <b v="0"/>
    <n v="381"/>
    <s v="GTX 750"/>
    <x v="5"/>
    <x v="1"/>
  </r>
  <r>
    <n v="72850"/>
    <s v="The Elder Scrolls V: Skyrim"/>
    <d v="2011-11-10T00:00:00"/>
    <n v="1463"/>
    <b v="0"/>
    <n v="381"/>
    <s v="GTX 750"/>
    <x v="6"/>
    <x v="1"/>
  </r>
  <r>
    <n v="427410"/>
    <s v="Abiotic Factor"/>
    <d v="2025-07-22T00:00:00"/>
    <n v="1458"/>
    <b v="0"/>
    <n v="382"/>
    <s v="RTX 3070"/>
    <x v="0"/>
    <x v="0"/>
  </r>
  <r>
    <n v="427410"/>
    <s v="Abiotic Factor"/>
    <d v="2025-07-22T00:00:00"/>
    <n v="1458"/>
    <b v="0"/>
    <n v="382"/>
    <s v="RTX 3070"/>
    <x v="1"/>
    <x v="1"/>
  </r>
  <r>
    <n v="427410"/>
    <s v="Abiotic Factor"/>
    <d v="2025-07-22T00:00:00"/>
    <n v="1458"/>
    <b v="0"/>
    <n v="382"/>
    <s v="RTX 3070"/>
    <x v="2"/>
    <x v="0"/>
  </r>
  <r>
    <n v="427410"/>
    <s v="Abiotic Factor"/>
    <d v="2025-07-22T00:00:00"/>
    <n v="1458"/>
    <b v="0"/>
    <n v="382"/>
    <s v="RTX 3070"/>
    <x v="3"/>
    <x v="0"/>
  </r>
  <r>
    <n v="427410"/>
    <s v="Abiotic Factor"/>
    <d v="2025-07-22T00:00:00"/>
    <n v="1458"/>
    <b v="0"/>
    <n v="382"/>
    <s v="RTX 3070"/>
    <x v="4"/>
    <x v="0"/>
  </r>
  <r>
    <n v="427410"/>
    <s v="Abiotic Factor"/>
    <d v="2025-07-22T00:00:00"/>
    <n v="1458"/>
    <b v="0"/>
    <n v="382"/>
    <s v="RTX 3070"/>
    <x v="5"/>
    <x v="1"/>
  </r>
  <r>
    <n v="427410"/>
    <s v="Abiotic Factor"/>
    <d v="2025-07-22T00:00:00"/>
    <n v="1458"/>
    <b v="0"/>
    <n v="382"/>
    <s v="RTX 3070"/>
    <x v="6"/>
    <x v="1"/>
  </r>
  <r>
    <n v="637090"/>
    <s v="BATTLETECH"/>
    <d v="2018-04-24T00:00:00"/>
    <n v="1446"/>
    <b v="1"/>
    <n v="383"/>
    <s v="GTX 1050 Ti"/>
    <x v="0"/>
    <x v="0"/>
  </r>
  <r>
    <n v="637090"/>
    <s v="BATTLETECH"/>
    <d v="2018-04-24T00:00:00"/>
    <n v="1446"/>
    <b v="1"/>
    <n v="383"/>
    <s v="GTX 1050 Ti"/>
    <x v="1"/>
    <x v="1"/>
  </r>
  <r>
    <n v="637090"/>
    <s v="BATTLETECH"/>
    <d v="2018-04-24T00:00:00"/>
    <n v="1446"/>
    <b v="1"/>
    <n v="383"/>
    <s v="GTX 1050 Ti"/>
    <x v="2"/>
    <x v="0"/>
  </r>
  <r>
    <n v="637090"/>
    <s v="BATTLETECH"/>
    <d v="2018-04-24T00:00:00"/>
    <n v="1446"/>
    <b v="1"/>
    <n v="383"/>
    <s v="GTX 1050 Ti"/>
    <x v="3"/>
    <x v="1"/>
  </r>
  <r>
    <n v="637090"/>
    <s v="BATTLETECH"/>
    <d v="2018-04-24T00:00:00"/>
    <n v="1446"/>
    <b v="1"/>
    <n v="383"/>
    <s v="GTX 1050 Ti"/>
    <x v="4"/>
    <x v="1"/>
  </r>
  <r>
    <n v="637090"/>
    <s v="BATTLETECH"/>
    <d v="2018-04-24T00:00:00"/>
    <n v="1446"/>
    <b v="1"/>
    <n v="383"/>
    <s v="GTX 1050 Ti"/>
    <x v="5"/>
    <x v="0"/>
  </r>
  <r>
    <n v="637090"/>
    <s v="BATTLETECH"/>
    <d v="2018-04-24T00:00:00"/>
    <n v="1446"/>
    <b v="1"/>
    <n v="383"/>
    <s v="GTX 1050 Ti"/>
    <x v="6"/>
    <x v="1"/>
  </r>
  <r>
    <n v="460930"/>
    <s v="Tom Clancy's Ghost Recon Wildlands"/>
    <d v="2017-03-06T00:00:00"/>
    <n v="1441"/>
    <b v="0"/>
    <n v="384"/>
    <s v="GTX 970"/>
    <x v="0"/>
    <x v="0"/>
  </r>
  <r>
    <n v="460930"/>
    <s v="Tom Clancy's Ghost Recon Wildlands"/>
    <d v="2017-03-06T00:00:00"/>
    <n v="1441"/>
    <b v="0"/>
    <n v="384"/>
    <s v="GTX 970"/>
    <x v="1"/>
    <x v="1"/>
  </r>
  <r>
    <n v="460930"/>
    <s v="Tom Clancy's Ghost Recon Wildlands"/>
    <d v="2017-03-06T00:00:00"/>
    <n v="1441"/>
    <b v="0"/>
    <n v="384"/>
    <s v="GTX 970"/>
    <x v="2"/>
    <x v="0"/>
  </r>
  <r>
    <n v="460930"/>
    <s v="Tom Clancy's Ghost Recon Wildlands"/>
    <d v="2017-03-06T00:00:00"/>
    <n v="1441"/>
    <b v="0"/>
    <n v="384"/>
    <s v="GTX 970"/>
    <x v="3"/>
    <x v="1"/>
  </r>
  <r>
    <n v="460930"/>
    <s v="Tom Clancy's Ghost Recon Wildlands"/>
    <d v="2017-03-06T00:00:00"/>
    <n v="1441"/>
    <b v="0"/>
    <n v="384"/>
    <s v="GTX 970"/>
    <x v="4"/>
    <x v="1"/>
  </r>
  <r>
    <n v="460930"/>
    <s v="Tom Clancy's Ghost Recon Wildlands"/>
    <d v="2017-03-06T00:00:00"/>
    <n v="1441"/>
    <b v="0"/>
    <n v="384"/>
    <s v="GTX 970"/>
    <x v="5"/>
    <x v="1"/>
  </r>
  <r>
    <n v="460930"/>
    <s v="Tom Clancy's Ghost Recon Wildlands"/>
    <d v="2017-03-06T00:00:00"/>
    <n v="1441"/>
    <b v="0"/>
    <n v="384"/>
    <s v="GTX 970"/>
    <x v="6"/>
    <x v="1"/>
  </r>
  <r>
    <n v="1325200"/>
    <s v="Nioh 2 ' The Complete Edition"/>
    <d v="2021-02-05T00:00:00"/>
    <n v="1441"/>
    <b v="0"/>
    <n v="384"/>
    <s v="GTX 1660 SUPER"/>
    <x v="0"/>
    <x v="0"/>
  </r>
  <r>
    <n v="1325200"/>
    <s v="Nioh 2 ' The Complete Edition"/>
    <d v="2021-02-05T00:00:00"/>
    <n v="1441"/>
    <b v="0"/>
    <n v="384"/>
    <s v="GTX 1660 SUPER"/>
    <x v="1"/>
    <x v="1"/>
  </r>
  <r>
    <n v="1325200"/>
    <s v="Nioh 2 ' The Complete Edition"/>
    <d v="2021-02-05T00:00:00"/>
    <n v="1441"/>
    <b v="0"/>
    <n v="384"/>
    <s v="GTX 1660 SUPER"/>
    <x v="2"/>
    <x v="1"/>
  </r>
  <r>
    <n v="1325200"/>
    <s v="Nioh 2 ' The Complete Edition"/>
    <d v="2021-02-05T00:00:00"/>
    <n v="1441"/>
    <b v="0"/>
    <n v="384"/>
    <s v="GTX 1660 SUPER"/>
    <x v="3"/>
    <x v="1"/>
  </r>
  <r>
    <n v="1325200"/>
    <s v="Nioh 2 ' The Complete Edition"/>
    <d v="2021-02-05T00:00:00"/>
    <n v="1441"/>
    <b v="0"/>
    <n v="384"/>
    <s v="GTX 1660 SUPER"/>
    <x v="4"/>
    <x v="0"/>
  </r>
  <r>
    <n v="1325200"/>
    <s v="Nioh 2 ' The Complete Edition"/>
    <d v="2021-02-05T00:00:00"/>
    <n v="1441"/>
    <b v="0"/>
    <n v="384"/>
    <s v="GTX 1660 SUPER"/>
    <x v="5"/>
    <x v="1"/>
  </r>
  <r>
    <n v="1325200"/>
    <s v="Nioh 2 ' The Complete Edition"/>
    <d v="2021-02-05T00:00:00"/>
    <n v="1441"/>
    <b v="0"/>
    <n v="384"/>
    <s v="GTX 1660 SUPER"/>
    <x v="6"/>
    <x v="1"/>
  </r>
  <r>
    <n v="2231380"/>
    <s v="Tom Clancy's Ghost Recon Breakpoint"/>
    <d v="2023-01-23T00:00:00"/>
    <n v="1430"/>
    <b v="0"/>
    <n v="386"/>
    <s v="RX 480"/>
    <x v="0"/>
    <x v="0"/>
  </r>
  <r>
    <n v="2231380"/>
    <s v="Tom Clancy's Ghost Recon Breakpoint"/>
    <d v="2023-01-23T00:00:00"/>
    <n v="1430"/>
    <b v="0"/>
    <n v="386"/>
    <s v="RX 480"/>
    <x v="1"/>
    <x v="1"/>
  </r>
  <r>
    <n v="2231380"/>
    <s v="Tom Clancy's Ghost Recon Breakpoint"/>
    <d v="2023-01-23T00:00:00"/>
    <n v="1430"/>
    <b v="0"/>
    <n v="386"/>
    <s v="RX 480"/>
    <x v="2"/>
    <x v="0"/>
  </r>
  <r>
    <n v="2231380"/>
    <s v="Tom Clancy's Ghost Recon Breakpoint"/>
    <d v="2023-01-23T00:00:00"/>
    <n v="1430"/>
    <b v="0"/>
    <n v="386"/>
    <s v="RX 480"/>
    <x v="3"/>
    <x v="1"/>
  </r>
  <r>
    <n v="2231380"/>
    <s v="Tom Clancy's Ghost Recon Breakpoint"/>
    <d v="2023-01-23T00:00:00"/>
    <n v="1430"/>
    <b v="0"/>
    <n v="386"/>
    <s v="RX 480"/>
    <x v="4"/>
    <x v="1"/>
  </r>
  <r>
    <n v="2231380"/>
    <s v="Tom Clancy's Ghost Recon Breakpoint"/>
    <d v="2023-01-23T00:00:00"/>
    <n v="1430"/>
    <b v="0"/>
    <n v="386"/>
    <s v="RX 480"/>
    <x v="5"/>
    <x v="1"/>
  </r>
  <r>
    <n v="2231380"/>
    <s v="Tom Clancy's Ghost Recon Breakpoint"/>
    <d v="2023-01-23T00:00:00"/>
    <n v="1430"/>
    <b v="0"/>
    <n v="386"/>
    <s v="RX 480"/>
    <x v="6"/>
    <x v="1"/>
  </r>
  <r>
    <n v="1217060"/>
    <s v="Gunfire Reborn"/>
    <d v="2021-11-17T00:00:00"/>
    <n v="1428"/>
    <b v="0"/>
    <n v="387"/>
    <s v="GTX 1060"/>
    <x v="0"/>
    <x v="0"/>
  </r>
  <r>
    <n v="1217060"/>
    <s v="Gunfire Reborn"/>
    <d v="2021-11-17T00:00:00"/>
    <n v="1428"/>
    <b v="0"/>
    <n v="387"/>
    <s v="GTX 1060"/>
    <x v="1"/>
    <x v="0"/>
  </r>
  <r>
    <n v="1217060"/>
    <s v="Gunfire Reborn"/>
    <d v="2021-11-17T00:00:00"/>
    <n v="1428"/>
    <b v="0"/>
    <n v="387"/>
    <s v="GTX 1060"/>
    <x v="2"/>
    <x v="0"/>
  </r>
  <r>
    <n v="1217060"/>
    <s v="Gunfire Reborn"/>
    <d v="2021-11-17T00:00:00"/>
    <n v="1428"/>
    <b v="0"/>
    <n v="387"/>
    <s v="GTX 1060"/>
    <x v="3"/>
    <x v="1"/>
  </r>
  <r>
    <n v="1217060"/>
    <s v="Gunfire Reborn"/>
    <d v="2021-11-17T00:00:00"/>
    <n v="1428"/>
    <b v="0"/>
    <n v="387"/>
    <s v="GTX 1060"/>
    <x v="4"/>
    <x v="0"/>
  </r>
  <r>
    <n v="1217060"/>
    <s v="Gunfire Reborn"/>
    <d v="2021-11-17T00:00:00"/>
    <n v="1428"/>
    <b v="0"/>
    <n v="387"/>
    <s v="GTX 1060"/>
    <x v="5"/>
    <x v="1"/>
  </r>
  <r>
    <n v="1217060"/>
    <s v="Gunfire Reborn"/>
    <d v="2021-11-17T00:00:00"/>
    <n v="1428"/>
    <b v="0"/>
    <n v="387"/>
    <s v="GTX 1060"/>
    <x v="6"/>
    <x v="1"/>
  </r>
  <r>
    <n v="3226530"/>
    <s v="Tower Dominion"/>
    <d v="2025-05-07T00:00:00"/>
    <n v="1427"/>
    <b v="0"/>
    <n v="388"/>
    <s v="RTX 3050"/>
    <x v="0"/>
    <x v="1"/>
  </r>
  <r>
    <n v="3226530"/>
    <s v="Tower Dominion"/>
    <d v="2025-05-07T00:00:00"/>
    <n v="1427"/>
    <b v="0"/>
    <n v="388"/>
    <s v="RTX 3050"/>
    <x v="1"/>
    <x v="1"/>
  </r>
  <r>
    <n v="3226530"/>
    <s v="Tower Dominion"/>
    <d v="2025-05-07T00:00:00"/>
    <n v="1427"/>
    <b v="0"/>
    <n v="388"/>
    <s v="RTX 3050"/>
    <x v="2"/>
    <x v="1"/>
  </r>
  <r>
    <n v="3226530"/>
    <s v="Tower Dominion"/>
    <d v="2025-05-07T00:00:00"/>
    <n v="1427"/>
    <b v="0"/>
    <n v="388"/>
    <s v="RTX 3050"/>
    <x v="3"/>
    <x v="1"/>
  </r>
  <r>
    <n v="3226530"/>
    <s v="Tower Dominion"/>
    <d v="2025-05-07T00:00:00"/>
    <n v="1427"/>
    <b v="0"/>
    <n v="388"/>
    <s v="RTX 3050"/>
    <x v="4"/>
    <x v="1"/>
  </r>
  <r>
    <n v="3226530"/>
    <s v="Tower Dominion"/>
    <d v="2025-05-07T00:00:00"/>
    <n v="1427"/>
    <b v="0"/>
    <n v="388"/>
    <s v="RTX 3050"/>
    <x v="5"/>
    <x v="0"/>
  </r>
  <r>
    <n v="3226530"/>
    <s v="Tower Dominion"/>
    <d v="2025-05-07T00:00:00"/>
    <n v="1427"/>
    <b v="0"/>
    <n v="388"/>
    <s v="RTX 3050"/>
    <x v="6"/>
    <x v="1"/>
  </r>
  <r>
    <n v="325610"/>
    <s v="Total War: ATTILA"/>
    <d v="2015-02-17T00:00:00"/>
    <n v="1422"/>
    <b v="0"/>
    <n v="389"/>
    <s v="R9 380"/>
    <x v="0"/>
    <x v="1"/>
  </r>
  <r>
    <n v="325610"/>
    <s v="Total War: ATTILA"/>
    <d v="2015-02-17T00:00:00"/>
    <n v="1422"/>
    <b v="0"/>
    <n v="389"/>
    <s v="R9 380"/>
    <x v="1"/>
    <x v="1"/>
  </r>
  <r>
    <n v="325610"/>
    <s v="Total War: ATTILA"/>
    <d v="2015-02-17T00:00:00"/>
    <n v="1422"/>
    <b v="0"/>
    <n v="389"/>
    <s v="R9 380"/>
    <x v="2"/>
    <x v="1"/>
  </r>
  <r>
    <n v="325610"/>
    <s v="Total War: ATTILA"/>
    <d v="2015-02-17T00:00:00"/>
    <n v="1422"/>
    <b v="0"/>
    <n v="389"/>
    <s v="R9 380"/>
    <x v="3"/>
    <x v="1"/>
  </r>
  <r>
    <n v="325610"/>
    <s v="Total War: ATTILA"/>
    <d v="2015-02-17T00:00:00"/>
    <n v="1422"/>
    <b v="0"/>
    <n v="389"/>
    <s v="R9 380"/>
    <x v="4"/>
    <x v="1"/>
  </r>
  <r>
    <n v="325610"/>
    <s v="Total War: ATTILA"/>
    <d v="2015-02-17T00:00:00"/>
    <n v="1422"/>
    <b v="0"/>
    <n v="389"/>
    <s v="R9 380"/>
    <x v="5"/>
    <x v="0"/>
  </r>
  <r>
    <n v="325610"/>
    <s v="Total War: ATTILA"/>
    <d v="2015-02-17T00:00:00"/>
    <n v="1422"/>
    <b v="0"/>
    <n v="389"/>
    <s v="R9 380"/>
    <x v="6"/>
    <x v="1"/>
  </r>
  <r>
    <n v="389430"/>
    <s v="Knight Online"/>
    <d v="2016-01-25T00:00:00"/>
    <n v="1421"/>
    <b v="0"/>
    <n v="390"/>
    <s v="Radeon Vega 8"/>
    <x v="0"/>
    <x v="0"/>
  </r>
  <r>
    <n v="389430"/>
    <s v="Knight Online"/>
    <d v="2016-01-25T00:00:00"/>
    <n v="1421"/>
    <b v="0"/>
    <n v="390"/>
    <s v="Radeon Vega 8"/>
    <x v="1"/>
    <x v="1"/>
  </r>
  <r>
    <n v="389430"/>
    <s v="Knight Online"/>
    <d v="2016-01-25T00:00:00"/>
    <n v="1421"/>
    <b v="0"/>
    <n v="390"/>
    <s v="Radeon Vega 8"/>
    <x v="2"/>
    <x v="0"/>
  </r>
  <r>
    <n v="389430"/>
    <s v="Knight Online"/>
    <d v="2016-01-25T00:00:00"/>
    <n v="1421"/>
    <b v="0"/>
    <n v="390"/>
    <s v="Radeon Vega 8"/>
    <x v="3"/>
    <x v="1"/>
  </r>
  <r>
    <n v="389430"/>
    <s v="Knight Online"/>
    <d v="2016-01-25T00:00:00"/>
    <n v="1421"/>
    <b v="0"/>
    <n v="390"/>
    <s v="Radeon Vega 8"/>
    <x v="4"/>
    <x v="0"/>
  </r>
  <r>
    <n v="389430"/>
    <s v="Knight Online"/>
    <d v="2016-01-25T00:00:00"/>
    <n v="1421"/>
    <b v="0"/>
    <n v="390"/>
    <s v="Radeon Vega 8"/>
    <x v="5"/>
    <x v="1"/>
  </r>
  <r>
    <n v="389430"/>
    <s v="Knight Online"/>
    <d v="2016-01-25T00:00:00"/>
    <n v="1421"/>
    <b v="0"/>
    <n v="390"/>
    <s v="Radeon Vega 8"/>
    <x v="6"/>
    <x v="0"/>
  </r>
  <r>
    <n v="1881610"/>
    <s v="ｱｹｮ｢-The Jianghu"/>
    <d v="2024-08-31T00:00:00"/>
    <n v="1416"/>
    <b v="0"/>
    <n v="391"/>
    <s v="GTX 980 Ti"/>
    <x v="0"/>
    <x v="0"/>
  </r>
  <r>
    <n v="1881610"/>
    <s v="ｱｹｮ｢-The Jianghu"/>
    <d v="2024-08-31T00:00:00"/>
    <n v="1416"/>
    <b v="0"/>
    <n v="391"/>
    <s v="GTX 980 Ti"/>
    <x v="1"/>
    <x v="0"/>
  </r>
  <r>
    <n v="1881610"/>
    <s v="ｱｹｮ｢-The Jianghu"/>
    <d v="2024-08-31T00:00:00"/>
    <n v="1416"/>
    <b v="0"/>
    <n v="391"/>
    <s v="GTX 980 Ti"/>
    <x v="2"/>
    <x v="0"/>
  </r>
  <r>
    <n v="1881610"/>
    <s v="ｱｹｮ｢-The Jianghu"/>
    <d v="2024-08-31T00:00:00"/>
    <n v="1416"/>
    <b v="0"/>
    <n v="391"/>
    <s v="GTX 980 Ti"/>
    <x v="3"/>
    <x v="1"/>
  </r>
  <r>
    <n v="1881610"/>
    <s v="ｱｹｮ｢-The Jianghu"/>
    <d v="2024-08-31T00:00:00"/>
    <n v="1416"/>
    <b v="0"/>
    <n v="391"/>
    <s v="GTX 980 Ti"/>
    <x v="4"/>
    <x v="1"/>
  </r>
  <r>
    <n v="1881610"/>
    <s v="ｱｹｮ｢-The Jianghu"/>
    <d v="2024-08-31T00:00:00"/>
    <n v="1416"/>
    <b v="0"/>
    <n v="391"/>
    <s v="GTX 980 Ti"/>
    <x v="5"/>
    <x v="1"/>
  </r>
  <r>
    <n v="1881610"/>
    <s v="ｱｹｮ｢-The Jianghu"/>
    <d v="2024-08-31T00:00:00"/>
    <n v="1416"/>
    <b v="0"/>
    <n v="391"/>
    <s v="GTX 980 Ti"/>
    <x v="6"/>
    <x v="0"/>
  </r>
  <r>
    <n v="1244460"/>
    <s v="Jurassic World Evolution 2"/>
    <d v="2021-11-09T00:00:00"/>
    <n v="1413"/>
    <b v="0"/>
    <n v="392"/>
    <s v="GTX 1070"/>
    <x v="0"/>
    <x v="1"/>
  </r>
  <r>
    <n v="1244460"/>
    <s v="Jurassic World Evolution 2"/>
    <d v="2021-11-09T00:00:00"/>
    <n v="1413"/>
    <b v="0"/>
    <n v="392"/>
    <s v="GTX 1070"/>
    <x v="1"/>
    <x v="1"/>
  </r>
  <r>
    <n v="1244460"/>
    <s v="Jurassic World Evolution 2"/>
    <d v="2021-11-09T00:00:00"/>
    <n v="1413"/>
    <b v="0"/>
    <n v="392"/>
    <s v="GTX 1070"/>
    <x v="2"/>
    <x v="1"/>
  </r>
  <r>
    <n v="1244460"/>
    <s v="Jurassic World Evolution 2"/>
    <d v="2021-11-09T00:00:00"/>
    <n v="1413"/>
    <b v="0"/>
    <n v="392"/>
    <s v="GTX 1070"/>
    <x v="3"/>
    <x v="0"/>
  </r>
  <r>
    <n v="1244460"/>
    <s v="Jurassic World Evolution 2"/>
    <d v="2021-11-09T00:00:00"/>
    <n v="1413"/>
    <b v="0"/>
    <n v="392"/>
    <s v="GTX 1070"/>
    <x v="4"/>
    <x v="1"/>
  </r>
  <r>
    <n v="1244460"/>
    <s v="Jurassic World Evolution 2"/>
    <d v="2021-11-09T00:00:00"/>
    <n v="1413"/>
    <b v="0"/>
    <n v="392"/>
    <s v="GTX 1070"/>
    <x v="5"/>
    <x v="0"/>
  </r>
  <r>
    <n v="1244460"/>
    <s v="Jurassic World Evolution 2"/>
    <d v="2021-11-09T00:00:00"/>
    <n v="1413"/>
    <b v="0"/>
    <n v="392"/>
    <s v="GTX 1070"/>
    <x v="6"/>
    <x v="1"/>
  </r>
  <r>
    <n v="356190"/>
    <s v="Middle-earth: Shadow of War"/>
    <d v="2017-10-09T00:00:00"/>
    <n v="1405"/>
    <b v="0"/>
    <n v="393"/>
    <s v="RX 480"/>
    <x v="0"/>
    <x v="0"/>
  </r>
  <r>
    <n v="356190"/>
    <s v="Middle-earth: Shadow of War"/>
    <d v="2017-10-09T00:00:00"/>
    <n v="1405"/>
    <b v="0"/>
    <n v="393"/>
    <s v="RX 480"/>
    <x v="1"/>
    <x v="1"/>
  </r>
  <r>
    <n v="356190"/>
    <s v="Middle-earth: Shadow of War"/>
    <d v="2017-10-09T00:00:00"/>
    <n v="1405"/>
    <b v="0"/>
    <n v="393"/>
    <s v="RX 480"/>
    <x v="2"/>
    <x v="0"/>
  </r>
  <r>
    <n v="356190"/>
    <s v="Middle-earth: Shadow of War"/>
    <d v="2017-10-09T00:00:00"/>
    <n v="1405"/>
    <b v="0"/>
    <n v="393"/>
    <s v="RX 480"/>
    <x v="3"/>
    <x v="1"/>
  </r>
  <r>
    <n v="356190"/>
    <s v="Middle-earth: Shadow of War"/>
    <d v="2017-10-09T00:00:00"/>
    <n v="1405"/>
    <b v="0"/>
    <n v="393"/>
    <s v="RX 480"/>
    <x v="4"/>
    <x v="0"/>
  </r>
  <r>
    <n v="356190"/>
    <s v="Middle-earth: Shadow of War"/>
    <d v="2017-10-09T00:00:00"/>
    <n v="1405"/>
    <b v="0"/>
    <n v="393"/>
    <s v="RX 480"/>
    <x v="5"/>
    <x v="1"/>
  </r>
  <r>
    <n v="356190"/>
    <s v="Middle-earth: Shadow of War"/>
    <d v="2017-10-09T00:00:00"/>
    <n v="1405"/>
    <b v="0"/>
    <n v="393"/>
    <s v="RX 480"/>
    <x v="6"/>
    <x v="1"/>
  </r>
  <r>
    <n v="1056640"/>
    <s v="Phantasy Star Online 2 New Genesis"/>
    <d v="2020-08-05T00:00:00"/>
    <n v="1400"/>
    <b v="0"/>
    <n v="394"/>
    <s v="RTX 2070 SUPER"/>
    <x v="0"/>
    <x v="0"/>
  </r>
  <r>
    <n v="1056640"/>
    <s v="Phantasy Star Online 2 New Genesis"/>
    <d v="2020-08-05T00:00:00"/>
    <n v="1400"/>
    <b v="0"/>
    <n v="394"/>
    <s v="RTX 2070 SUPER"/>
    <x v="1"/>
    <x v="1"/>
  </r>
  <r>
    <n v="1056640"/>
    <s v="Phantasy Star Online 2 New Genesis"/>
    <d v="2020-08-05T00:00:00"/>
    <n v="1400"/>
    <b v="0"/>
    <n v="394"/>
    <s v="RTX 2070 SUPER"/>
    <x v="2"/>
    <x v="1"/>
  </r>
  <r>
    <n v="1056640"/>
    <s v="Phantasy Star Online 2 New Genesis"/>
    <d v="2020-08-05T00:00:00"/>
    <n v="1400"/>
    <b v="0"/>
    <n v="394"/>
    <s v="RTX 2070 SUPER"/>
    <x v="3"/>
    <x v="1"/>
  </r>
  <r>
    <n v="1056640"/>
    <s v="Phantasy Star Online 2 New Genesis"/>
    <d v="2020-08-05T00:00:00"/>
    <n v="1400"/>
    <b v="0"/>
    <n v="394"/>
    <s v="RTX 2070 SUPER"/>
    <x v="4"/>
    <x v="0"/>
  </r>
  <r>
    <n v="1056640"/>
    <s v="Phantasy Star Online 2 New Genesis"/>
    <d v="2020-08-05T00:00:00"/>
    <n v="1400"/>
    <b v="0"/>
    <n v="394"/>
    <s v="RTX 2070 SUPER"/>
    <x v="5"/>
    <x v="1"/>
  </r>
  <r>
    <n v="1056640"/>
    <s v="Phantasy Star Online 2 New Genesis"/>
    <d v="2020-08-05T00:00:00"/>
    <n v="1400"/>
    <b v="0"/>
    <n v="394"/>
    <s v="RTX 2070 SUPER"/>
    <x v="6"/>
    <x v="0"/>
  </r>
  <r>
    <n v="8800"/>
    <s v="Civilization IV: Beyond the Sword"/>
    <d v="2007-07-24T00:00:00"/>
    <n v="1395"/>
    <b v="1"/>
    <n v="395"/>
    <s v="Radeon Graphics"/>
    <x v="0"/>
    <x v="1"/>
  </r>
  <r>
    <n v="8800"/>
    <s v="Civilization IV: Beyond the Sword"/>
    <d v="2007-07-24T00:00:00"/>
    <n v="1395"/>
    <b v="1"/>
    <n v="395"/>
    <s v="Radeon Graphics"/>
    <x v="1"/>
    <x v="1"/>
  </r>
  <r>
    <n v="8800"/>
    <s v="Civilization IV: Beyond the Sword"/>
    <d v="2007-07-24T00:00:00"/>
    <n v="1395"/>
    <b v="1"/>
    <n v="395"/>
    <s v="Radeon Graphics"/>
    <x v="2"/>
    <x v="1"/>
  </r>
  <r>
    <n v="8800"/>
    <s v="Civilization IV: Beyond the Sword"/>
    <d v="2007-07-24T00:00:00"/>
    <n v="1395"/>
    <b v="1"/>
    <n v="395"/>
    <s v="Radeon Graphics"/>
    <x v="3"/>
    <x v="1"/>
  </r>
  <r>
    <n v="8800"/>
    <s v="Civilization IV: Beyond the Sword"/>
    <d v="2007-07-24T00:00:00"/>
    <n v="1395"/>
    <b v="1"/>
    <n v="395"/>
    <s v="Radeon Graphics"/>
    <x v="4"/>
    <x v="1"/>
  </r>
  <r>
    <n v="8800"/>
    <s v="Civilization IV: Beyond the Sword"/>
    <d v="2007-07-24T00:00:00"/>
    <n v="1395"/>
    <b v="1"/>
    <n v="395"/>
    <s v="Radeon Graphics"/>
    <x v="5"/>
    <x v="0"/>
  </r>
  <r>
    <n v="8800"/>
    <s v="Civilization IV: Beyond the Sword"/>
    <d v="2007-07-24T00:00:00"/>
    <n v="1395"/>
    <b v="1"/>
    <n v="395"/>
    <s v="Radeon Graphics"/>
    <x v="6"/>
    <x v="1"/>
  </r>
  <r>
    <n v="1449560"/>
    <s v="Metro Exodus"/>
    <d v="2020-02-14T00:00:00"/>
    <n v="1391"/>
    <b v="1"/>
    <n v="396"/>
    <s v="GTX 1070"/>
    <x v="0"/>
    <x v="0"/>
  </r>
  <r>
    <n v="1449560"/>
    <s v="Metro Exodus"/>
    <d v="2020-02-14T00:00:00"/>
    <n v="1391"/>
    <b v="1"/>
    <n v="396"/>
    <s v="GTX 1070"/>
    <x v="1"/>
    <x v="1"/>
  </r>
  <r>
    <n v="1449560"/>
    <s v="Metro Exodus"/>
    <d v="2020-02-14T00:00:00"/>
    <n v="1391"/>
    <b v="1"/>
    <n v="396"/>
    <s v="GTX 1070"/>
    <x v="2"/>
    <x v="1"/>
  </r>
  <r>
    <n v="1449560"/>
    <s v="Metro Exodus"/>
    <d v="2020-02-14T00:00:00"/>
    <n v="1391"/>
    <b v="1"/>
    <n v="396"/>
    <s v="GTX 1070"/>
    <x v="3"/>
    <x v="1"/>
  </r>
  <r>
    <n v="1449560"/>
    <s v="Metro Exodus"/>
    <d v="2020-02-14T00:00:00"/>
    <n v="1391"/>
    <b v="1"/>
    <n v="396"/>
    <s v="GTX 1070"/>
    <x v="4"/>
    <x v="1"/>
  </r>
  <r>
    <n v="1449560"/>
    <s v="Metro Exodus"/>
    <d v="2020-02-14T00:00:00"/>
    <n v="1391"/>
    <b v="1"/>
    <n v="396"/>
    <s v="GTX 1070"/>
    <x v="5"/>
    <x v="1"/>
  </r>
  <r>
    <n v="1449560"/>
    <s v="Metro Exodus"/>
    <d v="2020-02-14T00:00:00"/>
    <n v="1391"/>
    <b v="1"/>
    <n v="396"/>
    <s v="GTX 1070"/>
    <x v="6"/>
    <x v="1"/>
  </r>
  <r>
    <n v="438040"/>
    <s v="Shakes and Fidget"/>
    <d v="2016-02-24T00:00:00"/>
    <n v="1389"/>
    <b v="1"/>
    <n v="397"/>
    <s v="Radeon Vega 8"/>
    <x v="0"/>
    <x v="1"/>
  </r>
  <r>
    <n v="438040"/>
    <s v="Shakes and Fidget"/>
    <d v="2016-02-24T00:00:00"/>
    <n v="1389"/>
    <b v="1"/>
    <n v="397"/>
    <s v="Radeon Vega 8"/>
    <x v="1"/>
    <x v="0"/>
  </r>
  <r>
    <n v="438040"/>
    <s v="Shakes and Fidget"/>
    <d v="2016-02-24T00:00:00"/>
    <n v="1389"/>
    <b v="1"/>
    <n v="397"/>
    <s v="Radeon Vega 8"/>
    <x v="2"/>
    <x v="0"/>
  </r>
  <r>
    <n v="438040"/>
    <s v="Shakes and Fidget"/>
    <d v="2016-02-24T00:00:00"/>
    <n v="1389"/>
    <b v="1"/>
    <n v="397"/>
    <s v="Radeon Vega 8"/>
    <x v="3"/>
    <x v="1"/>
  </r>
  <r>
    <n v="438040"/>
    <s v="Shakes and Fidget"/>
    <d v="2016-02-24T00:00:00"/>
    <n v="1389"/>
    <b v="1"/>
    <n v="397"/>
    <s v="Radeon Vega 8"/>
    <x v="4"/>
    <x v="0"/>
  </r>
  <r>
    <n v="438040"/>
    <s v="Shakes and Fidget"/>
    <d v="2016-02-24T00:00:00"/>
    <n v="1389"/>
    <b v="1"/>
    <n v="397"/>
    <s v="Radeon Vega 8"/>
    <x v="5"/>
    <x v="0"/>
  </r>
  <r>
    <n v="438040"/>
    <s v="Shakes and Fidget"/>
    <d v="2016-02-24T00:00:00"/>
    <n v="1389"/>
    <b v="1"/>
    <n v="397"/>
    <s v="Radeon Vega 8"/>
    <x v="6"/>
    <x v="0"/>
  </r>
  <r>
    <n v="1222680"/>
    <s v="Need for Speed Heat"/>
    <d v="2020-06-04T00:00:00"/>
    <n v="1385"/>
    <b v="0"/>
    <n v="398"/>
    <s v="RX 480"/>
    <x v="0"/>
    <x v="0"/>
  </r>
  <r>
    <n v="1222680"/>
    <s v="Need for Speed Heat"/>
    <d v="2020-06-04T00:00:00"/>
    <n v="1385"/>
    <b v="0"/>
    <n v="398"/>
    <s v="RX 480"/>
    <x v="1"/>
    <x v="1"/>
  </r>
  <r>
    <n v="1222680"/>
    <s v="Need for Speed Heat"/>
    <d v="2020-06-04T00:00:00"/>
    <n v="1385"/>
    <b v="0"/>
    <n v="398"/>
    <s v="RX 480"/>
    <x v="2"/>
    <x v="0"/>
  </r>
  <r>
    <n v="1222680"/>
    <s v="Need for Speed Heat"/>
    <d v="2020-06-04T00:00:00"/>
    <n v="1385"/>
    <b v="0"/>
    <n v="398"/>
    <s v="RX 480"/>
    <x v="3"/>
    <x v="1"/>
  </r>
  <r>
    <n v="1222680"/>
    <s v="Need for Speed Heat"/>
    <d v="2020-06-04T00:00:00"/>
    <n v="1385"/>
    <b v="0"/>
    <n v="398"/>
    <s v="RX 480"/>
    <x v="4"/>
    <x v="1"/>
  </r>
  <r>
    <n v="1222680"/>
    <s v="Need for Speed Heat"/>
    <d v="2020-06-04T00:00:00"/>
    <n v="1385"/>
    <b v="0"/>
    <n v="398"/>
    <s v="RX 480"/>
    <x v="5"/>
    <x v="1"/>
  </r>
  <r>
    <n v="1222680"/>
    <s v="Need for Speed Heat"/>
    <d v="2020-06-04T00:00:00"/>
    <n v="1385"/>
    <b v="0"/>
    <n v="398"/>
    <s v="RX 480"/>
    <x v="6"/>
    <x v="1"/>
  </r>
  <r>
    <n v="3910"/>
    <s v="Sid Meier's Civilization III Complete"/>
    <d v="2006-10-25T00:00:00"/>
    <n v="1383"/>
    <b v="0"/>
    <n v="399"/>
    <s v="Intel HD Graphics"/>
    <x v="0"/>
    <x v="1"/>
  </r>
  <r>
    <n v="3910"/>
    <s v="Sid Meier's Civilization III Complete"/>
    <d v="2006-10-25T00:00:00"/>
    <n v="1383"/>
    <b v="0"/>
    <n v="399"/>
    <s v="Intel HD Graphics"/>
    <x v="1"/>
    <x v="1"/>
  </r>
  <r>
    <n v="3910"/>
    <s v="Sid Meier's Civilization III Complete"/>
    <d v="2006-10-25T00:00:00"/>
    <n v="1383"/>
    <b v="0"/>
    <n v="399"/>
    <s v="Intel HD Graphics"/>
    <x v="2"/>
    <x v="1"/>
  </r>
  <r>
    <n v="3910"/>
    <s v="Sid Meier's Civilization III Complete"/>
    <d v="2006-10-25T00:00:00"/>
    <n v="1383"/>
    <b v="0"/>
    <n v="399"/>
    <s v="Intel HD Graphics"/>
    <x v="3"/>
    <x v="1"/>
  </r>
  <r>
    <n v="3910"/>
    <s v="Sid Meier's Civilization III Complete"/>
    <d v="2006-10-25T00:00:00"/>
    <n v="1383"/>
    <b v="0"/>
    <n v="399"/>
    <s v="Intel HD Graphics"/>
    <x v="4"/>
    <x v="1"/>
  </r>
  <r>
    <n v="3910"/>
    <s v="Sid Meier's Civilization III Complete"/>
    <d v="2006-10-25T00:00:00"/>
    <n v="1383"/>
    <b v="0"/>
    <n v="399"/>
    <s v="Intel HD Graphics"/>
    <x v="5"/>
    <x v="0"/>
  </r>
  <r>
    <n v="3910"/>
    <s v="Sid Meier's Civilization III Complete"/>
    <d v="2006-10-25T00:00:00"/>
    <n v="1383"/>
    <b v="0"/>
    <n v="399"/>
    <s v="Intel HD Graphics"/>
    <x v="6"/>
    <x v="1"/>
  </r>
  <r>
    <n v="1593500"/>
    <s v="God of War"/>
    <d v="2022-01-14T00:00:00"/>
    <n v="1380"/>
    <b v="0"/>
    <n v="400"/>
    <s v="GTX 1060"/>
    <x v="0"/>
    <x v="0"/>
  </r>
  <r>
    <n v="1593500"/>
    <s v="God of War"/>
    <d v="2022-01-14T00:00:00"/>
    <n v="1380"/>
    <b v="0"/>
    <n v="400"/>
    <s v="GTX 1060"/>
    <x v="1"/>
    <x v="1"/>
  </r>
  <r>
    <n v="1593500"/>
    <s v="God of War"/>
    <d v="2022-01-14T00:00:00"/>
    <n v="1380"/>
    <b v="0"/>
    <n v="400"/>
    <s v="GTX 1060"/>
    <x v="2"/>
    <x v="0"/>
  </r>
  <r>
    <n v="1593500"/>
    <s v="God of War"/>
    <d v="2022-01-14T00:00:00"/>
    <n v="1380"/>
    <b v="0"/>
    <n v="400"/>
    <s v="GTX 1060"/>
    <x v="3"/>
    <x v="1"/>
  </r>
  <r>
    <n v="1593500"/>
    <s v="God of War"/>
    <d v="2022-01-14T00:00:00"/>
    <n v="1380"/>
    <b v="0"/>
    <n v="400"/>
    <s v="GTX 1060"/>
    <x v="4"/>
    <x v="0"/>
  </r>
  <r>
    <n v="1593500"/>
    <s v="God of War"/>
    <d v="2022-01-14T00:00:00"/>
    <n v="1380"/>
    <b v="0"/>
    <n v="400"/>
    <s v="GTX 1060"/>
    <x v="5"/>
    <x v="1"/>
  </r>
  <r>
    <n v="1593500"/>
    <s v="God of War"/>
    <d v="2022-01-14T00:00:00"/>
    <n v="1380"/>
    <b v="0"/>
    <n v="400"/>
    <s v="GTX 1060"/>
    <x v="6"/>
    <x v="1"/>
  </r>
  <r>
    <n v="2208920"/>
    <s v="Assassin's Creed Valhalla"/>
    <d v="2022-12-06T00:00:00"/>
    <n v="1379"/>
    <b v="0"/>
    <n v="401"/>
    <s v="GTX 1050 Ti"/>
    <x v="0"/>
    <x v="0"/>
  </r>
  <r>
    <n v="2208920"/>
    <s v="Assassin's Creed Valhalla"/>
    <d v="2022-12-06T00:00:00"/>
    <n v="1379"/>
    <b v="0"/>
    <n v="401"/>
    <s v="GTX 1050 Ti"/>
    <x v="1"/>
    <x v="1"/>
  </r>
  <r>
    <n v="2208920"/>
    <s v="Assassin's Creed Valhalla"/>
    <d v="2022-12-06T00:00:00"/>
    <n v="1379"/>
    <b v="0"/>
    <n v="401"/>
    <s v="GTX 1050 Ti"/>
    <x v="2"/>
    <x v="0"/>
  </r>
  <r>
    <n v="2208920"/>
    <s v="Assassin's Creed Valhalla"/>
    <d v="2022-12-06T00:00:00"/>
    <n v="1379"/>
    <b v="0"/>
    <n v="401"/>
    <s v="GTX 1050 Ti"/>
    <x v="3"/>
    <x v="1"/>
  </r>
  <r>
    <n v="2208920"/>
    <s v="Assassin's Creed Valhalla"/>
    <d v="2022-12-06T00:00:00"/>
    <n v="1379"/>
    <b v="0"/>
    <n v="401"/>
    <s v="GTX 1050 Ti"/>
    <x v="4"/>
    <x v="0"/>
  </r>
  <r>
    <n v="2208920"/>
    <s v="Assassin's Creed Valhalla"/>
    <d v="2022-12-06T00:00:00"/>
    <n v="1379"/>
    <b v="0"/>
    <n v="401"/>
    <s v="GTX 1050 Ti"/>
    <x v="5"/>
    <x v="1"/>
  </r>
  <r>
    <n v="2208920"/>
    <s v="Assassin's Creed Valhalla"/>
    <d v="2022-12-06T00:00:00"/>
    <n v="1379"/>
    <b v="0"/>
    <n v="401"/>
    <s v="GTX 1050 Ti"/>
    <x v="6"/>
    <x v="1"/>
  </r>
  <r>
    <n v="203770"/>
    <s v="Crusader Kings II"/>
    <d v="2012-02-14T00:00:00"/>
    <n v="1373"/>
    <b v="1"/>
    <n v="402"/>
    <s v="Radeon Graphics"/>
    <x v="0"/>
    <x v="1"/>
  </r>
  <r>
    <n v="203770"/>
    <s v="Crusader Kings II"/>
    <d v="2012-02-14T00:00:00"/>
    <n v="1373"/>
    <b v="1"/>
    <n v="402"/>
    <s v="Radeon Graphics"/>
    <x v="1"/>
    <x v="1"/>
  </r>
  <r>
    <n v="203770"/>
    <s v="Crusader Kings II"/>
    <d v="2012-02-14T00:00:00"/>
    <n v="1373"/>
    <b v="1"/>
    <n v="402"/>
    <s v="Radeon Graphics"/>
    <x v="2"/>
    <x v="1"/>
  </r>
  <r>
    <n v="203770"/>
    <s v="Crusader Kings II"/>
    <d v="2012-02-14T00:00:00"/>
    <n v="1373"/>
    <b v="1"/>
    <n v="402"/>
    <s v="Radeon Graphics"/>
    <x v="3"/>
    <x v="0"/>
  </r>
  <r>
    <n v="203770"/>
    <s v="Crusader Kings II"/>
    <d v="2012-02-14T00:00:00"/>
    <n v="1373"/>
    <b v="1"/>
    <n v="402"/>
    <s v="Radeon Graphics"/>
    <x v="4"/>
    <x v="0"/>
  </r>
  <r>
    <n v="203770"/>
    <s v="Crusader Kings II"/>
    <d v="2012-02-14T00:00:00"/>
    <n v="1373"/>
    <b v="1"/>
    <n v="402"/>
    <s v="Radeon Graphics"/>
    <x v="5"/>
    <x v="0"/>
  </r>
  <r>
    <n v="203770"/>
    <s v="Crusader Kings II"/>
    <d v="2012-02-14T00:00:00"/>
    <n v="1373"/>
    <b v="1"/>
    <n v="402"/>
    <s v="Radeon Graphics"/>
    <x v="6"/>
    <x v="0"/>
  </r>
  <r>
    <n v="1129580"/>
    <s v="Medieval Dynasty"/>
    <d v="2021-09-23T00:00:00"/>
    <n v="1366"/>
    <b v="0"/>
    <n v="403"/>
    <s v="GTX 1660"/>
    <x v="0"/>
    <x v="0"/>
  </r>
  <r>
    <n v="1129580"/>
    <s v="Medieval Dynasty"/>
    <d v="2021-09-23T00:00:00"/>
    <n v="1366"/>
    <b v="0"/>
    <n v="403"/>
    <s v="GTX 1660"/>
    <x v="1"/>
    <x v="0"/>
  </r>
  <r>
    <n v="1129580"/>
    <s v="Medieval Dynasty"/>
    <d v="2021-09-23T00:00:00"/>
    <n v="1366"/>
    <b v="0"/>
    <n v="403"/>
    <s v="GTX 1660"/>
    <x v="2"/>
    <x v="0"/>
  </r>
  <r>
    <n v="1129580"/>
    <s v="Medieval Dynasty"/>
    <d v="2021-09-23T00:00:00"/>
    <n v="1366"/>
    <b v="0"/>
    <n v="403"/>
    <s v="GTX 1660"/>
    <x v="3"/>
    <x v="0"/>
  </r>
  <r>
    <n v="1129580"/>
    <s v="Medieval Dynasty"/>
    <d v="2021-09-23T00:00:00"/>
    <n v="1366"/>
    <b v="0"/>
    <n v="403"/>
    <s v="GTX 1660"/>
    <x v="4"/>
    <x v="0"/>
  </r>
  <r>
    <n v="1129580"/>
    <s v="Medieval Dynasty"/>
    <d v="2021-09-23T00:00:00"/>
    <n v="1366"/>
    <b v="0"/>
    <n v="403"/>
    <s v="GTX 1660"/>
    <x v="5"/>
    <x v="1"/>
  </r>
  <r>
    <n v="1129580"/>
    <s v="Medieval Dynasty"/>
    <d v="2021-09-23T00:00:00"/>
    <n v="1366"/>
    <b v="0"/>
    <n v="403"/>
    <s v="GTX 1660"/>
    <x v="6"/>
    <x v="1"/>
  </r>
  <r>
    <n v="1627720"/>
    <s v="Lies of P"/>
    <d v="2023-09-18T00:00:00"/>
    <n v="1363"/>
    <b v="1"/>
    <n v="404"/>
    <s v="RX 6500 XT"/>
    <x v="0"/>
    <x v="0"/>
  </r>
  <r>
    <n v="1627720"/>
    <s v="Lies of P"/>
    <d v="2023-09-18T00:00:00"/>
    <n v="1363"/>
    <b v="1"/>
    <n v="404"/>
    <s v="RX 6500 XT"/>
    <x v="1"/>
    <x v="1"/>
  </r>
  <r>
    <n v="1627720"/>
    <s v="Lies of P"/>
    <d v="2023-09-18T00:00:00"/>
    <n v="1363"/>
    <b v="1"/>
    <n v="404"/>
    <s v="RX 6500 XT"/>
    <x v="2"/>
    <x v="0"/>
  </r>
  <r>
    <n v="1627720"/>
    <s v="Lies of P"/>
    <d v="2023-09-18T00:00:00"/>
    <n v="1363"/>
    <b v="1"/>
    <n v="404"/>
    <s v="RX 6500 XT"/>
    <x v="3"/>
    <x v="1"/>
  </r>
  <r>
    <n v="1627720"/>
    <s v="Lies of P"/>
    <d v="2023-09-18T00:00:00"/>
    <n v="1363"/>
    <b v="1"/>
    <n v="404"/>
    <s v="RX 6500 XT"/>
    <x v="4"/>
    <x v="0"/>
  </r>
  <r>
    <n v="1627720"/>
    <s v="Lies of P"/>
    <d v="2023-09-18T00:00:00"/>
    <n v="1363"/>
    <b v="1"/>
    <n v="404"/>
    <s v="RX 6500 XT"/>
    <x v="5"/>
    <x v="1"/>
  </r>
  <r>
    <n v="1627720"/>
    <s v="Lies of P"/>
    <d v="2023-09-18T00:00:00"/>
    <n v="1363"/>
    <b v="1"/>
    <n v="404"/>
    <s v="RX 6500 XT"/>
    <x v="6"/>
    <x v="1"/>
  </r>
  <r>
    <n v="1172380"/>
    <s v="STAR WARS Jedi: Fallen Order"/>
    <d v="2019-11-14T00:00:00"/>
    <n v="1354"/>
    <b v="0"/>
    <n v="405"/>
    <s v="GTX 1070"/>
    <x v="0"/>
    <x v="0"/>
  </r>
  <r>
    <n v="1172380"/>
    <s v="STAR WARS Jedi: Fallen Order"/>
    <d v="2019-11-14T00:00:00"/>
    <n v="1354"/>
    <b v="0"/>
    <n v="405"/>
    <s v="GTX 1070"/>
    <x v="1"/>
    <x v="1"/>
  </r>
  <r>
    <n v="1172380"/>
    <s v="STAR WARS Jedi: Fallen Order"/>
    <d v="2019-11-14T00:00:00"/>
    <n v="1354"/>
    <b v="0"/>
    <n v="405"/>
    <s v="GTX 1070"/>
    <x v="2"/>
    <x v="0"/>
  </r>
  <r>
    <n v="1172380"/>
    <s v="STAR WARS Jedi: Fallen Order"/>
    <d v="2019-11-14T00:00:00"/>
    <n v="1354"/>
    <b v="0"/>
    <n v="405"/>
    <s v="GTX 1070"/>
    <x v="3"/>
    <x v="1"/>
  </r>
  <r>
    <n v="1172380"/>
    <s v="STAR WARS Jedi: Fallen Order"/>
    <d v="2019-11-14T00:00:00"/>
    <n v="1354"/>
    <b v="0"/>
    <n v="405"/>
    <s v="GTX 1070"/>
    <x v="4"/>
    <x v="1"/>
  </r>
  <r>
    <n v="1172380"/>
    <s v="STAR WARS Jedi: Fallen Order"/>
    <d v="2019-11-14T00:00:00"/>
    <n v="1354"/>
    <b v="0"/>
    <n v="405"/>
    <s v="GTX 1070"/>
    <x v="5"/>
    <x v="1"/>
  </r>
  <r>
    <n v="1172380"/>
    <s v="STAR WARS Jedi: Fallen Order"/>
    <d v="2019-11-14T00:00:00"/>
    <n v="1354"/>
    <b v="0"/>
    <n v="405"/>
    <s v="GTX 1070"/>
    <x v="6"/>
    <x v="1"/>
  </r>
  <r>
    <n v="1201240"/>
    <s v="BLEACH Brave Souls"/>
    <d v="2020-08-17T00:00:00"/>
    <n v="1349"/>
    <b v="0"/>
    <n v="406"/>
    <s v="RX 560"/>
    <x v="0"/>
    <x v="0"/>
  </r>
  <r>
    <n v="1201240"/>
    <s v="BLEACH Brave Souls"/>
    <d v="2020-08-17T00:00:00"/>
    <n v="1349"/>
    <b v="0"/>
    <n v="406"/>
    <s v="RX 560"/>
    <x v="1"/>
    <x v="1"/>
  </r>
  <r>
    <n v="1201240"/>
    <s v="BLEACH Brave Souls"/>
    <d v="2020-08-17T00:00:00"/>
    <n v="1349"/>
    <b v="0"/>
    <n v="406"/>
    <s v="RX 560"/>
    <x v="2"/>
    <x v="1"/>
  </r>
  <r>
    <n v="1201240"/>
    <s v="BLEACH Brave Souls"/>
    <d v="2020-08-17T00:00:00"/>
    <n v="1349"/>
    <b v="0"/>
    <n v="406"/>
    <s v="RX 560"/>
    <x v="3"/>
    <x v="1"/>
  </r>
  <r>
    <n v="1201240"/>
    <s v="BLEACH Brave Souls"/>
    <d v="2020-08-17T00:00:00"/>
    <n v="1349"/>
    <b v="0"/>
    <n v="406"/>
    <s v="RX 560"/>
    <x v="4"/>
    <x v="0"/>
  </r>
  <r>
    <n v="1201240"/>
    <s v="BLEACH Brave Souls"/>
    <d v="2020-08-17T00:00:00"/>
    <n v="1349"/>
    <b v="0"/>
    <n v="406"/>
    <s v="RX 560"/>
    <x v="5"/>
    <x v="1"/>
  </r>
  <r>
    <n v="1201240"/>
    <s v="BLEACH Brave Souls"/>
    <d v="2020-08-17T00:00:00"/>
    <n v="1349"/>
    <b v="0"/>
    <n v="406"/>
    <s v="RX 560"/>
    <x v="6"/>
    <x v="0"/>
  </r>
  <r>
    <n v="2651280"/>
    <s v="Marvel's Spider-Man 2"/>
    <d v="2025-01-30T00:00:00"/>
    <n v="1348"/>
    <b v="0"/>
    <n v="407"/>
    <s v="RTX 3060"/>
    <x v="0"/>
    <x v="0"/>
  </r>
  <r>
    <n v="2651280"/>
    <s v="Marvel's Spider-Man 2"/>
    <d v="2025-01-30T00:00:00"/>
    <n v="1348"/>
    <b v="0"/>
    <n v="407"/>
    <s v="RTX 3060"/>
    <x v="1"/>
    <x v="1"/>
  </r>
  <r>
    <n v="2651280"/>
    <s v="Marvel's Spider-Man 2"/>
    <d v="2025-01-30T00:00:00"/>
    <n v="1348"/>
    <b v="0"/>
    <n v="407"/>
    <s v="RTX 3060"/>
    <x v="2"/>
    <x v="0"/>
  </r>
  <r>
    <n v="2651280"/>
    <s v="Marvel's Spider-Man 2"/>
    <d v="2025-01-30T00:00:00"/>
    <n v="1348"/>
    <b v="0"/>
    <n v="407"/>
    <s v="RTX 3060"/>
    <x v="3"/>
    <x v="1"/>
  </r>
  <r>
    <n v="2651280"/>
    <s v="Marvel's Spider-Man 2"/>
    <d v="2025-01-30T00:00:00"/>
    <n v="1348"/>
    <b v="0"/>
    <n v="407"/>
    <s v="RTX 3060"/>
    <x v="4"/>
    <x v="1"/>
  </r>
  <r>
    <n v="2651280"/>
    <s v="Marvel's Spider-Man 2"/>
    <d v="2025-01-30T00:00:00"/>
    <n v="1348"/>
    <b v="0"/>
    <n v="407"/>
    <s v="RTX 3060"/>
    <x v="5"/>
    <x v="1"/>
  </r>
  <r>
    <n v="2651280"/>
    <s v="Marvel's Spider-Man 2"/>
    <d v="2025-01-30T00:00:00"/>
    <n v="1348"/>
    <b v="0"/>
    <n v="407"/>
    <s v="RTX 3060"/>
    <x v="6"/>
    <x v="1"/>
  </r>
  <r>
    <n v="1190000"/>
    <s v="Car Mechanic Simulator 2021"/>
    <d v="2021-08-11T00:00:00"/>
    <n v="1343"/>
    <b v="0"/>
    <n v="408"/>
    <s v="GTX 1070"/>
    <x v="0"/>
    <x v="1"/>
  </r>
  <r>
    <n v="1190000"/>
    <s v="Car Mechanic Simulator 2021"/>
    <d v="2021-08-11T00:00:00"/>
    <n v="1343"/>
    <b v="0"/>
    <n v="408"/>
    <s v="GTX 1070"/>
    <x v="1"/>
    <x v="1"/>
  </r>
  <r>
    <n v="1190000"/>
    <s v="Car Mechanic Simulator 2021"/>
    <d v="2021-08-11T00:00:00"/>
    <n v="1343"/>
    <b v="0"/>
    <n v="408"/>
    <s v="GTX 1070"/>
    <x v="2"/>
    <x v="1"/>
  </r>
  <r>
    <n v="1190000"/>
    <s v="Car Mechanic Simulator 2021"/>
    <d v="2021-08-11T00:00:00"/>
    <n v="1343"/>
    <b v="0"/>
    <n v="408"/>
    <s v="GTX 1070"/>
    <x v="3"/>
    <x v="0"/>
  </r>
  <r>
    <n v="1190000"/>
    <s v="Car Mechanic Simulator 2021"/>
    <d v="2021-08-11T00:00:00"/>
    <n v="1343"/>
    <b v="0"/>
    <n v="408"/>
    <s v="GTX 1070"/>
    <x v="4"/>
    <x v="1"/>
  </r>
  <r>
    <n v="1190000"/>
    <s v="Car Mechanic Simulator 2021"/>
    <d v="2021-08-11T00:00:00"/>
    <n v="1343"/>
    <b v="0"/>
    <n v="408"/>
    <s v="GTX 1070"/>
    <x v="5"/>
    <x v="1"/>
  </r>
  <r>
    <n v="1190000"/>
    <s v="Car Mechanic Simulator 2021"/>
    <d v="2021-08-11T00:00:00"/>
    <n v="1343"/>
    <b v="0"/>
    <n v="408"/>
    <s v="GTX 1070"/>
    <x v="6"/>
    <x v="1"/>
  </r>
  <r>
    <n v="287700"/>
    <s v="METAL GEAR SOLID V: THE PHANTOM PAIN"/>
    <d v="2015-09-01T00:00:00"/>
    <n v="1333"/>
    <b v="0"/>
    <n v="409"/>
    <s v="GTX 950"/>
    <x v="0"/>
    <x v="0"/>
  </r>
  <r>
    <n v="287700"/>
    <s v="METAL GEAR SOLID V: THE PHANTOM PAIN"/>
    <d v="2015-09-01T00:00:00"/>
    <n v="1333"/>
    <b v="0"/>
    <n v="409"/>
    <s v="GTX 950"/>
    <x v="1"/>
    <x v="1"/>
  </r>
  <r>
    <n v="287700"/>
    <s v="METAL GEAR SOLID V: THE PHANTOM PAIN"/>
    <d v="2015-09-01T00:00:00"/>
    <n v="1333"/>
    <b v="0"/>
    <n v="409"/>
    <s v="GTX 950"/>
    <x v="2"/>
    <x v="0"/>
  </r>
  <r>
    <n v="287700"/>
    <s v="METAL GEAR SOLID V: THE PHANTOM PAIN"/>
    <d v="2015-09-01T00:00:00"/>
    <n v="1333"/>
    <b v="0"/>
    <n v="409"/>
    <s v="GTX 950"/>
    <x v="3"/>
    <x v="1"/>
  </r>
  <r>
    <n v="287700"/>
    <s v="METAL GEAR SOLID V: THE PHANTOM PAIN"/>
    <d v="2015-09-01T00:00:00"/>
    <n v="1333"/>
    <b v="0"/>
    <n v="409"/>
    <s v="GTX 950"/>
    <x v="4"/>
    <x v="1"/>
  </r>
  <r>
    <n v="287700"/>
    <s v="METAL GEAR SOLID V: THE PHANTOM PAIN"/>
    <d v="2015-09-01T00:00:00"/>
    <n v="1333"/>
    <b v="0"/>
    <n v="409"/>
    <s v="GTX 950"/>
    <x v="5"/>
    <x v="1"/>
  </r>
  <r>
    <n v="287700"/>
    <s v="METAL GEAR SOLID V: THE PHANTOM PAIN"/>
    <d v="2015-09-01T00:00:00"/>
    <n v="1333"/>
    <b v="0"/>
    <n v="409"/>
    <s v="GTX 950"/>
    <x v="6"/>
    <x v="1"/>
  </r>
  <r>
    <n v="1158160"/>
    <s v="Coral Island"/>
    <d v="2023-11-14T00:00:00"/>
    <n v="1328"/>
    <b v="0"/>
    <n v="410"/>
    <s v="GTX 1050 Ti"/>
    <x v="0"/>
    <x v="1"/>
  </r>
  <r>
    <n v="1158160"/>
    <s v="Coral Island"/>
    <d v="2023-11-14T00:00:00"/>
    <n v="1328"/>
    <b v="0"/>
    <n v="410"/>
    <s v="GTX 1050 Ti"/>
    <x v="1"/>
    <x v="0"/>
  </r>
  <r>
    <n v="1158160"/>
    <s v="Coral Island"/>
    <d v="2023-11-14T00:00:00"/>
    <n v="1328"/>
    <b v="0"/>
    <n v="410"/>
    <s v="GTX 1050 Ti"/>
    <x v="2"/>
    <x v="0"/>
  </r>
  <r>
    <n v="1158160"/>
    <s v="Coral Island"/>
    <d v="2023-11-14T00:00:00"/>
    <n v="1328"/>
    <b v="0"/>
    <n v="410"/>
    <s v="GTX 1050 Ti"/>
    <x v="3"/>
    <x v="0"/>
  </r>
  <r>
    <n v="1158160"/>
    <s v="Coral Island"/>
    <d v="2023-11-14T00:00:00"/>
    <n v="1328"/>
    <b v="0"/>
    <n v="410"/>
    <s v="GTX 1050 Ti"/>
    <x v="4"/>
    <x v="0"/>
  </r>
  <r>
    <n v="1158160"/>
    <s v="Coral Island"/>
    <d v="2023-11-14T00:00:00"/>
    <n v="1328"/>
    <b v="0"/>
    <n v="410"/>
    <s v="GTX 1050 Ti"/>
    <x v="5"/>
    <x v="0"/>
  </r>
  <r>
    <n v="1158160"/>
    <s v="Coral Island"/>
    <d v="2023-11-14T00:00:00"/>
    <n v="1328"/>
    <b v="0"/>
    <n v="410"/>
    <s v="GTX 1050 Ti"/>
    <x v="6"/>
    <x v="1"/>
  </r>
  <r>
    <n v="489630"/>
    <s v="Warhammer 40,000: Gladius - Relics of War"/>
    <d v="2018-07-12T00:00:00"/>
    <n v="1326"/>
    <b v="0"/>
    <n v="411"/>
    <s v="RX 480"/>
    <x v="0"/>
    <x v="1"/>
  </r>
  <r>
    <n v="489630"/>
    <s v="Warhammer 40,000: Gladius - Relics of War"/>
    <d v="2018-07-12T00:00:00"/>
    <n v="1326"/>
    <b v="0"/>
    <n v="411"/>
    <s v="RX 480"/>
    <x v="1"/>
    <x v="1"/>
  </r>
  <r>
    <n v="489630"/>
    <s v="Warhammer 40,000: Gladius - Relics of War"/>
    <d v="2018-07-12T00:00:00"/>
    <n v="1326"/>
    <b v="0"/>
    <n v="411"/>
    <s v="RX 480"/>
    <x v="2"/>
    <x v="1"/>
  </r>
  <r>
    <n v="489630"/>
    <s v="Warhammer 40,000: Gladius - Relics of War"/>
    <d v="2018-07-12T00:00:00"/>
    <n v="1326"/>
    <b v="0"/>
    <n v="411"/>
    <s v="RX 480"/>
    <x v="3"/>
    <x v="1"/>
  </r>
  <r>
    <n v="489630"/>
    <s v="Warhammer 40,000: Gladius - Relics of War"/>
    <d v="2018-07-12T00:00:00"/>
    <n v="1326"/>
    <b v="0"/>
    <n v="411"/>
    <s v="RX 480"/>
    <x v="4"/>
    <x v="1"/>
  </r>
  <r>
    <n v="489630"/>
    <s v="Warhammer 40,000: Gladius - Relics of War"/>
    <d v="2018-07-12T00:00:00"/>
    <n v="1326"/>
    <b v="0"/>
    <n v="411"/>
    <s v="RX 480"/>
    <x v="5"/>
    <x v="0"/>
  </r>
  <r>
    <n v="489630"/>
    <s v="Warhammer 40,000: Gladius - Relics of War"/>
    <d v="2018-07-12T00:00:00"/>
    <n v="1326"/>
    <b v="0"/>
    <n v="411"/>
    <s v="RX 480"/>
    <x v="6"/>
    <x v="1"/>
  </r>
  <r>
    <n v="1506830"/>
    <s v="FIFA 22"/>
    <d v="2021-10-01T00:00:00"/>
    <n v="1319"/>
    <b v="0"/>
    <n v="412"/>
    <s v="GTX 1050 Ti"/>
    <x v="0"/>
    <x v="1"/>
  </r>
  <r>
    <n v="1506830"/>
    <s v="FIFA 22"/>
    <d v="2021-10-01T00:00:00"/>
    <n v="1319"/>
    <b v="0"/>
    <n v="412"/>
    <s v="GTX 1050 Ti"/>
    <x v="1"/>
    <x v="1"/>
  </r>
  <r>
    <n v="1506830"/>
    <s v="FIFA 22"/>
    <d v="2021-10-01T00:00:00"/>
    <n v="1319"/>
    <b v="0"/>
    <n v="412"/>
    <s v="GTX 1050 Ti"/>
    <x v="2"/>
    <x v="1"/>
  </r>
  <r>
    <n v="1506830"/>
    <s v="FIFA 22"/>
    <d v="2021-10-01T00:00:00"/>
    <n v="1319"/>
    <b v="0"/>
    <n v="412"/>
    <s v="GTX 1050 Ti"/>
    <x v="3"/>
    <x v="0"/>
  </r>
  <r>
    <n v="1506830"/>
    <s v="FIFA 22"/>
    <d v="2021-10-01T00:00:00"/>
    <n v="1319"/>
    <b v="0"/>
    <n v="412"/>
    <s v="GTX 1050 Ti"/>
    <x v="4"/>
    <x v="1"/>
  </r>
  <r>
    <n v="1506830"/>
    <s v="FIFA 22"/>
    <d v="2021-10-01T00:00:00"/>
    <n v="1319"/>
    <b v="0"/>
    <n v="412"/>
    <s v="GTX 1050 Ti"/>
    <x v="5"/>
    <x v="1"/>
  </r>
  <r>
    <n v="1506830"/>
    <s v="FIFA 22"/>
    <d v="2021-10-01T00:00:00"/>
    <n v="1319"/>
    <b v="0"/>
    <n v="412"/>
    <s v="GTX 1050 Ti"/>
    <x v="6"/>
    <x v="1"/>
  </r>
  <r>
    <n v="2384580"/>
    <s v="DYNASTY WARRIORS: ORIGINS"/>
    <d v="2025-01-16T00:00:00"/>
    <n v="1314"/>
    <b v="0"/>
    <n v="413"/>
    <s v="RTX 2070"/>
    <x v="0"/>
    <x v="0"/>
  </r>
  <r>
    <n v="2384580"/>
    <s v="DYNASTY WARRIORS: ORIGINS"/>
    <d v="2025-01-16T00:00:00"/>
    <n v="1314"/>
    <b v="0"/>
    <n v="413"/>
    <s v="RTX 2070"/>
    <x v="1"/>
    <x v="1"/>
  </r>
  <r>
    <n v="2384580"/>
    <s v="DYNASTY WARRIORS: ORIGINS"/>
    <d v="2025-01-16T00:00:00"/>
    <n v="1314"/>
    <b v="0"/>
    <n v="413"/>
    <s v="RTX 2070"/>
    <x v="2"/>
    <x v="1"/>
  </r>
  <r>
    <n v="2384580"/>
    <s v="DYNASTY WARRIORS: ORIGINS"/>
    <d v="2025-01-16T00:00:00"/>
    <n v="1314"/>
    <b v="0"/>
    <n v="413"/>
    <s v="RTX 2070"/>
    <x v="3"/>
    <x v="1"/>
  </r>
  <r>
    <n v="2384580"/>
    <s v="DYNASTY WARRIORS: ORIGINS"/>
    <d v="2025-01-16T00:00:00"/>
    <n v="1314"/>
    <b v="0"/>
    <n v="413"/>
    <s v="RTX 2070"/>
    <x v="4"/>
    <x v="0"/>
  </r>
  <r>
    <n v="2384580"/>
    <s v="DYNASTY WARRIORS: ORIGINS"/>
    <d v="2025-01-16T00:00:00"/>
    <n v="1314"/>
    <b v="0"/>
    <n v="413"/>
    <s v="RTX 2070"/>
    <x v="5"/>
    <x v="0"/>
  </r>
  <r>
    <n v="2384580"/>
    <s v="DYNASTY WARRIORS: ORIGINS"/>
    <d v="2025-01-16T00:00:00"/>
    <n v="1314"/>
    <b v="0"/>
    <n v="413"/>
    <s v="RTX 2070"/>
    <x v="6"/>
    <x v="1"/>
  </r>
  <r>
    <n v="663090"/>
    <s v="Granado Espada"/>
    <d v="2017-10-15T00:00:00"/>
    <n v="1313"/>
    <b v="0"/>
    <n v="414"/>
    <s v="Radeon Vega 8"/>
    <x v="0"/>
    <x v="1"/>
  </r>
  <r>
    <n v="663090"/>
    <s v="Granado Espada"/>
    <d v="2017-10-15T00:00:00"/>
    <n v="1313"/>
    <b v="0"/>
    <n v="414"/>
    <s v="Radeon Vega 8"/>
    <x v="1"/>
    <x v="1"/>
  </r>
  <r>
    <n v="663090"/>
    <s v="Granado Espada"/>
    <d v="2017-10-15T00:00:00"/>
    <n v="1313"/>
    <b v="0"/>
    <n v="414"/>
    <s v="Radeon Vega 8"/>
    <x v="2"/>
    <x v="1"/>
  </r>
  <r>
    <n v="663090"/>
    <s v="Granado Espada"/>
    <d v="2017-10-15T00:00:00"/>
    <n v="1313"/>
    <b v="0"/>
    <n v="414"/>
    <s v="Radeon Vega 8"/>
    <x v="3"/>
    <x v="1"/>
  </r>
  <r>
    <n v="663090"/>
    <s v="Granado Espada"/>
    <d v="2017-10-15T00:00:00"/>
    <n v="1313"/>
    <b v="0"/>
    <n v="414"/>
    <s v="Radeon Vega 8"/>
    <x v="4"/>
    <x v="0"/>
  </r>
  <r>
    <n v="663090"/>
    <s v="Granado Espada"/>
    <d v="2017-10-15T00:00:00"/>
    <n v="1313"/>
    <b v="0"/>
    <n v="414"/>
    <s v="Radeon Vega 8"/>
    <x v="5"/>
    <x v="1"/>
  </r>
  <r>
    <n v="663090"/>
    <s v="Granado Espada"/>
    <d v="2017-10-15T00:00:00"/>
    <n v="1313"/>
    <b v="0"/>
    <n v="414"/>
    <s v="Radeon Vega 8"/>
    <x v="6"/>
    <x v="0"/>
  </r>
  <r>
    <n v="613100"/>
    <s v="House Flipper"/>
    <d v="2018-05-17T00:00:00"/>
    <n v="1311"/>
    <b v="1"/>
    <n v="415"/>
    <s v="GTX 970"/>
    <x v="0"/>
    <x v="1"/>
  </r>
  <r>
    <n v="613100"/>
    <s v="House Flipper"/>
    <d v="2018-05-17T00:00:00"/>
    <n v="1311"/>
    <b v="1"/>
    <n v="415"/>
    <s v="GTX 970"/>
    <x v="1"/>
    <x v="0"/>
  </r>
  <r>
    <n v="613100"/>
    <s v="House Flipper"/>
    <d v="2018-05-17T00:00:00"/>
    <n v="1311"/>
    <b v="1"/>
    <n v="415"/>
    <s v="GTX 970"/>
    <x v="2"/>
    <x v="1"/>
  </r>
  <r>
    <n v="613100"/>
    <s v="House Flipper"/>
    <d v="2018-05-17T00:00:00"/>
    <n v="1311"/>
    <b v="1"/>
    <n v="415"/>
    <s v="GTX 970"/>
    <x v="3"/>
    <x v="0"/>
  </r>
  <r>
    <n v="613100"/>
    <s v="House Flipper"/>
    <d v="2018-05-17T00:00:00"/>
    <n v="1311"/>
    <b v="1"/>
    <n v="415"/>
    <s v="GTX 970"/>
    <x v="4"/>
    <x v="1"/>
  </r>
  <r>
    <n v="613100"/>
    <s v="House Flipper"/>
    <d v="2018-05-17T00:00:00"/>
    <n v="1311"/>
    <b v="1"/>
    <n v="415"/>
    <s v="GTX 970"/>
    <x v="5"/>
    <x v="1"/>
  </r>
  <r>
    <n v="613100"/>
    <s v="House Flipper"/>
    <d v="2018-05-17T00:00:00"/>
    <n v="1311"/>
    <b v="1"/>
    <n v="415"/>
    <s v="GTX 970"/>
    <x v="6"/>
    <x v="1"/>
  </r>
  <r>
    <n v="701160"/>
    <s v="Kingdom Two Crowns"/>
    <d v="2018-12-11T00:00:00"/>
    <n v="1305"/>
    <b v="1"/>
    <n v="416"/>
    <s v="GTX 750"/>
    <x v="0"/>
    <x v="1"/>
  </r>
  <r>
    <n v="701160"/>
    <s v="Kingdom Two Crowns"/>
    <d v="2018-12-11T00:00:00"/>
    <n v="1305"/>
    <b v="1"/>
    <n v="416"/>
    <s v="GTX 750"/>
    <x v="1"/>
    <x v="0"/>
  </r>
  <r>
    <n v="701160"/>
    <s v="Kingdom Two Crowns"/>
    <d v="2018-12-11T00:00:00"/>
    <n v="1305"/>
    <b v="1"/>
    <n v="416"/>
    <s v="GTX 750"/>
    <x v="2"/>
    <x v="0"/>
  </r>
  <r>
    <n v="701160"/>
    <s v="Kingdom Two Crowns"/>
    <d v="2018-12-11T00:00:00"/>
    <n v="1305"/>
    <b v="1"/>
    <n v="416"/>
    <s v="GTX 750"/>
    <x v="3"/>
    <x v="0"/>
  </r>
  <r>
    <n v="701160"/>
    <s v="Kingdom Two Crowns"/>
    <d v="2018-12-11T00:00:00"/>
    <n v="1305"/>
    <b v="1"/>
    <n v="416"/>
    <s v="GTX 750"/>
    <x v="4"/>
    <x v="1"/>
  </r>
  <r>
    <n v="701160"/>
    <s v="Kingdom Two Crowns"/>
    <d v="2018-12-11T00:00:00"/>
    <n v="1305"/>
    <b v="1"/>
    <n v="416"/>
    <s v="GTX 750"/>
    <x v="5"/>
    <x v="0"/>
  </r>
  <r>
    <n v="701160"/>
    <s v="Kingdom Two Crowns"/>
    <d v="2018-12-11T00:00:00"/>
    <n v="1305"/>
    <b v="1"/>
    <n v="416"/>
    <s v="GTX 750"/>
    <x v="6"/>
    <x v="1"/>
  </r>
  <r>
    <n v="1092790"/>
    <s v="Inscryption"/>
    <d v="2021-10-19T00:00:00"/>
    <n v="1301"/>
    <b v="1"/>
    <n v="417"/>
    <s v="GTX 1050"/>
    <x v="0"/>
    <x v="1"/>
  </r>
  <r>
    <n v="1092790"/>
    <s v="Inscryption"/>
    <d v="2021-10-19T00:00:00"/>
    <n v="1301"/>
    <b v="1"/>
    <n v="417"/>
    <s v="GTX 1050"/>
    <x v="1"/>
    <x v="0"/>
  </r>
  <r>
    <n v="1092790"/>
    <s v="Inscryption"/>
    <d v="2021-10-19T00:00:00"/>
    <n v="1301"/>
    <b v="1"/>
    <n v="417"/>
    <s v="GTX 1050"/>
    <x v="2"/>
    <x v="0"/>
  </r>
  <r>
    <n v="1092790"/>
    <s v="Inscryption"/>
    <d v="2021-10-19T00:00:00"/>
    <n v="1301"/>
    <b v="1"/>
    <n v="417"/>
    <s v="GTX 1050"/>
    <x v="3"/>
    <x v="1"/>
  </r>
  <r>
    <n v="1092790"/>
    <s v="Inscryption"/>
    <d v="2021-10-19T00:00:00"/>
    <n v="1301"/>
    <b v="1"/>
    <n v="417"/>
    <s v="GTX 1050"/>
    <x v="4"/>
    <x v="1"/>
  </r>
  <r>
    <n v="1092790"/>
    <s v="Inscryption"/>
    <d v="2021-10-19T00:00:00"/>
    <n v="1301"/>
    <b v="1"/>
    <n v="417"/>
    <s v="GTX 1050"/>
    <x v="5"/>
    <x v="0"/>
  </r>
  <r>
    <n v="1092790"/>
    <s v="Inscryption"/>
    <d v="2021-10-19T00:00:00"/>
    <n v="1301"/>
    <b v="1"/>
    <n v="417"/>
    <s v="GTX 1050"/>
    <x v="6"/>
    <x v="1"/>
  </r>
  <r>
    <n v="1353300"/>
    <s v="Idle Slayer"/>
    <d v="2020-12-21T00:00:00"/>
    <n v="1300"/>
    <b v="0"/>
    <n v="418"/>
    <s v="Radeon Vega 11"/>
    <x v="0"/>
    <x v="1"/>
  </r>
  <r>
    <n v="1353300"/>
    <s v="Idle Slayer"/>
    <d v="2020-12-21T00:00:00"/>
    <n v="1300"/>
    <b v="0"/>
    <n v="418"/>
    <s v="Radeon Vega 11"/>
    <x v="1"/>
    <x v="0"/>
  </r>
  <r>
    <n v="1353300"/>
    <s v="Idle Slayer"/>
    <d v="2020-12-21T00:00:00"/>
    <n v="1300"/>
    <b v="0"/>
    <n v="418"/>
    <s v="Radeon Vega 11"/>
    <x v="2"/>
    <x v="1"/>
  </r>
  <r>
    <n v="1353300"/>
    <s v="Idle Slayer"/>
    <d v="2020-12-21T00:00:00"/>
    <n v="1300"/>
    <b v="0"/>
    <n v="418"/>
    <s v="Radeon Vega 11"/>
    <x v="3"/>
    <x v="1"/>
  </r>
  <r>
    <n v="1353300"/>
    <s v="Idle Slayer"/>
    <d v="2020-12-21T00:00:00"/>
    <n v="1300"/>
    <b v="0"/>
    <n v="418"/>
    <s v="Radeon Vega 11"/>
    <x v="4"/>
    <x v="1"/>
  </r>
  <r>
    <n v="1353300"/>
    <s v="Idle Slayer"/>
    <d v="2020-12-21T00:00:00"/>
    <n v="1300"/>
    <b v="0"/>
    <n v="418"/>
    <s v="Radeon Vega 11"/>
    <x v="5"/>
    <x v="0"/>
  </r>
  <r>
    <n v="1353300"/>
    <s v="Idle Slayer"/>
    <d v="2020-12-21T00:00:00"/>
    <n v="1300"/>
    <b v="0"/>
    <n v="418"/>
    <s v="Radeon Vega 11"/>
    <x v="6"/>
    <x v="0"/>
  </r>
  <r>
    <n v="2321470"/>
    <s v="Deep Rock Galactic: Survivor"/>
    <d v="2025-09-17T00:00:00"/>
    <n v="1300"/>
    <b v="0"/>
    <n v="418"/>
    <s v="GTX 1050"/>
    <x v="0"/>
    <x v="0"/>
  </r>
  <r>
    <n v="2321470"/>
    <s v="Deep Rock Galactic: Survivor"/>
    <d v="2025-09-17T00:00:00"/>
    <n v="1300"/>
    <b v="0"/>
    <n v="418"/>
    <s v="GTX 1050"/>
    <x v="1"/>
    <x v="1"/>
  </r>
  <r>
    <n v="2321470"/>
    <s v="Deep Rock Galactic: Survivor"/>
    <d v="2025-09-17T00:00:00"/>
    <n v="1300"/>
    <b v="0"/>
    <n v="418"/>
    <s v="GTX 1050"/>
    <x v="2"/>
    <x v="1"/>
  </r>
  <r>
    <n v="2321470"/>
    <s v="Deep Rock Galactic: Survivor"/>
    <d v="2025-09-17T00:00:00"/>
    <n v="1300"/>
    <b v="0"/>
    <n v="418"/>
    <s v="GTX 1050"/>
    <x v="3"/>
    <x v="1"/>
  </r>
  <r>
    <n v="2321470"/>
    <s v="Deep Rock Galactic: Survivor"/>
    <d v="2025-09-17T00:00:00"/>
    <n v="1300"/>
    <b v="0"/>
    <n v="418"/>
    <s v="GTX 1050"/>
    <x v="4"/>
    <x v="1"/>
  </r>
  <r>
    <n v="2321470"/>
    <s v="Deep Rock Galactic: Survivor"/>
    <d v="2025-09-17T00:00:00"/>
    <n v="1300"/>
    <b v="0"/>
    <n v="418"/>
    <s v="GTX 1050"/>
    <x v="5"/>
    <x v="1"/>
  </r>
  <r>
    <n v="2321470"/>
    <s v="Deep Rock Galactic: Survivor"/>
    <d v="2025-09-17T00:00:00"/>
    <n v="1300"/>
    <b v="0"/>
    <n v="418"/>
    <s v="GTX 1050"/>
    <x v="6"/>
    <x v="1"/>
  </r>
  <r>
    <n v="508440"/>
    <s v="Totally Accurate Battle Simulator"/>
    <d v="2021-04-01T00:00:00"/>
    <n v="1299"/>
    <b v="1"/>
    <n v="420"/>
    <s v="GTX 970"/>
    <x v="0"/>
    <x v="1"/>
  </r>
  <r>
    <n v="508440"/>
    <s v="Totally Accurate Battle Simulator"/>
    <d v="2021-04-01T00:00:00"/>
    <n v="1299"/>
    <b v="1"/>
    <n v="420"/>
    <s v="GTX 970"/>
    <x v="1"/>
    <x v="0"/>
  </r>
  <r>
    <n v="508440"/>
    <s v="Totally Accurate Battle Simulator"/>
    <d v="2021-04-01T00:00:00"/>
    <n v="1299"/>
    <b v="1"/>
    <n v="420"/>
    <s v="GTX 970"/>
    <x v="2"/>
    <x v="1"/>
  </r>
  <r>
    <n v="508440"/>
    <s v="Totally Accurate Battle Simulator"/>
    <d v="2021-04-01T00:00:00"/>
    <n v="1299"/>
    <b v="1"/>
    <n v="420"/>
    <s v="GTX 970"/>
    <x v="3"/>
    <x v="0"/>
  </r>
  <r>
    <n v="508440"/>
    <s v="Totally Accurate Battle Simulator"/>
    <d v="2021-04-01T00:00:00"/>
    <n v="1299"/>
    <b v="1"/>
    <n v="420"/>
    <s v="GTX 970"/>
    <x v="4"/>
    <x v="1"/>
  </r>
  <r>
    <n v="508440"/>
    <s v="Totally Accurate Battle Simulator"/>
    <d v="2021-04-01T00:00:00"/>
    <n v="1299"/>
    <b v="1"/>
    <n v="420"/>
    <s v="GTX 970"/>
    <x v="5"/>
    <x v="0"/>
  </r>
  <r>
    <n v="508440"/>
    <s v="Totally Accurate Battle Simulator"/>
    <d v="2021-04-01T00:00:00"/>
    <n v="1299"/>
    <b v="1"/>
    <n v="420"/>
    <s v="GTX 970"/>
    <x v="6"/>
    <x v="1"/>
  </r>
  <r>
    <n v="1256670"/>
    <s v="Library Of Ruina"/>
    <d v="2021-08-10T00:00:00"/>
    <n v="1299"/>
    <b v="0"/>
    <n v="420"/>
    <s v="GTX 750"/>
    <x v="0"/>
    <x v="1"/>
  </r>
  <r>
    <n v="1256670"/>
    <s v="Library Of Ruina"/>
    <d v="2021-08-10T00:00:00"/>
    <n v="1299"/>
    <b v="0"/>
    <n v="420"/>
    <s v="GTX 750"/>
    <x v="1"/>
    <x v="0"/>
  </r>
  <r>
    <n v="1256670"/>
    <s v="Library Of Ruina"/>
    <d v="2021-08-10T00:00:00"/>
    <n v="1299"/>
    <b v="0"/>
    <n v="420"/>
    <s v="GTX 750"/>
    <x v="2"/>
    <x v="1"/>
  </r>
  <r>
    <n v="1256670"/>
    <s v="Library Of Ruina"/>
    <d v="2021-08-10T00:00:00"/>
    <n v="1299"/>
    <b v="0"/>
    <n v="420"/>
    <s v="GTX 750"/>
    <x v="3"/>
    <x v="1"/>
  </r>
  <r>
    <n v="1256670"/>
    <s v="Library Of Ruina"/>
    <d v="2021-08-10T00:00:00"/>
    <n v="1299"/>
    <b v="0"/>
    <n v="420"/>
    <s v="GTX 750"/>
    <x v="4"/>
    <x v="0"/>
  </r>
  <r>
    <n v="1256670"/>
    <s v="Library Of Ruina"/>
    <d v="2021-08-10T00:00:00"/>
    <n v="1299"/>
    <b v="0"/>
    <n v="420"/>
    <s v="GTX 750"/>
    <x v="5"/>
    <x v="0"/>
  </r>
  <r>
    <n v="1256670"/>
    <s v="Library Of Ruina"/>
    <d v="2021-08-10T00:00:00"/>
    <n v="1299"/>
    <b v="0"/>
    <n v="420"/>
    <s v="GTX 750"/>
    <x v="6"/>
    <x v="1"/>
  </r>
  <r>
    <n v="552520"/>
    <s v="Far Cry 5"/>
    <d v="2018-03-26T00:00:00"/>
    <n v="1297"/>
    <b v="0"/>
    <n v="422"/>
    <s v="GTX 970"/>
    <x v="0"/>
    <x v="0"/>
  </r>
  <r>
    <n v="552520"/>
    <s v="Far Cry 5"/>
    <d v="2018-03-26T00:00:00"/>
    <n v="1297"/>
    <b v="0"/>
    <n v="422"/>
    <s v="GTX 970"/>
    <x v="1"/>
    <x v="1"/>
  </r>
  <r>
    <n v="552520"/>
    <s v="Far Cry 5"/>
    <d v="2018-03-26T00:00:00"/>
    <n v="1297"/>
    <b v="0"/>
    <n v="422"/>
    <s v="GTX 970"/>
    <x v="2"/>
    <x v="0"/>
  </r>
  <r>
    <n v="552520"/>
    <s v="Far Cry 5"/>
    <d v="2018-03-26T00:00:00"/>
    <n v="1297"/>
    <b v="0"/>
    <n v="422"/>
    <s v="GTX 970"/>
    <x v="3"/>
    <x v="1"/>
  </r>
  <r>
    <n v="552520"/>
    <s v="Far Cry 5"/>
    <d v="2018-03-26T00:00:00"/>
    <n v="1297"/>
    <b v="0"/>
    <n v="422"/>
    <s v="GTX 970"/>
    <x v="4"/>
    <x v="1"/>
  </r>
  <r>
    <n v="552520"/>
    <s v="Far Cry 5"/>
    <d v="2018-03-26T00:00:00"/>
    <n v="1297"/>
    <b v="0"/>
    <n v="422"/>
    <s v="GTX 970"/>
    <x v="5"/>
    <x v="1"/>
  </r>
  <r>
    <n v="552520"/>
    <s v="Far Cry 5"/>
    <d v="2018-03-26T00:00:00"/>
    <n v="1297"/>
    <b v="0"/>
    <n v="422"/>
    <s v="GTX 970"/>
    <x v="6"/>
    <x v="1"/>
  </r>
  <r>
    <n v="924970"/>
    <s v="Back 4 Blood"/>
    <d v="2021-10-12T00:00:00"/>
    <n v="1288"/>
    <b v="0"/>
    <n v="423"/>
    <s v="GTX 970"/>
    <x v="0"/>
    <x v="0"/>
  </r>
  <r>
    <n v="924970"/>
    <s v="Back 4 Blood"/>
    <d v="2021-10-12T00:00:00"/>
    <n v="1288"/>
    <b v="0"/>
    <n v="423"/>
    <s v="GTX 970"/>
    <x v="1"/>
    <x v="1"/>
  </r>
  <r>
    <n v="924970"/>
    <s v="Back 4 Blood"/>
    <d v="2021-10-12T00:00:00"/>
    <n v="1288"/>
    <b v="0"/>
    <n v="423"/>
    <s v="GTX 970"/>
    <x v="2"/>
    <x v="1"/>
  </r>
  <r>
    <n v="924970"/>
    <s v="Back 4 Blood"/>
    <d v="2021-10-12T00:00:00"/>
    <n v="1288"/>
    <b v="0"/>
    <n v="423"/>
    <s v="GTX 970"/>
    <x v="3"/>
    <x v="1"/>
  </r>
  <r>
    <n v="924970"/>
    <s v="Back 4 Blood"/>
    <d v="2021-10-12T00:00:00"/>
    <n v="1288"/>
    <b v="0"/>
    <n v="423"/>
    <s v="GTX 970"/>
    <x v="4"/>
    <x v="1"/>
  </r>
  <r>
    <n v="924970"/>
    <s v="Back 4 Blood"/>
    <d v="2021-10-12T00:00:00"/>
    <n v="1288"/>
    <b v="0"/>
    <n v="423"/>
    <s v="GTX 970"/>
    <x v="5"/>
    <x v="1"/>
  </r>
  <r>
    <n v="924970"/>
    <s v="Back 4 Blood"/>
    <d v="2021-10-12T00:00:00"/>
    <n v="1288"/>
    <b v="0"/>
    <n v="423"/>
    <s v="GTX 970"/>
    <x v="6"/>
    <x v="1"/>
  </r>
  <r>
    <n v="1196590"/>
    <s v="Resident Evil Village"/>
    <d v="2021-05-06T00:00:00"/>
    <n v="1284"/>
    <b v="0"/>
    <n v="424"/>
    <s v="RX 5700"/>
    <x v="0"/>
    <x v="0"/>
  </r>
  <r>
    <n v="1196590"/>
    <s v="Resident Evil Village"/>
    <d v="2021-05-06T00:00:00"/>
    <n v="1284"/>
    <b v="0"/>
    <n v="424"/>
    <s v="RX 5700"/>
    <x v="1"/>
    <x v="1"/>
  </r>
  <r>
    <n v="1196590"/>
    <s v="Resident Evil Village"/>
    <d v="2021-05-06T00:00:00"/>
    <n v="1284"/>
    <b v="0"/>
    <n v="424"/>
    <s v="RX 5700"/>
    <x v="2"/>
    <x v="1"/>
  </r>
  <r>
    <n v="1196590"/>
    <s v="Resident Evil Village"/>
    <d v="2021-05-06T00:00:00"/>
    <n v="1284"/>
    <b v="0"/>
    <n v="424"/>
    <s v="RX 5700"/>
    <x v="3"/>
    <x v="1"/>
  </r>
  <r>
    <n v="1196590"/>
    <s v="Resident Evil Village"/>
    <d v="2021-05-06T00:00:00"/>
    <n v="1284"/>
    <b v="0"/>
    <n v="424"/>
    <s v="RX 5700"/>
    <x v="4"/>
    <x v="1"/>
  </r>
  <r>
    <n v="1196590"/>
    <s v="Resident Evil Village"/>
    <d v="2021-05-06T00:00:00"/>
    <n v="1284"/>
    <b v="0"/>
    <n v="424"/>
    <s v="RX 5700"/>
    <x v="5"/>
    <x v="1"/>
  </r>
  <r>
    <n v="1196590"/>
    <s v="Resident Evil Village"/>
    <d v="2021-05-06T00:00:00"/>
    <n v="1284"/>
    <b v="0"/>
    <n v="424"/>
    <s v="RX 5700"/>
    <x v="6"/>
    <x v="1"/>
  </r>
  <r>
    <n v="335240"/>
    <s v="Transformice"/>
    <d v="2015-01-30T00:00:00"/>
    <n v="1284"/>
    <b v="1"/>
    <n v="424"/>
    <s v="Radeon Graphics"/>
    <x v="0"/>
    <x v="1"/>
  </r>
  <r>
    <n v="335240"/>
    <s v="Transformice"/>
    <d v="2015-01-30T00:00:00"/>
    <n v="1284"/>
    <b v="1"/>
    <n v="424"/>
    <s v="Radeon Graphics"/>
    <x v="1"/>
    <x v="0"/>
  </r>
  <r>
    <n v="335240"/>
    <s v="Transformice"/>
    <d v="2015-01-30T00:00:00"/>
    <n v="1284"/>
    <b v="1"/>
    <n v="424"/>
    <s v="Radeon Graphics"/>
    <x v="2"/>
    <x v="1"/>
  </r>
  <r>
    <n v="335240"/>
    <s v="Transformice"/>
    <d v="2015-01-30T00:00:00"/>
    <n v="1284"/>
    <b v="1"/>
    <n v="424"/>
    <s v="Radeon Graphics"/>
    <x v="3"/>
    <x v="1"/>
  </r>
  <r>
    <n v="335240"/>
    <s v="Transformice"/>
    <d v="2015-01-30T00:00:00"/>
    <n v="1284"/>
    <b v="1"/>
    <n v="424"/>
    <s v="Radeon Graphics"/>
    <x v="4"/>
    <x v="1"/>
  </r>
  <r>
    <n v="335240"/>
    <s v="Transformice"/>
    <d v="2015-01-30T00:00:00"/>
    <n v="1284"/>
    <b v="1"/>
    <n v="424"/>
    <s v="Radeon Graphics"/>
    <x v="5"/>
    <x v="1"/>
  </r>
  <r>
    <n v="335240"/>
    <s v="Transformice"/>
    <d v="2015-01-30T00:00:00"/>
    <n v="1284"/>
    <b v="1"/>
    <n v="424"/>
    <s v="Radeon Graphics"/>
    <x v="6"/>
    <x v="0"/>
  </r>
  <r>
    <n v="963330"/>
    <s v="Nya Nya Nya Girls (ﾊｻﾊｻﾊｻ)_(=^ｽ･ﾏｽ･^=)_(ﾊｻﾊｻﾊｻ)"/>
    <d v="2018-12-08T00:00:00"/>
    <n v="1281"/>
    <b v="0"/>
    <n v="426"/>
    <s v="GTX 1050"/>
    <x v="0"/>
    <x v="1"/>
  </r>
  <r>
    <n v="963330"/>
    <s v="Nya Nya Nya Girls (ﾊｻﾊｻﾊｻ)_(=^ｽ･ﾏｽ･^=)_(ﾊｻﾊｻﾊｻ)"/>
    <d v="2018-12-08T00:00:00"/>
    <n v="1281"/>
    <b v="0"/>
    <n v="426"/>
    <s v="GTX 1050"/>
    <x v="1"/>
    <x v="0"/>
  </r>
  <r>
    <n v="963330"/>
    <s v="Nya Nya Nya Girls (ﾊｻﾊｻﾊｻ)_(=^ｽ･ﾏｽ･^=)_(ﾊｻﾊｻﾊｻ)"/>
    <d v="2018-12-08T00:00:00"/>
    <n v="1281"/>
    <b v="0"/>
    <n v="426"/>
    <s v="GTX 1050"/>
    <x v="2"/>
    <x v="1"/>
  </r>
  <r>
    <n v="963330"/>
    <s v="Nya Nya Nya Girls (ﾊｻﾊｻﾊｻ)_(=^ｽ･ﾏｽ･^=)_(ﾊｻﾊｻﾊｻ)"/>
    <d v="2018-12-08T00:00:00"/>
    <n v="1281"/>
    <b v="0"/>
    <n v="426"/>
    <s v="GTX 1050"/>
    <x v="3"/>
    <x v="1"/>
  </r>
  <r>
    <n v="963330"/>
    <s v="Nya Nya Nya Girls (ﾊｻﾊｻﾊｻ)_(=^ｽ･ﾏｽ･^=)_(ﾊｻﾊｻﾊｻ)"/>
    <d v="2018-12-08T00:00:00"/>
    <n v="1281"/>
    <b v="0"/>
    <n v="426"/>
    <s v="GTX 1050"/>
    <x v="4"/>
    <x v="1"/>
  </r>
  <r>
    <n v="963330"/>
    <s v="Nya Nya Nya Girls (ﾊｻﾊｻﾊｻ)_(=^ｽ･ﾏｽ･^=)_(ﾊｻﾊｻﾊｻ)"/>
    <d v="2018-12-08T00:00:00"/>
    <n v="1281"/>
    <b v="0"/>
    <n v="426"/>
    <s v="GTX 1050"/>
    <x v="5"/>
    <x v="1"/>
  </r>
  <r>
    <n v="963330"/>
    <s v="Nya Nya Nya Girls (ﾊｻﾊｻﾊｻ)_(=^ｽ･ﾏｽ･^=)_(ﾊｻﾊｻﾊｻ)"/>
    <d v="2018-12-08T00:00:00"/>
    <n v="1281"/>
    <b v="0"/>
    <n v="426"/>
    <s v="GTX 1050"/>
    <x v="6"/>
    <x v="1"/>
  </r>
  <r>
    <n v="495420"/>
    <s v="State of Decay 2: Juggernaut Edition"/>
    <d v="2020-03-13T00:00:00"/>
    <n v="1281"/>
    <b v="0"/>
    <n v="426"/>
    <s v="GTX 1650"/>
    <x v="0"/>
    <x v="0"/>
  </r>
  <r>
    <n v="495420"/>
    <s v="State of Decay 2: Juggernaut Edition"/>
    <d v="2020-03-13T00:00:00"/>
    <n v="1281"/>
    <b v="0"/>
    <n v="426"/>
    <s v="GTX 1650"/>
    <x v="1"/>
    <x v="1"/>
  </r>
  <r>
    <n v="495420"/>
    <s v="State of Decay 2: Juggernaut Edition"/>
    <d v="2020-03-13T00:00:00"/>
    <n v="1281"/>
    <b v="0"/>
    <n v="426"/>
    <s v="GTX 1650"/>
    <x v="2"/>
    <x v="1"/>
  </r>
  <r>
    <n v="495420"/>
    <s v="State of Decay 2: Juggernaut Edition"/>
    <d v="2020-03-13T00:00:00"/>
    <n v="1281"/>
    <b v="0"/>
    <n v="426"/>
    <s v="GTX 1650"/>
    <x v="3"/>
    <x v="0"/>
  </r>
  <r>
    <n v="495420"/>
    <s v="State of Decay 2: Juggernaut Edition"/>
    <d v="2020-03-13T00:00:00"/>
    <n v="1281"/>
    <b v="0"/>
    <n v="426"/>
    <s v="GTX 1650"/>
    <x v="4"/>
    <x v="0"/>
  </r>
  <r>
    <n v="495420"/>
    <s v="State of Decay 2: Juggernaut Edition"/>
    <d v="2020-03-13T00:00:00"/>
    <n v="1281"/>
    <b v="0"/>
    <n v="426"/>
    <s v="GTX 1650"/>
    <x v="5"/>
    <x v="1"/>
  </r>
  <r>
    <n v="495420"/>
    <s v="State of Decay 2: Juggernaut Edition"/>
    <d v="2020-03-13T00:00:00"/>
    <n v="1281"/>
    <b v="0"/>
    <n v="426"/>
    <s v="GTX 1650"/>
    <x v="6"/>
    <x v="1"/>
  </r>
  <r>
    <n v="767560"/>
    <s v="War Robots"/>
    <d v="2018-04-04T00:00:00"/>
    <n v="1280"/>
    <b v="0"/>
    <n v="428"/>
    <s v="GTX 1050 Ti"/>
    <x v="0"/>
    <x v="0"/>
  </r>
  <r>
    <n v="767560"/>
    <s v="War Robots"/>
    <d v="2018-04-04T00:00:00"/>
    <n v="1280"/>
    <b v="0"/>
    <n v="428"/>
    <s v="GTX 1050 Ti"/>
    <x v="1"/>
    <x v="1"/>
  </r>
  <r>
    <n v="767560"/>
    <s v="War Robots"/>
    <d v="2018-04-04T00:00:00"/>
    <n v="1280"/>
    <b v="0"/>
    <n v="428"/>
    <s v="GTX 1050 Ti"/>
    <x v="2"/>
    <x v="1"/>
  </r>
  <r>
    <n v="767560"/>
    <s v="War Robots"/>
    <d v="2018-04-04T00:00:00"/>
    <n v="1280"/>
    <b v="0"/>
    <n v="428"/>
    <s v="GTX 1050 Ti"/>
    <x v="3"/>
    <x v="1"/>
  </r>
  <r>
    <n v="767560"/>
    <s v="War Robots"/>
    <d v="2018-04-04T00:00:00"/>
    <n v="1280"/>
    <b v="0"/>
    <n v="428"/>
    <s v="GTX 1050 Ti"/>
    <x v="4"/>
    <x v="1"/>
  </r>
  <r>
    <n v="767560"/>
    <s v="War Robots"/>
    <d v="2018-04-04T00:00:00"/>
    <n v="1280"/>
    <b v="0"/>
    <n v="428"/>
    <s v="GTX 1050 Ti"/>
    <x v="5"/>
    <x v="1"/>
  </r>
  <r>
    <n v="767560"/>
    <s v="War Robots"/>
    <d v="2018-04-04T00:00:00"/>
    <n v="1280"/>
    <b v="0"/>
    <n v="428"/>
    <s v="GTX 1050 Ti"/>
    <x v="6"/>
    <x v="0"/>
  </r>
  <r>
    <n v="1811260"/>
    <s v="EA SPORTS FIFA 23"/>
    <d v="2022-09-30T00:00:00"/>
    <n v="1280"/>
    <b v="0"/>
    <n v="428"/>
    <s v="GTX 1660"/>
    <x v="0"/>
    <x v="1"/>
  </r>
  <r>
    <n v="1811260"/>
    <s v="EA SPORTS FIFA 23"/>
    <d v="2022-09-30T00:00:00"/>
    <n v="1280"/>
    <b v="0"/>
    <n v="428"/>
    <s v="GTX 1660"/>
    <x v="1"/>
    <x v="1"/>
  </r>
  <r>
    <n v="1811260"/>
    <s v="EA SPORTS FIFA 23"/>
    <d v="2022-09-30T00:00:00"/>
    <n v="1280"/>
    <b v="0"/>
    <n v="428"/>
    <s v="GTX 1660"/>
    <x v="2"/>
    <x v="1"/>
  </r>
  <r>
    <n v="1811260"/>
    <s v="EA SPORTS FIFA 23"/>
    <d v="2022-09-30T00:00:00"/>
    <n v="1280"/>
    <b v="0"/>
    <n v="428"/>
    <s v="GTX 1660"/>
    <x v="3"/>
    <x v="0"/>
  </r>
  <r>
    <n v="1811260"/>
    <s v="EA SPORTS FIFA 23"/>
    <d v="2022-09-30T00:00:00"/>
    <n v="1280"/>
    <b v="0"/>
    <n v="428"/>
    <s v="GTX 1660"/>
    <x v="4"/>
    <x v="1"/>
  </r>
  <r>
    <n v="1811260"/>
    <s v="EA SPORTS FIFA 23"/>
    <d v="2022-09-30T00:00:00"/>
    <n v="1280"/>
    <b v="0"/>
    <n v="428"/>
    <s v="GTX 1660"/>
    <x v="5"/>
    <x v="1"/>
  </r>
  <r>
    <n v="1811260"/>
    <s v="EA SPORTS FIFA 23"/>
    <d v="2022-09-30T00:00:00"/>
    <n v="1280"/>
    <b v="0"/>
    <n v="428"/>
    <s v="GTX 1660"/>
    <x v="6"/>
    <x v="1"/>
  </r>
  <r>
    <n v="2135150"/>
    <s v="Elin"/>
    <d v="2024-11-01T00:00:00"/>
    <n v="1277"/>
    <b v="0"/>
    <n v="430"/>
    <s v="Intel UHD Graphics"/>
    <x v="0"/>
    <x v="1"/>
  </r>
  <r>
    <n v="2135150"/>
    <s v="Elin"/>
    <d v="2024-11-01T00:00:00"/>
    <n v="1277"/>
    <b v="0"/>
    <n v="430"/>
    <s v="Intel UHD Graphics"/>
    <x v="1"/>
    <x v="0"/>
  </r>
  <r>
    <n v="2135150"/>
    <s v="Elin"/>
    <d v="2024-11-01T00:00:00"/>
    <n v="1277"/>
    <b v="0"/>
    <n v="430"/>
    <s v="Intel UHD Graphics"/>
    <x v="2"/>
    <x v="1"/>
  </r>
  <r>
    <n v="2135150"/>
    <s v="Elin"/>
    <d v="2024-11-01T00:00:00"/>
    <n v="1277"/>
    <b v="0"/>
    <n v="430"/>
    <s v="Intel UHD Graphics"/>
    <x v="3"/>
    <x v="0"/>
  </r>
  <r>
    <n v="2135150"/>
    <s v="Elin"/>
    <d v="2024-11-01T00:00:00"/>
    <n v="1277"/>
    <b v="0"/>
    <n v="430"/>
    <s v="Intel UHD Graphics"/>
    <x v="4"/>
    <x v="0"/>
  </r>
  <r>
    <n v="2135150"/>
    <s v="Elin"/>
    <d v="2024-11-01T00:00:00"/>
    <n v="1277"/>
    <b v="0"/>
    <n v="430"/>
    <s v="Intel UHD Graphics"/>
    <x v="5"/>
    <x v="0"/>
  </r>
  <r>
    <n v="2135150"/>
    <s v="Elin"/>
    <d v="2024-11-01T00:00:00"/>
    <n v="1277"/>
    <b v="0"/>
    <n v="430"/>
    <s v="Intel UHD Graphics"/>
    <x v="6"/>
    <x v="1"/>
  </r>
  <r>
    <n v="47890"/>
    <s v="The Sims 3"/>
    <d v="2011-01-27T00:00:00"/>
    <n v="1264"/>
    <b v="0"/>
    <n v="431"/>
    <s v="Radeon Graphics"/>
    <x v="0"/>
    <x v="1"/>
  </r>
  <r>
    <n v="47890"/>
    <s v="The Sims 3"/>
    <d v="2011-01-27T00:00:00"/>
    <n v="1264"/>
    <b v="0"/>
    <n v="431"/>
    <s v="Radeon Graphics"/>
    <x v="1"/>
    <x v="1"/>
  </r>
  <r>
    <n v="47890"/>
    <s v="The Sims 3"/>
    <d v="2011-01-27T00:00:00"/>
    <n v="1264"/>
    <b v="0"/>
    <n v="431"/>
    <s v="Radeon Graphics"/>
    <x v="2"/>
    <x v="1"/>
  </r>
  <r>
    <n v="47890"/>
    <s v="The Sims 3"/>
    <d v="2011-01-27T00:00:00"/>
    <n v="1264"/>
    <b v="0"/>
    <n v="431"/>
    <s v="Radeon Graphics"/>
    <x v="3"/>
    <x v="0"/>
  </r>
  <r>
    <n v="47890"/>
    <s v="The Sims 3"/>
    <d v="2011-01-27T00:00:00"/>
    <n v="1264"/>
    <b v="0"/>
    <n v="431"/>
    <s v="Radeon Graphics"/>
    <x v="4"/>
    <x v="1"/>
  </r>
  <r>
    <n v="47890"/>
    <s v="The Sims 3"/>
    <d v="2011-01-27T00:00:00"/>
    <n v="1264"/>
    <b v="0"/>
    <n v="431"/>
    <s v="Radeon Graphics"/>
    <x v="5"/>
    <x v="1"/>
  </r>
  <r>
    <n v="47890"/>
    <s v="The Sims 3"/>
    <d v="2011-01-27T00:00:00"/>
    <n v="1264"/>
    <b v="0"/>
    <n v="431"/>
    <s v="Radeon Graphics"/>
    <x v="6"/>
    <x v="1"/>
  </r>
  <r>
    <n v="2591280"/>
    <s v="F1 Manager 2024"/>
    <d v="2024-07-23T00:00:00"/>
    <n v="1262"/>
    <b v="0"/>
    <n v="432"/>
    <s v="GTX 1080"/>
    <x v="0"/>
    <x v="1"/>
  </r>
  <r>
    <n v="2591280"/>
    <s v="F1 Manager 2024"/>
    <d v="2024-07-23T00:00:00"/>
    <n v="1262"/>
    <b v="0"/>
    <n v="432"/>
    <s v="GTX 1080"/>
    <x v="1"/>
    <x v="1"/>
  </r>
  <r>
    <n v="2591280"/>
    <s v="F1 Manager 2024"/>
    <d v="2024-07-23T00:00:00"/>
    <n v="1262"/>
    <b v="0"/>
    <n v="432"/>
    <s v="GTX 1080"/>
    <x v="2"/>
    <x v="1"/>
  </r>
  <r>
    <n v="2591280"/>
    <s v="F1 Manager 2024"/>
    <d v="2024-07-23T00:00:00"/>
    <n v="1262"/>
    <b v="0"/>
    <n v="432"/>
    <s v="GTX 1080"/>
    <x v="3"/>
    <x v="0"/>
  </r>
  <r>
    <n v="2591280"/>
    <s v="F1 Manager 2024"/>
    <d v="2024-07-23T00:00:00"/>
    <n v="1262"/>
    <b v="0"/>
    <n v="432"/>
    <s v="GTX 1080"/>
    <x v="4"/>
    <x v="1"/>
  </r>
  <r>
    <n v="2591280"/>
    <s v="F1 Manager 2024"/>
    <d v="2024-07-23T00:00:00"/>
    <n v="1262"/>
    <b v="0"/>
    <n v="432"/>
    <s v="GTX 1080"/>
    <x v="5"/>
    <x v="0"/>
  </r>
  <r>
    <n v="2591280"/>
    <s v="F1 Manager 2024"/>
    <d v="2024-07-23T00:00:00"/>
    <n v="1262"/>
    <b v="0"/>
    <n v="432"/>
    <s v="GTX 1080"/>
    <x v="6"/>
    <x v="1"/>
  </r>
  <r>
    <n v="3228590"/>
    <s v="Deadzone: Rogue"/>
    <d v="2025-08-11T00:00:00"/>
    <n v="1261"/>
    <b v="0"/>
    <n v="433"/>
    <s v="RTX 2080"/>
    <x v="0"/>
    <x v="0"/>
  </r>
  <r>
    <n v="3228590"/>
    <s v="Deadzone: Rogue"/>
    <d v="2025-08-11T00:00:00"/>
    <n v="1261"/>
    <b v="0"/>
    <n v="433"/>
    <s v="RTX 2080"/>
    <x v="1"/>
    <x v="1"/>
  </r>
  <r>
    <n v="3228590"/>
    <s v="Deadzone: Rogue"/>
    <d v="2025-08-11T00:00:00"/>
    <n v="1261"/>
    <b v="0"/>
    <n v="433"/>
    <s v="RTX 2080"/>
    <x v="2"/>
    <x v="1"/>
  </r>
  <r>
    <n v="3228590"/>
    <s v="Deadzone: Rogue"/>
    <d v="2025-08-11T00:00:00"/>
    <n v="1261"/>
    <b v="0"/>
    <n v="433"/>
    <s v="RTX 2080"/>
    <x v="3"/>
    <x v="1"/>
  </r>
  <r>
    <n v="3228590"/>
    <s v="Deadzone: Rogue"/>
    <d v="2025-08-11T00:00:00"/>
    <n v="1261"/>
    <b v="0"/>
    <n v="433"/>
    <s v="RTX 2080"/>
    <x v="4"/>
    <x v="1"/>
  </r>
  <r>
    <n v="3228590"/>
    <s v="Deadzone: Rogue"/>
    <d v="2025-08-11T00:00:00"/>
    <n v="1261"/>
    <b v="0"/>
    <n v="433"/>
    <s v="RTX 2080"/>
    <x v="5"/>
    <x v="1"/>
  </r>
  <r>
    <n v="3228590"/>
    <s v="Deadzone: Rogue"/>
    <d v="2025-08-11T00:00:00"/>
    <n v="1261"/>
    <b v="0"/>
    <n v="433"/>
    <s v="RTX 2080"/>
    <x v="6"/>
    <x v="1"/>
  </r>
  <r>
    <n v="3150440"/>
    <s v="Laundry Store Simulator"/>
    <d v="2024-12-09T00:00:00"/>
    <n v="1256"/>
    <b v="0"/>
    <n v="434"/>
    <s v="GTX 1050 Ti"/>
    <x v="0"/>
    <x v="1"/>
  </r>
  <r>
    <n v="3150440"/>
    <s v="Laundry Store Simulator"/>
    <d v="2024-12-09T00:00:00"/>
    <n v="1256"/>
    <b v="0"/>
    <n v="434"/>
    <s v="GTX 1050 Ti"/>
    <x v="1"/>
    <x v="0"/>
  </r>
  <r>
    <n v="3150440"/>
    <s v="Laundry Store Simulator"/>
    <d v="2024-12-09T00:00:00"/>
    <n v="1256"/>
    <b v="0"/>
    <n v="434"/>
    <s v="GTX 1050 Ti"/>
    <x v="2"/>
    <x v="1"/>
  </r>
  <r>
    <n v="3150440"/>
    <s v="Laundry Store Simulator"/>
    <d v="2024-12-09T00:00:00"/>
    <n v="1256"/>
    <b v="0"/>
    <n v="434"/>
    <s v="GTX 1050 Ti"/>
    <x v="3"/>
    <x v="0"/>
  </r>
  <r>
    <n v="3150440"/>
    <s v="Laundry Store Simulator"/>
    <d v="2024-12-09T00:00:00"/>
    <n v="1256"/>
    <b v="0"/>
    <n v="434"/>
    <s v="GTX 1050 Ti"/>
    <x v="4"/>
    <x v="1"/>
  </r>
  <r>
    <n v="3150440"/>
    <s v="Laundry Store Simulator"/>
    <d v="2024-12-09T00:00:00"/>
    <n v="1256"/>
    <b v="0"/>
    <n v="434"/>
    <s v="GTX 1050 Ti"/>
    <x v="5"/>
    <x v="1"/>
  </r>
  <r>
    <n v="3150440"/>
    <s v="Laundry Store Simulator"/>
    <d v="2024-12-09T00:00:00"/>
    <n v="1256"/>
    <b v="0"/>
    <n v="434"/>
    <s v="GTX 1050 Ti"/>
    <x v="6"/>
    <x v="1"/>
  </r>
  <r>
    <n v="2680010"/>
    <s v="The First Berserker: Khazan"/>
    <d v="2025-03-27T00:00:00"/>
    <n v="1253"/>
    <b v="0"/>
    <n v="435"/>
    <s v="RTX 2070"/>
    <x v="0"/>
    <x v="0"/>
  </r>
  <r>
    <n v="2680010"/>
    <s v="The First Berserker: Khazan"/>
    <d v="2025-03-27T00:00:00"/>
    <n v="1253"/>
    <b v="0"/>
    <n v="435"/>
    <s v="RTX 2070"/>
    <x v="1"/>
    <x v="1"/>
  </r>
  <r>
    <n v="2680010"/>
    <s v="The First Berserker: Khazan"/>
    <d v="2025-03-27T00:00:00"/>
    <n v="1253"/>
    <b v="0"/>
    <n v="435"/>
    <s v="RTX 2070"/>
    <x v="2"/>
    <x v="0"/>
  </r>
  <r>
    <n v="2680010"/>
    <s v="The First Berserker: Khazan"/>
    <d v="2025-03-27T00:00:00"/>
    <n v="1253"/>
    <b v="0"/>
    <n v="435"/>
    <s v="RTX 2070"/>
    <x v="3"/>
    <x v="1"/>
  </r>
  <r>
    <n v="2680010"/>
    <s v="The First Berserker: Khazan"/>
    <d v="2025-03-27T00:00:00"/>
    <n v="1253"/>
    <b v="0"/>
    <n v="435"/>
    <s v="RTX 2070"/>
    <x v="4"/>
    <x v="0"/>
  </r>
  <r>
    <n v="2680010"/>
    <s v="The First Berserker: Khazan"/>
    <d v="2025-03-27T00:00:00"/>
    <n v="1253"/>
    <b v="0"/>
    <n v="435"/>
    <s v="RTX 2070"/>
    <x v="5"/>
    <x v="1"/>
  </r>
  <r>
    <n v="2680010"/>
    <s v="The First Berserker: Khazan"/>
    <d v="2025-03-27T00:00:00"/>
    <n v="1253"/>
    <b v="0"/>
    <n v="435"/>
    <s v="RTX 2070"/>
    <x v="6"/>
    <x v="1"/>
  </r>
  <r>
    <n v="1812450"/>
    <s v="Bellwright"/>
    <d v="2024-04-23T00:00:00"/>
    <n v="1252"/>
    <b v="0"/>
    <n v="436"/>
    <s v="RTX 3060"/>
    <x v="0"/>
    <x v="0"/>
  </r>
  <r>
    <n v="1812450"/>
    <s v="Bellwright"/>
    <d v="2024-04-23T00:00:00"/>
    <n v="1252"/>
    <b v="0"/>
    <n v="436"/>
    <s v="RTX 3060"/>
    <x v="1"/>
    <x v="1"/>
  </r>
  <r>
    <n v="1812450"/>
    <s v="Bellwright"/>
    <d v="2024-04-23T00:00:00"/>
    <n v="1252"/>
    <b v="0"/>
    <n v="436"/>
    <s v="RTX 3060"/>
    <x v="2"/>
    <x v="1"/>
  </r>
  <r>
    <n v="1812450"/>
    <s v="Bellwright"/>
    <d v="2024-04-23T00:00:00"/>
    <n v="1252"/>
    <b v="0"/>
    <n v="436"/>
    <s v="RTX 3060"/>
    <x v="3"/>
    <x v="0"/>
  </r>
  <r>
    <n v="1812450"/>
    <s v="Bellwright"/>
    <d v="2024-04-23T00:00:00"/>
    <n v="1252"/>
    <b v="0"/>
    <n v="436"/>
    <s v="RTX 3060"/>
    <x v="4"/>
    <x v="0"/>
  </r>
  <r>
    <n v="1812450"/>
    <s v="Bellwright"/>
    <d v="2024-04-23T00:00:00"/>
    <n v="1252"/>
    <b v="0"/>
    <n v="436"/>
    <s v="RTX 3060"/>
    <x v="5"/>
    <x v="0"/>
  </r>
  <r>
    <n v="1812450"/>
    <s v="Bellwright"/>
    <d v="2024-04-23T00:00:00"/>
    <n v="1252"/>
    <b v="0"/>
    <n v="436"/>
    <s v="RTX 3060"/>
    <x v="6"/>
    <x v="1"/>
  </r>
  <r>
    <n v="665300"/>
    <s v="Stream Avatars"/>
    <d v="2017-07-26T00:00:00"/>
    <n v="1214"/>
    <b v="1"/>
    <n v="437"/>
    <s v="GTX 1050 Ti"/>
    <x v="0"/>
    <x v="1"/>
  </r>
  <r>
    <n v="665300"/>
    <s v="Stream Avatars"/>
    <d v="2017-07-26T00:00:00"/>
    <n v="1214"/>
    <b v="1"/>
    <n v="437"/>
    <s v="GTX 1050 Ti"/>
    <x v="1"/>
    <x v="1"/>
  </r>
  <r>
    <n v="665300"/>
    <s v="Stream Avatars"/>
    <d v="2017-07-26T00:00:00"/>
    <n v="1214"/>
    <b v="1"/>
    <n v="437"/>
    <s v="GTX 1050 Ti"/>
    <x v="2"/>
    <x v="1"/>
  </r>
  <r>
    <n v="665300"/>
    <s v="Stream Avatars"/>
    <d v="2017-07-26T00:00:00"/>
    <n v="1214"/>
    <b v="1"/>
    <n v="437"/>
    <s v="GTX 1050 Ti"/>
    <x v="3"/>
    <x v="1"/>
  </r>
  <r>
    <n v="665300"/>
    <s v="Stream Avatars"/>
    <d v="2017-07-26T00:00:00"/>
    <n v="1214"/>
    <b v="1"/>
    <n v="437"/>
    <s v="GTX 1050 Ti"/>
    <x v="4"/>
    <x v="1"/>
  </r>
  <r>
    <n v="665300"/>
    <s v="Stream Avatars"/>
    <d v="2017-07-26T00:00:00"/>
    <n v="1214"/>
    <b v="1"/>
    <n v="437"/>
    <s v="GTX 1050 Ti"/>
    <x v="5"/>
    <x v="1"/>
  </r>
  <r>
    <n v="665300"/>
    <s v="Stream Avatars"/>
    <d v="2017-07-26T00:00:00"/>
    <n v="1214"/>
    <b v="1"/>
    <n v="437"/>
    <s v="GTX 1050 Ti"/>
    <x v="6"/>
    <x v="1"/>
  </r>
  <r>
    <n v="2688950"/>
    <s v="Planet Coaster 2"/>
    <d v="2024-11-06T00:00:00"/>
    <n v="1213"/>
    <b v="0"/>
    <n v="438"/>
    <s v="RTX 2070 SUPER"/>
    <x v="0"/>
    <x v="1"/>
  </r>
  <r>
    <n v="2688950"/>
    <s v="Planet Coaster 2"/>
    <d v="2024-11-06T00:00:00"/>
    <n v="1213"/>
    <b v="0"/>
    <n v="438"/>
    <s v="RTX 2070 SUPER"/>
    <x v="1"/>
    <x v="1"/>
  </r>
  <r>
    <n v="2688950"/>
    <s v="Planet Coaster 2"/>
    <d v="2024-11-06T00:00:00"/>
    <n v="1213"/>
    <b v="0"/>
    <n v="438"/>
    <s v="RTX 2070 SUPER"/>
    <x v="2"/>
    <x v="1"/>
  </r>
  <r>
    <n v="2688950"/>
    <s v="Planet Coaster 2"/>
    <d v="2024-11-06T00:00:00"/>
    <n v="1213"/>
    <b v="0"/>
    <n v="438"/>
    <s v="RTX 2070 SUPER"/>
    <x v="3"/>
    <x v="0"/>
  </r>
  <r>
    <n v="2688950"/>
    <s v="Planet Coaster 2"/>
    <d v="2024-11-06T00:00:00"/>
    <n v="1213"/>
    <b v="0"/>
    <n v="438"/>
    <s v="RTX 2070 SUPER"/>
    <x v="4"/>
    <x v="1"/>
  </r>
  <r>
    <n v="2688950"/>
    <s v="Planet Coaster 2"/>
    <d v="2024-11-06T00:00:00"/>
    <n v="1213"/>
    <b v="0"/>
    <n v="438"/>
    <s v="RTX 2070 SUPER"/>
    <x v="5"/>
    <x v="0"/>
  </r>
  <r>
    <n v="2688950"/>
    <s v="Planet Coaster 2"/>
    <d v="2024-11-06T00:00:00"/>
    <n v="1213"/>
    <b v="0"/>
    <n v="438"/>
    <s v="RTX 2070 SUPER"/>
    <x v="6"/>
    <x v="1"/>
  </r>
  <r>
    <n v="297000"/>
    <s v="Heroes of Might &amp; Magic III - HD Edition"/>
    <d v="2015-01-28T00:00:00"/>
    <n v="1213"/>
    <b v="0"/>
    <n v="438"/>
    <s v="Radeon Graphics"/>
    <x v="0"/>
    <x v="1"/>
  </r>
  <r>
    <n v="297000"/>
    <s v="Heroes of Might &amp; Magic III - HD Edition"/>
    <d v="2015-01-28T00:00:00"/>
    <n v="1213"/>
    <b v="0"/>
    <n v="438"/>
    <s v="Radeon Graphics"/>
    <x v="1"/>
    <x v="1"/>
  </r>
  <r>
    <n v="297000"/>
    <s v="Heroes of Might &amp; Magic III - HD Edition"/>
    <d v="2015-01-28T00:00:00"/>
    <n v="1213"/>
    <b v="0"/>
    <n v="438"/>
    <s v="Radeon Graphics"/>
    <x v="2"/>
    <x v="1"/>
  </r>
  <r>
    <n v="297000"/>
    <s v="Heroes of Might &amp; Magic III - HD Edition"/>
    <d v="2015-01-28T00:00:00"/>
    <n v="1213"/>
    <b v="0"/>
    <n v="438"/>
    <s v="Radeon Graphics"/>
    <x v="3"/>
    <x v="1"/>
  </r>
  <r>
    <n v="297000"/>
    <s v="Heroes of Might &amp; Magic III - HD Edition"/>
    <d v="2015-01-28T00:00:00"/>
    <n v="1213"/>
    <b v="0"/>
    <n v="438"/>
    <s v="Radeon Graphics"/>
    <x v="4"/>
    <x v="0"/>
  </r>
  <r>
    <n v="297000"/>
    <s v="Heroes of Might &amp; Magic III - HD Edition"/>
    <d v="2015-01-28T00:00:00"/>
    <n v="1213"/>
    <b v="0"/>
    <n v="438"/>
    <s v="Radeon Graphics"/>
    <x v="5"/>
    <x v="0"/>
  </r>
  <r>
    <n v="297000"/>
    <s v="Heroes of Might &amp; Magic III - HD Edition"/>
    <d v="2015-01-28T00:00:00"/>
    <n v="1213"/>
    <b v="0"/>
    <n v="438"/>
    <s v="Radeon Graphics"/>
    <x v="6"/>
    <x v="1"/>
  </r>
  <r>
    <n v="286690"/>
    <s v="Metro 2033 Redux"/>
    <d v="2014-08-25T00:00:00"/>
    <n v="1208"/>
    <b v="1"/>
    <n v="440"/>
    <s v="GTX 980 Ti"/>
    <x v="0"/>
    <x v="0"/>
  </r>
  <r>
    <n v="286690"/>
    <s v="Metro 2033 Redux"/>
    <d v="2014-08-25T00:00:00"/>
    <n v="1208"/>
    <b v="1"/>
    <n v="440"/>
    <s v="GTX 980 Ti"/>
    <x v="1"/>
    <x v="1"/>
  </r>
  <r>
    <n v="286690"/>
    <s v="Metro 2033 Redux"/>
    <d v="2014-08-25T00:00:00"/>
    <n v="1208"/>
    <b v="1"/>
    <n v="440"/>
    <s v="GTX 980 Ti"/>
    <x v="2"/>
    <x v="1"/>
  </r>
  <r>
    <n v="286690"/>
    <s v="Metro 2033 Redux"/>
    <d v="2014-08-25T00:00:00"/>
    <n v="1208"/>
    <b v="1"/>
    <n v="440"/>
    <s v="GTX 980 Ti"/>
    <x v="3"/>
    <x v="1"/>
  </r>
  <r>
    <n v="286690"/>
    <s v="Metro 2033 Redux"/>
    <d v="2014-08-25T00:00:00"/>
    <n v="1208"/>
    <b v="1"/>
    <n v="440"/>
    <s v="GTX 980 Ti"/>
    <x v="4"/>
    <x v="1"/>
  </r>
  <r>
    <n v="286690"/>
    <s v="Metro 2033 Redux"/>
    <d v="2014-08-25T00:00:00"/>
    <n v="1208"/>
    <b v="1"/>
    <n v="440"/>
    <s v="GTX 980 Ti"/>
    <x v="5"/>
    <x v="1"/>
  </r>
  <r>
    <n v="286690"/>
    <s v="Metro 2033 Redux"/>
    <d v="2014-08-25T00:00:00"/>
    <n v="1208"/>
    <b v="1"/>
    <n v="440"/>
    <s v="GTX 980 Ti"/>
    <x v="6"/>
    <x v="1"/>
  </r>
  <r>
    <n v="1147560"/>
    <s v="Skul: The Hero Slayer"/>
    <d v="2021-01-20T00:00:00"/>
    <n v="1205"/>
    <b v="1"/>
    <n v="441"/>
    <s v="Radeon Vega 8"/>
    <x v="0"/>
    <x v="0"/>
  </r>
  <r>
    <n v="1147560"/>
    <s v="Skul: The Hero Slayer"/>
    <d v="2021-01-20T00:00:00"/>
    <n v="1205"/>
    <b v="1"/>
    <n v="441"/>
    <s v="Radeon Vega 8"/>
    <x v="1"/>
    <x v="0"/>
  </r>
  <r>
    <n v="1147560"/>
    <s v="Skul: The Hero Slayer"/>
    <d v="2021-01-20T00:00:00"/>
    <n v="1205"/>
    <b v="1"/>
    <n v="441"/>
    <s v="Radeon Vega 8"/>
    <x v="2"/>
    <x v="1"/>
  </r>
  <r>
    <n v="1147560"/>
    <s v="Skul: The Hero Slayer"/>
    <d v="2021-01-20T00:00:00"/>
    <n v="1205"/>
    <b v="1"/>
    <n v="441"/>
    <s v="Radeon Vega 8"/>
    <x v="3"/>
    <x v="1"/>
  </r>
  <r>
    <n v="1147560"/>
    <s v="Skul: The Hero Slayer"/>
    <d v="2021-01-20T00:00:00"/>
    <n v="1205"/>
    <b v="1"/>
    <n v="441"/>
    <s v="Radeon Vega 8"/>
    <x v="4"/>
    <x v="1"/>
  </r>
  <r>
    <n v="1147560"/>
    <s v="Skul: The Hero Slayer"/>
    <d v="2021-01-20T00:00:00"/>
    <n v="1205"/>
    <b v="1"/>
    <n v="441"/>
    <s v="Radeon Vega 8"/>
    <x v="5"/>
    <x v="1"/>
  </r>
  <r>
    <n v="1147560"/>
    <s v="Skul: The Hero Slayer"/>
    <d v="2021-01-20T00:00:00"/>
    <n v="1205"/>
    <b v="1"/>
    <n v="441"/>
    <s v="Radeon Vega 8"/>
    <x v="6"/>
    <x v="1"/>
  </r>
  <r>
    <n v="1817070"/>
    <s v="Marvel's Spider-Man Remastered"/>
    <d v="2022-08-12T00:00:00"/>
    <n v="1190"/>
    <b v="0"/>
    <n v="442"/>
    <s v="RX 580"/>
    <x v="0"/>
    <x v="0"/>
  </r>
  <r>
    <n v="1817070"/>
    <s v="Marvel's Spider-Man Remastered"/>
    <d v="2022-08-12T00:00:00"/>
    <n v="1190"/>
    <b v="0"/>
    <n v="442"/>
    <s v="RX 580"/>
    <x v="1"/>
    <x v="1"/>
  </r>
  <r>
    <n v="1817070"/>
    <s v="Marvel's Spider-Man Remastered"/>
    <d v="2022-08-12T00:00:00"/>
    <n v="1190"/>
    <b v="0"/>
    <n v="442"/>
    <s v="RX 580"/>
    <x v="2"/>
    <x v="0"/>
  </r>
  <r>
    <n v="1817070"/>
    <s v="Marvel's Spider-Man Remastered"/>
    <d v="2022-08-12T00:00:00"/>
    <n v="1190"/>
    <b v="0"/>
    <n v="442"/>
    <s v="RX 580"/>
    <x v="3"/>
    <x v="1"/>
  </r>
  <r>
    <n v="1817070"/>
    <s v="Marvel's Spider-Man Remastered"/>
    <d v="2022-08-12T00:00:00"/>
    <n v="1190"/>
    <b v="0"/>
    <n v="442"/>
    <s v="RX 580"/>
    <x v="4"/>
    <x v="1"/>
  </r>
  <r>
    <n v="1817070"/>
    <s v="Marvel's Spider-Man Remastered"/>
    <d v="2022-08-12T00:00:00"/>
    <n v="1190"/>
    <b v="0"/>
    <n v="442"/>
    <s v="RX 580"/>
    <x v="5"/>
    <x v="1"/>
  </r>
  <r>
    <n v="1817070"/>
    <s v="Marvel's Spider-Man Remastered"/>
    <d v="2022-08-12T00:00:00"/>
    <n v="1190"/>
    <b v="0"/>
    <n v="442"/>
    <s v="RX 580"/>
    <x v="6"/>
    <x v="1"/>
  </r>
  <r>
    <n v="2666510"/>
    <s v="Rusty's Retirement"/>
    <d v="2024-04-26T00:00:00"/>
    <n v="1185"/>
    <b v="1"/>
    <n v="443"/>
    <s v="Radeon Vega 11"/>
    <x v="0"/>
    <x v="1"/>
  </r>
  <r>
    <n v="2666510"/>
    <s v="Rusty's Retirement"/>
    <d v="2024-04-26T00:00:00"/>
    <n v="1185"/>
    <b v="1"/>
    <n v="443"/>
    <s v="Radeon Vega 11"/>
    <x v="1"/>
    <x v="0"/>
  </r>
  <r>
    <n v="2666510"/>
    <s v="Rusty's Retirement"/>
    <d v="2024-04-26T00:00:00"/>
    <n v="1185"/>
    <b v="1"/>
    <n v="443"/>
    <s v="Radeon Vega 11"/>
    <x v="2"/>
    <x v="1"/>
  </r>
  <r>
    <n v="2666510"/>
    <s v="Rusty's Retirement"/>
    <d v="2024-04-26T00:00:00"/>
    <n v="1185"/>
    <b v="1"/>
    <n v="443"/>
    <s v="Radeon Vega 11"/>
    <x v="3"/>
    <x v="0"/>
  </r>
  <r>
    <n v="2666510"/>
    <s v="Rusty's Retirement"/>
    <d v="2024-04-26T00:00:00"/>
    <n v="1185"/>
    <b v="1"/>
    <n v="443"/>
    <s v="Radeon Vega 11"/>
    <x v="4"/>
    <x v="1"/>
  </r>
  <r>
    <n v="2666510"/>
    <s v="Rusty's Retirement"/>
    <d v="2024-04-26T00:00:00"/>
    <n v="1185"/>
    <b v="1"/>
    <n v="443"/>
    <s v="Radeon Vega 11"/>
    <x v="5"/>
    <x v="0"/>
  </r>
  <r>
    <n v="2666510"/>
    <s v="Rusty's Retirement"/>
    <d v="2024-04-26T00:00:00"/>
    <n v="1185"/>
    <b v="1"/>
    <n v="443"/>
    <s v="Radeon Vega 11"/>
    <x v="6"/>
    <x v="1"/>
  </r>
  <r>
    <n v="504230"/>
    <s v="Celeste"/>
    <d v="2018-01-25T00:00:00"/>
    <n v="1174"/>
    <b v="1"/>
    <n v="444"/>
    <s v="Intel UHD Graphics"/>
    <x v="0"/>
    <x v="0"/>
  </r>
  <r>
    <n v="504230"/>
    <s v="Celeste"/>
    <d v="2018-01-25T00:00:00"/>
    <n v="1174"/>
    <b v="1"/>
    <n v="444"/>
    <s v="Intel UHD Graphics"/>
    <x v="1"/>
    <x v="0"/>
  </r>
  <r>
    <n v="504230"/>
    <s v="Celeste"/>
    <d v="2018-01-25T00:00:00"/>
    <n v="1174"/>
    <b v="1"/>
    <n v="444"/>
    <s v="Intel UHD Graphics"/>
    <x v="2"/>
    <x v="0"/>
  </r>
  <r>
    <n v="504230"/>
    <s v="Celeste"/>
    <d v="2018-01-25T00:00:00"/>
    <n v="1174"/>
    <b v="1"/>
    <n v="444"/>
    <s v="Intel UHD Graphics"/>
    <x v="3"/>
    <x v="1"/>
  </r>
  <r>
    <n v="504230"/>
    <s v="Celeste"/>
    <d v="2018-01-25T00:00:00"/>
    <n v="1174"/>
    <b v="1"/>
    <n v="444"/>
    <s v="Intel UHD Graphics"/>
    <x v="4"/>
    <x v="1"/>
  </r>
  <r>
    <n v="504230"/>
    <s v="Celeste"/>
    <d v="2018-01-25T00:00:00"/>
    <n v="1174"/>
    <b v="1"/>
    <n v="444"/>
    <s v="Intel UHD Graphics"/>
    <x v="5"/>
    <x v="1"/>
  </r>
  <r>
    <n v="504230"/>
    <s v="Celeste"/>
    <d v="2018-01-25T00:00:00"/>
    <n v="1174"/>
    <b v="1"/>
    <n v="444"/>
    <s v="Intel UHD Graphics"/>
    <x v="6"/>
    <x v="1"/>
  </r>
  <r>
    <n v="1237970"/>
    <s v="Titanfall 2"/>
    <d v="2020-06-18T00:00:00"/>
    <n v="1173"/>
    <b v="0"/>
    <n v="445"/>
    <s v="GTX 1060"/>
    <x v="0"/>
    <x v="0"/>
  </r>
  <r>
    <n v="1237970"/>
    <s v="Titanfall 2"/>
    <d v="2020-06-18T00:00:00"/>
    <n v="1173"/>
    <b v="0"/>
    <n v="445"/>
    <s v="GTX 1060"/>
    <x v="1"/>
    <x v="1"/>
  </r>
  <r>
    <n v="1237970"/>
    <s v="Titanfall 2"/>
    <d v="2020-06-18T00:00:00"/>
    <n v="1173"/>
    <b v="0"/>
    <n v="445"/>
    <s v="GTX 1060"/>
    <x v="2"/>
    <x v="1"/>
  </r>
  <r>
    <n v="1237970"/>
    <s v="Titanfall 2"/>
    <d v="2020-06-18T00:00:00"/>
    <n v="1173"/>
    <b v="0"/>
    <n v="445"/>
    <s v="GTX 1060"/>
    <x v="3"/>
    <x v="1"/>
  </r>
  <r>
    <n v="1237970"/>
    <s v="Titanfall 2"/>
    <d v="2020-06-18T00:00:00"/>
    <n v="1173"/>
    <b v="0"/>
    <n v="445"/>
    <s v="GTX 1060"/>
    <x v="4"/>
    <x v="1"/>
  </r>
  <r>
    <n v="1237970"/>
    <s v="Titanfall 2"/>
    <d v="2020-06-18T00:00:00"/>
    <n v="1173"/>
    <b v="0"/>
    <n v="445"/>
    <s v="GTX 1060"/>
    <x v="5"/>
    <x v="1"/>
  </r>
  <r>
    <n v="1237970"/>
    <s v="Titanfall 2"/>
    <d v="2020-06-18T00:00:00"/>
    <n v="1173"/>
    <b v="0"/>
    <n v="445"/>
    <s v="GTX 1060"/>
    <x v="6"/>
    <x v="1"/>
  </r>
  <r>
    <n v="311690"/>
    <s v="Enter the Gungeon"/>
    <d v="2016-04-05T00:00:00"/>
    <n v="1165"/>
    <b v="0"/>
    <n v="446"/>
    <s v="Radeon Graphics"/>
    <x v="0"/>
    <x v="0"/>
  </r>
  <r>
    <n v="311690"/>
    <s v="Enter the Gungeon"/>
    <d v="2016-04-05T00:00:00"/>
    <n v="1165"/>
    <b v="0"/>
    <n v="446"/>
    <s v="Radeon Graphics"/>
    <x v="1"/>
    <x v="0"/>
  </r>
  <r>
    <n v="311690"/>
    <s v="Enter the Gungeon"/>
    <d v="2016-04-05T00:00:00"/>
    <n v="1165"/>
    <b v="0"/>
    <n v="446"/>
    <s v="Radeon Graphics"/>
    <x v="2"/>
    <x v="0"/>
  </r>
  <r>
    <n v="311690"/>
    <s v="Enter the Gungeon"/>
    <d v="2016-04-05T00:00:00"/>
    <n v="1165"/>
    <b v="0"/>
    <n v="446"/>
    <s v="Radeon Graphics"/>
    <x v="3"/>
    <x v="1"/>
  </r>
  <r>
    <n v="311690"/>
    <s v="Enter the Gungeon"/>
    <d v="2016-04-05T00:00:00"/>
    <n v="1165"/>
    <b v="0"/>
    <n v="446"/>
    <s v="Radeon Graphics"/>
    <x v="4"/>
    <x v="1"/>
  </r>
  <r>
    <n v="311690"/>
    <s v="Enter the Gungeon"/>
    <d v="2016-04-05T00:00:00"/>
    <n v="1165"/>
    <b v="0"/>
    <n v="446"/>
    <s v="Radeon Graphics"/>
    <x v="5"/>
    <x v="1"/>
  </r>
  <r>
    <n v="311690"/>
    <s v="Enter the Gungeon"/>
    <d v="2016-04-05T00:00:00"/>
    <n v="1165"/>
    <b v="0"/>
    <n v="446"/>
    <s v="Radeon Graphics"/>
    <x v="6"/>
    <x v="1"/>
  </r>
  <r>
    <n v="466560"/>
    <s v="Northgard: Definitive Edition"/>
    <d v="2018-03-07T00:00:00"/>
    <n v="1164"/>
    <b v="1"/>
    <n v="447"/>
    <s v="RX 560"/>
    <x v="0"/>
    <x v="1"/>
  </r>
  <r>
    <n v="466560"/>
    <s v="Northgard: Definitive Edition"/>
    <d v="2018-03-07T00:00:00"/>
    <n v="1164"/>
    <b v="1"/>
    <n v="447"/>
    <s v="RX 560"/>
    <x v="1"/>
    <x v="0"/>
  </r>
  <r>
    <n v="466560"/>
    <s v="Northgard: Definitive Edition"/>
    <d v="2018-03-07T00:00:00"/>
    <n v="1164"/>
    <b v="1"/>
    <n v="447"/>
    <s v="RX 560"/>
    <x v="2"/>
    <x v="0"/>
  </r>
  <r>
    <n v="466560"/>
    <s v="Northgard: Definitive Edition"/>
    <d v="2018-03-07T00:00:00"/>
    <n v="1164"/>
    <b v="1"/>
    <n v="447"/>
    <s v="RX 560"/>
    <x v="3"/>
    <x v="0"/>
  </r>
  <r>
    <n v="466560"/>
    <s v="Northgard: Definitive Edition"/>
    <d v="2018-03-07T00:00:00"/>
    <n v="1164"/>
    <b v="1"/>
    <n v="447"/>
    <s v="RX 560"/>
    <x v="4"/>
    <x v="1"/>
  </r>
  <r>
    <n v="466560"/>
    <s v="Northgard: Definitive Edition"/>
    <d v="2018-03-07T00:00:00"/>
    <n v="1164"/>
    <b v="1"/>
    <n v="447"/>
    <s v="RX 560"/>
    <x v="5"/>
    <x v="0"/>
  </r>
  <r>
    <n v="466560"/>
    <s v="Northgard: Definitive Edition"/>
    <d v="2018-03-07T00:00:00"/>
    <n v="1164"/>
    <b v="1"/>
    <n v="447"/>
    <s v="RX 560"/>
    <x v="6"/>
    <x v="1"/>
  </r>
  <r>
    <n v="2276930"/>
    <s v="Chillquarium"/>
    <d v="2023-09-06T00:00:00"/>
    <n v="1163"/>
    <b v="1"/>
    <n v="448"/>
    <s v="Radeon Vega 11"/>
    <x v="0"/>
    <x v="1"/>
  </r>
  <r>
    <n v="2276930"/>
    <s v="Chillquarium"/>
    <d v="2023-09-06T00:00:00"/>
    <n v="1163"/>
    <b v="1"/>
    <n v="448"/>
    <s v="Radeon Vega 11"/>
    <x v="1"/>
    <x v="1"/>
  </r>
  <r>
    <n v="2276930"/>
    <s v="Chillquarium"/>
    <d v="2023-09-06T00:00:00"/>
    <n v="1163"/>
    <b v="1"/>
    <n v="448"/>
    <s v="Radeon Vega 11"/>
    <x v="2"/>
    <x v="1"/>
  </r>
  <r>
    <n v="2276930"/>
    <s v="Chillquarium"/>
    <d v="2023-09-06T00:00:00"/>
    <n v="1163"/>
    <b v="1"/>
    <n v="448"/>
    <s v="Radeon Vega 11"/>
    <x v="3"/>
    <x v="0"/>
  </r>
  <r>
    <n v="2276930"/>
    <s v="Chillquarium"/>
    <d v="2023-09-06T00:00:00"/>
    <n v="1163"/>
    <b v="1"/>
    <n v="448"/>
    <s v="Radeon Vega 11"/>
    <x v="4"/>
    <x v="1"/>
  </r>
  <r>
    <n v="2276930"/>
    <s v="Chillquarium"/>
    <d v="2023-09-06T00:00:00"/>
    <n v="1163"/>
    <b v="1"/>
    <n v="448"/>
    <s v="Radeon Vega 11"/>
    <x v="5"/>
    <x v="1"/>
  </r>
  <r>
    <n v="2276930"/>
    <s v="Chillquarium"/>
    <d v="2023-09-06T00:00:00"/>
    <n v="1163"/>
    <b v="1"/>
    <n v="448"/>
    <s v="Radeon Vega 11"/>
    <x v="6"/>
    <x v="1"/>
  </r>
  <r>
    <n v="2336220"/>
    <s v="Feed the Cups"/>
    <d v="2024-02-20T00:00:00"/>
    <n v="1161"/>
    <b v="1"/>
    <n v="449"/>
    <s v="Radeon Vega 11"/>
    <x v="0"/>
    <x v="1"/>
  </r>
  <r>
    <n v="2336220"/>
    <s v="Feed the Cups"/>
    <d v="2024-02-20T00:00:00"/>
    <n v="1161"/>
    <b v="1"/>
    <n v="449"/>
    <s v="Radeon Vega 11"/>
    <x v="1"/>
    <x v="0"/>
  </r>
  <r>
    <n v="2336220"/>
    <s v="Feed the Cups"/>
    <d v="2024-02-20T00:00:00"/>
    <n v="1161"/>
    <b v="1"/>
    <n v="449"/>
    <s v="Radeon Vega 11"/>
    <x v="2"/>
    <x v="1"/>
  </r>
  <r>
    <n v="2336220"/>
    <s v="Feed the Cups"/>
    <d v="2024-02-20T00:00:00"/>
    <n v="1161"/>
    <b v="1"/>
    <n v="449"/>
    <s v="Radeon Vega 11"/>
    <x v="3"/>
    <x v="0"/>
  </r>
  <r>
    <n v="2336220"/>
    <s v="Feed the Cups"/>
    <d v="2024-02-20T00:00:00"/>
    <n v="1161"/>
    <b v="1"/>
    <n v="449"/>
    <s v="Radeon Vega 11"/>
    <x v="4"/>
    <x v="1"/>
  </r>
  <r>
    <n v="2336220"/>
    <s v="Feed the Cups"/>
    <d v="2024-02-20T00:00:00"/>
    <n v="1161"/>
    <b v="1"/>
    <n v="449"/>
    <s v="Radeon Vega 11"/>
    <x v="5"/>
    <x v="1"/>
  </r>
  <r>
    <n v="2336220"/>
    <s v="Feed the Cups"/>
    <d v="2024-02-20T00:00:00"/>
    <n v="1161"/>
    <b v="1"/>
    <n v="449"/>
    <s v="Radeon Vega 11"/>
    <x v="6"/>
    <x v="1"/>
  </r>
  <r>
    <n v="466170"/>
    <s v="Idling to Rule the Gods"/>
    <d v="2016-05-27T00:00:00"/>
    <n v="1157"/>
    <b v="1"/>
    <n v="450"/>
    <s v="Radeon Graphics"/>
    <x v="0"/>
    <x v="1"/>
  </r>
  <r>
    <n v="466170"/>
    <s v="Idling to Rule the Gods"/>
    <d v="2016-05-27T00:00:00"/>
    <n v="1157"/>
    <b v="1"/>
    <n v="450"/>
    <s v="Radeon Graphics"/>
    <x v="1"/>
    <x v="0"/>
  </r>
  <r>
    <n v="466170"/>
    <s v="Idling to Rule the Gods"/>
    <d v="2016-05-27T00:00:00"/>
    <n v="1157"/>
    <b v="1"/>
    <n v="450"/>
    <s v="Radeon Graphics"/>
    <x v="2"/>
    <x v="1"/>
  </r>
  <r>
    <n v="466170"/>
    <s v="Idling to Rule the Gods"/>
    <d v="2016-05-27T00:00:00"/>
    <n v="1157"/>
    <b v="1"/>
    <n v="450"/>
    <s v="Radeon Graphics"/>
    <x v="3"/>
    <x v="0"/>
  </r>
  <r>
    <n v="466170"/>
    <s v="Idling to Rule the Gods"/>
    <d v="2016-05-27T00:00:00"/>
    <n v="1157"/>
    <b v="1"/>
    <n v="450"/>
    <s v="Radeon Graphics"/>
    <x v="4"/>
    <x v="1"/>
  </r>
  <r>
    <n v="466170"/>
    <s v="Idling to Rule the Gods"/>
    <d v="2016-05-27T00:00:00"/>
    <n v="1157"/>
    <b v="1"/>
    <n v="450"/>
    <s v="Radeon Graphics"/>
    <x v="5"/>
    <x v="0"/>
  </r>
  <r>
    <n v="466170"/>
    <s v="Idling to Rule the Gods"/>
    <d v="2016-05-27T00:00:00"/>
    <n v="1157"/>
    <b v="1"/>
    <n v="450"/>
    <s v="Radeon Graphics"/>
    <x v="6"/>
    <x v="0"/>
  </r>
  <r>
    <n v="22330"/>
    <s v="The Elder Scrolls IV: Oblivion Game of the Year Edition (2009)"/>
    <d v="2009-06-16T00:00:00"/>
    <n v="1156"/>
    <b v="0"/>
    <n v="451"/>
    <s v="Radeon Graphics"/>
    <x v="0"/>
    <x v="1"/>
  </r>
  <r>
    <n v="22330"/>
    <s v="The Elder Scrolls IV: Oblivion Game of the Year Edition (2009)"/>
    <d v="2009-06-16T00:00:00"/>
    <n v="1156"/>
    <b v="0"/>
    <n v="451"/>
    <s v="Radeon Graphics"/>
    <x v="1"/>
    <x v="1"/>
  </r>
  <r>
    <n v="22330"/>
    <s v="The Elder Scrolls IV: Oblivion Game of the Year Edition (2009)"/>
    <d v="2009-06-16T00:00:00"/>
    <n v="1156"/>
    <b v="0"/>
    <n v="451"/>
    <s v="Radeon Graphics"/>
    <x v="2"/>
    <x v="1"/>
  </r>
  <r>
    <n v="22330"/>
    <s v="The Elder Scrolls IV: Oblivion Game of the Year Edition (2009)"/>
    <d v="2009-06-16T00:00:00"/>
    <n v="1156"/>
    <b v="0"/>
    <n v="451"/>
    <s v="Radeon Graphics"/>
    <x v="3"/>
    <x v="1"/>
  </r>
  <r>
    <n v="22330"/>
    <s v="The Elder Scrolls IV: Oblivion Game of the Year Edition (2009)"/>
    <d v="2009-06-16T00:00:00"/>
    <n v="1156"/>
    <b v="0"/>
    <n v="451"/>
    <s v="Radeon Graphics"/>
    <x v="4"/>
    <x v="0"/>
  </r>
  <r>
    <n v="22330"/>
    <s v="The Elder Scrolls IV: Oblivion Game of the Year Edition (2009)"/>
    <d v="2009-06-16T00:00:00"/>
    <n v="1156"/>
    <b v="0"/>
    <n v="451"/>
    <s v="Radeon Graphics"/>
    <x v="5"/>
    <x v="1"/>
  </r>
  <r>
    <n v="22330"/>
    <s v="The Elder Scrolls IV: Oblivion Game of the Year Edition (2009)"/>
    <d v="2009-06-16T00:00:00"/>
    <n v="1156"/>
    <b v="0"/>
    <n v="451"/>
    <s v="Radeon Graphics"/>
    <x v="6"/>
    <x v="1"/>
  </r>
  <r>
    <n v="2567870"/>
    <s v="Chained Together"/>
    <d v="2024-06-19T00:00:00"/>
    <n v="1154"/>
    <b v="0"/>
    <n v="452"/>
    <s v="RTX 3060"/>
    <x v="0"/>
    <x v="1"/>
  </r>
  <r>
    <n v="2567870"/>
    <s v="Chained Together"/>
    <d v="2024-06-19T00:00:00"/>
    <n v="1154"/>
    <b v="0"/>
    <n v="452"/>
    <s v="RTX 3060"/>
    <x v="1"/>
    <x v="0"/>
  </r>
  <r>
    <n v="2567870"/>
    <s v="Chained Together"/>
    <d v="2024-06-19T00:00:00"/>
    <n v="1154"/>
    <b v="0"/>
    <n v="452"/>
    <s v="RTX 3060"/>
    <x v="2"/>
    <x v="0"/>
  </r>
  <r>
    <n v="2567870"/>
    <s v="Chained Together"/>
    <d v="2024-06-19T00:00:00"/>
    <n v="1154"/>
    <b v="0"/>
    <n v="452"/>
    <s v="RTX 3060"/>
    <x v="3"/>
    <x v="0"/>
  </r>
  <r>
    <n v="2567870"/>
    <s v="Chained Together"/>
    <d v="2024-06-19T00:00:00"/>
    <n v="1154"/>
    <b v="0"/>
    <n v="452"/>
    <s v="RTX 3060"/>
    <x v="4"/>
    <x v="1"/>
  </r>
  <r>
    <n v="2567870"/>
    <s v="Chained Together"/>
    <d v="2024-06-19T00:00:00"/>
    <n v="1154"/>
    <b v="0"/>
    <n v="452"/>
    <s v="RTX 3060"/>
    <x v="5"/>
    <x v="1"/>
  </r>
  <r>
    <n v="2567870"/>
    <s v="Chained Together"/>
    <d v="2024-06-19T00:00:00"/>
    <n v="1154"/>
    <b v="0"/>
    <n v="452"/>
    <s v="RTX 3060"/>
    <x v="6"/>
    <x v="1"/>
  </r>
  <r>
    <n v="1238860"/>
    <s v="Battlefield 4"/>
    <d v="2020-06-11T00:00:00"/>
    <n v="1153"/>
    <b v="0"/>
    <n v="453"/>
    <s v="RX 560"/>
    <x v="0"/>
    <x v="0"/>
  </r>
  <r>
    <n v="1238860"/>
    <s v="Battlefield 4"/>
    <d v="2020-06-11T00:00:00"/>
    <n v="1153"/>
    <b v="0"/>
    <n v="453"/>
    <s v="RX 560"/>
    <x v="1"/>
    <x v="1"/>
  </r>
  <r>
    <n v="1238860"/>
    <s v="Battlefield 4"/>
    <d v="2020-06-11T00:00:00"/>
    <n v="1153"/>
    <b v="0"/>
    <n v="453"/>
    <s v="RX 560"/>
    <x v="2"/>
    <x v="1"/>
  </r>
  <r>
    <n v="1238860"/>
    <s v="Battlefield 4"/>
    <d v="2020-06-11T00:00:00"/>
    <n v="1153"/>
    <b v="0"/>
    <n v="453"/>
    <s v="RX 560"/>
    <x v="3"/>
    <x v="1"/>
  </r>
  <r>
    <n v="1238860"/>
    <s v="Battlefield 4"/>
    <d v="2020-06-11T00:00:00"/>
    <n v="1153"/>
    <b v="0"/>
    <n v="453"/>
    <s v="RX 560"/>
    <x v="4"/>
    <x v="1"/>
  </r>
  <r>
    <n v="1238860"/>
    <s v="Battlefield 4"/>
    <d v="2020-06-11T00:00:00"/>
    <n v="1153"/>
    <b v="0"/>
    <n v="453"/>
    <s v="RX 560"/>
    <x v="5"/>
    <x v="1"/>
  </r>
  <r>
    <n v="1238860"/>
    <s v="Battlefield 4"/>
    <d v="2020-06-11T00:00:00"/>
    <n v="1153"/>
    <b v="0"/>
    <n v="453"/>
    <s v="RX 560"/>
    <x v="6"/>
    <x v="1"/>
  </r>
  <r>
    <n v="1971870"/>
    <s v="Mortal Kombat 1"/>
    <d v="2023-09-19T00:00:00"/>
    <n v="1149"/>
    <b v="0"/>
    <n v="454"/>
    <s v="RTX 2080 Ti"/>
    <x v="0"/>
    <x v="0"/>
  </r>
  <r>
    <n v="1971870"/>
    <s v="Mortal Kombat 1"/>
    <d v="2023-09-19T00:00:00"/>
    <n v="1149"/>
    <b v="0"/>
    <n v="454"/>
    <s v="RTX 2080 Ti"/>
    <x v="1"/>
    <x v="1"/>
  </r>
  <r>
    <n v="1971870"/>
    <s v="Mortal Kombat 1"/>
    <d v="2023-09-19T00:00:00"/>
    <n v="1149"/>
    <b v="0"/>
    <n v="454"/>
    <s v="RTX 2080 Ti"/>
    <x v="2"/>
    <x v="1"/>
  </r>
  <r>
    <n v="1971870"/>
    <s v="Mortal Kombat 1"/>
    <d v="2023-09-19T00:00:00"/>
    <n v="1149"/>
    <b v="0"/>
    <n v="454"/>
    <s v="RTX 2080 Ti"/>
    <x v="3"/>
    <x v="1"/>
  </r>
  <r>
    <n v="1971870"/>
    <s v="Mortal Kombat 1"/>
    <d v="2023-09-19T00:00:00"/>
    <n v="1149"/>
    <b v="0"/>
    <n v="454"/>
    <s v="RTX 2080 Ti"/>
    <x v="4"/>
    <x v="1"/>
  </r>
  <r>
    <n v="1971870"/>
    <s v="Mortal Kombat 1"/>
    <d v="2023-09-19T00:00:00"/>
    <n v="1149"/>
    <b v="0"/>
    <n v="454"/>
    <s v="RTX 2080 Ti"/>
    <x v="5"/>
    <x v="1"/>
  </r>
  <r>
    <n v="1971870"/>
    <s v="Mortal Kombat 1"/>
    <d v="2023-09-19T00:00:00"/>
    <n v="1149"/>
    <b v="0"/>
    <n v="454"/>
    <s v="RTX 2080 Ti"/>
    <x v="6"/>
    <x v="1"/>
  </r>
  <r>
    <n v="719890"/>
    <s v="Beasts of Bermuda"/>
    <d v="2018-12-21T00:00:00"/>
    <n v="1143"/>
    <b v="0"/>
    <n v="455"/>
    <s v="RX 6600"/>
    <x v="0"/>
    <x v="1"/>
  </r>
  <r>
    <n v="719890"/>
    <s v="Beasts of Bermuda"/>
    <d v="2018-12-21T00:00:00"/>
    <n v="1143"/>
    <b v="0"/>
    <n v="455"/>
    <s v="RX 6600"/>
    <x v="1"/>
    <x v="0"/>
  </r>
  <r>
    <n v="719890"/>
    <s v="Beasts of Bermuda"/>
    <d v="2018-12-21T00:00:00"/>
    <n v="1143"/>
    <b v="0"/>
    <n v="455"/>
    <s v="RX 6600"/>
    <x v="2"/>
    <x v="0"/>
  </r>
  <r>
    <n v="719890"/>
    <s v="Beasts of Bermuda"/>
    <d v="2018-12-21T00:00:00"/>
    <n v="1143"/>
    <b v="0"/>
    <n v="455"/>
    <s v="RX 6600"/>
    <x v="3"/>
    <x v="0"/>
  </r>
  <r>
    <n v="719890"/>
    <s v="Beasts of Bermuda"/>
    <d v="2018-12-21T00:00:00"/>
    <n v="1143"/>
    <b v="0"/>
    <n v="455"/>
    <s v="RX 6600"/>
    <x v="4"/>
    <x v="1"/>
  </r>
  <r>
    <n v="719890"/>
    <s v="Beasts of Bermuda"/>
    <d v="2018-12-21T00:00:00"/>
    <n v="1143"/>
    <b v="0"/>
    <n v="455"/>
    <s v="RX 6600"/>
    <x v="5"/>
    <x v="1"/>
  </r>
  <r>
    <n v="719890"/>
    <s v="Beasts of Bermuda"/>
    <d v="2018-12-21T00:00:00"/>
    <n v="1143"/>
    <b v="0"/>
    <n v="455"/>
    <s v="RX 6600"/>
    <x v="6"/>
    <x v="1"/>
  </r>
  <r>
    <n v="628070"/>
    <s v="Romance of the Three Kingdoms XI with Power Up Kit"/>
    <d v="2018-01-16T00:00:00"/>
    <n v="1130"/>
    <b v="0"/>
    <n v="456"/>
    <s v="Radeon Vega 11"/>
    <x v="0"/>
    <x v="1"/>
  </r>
  <r>
    <n v="628070"/>
    <s v="Romance of the Three Kingdoms XI with Power Up Kit"/>
    <d v="2018-01-16T00:00:00"/>
    <n v="1130"/>
    <b v="0"/>
    <n v="456"/>
    <s v="Radeon Vega 11"/>
    <x v="1"/>
    <x v="1"/>
  </r>
  <r>
    <n v="628070"/>
    <s v="Romance of the Three Kingdoms XI with Power Up Kit"/>
    <d v="2018-01-16T00:00:00"/>
    <n v="1130"/>
    <b v="0"/>
    <n v="456"/>
    <s v="Radeon Vega 11"/>
    <x v="2"/>
    <x v="1"/>
  </r>
  <r>
    <n v="628070"/>
    <s v="Romance of the Three Kingdoms XI with Power Up Kit"/>
    <d v="2018-01-16T00:00:00"/>
    <n v="1130"/>
    <b v="0"/>
    <n v="456"/>
    <s v="Radeon Vega 11"/>
    <x v="3"/>
    <x v="1"/>
  </r>
  <r>
    <n v="628070"/>
    <s v="Romance of the Three Kingdoms XI with Power Up Kit"/>
    <d v="2018-01-16T00:00:00"/>
    <n v="1130"/>
    <b v="0"/>
    <n v="456"/>
    <s v="Radeon Vega 11"/>
    <x v="4"/>
    <x v="1"/>
  </r>
  <r>
    <n v="628070"/>
    <s v="Romance of the Three Kingdoms XI with Power Up Kit"/>
    <d v="2018-01-16T00:00:00"/>
    <n v="1130"/>
    <b v="0"/>
    <n v="456"/>
    <s v="Radeon Vega 11"/>
    <x v="5"/>
    <x v="0"/>
  </r>
  <r>
    <n v="628070"/>
    <s v="Romance of the Three Kingdoms XI with Power Up Kit"/>
    <d v="2018-01-16T00:00:00"/>
    <n v="1130"/>
    <b v="0"/>
    <n v="456"/>
    <s v="Radeon Vega 11"/>
    <x v="6"/>
    <x v="1"/>
  </r>
  <r>
    <n v="2495100"/>
    <s v="Hello Kitty Island Adventure"/>
    <d v="2025-01-30T00:00:00"/>
    <n v="1129"/>
    <b v="0"/>
    <n v="457"/>
    <s v="GTX 1050 Ti"/>
    <x v="0"/>
    <x v="0"/>
  </r>
  <r>
    <n v="2495100"/>
    <s v="Hello Kitty Island Adventure"/>
    <d v="2025-01-30T00:00:00"/>
    <n v="1129"/>
    <b v="0"/>
    <n v="457"/>
    <s v="GTX 1050 Ti"/>
    <x v="1"/>
    <x v="0"/>
  </r>
  <r>
    <n v="2495100"/>
    <s v="Hello Kitty Island Adventure"/>
    <d v="2025-01-30T00:00:00"/>
    <n v="1129"/>
    <b v="0"/>
    <n v="457"/>
    <s v="GTX 1050 Ti"/>
    <x v="2"/>
    <x v="0"/>
  </r>
  <r>
    <n v="2495100"/>
    <s v="Hello Kitty Island Adventure"/>
    <d v="2025-01-30T00:00:00"/>
    <n v="1129"/>
    <b v="0"/>
    <n v="457"/>
    <s v="GTX 1050 Ti"/>
    <x v="3"/>
    <x v="0"/>
  </r>
  <r>
    <n v="2495100"/>
    <s v="Hello Kitty Island Adventure"/>
    <d v="2025-01-30T00:00:00"/>
    <n v="1129"/>
    <b v="0"/>
    <n v="457"/>
    <s v="GTX 1050 Ti"/>
    <x v="4"/>
    <x v="0"/>
  </r>
  <r>
    <n v="2495100"/>
    <s v="Hello Kitty Island Adventure"/>
    <d v="2025-01-30T00:00:00"/>
    <n v="1129"/>
    <b v="0"/>
    <n v="457"/>
    <s v="GTX 1050 Ti"/>
    <x v="5"/>
    <x v="1"/>
  </r>
  <r>
    <n v="2495100"/>
    <s v="Hello Kitty Island Adventure"/>
    <d v="2025-01-30T00:00:00"/>
    <n v="1129"/>
    <b v="0"/>
    <n v="457"/>
    <s v="GTX 1050 Ti"/>
    <x v="6"/>
    <x v="1"/>
  </r>
  <r>
    <n v="883710"/>
    <s v="Resident Evil 2"/>
    <d v="2019-01-24T00:00:00"/>
    <n v="1123"/>
    <b v="0"/>
    <n v="458"/>
    <s v="GTX 1060"/>
    <x v="0"/>
    <x v="0"/>
  </r>
  <r>
    <n v="883710"/>
    <s v="Resident Evil 2"/>
    <d v="2019-01-24T00:00:00"/>
    <n v="1123"/>
    <b v="0"/>
    <n v="458"/>
    <s v="GTX 1060"/>
    <x v="1"/>
    <x v="1"/>
  </r>
  <r>
    <n v="883710"/>
    <s v="Resident Evil 2"/>
    <d v="2019-01-24T00:00:00"/>
    <n v="1123"/>
    <b v="0"/>
    <n v="458"/>
    <s v="GTX 1060"/>
    <x v="2"/>
    <x v="1"/>
  </r>
  <r>
    <n v="883710"/>
    <s v="Resident Evil 2"/>
    <d v="2019-01-24T00:00:00"/>
    <n v="1123"/>
    <b v="0"/>
    <n v="458"/>
    <s v="GTX 1060"/>
    <x v="3"/>
    <x v="1"/>
  </r>
  <r>
    <n v="883710"/>
    <s v="Resident Evil 2"/>
    <d v="2019-01-24T00:00:00"/>
    <n v="1123"/>
    <b v="0"/>
    <n v="458"/>
    <s v="GTX 1060"/>
    <x v="4"/>
    <x v="1"/>
  </r>
  <r>
    <n v="883710"/>
    <s v="Resident Evil 2"/>
    <d v="2019-01-24T00:00:00"/>
    <n v="1123"/>
    <b v="0"/>
    <n v="458"/>
    <s v="GTX 1060"/>
    <x v="5"/>
    <x v="1"/>
  </r>
  <r>
    <n v="883710"/>
    <s v="Resident Evil 2"/>
    <d v="2019-01-24T00:00:00"/>
    <n v="1123"/>
    <b v="0"/>
    <n v="458"/>
    <s v="GTX 1060"/>
    <x v="6"/>
    <x v="1"/>
  </r>
  <r>
    <n v="1263850"/>
    <s v="Football Manager 2021"/>
    <d v="2020-11-24T00:00:00"/>
    <n v="1122"/>
    <b v="1"/>
    <n v="459"/>
    <s v="Radeon Vega 8"/>
    <x v="0"/>
    <x v="1"/>
  </r>
  <r>
    <n v="1263850"/>
    <s v="Football Manager 2021"/>
    <d v="2020-11-24T00:00:00"/>
    <n v="1122"/>
    <b v="1"/>
    <n v="459"/>
    <s v="Radeon Vega 8"/>
    <x v="1"/>
    <x v="1"/>
  </r>
  <r>
    <n v="1263850"/>
    <s v="Football Manager 2021"/>
    <d v="2020-11-24T00:00:00"/>
    <n v="1122"/>
    <b v="1"/>
    <n v="459"/>
    <s v="Radeon Vega 8"/>
    <x v="2"/>
    <x v="1"/>
  </r>
  <r>
    <n v="1263850"/>
    <s v="Football Manager 2021"/>
    <d v="2020-11-24T00:00:00"/>
    <n v="1122"/>
    <b v="1"/>
    <n v="459"/>
    <s v="Radeon Vega 8"/>
    <x v="3"/>
    <x v="0"/>
  </r>
  <r>
    <n v="1263850"/>
    <s v="Football Manager 2021"/>
    <d v="2020-11-24T00:00:00"/>
    <n v="1122"/>
    <b v="1"/>
    <n v="459"/>
    <s v="Radeon Vega 8"/>
    <x v="4"/>
    <x v="1"/>
  </r>
  <r>
    <n v="1263850"/>
    <s v="Football Manager 2021"/>
    <d v="2020-11-24T00:00:00"/>
    <n v="1122"/>
    <b v="1"/>
    <n v="459"/>
    <s v="Radeon Vega 8"/>
    <x v="5"/>
    <x v="1"/>
  </r>
  <r>
    <n v="1263850"/>
    <s v="Football Manager 2021"/>
    <d v="2020-11-24T00:00:00"/>
    <n v="1122"/>
    <b v="1"/>
    <n v="459"/>
    <s v="Radeon Vega 8"/>
    <x v="6"/>
    <x v="1"/>
  </r>
  <r>
    <n v="453480"/>
    <s v="Shadowverse CCG"/>
    <d v="2016-10-27T00:00:00"/>
    <n v="1122"/>
    <b v="1"/>
    <n v="459"/>
    <s v="R9 390X"/>
    <x v="0"/>
    <x v="1"/>
  </r>
  <r>
    <n v="453480"/>
    <s v="Shadowverse CCG"/>
    <d v="2016-10-27T00:00:00"/>
    <n v="1122"/>
    <b v="1"/>
    <n v="459"/>
    <s v="R9 390X"/>
    <x v="1"/>
    <x v="1"/>
  </r>
  <r>
    <n v="453480"/>
    <s v="Shadowverse CCG"/>
    <d v="2016-10-27T00:00:00"/>
    <n v="1122"/>
    <b v="1"/>
    <n v="459"/>
    <s v="R9 390X"/>
    <x v="2"/>
    <x v="1"/>
  </r>
  <r>
    <n v="453480"/>
    <s v="Shadowverse CCG"/>
    <d v="2016-10-27T00:00:00"/>
    <n v="1122"/>
    <b v="1"/>
    <n v="459"/>
    <s v="R9 390X"/>
    <x v="3"/>
    <x v="1"/>
  </r>
  <r>
    <n v="453480"/>
    <s v="Shadowverse CCG"/>
    <d v="2016-10-27T00:00:00"/>
    <n v="1122"/>
    <b v="1"/>
    <n v="459"/>
    <s v="R9 390X"/>
    <x v="4"/>
    <x v="1"/>
  </r>
  <r>
    <n v="453480"/>
    <s v="Shadowverse CCG"/>
    <d v="2016-10-27T00:00:00"/>
    <n v="1122"/>
    <b v="1"/>
    <n v="459"/>
    <s v="R9 390X"/>
    <x v="5"/>
    <x v="0"/>
  </r>
  <r>
    <n v="453480"/>
    <s v="Shadowverse CCG"/>
    <d v="2016-10-27T00:00:00"/>
    <n v="1122"/>
    <b v="1"/>
    <n v="459"/>
    <s v="R9 390X"/>
    <x v="6"/>
    <x v="0"/>
  </r>
  <r>
    <n v="2445690"/>
    <s v="Lost Castle 2"/>
    <d v="2024-07-24T00:00:00"/>
    <n v="1121"/>
    <b v="0"/>
    <n v="461"/>
    <s v="Radeon Vega 8"/>
    <x v="0"/>
    <x v="0"/>
  </r>
  <r>
    <n v="2445690"/>
    <s v="Lost Castle 2"/>
    <d v="2024-07-24T00:00:00"/>
    <n v="1121"/>
    <b v="0"/>
    <n v="461"/>
    <s v="Radeon Vega 8"/>
    <x v="1"/>
    <x v="0"/>
  </r>
  <r>
    <n v="2445690"/>
    <s v="Lost Castle 2"/>
    <d v="2024-07-24T00:00:00"/>
    <n v="1121"/>
    <b v="0"/>
    <n v="461"/>
    <s v="Radeon Vega 8"/>
    <x v="2"/>
    <x v="0"/>
  </r>
  <r>
    <n v="2445690"/>
    <s v="Lost Castle 2"/>
    <d v="2024-07-24T00:00:00"/>
    <n v="1121"/>
    <b v="0"/>
    <n v="461"/>
    <s v="Radeon Vega 8"/>
    <x v="3"/>
    <x v="1"/>
  </r>
  <r>
    <n v="2445690"/>
    <s v="Lost Castle 2"/>
    <d v="2024-07-24T00:00:00"/>
    <n v="1121"/>
    <b v="0"/>
    <n v="461"/>
    <s v="Radeon Vega 8"/>
    <x v="4"/>
    <x v="0"/>
  </r>
  <r>
    <n v="2445690"/>
    <s v="Lost Castle 2"/>
    <d v="2024-07-24T00:00:00"/>
    <n v="1121"/>
    <b v="0"/>
    <n v="461"/>
    <s v="Radeon Vega 8"/>
    <x v="5"/>
    <x v="1"/>
  </r>
  <r>
    <n v="2445690"/>
    <s v="Lost Castle 2"/>
    <d v="2024-07-24T00:00:00"/>
    <n v="1121"/>
    <b v="0"/>
    <n v="461"/>
    <s v="Radeon Vega 8"/>
    <x v="6"/>
    <x v="1"/>
  </r>
  <r>
    <n v="1477830"/>
    <s v="HudSight - crosshair overlay"/>
    <d v="2021-01-05T00:00:00"/>
    <n v="1120"/>
    <b v="0"/>
    <n v="462"/>
    <s v="Radeon Vega 11"/>
    <x v="0"/>
    <x v="0"/>
  </r>
  <r>
    <n v="1477830"/>
    <s v="HudSight - crosshair overlay"/>
    <d v="2021-01-05T00:00:00"/>
    <n v="1120"/>
    <b v="0"/>
    <n v="462"/>
    <s v="Radeon Vega 11"/>
    <x v="1"/>
    <x v="1"/>
  </r>
  <r>
    <n v="1477830"/>
    <s v="HudSight - crosshair overlay"/>
    <d v="2021-01-05T00:00:00"/>
    <n v="1120"/>
    <b v="0"/>
    <n v="462"/>
    <s v="Radeon Vega 11"/>
    <x v="2"/>
    <x v="1"/>
  </r>
  <r>
    <n v="1477830"/>
    <s v="HudSight - crosshair overlay"/>
    <d v="2021-01-05T00:00:00"/>
    <n v="1120"/>
    <b v="0"/>
    <n v="462"/>
    <s v="Radeon Vega 11"/>
    <x v="3"/>
    <x v="1"/>
  </r>
  <r>
    <n v="1477830"/>
    <s v="HudSight - crosshair overlay"/>
    <d v="2021-01-05T00:00:00"/>
    <n v="1120"/>
    <b v="0"/>
    <n v="462"/>
    <s v="Radeon Vega 11"/>
    <x v="4"/>
    <x v="1"/>
  </r>
  <r>
    <n v="1477830"/>
    <s v="HudSight - crosshair overlay"/>
    <d v="2021-01-05T00:00:00"/>
    <n v="1120"/>
    <b v="0"/>
    <n v="462"/>
    <s v="Radeon Vega 11"/>
    <x v="5"/>
    <x v="1"/>
  </r>
  <r>
    <n v="1477830"/>
    <s v="HudSight - crosshair overlay"/>
    <d v="2021-01-05T00:00:00"/>
    <n v="1120"/>
    <b v="0"/>
    <n v="462"/>
    <s v="Radeon Vega 11"/>
    <x v="6"/>
    <x v="1"/>
  </r>
  <r>
    <n v="346900"/>
    <s v="AdVenture Capitalist"/>
    <d v="2015-03-30T00:00:00"/>
    <n v="1109"/>
    <b v="1"/>
    <n v="463"/>
    <s v="Radeon Graphics"/>
    <x v="0"/>
    <x v="1"/>
  </r>
  <r>
    <n v="346900"/>
    <s v="AdVenture Capitalist"/>
    <d v="2015-03-30T00:00:00"/>
    <n v="1109"/>
    <b v="1"/>
    <n v="463"/>
    <s v="Radeon Graphics"/>
    <x v="1"/>
    <x v="0"/>
  </r>
  <r>
    <n v="346900"/>
    <s v="AdVenture Capitalist"/>
    <d v="2015-03-30T00:00:00"/>
    <n v="1109"/>
    <b v="1"/>
    <n v="463"/>
    <s v="Radeon Graphics"/>
    <x v="2"/>
    <x v="1"/>
  </r>
  <r>
    <n v="346900"/>
    <s v="AdVenture Capitalist"/>
    <d v="2015-03-30T00:00:00"/>
    <n v="1109"/>
    <b v="1"/>
    <n v="463"/>
    <s v="Radeon Graphics"/>
    <x v="3"/>
    <x v="1"/>
  </r>
  <r>
    <n v="346900"/>
    <s v="AdVenture Capitalist"/>
    <d v="2015-03-30T00:00:00"/>
    <n v="1109"/>
    <b v="1"/>
    <n v="463"/>
    <s v="Radeon Graphics"/>
    <x v="4"/>
    <x v="1"/>
  </r>
  <r>
    <n v="346900"/>
    <s v="AdVenture Capitalist"/>
    <d v="2015-03-30T00:00:00"/>
    <n v="1109"/>
    <b v="1"/>
    <n v="463"/>
    <s v="Radeon Graphics"/>
    <x v="5"/>
    <x v="1"/>
  </r>
  <r>
    <n v="346900"/>
    <s v="AdVenture Capitalist"/>
    <d v="2015-03-30T00:00:00"/>
    <n v="1109"/>
    <b v="1"/>
    <n v="463"/>
    <s v="Radeon Graphics"/>
    <x v="6"/>
    <x v="0"/>
  </r>
  <r>
    <n v="3454590"/>
    <s v="Cornerpond"/>
    <d v="2025-04-21T00:00:00"/>
    <n v="1100"/>
    <b v="0"/>
    <n v="464"/>
    <s v="Radeon Vega 11"/>
    <x v="0"/>
    <x v="1"/>
  </r>
  <r>
    <n v="3454590"/>
    <s v="Cornerpond"/>
    <d v="2025-04-21T00:00:00"/>
    <n v="1100"/>
    <b v="0"/>
    <n v="464"/>
    <s v="Radeon Vega 11"/>
    <x v="1"/>
    <x v="0"/>
  </r>
  <r>
    <n v="3454590"/>
    <s v="Cornerpond"/>
    <d v="2025-04-21T00:00:00"/>
    <n v="1100"/>
    <b v="0"/>
    <n v="464"/>
    <s v="Radeon Vega 11"/>
    <x v="2"/>
    <x v="1"/>
  </r>
  <r>
    <n v="3454590"/>
    <s v="Cornerpond"/>
    <d v="2025-04-21T00:00:00"/>
    <n v="1100"/>
    <b v="0"/>
    <n v="464"/>
    <s v="Radeon Vega 11"/>
    <x v="3"/>
    <x v="0"/>
  </r>
  <r>
    <n v="3454590"/>
    <s v="Cornerpond"/>
    <d v="2025-04-21T00:00:00"/>
    <n v="1100"/>
    <b v="0"/>
    <n v="464"/>
    <s v="Radeon Vega 11"/>
    <x v="4"/>
    <x v="1"/>
  </r>
  <r>
    <n v="3454590"/>
    <s v="Cornerpond"/>
    <d v="2025-04-21T00:00:00"/>
    <n v="1100"/>
    <b v="0"/>
    <n v="464"/>
    <s v="Radeon Vega 11"/>
    <x v="5"/>
    <x v="1"/>
  </r>
  <r>
    <n v="3454590"/>
    <s v="Cornerpond"/>
    <d v="2025-04-21T00:00:00"/>
    <n v="1100"/>
    <b v="0"/>
    <n v="464"/>
    <s v="Radeon Vega 11"/>
    <x v="6"/>
    <x v="1"/>
  </r>
  <r>
    <n v="2273430"/>
    <s v="BlazBlue Entropy Effect"/>
    <d v="2024-02-14T00:00:00"/>
    <n v="1099"/>
    <b v="1"/>
    <n v="465"/>
    <s v="GTX 1060"/>
    <x v="0"/>
    <x v="0"/>
  </r>
  <r>
    <n v="2273430"/>
    <s v="BlazBlue Entropy Effect"/>
    <d v="2024-02-14T00:00:00"/>
    <n v="1099"/>
    <b v="1"/>
    <n v="465"/>
    <s v="GTX 1060"/>
    <x v="1"/>
    <x v="0"/>
  </r>
  <r>
    <n v="2273430"/>
    <s v="BlazBlue Entropy Effect"/>
    <d v="2024-02-14T00:00:00"/>
    <n v="1099"/>
    <b v="1"/>
    <n v="465"/>
    <s v="GTX 1060"/>
    <x v="2"/>
    <x v="0"/>
  </r>
  <r>
    <n v="2273430"/>
    <s v="BlazBlue Entropy Effect"/>
    <d v="2024-02-14T00:00:00"/>
    <n v="1099"/>
    <b v="1"/>
    <n v="465"/>
    <s v="GTX 1060"/>
    <x v="3"/>
    <x v="1"/>
  </r>
  <r>
    <n v="2273430"/>
    <s v="BlazBlue Entropy Effect"/>
    <d v="2024-02-14T00:00:00"/>
    <n v="1099"/>
    <b v="1"/>
    <n v="465"/>
    <s v="GTX 1060"/>
    <x v="4"/>
    <x v="1"/>
  </r>
  <r>
    <n v="2273430"/>
    <s v="BlazBlue Entropy Effect"/>
    <d v="2024-02-14T00:00:00"/>
    <n v="1099"/>
    <b v="1"/>
    <n v="465"/>
    <s v="GTX 1060"/>
    <x v="5"/>
    <x v="1"/>
  </r>
  <r>
    <n v="2273430"/>
    <s v="BlazBlue Entropy Effect"/>
    <d v="2024-02-14T00:00:00"/>
    <n v="1099"/>
    <b v="1"/>
    <n v="465"/>
    <s v="GTX 1060"/>
    <x v="6"/>
    <x v="1"/>
  </r>
  <r>
    <n v="880940"/>
    <s v="Pummel Party"/>
    <d v="2018-09-20T00:00:00"/>
    <n v="1096"/>
    <b v="0"/>
    <n v="466"/>
    <s v="Radeon Vega 11"/>
    <x v="0"/>
    <x v="0"/>
  </r>
  <r>
    <n v="880940"/>
    <s v="Pummel Party"/>
    <d v="2018-09-20T00:00:00"/>
    <n v="1096"/>
    <b v="0"/>
    <n v="466"/>
    <s v="Radeon Vega 11"/>
    <x v="1"/>
    <x v="0"/>
  </r>
  <r>
    <n v="880940"/>
    <s v="Pummel Party"/>
    <d v="2018-09-20T00:00:00"/>
    <n v="1096"/>
    <b v="0"/>
    <n v="466"/>
    <s v="Radeon Vega 11"/>
    <x v="2"/>
    <x v="1"/>
  </r>
  <r>
    <n v="880940"/>
    <s v="Pummel Party"/>
    <d v="2018-09-20T00:00:00"/>
    <n v="1096"/>
    <b v="0"/>
    <n v="466"/>
    <s v="Radeon Vega 11"/>
    <x v="3"/>
    <x v="1"/>
  </r>
  <r>
    <n v="880940"/>
    <s v="Pummel Party"/>
    <d v="2018-09-20T00:00:00"/>
    <n v="1096"/>
    <b v="0"/>
    <n v="466"/>
    <s v="Radeon Vega 11"/>
    <x v="4"/>
    <x v="1"/>
  </r>
  <r>
    <n v="880940"/>
    <s v="Pummel Party"/>
    <d v="2018-09-20T00:00:00"/>
    <n v="1096"/>
    <b v="0"/>
    <n v="466"/>
    <s v="Radeon Vega 11"/>
    <x v="5"/>
    <x v="1"/>
  </r>
  <r>
    <n v="880940"/>
    <s v="Pummel Party"/>
    <d v="2018-09-20T00:00:00"/>
    <n v="1096"/>
    <b v="0"/>
    <n v="466"/>
    <s v="Radeon Vega 11"/>
    <x v="6"/>
    <x v="1"/>
  </r>
  <r>
    <n v="365360"/>
    <s v="Battle Brothers"/>
    <d v="2017-03-24T00:00:00"/>
    <n v="1091"/>
    <b v="0"/>
    <n v="467"/>
    <s v="RX 550"/>
    <x v="0"/>
    <x v="1"/>
  </r>
  <r>
    <n v="365360"/>
    <s v="Battle Brothers"/>
    <d v="2017-03-24T00:00:00"/>
    <n v="1091"/>
    <b v="0"/>
    <n v="467"/>
    <s v="RX 550"/>
    <x v="1"/>
    <x v="1"/>
  </r>
  <r>
    <n v="365360"/>
    <s v="Battle Brothers"/>
    <d v="2017-03-24T00:00:00"/>
    <n v="1091"/>
    <b v="0"/>
    <n v="467"/>
    <s v="RX 550"/>
    <x v="2"/>
    <x v="1"/>
  </r>
  <r>
    <n v="365360"/>
    <s v="Battle Brothers"/>
    <d v="2017-03-24T00:00:00"/>
    <n v="1091"/>
    <b v="0"/>
    <n v="467"/>
    <s v="RX 550"/>
    <x v="3"/>
    <x v="0"/>
  </r>
  <r>
    <n v="365360"/>
    <s v="Battle Brothers"/>
    <d v="2017-03-24T00:00:00"/>
    <n v="1091"/>
    <b v="0"/>
    <n v="467"/>
    <s v="RX 550"/>
    <x v="4"/>
    <x v="0"/>
  </r>
  <r>
    <n v="365360"/>
    <s v="Battle Brothers"/>
    <d v="2017-03-24T00:00:00"/>
    <n v="1091"/>
    <b v="0"/>
    <n v="467"/>
    <s v="RX 550"/>
    <x v="5"/>
    <x v="0"/>
  </r>
  <r>
    <n v="365360"/>
    <s v="Battle Brothers"/>
    <d v="2017-03-24T00:00:00"/>
    <n v="1091"/>
    <b v="0"/>
    <n v="467"/>
    <s v="RX 550"/>
    <x v="6"/>
    <x v="1"/>
  </r>
  <r>
    <n v="2418520"/>
    <s v="Farm Together 2"/>
    <d v="2025-05-30T00:00:00"/>
    <n v="1080"/>
    <b v="1"/>
    <n v="468"/>
    <s v="GTX 1060"/>
    <x v="0"/>
    <x v="1"/>
  </r>
  <r>
    <n v="2418520"/>
    <s v="Farm Together 2"/>
    <d v="2025-05-30T00:00:00"/>
    <n v="1080"/>
    <b v="1"/>
    <n v="468"/>
    <s v="GTX 1060"/>
    <x v="1"/>
    <x v="0"/>
  </r>
  <r>
    <n v="2418520"/>
    <s v="Farm Together 2"/>
    <d v="2025-05-30T00:00:00"/>
    <n v="1080"/>
    <b v="1"/>
    <n v="468"/>
    <s v="GTX 1060"/>
    <x v="2"/>
    <x v="1"/>
  </r>
  <r>
    <n v="2418520"/>
    <s v="Farm Together 2"/>
    <d v="2025-05-30T00:00:00"/>
    <n v="1080"/>
    <b v="1"/>
    <n v="468"/>
    <s v="GTX 1060"/>
    <x v="3"/>
    <x v="0"/>
  </r>
  <r>
    <n v="2418520"/>
    <s v="Farm Together 2"/>
    <d v="2025-05-30T00:00:00"/>
    <n v="1080"/>
    <b v="1"/>
    <n v="468"/>
    <s v="GTX 1060"/>
    <x v="4"/>
    <x v="1"/>
  </r>
  <r>
    <n v="2418520"/>
    <s v="Farm Together 2"/>
    <d v="2025-05-30T00:00:00"/>
    <n v="1080"/>
    <b v="1"/>
    <n v="468"/>
    <s v="GTX 1060"/>
    <x v="5"/>
    <x v="1"/>
  </r>
  <r>
    <n v="2418520"/>
    <s v="Farm Together 2"/>
    <d v="2025-05-30T00:00:00"/>
    <n v="1080"/>
    <b v="1"/>
    <n v="468"/>
    <s v="GTX 1060"/>
    <x v="6"/>
    <x v="1"/>
  </r>
  <r>
    <n v="1041320"/>
    <s v="Lords Mobile: Kingdom Wars"/>
    <d v="2019-06-02T00:00:00"/>
    <n v="1080"/>
    <b v="0"/>
    <n v="468"/>
    <s v="Radeon Vega 11"/>
    <x v="0"/>
    <x v="1"/>
  </r>
  <r>
    <n v="1041320"/>
    <s v="Lords Mobile: Kingdom Wars"/>
    <d v="2019-06-02T00:00:00"/>
    <n v="1080"/>
    <b v="0"/>
    <n v="468"/>
    <s v="Radeon Vega 11"/>
    <x v="1"/>
    <x v="1"/>
  </r>
  <r>
    <n v="1041320"/>
    <s v="Lords Mobile: Kingdom Wars"/>
    <d v="2019-06-02T00:00:00"/>
    <n v="1080"/>
    <b v="0"/>
    <n v="468"/>
    <s v="Radeon Vega 11"/>
    <x v="2"/>
    <x v="1"/>
  </r>
  <r>
    <n v="1041320"/>
    <s v="Lords Mobile: Kingdom Wars"/>
    <d v="2019-06-02T00:00:00"/>
    <n v="1080"/>
    <b v="0"/>
    <n v="468"/>
    <s v="Radeon Vega 11"/>
    <x v="3"/>
    <x v="1"/>
  </r>
  <r>
    <n v="1041320"/>
    <s v="Lords Mobile: Kingdom Wars"/>
    <d v="2019-06-02T00:00:00"/>
    <n v="1080"/>
    <b v="0"/>
    <n v="468"/>
    <s v="Radeon Vega 11"/>
    <x v="4"/>
    <x v="0"/>
  </r>
  <r>
    <n v="1041320"/>
    <s v="Lords Mobile: Kingdom Wars"/>
    <d v="2019-06-02T00:00:00"/>
    <n v="1080"/>
    <b v="0"/>
    <n v="468"/>
    <s v="Radeon Vega 11"/>
    <x v="5"/>
    <x v="0"/>
  </r>
  <r>
    <n v="1041320"/>
    <s v="Lords Mobile: Kingdom Wars"/>
    <d v="2019-06-02T00:00:00"/>
    <n v="1080"/>
    <b v="0"/>
    <n v="468"/>
    <s v="Radeon Vega 11"/>
    <x v="6"/>
    <x v="0"/>
  </r>
  <r>
    <n v="9900"/>
    <s v="Star Trek Online"/>
    <d v="2012-01-31T00:00:00"/>
    <n v="1057"/>
    <b v="0"/>
    <n v="470"/>
    <s v="Radeon Graphics"/>
    <x v="0"/>
    <x v="1"/>
  </r>
  <r>
    <n v="9900"/>
    <s v="Star Trek Online"/>
    <d v="2012-01-31T00:00:00"/>
    <n v="1057"/>
    <b v="0"/>
    <n v="470"/>
    <s v="Radeon Graphics"/>
    <x v="1"/>
    <x v="1"/>
  </r>
  <r>
    <n v="9900"/>
    <s v="Star Trek Online"/>
    <d v="2012-01-31T00:00:00"/>
    <n v="1057"/>
    <b v="0"/>
    <n v="470"/>
    <s v="Radeon Graphics"/>
    <x v="2"/>
    <x v="1"/>
  </r>
  <r>
    <n v="9900"/>
    <s v="Star Trek Online"/>
    <d v="2012-01-31T00:00:00"/>
    <n v="1057"/>
    <b v="0"/>
    <n v="470"/>
    <s v="Radeon Graphics"/>
    <x v="3"/>
    <x v="1"/>
  </r>
  <r>
    <n v="9900"/>
    <s v="Star Trek Online"/>
    <d v="2012-01-31T00:00:00"/>
    <n v="1057"/>
    <b v="0"/>
    <n v="470"/>
    <s v="Radeon Graphics"/>
    <x v="4"/>
    <x v="0"/>
  </r>
  <r>
    <n v="9900"/>
    <s v="Star Trek Online"/>
    <d v="2012-01-31T00:00:00"/>
    <n v="1057"/>
    <b v="0"/>
    <n v="470"/>
    <s v="Radeon Graphics"/>
    <x v="5"/>
    <x v="1"/>
  </r>
  <r>
    <n v="9900"/>
    <s v="Star Trek Online"/>
    <d v="2012-01-31T00:00:00"/>
    <n v="1057"/>
    <b v="0"/>
    <n v="470"/>
    <s v="Radeon Graphics"/>
    <x v="6"/>
    <x v="0"/>
  </r>
  <r>
    <n v="1940340"/>
    <s v="Darkest Dungeon II"/>
    <d v="2023-05-08T00:00:00"/>
    <n v="1054"/>
    <b v="1"/>
    <n v="471"/>
    <s v="GTX 1050"/>
    <x v="0"/>
    <x v="1"/>
  </r>
  <r>
    <n v="1940340"/>
    <s v="Darkest Dungeon II"/>
    <d v="2023-05-08T00:00:00"/>
    <n v="1054"/>
    <b v="1"/>
    <n v="471"/>
    <s v="GTX 1050"/>
    <x v="1"/>
    <x v="0"/>
  </r>
  <r>
    <n v="1940340"/>
    <s v="Darkest Dungeon II"/>
    <d v="2023-05-08T00:00:00"/>
    <n v="1054"/>
    <b v="1"/>
    <n v="471"/>
    <s v="GTX 1050"/>
    <x v="2"/>
    <x v="1"/>
  </r>
  <r>
    <n v="1940340"/>
    <s v="Darkest Dungeon II"/>
    <d v="2023-05-08T00:00:00"/>
    <n v="1054"/>
    <b v="1"/>
    <n v="471"/>
    <s v="GTX 1050"/>
    <x v="3"/>
    <x v="1"/>
  </r>
  <r>
    <n v="1940340"/>
    <s v="Darkest Dungeon II"/>
    <d v="2023-05-08T00:00:00"/>
    <n v="1054"/>
    <b v="1"/>
    <n v="471"/>
    <s v="GTX 1050"/>
    <x v="4"/>
    <x v="0"/>
  </r>
  <r>
    <n v="1940340"/>
    <s v="Darkest Dungeon II"/>
    <d v="2023-05-08T00:00:00"/>
    <n v="1054"/>
    <b v="1"/>
    <n v="471"/>
    <s v="GTX 1050"/>
    <x v="5"/>
    <x v="0"/>
  </r>
  <r>
    <n v="1940340"/>
    <s v="Darkest Dungeon II"/>
    <d v="2023-05-08T00:00:00"/>
    <n v="1054"/>
    <b v="1"/>
    <n v="471"/>
    <s v="GTX 1050"/>
    <x v="6"/>
    <x v="1"/>
  </r>
  <r>
    <n v="1343370"/>
    <s v="Old School RuneScape"/>
    <d v="2021-02-24T00:00:00"/>
    <n v="1050"/>
    <b v="1"/>
    <n v="472"/>
    <s v="GTX 1050 Ti"/>
    <x v="0"/>
    <x v="1"/>
  </r>
  <r>
    <n v="1343370"/>
    <s v="Old School RuneScape"/>
    <d v="2021-02-24T00:00:00"/>
    <n v="1050"/>
    <b v="1"/>
    <n v="472"/>
    <s v="GTX 1050 Ti"/>
    <x v="1"/>
    <x v="1"/>
  </r>
  <r>
    <n v="1343370"/>
    <s v="Old School RuneScape"/>
    <d v="2021-02-24T00:00:00"/>
    <n v="1050"/>
    <b v="1"/>
    <n v="472"/>
    <s v="GTX 1050 Ti"/>
    <x v="2"/>
    <x v="0"/>
  </r>
  <r>
    <n v="1343370"/>
    <s v="Old School RuneScape"/>
    <d v="2021-02-24T00:00:00"/>
    <n v="1050"/>
    <b v="1"/>
    <n v="472"/>
    <s v="GTX 1050 Ti"/>
    <x v="3"/>
    <x v="1"/>
  </r>
  <r>
    <n v="1343370"/>
    <s v="Old School RuneScape"/>
    <d v="2021-02-24T00:00:00"/>
    <n v="1050"/>
    <b v="1"/>
    <n v="472"/>
    <s v="GTX 1050 Ti"/>
    <x v="4"/>
    <x v="0"/>
  </r>
  <r>
    <n v="1343370"/>
    <s v="Old School RuneScape"/>
    <d v="2021-02-24T00:00:00"/>
    <n v="1050"/>
    <b v="1"/>
    <n v="472"/>
    <s v="GTX 1050 Ti"/>
    <x v="5"/>
    <x v="1"/>
  </r>
  <r>
    <n v="1343370"/>
    <s v="Old School RuneScape"/>
    <d v="2021-02-24T00:00:00"/>
    <n v="1050"/>
    <b v="1"/>
    <n v="472"/>
    <s v="GTX 1050 Ti"/>
    <x v="6"/>
    <x v="0"/>
  </r>
  <r>
    <n v="1840"/>
    <s v="Source Filmmaker"/>
    <d v="2012-07-10T00:00:00"/>
    <n v="1047"/>
    <b v="0"/>
    <n v="473"/>
    <s v="Radeon Graphics"/>
    <x v="0"/>
    <x v="1"/>
  </r>
  <r>
    <n v="1840"/>
    <s v="Source Filmmaker"/>
    <d v="2012-07-10T00:00:00"/>
    <n v="1047"/>
    <b v="0"/>
    <n v="473"/>
    <s v="Radeon Graphics"/>
    <x v="1"/>
    <x v="1"/>
  </r>
  <r>
    <n v="1840"/>
    <s v="Source Filmmaker"/>
    <d v="2012-07-10T00:00:00"/>
    <n v="1047"/>
    <b v="0"/>
    <n v="473"/>
    <s v="Radeon Graphics"/>
    <x v="2"/>
    <x v="1"/>
  </r>
  <r>
    <n v="1840"/>
    <s v="Source Filmmaker"/>
    <d v="2012-07-10T00:00:00"/>
    <n v="1047"/>
    <b v="0"/>
    <n v="473"/>
    <s v="Radeon Graphics"/>
    <x v="3"/>
    <x v="1"/>
  </r>
  <r>
    <n v="1840"/>
    <s v="Source Filmmaker"/>
    <d v="2012-07-10T00:00:00"/>
    <n v="1047"/>
    <b v="0"/>
    <n v="473"/>
    <s v="Radeon Graphics"/>
    <x v="4"/>
    <x v="1"/>
  </r>
  <r>
    <n v="1840"/>
    <s v="Source Filmmaker"/>
    <d v="2012-07-10T00:00:00"/>
    <n v="1047"/>
    <b v="0"/>
    <n v="473"/>
    <s v="Radeon Graphics"/>
    <x v="5"/>
    <x v="1"/>
  </r>
  <r>
    <n v="1840"/>
    <s v="Source Filmmaker"/>
    <d v="2012-07-10T00:00:00"/>
    <n v="1047"/>
    <b v="0"/>
    <n v="473"/>
    <s v="Radeon Graphics"/>
    <x v="6"/>
    <x v="1"/>
  </r>
  <r>
    <n v="3116890"/>
    <s v="Out of the Park Baseball 26"/>
    <d v="2025-03-14T00:00:00"/>
    <n v="1044"/>
    <b v="1"/>
    <n v="474"/>
    <s v="Radeon Vega 11"/>
    <x v="0"/>
    <x v="1"/>
  </r>
  <r>
    <n v="3116890"/>
    <s v="Out of the Park Baseball 26"/>
    <d v="2025-03-14T00:00:00"/>
    <n v="1044"/>
    <b v="1"/>
    <n v="474"/>
    <s v="Radeon Vega 11"/>
    <x v="1"/>
    <x v="0"/>
  </r>
  <r>
    <n v="3116890"/>
    <s v="Out of the Park Baseball 26"/>
    <d v="2025-03-14T00:00:00"/>
    <n v="1044"/>
    <b v="1"/>
    <n v="474"/>
    <s v="Radeon Vega 11"/>
    <x v="2"/>
    <x v="1"/>
  </r>
  <r>
    <n v="3116890"/>
    <s v="Out of the Park Baseball 26"/>
    <d v="2025-03-14T00:00:00"/>
    <n v="1044"/>
    <b v="1"/>
    <n v="474"/>
    <s v="Radeon Vega 11"/>
    <x v="3"/>
    <x v="0"/>
  </r>
  <r>
    <n v="3116890"/>
    <s v="Out of the Park Baseball 26"/>
    <d v="2025-03-14T00:00:00"/>
    <n v="1044"/>
    <b v="1"/>
    <n v="474"/>
    <s v="Radeon Vega 11"/>
    <x v="4"/>
    <x v="1"/>
  </r>
  <r>
    <n v="3116890"/>
    <s v="Out of the Park Baseball 26"/>
    <d v="2025-03-14T00:00:00"/>
    <n v="1044"/>
    <b v="1"/>
    <n v="474"/>
    <s v="Radeon Vega 11"/>
    <x v="5"/>
    <x v="0"/>
  </r>
  <r>
    <n v="3116890"/>
    <s v="Out of the Park Baseball 26"/>
    <d v="2025-03-14T00:00:00"/>
    <n v="1044"/>
    <b v="1"/>
    <n v="474"/>
    <s v="Radeon Vega 11"/>
    <x v="6"/>
    <x v="1"/>
  </r>
  <r>
    <n v="516750"/>
    <s v="My Summer Car"/>
    <d v="2025-01-08T00:00:00"/>
    <n v="1044"/>
    <b v="0"/>
    <n v="474"/>
    <s v="GTX 1070"/>
    <x v="0"/>
    <x v="1"/>
  </r>
  <r>
    <n v="516750"/>
    <s v="My Summer Car"/>
    <d v="2025-01-08T00:00:00"/>
    <n v="1044"/>
    <b v="0"/>
    <n v="474"/>
    <s v="GTX 1070"/>
    <x v="1"/>
    <x v="0"/>
  </r>
  <r>
    <n v="516750"/>
    <s v="My Summer Car"/>
    <d v="2025-01-08T00:00:00"/>
    <n v="1044"/>
    <b v="0"/>
    <n v="474"/>
    <s v="GTX 1070"/>
    <x v="2"/>
    <x v="1"/>
  </r>
  <r>
    <n v="516750"/>
    <s v="My Summer Car"/>
    <d v="2025-01-08T00:00:00"/>
    <n v="1044"/>
    <b v="0"/>
    <n v="474"/>
    <s v="GTX 1070"/>
    <x v="3"/>
    <x v="0"/>
  </r>
  <r>
    <n v="516750"/>
    <s v="My Summer Car"/>
    <d v="2025-01-08T00:00:00"/>
    <n v="1044"/>
    <b v="0"/>
    <n v="474"/>
    <s v="GTX 1070"/>
    <x v="4"/>
    <x v="1"/>
  </r>
  <r>
    <n v="516750"/>
    <s v="My Summer Car"/>
    <d v="2025-01-08T00:00:00"/>
    <n v="1044"/>
    <b v="0"/>
    <n v="474"/>
    <s v="GTX 1070"/>
    <x v="5"/>
    <x v="1"/>
  </r>
  <r>
    <n v="516750"/>
    <s v="My Summer Car"/>
    <d v="2025-01-08T00:00:00"/>
    <n v="1044"/>
    <b v="0"/>
    <n v="474"/>
    <s v="GTX 1070"/>
    <x v="6"/>
    <x v="1"/>
  </r>
  <r>
    <n v="2456740"/>
    <s v="inZOI"/>
    <d v="2025-03-27T00:00:00"/>
    <n v="1039"/>
    <b v="1"/>
    <n v="476"/>
    <s v="RTX 3070"/>
    <x v="0"/>
    <x v="1"/>
  </r>
  <r>
    <n v="2456740"/>
    <s v="inZOI"/>
    <d v="2025-03-27T00:00:00"/>
    <n v="1039"/>
    <b v="1"/>
    <n v="476"/>
    <s v="RTX 3070"/>
    <x v="1"/>
    <x v="1"/>
  </r>
  <r>
    <n v="2456740"/>
    <s v="inZOI"/>
    <d v="2025-03-27T00:00:00"/>
    <n v="1039"/>
    <b v="1"/>
    <n v="476"/>
    <s v="RTX 3070"/>
    <x v="2"/>
    <x v="0"/>
  </r>
  <r>
    <n v="2456740"/>
    <s v="inZOI"/>
    <d v="2025-03-27T00:00:00"/>
    <n v="1039"/>
    <b v="1"/>
    <n v="476"/>
    <s v="RTX 3070"/>
    <x v="3"/>
    <x v="0"/>
  </r>
  <r>
    <n v="2456740"/>
    <s v="inZOI"/>
    <d v="2025-03-27T00:00:00"/>
    <n v="1039"/>
    <b v="1"/>
    <n v="476"/>
    <s v="RTX 3070"/>
    <x v="4"/>
    <x v="1"/>
  </r>
  <r>
    <n v="2456740"/>
    <s v="inZOI"/>
    <d v="2025-03-27T00:00:00"/>
    <n v="1039"/>
    <b v="1"/>
    <n v="476"/>
    <s v="RTX 3070"/>
    <x v="5"/>
    <x v="1"/>
  </r>
  <r>
    <n v="2456740"/>
    <s v="inZOI"/>
    <d v="2025-03-27T00:00:00"/>
    <n v="1039"/>
    <b v="1"/>
    <n v="476"/>
    <s v="RTX 3070"/>
    <x v="6"/>
    <x v="1"/>
  </r>
  <r>
    <n v="444090"/>
    <s v="Paladins"/>
    <d v="2018-05-08T00:00:00"/>
    <n v="1028"/>
    <b v="0"/>
    <n v="477"/>
    <s v="RX 560"/>
    <x v="0"/>
    <x v="0"/>
  </r>
  <r>
    <n v="444090"/>
    <s v="Paladins"/>
    <d v="2018-05-08T00:00:00"/>
    <n v="1028"/>
    <b v="0"/>
    <n v="477"/>
    <s v="RX 560"/>
    <x v="1"/>
    <x v="1"/>
  </r>
  <r>
    <n v="444090"/>
    <s v="Paladins"/>
    <d v="2018-05-08T00:00:00"/>
    <n v="1028"/>
    <b v="0"/>
    <n v="477"/>
    <s v="RX 560"/>
    <x v="2"/>
    <x v="0"/>
  </r>
  <r>
    <n v="444090"/>
    <s v="Paladins"/>
    <d v="2018-05-08T00:00:00"/>
    <n v="1028"/>
    <b v="0"/>
    <n v="477"/>
    <s v="RX 560"/>
    <x v="3"/>
    <x v="1"/>
  </r>
  <r>
    <n v="444090"/>
    <s v="Paladins"/>
    <d v="2018-05-08T00:00:00"/>
    <n v="1028"/>
    <b v="0"/>
    <n v="477"/>
    <s v="RX 560"/>
    <x v="4"/>
    <x v="1"/>
  </r>
  <r>
    <n v="444090"/>
    <s v="Paladins"/>
    <d v="2018-05-08T00:00:00"/>
    <n v="1028"/>
    <b v="0"/>
    <n v="477"/>
    <s v="RX 560"/>
    <x v="5"/>
    <x v="0"/>
  </r>
  <r>
    <n v="444090"/>
    <s v="Paladins"/>
    <d v="2018-05-08T00:00:00"/>
    <n v="1028"/>
    <b v="0"/>
    <n v="477"/>
    <s v="RX 560"/>
    <x v="6"/>
    <x v="0"/>
  </r>
  <r>
    <n v="976310"/>
    <s v="Mortal Kombatﾂ11"/>
    <d v="2019-04-23T00:00:00"/>
    <n v="1026"/>
    <b v="0"/>
    <n v="478"/>
    <s v="GTX 1050 Ti"/>
    <x v="0"/>
    <x v="0"/>
  </r>
  <r>
    <n v="976310"/>
    <s v="Mortal Kombatﾂ11"/>
    <d v="2019-04-23T00:00:00"/>
    <n v="1026"/>
    <b v="0"/>
    <n v="478"/>
    <s v="GTX 1050 Ti"/>
    <x v="1"/>
    <x v="1"/>
  </r>
  <r>
    <n v="976310"/>
    <s v="Mortal Kombatﾂ11"/>
    <d v="2019-04-23T00:00:00"/>
    <n v="1026"/>
    <b v="0"/>
    <n v="478"/>
    <s v="GTX 1050 Ti"/>
    <x v="2"/>
    <x v="1"/>
  </r>
  <r>
    <n v="976310"/>
    <s v="Mortal Kombatﾂ11"/>
    <d v="2019-04-23T00:00:00"/>
    <n v="1026"/>
    <b v="0"/>
    <n v="478"/>
    <s v="GTX 1050 Ti"/>
    <x v="3"/>
    <x v="1"/>
  </r>
  <r>
    <n v="976310"/>
    <s v="Mortal Kombatﾂ11"/>
    <d v="2019-04-23T00:00:00"/>
    <n v="1026"/>
    <b v="0"/>
    <n v="478"/>
    <s v="GTX 1050 Ti"/>
    <x v="4"/>
    <x v="1"/>
  </r>
  <r>
    <n v="976310"/>
    <s v="Mortal Kombatﾂ11"/>
    <d v="2019-04-23T00:00:00"/>
    <n v="1026"/>
    <b v="0"/>
    <n v="478"/>
    <s v="GTX 1050 Ti"/>
    <x v="5"/>
    <x v="1"/>
  </r>
  <r>
    <n v="976310"/>
    <s v="Mortal Kombatﾂ11"/>
    <d v="2019-04-23T00:00:00"/>
    <n v="1026"/>
    <b v="0"/>
    <n v="478"/>
    <s v="GTX 1050 Ti"/>
    <x v="6"/>
    <x v="1"/>
  </r>
  <r>
    <n v="404790"/>
    <s v="Godot Engine"/>
    <d v="2016-02-23T00:00:00"/>
    <n v="1024"/>
    <b v="1"/>
    <n v="479"/>
    <s v="GTX 950"/>
    <x v="0"/>
    <x v="1"/>
  </r>
  <r>
    <n v="404790"/>
    <s v="Godot Engine"/>
    <d v="2016-02-23T00:00:00"/>
    <n v="1024"/>
    <b v="1"/>
    <n v="479"/>
    <s v="GTX 950"/>
    <x v="1"/>
    <x v="1"/>
  </r>
  <r>
    <n v="404790"/>
    <s v="Godot Engine"/>
    <d v="2016-02-23T00:00:00"/>
    <n v="1024"/>
    <b v="1"/>
    <n v="479"/>
    <s v="GTX 950"/>
    <x v="2"/>
    <x v="1"/>
  </r>
  <r>
    <n v="404790"/>
    <s v="Godot Engine"/>
    <d v="2016-02-23T00:00:00"/>
    <n v="1024"/>
    <b v="1"/>
    <n v="479"/>
    <s v="GTX 950"/>
    <x v="3"/>
    <x v="1"/>
  </r>
  <r>
    <n v="404790"/>
    <s v="Godot Engine"/>
    <d v="2016-02-23T00:00:00"/>
    <n v="1024"/>
    <b v="1"/>
    <n v="479"/>
    <s v="GTX 950"/>
    <x v="4"/>
    <x v="1"/>
  </r>
  <r>
    <n v="404790"/>
    <s v="Godot Engine"/>
    <d v="2016-02-23T00:00:00"/>
    <n v="1024"/>
    <b v="1"/>
    <n v="479"/>
    <s v="GTX 950"/>
    <x v="5"/>
    <x v="1"/>
  </r>
  <r>
    <n v="404790"/>
    <s v="Godot Engine"/>
    <d v="2016-02-23T00:00:00"/>
    <n v="1024"/>
    <b v="1"/>
    <n v="479"/>
    <s v="GTX 950"/>
    <x v="6"/>
    <x v="1"/>
  </r>
  <r>
    <n v="934700"/>
    <s v="Dead Island 2"/>
    <d v="2024-04-22T00:00:00"/>
    <n v="1023"/>
    <b v="1"/>
    <n v="480"/>
    <s v="RX 6800 XT"/>
    <x v="0"/>
    <x v="0"/>
  </r>
  <r>
    <n v="934700"/>
    <s v="Dead Island 2"/>
    <d v="2024-04-22T00:00:00"/>
    <n v="1023"/>
    <b v="1"/>
    <n v="480"/>
    <s v="RX 6800 XT"/>
    <x v="1"/>
    <x v="1"/>
  </r>
  <r>
    <n v="934700"/>
    <s v="Dead Island 2"/>
    <d v="2024-04-22T00:00:00"/>
    <n v="1023"/>
    <b v="1"/>
    <n v="480"/>
    <s v="RX 6800 XT"/>
    <x v="2"/>
    <x v="0"/>
  </r>
  <r>
    <n v="934700"/>
    <s v="Dead Island 2"/>
    <d v="2024-04-22T00:00:00"/>
    <n v="1023"/>
    <b v="1"/>
    <n v="480"/>
    <s v="RX 6800 XT"/>
    <x v="3"/>
    <x v="1"/>
  </r>
  <r>
    <n v="934700"/>
    <s v="Dead Island 2"/>
    <d v="2024-04-22T00:00:00"/>
    <n v="1023"/>
    <b v="1"/>
    <n v="480"/>
    <s v="RX 6800 XT"/>
    <x v="4"/>
    <x v="1"/>
  </r>
  <r>
    <n v="934700"/>
    <s v="Dead Island 2"/>
    <d v="2024-04-22T00:00:00"/>
    <n v="1023"/>
    <b v="1"/>
    <n v="480"/>
    <s v="RX 6800 XT"/>
    <x v="5"/>
    <x v="1"/>
  </r>
  <r>
    <n v="934700"/>
    <s v="Dead Island 2"/>
    <d v="2024-04-22T00:00:00"/>
    <n v="1023"/>
    <b v="1"/>
    <n v="480"/>
    <s v="RX 6800 XT"/>
    <x v="6"/>
    <x v="1"/>
  </r>
  <r>
    <n v="1100600"/>
    <s v="Football Manager 2020"/>
    <d v="2019-11-19T00:00:00"/>
    <n v="1012"/>
    <b v="1"/>
    <n v="481"/>
    <s v="Radeon Vega 8"/>
    <x v="0"/>
    <x v="1"/>
  </r>
  <r>
    <n v="1100600"/>
    <s v="Football Manager 2020"/>
    <d v="2019-11-19T00:00:00"/>
    <n v="1012"/>
    <b v="1"/>
    <n v="481"/>
    <s v="Radeon Vega 8"/>
    <x v="1"/>
    <x v="1"/>
  </r>
  <r>
    <n v="1100600"/>
    <s v="Football Manager 2020"/>
    <d v="2019-11-19T00:00:00"/>
    <n v="1012"/>
    <b v="1"/>
    <n v="481"/>
    <s v="Radeon Vega 8"/>
    <x v="2"/>
    <x v="1"/>
  </r>
  <r>
    <n v="1100600"/>
    <s v="Football Manager 2020"/>
    <d v="2019-11-19T00:00:00"/>
    <n v="1012"/>
    <b v="1"/>
    <n v="481"/>
    <s v="Radeon Vega 8"/>
    <x v="3"/>
    <x v="0"/>
  </r>
  <r>
    <n v="1100600"/>
    <s v="Football Manager 2020"/>
    <d v="2019-11-19T00:00:00"/>
    <n v="1012"/>
    <b v="1"/>
    <n v="481"/>
    <s v="Radeon Vega 8"/>
    <x v="4"/>
    <x v="1"/>
  </r>
  <r>
    <n v="1100600"/>
    <s v="Football Manager 2020"/>
    <d v="2019-11-19T00:00:00"/>
    <n v="1012"/>
    <b v="1"/>
    <n v="481"/>
    <s v="Radeon Vega 8"/>
    <x v="5"/>
    <x v="1"/>
  </r>
  <r>
    <n v="1100600"/>
    <s v="Football Manager 2020"/>
    <d v="2019-11-19T00:00:00"/>
    <n v="1012"/>
    <b v="1"/>
    <n v="481"/>
    <s v="Radeon Vega 8"/>
    <x v="6"/>
    <x v="1"/>
  </r>
  <r>
    <n v="1888160"/>
    <s v="ARMORED CORE VI FIRES OF RUBICON"/>
    <d v="2023-08-24T00:00:00"/>
    <n v="1011"/>
    <b v="0"/>
    <n v="482"/>
    <s v="GTX 1060"/>
    <x v="0"/>
    <x v="0"/>
  </r>
  <r>
    <n v="1888160"/>
    <s v="ARMORED CORE VI FIRES OF RUBICON"/>
    <d v="2023-08-24T00:00:00"/>
    <n v="1011"/>
    <b v="0"/>
    <n v="482"/>
    <s v="GTX 1060"/>
    <x v="1"/>
    <x v="1"/>
  </r>
  <r>
    <n v="1888160"/>
    <s v="ARMORED CORE VI FIRES OF RUBICON"/>
    <d v="2023-08-24T00:00:00"/>
    <n v="1011"/>
    <b v="0"/>
    <n v="482"/>
    <s v="GTX 1060"/>
    <x v="2"/>
    <x v="1"/>
  </r>
  <r>
    <n v="1888160"/>
    <s v="ARMORED CORE VI FIRES OF RUBICON"/>
    <d v="2023-08-24T00:00:00"/>
    <n v="1011"/>
    <b v="0"/>
    <n v="482"/>
    <s v="GTX 1060"/>
    <x v="3"/>
    <x v="1"/>
  </r>
  <r>
    <n v="1888160"/>
    <s v="ARMORED CORE VI FIRES OF RUBICON"/>
    <d v="2023-08-24T00:00:00"/>
    <n v="1011"/>
    <b v="0"/>
    <n v="482"/>
    <s v="GTX 1060"/>
    <x v="4"/>
    <x v="1"/>
  </r>
  <r>
    <n v="1888160"/>
    <s v="ARMORED CORE VI FIRES OF RUBICON"/>
    <d v="2023-08-24T00:00:00"/>
    <n v="1011"/>
    <b v="0"/>
    <n v="482"/>
    <s v="GTX 1060"/>
    <x v="5"/>
    <x v="1"/>
  </r>
  <r>
    <n v="1888160"/>
    <s v="ARMORED CORE VI FIRES OF RUBICON"/>
    <d v="2023-08-24T00:00:00"/>
    <n v="1011"/>
    <b v="0"/>
    <n v="482"/>
    <s v="GTX 1060"/>
    <x v="6"/>
    <x v="1"/>
  </r>
  <r>
    <n v="433850"/>
    <s v="Z1 Battle Royale"/>
    <d v="2018-02-28T00:00:00"/>
    <n v="1010"/>
    <b v="0"/>
    <n v="483"/>
    <s v="GTX 1050 Ti"/>
    <x v="0"/>
    <x v="0"/>
  </r>
  <r>
    <n v="433850"/>
    <s v="Z1 Battle Royale"/>
    <d v="2018-02-28T00:00:00"/>
    <n v="1010"/>
    <b v="0"/>
    <n v="483"/>
    <s v="GTX 1050 Ti"/>
    <x v="1"/>
    <x v="1"/>
  </r>
  <r>
    <n v="433850"/>
    <s v="Z1 Battle Royale"/>
    <d v="2018-02-28T00:00:00"/>
    <n v="1010"/>
    <b v="0"/>
    <n v="483"/>
    <s v="GTX 1050 Ti"/>
    <x v="2"/>
    <x v="0"/>
  </r>
  <r>
    <n v="433850"/>
    <s v="Z1 Battle Royale"/>
    <d v="2018-02-28T00:00:00"/>
    <n v="1010"/>
    <b v="0"/>
    <n v="483"/>
    <s v="GTX 1050 Ti"/>
    <x v="3"/>
    <x v="1"/>
  </r>
  <r>
    <n v="433850"/>
    <s v="Z1 Battle Royale"/>
    <d v="2018-02-28T00:00:00"/>
    <n v="1010"/>
    <b v="0"/>
    <n v="483"/>
    <s v="GTX 1050 Ti"/>
    <x v="4"/>
    <x v="1"/>
  </r>
  <r>
    <n v="433850"/>
    <s v="Z1 Battle Royale"/>
    <d v="2018-02-28T00:00:00"/>
    <n v="1010"/>
    <b v="0"/>
    <n v="483"/>
    <s v="GTX 1050 Ti"/>
    <x v="5"/>
    <x v="1"/>
  </r>
  <r>
    <n v="433850"/>
    <s v="Z1 Battle Royale"/>
    <d v="2018-02-28T00:00:00"/>
    <n v="1010"/>
    <b v="0"/>
    <n v="483"/>
    <s v="GTX 1050 Ti"/>
    <x v="6"/>
    <x v="0"/>
  </r>
  <r>
    <n v="1046930"/>
    <s v="Dota Underlords"/>
    <d v="2019-06-20T00:00:00"/>
    <n v="1008"/>
    <b v="1"/>
    <n v="484"/>
    <s v="Intel UHD Graphics"/>
    <x v="0"/>
    <x v="1"/>
  </r>
  <r>
    <n v="1046930"/>
    <s v="Dota Underlords"/>
    <d v="2019-06-20T00:00:00"/>
    <n v="1008"/>
    <b v="1"/>
    <n v="484"/>
    <s v="Intel UHD Graphics"/>
    <x v="1"/>
    <x v="1"/>
  </r>
  <r>
    <n v="1046930"/>
    <s v="Dota Underlords"/>
    <d v="2019-06-20T00:00:00"/>
    <n v="1008"/>
    <b v="1"/>
    <n v="484"/>
    <s v="Intel UHD Graphics"/>
    <x v="2"/>
    <x v="1"/>
  </r>
  <r>
    <n v="1046930"/>
    <s v="Dota Underlords"/>
    <d v="2019-06-20T00:00:00"/>
    <n v="1008"/>
    <b v="1"/>
    <n v="484"/>
    <s v="Intel UHD Graphics"/>
    <x v="3"/>
    <x v="1"/>
  </r>
  <r>
    <n v="1046930"/>
    <s v="Dota Underlords"/>
    <d v="2019-06-20T00:00:00"/>
    <n v="1008"/>
    <b v="1"/>
    <n v="484"/>
    <s v="Intel UHD Graphics"/>
    <x v="4"/>
    <x v="1"/>
  </r>
  <r>
    <n v="1046930"/>
    <s v="Dota Underlords"/>
    <d v="2019-06-20T00:00:00"/>
    <n v="1008"/>
    <b v="1"/>
    <n v="484"/>
    <s v="Intel UHD Graphics"/>
    <x v="5"/>
    <x v="0"/>
  </r>
  <r>
    <n v="1046930"/>
    <s v="Dota Underlords"/>
    <d v="2019-06-20T00:00:00"/>
    <n v="1008"/>
    <b v="1"/>
    <n v="484"/>
    <s v="Intel UHD Graphics"/>
    <x v="6"/>
    <x v="0"/>
  </r>
  <r>
    <n v="2420110"/>
    <s v="Horizon Forbidden West Complete Edition"/>
    <d v="2024-03-21T00:00:00"/>
    <n v="1005"/>
    <b v="0"/>
    <n v="485"/>
    <s v="RTX 3060"/>
    <x v="0"/>
    <x v="0"/>
  </r>
  <r>
    <n v="2420110"/>
    <s v="Horizon Forbidden West Complete Edition"/>
    <d v="2024-03-21T00:00:00"/>
    <n v="1005"/>
    <b v="0"/>
    <n v="485"/>
    <s v="RTX 3060"/>
    <x v="1"/>
    <x v="1"/>
  </r>
  <r>
    <n v="2420110"/>
    <s v="Horizon Forbidden West Complete Edition"/>
    <d v="2024-03-21T00:00:00"/>
    <n v="1005"/>
    <b v="0"/>
    <n v="485"/>
    <s v="RTX 3060"/>
    <x v="2"/>
    <x v="1"/>
  </r>
  <r>
    <n v="2420110"/>
    <s v="Horizon Forbidden West Complete Edition"/>
    <d v="2024-03-21T00:00:00"/>
    <n v="1005"/>
    <b v="0"/>
    <n v="485"/>
    <s v="RTX 3060"/>
    <x v="3"/>
    <x v="1"/>
  </r>
  <r>
    <n v="2420110"/>
    <s v="Horizon Forbidden West Complete Edition"/>
    <d v="2024-03-21T00:00:00"/>
    <n v="1005"/>
    <b v="0"/>
    <n v="485"/>
    <s v="RTX 3060"/>
    <x v="4"/>
    <x v="0"/>
  </r>
  <r>
    <n v="2420110"/>
    <s v="Horizon Forbidden West Complete Edition"/>
    <d v="2024-03-21T00:00:00"/>
    <n v="1005"/>
    <b v="0"/>
    <n v="485"/>
    <s v="RTX 3060"/>
    <x v="5"/>
    <x v="1"/>
  </r>
  <r>
    <n v="2420110"/>
    <s v="Horizon Forbidden West Complete Edition"/>
    <d v="2024-03-21T00:00:00"/>
    <n v="1005"/>
    <b v="0"/>
    <n v="485"/>
    <s v="RTX 3060"/>
    <x v="6"/>
    <x v="1"/>
  </r>
  <r>
    <n v="588430"/>
    <s v="Fallout Shelter"/>
    <d v="2017-03-29T00:00:00"/>
    <n v="1001"/>
    <b v="0"/>
    <n v="486"/>
    <s v="RX 560"/>
    <x v="0"/>
    <x v="1"/>
  </r>
  <r>
    <n v="588430"/>
    <s v="Fallout Shelter"/>
    <d v="2017-03-29T00:00:00"/>
    <n v="1001"/>
    <b v="0"/>
    <n v="486"/>
    <s v="RX 560"/>
    <x v="1"/>
    <x v="1"/>
  </r>
  <r>
    <n v="588430"/>
    <s v="Fallout Shelter"/>
    <d v="2017-03-29T00:00:00"/>
    <n v="1001"/>
    <b v="0"/>
    <n v="486"/>
    <s v="RX 560"/>
    <x v="2"/>
    <x v="1"/>
  </r>
  <r>
    <n v="588430"/>
    <s v="Fallout Shelter"/>
    <d v="2017-03-29T00:00:00"/>
    <n v="1001"/>
    <b v="0"/>
    <n v="486"/>
    <s v="RX 560"/>
    <x v="3"/>
    <x v="0"/>
  </r>
  <r>
    <n v="588430"/>
    <s v="Fallout Shelter"/>
    <d v="2017-03-29T00:00:00"/>
    <n v="1001"/>
    <b v="0"/>
    <n v="486"/>
    <s v="RX 560"/>
    <x v="4"/>
    <x v="0"/>
  </r>
  <r>
    <n v="588430"/>
    <s v="Fallout Shelter"/>
    <d v="2017-03-29T00:00:00"/>
    <n v="1001"/>
    <b v="0"/>
    <n v="486"/>
    <s v="RX 560"/>
    <x v="5"/>
    <x v="1"/>
  </r>
  <r>
    <n v="588430"/>
    <s v="Fallout Shelter"/>
    <d v="2017-03-29T00:00:00"/>
    <n v="1001"/>
    <b v="0"/>
    <n v="486"/>
    <s v="RX 560"/>
    <x v="6"/>
    <x v="0"/>
  </r>
  <r>
    <n v="3036010"/>
    <s v="Coin Push RPG"/>
    <d v="2025-05-22T00:00:00"/>
    <n v="999"/>
    <b v="0"/>
    <n v="487"/>
    <s v="GTX 1060"/>
    <x v="0"/>
    <x v="1"/>
  </r>
  <r>
    <n v="3036010"/>
    <s v="Coin Push RPG"/>
    <d v="2025-05-22T00:00:00"/>
    <n v="999"/>
    <b v="0"/>
    <n v="487"/>
    <s v="GTX 1060"/>
    <x v="1"/>
    <x v="0"/>
  </r>
  <r>
    <n v="3036010"/>
    <s v="Coin Push RPG"/>
    <d v="2025-05-22T00:00:00"/>
    <n v="999"/>
    <b v="0"/>
    <n v="487"/>
    <s v="GTX 1060"/>
    <x v="2"/>
    <x v="1"/>
  </r>
  <r>
    <n v="3036010"/>
    <s v="Coin Push RPG"/>
    <d v="2025-05-22T00:00:00"/>
    <n v="999"/>
    <b v="0"/>
    <n v="487"/>
    <s v="GTX 1060"/>
    <x v="3"/>
    <x v="1"/>
  </r>
  <r>
    <n v="3036010"/>
    <s v="Coin Push RPG"/>
    <d v="2025-05-22T00:00:00"/>
    <n v="999"/>
    <b v="0"/>
    <n v="487"/>
    <s v="GTX 1060"/>
    <x v="4"/>
    <x v="0"/>
  </r>
  <r>
    <n v="3036010"/>
    <s v="Coin Push RPG"/>
    <d v="2025-05-22T00:00:00"/>
    <n v="999"/>
    <b v="0"/>
    <n v="487"/>
    <s v="GTX 1060"/>
    <x v="5"/>
    <x v="0"/>
  </r>
  <r>
    <n v="3036010"/>
    <s v="Coin Push RPG"/>
    <d v="2025-05-22T00:00:00"/>
    <n v="999"/>
    <b v="0"/>
    <n v="487"/>
    <s v="GTX 1060"/>
    <x v="6"/>
    <x v="1"/>
  </r>
  <r>
    <n v="881020"/>
    <s v="Granblue Fantasy: Relink"/>
    <d v="2024-01-31T00:00:00"/>
    <n v="996"/>
    <b v="0"/>
    <n v="488"/>
    <s v="RX 6700 XT"/>
    <x v="0"/>
    <x v="0"/>
  </r>
  <r>
    <n v="881020"/>
    <s v="Granblue Fantasy: Relink"/>
    <d v="2024-01-31T00:00:00"/>
    <n v="996"/>
    <b v="0"/>
    <n v="488"/>
    <s v="RX 6700 XT"/>
    <x v="1"/>
    <x v="1"/>
  </r>
  <r>
    <n v="881020"/>
    <s v="Granblue Fantasy: Relink"/>
    <d v="2024-01-31T00:00:00"/>
    <n v="996"/>
    <b v="0"/>
    <n v="488"/>
    <s v="RX 6700 XT"/>
    <x v="2"/>
    <x v="0"/>
  </r>
  <r>
    <n v="881020"/>
    <s v="Granblue Fantasy: Relink"/>
    <d v="2024-01-31T00:00:00"/>
    <n v="996"/>
    <b v="0"/>
    <n v="488"/>
    <s v="RX 6700 XT"/>
    <x v="3"/>
    <x v="1"/>
  </r>
  <r>
    <n v="881020"/>
    <s v="Granblue Fantasy: Relink"/>
    <d v="2024-01-31T00:00:00"/>
    <n v="996"/>
    <b v="0"/>
    <n v="488"/>
    <s v="RX 6700 XT"/>
    <x v="4"/>
    <x v="0"/>
  </r>
  <r>
    <n v="881020"/>
    <s v="Granblue Fantasy: Relink"/>
    <d v="2024-01-31T00:00:00"/>
    <n v="996"/>
    <b v="0"/>
    <n v="488"/>
    <s v="RX 6700 XT"/>
    <x v="5"/>
    <x v="1"/>
  </r>
  <r>
    <n v="881020"/>
    <s v="Granblue Fantasy: Relink"/>
    <d v="2024-01-31T00:00:00"/>
    <n v="996"/>
    <b v="0"/>
    <n v="488"/>
    <s v="RX 6700 XT"/>
    <x v="6"/>
    <x v="1"/>
  </r>
  <r>
    <n v="1044720"/>
    <s v="Farthest Frontier"/>
    <d v="2025-10-23T00:00:00"/>
    <n v="995"/>
    <b v="0"/>
    <n v="489"/>
    <s v="GTX 980"/>
    <x v="0"/>
    <x v="1"/>
  </r>
  <r>
    <n v="1044720"/>
    <s v="Farthest Frontier"/>
    <d v="2025-10-23T00:00:00"/>
    <n v="995"/>
    <b v="0"/>
    <n v="489"/>
    <s v="GTX 980"/>
    <x v="1"/>
    <x v="0"/>
  </r>
  <r>
    <n v="1044720"/>
    <s v="Farthest Frontier"/>
    <d v="2025-10-23T00:00:00"/>
    <n v="995"/>
    <b v="0"/>
    <n v="489"/>
    <s v="GTX 980"/>
    <x v="2"/>
    <x v="1"/>
  </r>
  <r>
    <n v="1044720"/>
    <s v="Farthest Frontier"/>
    <d v="2025-10-23T00:00:00"/>
    <n v="995"/>
    <b v="0"/>
    <n v="489"/>
    <s v="GTX 980"/>
    <x v="3"/>
    <x v="0"/>
  </r>
  <r>
    <n v="1044720"/>
    <s v="Farthest Frontier"/>
    <d v="2025-10-23T00:00:00"/>
    <n v="995"/>
    <b v="0"/>
    <n v="489"/>
    <s v="GTX 980"/>
    <x v="4"/>
    <x v="1"/>
  </r>
  <r>
    <n v="1044720"/>
    <s v="Farthest Frontier"/>
    <d v="2025-10-23T00:00:00"/>
    <n v="995"/>
    <b v="0"/>
    <n v="489"/>
    <s v="GTX 980"/>
    <x v="5"/>
    <x v="0"/>
  </r>
  <r>
    <n v="1044720"/>
    <s v="Farthest Frontier"/>
    <d v="2025-10-23T00:00:00"/>
    <n v="995"/>
    <b v="0"/>
    <n v="489"/>
    <s v="GTX 980"/>
    <x v="6"/>
    <x v="1"/>
  </r>
  <r>
    <n v="1180380"/>
    <s v="Stay Out"/>
    <d v="2019-11-27T00:00:00"/>
    <n v="995"/>
    <b v="0"/>
    <n v="489"/>
    <s v="RX 570"/>
    <x v="0"/>
    <x v="0"/>
  </r>
  <r>
    <n v="1180380"/>
    <s v="Stay Out"/>
    <d v="2019-11-27T00:00:00"/>
    <n v="995"/>
    <b v="0"/>
    <n v="489"/>
    <s v="RX 570"/>
    <x v="1"/>
    <x v="0"/>
  </r>
  <r>
    <n v="1180380"/>
    <s v="Stay Out"/>
    <d v="2019-11-27T00:00:00"/>
    <n v="995"/>
    <b v="0"/>
    <n v="489"/>
    <s v="RX 570"/>
    <x v="2"/>
    <x v="1"/>
  </r>
  <r>
    <n v="1180380"/>
    <s v="Stay Out"/>
    <d v="2019-11-27T00:00:00"/>
    <n v="995"/>
    <b v="0"/>
    <n v="489"/>
    <s v="RX 570"/>
    <x v="3"/>
    <x v="1"/>
  </r>
  <r>
    <n v="1180380"/>
    <s v="Stay Out"/>
    <d v="2019-11-27T00:00:00"/>
    <n v="995"/>
    <b v="0"/>
    <n v="489"/>
    <s v="RX 570"/>
    <x v="4"/>
    <x v="0"/>
  </r>
  <r>
    <n v="1180380"/>
    <s v="Stay Out"/>
    <d v="2019-11-27T00:00:00"/>
    <n v="995"/>
    <b v="0"/>
    <n v="489"/>
    <s v="RX 570"/>
    <x v="5"/>
    <x v="1"/>
  </r>
  <r>
    <n v="1180380"/>
    <s v="Stay Out"/>
    <d v="2019-11-27T00:00:00"/>
    <n v="995"/>
    <b v="0"/>
    <n v="489"/>
    <s v="RX 570"/>
    <x v="6"/>
    <x v="0"/>
  </r>
  <r>
    <n v="1335200"/>
    <s v="Action Taimanin"/>
    <d v="2020-10-05T00:00:00"/>
    <n v="993"/>
    <b v="0"/>
    <n v="491"/>
    <s v="GTX 1050"/>
    <x v="0"/>
    <x v="0"/>
  </r>
  <r>
    <n v="1335200"/>
    <s v="Action Taimanin"/>
    <d v="2020-10-05T00:00:00"/>
    <n v="993"/>
    <b v="0"/>
    <n v="491"/>
    <s v="GTX 1050"/>
    <x v="1"/>
    <x v="1"/>
  </r>
  <r>
    <n v="1335200"/>
    <s v="Action Taimanin"/>
    <d v="2020-10-05T00:00:00"/>
    <n v="993"/>
    <b v="0"/>
    <n v="491"/>
    <s v="GTX 1050"/>
    <x v="2"/>
    <x v="0"/>
  </r>
  <r>
    <n v="1335200"/>
    <s v="Action Taimanin"/>
    <d v="2020-10-05T00:00:00"/>
    <n v="993"/>
    <b v="0"/>
    <n v="491"/>
    <s v="GTX 1050"/>
    <x v="3"/>
    <x v="1"/>
  </r>
  <r>
    <n v="1335200"/>
    <s v="Action Taimanin"/>
    <d v="2020-10-05T00:00:00"/>
    <n v="993"/>
    <b v="0"/>
    <n v="491"/>
    <s v="GTX 1050"/>
    <x v="4"/>
    <x v="0"/>
  </r>
  <r>
    <n v="1335200"/>
    <s v="Action Taimanin"/>
    <d v="2020-10-05T00:00:00"/>
    <n v="993"/>
    <b v="0"/>
    <n v="491"/>
    <s v="GTX 1050"/>
    <x v="5"/>
    <x v="1"/>
  </r>
  <r>
    <n v="1335200"/>
    <s v="Action Taimanin"/>
    <d v="2020-10-05T00:00:00"/>
    <n v="993"/>
    <b v="0"/>
    <n v="491"/>
    <s v="GTX 1050"/>
    <x v="6"/>
    <x v="0"/>
  </r>
  <r>
    <n v="383120"/>
    <s v="Empyrion - Galactic Survival"/>
    <d v="2020-08-05T00:00:00"/>
    <n v="990"/>
    <b v="0"/>
    <n v="492"/>
    <s v="GTX 1660 Ti"/>
    <x v="0"/>
    <x v="1"/>
  </r>
  <r>
    <n v="383120"/>
    <s v="Empyrion - Galactic Survival"/>
    <d v="2020-08-05T00:00:00"/>
    <n v="990"/>
    <b v="0"/>
    <n v="492"/>
    <s v="GTX 1660 Ti"/>
    <x v="1"/>
    <x v="0"/>
  </r>
  <r>
    <n v="383120"/>
    <s v="Empyrion - Galactic Survival"/>
    <d v="2020-08-05T00:00:00"/>
    <n v="990"/>
    <b v="0"/>
    <n v="492"/>
    <s v="GTX 1660 Ti"/>
    <x v="2"/>
    <x v="0"/>
  </r>
  <r>
    <n v="383120"/>
    <s v="Empyrion - Galactic Survival"/>
    <d v="2020-08-05T00:00:00"/>
    <n v="990"/>
    <b v="0"/>
    <n v="492"/>
    <s v="GTX 1660 Ti"/>
    <x v="3"/>
    <x v="0"/>
  </r>
  <r>
    <n v="383120"/>
    <s v="Empyrion - Galactic Survival"/>
    <d v="2020-08-05T00:00:00"/>
    <n v="990"/>
    <b v="0"/>
    <n v="492"/>
    <s v="GTX 1660 Ti"/>
    <x v="4"/>
    <x v="1"/>
  </r>
  <r>
    <n v="383120"/>
    <s v="Empyrion - Galactic Survival"/>
    <d v="2020-08-05T00:00:00"/>
    <n v="990"/>
    <b v="0"/>
    <n v="492"/>
    <s v="GTX 1660 Ti"/>
    <x v="5"/>
    <x v="0"/>
  </r>
  <r>
    <n v="383120"/>
    <s v="Empyrion - Galactic Survival"/>
    <d v="2020-08-05T00:00:00"/>
    <n v="990"/>
    <b v="0"/>
    <n v="492"/>
    <s v="GTX 1660 Ti"/>
    <x v="6"/>
    <x v="1"/>
  </r>
  <r>
    <n v="1139980"/>
    <s v="Travellers Rest"/>
    <d v="2020-07-28T00:00:00"/>
    <n v="990"/>
    <b v="0"/>
    <n v="492"/>
    <s v="Radeon Vega 11"/>
    <x v="0"/>
    <x v="1"/>
  </r>
  <r>
    <n v="1139980"/>
    <s v="Travellers Rest"/>
    <d v="2020-07-28T00:00:00"/>
    <n v="990"/>
    <b v="0"/>
    <n v="492"/>
    <s v="Radeon Vega 11"/>
    <x v="1"/>
    <x v="0"/>
  </r>
  <r>
    <n v="1139980"/>
    <s v="Travellers Rest"/>
    <d v="2020-07-28T00:00:00"/>
    <n v="990"/>
    <b v="0"/>
    <n v="492"/>
    <s v="Radeon Vega 11"/>
    <x v="2"/>
    <x v="0"/>
  </r>
  <r>
    <n v="1139980"/>
    <s v="Travellers Rest"/>
    <d v="2020-07-28T00:00:00"/>
    <n v="990"/>
    <b v="0"/>
    <n v="492"/>
    <s v="Radeon Vega 11"/>
    <x v="3"/>
    <x v="0"/>
  </r>
  <r>
    <n v="1139980"/>
    <s v="Travellers Rest"/>
    <d v="2020-07-28T00:00:00"/>
    <n v="990"/>
    <b v="0"/>
    <n v="492"/>
    <s v="Radeon Vega 11"/>
    <x v="4"/>
    <x v="0"/>
  </r>
  <r>
    <n v="1139980"/>
    <s v="Travellers Rest"/>
    <d v="2020-07-28T00:00:00"/>
    <n v="990"/>
    <b v="0"/>
    <n v="492"/>
    <s v="Radeon Vega 11"/>
    <x v="5"/>
    <x v="1"/>
  </r>
  <r>
    <n v="1139980"/>
    <s v="Travellers Rest"/>
    <d v="2020-07-28T00:00:00"/>
    <n v="990"/>
    <b v="0"/>
    <n v="492"/>
    <s v="Radeon Vega 11"/>
    <x v="6"/>
    <x v="1"/>
  </r>
  <r>
    <n v="838350"/>
    <s v="The Scroll Of Taiwu"/>
    <d v="2018-09-20T00:00:00"/>
    <n v="989"/>
    <b v="0"/>
    <n v="494"/>
    <s v="GTX 1050 Ti"/>
    <x v="0"/>
    <x v="1"/>
  </r>
  <r>
    <n v="838350"/>
    <s v="The Scroll Of Taiwu"/>
    <d v="2018-09-20T00:00:00"/>
    <n v="989"/>
    <b v="0"/>
    <n v="494"/>
    <s v="GTX 1050 Ti"/>
    <x v="1"/>
    <x v="0"/>
  </r>
  <r>
    <n v="838350"/>
    <s v="The Scroll Of Taiwu"/>
    <d v="2018-09-20T00:00:00"/>
    <n v="989"/>
    <b v="0"/>
    <n v="494"/>
    <s v="GTX 1050 Ti"/>
    <x v="2"/>
    <x v="0"/>
  </r>
  <r>
    <n v="838350"/>
    <s v="The Scroll Of Taiwu"/>
    <d v="2018-09-20T00:00:00"/>
    <n v="989"/>
    <b v="0"/>
    <n v="494"/>
    <s v="GTX 1050 Ti"/>
    <x v="3"/>
    <x v="1"/>
  </r>
  <r>
    <n v="838350"/>
    <s v="The Scroll Of Taiwu"/>
    <d v="2018-09-20T00:00:00"/>
    <n v="989"/>
    <b v="0"/>
    <n v="494"/>
    <s v="GTX 1050 Ti"/>
    <x v="4"/>
    <x v="0"/>
  </r>
  <r>
    <n v="838350"/>
    <s v="The Scroll Of Taiwu"/>
    <d v="2018-09-20T00:00:00"/>
    <n v="989"/>
    <b v="0"/>
    <n v="494"/>
    <s v="GTX 1050 Ti"/>
    <x v="5"/>
    <x v="0"/>
  </r>
  <r>
    <n v="838350"/>
    <s v="The Scroll Of Taiwu"/>
    <d v="2018-09-20T00:00:00"/>
    <n v="989"/>
    <b v="0"/>
    <n v="494"/>
    <s v="GTX 1050 Ti"/>
    <x v="6"/>
    <x v="1"/>
  </r>
  <r>
    <n v="361420"/>
    <s v="ASTRONEER"/>
    <d v="2019-02-05T00:00:00"/>
    <n v="988"/>
    <b v="0"/>
    <n v="495"/>
    <s v="GTX 970"/>
    <x v="0"/>
    <x v="1"/>
  </r>
  <r>
    <n v="361420"/>
    <s v="ASTRONEER"/>
    <d v="2019-02-05T00:00:00"/>
    <n v="988"/>
    <b v="0"/>
    <n v="495"/>
    <s v="GTX 970"/>
    <x v="1"/>
    <x v="0"/>
  </r>
  <r>
    <n v="361420"/>
    <s v="ASTRONEER"/>
    <d v="2019-02-05T00:00:00"/>
    <n v="988"/>
    <b v="0"/>
    <n v="495"/>
    <s v="GTX 970"/>
    <x v="2"/>
    <x v="0"/>
  </r>
  <r>
    <n v="361420"/>
    <s v="ASTRONEER"/>
    <d v="2019-02-05T00:00:00"/>
    <n v="988"/>
    <b v="0"/>
    <n v="495"/>
    <s v="GTX 970"/>
    <x v="3"/>
    <x v="1"/>
  </r>
  <r>
    <n v="361420"/>
    <s v="ASTRONEER"/>
    <d v="2019-02-05T00:00:00"/>
    <n v="988"/>
    <b v="0"/>
    <n v="495"/>
    <s v="GTX 970"/>
    <x v="4"/>
    <x v="1"/>
  </r>
  <r>
    <n v="361420"/>
    <s v="ASTRONEER"/>
    <d v="2019-02-05T00:00:00"/>
    <n v="988"/>
    <b v="0"/>
    <n v="495"/>
    <s v="GTX 970"/>
    <x v="5"/>
    <x v="1"/>
  </r>
  <r>
    <n v="361420"/>
    <s v="ASTRONEER"/>
    <d v="2019-02-05T00:00:00"/>
    <n v="988"/>
    <b v="0"/>
    <n v="495"/>
    <s v="GTX 970"/>
    <x v="6"/>
    <x v="1"/>
  </r>
  <r>
    <n v="2399420"/>
    <s v="Le Mans Ultimate"/>
    <d v="2025-07-22T00:00:00"/>
    <n v="984"/>
    <b v="0"/>
    <n v="496"/>
    <s v="RTX 2070"/>
    <x v="0"/>
    <x v="1"/>
  </r>
  <r>
    <n v="2399420"/>
    <s v="Le Mans Ultimate"/>
    <d v="2025-07-22T00:00:00"/>
    <n v="984"/>
    <b v="0"/>
    <n v="496"/>
    <s v="RTX 2070"/>
    <x v="1"/>
    <x v="1"/>
  </r>
  <r>
    <n v="2399420"/>
    <s v="Le Mans Ultimate"/>
    <d v="2025-07-22T00:00:00"/>
    <n v="984"/>
    <b v="0"/>
    <n v="496"/>
    <s v="RTX 2070"/>
    <x v="2"/>
    <x v="1"/>
  </r>
  <r>
    <n v="2399420"/>
    <s v="Le Mans Ultimate"/>
    <d v="2025-07-22T00:00:00"/>
    <n v="984"/>
    <b v="0"/>
    <n v="496"/>
    <s v="RTX 2070"/>
    <x v="3"/>
    <x v="0"/>
  </r>
  <r>
    <n v="2399420"/>
    <s v="Le Mans Ultimate"/>
    <d v="2025-07-22T00:00:00"/>
    <n v="984"/>
    <b v="0"/>
    <n v="496"/>
    <s v="RTX 2070"/>
    <x v="4"/>
    <x v="1"/>
  </r>
  <r>
    <n v="2399420"/>
    <s v="Le Mans Ultimate"/>
    <d v="2025-07-22T00:00:00"/>
    <n v="984"/>
    <b v="0"/>
    <n v="496"/>
    <s v="RTX 2070"/>
    <x v="5"/>
    <x v="1"/>
  </r>
  <r>
    <n v="2399420"/>
    <s v="Le Mans Ultimate"/>
    <d v="2025-07-22T00:00:00"/>
    <n v="984"/>
    <b v="0"/>
    <n v="496"/>
    <s v="RTX 2070"/>
    <x v="6"/>
    <x v="1"/>
  </r>
  <r>
    <n v="787860"/>
    <s v="Farming Simulator 19"/>
    <d v="2018-11-19T00:00:00"/>
    <n v="983"/>
    <b v="1"/>
    <n v="497"/>
    <s v="Radeon Vega 8"/>
    <x v="0"/>
    <x v="1"/>
  </r>
  <r>
    <n v="787860"/>
    <s v="Farming Simulator 19"/>
    <d v="2018-11-19T00:00:00"/>
    <n v="983"/>
    <b v="1"/>
    <n v="497"/>
    <s v="Radeon Vega 8"/>
    <x v="1"/>
    <x v="1"/>
  </r>
  <r>
    <n v="787860"/>
    <s v="Farming Simulator 19"/>
    <d v="2018-11-19T00:00:00"/>
    <n v="983"/>
    <b v="1"/>
    <n v="497"/>
    <s v="Radeon Vega 8"/>
    <x v="2"/>
    <x v="1"/>
  </r>
  <r>
    <n v="787860"/>
    <s v="Farming Simulator 19"/>
    <d v="2018-11-19T00:00:00"/>
    <n v="983"/>
    <b v="1"/>
    <n v="497"/>
    <s v="Radeon Vega 8"/>
    <x v="3"/>
    <x v="0"/>
  </r>
  <r>
    <n v="787860"/>
    <s v="Farming Simulator 19"/>
    <d v="2018-11-19T00:00:00"/>
    <n v="983"/>
    <b v="1"/>
    <n v="497"/>
    <s v="Radeon Vega 8"/>
    <x v="4"/>
    <x v="1"/>
  </r>
  <r>
    <n v="787860"/>
    <s v="Farming Simulator 19"/>
    <d v="2018-11-19T00:00:00"/>
    <n v="983"/>
    <b v="1"/>
    <n v="497"/>
    <s v="Radeon Vega 8"/>
    <x v="5"/>
    <x v="1"/>
  </r>
  <r>
    <n v="787860"/>
    <s v="Farming Simulator 19"/>
    <d v="2018-11-19T00:00:00"/>
    <n v="983"/>
    <b v="1"/>
    <n v="497"/>
    <s v="Radeon Vega 8"/>
    <x v="6"/>
    <x v="1"/>
  </r>
  <r>
    <n v="552100"/>
    <s v="Brick Rigs"/>
    <d v="2023-07-14T00:00:00"/>
    <n v="983"/>
    <b v="0"/>
    <n v="497"/>
    <s v="GTX 1050 Ti"/>
    <x v="0"/>
    <x v="1"/>
  </r>
  <r>
    <n v="552100"/>
    <s v="Brick Rigs"/>
    <d v="2023-07-14T00:00:00"/>
    <n v="983"/>
    <b v="0"/>
    <n v="497"/>
    <s v="GTX 1050 Ti"/>
    <x v="1"/>
    <x v="1"/>
  </r>
  <r>
    <n v="552100"/>
    <s v="Brick Rigs"/>
    <d v="2023-07-14T00:00:00"/>
    <n v="983"/>
    <b v="0"/>
    <n v="497"/>
    <s v="GTX 1050 Ti"/>
    <x v="2"/>
    <x v="1"/>
  </r>
  <r>
    <n v="552100"/>
    <s v="Brick Rigs"/>
    <d v="2023-07-14T00:00:00"/>
    <n v="983"/>
    <b v="0"/>
    <n v="497"/>
    <s v="GTX 1050 Ti"/>
    <x v="3"/>
    <x v="0"/>
  </r>
  <r>
    <n v="552100"/>
    <s v="Brick Rigs"/>
    <d v="2023-07-14T00:00:00"/>
    <n v="983"/>
    <b v="0"/>
    <n v="497"/>
    <s v="GTX 1050 Ti"/>
    <x v="4"/>
    <x v="1"/>
  </r>
  <r>
    <n v="552100"/>
    <s v="Brick Rigs"/>
    <d v="2023-07-14T00:00:00"/>
    <n v="983"/>
    <b v="0"/>
    <n v="497"/>
    <s v="GTX 1050 Ti"/>
    <x v="5"/>
    <x v="1"/>
  </r>
  <r>
    <n v="552100"/>
    <s v="Brick Rigs"/>
    <d v="2023-07-14T00:00:00"/>
    <n v="983"/>
    <b v="0"/>
    <n v="497"/>
    <s v="GTX 1050 Ti"/>
    <x v="6"/>
    <x v="1"/>
  </r>
  <r>
    <n v="431240"/>
    <s v="Golf With Your Friends"/>
    <d v="2020-05-19T00:00:00"/>
    <n v="979"/>
    <b v="1"/>
    <n v="499"/>
    <s v="GTX 1050 Ti"/>
    <x v="0"/>
    <x v="1"/>
  </r>
  <r>
    <n v="431240"/>
    <s v="Golf With Your Friends"/>
    <d v="2020-05-19T00:00:00"/>
    <n v="979"/>
    <b v="1"/>
    <n v="499"/>
    <s v="GTX 1050 Ti"/>
    <x v="1"/>
    <x v="0"/>
  </r>
  <r>
    <n v="431240"/>
    <s v="Golf With Your Friends"/>
    <d v="2020-05-19T00:00:00"/>
    <n v="979"/>
    <b v="1"/>
    <n v="499"/>
    <s v="GTX 1050 Ti"/>
    <x v="2"/>
    <x v="1"/>
  </r>
  <r>
    <n v="431240"/>
    <s v="Golf With Your Friends"/>
    <d v="2020-05-19T00:00:00"/>
    <n v="979"/>
    <b v="1"/>
    <n v="499"/>
    <s v="GTX 1050 Ti"/>
    <x v="3"/>
    <x v="1"/>
  </r>
  <r>
    <n v="431240"/>
    <s v="Golf With Your Friends"/>
    <d v="2020-05-19T00:00:00"/>
    <n v="979"/>
    <b v="1"/>
    <n v="499"/>
    <s v="GTX 1050 Ti"/>
    <x v="4"/>
    <x v="1"/>
  </r>
  <r>
    <n v="431240"/>
    <s v="Golf With Your Friends"/>
    <d v="2020-05-19T00:00:00"/>
    <n v="979"/>
    <b v="1"/>
    <n v="499"/>
    <s v="GTX 1050 Ti"/>
    <x v="5"/>
    <x v="1"/>
  </r>
  <r>
    <n v="431240"/>
    <s v="Golf With Your Friends"/>
    <d v="2020-05-19T00:00:00"/>
    <n v="979"/>
    <b v="1"/>
    <n v="499"/>
    <s v="GTX 1050 Ti"/>
    <x v="6"/>
    <x v="1"/>
  </r>
  <r>
    <n v="1336980"/>
    <s v="NOBUNAGA'S AMBITION: Awakening"/>
    <d v="2022-07-20T00:00:00"/>
    <n v="977"/>
    <b v="0"/>
    <n v="500"/>
    <s v="GTX 1060"/>
    <x v="0"/>
    <x v="1"/>
  </r>
  <r>
    <n v="1336980"/>
    <s v="NOBUNAGA'S AMBITION: Awakening"/>
    <d v="2022-07-20T00:00:00"/>
    <n v="977"/>
    <b v="0"/>
    <n v="500"/>
    <s v="GTX 1060"/>
    <x v="1"/>
    <x v="1"/>
  </r>
  <r>
    <n v="1336980"/>
    <s v="NOBUNAGA'S AMBITION: Awakening"/>
    <d v="2022-07-20T00:00:00"/>
    <n v="977"/>
    <b v="0"/>
    <n v="500"/>
    <s v="GTX 1060"/>
    <x v="2"/>
    <x v="1"/>
  </r>
  <r>
    <n v="1336980"/>
    <s v="NOBUNAGA'S AMBITION: Awakening"/>
    <d v="2022-07-20T00:00:00"/>
    <n v="977"/>
    <b v="0"/>
    <n v="500"/>
    <s v="GTX 1060"/>
    <x v="3"/>
    <x v="0"/>
  </r>
  <r>
    <n v="1336980"/>
    <s v="NOBUNAGA'S AMBITION: Awakening"/>
    <d v="2022-07-20T00:00:00"/>
    <n v="977"/>
    <b v="0"/>
    <n v="500"/>
    <s v="GTX 1060"/>
    <x v="4"/>
    <x v="1"/>
  </r>
  <r>
    <n v="1336980"/>
    <s v="NOBUNAGA'S AMBITION: Awakening"/>
    <d v="2022-07-20T00:00:00"/>
    <n v="977"/>
    <b v="0"/>
    <n v="500"/>
    <s v="GTX 1060"/>
    <x v="5"/>
    <x v="1"/>
  </r>
  <r>
    <n v="1336980"/>
    <s v="NOBUNAGA'S AMBITION: Awakening"/>
    <d v="2022-07-20T00:00:00"/>
    <n v="977"/>
    <b v="0"/>
    <n v="500"/>
    <s v="GTX 1060"/>
    <x v="6"/>
    <x v="1"/>
  </r>
  <r>
    <n v="1173510"/>
    <s v="XSOverlay"/>
    <d v="2020-03-03T00:00:00"/>
    <n v="975"/>
    <b v="0"/>
    <n v="501"/>
    <s v="GTX 970"/>
    <x v="0"/>
    <x v="1"/>
  </r>
  <r>
    <n v="1173510"/>
    <s v="XSOverlay"/>
    <d v="2020-03-03T00:00:00"/>
    <n v="975"/>
    <b v="0"/>
    <n v="501"/>
    <s v="GTX 970"/>
    <x v="1"/>
    <x v="1"/>
  </r>
  <r>
    <n v="1173510"/>
    <s v="XSOverlay"/>
    <d v="2020-03-03T00:00:00"/>
    <n v="975"/>
    <b v="0"/>
    <n v="501"/>
    <s v="GTX 970"/>
    <x v="2"/>
    <x v="1"/>
  </r>
  <r>
    <n v="1173510"/>
    <s v="XSOverlay"/>
    <d v="2020-03-03T00:00:00"/>
    <n v="975"/>
    <b v="0"/>
    <n v="501"/>
    <s v="GTX 970"/>
    <x v="3"/>
    <x v="1"/>
  </r>
  <r>
    <n v="1173510"/>
    <s v="XSOverlay"/>
    <d v="2020-03-03T00:00:00"/>
    <n v="975"/>
    <b v="0"/>
    <n v="501"/>
    <s v="GTX 970"/>
    <x v="4"/>
    <x v="1"/>
  </r>
  <r>
    <n v="1173510"/>
    <s v="XSOverlay"/>
    <d v="2020-03-03T00:00:00"/>
    <n v="975"/>
    <b v="0"/>
    <n v="501"/>
    <s v="GTX 970"/>
    <x v="5"/>
    <x v="1"/>
  </r>
  <r>
    <n v="1173510"/>
    <s v="XSOverlay"/>
    <d v="2020-03-03T00:00:00"/>
    <n v="975"/>
    <b v="0"/>
    <n v="501"/>
    <s v="GTX 970"/>
    <x v="6"/>
    <x v="1"/>
  </r>
  <r>
    <n v="1042550"/>
    <s v="Digimon Story Cyber Sleuth: Complete Edition"/>
    <d v="2019-10-17T00:00:00"/>
    <n v="968"/>
    <b v="0"/>
    <n v="502"/>
    <s v="RX 560"/>
    <x v="0"/>
    <x v="1"/>
  </r>
  <r>
    <n v="1042550"/>
    <s v="Digimon Story Cyber Sleuth: Complete Edition"/>
    <d v="2019-10-17T00:00:00"/>
    <n v="968"/>
    <b v="0"/>
    <n v="502"/>
    <s v="RX 560"/>
    <x v="1"/>
    <x v="1"/>
  </r>
  <r>
    <n v="1042550"/>
    <s v="Digimon Story Cyber Sleuth: Complete Edition"/>
    <d v="2019-10-17T00:00:00"/>
    <n v="968"/>
    <b v="0"/>
    <n v="502"/>
    <s v="RX 560"/>
    <x v="2"/>
    <x v="1"/>
  </r>
  <r>
    <n v="1042550"/>
    <s v="Digimon Story Cyber Sleuth: Complete Edition"/>
    <d v="2019-10-17T00:00:00"/>
    <n v="968"/>
    <b v="0"/>
    <n v="502"/>
    <s v="RX 560"/>
    <x v="3"/>
    <x v="1"/>
  </r>
  <r>
    <n v="1042550"/>
    <s v="Digimon Story Cyber Sleuth: Complete Edition"/>
    <d v="2019-10-17T00:00:00"/>
    <n v="968"/>
    <b v="0"/>
    <n v="502"/>
    <s v="RX 560"/>
    <x v="4"/>
    <x v="0"/>
  </r>
  <r>
    <n v="1042550"/>
    <s v="Digimon Story Cyber Sleuth: Complete Edition"/>
    <d v="2019-10-17T00:00:00"/>
    <n v="968"/>
    <b v="0"/>
    <n v="502"/>
    <s v="RX 560"/>
    <x v="5"/>
    <x v="1"/>
  </r>
  <r>
    <n v="1042550"/>
    <s v="Digimon Story Cyber Sleuth: Complete Edition"/>
    <d v="2019-10-17T00:00:00"/>
    <n v="968"/>
    <b v="0"/>
    <n v="502"/>
    <s v="RX 560"/>
    <x v="6"/>
    <x v="1"/>
  </r>
  <r>
    <n v="2878960"/>
    <s v="WWE 2K25"/>
    <d v="2025-03-13T00:00:00"/>
    <n v="965"/>
    <b v="0"/>
    <n v="503"/>
    <s v="GTX 1070"/>
    <x v="0"/>
    <x v="1"/>
  </r>
  <r>
    <n v="2878960"/>
    <s v="WWE 2K25"/>
    <d v="2025-03-13T00:00:00"/>
    <n v="965"/>
    <b v="0"/>
    <n v="503"/>
    <s v="GTX 1070"/>
    <x v="1"/>
    <x v="1"/>
  </r>
  <r>
    <n v="2878960"/>
    <s v="WWE 2K25"/>
    <d v="2025-03-13T00:00:00"/>
    <n v="965"/>
    <b v="0"/>
    <n v="503"/>
    <s v="GTX 1070"/>
    <x v="2"/>
    <x v="1"/>
  </r>
  <r>
    <n v="2878960"/>
    <s v="WWE 2K25"/>
    <d v="2025-03-13T00:00:00"/>
    <n v="965"/>
    <b v="0"/>
    <n v="503"/>
    <s v="GTX 1070"/>
    <x v="3"/>
    <x v="0"/>
  </r>
  <r>
    <n v="2878960"/>
    <s v="WWE 2K25"/>
    <d v="2025-03-13T00:00:00"/>
    <n v="965"/>
    <b v="0"/>
    <n v="503"/>
    <s v="GTX 1070"/>
    <x v="4"/>
    <x v="1"/>
  </r>
  <r>
    <n v="2878960"/>
    <s v="WWE 2K25"/>
    <d v="2025-03-13T00:00:00"/>
    <n v="965"/>
    <b v="0"/>
    <n v="503"/>
    <s v="GTX 1070"/>
    <x v="5"/>
    <x v="1"/>
  </r>
  <r>
    <n v="2878960"/>
    <s v="WWE 2K25"/>
    <d v="2025-03-13T00:00:00"/>
    <n v="965"/>
    <b v="0"/>
    <n v="503"/>
    <s v="GTX 1070"/>
    <x v="6"/>
    <x v="1"/>
  </r>
  <r>
    <n v="1948980"/>
    <s v="Hero's Adventure: Road to Passion"/>
    <d v="2023-11-15T00:00:00"/>
    <n v="963"/>
    <b v="0"/>
    <n v="504"/>
    <s v="GTX 1050"/>
    <x v="0"/>
    <x v="1"/>
  </r>
  <r>
    <n v="1948980"/>
    <s v="Hero's Adventure: Road to Passion"/>
    <d v="2023-11-15T00:00:00"/>
    <n v="963"/>
    <b v="0"/>
    <n v="504"/>
    <s v="GTX 1050"/>
    <x v="1"/>
    <x v="0"/>
  </r>
  <r>
    <n v="1948980"/>
    <s v="Hero's Adventure: Road to Passion"/>
    <d v="2023-11-15T00:00:00"/>
    <n v="963"/>
    <b v="0"/>
    <n v="504"/>
    <s v="GTX 1050"/>
    <x v="2"/>
    <x v="0"/>
  </r>
  <r>
    <n v="1948980"/>
    <s v="Hero's Adventure: Road to Passion"/>
    <d v="2023-11-15T00:00:00"/>
    <n v="963"/>
    <b v="0"/>
    <n v="504"/>
    <s v="GTX 1050"/>
    <x v="3"/>
    <x v="0"/>
  </r>
  <r>
    <n v="1948980"/>
    <s v="Hero's Adventure: Road to Passion"/>
    <d v="2023-11-15T00:00:00"/>
    <n v="963"/>
    <b v="0"/>
    <n v="504"/>
    <s v="GTX 1050"/>
    <x v="4"/>
    <x v="0"/>
  </r>
  <r>
    <n v="1948980"/>
    <s v="Hero's Adventure: Road to Passion"/>
    <d v="2023-11-15T00:00:00"/>
    <n v="963"/>
    <b v="0"/>
    <n v="504"/>
    <s v="GTX 1050"/>
    <x v="5"/>
    <x v="1"/>
  </r>
  <r>
    <n v="1948980"/>
    <s v="Hero's Adventure: Road to Passion"/>
    <d v="2023-11-15T00:00:00"/>
    <n v="963"/>
    <b v="0"/>
    <n v="504"/>
    <s v="GTX 1050"/>
    <x v="6"/>
    <x v="1"/>
  </r>
  <r>
    <n v="1113000"/>
    <s v="Persona 4 Golden"/>
    <d v="2020-06-13T00:00:00"/>
    <n v="962"/>
    <b v="0"/>
    <n v="505"/>
    <s v="Radeon Vega 8"/>
    <x v="0"/>
    <x v="1"/>
  </r>
  <r>
    <n v="1113000"/>
    <s v="Persona 4 Golden"/>
    <d v="2020-06-13T00:00:00"/>
    <n v="962"/>
    <b v="0"/>
    <n v="505"/>
    <s v="Radeon Vega 8"/>
    <x v="1"/>
    <x v="1"/>
  </r>
  <r>
    <n v="1113000"/>
    <s v="Persona 4 Golden"/>
    <d v="2020-06-13T00:00:00"/>
    <n v="962"/>
    <b v="0"/>
    <n v="505"/>
    <s v="Radeon Vega 8"/>
    <x v="2"/>
    <x v="1"/>
  </r>
  <r>
    <n v="1113000"/>
    <s v="Persona 4 Golden"/>
    <d v="2020-06-13T00:00:00"/>
    <n v="962"/>
    <b v="0"/>
    <n v="505"/>
    <s v="Radeon Vega 8"/>
    <x v="3"/>
    <x v="1"/>
  </r>
  <r>
    <n v="1113000"/>
    <s v="Persona 4 Golden"/>
    <d v="2020-06-13T00:00:00"/>
    <n v="962"/>
    <b v="0"/>
    <n v="505"/>
    <s v="Radeon Vega 8"/>
    <x v="4"/>
    <x v="0"/>
  </r>
  <r>
    <n v="1113000"/>
    <s v="Persona 4 Golden"/>
    <d v="2020-06-13T00:00:00"/>
    <n v="962"/>
    <b v="0"/>
    <n v="505"/>
    <s v="Radeon Vega 8"/>
    <x v="5"/>
    <x v="1"/>
  </r>
  <r>
    <n v="1113000"/>
    <s v="Persona 4 Golden"/>
    <d v="2020-06-13T00:00:00"/>
    <n v="962"/>
    <b v="0"/>
    <n v="505"/>
    <s v="Radeon Vega 8"/>
    <x v="6"/>
    <x v="1"/>
  </r>
  <r>
    <n v="1149620"/>
    <s v="Gas Station Simulator"/>
    <d v="2021-09-15T00:00:00"/>
    <n v="958"/>
    <b v="1"/>
    <n v="506"/>
    <s v="GTX 1070"/>
    <x v="0"/>
    <x v="1"/>
  </r>
  <r>
    <n v="1149620"/>
    <s v="Gas Station Simulator"/>
    <d v="2021-09-15T00:00:00"/>
    <n v="958"/>
    <b v="1"/>
    <n v="506"/>
    <s v="GTX 1070"/>
    <x v="1"/>
    <x v="0"/>
  </r>
  <r>
    <n v="1149620"/>
    <s v="Gas Station Simulator"/>
    <d v="2021-09-15T00:00:00"/>
    <n v="958"/>
    <b v="1"/>
    <n v="506"/>
    <s v="GTX 1070"/>
    <x v="2"/>
    <x v="1"/>
  </r>
  <r>
    <n v="1149620"/>
    <s v="Gas Station Simulator"/>
    <d v="2021-09-15T00:00:00"/>
    <n v="958"/>
    <b v="1"/>
    <n v="506"/>
    <s v="GTX 1070"/>
    <x v="3"/>
    <x v="0"/>
  </r>
  <r>
    <n v="1149620"/>
    <s v="Gas Station Simulator"/>
    <d v="2021-09-15T00:00:00"/>
    <n v="958"/>
    <b v="1"/>
    <n v="506"/>
    <s v="GTX 1070"/>
    <x v="4"/>
    <x v="1"/>
  </r>
  <r>
    <n v="1149620"/>
    <s v="Gas Station Simulator"/>
    <d v="2021-09-15T00:00:00"/>
    <n v="958"/>
    <b v="1"/>
    <n v="506"/>
    <s v="GTX 1070"/>
    <x v="5"/>
    <x v="1"/>
  </r>
  <r>
    <n v="1149620"/>
    <s v="Gas Station Simulator"/>
    <d v="2021-09-15T00:00:00"/>
    <n v="958"/>
    <b v="1"/>
    <n v="506"/>
    <s v="GTX 1070"/>
    <x v="6"/>
    <x v="1"/>
  </r>
  <r>
    <n v="1336490"/>
    <s v="Against the Storm"/>
    <d v="2023-12-08T00:00:00"/>
    <n v="958"/>
    <b v="0"/>
    <n v="506"/>
    <s v="GTX 970"/>
    <x v="0"/>
    <x v="1"/>
  </r>
  <r>
    <n v="1336490"/>
    <s v="Against the Storm"/>
    <d v="2023-12-08T00:00:00"/>
    <n v="958"/>
    <b v="0"/>
    <n v="506"/>
    <s v="GTX 970"/>
    <x v="1"/>
    <x v="1"/>
  </r>
  <r>
    <n v="1336490"/>
    <s v="Against the Storm"/>
    <d v="2023-12-08T00:00:00"/>
    <n v="958"/>
    <b v="0"/>
    <n v="506"/>
    <s v="GTX 970"/>
    <x v="2"/>
    <x v="1"/>
  </r>
  <r>
    <n v="1336490"/>
    <s v="Against the Storm"/>
    <d v="2023-12-08T00:00:00"/>
    <n v="958"/>
    <b v="0"/>
    <n v="506"/>
    <s v="GTX 970"/>
    <x v="3"/>
    <x v="0"/>
  </r>
  <r>
    <n v="1336490"/>
    <s v="Against the Storm"/>
    <d v="2023-12-08T00:00:00"/>
    <n v="958"/>
    <b v="0"/>
    <n v="506"/>
    <s v="GTX 970"/>
    <x v="4"/>
    <x v="1"/>
  </r>
  <r>
    <n v="1336490"/>
    <s v="Against the Storm"/>
    <d v="2023-12-08T00:00:00"/>
    <n v="958"/>
    <b v="0"/>
    <n v="506"/>
    <s v="GTX 970"/>
    <x v="5"/>
    <x v="0"/>
  </r>
  <r>
    <n v="1336490"/>
    <s v="Against the Storm"/>
    <d v="2023-12-08T00:00:00"/>
    <n v="958"/>
    <b v="0"/>
    <n v="506"/>
    <s v="GTX 970"/>
    <x v="6"/>
    <x v="1"/>
  </r>
  <r>
    <n v="2169200"/>
    <s v="Sniper Elite: Resistance"/>
    <d v="2025-01-30T00:00:00"/>
    <n v="957"/>
    <b v="0"/>
    <n v="508"/>
    <s v="RX 6600"/>
    <x v="0"/>
    <x v="0"/>
  </r>
  <r>
    <n v="2169200"/>
    <s v="Sniper Elite: Resistance"/>
    <d v="2025-01-30T00:00:00"/>
    <n v="957"/>
    <b v="0"/>
    <n v="508"/>
    <s v="RX 6600"/>
    <x v="1"/>
    <x v="1"/>
  </r>
  <r>
    <n v="2169200"/>
    <s v="Sniper Elite: Resistance"/>
    <d v="2025-01-30T00:00:00"/>
    <n v="957"/>
    <b v="0"/>
    <n v="508"/>
    <s v="RX 6600"/>
    <x v="2"/>
    <x v="0"/>
  </r>
  <r>
    <n v="2169200"/>
    <s v="Sniper Elite: Resistance"/>
    <d v="2025-01-30T00:00:00"/>
    <n v="957"/>
    <b v="0"/>
    <n v="508"/>
    <s v="RX 6600"/>
    <x v="3"/>
    <x v="1"/>
  </r>
  <r>
    <n v="2169200"/>
    <s v="Sniper Elite: Resistance"/>
    <d v="2025-01-30T00:00:00"/>
    <n v="957"/>
    <b v="0"/>
    <n v="508"/>
    <s v="RX 6600"/>
    <x v="4"/>
    <x v="1"/>
  </r>
  <r>
    <n v="2169200"/>
    <s v="Sniper Elite: Resistance"/>
    <d v="2025-01-30T00:00:00"/>
    <n v="957"/>
    <b v="0"/>
    <n v="508"/>
    <s v="RX 6600"/>
    <x v="5"/>
    <x v="1"/>
  </r>
  <r>
    <n v="2169200"/>
    <s v="Sniper Elite: Resistance"/>
    <d v="2025-01-30T00:00:00"/>
    <n v="957"/>
    <b v="0"/>
    <n v="508"/>
    <s v="RX 6600"/>
    <x v="6"/>
    <x v="1"/>
  </r>
  <r>
    <n v="477160"/>
    <s v="Human Fall Flat"/>
    <d v="2016-07-22T00:00:00"/>
    <n v="950"/>
    <b v="1"/>
    <n v="509"/>
    <s v="Radeon Vega 8"/>
    <x v="0"/>
    <x v="1"/>
  </r>
  <r>
    <n v="477160"/>
    <s v="Human Fall Flat"/>
    <d v="2016-07-22T00:00:00"/>
    <n v="950"/>
    <b v="1"/>
    <n v="509"/>
    <s v="Radeon Vega 8"/>
    <x v="1"/>
    <x v="0"/>
  </r>
  <r>
    <n v="477160"/>
    <s v="Human Fall Flat"/>
    <d v="2016-07-22T00:00:00"/>
    <n v="950"/>
    <b v="1"/>
    <n v="509"/>
    <s v="Radeon Vega 8"/>
    <x v="2"/>
    <x v="0"/>
  </r>
  <r>
    <n v="477160"/>
    <s v="Human Fall Flat"/>
    <d v="2016-07-22T00:00:00"/>
    <n v="950"/>
    <b v="1"/>
    <n v="509"/>
    <s v="Radeon Vega 8"/>
    <x v="3"/>
    <x v="0"/>
  </r>
  <r>
    <n v="477160"/>
    <s v="Human Fall Flat"/>
    <d v="2016-07-22T00:00:00"/>
    <n v="950"/>
    <b v="1"/>
    <n v="509"/>
    <s v="Radeon Vega 8"/>
    <x v="4"/>
    <x v="1"/>
  </r>
  <r>
    <n v="477160"/>
    <s v="Human Fall Flat"/>
    <d v="2016-07-22T00:00:00"/>
    <n v="950"/>
    <b v="1"/>
    <n v="509"/>
    <s v="Radeon Vega 8"/>
    <x v="5"/>
    <x v="1"/>
  </r>
  <r>
    <n v="477160"/>
    <s v="Human Fall Flat"/>
    <d v="2016-07-22T00:00:00"/>
    <n v="950"/>
    <b v="1"/>
    <n v="509"/>
    <s v="Radeon Vega 8"/>
    <x v="6"/>
    <x v="1"/>
  </r>
  <r>
    <n v="1790600"/>
    <s v="DRAGON BALL: Sparking! ZERO"/>
    <d v="2024-10-10T00:00:00"/>
    <n v="949"/>
    <b v="0"/>
    <n v="510"/>
    <s v="RTX 2060"/>
    <x v="0"/>
    <x v="0"/>
  </r>
  <r>
    <n v="1790600"/>
    <s v="DRAGON BALL: Sparking! ZERO"/>
    <d v="2024-10-10T00:00:00"/>
    <n v="949"/>
    <b v="0"/>
    <n v="510"/>
    <s v="RTX 2060"/>
    <x v="1"/>
    <x v="1"/>
  </r>
  <r>
    <n v="1790600"/>
    <s v="DRAGON BALL: Sparking! ZERO"/>
    <d v="2024-10-10T00:00:00"/>
    <n v="949"/>
    <b v="0"/>
    <n v="510"/>
    <s v="RTX 2060"/>
    <x v="2"/>
    <x v="1"/>
  </r>
  <r>
    <n v="1790600"/>
    <s v="DRAGON BALL: Sparking! ZERO"/>
    <d v="2024-10-10T00:00:00"/>
    <n v="949"/>
    <b v="0"/>
    <n v="510"/>
    <s v="RTX 2060"/>
    <x v="3"/>
    <x v="1"/>
  </r>
  <r>
    <n v="1790600"/>
    <s v="DRAGON BALL: Sparking! ZERO"/>
    <d v="2024-10-10T00:00:00"/>
    <n v="949"/>
    <b v="0"/>
    <n v="510"/>
    <s v="RTX 2060"/>
    <x v="4"/>
    <x v="1"/>
  </r>
  <r>
    <n v="1790600"/>
    <s v="DRAGON BALL: Sparking! ZERO"/>
    <d v="2024-10-10T00:00:00"/>
    <n v="949"/>
    <b v="0"/>
    <n v="510"/>
    <s v="RTX 2060"/>
    <x v="5"/>
    <x v="1"/>
  </r>
  <r>
    <n v="1790600"/>
    <s v="DRAGON BALL: Sparking! ZERO"/>
    <d v="2024-10-10T00:00:00"/>
    <n v="949"/>
    <b v="0"/>
    <n v="510"/>
    <s v="RTX 2060"/>
    <x v="6"/>
    <x v="1"/>
  </r>
  <r>
    <n v="1371980"/>
    <s v="No Rest for the Wicked"/>
    <d v="2024-04-18T00:00:00"/>
    <n v="947"/>
    <b v="0"/>
    <n v="511"/>
    <s v="RTX 2060"/>
    <x v="0"/>
    <x v="0"/>
  </r>
  <r>
    <n v="1371980"/>
    <s v="No Rest for the Wicked"/>
    <d v="2024-04-18T00:00:00"/>
    <n v="947"/>
    <b v="0"/>
    <n v="511"/>
    <s v="RTX 2060"/>
    <x v="1"/>
    <x v="1"/>
  </r>
  <r>
    <n v="1371980"/>
    <s v="No Rest for the Wicked"/>
    <d v="2024-04-18T00:00:00"/>
    <n v="947"/>
    <b v="0"/>
    <n v="511"/>
    <s v="RTX 2060"/>
    <x v="2"/>
    <x v="0"/>
  </r>
  <r>
    <n v="1371980"/>
    <s v="No Rest for the Wicked"/>
    <d v="2024-04-18T00:00:00"/>
    <n v="947"/>
    <b v="0"/>
    <n v="511"/>
    <s v="RTX 2060"/>
    <x v="3"/>
    <x v="1"/>
  </r>
  <r>
    <n v="1371980"/>
    <s v="No Rest for the Wicked"/>
    <d v="2024-04-18T00:00:00"/>
    <n v="947"/>
    <b v="0"/>
    <n v="511"/>
    <s v="RTX 2060"/>
    <x v="4"/>
    <x v="0"/>
  </r>
  <r>
    <n v="1371980"/>
    <s v="No Rest for the Wicked"/>
    <d v="2024-04-18T00:00:00"/>
    <n v="947"/>
    <b v="0"/>
    <n v="511"/>
    <s v="RTX 2060"/>
    <x v="5"/>
    <x v="1"/>
  </r>
  <r>
    <n v="1371980"/>
    <s v="No Rest for the Wicked"/>
    <d v="2024-04-18T00:00:00"/>
    <n v="947"/>
    <b v="0"/>
    <n v="511"/>
    <s v="RTX 2060"/>
    <x v="6"/>
    <x v="1"/>
  </r>
  <r>
    <n v="599140"/>
    <s v="Graveyard Keeper"/>
    <d v="2018-08-15T00:00:00"/>
    <n v="941"/>
    <b v="1"/>
    <n v="512"/>
    <s v="Radeon Vega 11"/>
    <x v="0"/>
    <x v="1"/>
  </r>
  <r>
    <n v="599140"/>
    <s v="Graveyard Keeper"/>
    <d v="2018-08-15T00:00:00"/>
    <n v="941"/>
    <b v="1"/>
    <n v="512"/>
    <s v="Radeon Vega 11"/>
    <x v="1"/>
    <x v="0"/>
  </r>
  <r>
    <n v="599140"/>
    <s v="Graveyard Keeper"/>
    <d v="2018-08-15T00:00:00"/>
    <n v="941"/>
    <b v="1"/>
    <n v="512"/>
    <s v="Radeon Vega 11"/>
    <x v="2"/>
    <x v="0"/>
  </r>
  <r>
    <n v="599140"/>
    <s v="Graveyard Keeper"/>
    <d v="2018-08-15T00:00:00"/>
    <n v="941"/>
    <b v="1"/>
    <n v="512"/>
    <s v="Radeon Vega 11"/>
    <x v="3"/>
    <x v="0"/>
  </r>
  <r>
    <n v="599140"/>
    <s v="Graveyard Keeper"/>
    <d v="2018-08-15T00:00:00"/>
    <n v="941"/>
    <b v="1"/>
    <n v="512"/>
    <s v="Radeon Vega 11"/>
    <x v="4"/>
    <x v="0"/>
  </r>
  <r>
    <n v="599140"/>
    <s v="Graveyard Keeper"/>
    <d v="2018-08-15T00:00:00"/>
    <n v="941"/>
    <b v="1"/>
    <n v="512"/>
    <s v="Radeon Vega 11"/>
    <x v="5"/>
    <x v="1"/>
  </r>
  <r>
    <n v="599140"/>
    <s v="Graveyard Keeper"/>
    <d v="2018-08-15T00:00:00"/>
    <n v="941"/>
    <b v="1"/>
    <n v="512"/>
    <s v="Radeon Vega 11"/>
    <x v="6"/>
    <x v="1"/>
  </r>
  <r>
    <n v="1210320"/>
    <s v="Potion Craft: Alchemist Simulator"/>
    <d v="2022-12-13T00:00:00"/>
    <n v="941"/>
    <b v="0"/>
    <n v="512"/>
    <s v="GTX 1050 Ti"/>
    <x v="0"/>
    <x v="1"/>
  </r>
  <r>
    <n v="1210320"/>
    <s v="Potion Craft: Alchemist Simulator"/>
    <d v="2022-12-13T00:00:00"/>
    <n v="941"/>
    <b v="0"/>
    <n v="512"/>
    <s v="GTX 1050 Ti"/>
    <x v="1"/>
    <x v="0"/>
  </r>
  <r>
    <n v="1210320"/>
    <s v="Potion Craft: Alchemist Simulator"/>
    <d v="2022-12-13T00:00:00"/>
    <n v="941"/>
    <b v="0"/>
    <n v="512"/>
    <s v="GTX 1050 Ti"/>
    <x v="2"/>
    <x v="1"/>
  </r>
  <r>
    <n v="1210320"/>
    <s v="Potion Craft: Alchemist Simulator"/>
    <d v="2022-12-13T00:00:00"/>
    <n v="941"/>
    <b v="0"/>
    <n v="512"/>
    <s v="GTX 1050 Ti"/>
    <x v="3"/>
    <x v="0"/>
  </r>
  <r>
    <n v="1210320"/>
    <s v="Potion Craft: Alchemist Simulator"/>
    <d v="2022-12-13T00:00:00"/>
    <n v="941"/>
    <b v="0"/>
    <n v="512"/>
    <s v="GTX 1050 Ti"/>
    <x v="4"/>
    <x v="1"/>
  </r>
  <r>
    <n v="1210320"/>
    <s v="Potion Craft: Alchemist Simulator"/>
    <d v="2022-12-13T00:00:00"/>
    <n v="941"/>
    <b v="0"/>
    <n v="512"/>
    <s v="GTX 1050 Ti"/>
    <x v="5"/>
    <x v="1"/>
  </r>
  <r>
    <n v="1210320"/>
    <s v="Potion Craft: Alchemist Simulator"/>
    <d v="2022-12-13T00:00:00"/>
    <n v="941"/>
    <b v="0"/>
    <n v="512"/>
    <s v="GTX 1050 Ti"/>
    <x v="6"/>
    <x v="1"/>
  </r>
  <r>
    <n v="1295510"/>
    <s v="DRAGON QUEST XI S: Echoes of an Elusive Age - Definitive Edition"/>
    <d v="2020-12-04T00:00:00"/>
    <n v="936"/>
    <b v="0"/>
    <n v="514"/>
    <s v="GTX 1050 Ti"/>
    <x v="0"/>
    <x v="1"/>
  </r>
  <r>
    <n v="1295510"/>
    <s v="DRAGON QUEST XI S: Echoes of an Elusive Age - Definitive Edition"/>
    <d v="2020-12-04T00:00:00"/>
    <n v="936"/>
    <b v="0"/>
    <n v="514"/>
    <s v="GTX 1050 Ti"/>
    <x v="1"/>
    <x v="1"/>
  </r>
  <r>
    <n v="1295510"/>
    <s v="DRAGON QUEST XI S: Echoes of an Elusive Age - Definitive Edition"/>
    <d v="2020-12-04T00:00:00"/>
    <n v="936"/>
    <b v="0"/>
    <n v="514"/>
    <s v="GTX 1050 Ti"/>
    <x v="2"/>
    <x v="0"/>
  </r>
  <r>
    <n v="1295510"/>
    <s v="DRAGON QUEST XI S: Echoes of an Elusive Age - Definitive Edition"/>
    <d v="2020-12-04T00:00:00"/>
    <n v="936"/>
    <b v="0"/>
    <n v="514"/>
    <s v="GTX 1050 Ti"/>
    <x v="3"/>
    <x v="1"/>
  </r>
  <r>
    <n v="1295510"/>
    <s v="DRAGON QUEST XI S: Echoes of an Elusive Age - Definitive Edition"/>
    <d v="2020-12-04T00:00:00"/>
    <n v="936"/>
    <b v="0"/>
    <n v="514"/>
    <s v="GTX 1050 Ti"/>
    <x v="4"/>
    <x v="0"/>
  </r>
  <r>
    <n v="1295510"/>
    <s v="DRAGON QUEST XI S: Echoes of an Elusive Age - Definitive Edition"/>
    <d v="2020-12-04T00:00:00"/>
    <n v="936"/>
    <b v="0"/>
    <n v="514"/>
    <s v="GTX 1050 Ti"/>
    <x v="5"/>
    <x v="1"/>
  </r>
  <r>
    <n v="1295510"/>
    <s v="DRAGON QUEST XI S: Echoes of an Elusive Age - Definitive Edition"/>
    <d v="2020-12-04T00:00:00"/>
    <n v="936"/>
    <b v="0"/>
    <n v="514"/>
    <s v="GTX 1050 Ti"/>
    <x v="6"/>
    <x v="1"/>
  </r>
  <r>
    <n v="34030"/>
    <s v="Total War: NAPOLEON ' Definitive Edition"/>
    <d v="2010-02-25T00:00:00"/>
    <n v="929"/>
    <b v="1"/>
    <n v="515"/>
    <s v="GTX 750"/>
    <x v="0"/>
    <x v="1"/>
  </r>
  <r>
    <n v="34030"/>
    <s v="Total War: NAPOLEON ' Definitive Edition"/>
    <d v="2010-02-25T00:00:00"/>
    <n v="929"/>
    <b v="1"/>
    <n v="515"/>
    <s v="GTX 750"/>
    <x v="1"/>
    <x v="1"/>
  </r>
  <r>
    <n v="34030"/>
    <s v="Total War: NAPOLEON ' Definitive Edition"/>
    <d v="2010-02-25T00:00:00"/>
    <n v="929"/>
    <b v="1"/>
    <n v="515"/>
    <s v="GTX 750"/>
    <x v="2"/>
    <x v="1"/>
  </r>
  <r>
    <n v="34030"/>
    <s v="Total War: NAPOLEON ' Definitive Edition"/>
    <d v="2010-02-25T00:00:00"/>
    <n v="929"/>
    <b v="1"/>
    <n v="515"/>
    <s v="GTX 750"/>
    <x v="3"/>
    <x v="1"/>
  </r>
  <r>
    <n v="34030"/>
    <s v="Total War: NAPOLEON ' Definitive Edition"/>
    <d v="2010-02-25T00:00:00"/>
    <n v="929"/>
    <b v="1"/>
    <n v="515"/>
    <s v="GTX 750"/>
    <x v="4"/>
    <x v="1"/>
  </r>
  <r>
    <n v="34030"/>
    <s v="Total War: NAPOLEON ' Definitive Edition"/>
    <d v="2010-02-25T00:00:00"/>
    <n v="929"/>
    <b v="1"/>
    <n v="515"/>
    <s v="GTX 750"/>
    <x v="5"/>
    <x v="0"/>
  </r>
  <r>
    <n v="34030"/>
    <s v="Total War: NAPOLEON ' Definitive Edition"/>
    <d v="2010-02-25T00:00:00"/>
    <n v="929"/>
    <b v="1"/>
    <n v="515"/>
    <s v="GTX 750"/>
    <x v="6"/>
    <x v="1"/>
  </r>
  <r>
    <n v="753640"/>
    <s v="Outer Wilds"/>
    <d v="2020-06-18T00:00:00"/>
    <n v="928"/>
    <b v="0"/>
    <n v="516"/>
    <s v="RX 580"/>
    <x v="0"/>
    <x v="0"/>
  </r>
  <r>
    <n v="753640"/>
    <s v="Outer Wilds"/>
    <d v="2020-06-18T00:00:00"/>
    <n v="928"/>
    <b v="0"/>
    <n v="516"/>
    <s v="RX 580"/>
    <x v="1"/>
    <x v="1"/>
  </r>
  <r>
    <n v="753640"/>
    <s v="Outer Wilds"/>
    <d v="2020-06-18T00:00:00"/>
    <n v="928"/>
    <b v="0"/>
    <n v="516"/>
    <s v="RX 580"/>
    <x v="2"/>
    <x v="0"/>
  </r>
  <r>
    <n v="753640"/>
    <s v="Outer Wilds"/>
    <d v="2020-06-18T00:00:00"/>
    <n v="928"/>
    <b v="0"/>
    <n v="516"/>
    <s v="RX 580"/>
    <x v="3"/>
    <x v="1"/>
  </r>
  <r>
    <n v="753640"/>
    <s v="Outer Wilds"/>
    <d v="2020-06-18T00:00:00"/>
    <n v="928"/>
    <b v="0"/>
    <n v="516"/>
    <s v="RX 580"/>
    <x v="4"/>
    <x v="1"/>
  </r>
  <r>
    <n v="753640"/>
    <s v="Outer Wilds"/>
    <d v="2020-06-18T00:00:00"/>
    <n v="928"/>
    <b v="0"/>
    <n v="516"/>
    <s v="RX 580"/>
    <x v="5"/>
    <x v="1"/>
  </r>
  <r>
    <n v="753640"/>
    <s v="Outer Wilds"/>
    <d v="2020-06-18T00:00:00"/>
    <n v="928"/>
    <b v="0"/>
    <n v="516"/>
    <s v="RX 580"/>
    <x v="6"/>
    <x v="1"/>
  </r>
  <r>
    <n v="2185060"/>
    <s v="Two Point Museum"/>
    <d v="2025-03-04T00:00:00"/>
    <n v="927"/>
    <b v="1"/>
    <n v="517"/>
    <s v="GTX 1070"/>
    <x v="0"/>
    <x v="1"/>
  </r>
  <r>
    <n v="2185060"/>
    <s v="Two Point Museum"/>
    <d v="2025-03-04T00:00:00"/>
    <n v="927"/>
    <b v="1"/>
    <n v="517"/>
    <s v="GTX 1070"/>
    <x v="1"/>
    <x v="0"/>
  </r>
  <r>
    <n v="2185060"/>
    <s v="Two Point Museum"/>
    <d v="2025-03-04T00:00:00"/>
    <n v="927"/>
    <b v="1"/>
    <n v="517"/>
    <s v="GTX 1070"/>
    <x v="2"/>
    <x v="1"/>
  </r>
  <r>
    <n v="2185060"/>
    <s v="Two Point Museum"/>
    <d v="2025-03-04T00:00:00"/>
    <n v="927"/>
    <b v="1"/>
    <n v="517"/>
    <s v="GTX 1070"/>
    <x v="3"/>
    <x v="0"/>
  </r>
  <r>
    <n v="2185060"/>
    <s v="Two Point Museum"/>
    <d v="2025-03-04T00:00:00"/>
    <n v="927"/>
    <b v="1"/>
    <n v="517"/>
    <s v="GTX 1070"/>
    <x v="4"/>
    <x v="1"/>
  </r>
  <r>
    <n v="2185060"/>
    <s v="Two Point Museum"/>
    <d v="2025-03-04T00:00:00"/>
    <n v="927"/>
    <b v="1"/>
    <n v="517"/>
    <s v="GTX 1070"/>
    <x v="5"/>
    <x v="0"/>
  </r>
  <r>
    <n v="2185060"/>
    <s v="Two Point Museum"/>
    <d v="2025-03-04T00:00:00"/>
    <n v="927"/>
    <b v="1"/>
    <n v="517"/>
    <s v="GTX 1070"/>
    <x v="6"/>
    <x v="1"/>
  </r>
  <r>
    <n v="983870"/>
    <s v="FOUNDRY"/>
    <d v="2024-05-02T00:00:00"/>
    <n v="925"/>
    <b v="0"/>
    <n v="518"/>
    <s v="GTX 970"/>
    <x v="0"/>
    <x v="1"/>
  </r>
  <r>
    <n v="983870"/>
    <s v="FOUNDRY"/>
    <d v="2024-05-02T00:00:00"/>
    <n v="925"/>
    <b v="0"/>
    <n v="518"/>
    <s v="GTX 970"/>
    <x v="1"/>
    <x v="0"/>
  </r>
  <r>
    <n v="983870"/>
    <s v="FOUNDRY"/>
    <d v="2024-05-02T00:00:00"/>
    <n v="925"/>
    <b v="0"/>
    <n v="518"/>
    <s v="GTX 970"/>
    <x v="2"/>
    <x v="1"/>
  </r>
  <r>
    <n v="983870"/>
    <s v="FOUNDRY"/>
    <d v="2024-05-02T00:00:00"/>
    <n v="925"/>
    <b v="0"/>
    <n v="518"/>
    <s v="GTX 970"/>
    <x v="3"/>
    <x v="0"/>
  </r>
  <r>
    <n v="983870"/>
    <s v="FOUNDRY"/>
    <d v="2024-05-02T00:00:00"/>
    <n v="925"/>
    <b v="0"/>
    <n v="518"/>
    <s v="GTX 970"/>
    <x v="4"/>
    <x v="1"/>
  </r>
  <r>
    <n v="983870"/>
    <s v="FOUNDRY"/>
    <d v="2024-05-02T00:00:00"/>
    <n v="925"/>
    <b v="0"/>
    <n v="518"/>
    <s v="GTX 970"/>
    <x v="5"/>
    <x v="0"/>
  </r>
  <r>
    <n v="983870"/>
    <s v="FOUNDRY"/>
    <d v="2024-05-02T00:00:00"/>
    <n v="925"/>
    <b v="0"/>
    <n v="518"/>
    <s v="GTX 970"/>
    <x v="6"/>
    <x v="1"/>
  </r>
  <r>
    <n v="2407270"/>
    <s v="AI LIMIT"/>
    <d v="2025-03-27T00:00:00"/>
    <n v="922"/>
    <b v="0"/>
    <n v="519"/>
    <s v="RTX 3060"/>
    <x v="0"/>
    <x v="0"/>
  </r>
  <r>
    <n v="2407270"/>
    <s v="AI LIMIT"/>
    <d v="2025-03-27T00:00:00"/>
    <n v="922"/>
    <b v="0"/>
    <n v="519"/>
    <s v="RTX 3060"/>
    <x v="1"/>
    <x v="0"/>
  </r>
  <r>
    <n v="2407270"/>
    <s v="AI LIMIT"/>
    <d v="2025-03-27T00:00:00"/>
    <n v="922"/>
    <b v="0"/>
    <n v="519"/>
    <s v="RTX 3060"/>
    <x v="2"/>
    <x v="0"/>
  </r>
  <r>
    <n v="2407270"/>
    <s v="AI LIMIT"/>
    <d v="2025-03-27T00:00:00"/>
    <n v="922"/>
    <b v="0"/>
    <n v="519"/>
    <s v="RTX 3060"/>
    <x v="3"/>
    <x v="1"/>
  </r>
  <r>
    <n v="2407270"/>
    <s v="AI LIMIT"/>
    <d v="2025-03-27T00:00:00"/>
    <n v="922"/>
    <b v="0"/>
    <n v="519"/>
    <s v="RTX 3060"/>
    <x v="4"/>
    <x v="0"/>
  </r>
  <r>
    <n v="2407270"/>
    <s v="AI LIMIT"/>
    <d v="2025-03-27T00:00:00"/>
    <n v="922"/>
    <b v="0"/>
    <n v="519"/>
    <s v="RTX 3060"/>
    <x v="5"/>
    <x v="1"/>
  </r>
  <r>
    <n v="2407270"/>
    <s v="AI LIMIT"/>
    <d v="2025-03-27T00:00:00"/>
    <n v="922"/>
    <b v="0"/>
    <n v="519"/>
    <s v="RTX 3060"/>
    <x v="6"/>
    <x v="1"/>
  </r>
  <r>
    <n v="632470"/>
    <s v="Disco Elysium - The Final Cut"/>
    <d v="2019-10-15T00:00:00"/>
    <n v="918"/>
    <b v="1"/>
    <n v="520"/>
    <s v="GTX 1060"/>
    <x v="0"/>
    <x v="1"/>
  </r>
  <r>
    <n v="632470"/>
    <s v="Disco Elysium - The Final Cut"/>
    <d v="2019-10-15T00:00:00"/>
    <n v="918"/>
    <b v="1"/>
    <n v="520"/>
    <s v="GTX 1060"/>
    <x v="1"/>
    <x v="1"/>
  </r>
  <r>
    <n v="632470"/>
    <s v="Disco Elysium - The Final Cut"/>
    <d v="2019-10-15T00:00:00"/>
    <n v="918"/>
    <b v="1"/>
    <n v="520"/>
    <s v="GTX 1060"/>
    <x v="2"/>
    <x v="1"/>
  </r>
  <r>
    <n v="632470"/>
    <s v="Disco Elysium - The Final Cut"/>
    <d v="2019-10-15T00:00:00"/>
    <n v="918"/>
    <b v="1"/>
    <n v="520"/>
    <s v="GTX 1060"/>
    <x v="3"/>
    <x v="1"/>
  </r>
  <r>
    <n v="632470"/>
    <s v="Disco Elysium - The Final Cut"/>
    <d v="2019-10-15T00:00:00"/>
    <n v="918"/>
    <b v="1"/>
    <n v="520"/>
    <s v="GTX 1060"/>
    <x v="4"/>
    <x v="0"/>
  </r>
  <r>
    <n v="632470"/>
    <s v="Disco Elysium - The Final Cut"/>
    <d v="2019-10-15T00:00:00"/>
    <n v="918"/>
    <b v="1"/>
    <n v="520"/>
    <s v="GTX 1060"/>
    <x v="5"/>
    <x v="1"/>
  </r>
  <r>
    <n v="632470"/>
    <s v="Disco Elysium - The Final Cut"/>
    <d v="2019-10-15T00:00:00"/>
    <n v="918"/>
    <b v="1"/>
    <n v="520"/>
    <s v="GTX 1060"/>
    <x v="6"/>
    <x v="1"/>
  </r>
  <r>
    <n v="975370"/>
    <s v="Dwarf Fortress"/>
    <d v="2022-12-06T00:00:00"/>
    <n v="915"/>
    <b v="0"/>
    <n v="521"/>
    <s v="Intel UHD Graphics"/>
    <x v="0"/>
    <x v="1"/>
  </r>
  <r>
    <n v="975370"/>
    <s v="Dwarf Fortress"/>
    <d v="2022-12-06T00:00:00"/>
    <n v="915"/>
    <b v="0"/>
    <n v="521"/>
    <s v="Intel UHD Graphics"/>
    <x v="1"/>
    <x v="0"/>
  </r>
  <r>
    <n v="975370"/>
    <s v="Dwarf Fortress"/>
    <d v="2022-12-06T00:00:00"/>
    <n v="915"/>
    <b v="0"/>
    <n v="521"/>
    <s v="Intel UHD Graphics"/>
    <x v="2"/>
    <x v="1"/>
  </r>
  <r>
    <n v="975370"/>
    <s v="Dwarf Fortress"/>
    <d v="2022-12-06T00:00:00"/>
    <n v="915"/>
    <b v="0"/>
    <n v="521"/>
    <s v="Intel UHD Graphics"/>
    <x v="3"/>
    <x v="0"/>
  </r>
  <r>
    <n v="975370"/>
    <s v="Dwarf Fortress"/>
    <d v="2022-12-06T00:00:00"/>
    <n v="915"/>
    <b v="0"/>
    <n v="521"/>
    <s v="Intel UHD Graphics"/>
    <x v="4"/>
    <x v="1"/>
  </r>
  <r>
    <n v="975370"/>
    <s v="Dwarf Fortress"/>
    <d v="2022-12-06T00:00:00"/>
    <n v="915"/>
    <b v="0"/>
    <n v="521"/>
    <s v="Intel UHD Graphics"/>
    <x v="5"/>
    <x v="0"/>
  </r>
  <r>
    <n v="975370"/>
    <s v="Dwarf Fortress"/>
    <d v="2022-12-06T00:00:00"/>
    <n v="915"/>
    <b v="0"/>
    <n v="521"/>
    <s v="Intel UHD Graphics"/>
    <x v="6"/>
    <x v="1"/>
  </r>
  <r>
    <n v="1397920"/>
    <s v="Mr.Mine"/>
    <d v="2020-09-30T00:00:00"/>
    <n v="914"/>
    <b v="1"/>
    <n v="522"/>
    <s v="Radeon Vega 11"/>
    <x v="0"/>
    <x v="1"/>
  </r>
  <r>
    <n v="1397920"/>
    <s v="Mr.Mine"/>
    <d v="2020-09-30T00:00:00"/>
    <n v="914"/>
    <b v="1"/>
    <n v="522"/>
    <s v="Radeon Vega 11"/>
    <x v="1"/>
    <x v="0"/>
  </r>
  <r>
    <n v="1397920"/>
    <s v="Mr.Mine"/>
    <d v="2020-09-30T00:00:00"/>
    <n v="914"/>
    <b v="1"/>
    <n v="522"/>
    <s v="Radeon Vega 11"/>
    <x v="2"/>
    <x v="0"/>
  </r>
  <r>
    <n v="1397920"/>
    <s v="Mr.Mine"/>
    <d v="2020-09-30T00:00:00"/>
    <n v="914"/>
    <b v="1"/>
    <n v="522"/>
    <s v="Radeon Vega 11"/>
    <x v="3"/>
    <x v="0"/>
  </r>
  <r>
    <n v="1397920"/>
    <s v="Mr.Mine"/>
    <d v="2020-09-30T00:00:00"/>
    <n v="914"/>
    <b v="1"/>
    <n v="522"/>
    <s v="Radeon Vega 11"/>
    <x v="4"/>
    <x v="0"/>
  </r>
  <r>
    <n v="1397920"/>
    <s v="Mr.Mine"/>
    <d v="2020-09-30T00:00:00"/>
    <n v="914"/>
    <b v="1"/>
    <n v="522"/>
    <s v="Radeon Vega 11"/>
    <x v="5"/>
    <x v="0"/>
  </r>
  <r>
    <n v="1397920"/>
    <s v="Mr.Mine"/>
    <d v="2020-09-30T00:00:00"/>
    <n v="914"/>
    <b v="1"/>
    <n v="522"/>
    <s v="Radeon Vega 11"/>
    <x v="6"/>
    <x v="0"/>
  </r>
  <r>
    <n v="2344320"/>
    <s v="Eldegarde"/>
    <d v="2025-02-12T00:00:00"/>
    <n v="913"/>
    <b v="0"/>
    <n v="523"/>
    <s v="RTX 3070"/>
    <x v="0"/>
    <x v="0"/>
  </r>
  <r>
    <n v="2344320"/>
    <s v="Eldegarde"/>
    <d v="2025-02-12T00:00:00"/>
    <n v="913"/>
    <b v="0"/>
    <n v="523"/>
    <s v="RTX 3070"/>
    <x v="1"/>
    <x v="1"/>
  </r>
  <r>
    <n v="2344320"/>
    <s v="Eldegarde"/>
    <d v="2025-02-12T00:00:00"/>
    <n v="913"/>
    <b v="0"/>
    <n v="523"/>
    <s v="RTX 3070"/>
    <x v="2"/>
    <x v="1"/>
  </r>
  <r>
    <n v="2344320"/>
    <s v="Eldegarde"/>
    <d v="2025-02-12T00:00:00"/>
    <n v="913"/>
    <b v="0"/>
    <n v="523"/>
    <s v="RTX 3070"/>
    <x v="3"/>
    <x v="1"/>
  </r>
  <r>
    <n v="2344320"/>
    <s v="Eldegarde"/>
    <d v="2025-02-12T00:00:00"/>
    <n v="913"/>
    <b v="0"/>
    <n v="523"/>
    <s v="RTX 3070"/>
    <x v="4"/>
    <x v="0"/>
  </r>
  <r>
    <n v="2344320"/>
    <s v="Eldegarde"/>
    <d v="2025-02-12T00:00:00"/>
    <n v="913"/>
    <b v="0"/>
    <n v="523"/>
    <s v="RTX 3070"/>
    <x v="5"/>
    <x v="1"/>
  </r>
  <r>
    <n v="2344320"/>
    <s v="Eldegarde"/>
    <d v="2025-02-12T00:00:00"/>
    <n v="913"/>
    <b v="0"/>
    <n v="523"/>
    <s v="RTX 3070"/>
    <x v="6"/>
    <x v="1"/>
  </r>
  <r>
    <n v="670290"/>
    <s v="Real Pool 3D - Poolians"/>
    <d v="2018-01-04T00:00:00"/>
    <n v="911"/>
    <b v="0"/>
    <n v="524"/>
    <s v="Radeon Vega 8"/>
    <x v="0"/>
    <x v="0"/>
  </r>
  <r>
    <n v="670290"/>
    <s v="Real Pool 3D - Poolians"/>
    <d v="2018-01-04T00:00:00"/>
    <n v="911"/>
    <b v="0"/>
    <n v="524"/>
    <s v="Radeon Vega 8"/>
    <x v="1"/>
    <x v="0"/>
  </r>
  <r>
    <n v="670290"/>
    <s v="Real Pool 3D - Poolians"/>
    <d v="2018-01-04T00:00:00"/>
    <n v="911"/>
    <b v="0"/>
    <n v="524"/>
    <s v="Radeon Vega 8"/>
    <x v="2"/>
    <x v="1"/>
  </r>
  <r>
    <n v="670290"/>
    <s v="Real Pool 3D - Poolians"/>
    <d v="2018-01-04T00:00:00"/>
    <n v="911"/>
    <b v="0"/>
    <n v="524"/>
    <s v="Radeon Vega 8"/>
    <x v="3"/>
    <x v="0"/>
  </r>
  <r>
    <n v="670290"/>
    <s v="Real Pool 3D - Poolians"/>
    <d v="2018-01-04T00:00:00"/>
    <n v="911"/>
    <b v="0"/>
    <n v="524"/>
    <s v="Radeon Vega 8"/>
    <x v="4"/>
    <x v="1"/>
  </r>
  <r>
    <n v="670290"/>
    <s v="Real Pool 3D - Poolians"/>
    <d v="2018-01-04T00:00:00"/>
    <n v="911"/>
    <b v="0"/>
    <n v="524"/>
    <s v="Radeon Vega 8"/>
    <x v="5"/>
    <x v="0"/>
  </r>
  <r>
    <n v="670290"/>
    <s v="Real Pool 3D - Poolians"/>
    <d v="2018-01-04T00:00:00"/>
    <n v="911"/>
    <b v="0"/>
    <n v="524"/>
    <s v="Radeon Vega 8"/>
    <x v="6"/>
    <x v="0"/>
  </r>
  <r>
    <n v="3416070"/>
    <s v="Ropuka's Idle Island"/>
    <d v="2025-01-29T00:00:00"/>
    <n v="911"/>
    <b v="0"/>
    <n v="524"/>
    <s v="Radeon Vega 11"/>
    <x v="0"/>
    <x v="1"/>
  </r>
  <r>
    <n v="3416070"/>
    <s v="Ropuka's Idle Island"/>
    <d v="2025-01-29T00:00:00"/>
    <n v="911"/>
    <b v="0"/>
    <n v="524"/>
    <s v="Radeon Vega 11"/>
    <x v="1"/>
    <x v="0"/>
  </r>
  <r>
    <n v="3416070"/>
    <s v="Ropuka's Idle Island"/>
    <d v="2025-01-29T00:00:00"/>
    <n v="911"/>
    <b v="0"/>
    <n v="524"/>
    <s v="Radeon Vega 11"/>
    <x v="2"/>
    <x v="1"/>
  </r>
  <r>
    <n v="3416070"/>
    <s v="Ropuka's Idle Island"/>
    <d v="2025-01-29T00:00:00"/>
    <n v="911"/>
    <b v="0"/>
    <n v="524"/>
    <s v="Radeon Vega 11"/>
    <x v="3"/>
    <x v="0"/>
  </r>
  <r>
    <n v="3416070"/>
    <s v="Ropuka's Idle Island"/>
    <d v="2025-01-29T00:00:00"/>
    <n v="911"/>
    <b v="0"/>
    <n v="524"/>
    <s v="Radeon Vega 11"/>
    <x v="4"/>
    <x v="1"/>
  </r>
  <r>
    <n v="3416070"/>
    <s v="Ropuka's Idle Island"/>
    <d v="2025-01-29T00:00:00"/>
    <n v="911"/>
    <b v="0"/>
    <n v="524"/>
    <s v="Radeon Vega 11"/>
    <x v="5"/>
    <x v="1"/>
  </r>
  <r>
    <n v="3416070"/>
    <s v="Ropuka's Idle Island"/>
    <d v="2025-01-29T00:00:00"/>
    <n v="911"/>
    <b v="0"/>
    <n v="524"/>
    <s v="Radeon Vega 11"/>
    <x v="6"/>
    <x v="1"/>
  </r>
  <r>
    <n v="387990"/>
    <s v="Scrap Mechanic"/>
    <d v="2016-01-19T00:00:00"/>
    <n v="909"/>
    <b v="0"/>
    <n v="526"/>
    <s v="RTX 3060"/>
    <x v="0"/>
    <x v="0"/>
  </r>
  <r>
    <n v="387990"/>
    <s v="Scrap Mechanic"/>
    <d v="2016-01-19T00:00:00"/>
    <n v="909"/>
    <b v="0"/>
    <n v="526"/>
    <s v="RTX 3060"/>
    <x v="1"/>
    <x v="0"/>
  </r>
  <r>
    <n v="387990"/>
    <s v="Scrap Mechanic"/>
    <d v="2016-01-19T00:00:00"/>
    <n v="909"/>
    <b v="0"/>
    <n v="526"/>
    <s v="RTX 3060"/>
    <x v="2"/>
    <x v="0"/>
  </r>
  <r>
    <n v="387990"/>
    <s v="Scrap Mechanic"/>
    <d v="2016-01-19T00:00:00"/>
    <n v="909"/>
    <b v="0"/>
    <n v="526"/>
    <s v="RTX 3060"/>
    <x v="3"/>
    <x v="0"/>
  </r>
  <r>
    <n v="387990"/>
    <s v="Scrap Mechanic"/>
    <d v="2016-01-19T00:00:00"/>
    <n v="909"/>
    <b v="0"/>
    <n v="526"/>
    <s v="RTX 3060"/>
    <x v="4"/>
    <x v="1"/>
  </r>
  <r>
    <n v="387990"/>
    <s v="Scrap Mechanic"/>
    <d v="2016-01-19T00:00:00"/>
    <n v="909"/>
    <b v="0"/>
    <n v="526"/>
    <s v="RTX 3060"/>
    <x v="5"/>
    <x v="1"/>
  </r>
  <r>
    <n v="387990"/>
    <s v="Scrap Mechanic"/>
    <d v="2016-01-19T00:00:00"/>
    <n v="909"/>
    <b v="0"/>
    <n v="526"/>
    <s v="RTX 3060"/>
    <x v="6"/>
    <x v="1"/>
  </r>
  <r>
    <n v="362890"/>
    <s v="Black Mesa"/>
    <d v="2020-03-06T00:00:00"/>
    <n v="907"/>
    <b v="0"/>
    <n v="527"/>
    <s v="GTX 970"/>
    <x v="0"/>
    <x v="0"/>
  </r>
  <r>
    <n v="362890"/>
    <s v="Black Mesa"/>
    <d v="2020-03-06T00:00:00"/>
    <n v="907"/>
    <b v="0"/>
    <n v="527"/>
    <s v="GTX 970"/>
    <x v="1"/>
    <x v="0"/>
  </r>
  <r>
    <n v="362890"/>
    <s v="Black Mesa"/>
    <d v="2020-03-06T00:00:00"/>
    <n v="907"/>
    <b v="0"/>
    <n v="527"/>
    <s v="GTX 970"/>
    <x v="2"/>
    <x v="0"/>
  </r>
  <r>
    <n v="362890"/>
    <s v="Black Mesa"/>
    <d v="2020-03-06T00:00:00"/>
    <n v="907"/>
    <b v="0"/>
    <n v="527"/>
    <s v="GTX 970"/>
    <x v="3"/>
    <x v="1"/>
  </r>
  <r>
    <n v="362890"/>
    <s v="Black Mesa"/>
    <d v="2020-03-06T00:00:00"/>
    <n v="907"/>
    <b v="0"/>
    <n v="527"/>
    <s v="GTX 970"/>
    <x v="4"/>
    <x v="1"/>
  </r>
  <r>
    <n v="362890"/>
    <s v="Black Mesa"/>
    <d v="2020-03-06T00:00:00"/>
    <n v="907"/>
    <b v="0"/>
    <n v="527"/>
    <s v="GTX 970"/>
    <x v="5"/>
    <x v="1"/>
  </r>
  <r>
    <n v="362890"/>
    <s v="Black Mesa"/>
    <d v="2020-03-06T00:00:00"/>
    <n v="907"/>
    <b v="0"/>
    <n v="527"/>
    <s v="GTX 970"/>
    <x v="6"/>
    <x v="1"/>
  </r>
  <r>
    <n v="585420"/>
    <s v="Trailmakers"/>
    <d v="2019-09-18T00:00:00"/>
    <n v="903"/>
    <b v="0"/>
    <n v="528"/>
    <s v="GTX 1080"/>
    <x v="0"/>
    <x v="0"/>
  </r>
  <r>
    <n v="585420"/>
    <s v="Trailmakers"/>
    <d v="2019-09-18T00:00:00"/>
    <n v="903"/>
    <b v="0"/>
    <n v="528"/>
    <s v="GTX 1080"/>
    <x v="1"/>
    <x v="0"/>
  </r>
  <r>
    <n v="585420"/>
    <s v="Trailmakers"/>
    <d v="2019-09-18T00:00:00"/>
    <n v="903"/>
    <b v="0"/>
    <n v="528"/>
    <s v="GTX 1080"/>
    <x v="2"/>
    <x v="0"/>
  </r>
  <r>
    <n v="585420"/>
    <s v="Trailmakers"/>
    <d v="2019-09-18T00:00:00"/>
    <n v="903"/>
    <b v="0"/>
    <n v="528"/>
    <s v="GTX 1080"/>
    <x v="3"/>
    <x v="0"/>
  </r>
  <r>
    <n v="585420"/>
    <s v="Trailmakers"/>
    <d v="2019-09-18T00:00:00"/>
    <n v="903"/>
    <b v="0"/>
    <n v="528"/>
    <s v="GTX 1080"/>
    <x v="4"/>
    <x v="1"/>
  </r>
  <r>
    <n v="585420"/>
    <s v="Trailmakers"/>
    <d v="2019-09-18T00:00:00"/>
    <n v="903"/>
    <b v="0"/>
    <n v="528"/>
    <s v="GTX 1080"/>
    <x v="5"/>
    <x v="1"/>
  </r>
  <r>
    <n v="585420"/>
    <s v="Trailmakers"/>
    <d v="2019-09-18T00:00:00"/>
    <n v="903"/>
    <b v="0"/>
    <n v="528"/>
    <s v="GTX 1080"/>
    <x v="6"/>
    <x v="1"/>
  </r>
  <r>
    <n v="211820"/>
    <s v="Starbound"/>
    <d v="2016-07-22T00:00:00"/>
    <n v="894"/>
    <b v="1"/>
    <n v="529"/>
    <s v="Radeon Vega 8"/>
    <x v="0"/>
    <x v="0"/>
  </r>
  <r>
    <n v="211820"/>
    <s v="Starbound"/>
    <d v="2016-07-22T00:00:00"/>
    <n v="894"/>
    <b v="1"/>
    <n v="529"/>
    <s v="Radeon Vega 8"/>
    <x v="1"/>
    <x v="0"/>
  </r>
  <r>
    <n v="211820"/>
    <s v="Starbound"/>
    <d v="2016-07-22T00:00:00"/>
    <n v="894"/>
    <b v="1"/>
    <n v="529"/>
    <s v="Radeon Vega 8"/>
    <x v="2"/>
    <x v="0"/>
  </r>
  <r>
    <n v="211820"/>
    <s v="Starbound"/>
    <d v="2016-07-22T00:00:00"/>
    <n v="894"/>
    <b v="1"/>
    <n v="529"/>
    <s v="Radeon Vega 8"/>
    <x v="3"/>
    <x v="1"/>
  </r>
  <r>
    <n v="211820"/>
    <s v="Starbound"/>
    <d v="2016-07-22T00:00:00"/>
    <n v="894"/>
    <b v="1"/>
    <n v="529"/>
    <s v="Radeon Vega 8"/>
    <x v="4"/>
    <x v="0"/>
  </r>
  <r>
    <n v="211820"/>
    <s v="Starbound"/>
    <d v="2016-07-22T00:00:00"/>
    <n v="894"/>
    <b v="1"/>
    <n v="529"/>
    <s v="Radeon Vega 8"/>
    <x v="5"/>
    <x v="1"/>
  </r>
  <r>
    <n v="211820"/>
    <s v="Starbound"/>
    <d v="2016-07-22T00:00:00"/>
    <n v="894"/>
    <b v="1"/>
    <n v="529"/>
    <s v="Radeon Vega 8"/>
    <x v="6"/>
    <x v="1"/>
  </r>
  <r>
    <n v="459820"/>
    <s v="Crush Crush"/>
    <d v="2016-10-18T00:00:00"/>
    <n v="892"/>
    <b v="1"/>
    <n v="530"/>
    <s v="Radeon Graphics"/>
    <x v="0"/>
    <x v="1"/>
  </r>
  <r>
    <n v="459820"/>
    <s v="Crush Crush"/>
    <d v="2016-10-18T00:00:00"/>
    <n v="892"/>
    <b v="1"/>
    <n v="530"/>
    <s v="Radeon Graphics"/>
    <x v="1"/>
    <x v="0"/>
  </r>
  <r>
    <n v="459820"/>
    <s v="Crush Crush"/>
    <d v="2016-10-18T00:00:00"/>
    <n v="892"/>
    <b v="1"/>
    <n v="530"/>
    <s v="Radeon Graphics"/>
    <x v="2"/>
    <x v="1"/>
  </r>
  <r>
    <n v="459820"/>
    <s v="Crush Crush"/>
    <d v="2016-10-18T00:00:00"/>
    <n v="892"/>
    <b v="1"/>
    <n v="530"/>
    <s v="Radeon Graphics"/>
    <x v="3"/>
    <x v="1"/>
  </r>
  <r>
    <n v="459820"/>
    <s v="Crush Crush"/>
    <d v="2016-10-18T00:00:00"/>
    <n v="892"/>
    <b v="1"/>
    <n v="530"/>
    <s v="Radeon Graphics"/>
    <x v="4"/>
    <x v="1"/>
  </r>
  <r>
    <n v="459820"/>
    <s v="Crush Crush"/>
    <d v="2016-10-18T00:00:00"/>
    <n v="892"/>
    <b v="1"/>
    <n v="530"/>
    <s v="Radeon Graphics"/>
    <x v="5"/>
    <x v="1"/>
  </r>
  <r>
    <n v="459820"/>
    <s v="Crush Crush"/>
    <d v="2016-10-18T00:00:00"/>
    <n v="892"/>
    <b v="1"/>
    <n v="530"/>
    <s v="Radeon Graphics"/>
    <x v="6"/>
    <x v="0"/>
  </r>
  <r>
    <n v="2552430"/>
    <s v="KINGDOM HEARTS -HD 1.5+2.5 ReMIX-"/>
    <d v="2024-06-13T00:00:00"/>
    <n v="886"/>
    <b v="0"/>
    <n v="531"/>
    <s v="GTX 750"/>
    <x v="0"/>
    <x v="0"/>
  </r>
  <r>
    <n v="2552430"/>
    <s v="KINGDOM HEARTS -HD 1.5+2.5 ReMIX-"/>
    <d v="2024-06-13T00:00:00"/>
    <n v="886"/>
    <b v="0"/>
    <n v="531"/>
    <s v="GTX 750"/>
    <x v="1"/>
    <x v="1"/>
  </r>
  <r>
    <n v="2552430"/>
    <s v="KINGDOM HEARTS -HD 1.5+2.5 ReMIX-"/>
    <d v="2024-06-13T00:00:00"/>
    <n v="886"/>
    <b v="0"/>
    <n v="531"/>
    <s v="GTX 750"/>
    <x v="2"/>
    <x v="0"/>
  </r>
  <r>
    <n v="2552430"/>
    <s v="KINGDOM HEARTS -HD 1.5+2.5 ReMIX-"/>
    <d v="2024-06-13T00:00:00"/>
    <n v="886"/>
    <b v="0"/>
    <n v="531"/>
    <s v="GTX 750"/>
    <x v="3"/>
    <x v="1"/>
  </r>
  <r>
    <n v="2552430"/>
    <s v="KINGDOM HEARTS -HD 1.5+2.5 ReMIX-"/>
    <d v="2024-06-13T00:00:00"/>
    <n v="886"/>
    <b v="0"/>
    <n v="531"/>
    <s v="GTX 750"/>
    <x v="4"/>
    <x v="0"/>
  </r>
  <r>
    <n v="2552430"/>
    <s v="KINGDOM HEARTS -HD 1.5+2.5 ReMIX-"/>
    <d v="2024-06-13T00:00:00"/>
    <n v="886"/>
    <b v="0"/>
    <n v="531"/>
    <s v="GTX 750"/>
    <x v="5"/>
    <x v="1"/>
  </r>
  <r>
    <n v="2552430"/>
    <s v="KINGDOM HEARTS -HD 1.5+2.5 ReMIX-"/>
    <d v="2024-06-13T00:00:00"/>
    <n v="886"/>
    <b v="0"/>
    <n v="531"/>
    <s v="GTX 750"/>
    <x v="6"/>
    <x v="1"/>
  </r>
  <r>
    <n v="3107230"/>
    <s v="Pantheon: Rise of the Fallen"/>
    <d v="2024-12-13T00:00:00"/>
    <n v="876"/>
    <b v="0"/>
    <n v="532"/>
    <s v="RTX 2060"/>
    <x v="0"/>
    <x v="1"/>
  </r>
  <r>
    <n v="3107230"/>
    <s v="Pantheon: Rise of the Fallen"/>
    <d v="2024-12-13T00:00:00"/>
    <n v="876"/>
    <b v="0"/>
    <n v="532"/>
    <s v="RTX 2060"/>
    <x v="1"/>
    <x v="0"/>
  </r>
  <r>
    <n v="3107230"/>
    <s v="Pantheon: Rise of the Fallen"/>
    <d v="2024-12-13T00:00:00"/>
    <n v="876"/>
    <b v="0"/>
    <n v="532"/>
    <s v="RTX 2060"/>
    <x v="2"/>
    <x v="0"/>
  </r>
  <r>
    <n v="3107230"/>
    <s v="Pantheon: Rise of the Fallen"/>
    <d v="2024-12-13T00:00:00"/>
    <n v="876"/>
    <b v="0"/>
    <n v="532"/>
    <s v="RTX 2060"/>
    <x v="3"/>
    <x v="1"/>
  </r>
  <r>
    <n v="3107230"/>
    <s v="Pantheon: Rise of the Fallen"/>
    <d v="2024-12-13T00:00:00"/>
    <n v="876"/>
    <b v="0"/>
    <n v="532"/>
    <s v="RTX 2060"/>
    <x v="4"/>
    <x v="0"/>
  </r>
  <r>
    <n v="3107230"/>
    <s v="Pantheon: Rise of the Fallen"/>
    <d v="2024-12-13T00:00:00"/>
    <n v="876"/>
    <b v="0"/>
    <n v="532"/>
    <s v="RTX 2060"/>
    <x v="5"/>
    <x v="1"/>
  </r>
  <r>
    <n v="3107230"/>
    <s v="Pantheon: Rise of the Fallen"/>
    <d v="2024-12-13T00:00:00"/>
    <n v="876"/>
    <b v="0"/>
    <n v="532"/>
    <s v="RTX 2060"/>
    <x v="6"/>
    <x v="1"/>
  </r>
  <r>
    <n v="1611600"/>
    <s v="WARNO"/>
    <d v="2024-05-23T00:00:00"/>
    <n v="873"/>
    <b v="0"/>
    <n v="533"/>
    <s v="GTX 1060"/>
    <x v="0"/>
    <x v="0"/>
  </r>
  <r>
    <n v="1611600"/>
    <s v="WARNO"/>
    <d v="2024-05-23T00:00:00"/>
    <n v="873"/>
    <b v="0"/>
    <n v="533"/>
    <s v="GTX 1060"/>
    <x v="1"/>
    <x v="0"/>
  </r>
  <r>
    <n v="1611600"/>
    <s v="WARNO"/>
    <d v="2024-05-23T00:00:00"/>
    <n v="873"/>
    <b v="0"/>
    <n v="533"/>
    <s v="GTX 1060"/>
    <x v="2"/>
    <x v="1"/>
  </r>
  <r>
    <n v="1611600"/>
    <s v="WARNO"/>
    <d v="2024-05-23T00:00:00"/>
    <n v="873"/>
    <b v="0"/>
    <n v="533"/>
    <s v="GTX 1060"/>
    <x v="3"/>
    <x v="0"/>
  </r>
  <r>
    <n v="1611600"/>
    <s v="WARNO"/>
    <d v="2024-05-23T00:00:00"/>
    <n v="873"/>
    <b v="0"/>
    <n v="533"/>
    <s v="GTX 1060"/>
    <x v="4"/>
    <x v="1"/>
  </r>
  <r>
    <n v="1611600"/>
    <s v="WARNO"/>
    <d v="2024-05-23T00:00:00"/>
    <n v="873"/>
    <b v="0"/>
    <n v="533"/>
    <s v="GTX 1060"/>
    <x v="5"/>
    <x v="0"/>
  </r>
  <r>
    <n v="1611600"/>
    <s v="WARNO"/>
    <d v="2024-05-23T00:00:00"/>
    <n v="873"/>
    <b v="0"/>
    <n v="533"/>
    <s v="GTX 1060"/>
    <x v="6"/>
    <x v="1"/>
  </r>
  <r>
    <n v="646910"/>
    <s v="The Crew 2"/>
    <d v="2018-06-28T00:00:00"/>
    <n v="873"/>
    <b v="0"/>
    <n v="533"/>
    <s v="GTX 1060"/>
    <x v="0"/>
    <x v="0"/>
  </r>
  <r>
    <n v="646910"/>
    <s v="The Crew 2"/>
    <d v="2018-06-28T00:00:00"/>
    <n v="873"/>
    <b v="0"/>
    <n v="533"/>
    <s v="GTX 1060"/>
    <x v="1"/>
    <x v="1"/>
  </r>
  <r>
    <n v="646910"/>
    <s v="The Crew 2"/>
    <d v="2018-06-28T00:00:00"/>
    <n v="873"/>
    <b v="0"/>
    <n v="533"/>
    <s v="GTX 1060"/>
    <x v="2"/>
    <x v="1"/>
  </r>
  <r>
    <n v="646910"/>
    <s v="The Crew 2"/>
    <d v="2018-06-28T00:00:00"/>
    <n v="873"/>
    <b v="0"/>
    <n v="533"/>
    <s v="GTX 1060"/>
    <x v="3"/>
    <x v="1"/>
  </r>
  <r>
    <n v="646910"/>
    <s v="The Crew 2"/>
    <d v="2018-06-28T00:00:00"/>
    <n v="873"/>
    <b v="0"/>
    <n v="533"/>
    <s v="GTX 1060"/>
    <x v="4"/>
    <x v="1"/>
  </r>
  <r>
    <n v="646910"/>
    <s v="The Crew 2"/>
    <d v="2018-06-28T00:00:00"/>
    <n v="873"/>
    <b v="0"/>
    <n v="533"/>
    <s v="GTX 1060"/>
    <x v="5"/>
    <x v="1"/>
  </r>
  <r>
    <n v="646910"/>
    <s v="The Crew 2"/>
    <d v="2018-06-28T00:00:00"/>
    <n v="873"/>
    <b v="0"/>
    <n v="533"/>
    <s v="GTX 1060"/>
    <x v="6"/>
    <x v="1"/>
  </r>
  <r>
    <n v="926990"/>
    <s v="WolfQuest: Anniversary Edition"/>
    <d v="2025-07-22T00:00:00"/>
    <n v="869"/>
    <b v="1"/>
    <n v="535"/>
    <s v="RTX 3060"/>
    <x v="0"/>
    <x v="0"/>
  </r>
  <r>
    <n v="926990"/>
    <s v="WolfQuest: Anniversary Edition"/>
    <d v="2025-07-22T00:00:00"/>
    <n v="869"/>
    <b v="1"/>
    <n v="535"/>
    <s v="RTX 3060"/>
    <x v="1"/>
    <x v="1"/>
  </r>
  <r>
    <n v="926990"/>
    <s v="WolfQuest: Anniversary Edition"/>
    <d v="2025-07-22T00:00:00"/>
    <n v="869"/>
    <b v="1"/>
    <n v="535"/>
    <s v="RTX 3060"/>
    <x v="2"/>
    <x v="1"/>
  </r>
  <r>
    <n v="926990"/>
    <s v="WolfQuest: Anniversary Edition"/>
    <d v="2025-07-22T00:00:00"/>
    <n v="869"/>
    <b v="1"/>
    <n v="535"/>
    <s v="RTX 3060"/>
    <x v="3"/>
    <x v="0"/>
  </r>
  <r>
    <n v="926990"/>
    <s v="WolfQuest: Anniversary Edition"/>
    <d v="2025-07-22T00:00:00"/>
    <n v="869"/>
    <b v="1"/>
    <n v="535"/>
    <s v="RTX 3060"/>
    <x v="4"/>
    <x v="0"/>
  </r>
  <r>
    <n v="926990"/>
    <s v="WolfQuest: Anniversary Edition"/>
    <d v="2025-07-22T00:00:00"/>
    <n v="869"/>
    <b v="1"/>
    <n v="535"/>
    <s v="RTX 3060"/>
    <x v="5"/>
    <x v="1"/>
  </r>
  <r>
    <n v="926990"/>
    <s v="WolfQuest: Anniversary Edition"/>
    <d v="2025-07-22T00:00:00"/>
    <n v="869"/>
    <b v="1"/>
    <n v="535"/>
    <s v="RTX 3060"/>
    <x v="6"/>
    <x v="1"/>
  </r>
  <r>
    <n v="360430"/>
    <s v="Mafia III: Definitive Edition"/>
    <d v="2020-05-19T00:00:00"/>
    <n v="869"/>
    <b v="1"/>
    <n v="535"/>
    <s v="GTX 1050 Ti"/>
    <x v="0"/>
    <x v="0"/>
  </r>
  <r>
    <n v="360430"/>
    <s v="Mafia III: Definitive Edition"/>
    <d v="2020-05-19T00:00:00"/>
    <n v="869"/>
    <b v="1"/>
    <n v="535"/>
    <s v="GTX 1050 Ti"/>
    <x v="1"/>
    <x v="1"/>
  </r>
  <r>
    <n v="360430"/>
    <s v="Mafia III: Definitive Edition"/>
    <d v="2020-05-19T00:00:00"/>
    <n v="869"/>
    <b v="1"/>
    <n v="535"/>
    <s v="GTX 1050 Ti"/>
    <x v="2"/>
    <x v="0"/>
  </r>
  <r>
    <n v="360430"/>
    <s v="Mafia III: Definitive Edition"/>
    <d v="2020-05-19T00:00:00"/>
    <n v="869"/>
    <b v="1"/>
    <n v="535"/>
    <s v="GTX 1050 Ti"/>
    <x v="3"/>
    <x v="1"/>
  </r>
  <r>
    <n v="360430"/>
    <s v="Mafia III: Definitive Edition"/>
    <d v="2020-05-19T00:00:00"/>
    <n v="869"/>
    <b v="1"/>
    <n v="535"/>
    <s v="GTX 1050 Ti"/>
    <x v="4"/>
    <x v="1"/>
  </r>
  <r>
    <n v="360430"/>
    <s v="Mafia III: Definitive Edition"/>
    <d v="2020-05-19T00:00:00"/>
    <n v="869"/>
    <b v="1"/>
    <n v="535"/>
    <s v="GTX 1050 Ti"/>
    <x v="5"/>
    <x v="1"/>
  </r>
  <r>
    <n v="360430"/>
    <s v="Mafia III: Definitive Edition"/>
    <d v="2020-05-19T00:00:00"/>
    <n v="869"/>
    <b v="1"/>
    <n v="535"/>
    <s v="GTX 1050 Ti"/>
    <x v="6"/>
    <x v="1"/>
  </r>
  <r>
    <n v="1286680"/>
    <s v="Tiny Tina's Wonderlands"/>
    <d v="2022-06-23T00:00:00"/>
    <n v="866"/>
    <b v="0"/>
    <n v="537"/>
    <s v="RX 590"/>
    <x v="0"/>
    <x v="0"/>
  </r>
  <r>
    <n v="1286680"/>
    <s v="Tiny Tina's Wonderlands"/>
    <d v="2022-06-23T00:00:00"/>
    <n v="866"/>
    <b v="0"/>
    <n v="537"/>
    <s v="RX 590"/>
    <x v="1"/>
    <x v="1"/>
  </r>
  <r>
    <n v="1286680"/>
    <s v="Tiny Tina's Wonderlands"/>
    <d v="2022-06-23T00:00:00"/>
    <n v="866"/>
    <b v="0"/>
    <n v="537"/>
    <s v="RX 590"/>
    <x v="2"/>
    <x v="0"/>
  </r>
  <r>
    <n v="1286680"/>
    <s v="Tiny Tina's Wonderlands"/>
    <d v="2022-06-23T00:00:00"/>
    <n v="866"/>
    <b v="0"/>
    <n v="537"/>
    <s v="RX 590"/>
    <x v="3"/>
    <x v="1"/>
  </r>
  <r>
    <n v="1286680"/>
    <s v="Tiny Tina's Wonderlands"/>
    <d v="2022-06-23T00:00:00"/>
    <n v="866"/>
    <b v="0"/>
    <n v="537"/>
    <s v="RX 590"/>
    <x v="4"/>
    <x v="0"/>
  </r>
  <r>
    <n v="1286680"/>
    <s v="Tiny Tina's Wonderlands"/>
    <d v="2022-06-23T00:00:00"/>
    <n v="866"/>
    <b v="0"/>
    <n v="537"/>
    <s v="RX 590"/>
    <x v="5"/>
    <x v="1"/>
  </r>
  <r>
    <n v="1286680"/>
    <s v="Tiny Tina's Wonderlands"/>
    <d v="2022-06-23T00:00:00"/>
    <n v="866"/>
    <b v="0"/>
    <n v="537"/>
    <s v="RX 590"/>
    <x v="6"/>
    <x v="1"/>
  </r>
  <r>
    <n v="228200"/>
    <s v="Company of Heroes"/>
    <d v="2006-09-11T00:00:00"/>
    <n v="864"/>
    <b v="0"/>
    <n v="538"/>
    <s v="Intel HD Graphics"/>
    <x v="0"/>
    <x v="0"/>
  </r>
  <r>
    <n v="228200"/>
    <s v="Company of Heroes"/>
    <d v="2006-09-11T00:00:00"/>
    <n v="864"/>
    <b v="0"/>
    <n v="538"/>
    <s v="Intel HD Graphics"/>
    <x v="1"/>
    <x v="1"/>
  </r>
  <r>
    <n v="228200"/>
    <s v="Company of Heroes"/>
    <d v="2006-09-11T00:00:00"/>
    <n v="864"/>
    <b v="0"/>
    <n v="538"/>
    <s v="Intel HD Graphics"/>
    <x v="2"/>
    <x v="1"/>
  </r>
  <r>
    <n v="228200"/>
    <s v="Company of Heroes"/>
    <d v="2006-09-11T00:00:00"/>
    <n v="864"/>
    <b v="0"/>
    <n v="538"/>
    <s v="Intel HD Graphics"/>
    <x v="3"/>
    <x v="1"/>
  </r>
  <r>
    <n v="228200"/>
    <s v="Company of Heroes"/>
    <d v="2006-09-11T00:00:00"/>
    <n v="864"/>
    <b v="0"/>
    <n v="538"/>
    <s v="Intel HD Graphics"/>
    <x v="4"/>
    <x v="1"/>
  </r>
  <r>
    <n v="228200"/>
    <s v="Company of Heroes"/>
    <d v="2006-09-11T00:00:00"/>
    <n v="864"/>
    <b v="0"/>
    <n v="538"/>
    <s v="Intel HD Graphics"/>
    <x v="5"/>
    <x v="0"/>
  </r>
  <r>
    <n v="228200"/>
    <s v="Company of Heroes"/>
    <d v="2006-09-11T00:00:00"/>
    <n v="864"/>
    <b v="0"/>
    <n v="538"/>
    <s v="Intel HD Graphics"/>
    <x v="6"/>
    <x v="1"/>
  </r>
  <r>
    <n v="447040"/>
    <s v="Watch_Dogs 2"/>
    <d v="2016-11-28T00:00:00"/>
    <n v="863"/>
    <b v="0"/>
    <n v="539"/>
    <s v="GTX 1050 Ti"/>
    <x v="0"/>
    <x v="0"/>
  </r>
  <r>
    <n v="447040"/>
    <s v="Watch_Dogs 2"/>
    <d v="2016-11-28T00:00:00"/>
    <n v="863"/>
    <b v="0"/>
    <n v="539"/>
    <s v="GTX 1050 Ti"/>
    <x v="1"/>
    <x v="1"/>
  </r>
  <r>
    <n v="447040"/>
    <s v="Watch_Dogs 2"/>
    <d v="2016-11-28T00:00:00"/>
    <n v="863"/>
    <b v="0"/>
    <n v="539"/>
    <s v="GTX 1050 Ti"/>
    <x v="2"/>
    <x v="0"/>
  </r>
  <r>
    <n v="447040"/>
    <s v="Watch_Dogs 2"/>
    <d v="2016-11-28T00:00:00"/>
    <n v="863"/>
    <b v="0"/>
    <n v="539"/>
    <s v="GTX 1050 Ti"/>
    <x v="3"/>
    <x v="1"/>
  </r>
  <r>
    <n v="447040"/>
    <s v="Watch_Dogs 2"/>
    <d v="2016-11-28T00:00:00"/>
    <n v="863"/>
    <b v="0"/>
    <n v="539"/>
    <s v="GTX 1050 Ti"/>
    <x v="4"/>
    <x v="1"/>
  </r>
  <r>
    <n v="447040"/>
    <s v="Watch_Dogs 2"/>
    <d v="2016-11-28T00:00:00"/>
    <n v="863"/>
    <b v="0"/>
    <n v="539"/>
    <s v="GTX 1050 Ti"/>
    <x v="5"/>
    <x v="1"/>
  </r>
  <r>
    <n v="447040"/>
    <s v="Watch_Dogs 2"/>
    <d v="2016-11-28T00:00:00"/>
    <n v="863"/>
    <b v="0"/>
    <n v="539"/>
    <s v="GTX 1050 Ti"/>
    <x v="6"/>
    <x v="1"/>
  </r>
  <r>
    <n v="433340"/>
    <s v="Slime Rancher"/>
    <d v="2017-08-01T00:00:00"/>
    <n v="858"/>
    <b v="1"/>
    <n v="540"/>
    <s v="Radeon Vega 8"/>
    <x v="0"/>
    <x v="0"/>
  </r>
  <r>
    <n v="433340"/>
    <s v="Slime Rancher"/>
    <d v="2017-08-01T00:00:00"/>
    <n v="858"/>
    <b v="1"/>
    <n v="540"/>
    <s v="Radeon Vega 8"/>
    <x v="1"/>
    <x v="0"/>
  </r>
  <r>
    <n v="433340"/>
    <s v="Slime Rancher"/>
    <d v="2017-08-01T00:00:00"/>
    <n v="858"/>
    <b v="1"/>
    <n v="540"/>
    <s v="Radeon Vega 8"/>
    <x v="2"/>
    <x v="0"/>
  </r>
  <r>
    <n v="433340"/>
    <s v="Slime Rancher"/>
    <d v="2017-08-01T00:00:00"/>
    <n v="858"/>
    <b v="1"/>
    <n v="540"/>
    <s v="Radeon Vega 8"/>
    <x v="3"/>
    <x v="0"/>
  </r>
  <r>
    <n v="433340"/>
    <s v="Slime Rancher"/>
    <d v="2017-08-01T00:00:00"/>
    <n v="858"/>
    <b v="1"/>
    <n v="540"/>
    <s v="Radeon Vega 8"/>
    <x v="4"/>
    <x v="1"/>
  </r>
  <r>
    <n v="433340"/>
    <s v="Slime Rancher"/>
    <d v="2017-08-01T00:00:00"/>
    <n v="858"/>
    <b v="1"/>
    <n v="540"/>
    <s v="Radeon Vega 8"/>
    <x v="5"/>
    <x v="1"/>
  </r>
  <r>
    <n v="433340"/>
    <s v="Slime Rancher"/>
    <d v="2017-08-01T00:00:00"/>
    <n v="858"/>
    <b v="1"/>
    <n v="540"/>
    <s v="Radeon Vega 8"/>
    <x v="6"/>
    <x v="1"/>
  </r>
  <r>
    <n v="1922560"/>
    <s v="Plants vs. Zombies Garden Warfare 2: Deluxe Edition"/>
    <d v="2022-05-16T00:00:00"/>
    <n v="855"/>
    <b v="0"/>
    <n v="541"/>
    <s v="RX 570"/>
    <x v="0"/>
    <x v="0"/>
  </r>
  <r>
    <n v="1922560"/>
    <s v="Plants vs. Zombies Garden Warfare 2: Deluxe Edition"/>
    <d v="2022-05-16T00:00:00"/>
    <n v="855"/>
    <b v="0"/>
    <n v="541"/>
    <s v="RX 570"/>
    <x v="1"/>
    <x v="1"/>
  </r>
  <r>
    <n v="1922560"/>
    <s v="Plants vs. Zombies Garden Warfare 2: Deluxe Edition"/>
    <d v="2022-05-16T00:00:00"/>
    <n v="855"/>
    <b v="0"/>
    <n v="541"/>
    <s v="RX 570"/>
    <x v="2"/>
    <x v="1"/>
  </r>
  <r>
    <n v="1922560"/>
    <s v="Plants vs. Zombies Garden Warfare 2: Deluxe Edition"/>
    <d v="2022-05-16T00:00:00"/>
    <n v="855"/>
    <b v="0"/>
    <n v="541"/>
    <s v="RX 570"/>
    <x v="3"/>
    <x v="1"/>
  </r>
  <r>
    <n v="1922560"/>
    <s v="Plants vs. Zombies Garden Warfare 2: Deluxe Edition"/>
    <d v="2022-05-16T00:00:00"/>
    <n v="855"/>
    <b v="0"/>
    <n v="541"/>
    <s v="RX 570"/>
    <x v="4"/>
    <x v="1"/>
  </r>
  <r>
    <n v="1922560"/>
    <s v="Plants vs. Zombies Garden Warfare 2: Deluxe Edition"/>
    <d v="2022-05-16T00:00:00"/>
    <n v="855"/>
    <b v="0"/>
    <n v="541"/>
    <s v="RX 570"/>
    <x v="5"/>
    <x v="0"/>
  </r>
  <r>
    <n v="1922560"/>
    <s v="Plants vs. Zombies Garden Warfare 2: Deluxe Edition"/>
    <d v="2022-05-16T00:00:00"/>
    <n v="855"/>
    <b v="0"/>
    <n v="541"/>
    <s v="RX 570"/>
    <x v="6"/>
    <x v="1"/>
  </r>
  <r>
    <n v="960170"/>
    <s v="DJMAX RESPECT V"/>
    <d v="2020-03-11T00:00:00"/>
    <n v="854"/>
    <b v="0"/>
    <n v="542"/>
    <s v="Radeon Vega 8"/>
    <x v="0"/>
    <x v="0"/>
  </r>
  <r>
    <n v="960170"/>
    <s v="DJMAX RESPECT V"/>
    <d v="2020-03-11T00:00:00"/>
    <n v="854"/>
    <b v="0"/>
    <n v="542"/>
    <s v="Radeon Vega 8"/>
    <x v="1"/>
    <x v="1"/>
  </r>
  <r>
    <n v="960170"/>
    <s v="DJMAX RESPECT V"/>
    <d v="2020-03-11T00:00:00"/>
    <n v="854"/>
    <b v="0"/>
    <n v="542"/>
    <s v="Radeon Vega 8"/>
    <x v="2"/>
    <x v="1"/>
  </r>
  <r>
    <n v="960170"/>
    <s v="DJMAX RESPECT V"/>
    <d v="2020-03-11T00:00:00"/>
    <n v="854"/>
    <b v="0"/>
    <n v="542"/>
    <s v="Radeon Vega 8"/>
    <x v="3"/>
    <x v="1"/>
  </r>
  <r>
    <n v="960170"/>
    <s v="DJMAX RESPECT V"/>
    <d v="2020-03-11T00:00:00"/>
    <n v="854"/>
    <b v="0"/>
    <n v="542"/>
    <s v="Radeon Vega 8"/>
    <x v="4"/>
    <x v="1"/>
  </r>
  <r>
    <n v="960170"/>
    <s v="DJMAX RESPECT V"/>
    <d v="2020-03-11T00:00:00"/>
    <n v="854"/>
    <b v="0"/>
    <n v="542"/>
    <s v="Radeon Vega 8"/>
    <x v="5"/>
    <x v="1"/>
  </r>
  <r>
    <n v="960170"/>
    <s v="DJMAX RESPECT V"/>
    <d v="2020-03-11T00:00:00"/>
    <n v="854"/>
    <b v="0"/>
    <n v="542"/>
    <s v="Radeon Vega 8"/>
    <x v="6"/>
    <x v="1"/>
  </r>
  <r>
    <n v="1533390"/>
    <s v="Gorilla Tag"/>
    <d v="2023-01-01T00:00:00"/>
    <n v="852"/>
    <b v="0"/>
    <n v="543"/>
    <s v="GTX 970"/>
    <x v="0"/>
    <x v="0"/>
  </r>
  <r>
    <n v="1533390"/>
    <s v="Gorilla Tag"/>
    <d v="2023-01-01T00:00:00"/>
    <n v="852"/>
    <b v="0"/>
    <n v="543"/>
    <s v="GTX 970"/>
    <x v="1"/>
    <x v="1"/>
  </r>
  <r>
    <n v="1533390"/>
    <s v="Gorilla Tag"/>
    <d v="2023-01-01T00:00:00"/>
    <n v="852"/>
    <b v="0"/>
    <n v="543"/>
    <s v="GTX 970"/>
    <x v="2"/>
    <x v="1"/>
  </r>
  <r>
    <n v="1533390"/>
    <s v="Gorilla Tag"/>
    <d v="2023-01-01T00:00:00"/>
    <n v="852"/>
    <b v="0"/>
    <n v="543"/>
    <s v="GTX 970"/>
    <x v="3"/>
    <x v="1"/>
  </r>
  <r>
    <n v="1533390"/>
    <s v="Gorilla Tag"/>
    <d v="2023-01-01T00:00:00"/>
    <n v="852"/>
    <b v="0"/>
    <n v="543"/>
    <s v="GTX 970"/>
    <x v="4"/>
    <x v="1"/>
  </r>
  <r>
    <n v="1533390"/>
    <s v="Gorilla Tag"/>
    <d v="2023-01-01T00:00:00"/>
    <n v="852"/>
    <b v="0"/>
    <n v="543"/>
    <s v="GTX 970"/>
    <x v="5"/>
    <x v="1"/>
  </r>
  <r>
    <n v="1533390"/>
    <s v="Gorilla Tag"/>
    <d v="2023-01-01T00:00:00"/>
    <n v="852"/>
    <b v="0"/>
    <n v="543"/>
    <s v="GTX 970"/>
    <x v="6"/>
    <x v="1"/>
  </r>
  <r>
    <n v="1584090"/>
    <s v="Touhou Mystia's Izakaya"/>
    <d v="2021-10-01T00:00:00"/>
    <n v="852"/>
    <b v="1"/>
    <n v="543"/>
    <s v="GTX 1050"/>
    <x v="0"/>
    <x v="1"/>
  </r>
  <r>
    <n v="1584090"/>
    <s v="Touhou Mystia's Izakaya"/>
    <d v="2021-10-01T00:00:00"/>
    <n v="852"/>
    <b v="1"/>
    <n v="543"/>
    <s v="GTX 1050"/>
    <x v="1"/>
    <x v="0"/>
  </r>
  <r>
    <n v="1584090"/>
    <s v="Touhou Mystia's Izakaya"/>
    <d v="2021-10-01T00:00:00"/>
    <n v="852"/>
    <b v="1"/>
    <n v="543"/>
    <s v="GTX 1050"/>
    <x v="2"/>
    <x v="1"/>
  </r>
  <r>
    <n v="1584090"/>
    <s v="Touhou Mystia's Izakaya"/>
    <d v="2021-10-01T00:00:00"/>
    <n v="852"/>
    <b v="1"/>
    <n v="543"/>
    <s v="GTX 1050"/>
    <x v="3"/>
    <x v="0"/>
  </r>
  <r>
    <n v="1584090"/>
    <s v="Touhou Mystia's Izakaya"/>
    <d v="2021-10-01T00:00:00"/>
    <n v="852"/>
    <b v="1"/>
    <n v="543"/>
    <s v="GTX 1050"/>
    <x v="4"/>
    <x v="0"/>
  </r>
  <r>
    <n v="1584090"/>
    <s v="Touhou Mystia's Izakaya"/>
    <d v="2021-10-01T00:00:00"/>
    <n v="852"/>
    <b v="1"/>
    <n v="543"/>
    <s v="GTX 1050"/>
    <x v="5"/>
    <x v="1"/>
  </r>
  <r>
    <n v="1584090"/>
    <s v="Touhou Mystia's Izakaya"/>
    <d v="2021-10-01T00:00:00"/>
    <n v="852"/>
    <b v="1"/>
    <n v="543"/>
    <s v="GTX 1050"/>
    <x v="6"/>
    <x v="1"/>
  </r>
  <r>
    <n v="1374490"/>
    <s v="RuneScape: Dragonwilds"/>
    <d v="2025-04-15T00:00:00"/>
    <n v="851"/>
    <b v="0"/>
    <n v="545"/>
    <s v="RTX 2070"/>
    <x v="0"/>
    <x v="0"/>
  </r>
  <r>
    <n v="1374490"/>
    <s v="RuneScape: Dragonwilds"/>
    <d v="2025-04-15T00:00:00"/>
    <n v="851"/>
    <b v="0"/>
    <n v="545"/>
    <s v="RTX 2070"/>
    <x v="1"/>
    <x v="1"/>
  </r>
  <r>
    <n v="1374490"/>
    <s v="RuneScape: Dragonwilds"/>
    <d v="2025-04-15T00:00:00"/>
    <n v="851"/>
    <b v="0"/>
    <n v="545"/>
    <s v="RTX 2070"/>
    <x v="2"/>
    <x v="0"/>
  </r>
  <r>
    <n v="1374490"/>
    <s v="RuneScape: Dragonwilds"/>
    <d v="2025-04-15T00:00:00"/>
    <n v="851"/>
    <b v="0"/>
    <n v="545"/>
    <s v="RTX 2070"/>
    <x v="3"/>
    <x v="1"/>
  </r>
  <r>
    <n v="1374490"/>
    <s v="RuneScape: Dragonwilds"/>
    <d v="2025-04-15T00:00:00"/>
    <n v="851"/>
    <b v="0"/>
    <n v="545"/>
    <s v="RTX 2070"/>
    <x v="4"/>
    <x v="0"/>
  </r>
  <r>
    <n v="1374490"/>
    <s v="RuneScape: Dragonwilds"/>
    <d v="2025-04-15T00:00:00"/>
    <n v="851"/>
    <b v="0"/>
    <n v="545"/>
    <s v="RTX 2070"/>
    <x v="5"/>
    <x v="1"/>
  </r>
  <r>
    <n v="1374490"/>
    <s v="RuneScape: Dragonwilds"/>
    <d v="2025-04-15T00:00:00"/>
    <n v="851"/>
    <b v="0"/>
    <n v="545"/>
    <s v="RTX 2070"/>
    <x v="6"/>
    <x v="1"/>
  </r>
  <r>
    <n v="544730"/>
    <s v="Catan Universe"/>
    <d v="2017-04-25T00:00:00"/>
    <n v="848"/>
    <b v="1"/>
    <n v="546"/>
    <s v="Radeon Vega 8"/>
    <x v="0"/>
    <x v="1"/>
  </r>
  <r>
    <n v="544730"/>
    <s v="Catan Universe"/>
    <d v="2017-04-25T00:00:00"/>
    <n v="848"/>
    <b v="1"/>
    <n v="546"/>
    <s v="Radeon Vega 8"/>
    <x v="1"/>
    <x v="1"/>
  </r>
  <r>
    <n v="544730"/>
    <s v="Catan Universe"/>
    <d v="2017-04-25T00:00:00"/>
    <n v="848"/>
    <b v="1"/>
    <n v="546"/>
    <s v="Radeon Vega 8"/>
    <x v="2"/>
    <x v="1"/>
  </r>
  <r>
    <n v="544730"/>
    <s v="Catan Universe"/>
    <d v="2017-04-25T00:00:00"/>
    <n v="848"/>
    <b v="1"/>
    <n v="546"/>
    <s v="Radeon Vega 8"/>
    <x v="3"/>
    <x v="1"/>
  </r>
  <r>
    <n v="544730"/>
    <s v="Catan Universe"/>
    <d v="2017-04-25T00:00:00"/>
    <n v="848"/>
    <b v="1"/>
    <n v="546"/>
    <s v="Radeon Vega 8"/>
    <x v="4"/>
    <x v="1"/>
  </r>
  <r>
    <n v="544730"/>
    <s v="Catan Universe"/>
    <d v="2017-04-25T00:00:00"/>
    <n v="848"/>
    <b v="1"/>
    <n v="546"/>
    <s v="Radeon Vega 8"/>
    <x v="5"/>
    <x v="0"/>
  </r>
  <r>
    <n v="544730"/>
    <s v="Catan Universe"/>
    <d v="2017-04-25T00:00:00"/>
    <n v="848"/>
    <b v="1"/>
    <n v="546"/>
    <s v="Radeon Vega 8"/>
    <x v="6"/>
    <x v="1"/>
  </r>
  <r>
    <n v="2000950"/>
    <s v="Call of Duty: Modern Warfare"/>
    <d v="2023-03-08T00:00:00"/>
    <n v="847"/>
    <b v="0"/>
    <n v="547"/>
    <s v="GTX 970"/>
    <x v="0"/>
    <x v="0"/>
  </r>
  <r>
    <n v="2000950"/>
    <s v="Call of Duty: Modern Warfare"/>
    <d v="2023-03-08T00:00:00"/>
    <n v="847"/>
    <b v="0"/>
    <n v="547"/>
    <s v="GTX 970"/>
    <x v="1"/>
    <x v="1"/>
  </r>
  <r>
    <n v="2000950"/>
    <s v="Call of Duty: Modern Warfare"/>
    <d v="2023-03-08T00:00:00"/>
    <n v="847"/>
    <b v="0"/>
    <n v="547"/>
    <s v="GTX 970"/>
    <x v="2"/>
    <x v="1"/>
  </r>
  <r>
    <n v="2000950"/>
    <s v="Call of Duty: Modern Warfare"/>
    <d v="2023-03-08T00:00:00"/>
    <n v="847"/>
    <b v="0"/>
    <n v="547"/>
    <s v="GTX 970"/>
    <x v="3"/>
    <x v="1"/>
  </r>
  <r>
    <n v="2000950"/>
    <s v="Call of Duty: Modern Warfare"/>
    <d v="2023-03-08T00:00:00"/>
    <n v="847"/>
    <b v="0"/>
    <n v="547"/>
    <s v="GTX 970"/>
    <x v="4"/>
    <x v="1"/>
  </r>
  <r>
    <n v="2000950"/>
    <s v="Call of Duty: Modern Warfare"/>
    <d v="2023-03-08T00:00:00"/>
    <n v="847"/>
    <b v="0"/>
    <n v="547"/>
    <s v="GTX 970"/>
    <x v="5"/>
    <x v="1"/>
  </r>
  <r>
    <n v="2000950"/>
    <s v="Call of Duty: Modern Warfare"/>
    <d v="2023-03-08T00:00:00"/>
    <n v="847"/>
    <b v="0"/>
    <n v="547"/>
    <s v="GTX 970"/>
    <x v="6"/>
    <x v="1"/>
  </r>
  <r>
    <n v="702320"/>
    <s v="March of Empires"/>
    <d v="2017-12-11T00:00:00"/>
    <n v="846"/>
    <b v="0"/>
    <n v="548"/>
    <s v="Radeon Vega 8"/>
    <x v="0"/>
    <x v="1"/>
  </r>
  <r>
    <n v="702320"/>
    <s v="March of Empires"/>
    <d v="2017-12-11T00:00:00"/>
    <n v="846"/>
    <b v="0"/>
    <n v="548"/>
    <s v="Radeon Vega 8"/>
    <x v="1"/>
    <x v="1"/>
  </r>
  <r>
    <n v="702320"/>
    <s v="March of Empires"/>
    <d v="2017-12-11T00:00:00"/>
    <n v="846"/>
    <b v="0"/>
    <n v="548"/>
    <s v="Radeon Vega 8"/>
    <x v="2"/>
    <x v="1"/>
  </r>
  <r>
    <n v="702320"/>
    <s v="March of Empires"/>
    <d v="2017-12-11T00:00:00"/>
    <n v="846"/>
    <b v="0"/>
    <n v="548"/>
    <s v="Radeon Vega 8"/>
    <x v="3"/>
    <x v="1"/>
  </r>
  <r>
    <n v="702320"/>
    <s v="March of Empires"/>
    <d v="2017-12-11T00:00:00"/>
    <n v="846"/>
    <b v="0"/>
    <n v="548"/>
    <s v="Radeon Vega 8"/>
    <x v="4"/>
    <x v="0"/>
  </r>
  <r>
    <n v="702320"/>
    <s v="March of Empires"/>
    <d v="2017-12-11T00:00:00"/>
    <n v="846"/>
    <b v="0"/>
    <n v="548"/>
    <s v="Radeon Vega 8"/>
    <x v="5"/>
    <x v="0"/>
  </r>
  <r>
    <n v="702320"/>
    <s v="March of Empires"/>
    <d v="2017-12-11T00:00:00"/>
    <n v="846"/>
    <b v="0"/>
    <n v="548"/>
    <s v="Radeon Vega 8"/>
    <x v="6"/>
    <x v="0"/>
  </r>
  <r>
    <n v="1369670"/>
    <s v="Motor Town: Behind The Wheel"/>
    <d v="2021-12-17T00:00:00"/>
    <n v="844"/>
    <b v="0"/>
    <n v="549"/>
    <s v="GTX 1070"/>
    <x v="0"/>
    <x v="1"/>
  </r>
  <r>
    <n v="1369670"/>
    <s v="Motor Town: Behind The Wheel"/>
    <d v="2021-12-17T00:00:00"/>
    <n v="844"/>
    <b v="0"/>
    <n v="549"/>
    <s v="GTX 1070"/>
    <x v="1"/>
    <x v="0"/>
  </r>
  <r>
    <n v="1369670"/>
    <s v="Motor Town: Behind The Wheel"/>
    <d v="2021-12-17T00:00:00"/>
    <n v="844"/>
    <b v="0"/>
    <n v="549"/>
    <s v="GTX 1070"/>
    <x v="2"/>
    <x v="0"/>
  </r>
  <r>
    <n v="1369670"/>
    <s v="Motor Town: Behind The Wheel"/>
    <d v="2021-12-17T00:00:00"/>
    <n v="844"/>
    <b v="0"/>
    <n v="549"/>
    <s v="GTX 1070"/>
    <x v="3"/>
    <x v="0"/>
  </r>
  <r>
    <n v="1369670"/>
    <s v="Motor Town: Behind The Wheel"/>
    <d v="2021-12-17T00:00:00"/>
    <n v="844"/>
    <b v="0"/>
    <n v="549"/>
    <s v="GTX 1070"/>
    <x v="4"/>
    <x v="1"/>
  </r>
  <r>
    <n v="1369670"/>
    <s v="Motor Town: Behind The Wheel"/>
    <d v="2021-12-17T00:00:00"/>
    <n v="844"/>
    <b v="0"/>
    <n v="549"/>
    <s v="GTX 1070"/>
    <x v="5"/>
    <x v="1"/>
  </r>
  <r>
    <n v="1369670"/>
    <s v="Motor Town: Behind The Wheel"/>
    <d v="2021-12-17T00:00:00"/>
    <n v="844"/>
    <b v="0"/>
    <n v="549"/>
    <s v="GTX 1070"/>
    <x v="6"/>
    <x v="1"/>
  </r>
  <r>
    <n v="690830"/>
    <s v="Foundation"/>
    <d v="2025-01-31T00:00:00"/>
    <n v="844"/>
    <b v="0"/>
    <n v="549"/>
    <s v="RTX 2060"/>
    <x v="0"/>
    <x v="1"/>
  </r>
  <r>
    <n v="690830"/>
    <s v="Foundation"/>
    <d v="2025-01-31T00:00:00"/>
    <n v="844"/>
    <b v="0"/>
    <n v="549"/>
    <s v="RTX 2060"/>
    <x v="1"/>
    <x v="0"/>
  </r>
  <r>
    <n v="690830"/>
    <s v="Foundation"/>
    <d v="2025-01-31T00:00:00"/>
    <n v="844"/>
    <b v="0"/>
    <n v="549"/>
    <s v="RTX 2060"/>
    <x v="2"/>
    <x v="1"/>
  </r>
  <r>
    <n v="690830"/>
    <s v="Foundation"/>
    <d v="2025-01-31T00:00:00"/>
    <n v="844"/>
    <b v="0"/>
    <n v="549"/>
    <s v="RTX 2060"/>
    <x v="3"/>
    <x v="0"/>
  </r>
  <r>
    <n v="690830"/>
    <s v="Foundation"/>
    <d v="2025-01-31T00:00:00"/>
    <n v="844"/>
    <b v="0"/>
    <n v="549"/>
    <s v="RTX 2060"/>
    <x v="4"/>
    <x v="1"/>
  </r>
  <r>
    <n v="690830"/>
    <s v="Foundation"/>
    <d v="2025-01-31T00:00:00"/>
    <n v="844"/>
    <b v="0"/>
    <n v="549"/>
    <s v="RTX 2060"/>
    <x v="5"/>
    <x v="0"/>
  </r>
  <r>
    <n v="690830"/>
    <s v="Foundation"/>
    <d v="2025-01-31T00:00:00"/>
    <n v="844"/>
    <b v="0"/>
    <n v="549"/>
    <s v="RTX 2060"/>
    <x v="6"/>
    <x v="1"/>
  </r>
  <r>
    <n v="312520"/>
    <s v="Rain World"/>
    <d v="2017-03-28T00:00:00"/>
    <n v="836"/>
    <b v="0"/>
    <n v="551"/>
    <s v="RX 480"/>
    <x v="0"/>
    <x v="0"/>
  </r>
  <r>
    <n v="312520"/>
    <s v="Rain World"/>
    <d v="2017-03-28T00:00:00"/>
    <n v="836"/>
    <b v="0"/>
    <n v="551"/>
    <s v="RX 480"/>
    <x v="1"/>
    <x v="0"/>
  </r>
  <r>
    <n v="312520"/>
    <s v="Rain World"/>
    <d v="2017-03-28T00:00:00"/>
    <n v="836"/>
    <b v="0"/>
    <n v="551"/>
    <s v="RX 480"/>
    <x v="2"/>
    <x v="0"/>
  </r>
  <r>
    <n v="312520"/>
    <s v="Rain World"/>
    <d v="2017-03-28T00:00:00"/>
    <n v="836"/>
    <b v="0"/>
    <n v="551"/>
    <s v="RX 480"/>
    <x v="3"/>
    <x v="1"/>
  </r>
  <r>
    <n v="312520"/>
    <s v="Rain World"/>
    <d v="2017-03-28T00:00:00"/>
    <n v="836"/>
    <b v="0"/>
    <n v="551"/>
    <s v="RX 480"/>
    <x v="4"/>
    <x v="1"/>
  </r>
  <r>
    <n v="312520"/>
    <s v="Rain World"/>
    <d v="2017-03-28T00:00:00"/>
    <n v="836"/>
    <b v="0"/>
    <n v="551"/>
    <s v="RX 480"/>
    <x v="5"/>
    <x v="1"/>
  </r>
  <r>
    <n v="312520"/>
    <s v="Rain World"/>
    <d v="2017-03-28T00:00:00"/>
    <n v="836"/>
    <b v="0"/>
    <n v="551"/>
    <s v="RX 480"/>
    <x v="6"/>
    <x v="1"/>
  </r>
  <r>
    <n v="1599600"/>
    <s v="PlateUp!"/>
    <d v="2022-08-04T00:00:00"/>
    <n v="832"/>
    <b v="0"/>
    <n v="552"/>
    <s v="GTX 1050 Ti"/>
    <x v="0"/>
    <x v="0"/>
  </r>
  <r>
    <n v="1599600"/>
    <s v="PlateUp!"/>
    <d v="2022-08-04T00:00:00"/>
    <n v="832"/>
    <b v="0"/>
    <n v="552"/>
    <s v="GTX 1050 Ti"/>
    <x v="1"/>
    <x v="0"/>
  </r>
  <r>
    <n v="1599600"/>
    <s v="PlateUp!"/>
    <d v="2022-08-04T00:00:00"/>
    <n v="832"/>
    <b v="0"/>
    <n v="552"/>
    <s v="GTX 1050 Ti"/>
    <x v="2"/>
    <x v="1"/>
  </r>
  <r>
    <n v="1599600"/>
    <s v="PlateUp!"/>
    <d v="2022-08-04T00:00:00"/>
    <n v="832"/>
    <b v="0"/>
    <n v="552"/>
    <s v="GTX 1050 Ti"/>
    <x v="3"/>
    <x v="1"/>
  </r>
  <r>
    <n v="1599600"/>
    <s v="PlateUp!"/>
    <d v="2022-08-04T00:00:00"/>
    <n v="832"/>
    <b v="0"/>
    <n v="552"/>
    <s v="GTX 1050 Ti"/>
    <x v="4"/>
    <x v="1"/>
  </r>
  <r>
    <n v="1599600"/>
    <s v="PlateUp!"/>
    <d v="2022-08-04T00:00:00"/>
    <n v="832"/>
    <b v="0"/>
    <n v="552"/>
    <s v="GTX 1050 Ti"/>
    <x v="5"/>
    <x v="0"/>
  </r>
  <r>
    <n v="1599600"/>
    <s v="PlateUp!"/>
    <d v="2022-08-04T00:00:00"/>
    <n v="832"/>
    <b v="0"/>
    <n v="552"/>
    <s v="GTX 1050 Ti"/>
    <x v="6"/>
    <x v="1"/>
  </r>
  <r>
    <n v="1501750"/>
    <s v="Lords of the Fallen"/>
    <d v="2023-10-13T00:00:00"/>
    <n v="827"/>
    <b v="0"/>
    <n v="553"/>
    <s v="RTX 2080"/>
    <x v="0"/>
    <x v="0"/>
  </r>
  <r>
    <n v="1501750"/>
    <s v="Lords of the Fallen"/>
    <d v="2023-10-13T00:00:00"/>
    <n v="827"/>
    <b v="0"/>
    <n v="553"/>
    <s v="RTX 2080"/>
    <x v="1"/>
    <x v="1"/>
  </r>
  <r>
    <n v="1501750"/>
    <s v="Lords of the Fallen"/>
    <d v="2023-10-13T00:00:00"/>
    <n v="827"/>
    <b v="0"/>
    <n v="553"/>
    <s v="RTX 2080"/>
    <x v="2"/>
    <x v="0"/>
  </r>
  <r>
    <n v="1501750"/>
    <s v="Lords of the Fallen"/>
    <d v="2023-10-13T00:00:00"/>
    <n v="827"/>
    <b v="0"/>
    <n v="553"/>
    <s v="RTX 2080"/>
    <x v="3"/>
    <x v="1"/>
  </r>
  <r>
    <n v="1501750"/>
    <s v="Lords of the Fallen"/>
    <d v="2023-10-13T00:00:00"/>
    <n v="827"/>
    <b v="0"/>
    <n v="553"/>
    <s v="RTX 2080"/>
    <x v="4"/>
    <x v="0"/>
  </r>
  <r>
    <n v="1501750"/>
    <s v="Lords of the Fallen"/>
    <d v="2023-10-13T00:00:00"/>
    <n v="827"/>
    <b v="0"/>
    <n v="553"/>
    <s v="RTX 2080"/>
    <x v="5"/>
    <x v="1"/>
  </r>
  <r>
    <n v="1501750"/>
    <s v="Lords of the Fallen"/>
    <d v="2023-10-13T00:00:00"/>
    <n v="827"/>
    <b v="0"/>
    <n v="553"/>
    <s v="RTX 2080"/>
    <x v="6"/>
    <x v="1"/>
  </r>
  <r>
    <n v="920490"/>
    <s v="Driver Booster for Steam"/>
    <d v="2018-11-01T00:00:00"/>
    <n v="826"/>
    <b v="0"/>
    <n v="554"/>
    <s v="Radeon Vega 8"/>
    <x v="0"/>
    <x v="1"/>
  </r>
  <r>
    <n v="920490"/>
    <s v="Driver Booster for Steam"/>
    <d v="2018-11-01T00:00:00"/>
    <n v="826"/>
    <b v="0"/>
    <n v="554"/>
    <s v="Radeon Vega 8"/>
    <x v="1"/>
    <x v="1"/>
  </r>
  <r>
    <n v="920490"/>
    <s v="Driver Booster for Steam"/>
    <d v="2018-11-01T00:00:00"/>
    <n v="826"/>
    <b v="0"/>
    <n v="554"/>
    <s v="Radeon Vega 8"/>
    <x v="2"/>
    <x v="1"/>
  </r>
  <r>
    <n v="920490"/>
    <s v="Driver Booster for Steam"/>
    <d v="2018-11-01T00:00:00"/>
    <n v="826"/>
    <b v="0"/>
    <n v="554"/>
    <s v="Radeon Vega 8"/>
    <x v="3"/>
    <x v="1"/>
  </r>
  <r>
    <n v="920490"/>
    <s v="Driver Booster for Steam"/>
    <d v="2018-11-01T00:00:00"/>
    <n v="826"/>
    <b v="0"/>
    <n v="554"/>
    <s v="Radeon Vega 8"/>
    <x v="4"/>
    <x v="1"/>
  </r>
  <r>
    <n v="920490"/>
    <s v="Driver Booster for Steam"/>
    <d v="2018-11-01T00:00:00"/>
    <n v="826"/>
    <b v="0"/>
    <n v="554"/>
    <s v="Radeon Vega 8"/>
    <x v="5"/>
    <x v="1"/>
  </r>
  <r>
    <n v="920490"/>
    <s v="Driver Booster for Steam"/>
    <d v="2018-11-01T00:00:00"/>
    <n v="826"/>
    <b v="0"/>
    <n v="554"/>
    <s v="Radeon Vega 8"/>
    <x v="6"/>
    <x v="1"/>
  </r>
  <r>
    <n v="787480"/>
    <s v="Phoenix Wright: Ace Attorney Trilogy"/>
    <d v="2019-04-09T00:00:00"/>
    <n v="826"/>
    <b v="0"/>
    <n v="554"/>
    <s v="RX 560"/>
    <x v="0"/>
    <x v="1"/>
  </r>
  <r>
    <n v="787480"/>
    <s v="Phoenix Wright: Ace Attorney Trilogy"/>
    <d v="2019-04-09T00:00:00"/>
    <n v="826"/>
    <b v="0"/>
    <n v="554"/>
    <s v="RX 560"/>
    <x v="1"/>
    <x v="1"/>
  </r>
  <r>
    <n v="787480"/>
    <s v="Phoenix Wright: Ace Attorney Trilogy"/>
    <d v="2019-04-09T00:00:00"/>
    <n v="826"/>
    <b v="0"/>
    <n v="554"/>
    <s v="RX 560"/>
    <x v="2"/>
    <x v="0"/>
  </r>
  <r>
    <n v="787480"/>
    <s v="Phoenix Wright: Ace Attorney Trilogy"/>
    <d v="2019-04-09T00:00:00"/>
    <n v="826"/>
    <b v="0"/>
    <n v="554"/>
    <s v="RX 560"/>
    <x v="3"/>
    <x v="1"/>
  </r>
  <r>
    <n v="787480"/>
    <s v="Phoenix Wright: Ace Attorney Trilogy"/>
    <d v="2019-04-09T00:00:00"/>
    <n v="826"/>
    <b v="0"/>
    <n v="554"/>
    <s v="RX 560"/>
    <x v="4"/>
    <x v="1"/>
  </r>
  <r>
    <n v="787480"/>
    <s v="Phoenix Wright: Ace Attorney Trilogy"/>
    <d v="2019-04-09T00:00:00"/>
    <n v="826"/>
    <b v="0"/>
    <n v="554"/>
    <s v="RX 560"/>
    <x v="5"/>
    <x v="1"/>
  </r>
  <r>
    <n v="787480"/>
    <s v="Phoenix Wright: Ace Attorney Trilogy"/>
    <d v="2019-04-09T00:00:00"/>
    <n v="826"/>
    <b v="0"/>
    <n v="554"/>
    <s v="RX 560"/>
    <x v="6"/>
    <x v="1"/>
  </r>
  <r>
    <n v="3511030"/>
    <s v="Mini Cozy Room: Lo-Fi"/>
    <d v="2025-03-30T00:00:00"/>
    <n v="821"/>
    <b v="0"/>
    <n v="556"/>
    <s v="Radeon Vega 8"/>
    <x v="0"/>
    <x v="1"/>
  </r>
  <r>
    <n v="3511030"/>
    <s v="Mini Cozy Room: Lo-Fi"/>
    <d v="2025-03-30T00:00:00"/>
    <n v="821"/>
    <b v="0"/>
    <n v="556"/>
    <s v="Radeon Vega 8"/>
    <x v="1"/>
    <x v="0"/>
  </r>
  <r>
    <n v="3511030"/>
    <s v="Mini Cozy Room: Lo-Fi"/>
    <d v="2025-03-30T00:00:00"/>
    <n v="821"/>
    <b v="0"/>
    <n v="556"/>
    <s v="Radeon Vega 8"/>
    <x v="2"/>
    <x v="1"/>
  </r>
  <r>
    <n v="3511030"/>
    <s v="Mini Cozy Room: Lo-Fi"/>
    <d v="2025-03-30T00:00:00"/>
    <n v="821"/>
    <b v="0"/>
    <n v="556"/>
    <s v="Radeon Vega 8"/>
    <x v="3"/>
    <x v="1"/>
  </r>
  <r>
    <n v="3511030"/>
    <s v="Mini Cozy Room: Lo-Fi"/>
    <d v="2025-03-30T00:00:00"/>
    <n v="821"/>
    <b v="0"/>
    <n v="556"/>
    <s v="Radeon Vega 8"/>
    <x v="4"/>
    <x v="1"/>
  </r>
  <r>
    <n v="3511030"/>
    <s v="Mini Cozy Room: Lo-Fi"/>
    <d v="2025-03-30T00:00:00"/>
    <n v="821"/>
    <b v="0"/>
    <n v="556"/>
    <s v="Radeon Vega 8"/>
    <x v="5"/>
    <x v="1"/>
  </r>
  <r>
    <n v="3511030"/>
    <s v="Mini Cozy Room: Lo-Fi"/>
    <d v="2025-03-30T00:00:00"/>
    <n v="821"/>
    <b v="0"/>
    <n v="556"/>
    <s v="Radeon Vega 8"/>
    <x v="6"/>
    <x v="1"/>
  </r>
  <r>
    <n v="397900"/>
    <s v="Business Tour - Board Game with Online Multiplayer"/>
    <d v="2017-07-27T00:00:00"/>
    <n v="809"/>
    <b v="1"/>
    <n v="557"/>
    <s v="Radeon Vega 8"/>
    <x v="0"/>
    <x v="1"/>
  </r>
  <r>
    <n v="397900"/>
    <s v="Business Tour - Board Game with Online Multiplayer"/>
    <d v="2017-07-27T00:00:00"/>
    <n v="809"/>
    <b v="1"/>
    <n v="557"/>
    <s v="Radeon Vega 8"/>
    <x v="1"/>
    <x v="0"/>
  </r>
  <r>
    <n v="397900"/>
    <s v="Business Tour - Board Game with Online Multiplayer"/>
    <d v="2017-07-27T00:00:00"/>
    <n v="809"/>
    <b v="1"/>
    <n v="557"/>
    <s v="Radeon Vega 8"/>
    <x v="2"/>
    <x v="0"/>
  </r>
  <r>
    <n v="397900"/>
    <s v="Business Tour - Board Game with Online Multiplayer"/>
    <d v="2017-07-27T00:00:00"/>
    <n v="809"/>
    <b v="1"/>
    <n v="557"/>
    <s v="Radeon Vega 8"/>
    <x v="3"/>
    <x v="0"/>
  </r>
  <r>
    <n v="397900"/>
    <s v="Business Tour - Board Game with Online Multiplayer"/>
    <d v="2017-07-27T00:00:00"/>
    <n v="809"/>
    <b v="1"/>
    <n v="557"/>
    <s v="Radeon Vega 8"/>
    <x v="4"/>
    <x v="1"/>
  </r>
  <r>
    <n v="397900"/>
    <s v="Business Tour - Board Game with Online Multiplayer"/>
    <d v="2017-07-27T00:00:00"/>
    <n v="809"/>
    <b v="1"/>
    <n v="557"/>
    <s v="Radeon Vega 8"/>
    <x v="5"/>
    <x v="0"/>
  </r>
  <r>
    <n v="397900"/>
    <s v="Business Tour - Board Game with Online Multiplayer"/>
    <d v="2017-07-27T00:00:00"/>
    <n v="809"/>
    <b v="1"/>
    <n v="557"/>
    <s v="Radeon Vega 8"/>
    <x v="6"/>
    <x v="0"/>
  </r>
  <r>
    <n v="1817800"/>
    <s v="Oddsparks: An Automation Adventure"/>
    <d v="2025-05-27T00:00:00"/>
    <n v="808"/>
    <b v="0"/>
    <n v="558"/>
    <s v="GTX 1070"/>
    <x v="0"/>
    <x v="1"/>
  </r>
  <r>
    <n v="1817800"/>
    <s v="Oddsparks: An Automation Adventure"/>
    <d v="2025-05-27T00:00:00"/>
    <n v="808"/>
    <b v="0"/>
    <n v="558"/>
    <s v="GTX 1070"/>
    <x v="1"/>
    <x v="0"/>
  </r>
  <r>
    <n v="1817800"/>
    <s v="Oddsparks: An Automation Adventure"/>
    <d v="2025-05-27T00:00:00"/>
    <n v="808"/>
    <b v="0"/>
    <n v="558"/>
    <s v="GTX 1070"/>
    <x v="2"/>
    <x v="0"/>
  </r>
  <r>
    <n v="1817800"/>
    <s v="Oddsparks: An Automation Adventure"/>
    <d v="2025-05-27T00:00:00"/>
    <n v="808"/>
    <b v="0"/>
    <n v="558"/>
    <s v="GTX 1070"/>
    <x v="3"/>
    <x v="0"/>
  </r>
  <r>
    <n v="1817800"/>
    <s v="Oddsparks: An Automation Adventure"/>
    <d v="2025-05-27T00:00:00"/>
    <n v="808"/>
    <b v="0"/>
    <n v="558"/>
    <s v="GTX 1070"/>
    <x v="4"/>
    <x v="1"/>
  </r>
  <r>
    <n v="1817800"/>
    <s v="Oddsparks: An Automation Adventure"/>
    <d v="2025-05-27T00:00:00"/>
    <n v="808"/>
    <b v="0"/>
    <n v="558"/>
    <s v="GTX 1070"/>
    <x v="5"/>
    <x v="0"/>
  </r>
  <r>
    <n v="1817800"/>
    <s v="Oddsparks: An Automation Adventure"/>
    <d v="2025-05-27T00:00:00"/>
    <n v="808"/>
    <b v="0"/>
    <n v="558"/>
    <s v="GTX 1070"/>
    <x v="6"/>
    <x v="1"/>
  </r>
  <r>
    <n v="1465460"/>
    <s v="Infection Free Zone"/>
    <d v="2024-04-11T00:00:00"/>
    <n v="806"/>
    <b v="0"/>
    <n v="559"/>
    <s v="GTX 1060"/>
    <x v="0"/>
    <x v="0"/>
  </r>
  <r>
    <n v="1465460"/>
    <s v="Infection Free Zone"/>
    <d v="2024-04-11T00:00:00"/>
    <n v="806"/>
    <b v="0"/>
    <n v="559"/>
    <s v="GTX 1060"/>
    <x v="1"/>
    <x v="0"/>
  </r>
  <r>
    <n v="1465460"/>
    <s v="Infection Free Zone"/>
    <d v="2024-04-11T00:00:00"/>
    <n v="806"/>
    <b v="0"/>
    <n v="559"/>
    <s v="GTX 1060"/>
    <x v="2"/>
    <x v="1"/>
  </r>
  <r>
    <n v="1465460"/>
    <s v="Infection Free Zone"/>
    <d v="2024-04-11T00:00:00"/>
    <n v="806"/>
    <b v="0"/>
    <n v="559"/>
    <s v="GTX 1060"/>
    <x v="3"/>
    <x v="0"/>
  </r>
  <r>
    <n v="1465460"/>
    <s v="Infection Free Zone"/>
    <d v="2024-04-11T00:00:00"/>
    <n v="806"/>
    <b v="0"/>
    <n v="559"/>
    <s v="GTX 1060"/>
    <x v="4"/>
    <x v="1"/>
  </r>
  <r>
    <n v="1465460"/>
    <s v="Infection Free Zone"/>
    <d v="2024-04-11T00:00:00"/>
    <n v="806"/>
    <b v="0"/>
    <n v="559"/>
    <s v="GTX 1060"/>
    <x v="5"/>
    <x v="0"/>
  </r>
  <r>
    <n v="1465460"/>
    <s v="Infection Free Zone"/>
    <d v="2024-04-11T00:00:00"/>
    <n v="806"/>
    <b v="0"/>
    <n v="559"/>
    <s v="GTX 1060"/>
    <x v="6"/>
    <x v="1"/>
  </r>
  <r>
    <n v="1845910"/>
    <s v="Dragon Age: The Veilguard"/>
    <d v="2024-10-31T00:00:00"/>
    <n v="804"/>
    <b v="0"/>
    <n v="560"/>
    <s v="RTX 2070"/>
    <x v="0"/>
    <x v="0"/>
  </r>
  <r>
    <n v="1845910"/>
    <s v="Dragon Age: The Veilguard"/>
    <d v="2024-10-31T00:00:00"/>
    <n v="804"/>
    <b v="0"/>
    <n v="560"/>
    <s v="RTX 2070"/>
    <x v="1"/>
    <x v="1"/>
  </r>
  <r>
    <n v="1845910"/>
    <s v="Dragon Age: The Veilguard"/>
    <d v="2024-10-31T00:00:00"/>
    <n v="804"/>
    <b v="0"/>
    <n v="560"/>
    <s v="RTX 2070"/>
    <x v="2"/>
    <x v="0"/>
  </r>
  <r>
    <n v="1845910"/>
    <s v="Dragon Age: The Veilguard"/>
    <d v="2024-10-31T00:00:00"/>
    <n v="804"/>
    <b v="0"/>
    <n v="560"/>
    <s v="RTX 2070"/>
    <x v="3"/>
    <x v="1"/>
  </r>
  <r>
    <n v="1845910"/>
    <s v="Dragon Age: The Veilguard"/>
    <d v="2024-10-31T00:00:00"/>
    <n v="804"/>
    <b v="0"/>
    <n v="560"/>
    <s v="RTX 2070"/>
    <x v="4"/>
    <x v="0"/>
  </r>
  <r>
    <n v="1845910"/>
    <s v="Dragon Age: The Veilguard"/>
    <d v="2024-10-31T00:00:00"/>
    <n v="804"/>
    <b v="0"/>
    <n v="560"/>
    <s v="RTX 2070"/>
    <x v="5"/>
    <x v="0"/>
  </r>
  <r>
    <n v="1845910"/>
    <s v="Dragon Age: The Veilguard"/>
    <d v="2024-10-31T00:00:00"/>
    <n v="804"/>
    <b v="0"/>
    <n v="560"/>
    <s v="RTX 2070"/>
    <x v="6"/>
    <x v="1"/>
  </r>
  <r>
    <n v="266840"/>
    <s v="Age of Mythology: Extended Edition"/>
    <d v="2014-05-08T00:00:00"/>
    <n v="804"/>
    <b v="0"/>
    <n v="560"/>
    <s v="GTX 970"/>
    <x v="0"/>
    <x v="1"/>
  </r>
  <r>
    <n v="266840"/>
    <s v="Age of Mythology: Extended Edition"/>
    <d v="2014-05-08T00:00:00"/>
    <n v="804"/>
    <b v="0"/>
    <n v="560"/>
    <s v="GTX 970"/>
    <x v="1"/>
    <x v="1"/>
  </r>
  <r>
    <n v="266840"/>
    <s v="Age of Mythology: Extended Edition"/>
    <d v="2014-05-08T00:00:00"/>
    <n v="804"/>
    <b v="0"/>
    <n v="560"/>
    <s v="GTX 970"/>
    <x v="2"/>
    <x v="1"/>
  </r>
  <r>
    <n v="266840"/>
    <s v="Age of Mythology: Extended Edition"/>
    <d v="2014-05-08T00:00:00"/>
    <n v="804"/>
    <b v="0"/>
    <n v="560"/>
    <s v="GTX 970"/>
    <x v="3"/>
    <x v="0"/>
  </r>
  <r>
    <n v="266840"/>
    <s v="Age of Mythology: Extended Edition"/>
    <d v="2014-05-08T00:00:00"/>
    <n v="804"/>
    <b v="0"/>
    <n v="560"/>
    <s v="GTX 970"/>
    <x v="4"/>
    <x v="1"/>
  </r>
  <r>
    <n v="266840"/>
    <s v="Age of Mythology: Extended Edition"/>
    <d v="2014-05-08T00:00:00"/>
    <n v="804"/>
    <b v="0"/>
    <n v="560"/>
    <s v="GTX 970"/>
    <x v="5"/>
    <x v="0"/>
  </r>
  <r>
    <n v="266840"/>
    <s v="Age of Mythology: Extended Edition"/>
    <d v="2014-05-08T00:00:00"/>
    <n v="804"/>
    <b v="0"/>
    <n v="560"/>
    <s v="GTX 970"/>
    <x v="6"/>
    <x v="1"/>
  </r>
  <r>
    <n v="774801"/>
    <s v="Crab Champions"/>
    <d v="2023-04-01T00:00:00"/>
    <n v="796"/>
    <b v="0"/>
    <n v="562"/>
    <s v="GTX 1650"/>
    <x v="0"/>
    <x v="0"/>
  </r>
  <r>
    <n v="774801"/>
    <s v="Crab Champions"/>
    <d v="2023-04-01T00:00:00"/>
    <n v="796"/>
    <b v="0"/>
    <n v="562"/>
    <s v="GTX 1650"/>
    <x v="1"/>
    <x v="0"/>
  </r>
  <r>
    <n v="774801"/>
    <s v="Crab Champions"/>
    <d v="2023-04-01T00:00:00"/>
    <n v="796"/>
    <b v="0"/>
    <n v="562"/>
    <s v="GTX 1650"/>
    <x v="2"/>
    <x v="0"/>
  </r>
  <r>
    <n v="774801"/>
    <s v="Crab Champions"/>
    <d v="2023-04-01T00:00:00"/>
    <n v="796"/>
    <b v="0"/>
    <n v="562"/>
    <s v="GTX 1650"/>
    <x v="3"/>
    <x v="1"/>
  </r>
  <r>
    <n v="774801"/>
    <s v="Crab Champions"/>
    <d v="2023-04-01T00:00:00"/>
    <n v="796"/>
    <b v="0"/>
    <n v="562"/>
    <s v="GTX 1650"/>
    <x v="4"/>
    <x v="1"/>
  </r>
  <r>
    <n v="774801"/>
    <s v="Crab Champions"/>
    <d v="2023-04-01T00:00:00"/>
    <n v="796"/>
    <b v="0"/>
    <n v="562"/>
    <s v="GTX 1650"/>
    <x v="5"/>
    <x v="1"/>
  </r>
  <r>
    <n v="774801"/>
    <s v="Crab Champions"/>
    <d v="2023-04-01T00:00:00"/>
    <n v="796"/>
    <b v="0"/>
    <n v="562"/>
    <s v="GTX 1650"/>
    <x v="6"/>
    <x v="1"/>
  </r>
  <r>
    <n v="2835570"/>
    <s v="Buckshot Roulette"/>
    <d v="2024-04-04T00:00:00"/>
    <n v="793"/>
    <b v="0"/>
    <n v="563"/>
    <s v="Radeon Vega 11"/>
    <x v="0"/>
    <x v="0"/>
  </r>
  <r>
    <n v="2835570"/>
    <s v="Buckshot Roulette"/>
    <d v="2024-04-04T00:00:00"/>
    <n v="793"/>
    <b v="0"/>
    <n v="563"/>
    <s v="Radeon Vega 11"/>
    <x v="1"/>
    <x v="0"/>
  </r>
  <r>
    <n v="2835570"/>
    <s v="Buckshot Roulette"/>
    <d v="2024-04-04T00:00:00"/>
    <n v="793"/>
    <b v="0"/>
    <n v="563"/>
    <s v="Radeon Vega 11"/>
    <x v="2"/>
    <x v="1"/>
  </r>
  <r>
    <n v="2835570"/>
    <s v="Buckshot Roulette"/>
    <d v="2024-04-04T00:00:00"/>
    <n v="793"/>
    <b v="0"/>
    <n v="563"/>
    <s v="Radeon Vega 11"/>
    <x v="3"/>
    <x v="0"/>
  </r>
  <r>
    <n v="2835570"/>
    <s v="Buckshot Roulette"/>
    <d v="2024-04-04T00:00:00"/>
    <n v="793"/>
    <b v="0"/>
    <n v="563"/>
    <s v="Radeon Vega 11"/>
    <x v="4"/>
    <x v="1"/>
  </r>
  <r>
    <n v="2835570"/>
    <s v="Buckshot Roulette"/>
    <d v="2024-04-04T00:00:00"/>
    <n v="793"/>
    <b v="0"/>
    <n v="563"/>
    <s v="Radeon Vega 11"/>
    <x v="5"/>
    <x v="1"/>
  </r>
  <r>
    <n v="2835570"/>
    <s v="Buckshot Roulette"/>
    <d v="2024-04-04T00:00:00"/>
    <n v="793"/>
    <b v="0"/>
    <n v="563"/>
    <s v="Radeon Vega 11"/>
    <x v="6"/>
    <x v="1"/>
  </r>
  <r>
    <n v="212500"/>
    <s v="The Lord of the Rings Online"/>
    <d v="2012-06-06T00:00:00"/>
    <n v="793"/>
    <b v="0"/>
    <n v="563"/>
    <s v="Radeon Graphics"/>
    <x v="0"/>
    <x v="0"/>
  </r>
  <r>
    <n v="212500"/>
    <s v="The Lord of the Rings Online"/>
    <d v="2012-06-06T00:00:00"/>
    <n v="793"/>
    <b v="0"/>
    <n v="563"/>
    <s v="Radeon Graphics"/>
    <x v="1"/>
    <x v="1"/>
  </r>
  <r>
    <n v="212500"/>
    <s v="The Lord of the Rings Online"/>
    <d v="2012-06-06T00:00:00"/>
    <n v="793"/>
    <b v="0"/>
    <n v="563"/>
    <s v="Radeon Graphics"/>
    <x v="2"/>
    <x v="0"/>
  </r>
  <r>
    <n v="212500"/>
    <s v="The Lord of the Rings Online"/>
    <d v="2012-06-06T00:00:00"/>
    <n v="793"/>
    <b v="0"/>
    <n v="563"/>
    <s v="Radeon Graphics"/>
    <x v="3"/>
    <x v="1"/>
  </r>
  <r>
    <n v="212500"/>
    <s v="The Lord of the Rings Online"/>
    <d v="2012-06-06T00:00:00"/>
    <n v="793"/>
    <b v="0"/>
    <n v="563"/>
    <s v="Radeon Graphics"/>
    <x v="4"/>
    <x v="0"/>
  </r>
  <r>
    <n v="212500"/>
    <s v="The Lord of the Rings Online"/>
    <d v="2012-06-06T00:00:00"/>
    <n v="793"/>
    <b v="0"/>
    <n v="563"/>
    <s v="Radeon Graphics"/>
    <x v="5"/>
    <x v="1"/>
  </r>
  <r>
    <n v="212500"/>
    <s v="The Lord of the Rings Online"/>
    <d v="2012-06-06T00:00:00"/>
    <n v="793"/>
    <b v="0"/>
    <n v="563"/>
    <s v="Radeon Graphics"/>
    <x v="6"/>
    <x v="0"/>
  </r>
  <r>
    <n v="418370"/>
    <s v="Resident Evil 7 Biohazard"/>
    <d v="2017-01-23T00:00:00"/>
    <n v="792"/>
    <b v="0"/>
    <n v="565"/>
    <s v="GTX 1060"/>
    <x v="0"/>
    <x v="0"/>
  </r>
  <r>
    <n v="418370"/>
    <s v="Resident Evil 7 Biohazard"/>
    <d v="2017-01-23T00:00:00"/>
    <n v="792"/>
    <b v="0"/>
    <n v="565"/>
    <s v="GTX 1060"/>
    <x v="1"/>
    <x v="1"/>
  </r>
  <r>
    <n v="418370"/>
    <s v="Resident Evil 7 Biohazard"/>
    <d v="2017-01-23T00:00:00"/>
    <n v="792"/>
    <b v="0"/>
    <n v="565"/>
    <s v="GTX 1060"/>
    <x v="2"/>
    <x v="0"/>
  </r>
  <r>
    <n v="418370"/>
    <s v="Resident Evil 7 Biohazard"/>
    <d v="2017-01-23T00:00:00"/>
    <n v="792"/>
    <b v="0"/>
    <n v="565"/>
    <s v="GTX 1060"/>
    <x v="3"/>
    <x v="1"/>
  </r>
  <r>
    <n v="418370"/>
    <s v="Resident Evil 7 Biohazard"/>
    <d v="2017-01-23T00:00:00"/>
    <n v="792"/>
    <b v="0"/>
    <n v="565"/>
    <s v="GTX 1060"/>
    <x v="4"/>
    <x v="1"/>
  </r>
  <r>
    <n v="418370"/>
    <s v="Resident Evil 7 Biohazard"/>
    <d v="2017-01-23T00:00:00"/>
    <n v="792"/>
    <b v="0"/>
    <n v="565"/>
    <s v="GTX 1060"/>
    <x v="5"/>
    <x v="1"/>
  </r>
  <r>
    <n v="418370"/>
    <s v="Resident Evil 7 Biohazard"/>
    <d v="2017-01-23T00:00:00"/>
    <n v="792"/>
    <b v="0"/>
    <n v="565"/>
    <s v="GTX 1060"/>
    <x v="6"/>
    <x v="1"/>
  </r>
  <r>
    <n v="2551020"/>
    <s v="One-armed robber"/>
    <d v="2023-12-15T00:00:00"/>
    <n v="786"/>
    <b v="0"/>
    <n v="566"/>
    <s v="GTX 1050"/>
    <x v="0"/>
    <x v="0"/>
  </r>
  <r>
    <n v="2551020"/>
    <s v="One-armed robber"/>
    <d v="2023-12-15T00:00:00"/>
    <n v="786"/>
    <b v="0"/>
    <n v="566"/>
    <s v="GTX 1050"/>
    <x v="1"/>
    <x v="0"/>
  </r>
  <r>
    <n v="2551020"/>
    <s v="One-armed robber"/>
    <d v="2023-12-15T00:00:00"/>
    <n v="786"/>
    <b v="0"/>
    <n v="566"/>
    <s v="GTX 1050"/>
    <x v="2"/>
    <x v="1"/>
  </r>
  <r>
    <n v="2551020"/>
    <s v="One-armed robber"/>
    <d v="2023-12-15T00:00:00"/>
    <n v="786"/>
    <b v="0"/>
    <n v="566"/>
    <s v="GTX 1050"/>
    <x v="3"/>
    <x v="0"/>
  </r>
  <r>
    <n v="2551020"/>
    <s v="One-armed robber"/>
    <d v="2023-12-15T00:00:00"/>
    <n v="786"/>
    <b v="0"/>
    <n v="566"/>
    <s v="GTX 1050"/>
    <x v="4"/>
    <x v="1"/>
  </r>
  <r>
    <n v="2551020"/>
    <s v="One-armed robber"/>
    <d v="2023-12-15T00:00:00"/>
    <n v="786"/>
    <b v="0"/>
    <n v="566"/>
    <s v="GTX 1050"/>
    <x v="5"/>
    <x v="0"/>
  </r>
  <r>
    <n v="2551020"/>
    <s v="One-armed robber"/>
    <d v="2023-12-15T00:00:00"/>
    <n v="786"/>
    <b v="0"/>
    <n v="566"/>
    <s v="GTX 1050"/>
    <x v="6"/>
    <x v="0"/>
  </r>
  <r>
    <n v="1096900"/>
    <s v="RPG Maker MZ"/>
    <d v="2020-08-27T00:00:00"/>
    <n v="783"/>
    <b v="1"/>
    <n v="567"/>
    <s v="Radeon Vega 11"/>
    <x v="0"/>
    <x v="1"/>
  </r>
  <r>
    <n v="1096900"/>
    <s v="RPG Maker MZ"/>
    <d v="2020-08-27T00:00:00"/>
    <n v="783"/>
    <b v="1"/>
    <n v="567"/>
    <s v="Radeon Vega 11"/>
    <x v="1"/>
    <x v="1"/>
  </r>
  <r>
    <n v="1096900"/>
    <s v="RPG Maker MZ"/>
    <d v="2020-08-27T00:00:00"/>
    <n v="783"/>
    <b v="1"/>
    <n v="567"/>
    <s v="Radeon Vega 11"/>
    <x v="2"/>
    <x v="1"/>
  </r>
  <r>
    <n v="1096900"/>
    <s v="RPG Maker MZ"/>
    <d v="2020-08-27T00:00:00"/>
    <n v="783"/>
    <b v="1"/>
    <n v="567"/>
    <s v="Radeon Vega 11"/>
    <x v="3"/>
    <x v="1"/>
  </r>
  <r>
    <n v="1096900"/>
    <s v="RPG Maker MZ"/>
    <d v="2020-08-27T00:00:00"/>
    <n v="783"/>
    <b v="1"/>
    <n v="567"/>
    <s v="Radeon Vega 11"/>
    <x v="4"/>
    <x v="0"/>
  </r>
  <r>
    <n v="1096900"/>
    <s v="RPG Maker MZ"/>
    <d v="2020-08-27T00:00:00"/>
    <n v="783"/>
    <b v="1"/>
    <n v="567"/>
    <s v="Radeon Vega 11"/>
    <x v="5"/>
    <x v="1"/>
  </r>
  <r>
    <n v="1096900"/>
    <s v="RPG Maker MZ"/>
    <d v="2020-08-27T00:00:00"/>
    <n v="783"/>
    <b v="1"/>
    <n v="567"/>
    <s v="Radeon Vega 11"/>
    <x v="6"/>
    <x v="1"/>
  </r>
  <r>
    <n v="2494350"/>
    <s v="Pro Cycling Manager 2024"/>
    <d v="2024-06-06T00:00:00"/>
    <n v="781"/>
    <b v="0"/>
    <n v="568"/>
    <s v="RX 560"/>
    <x v="0"/>
    <x v="1"/>
  </r>
  <r>
    <n v="2494350"/>
    <s v="Pro Cycling Manager 2024"/>
    <d v="2024-06-06T00:00:00"/>
    <n v="781"/>
    <b v="0"/>
    <n v="568"/>
    <s v="RX 560"/>
    <x v="1"/>
    <x v="1"/>
  </r>
  <r>
    <n v="2494350"/>
    <s v="Pro Cycling Manager 2024"/>
    <d v="2024-06-06T00:00:00"/>
    <n v="781"/>
    <b v="0"/>
    <n v="568"/>
    <s v="RX 560"/>
    <x v="2"/>
    <x v="1"/>
  </r>
  <r>
    <n v="2494350"/>
    <s v="Pro Cycling Manager 2024"/>
    <d v="2024-06-06T00:00:00"/>
    <n v="781"/>
    <b v="0"/>
    <n v="568"/>
    <s v="RX 560"/>
    <x v="3"/>
    <x v="0"/>
  </r>
  <r>
    <n v="2494350"/>
    <s v="Pro Cycling Manager 2024"/>
    <d v="2024-06-06T00:00:00"/>
    <n v="781"/>
    <b v="0"/>
    <n v="568"/>
    <s v="RX 560"/>
    <x v="4"/>
    <x v="1"/>
  </r>
  <r>
    <n v="2494350"/>
    <s v="Pro Cycling Manager 2024"/>
    <d v="2024-06-06T00:00:00"/>
    <n v="781"/>
    <b v="0"/>
    <n v="568"/>
    <s v="RX 560"/>
    <x v="5"/>
    <x v="1"/>
  </r>
  <r>
    <n v="2494350"/>
    <s v="Pro Cycling Manager 2024"/>
    <d v="2024-06-06T00:00:00"/>
    <n v="781"/>
    <b v="0"/>
    <n v="568"/>
    <s v="RX 560"/>
    <x v="6"/>
    <x v="1"/>
  </r>
  <r>
    <n v="233450"/>
    <s v="Prison Architect"/>
    <d v="2015-10-06T00:00:00"/>
    <n v="781"/>
    <b v="1"/>
    <n v="568"/>
    <s v="Radeon Graphics"/>
    <x v="0"/>
    <x v="1"/>
  </r>
  <r>
    <n v="233450"/>
    <s v="Prison Architect"/>
    <d v="2015-10-06T00:00:00"/>
    <n v="781"/>
    <b v="1"/>
    <n v="568"/>
    <s v="Radeon Graphics"/>
    <x v="1"/>
    <x v="0"/>
  </r>
  <r>
    <n v="233450"/>
    <s v="Prison Architect"/>
    <d v="2015-10-06T00:00:00"/>
    <n v="781"/>
    <b v="1"/>
    <n v="568"/>
    <s v="Radeon Graphics"/>
    <x v="2"/>
    <x v="1"/>
  </r>
  <r>
    <n v="233450"/>
    <s v="Prison Architect"/>
    <d v="2015-10-06T00:00:00"/>
    <n v="781"/>
    <b v="1"/>
    <n v="568"/>
    <s v="Radeon Graphics"/>
    <x v="3"/>
    <x v="0"/>
  </r>
  <r>
    <n v="233450"/>
    <s v="Prison Architect"/>
    <d v="2015-10-06T00:00:00"/>
    <n v="781"/>
    <b v="1"/>
    <n v="568"/>
    <s v="Radeon Graphics"/>
    <x v="4"/>
    <x v="1"/>
  </r>
  <r>
    <n v="233450"/>
    <s v="Prison Architect"/>
    <d v="2015-10-06T00:00:00"/>
    <n v="781"/>
    <b v="1"/>
    <n v="568"/>
    <s v="Radeon Graphics"/>
    <x v="5"/>
    <x v="0"/>
  </r>
  <r>
    <n v="233450"/>
    <s v="Prison Architect"/>
    <d v="2015-10-06T00:00:00"/>
    <n v="781"/>
    <b v="1"/>
    <n v="568"/>
    <s v="Radeon Graphics"/>
    <x v="6"/>
    <x v="1"/>
  </r>
  <r>
    <n v="391220"/>
    <s v="Rise of the Tomb Raider"/>
    <d v="2016-02-09T00:00:00"/>
    <n v="777"/>
    <b v="1"/>
    <n v="570"/>
    <s v="GTX 980 Ti"/>
    <x v="0"/>
    <x v="0"/>
  </r>
  <r>
    <n v="391220"/>
    <s v="Rise of the Tomb Raider"/>
    <d v="2016-02-09T00:00:00"/>
    <n v="777"/>
    <b v="1"/>
    <n v="570"/>
    <s v="GTX 980 Ti"/>
    <x v="1"/>
    <x v="1"/>
  </r>
  <r>
    <n v="391220"/>
    <s v="Rise of the Tomb Raider"/>
    <d v="2016-02-09T00:00:00"/>
    <n v="777"/>
    <b v="1"/>
    <n v="570"/>
    <s v="GTX 980 Ti"/>
    <x v="2"/>
    <x v="0"/>
  </r>
  <r>
    <n v="391220"/>
    <s v="Rise of the Tomb Raider"/>
    <d v="2016-02-09T00:00:00"/>
    <n v="777"/>
    <b v="1"/>
    <n v="570"/>
    <s v="GTX 980 Ti"/>
    <x v="3"/>
    <x v="1"/>
  </r>
  <r>
    <n v="391220"/>
    <s v="Rise of the Tomb Raider"/>
    <d v="2016-02-09T00:00:00"/>
    <n v="777"/>
    <b v="1"/>
    <n v="570"/>
    <s v="GTX 980 Ti"/>
    <x v="4"/>
    <x v="1"/>
  </r>
  <r>
    <n v="391220"/>
    <s v="Rise of the Tomb Raider"/>
    <d v="2016-02-09T00:00:00"/>
    <n v="777"/>
    <b v="1"/>
    <n v="570"/>
    <s v="GTX 980 Ti"/>
    <x v="5"/>
    <x v="1"/>
  </r>
  <r>
    <n v="391220"/>
    <s v="Rise of the Tomb Raider"/>
    <d v="2016-02-09T00:00:00"/>
    <n v="777"/>
    <b v="1"/>
    <n v="570"/>
    <s v="GTX 980 Ti"/>
    <x v="6"/>
    <x v="1"/>
  </r>
  <r>
    <n v="359870"/>
    <s v="FINAL FANTASY X/X-2 HD Remaster"/>
    <d v="2016-05-12T00:00:00"/>
    <n v="776"/>
    <b v="0"/>
    <n v="571"/>
    <s v="Radeon Vega 8"/>
    <x v="0"/>
    <x v="1"/>
  </r>
  <r>
    <n v="359870"/>
    <s v="FINAL FANTASY X/X-2 HD Remaster"/>
    <d v="2016-05-12T00:00:00"/>
    <n v="776"/>
    <b v="0"/>
    <n v="571"/>
    <s v="Radeon Vega 8"/>
    <x v="1"/>
    <x v="1"/>
  </r>
  <r>
    <n v="359870"/>
    <s v="FINAL FANTASY X/X-2 HD Remaster"/>
    <d v="2016-05-12T00:00:00"/>
    <n v="776"/>
    <b v="0"/>
    <n v="571"/>
    <s v="Radeon Vega 8"/>
    <x v="2"/>
    <x v="1"/>
  </r>
  <r>
    <n v="359870"/>
    <s v="FINAL FANTASY X/X-2 HD Remaster"/>
    <d v="2016-05-12T00:00:00"/>
    <n v="776"/>
    <b v="0"/>
    <n v="571"/>
    <s v="Radeon Vega 8"/>
    <x v="3"/>
    <x v="1"/>
  </r>
  <r>
    <n v="359870"/>
    <s v="FINAL FANTASY X/X-2 HD Remaster"/>
    <d v="2016-05-12T00:00:00"/>
    <n v="776"/>
    <b v="0"/>
    <n v="571"/>
    <s v="Radeon Vega 8"/>
    <x v="4"/>
    <x v="0"/>
  </r>
  <r>
    <n v="359870"/>
    <s v="FINAL FANTASY X/X-2 HD Remaster"/>
    <d v="2016-05-12T00:00:00"/>
    <n v="776"/>
    <b v="0"/>
    <n v="571"/>
    <s v="Radeon Vega 8"/>
    <x v="5"/>
    <x v="1"/>
  </r>
  <r>
    <n v="359870"/>
    <s v="FINAL FANTASY X/X-2 HD Remaster"/>
    <d v="2016-05-12T00:00:00"/>
    <n v="776"/>
    <b v="0"/>
    <n v="571"/>
    <s v="Radeon Vega 8"/>
    <x v="6"/>
    <x v="1"/>
  </r>
  <r>
    <n v="500"/>
    <s v="Left 4 Dead"/>
    <d v="2008-11-17T00:00:00"/>
    <n v="774"/>
    <b v="0"/>
    <n v="572"/>
    <s v="Radeon Graphics"/>
    <x v="0"/>
    <x v="0"/>
  </r>
  <r>
    <n v="500"/>
    <s v="Left 4 Dead"/>
    <d v="2008-11-17T00:00:00"/>
    <n v="774"/>
    <b v="0"/>
    <n v="572"/>
    <s v="Radeon Graphics"/>
    <x v="1"/>
    <x v="1"/>
  </r>
  <r>
    <n v="500"/>
    <s v="Left 4 Dead"/>
    <d v="2008-11-17T00:00:00"/>
    <n v="774"/>
    <b v="0"/>
    <n v="572"/>
    <s v="Radeon Graphics"/>
    <x v="2"/>
    <x v="1"/>
  </r>
  <r>
    <n v="500"/>
    <s v="Left 4 Dead"/>
    <d v="2008-11-17T00:00:00"/>
    <n v="774"/>
    <b v="0"/>
    <n v="572"/>
    <s v="Radeon Graphics"/>
    <x v="3"/>
    <x v="1"/>
  </r>
  <r>
    <n v="500"/>
    <s v="Left 4 Dead"/>
    <d v="2008-11-17T00:00:00"/>
    <n v="774"/>
    <b v="0"/>
    <n v="572"/>
    <s v="Radeon Graphics"/>
    <x v="4"/>
    <x v="1"/>
  </r>
  <r>
    <n v="500"/>
    <s v="Left 4 Dead"/>
    <d v="2008-11-17T00:00:00"/>
    <n v="774"/>
    <b v="0"/>
    <n v="572"/>
    <s v="Radeon Graphics"/>
    <x v="5"/>
    <x v="1"/>
  </r>
  <r>
    <n v="500"/>
    <s v="Left 4 Dead"/>
    <d v="2008-11-17T00:00:00"/>
    <n v="774"/>
    <b v="0"/>
    <n v="572"/>
    <s v="Radeon Graphics"/>
    <x v="6"/>
    <x v="1"/>
  </r>
  <r>
    <n v="365590"/>
    <s v="Tom Clancy's The Division"/>
    <d v="2016-03-07T00:00:00"/>
    <n v="774"/>
    <b v="0"/>
    <n v="572"/>
    <s v="GTX 970"/>
    <x v="0"/>
    <x v="0"/>
  </r>
  <r>
    <n v="365590"/>
    <s v="Tom Clancy's The Division"/>
    <d v="2016-03-07T00:00:00"/>
    <n v="774"/>
    <b v="0"/>
    <n v="572"/>
    <s v="GTX 970"/>
    <x v="1"/>
    <x v="1"/>
  </r>
  <r>
    <n v="365590"/>
    <s v="Tom Clancy's The Division"/>
    <d v="2016-03-07T00:00:00"/>
    <n v="774"/>
    <b v="0"/>
    <n v="572"/>
    <s v="GTX 970"/>
    <x v="2"/>
    <x v="0"/>
  </r>
  <r>
    <n v="365590"/>
    <s v="Tom Clancy's The Division"/>
    <d v="2016-03-07T00:00:00"/>
    <n v="774"/>
    <b v="0"/>
    <n v="572"/>
    <s v="GTX 970"/>
    <x v="3"/>
    <x v="1"/>
  </r>
  <r>
    <n v="365590"/>
    <s v="Tom Clancy's The Division"/>
    <d v="2016-03-07T00:00:00"/>
    <n v="774"/>
    <b v="0"/>
    <n v="572"/>
    <s v="GTX 970"/>
    <x v="4"/>
    <x v="0"/>
  </r>
  <r>
    <n v="365590"/>
    <s v="Tom Clancy's The Division"/>
    <d v="2016-03-07T00:00:00"/>
    <n v="774"/>
    <b v="0"/>
    <n v="572"/>
    <s v="GTX 970"/>
    <x v="5"/>
    <x v="1"/>
  </r>
  <r>
    <n v="365590"/>
    <s v="Tom Clancy's The Division"/>
    <d v="2016-03-07T00:00:00"/>
    <n v="774"/>
    <b v="0"/>
    <n v="572"/>
    <s v="GTX 970"/>
    <x v="6"/>
    <x v="1"/>
  </r>
  <r>
    <n v="2054970"/>
    <s v="Dragon's Dogma 2"/>
    <d v="2024-03-21T00:00:00"/>
    <n v="768"/>
    <b v="0"/>
    <n v="574"/>
    <s v="RTX 2080"/>
    <x v="0"/>
    <x v="0"/>
  </r>
  <r>
    <n v="2054970"/>
    <s v="Dragon's Dogma 2"/>
    <d v="2024-03-21T00:00:00"/>
    <n v="768"/>
    <b v="0"/>
    <n v="574"/>
    <s v="RTX 2080"/>
    <x v="1"/>
    <x v="1"/>
  </r>
  <r>
    <n v="2054970"/>
    <s v="Dragon's Dogma 2"/>
    <d v="2024-03-21T00:00:00"/>
    <n v="768"/>
    <b v="0"/>
    <n v="574"/>
    <s v="RTX 2080"/>
    <x v="2"/>
    <x v="1"/>
  </r>
  <r>
    <n v="2054970"/>
    <s v="Dragon's Dogma 2"/>
    <d v="2024-03-21T00:00:00"/>
    <n v="768"/>
    <b v="0"/>
    <n v="574"/>
    <s v="RTX 2080"/>
    <x v="3"/>
    <x v="1"/>
  </r>
  <r>
    <n v="2054970"/>
    <s v="Dragon's Dogma 2"/>
    <d v="2024-03-21T00:00:00"/>
    <n v="768"/>
    <b v="0"/>
    <n v="574"/>
    <s v="RTX 2080"/>
    <x v="4"/>
    <x v="0"/>
  </r>
  <r>
    <n v="2054970"/>
    <s v="Dragon's Dogma 2"/>
    <d v="2024-03-21T00:00:00"/>
    <n v="768"/>
    <b v="0"/>
    <n v="574"/>
    <s v="RTX 2080"/>
    <x v="5"/>
    <x v="1"/>
  </r>
  <r>
    <n v="2054970"/>
    <s v="Dragon's Dogma 2"/>
    <d v="2024-03-21T00:00:00"/>
    <n v="768"/>
    <b v="0"/>
    <n v="574"/>
    <s v="RTX 2080"/>
    <x v="6"/>
    <x v="1"/>
  </r>
  <r>
    <n v="361280"/>
    <s v="Turmoil"/>
    <d v="2016-06-02T00:00:00"/>
    <n v="767"/>
    <b v="1"/>
    <n v="575"/>
    <s v="Radeon Graphics"/>
    <x v="0"/>
    <x v="1"/>
  </r>
  <r>
    <n v="361280"/>
    <s v="Turmoil"/>
    <d v="2016-06-02T00:00:00"/>
    <n v="767"/>
    <b v="1"/>
    <n v="575"/>
    <s v="Radeon Graphics"/>
    <x v="1"/>
    <x v="0"/>
  </r>
  <r>
    <n v="361280"/>
    <s v="Turmoil"/>
    <d v="2016-06-02T00:00:00"/>
    <n v="767"/>
    <b v="1"/>
    <n v="575"/>
    <s v="Radeon Graphics"/>
    <x v="2"/>
    <x v="1"/>
  </r>
  <r>
    <n v="361280"/>
    <s v="Turmoil"/>
    <d v="2016-06-02T00:00:00"/>
    <n v="767"/>
    <b v="1"/>
    <n v="575"/>
    <s v="Radeon Graphics"/>
    <x v="3"/>
    <x v="0"/>
  </r>
  <r>
    <n v="361280"/>
    <s v="Turmoil"/>
    <d v="2016-06-02T00:00:00"/>
    <n v="767"/>
    <b v="1"/>
    <n v="575"/>
    <s v="Radeon Graphics"/>
    <x v="4"/>
    <x v="1"/>
  </r>
  <r>
    <n v="361280"/>
    <s v="Turmoil"/>
    <d v="2016-06-02T00:00:00"/>
    <n v="767"/>
    <b v="1"/>
    <n v="575"/>
    <s v="Radeon Graphics"/>
    <x v="5"/>
    <x v="0"/>
  </r>
  <r>
    <n v="361280"/>
    <s v="Turmoil"/>
    <d v="2016-06-02T00:00:00"/>
    <n v="767"/>
    <b v="1"/>
    <n v="575"/>
    <s v="Radeon Graphics"/>
    <x v="6"/>
    <x v="1"/>
  </r>
  <r>
    <n v="885970"/>
    <s v="Total War: ROME REMASTERED"/>
    <d v="2021-04-29T00:00:00"/>
    <n v="764"/>
    <b v="1"/>
    <n v="576"/>
    <s v="GTX 1050 Ti"/>
    <x v="0"/>
    <x v="1"/>
  </r>
  <r>
    <n v="885970"/>
    <s v="Total War: ROME REMASTERED"/>
    <d v="2021-04-29T00:00:00"/>
    <n v="764"/>
    <b v="1"/>
    <n v="576"/>
    <s v="GTX 1050 Ti"/>
    <x v="1"/>
    <x v="1"/>
  </r>
  <r>
    <n v="885970"/>
    <s v="Total War: ROME REMASTERED"/>
    <d v="2021-04-29T00:00:00"/>
    <n v="764"/>
    <b v="1"/>
    <n v="576"/>
    <s v="GTX 1050 Ti"/>
    <x v="2"/>
    <x v="1"/>
  </r>
  <r>
    <n v="885970"/>
    <s v="Total War: ROME REMASTERED"/>
    <d v="2021-04-29T00:00:00"/>
    <n v="764"/>
    <b v="1"/>
    <n v="576"/>
    <s v="GTX 1050 Ti"/>
    <x v="3"/>
    <x v="1"/>
  </r>
  <r>
    <n v="885970"/>
    <s v="Total War: ROME REMASTERED"/>
    <d v="2021-04-29T00:00:00"/>
    <n v="764"/>
    <b v="1"/>
    <n v="576"/>
    <s v="GTX 1050 Ti"/>
    <x v="4"/>
    <x v="1"/>
  </r>
  <r>
    <n v="885970"/>
    <s v="Total War: ROME REMASTERED"/>
    <d v="2021-04-29T00:00:00"/>
    <n v="764"/>
    <b v="1"/>
    <n v="576"/>
    <s v="GTX 1050 Ti"/>
    <x v="5"/>
    <x v="0"/>
  </r>
  <r>
    <n v="885970"/>
    <s v="Total War: ROME REMASTERED"/>
    <d v="2021-04-29T00:00:00"/>
    <n v="764"/>
    <b v="1"/>
    <n v="576"/>
    <s v="GTX 1050 Ti"/>
    <x v="6"/>
    <x v="1"/>
  </r>
  <r>
    <n v="629760"/>
    <s v="MORDHAU"/>
    <d v="2019-04-29T00:00:00"/>
    <n v="764"/>
    <b v="0"/>
    <n v="576"/>
    <s v="GTX 1060"/>
    <x v="0"/>
    <x v="0"/>
  </r>
  <r>
    <n v="629760"/>
    <s v="MORDHAU"/>
    <d v="2019-04-29T00:00:00"/>
    <n v="764"/>
    <b v="0"/>
    <n v="576"/>
    <s v="GTX 1060"/>
    <x v="1"/>
    <x v="0"/>
  </r>
  <r>
    <n v="629760"/>
    <s v="MORDHAU"/>
    <d v="2019-04-29T00:00:00"/>
    <n v="764"/>
    <b v="0"/>
    <n v="576"/>
    <s v="GTX 1060"/>
    <x v="2"/>
    <x v="1"/>
  </r>
  <r>
    <n v="629760"/>
    <s v="MORDHAU"/>
    <d v="2019-04-29T00:00:00"/>
    <n v="764"/>
    <b v="0"/>
    <n v="576"/>
    <s v="GTX 1060"/>
    <x v="3"/>
    <x v="1"/>
  </r>
  <r>
    <n v="629760"/>
    <s v="MORDHAU"/>
    <d v="2019-04-29T00:00:00"/>
    <n v="764"/>
    <b v="0"/>
    <n v="576"/>
    <s v="GTX 1060"/>
    <x v="4"/>
    <x v="1"/>
  </r>
  <r>
    <n v="629760"/>
    <s v="MORDHAU"/>
    <d v="2019-04-29T00:00:00"/>
    <n v="764"/>
    <b v="0"/>
    <n v="576"/>
    <s v="GTX 1060"/>
    <x v="5"/>
    <x v="1"/>
  </r>
  <r>
    <n v="629760"/>
    <s v="MORDHAU"/>
    <d v="2019-04-29T00:00:00"/>
    <n v="764"/>
    <b v="0"/>
    <n v="576"/>
    <s v="GTX 1060"/>
    <x v="6"/>
    <x v="1"/>
  </r>
  <r>
    <n v="3003300"/>
    <s v="ZMﾂDesktopﾂElf"/>
    <d v="2025-02-13T00:00:00"/>
    <n v="762"/>
    <b v="0"/>
    <n v="578"/>
    <s v="GTX 1050 Ti"/>
    <x v="0"/>
    <x v="1"/>
  </r>
  <r>
    <n v="3003300"/>
    <s v="ZMﾂDesktopﾂElf"/>
    <d v="2025-02-13T00:00:00"/>
    <n v="762"/>
    <b v="0"/>
    <n v="578"/>
    <s v="GTX 1050 Ti"/>
    <x v="1"/>
    <x v="1"/>
  </r>
  <r>
    <n v="3003300"/>
    <s v="ZMﾂDesktopﾂElf"/>
    <d v="2025-02-13T00:00:00"/>
    <n v="762"/>
    <b v="0"/>
    <n v="578"/>
    <s v="GTX 1050 Ti"/>
    <x v="2"/>
    <x v="1"/>
  </r>
  <r>
    <n v="3003300"/>
    <s v="ZMﾂDesktopﾂElf"/>
    <d v="2025-02-13T00:00:00"/>
    <n v="762"/>
    <b v="0"/>
    <n v="578"/>
    <s v="GTX 1050 Ti"/>
    <x v="3"/>
    <x v="1"/>
  </r>
  <r>
    <n v="3003300"/>
    <s v="ZMﾂDesktopﾂElf"/>
    <d v="2025-02-13T00:00:00"/>
    <n v="762"/>
    <b v="0"/>
    <n v="578"/>
    <s v="GTX 1050 Ti"/>
    <x v="4"/>
    <x v="1"/>
  </r>
  <r>
    <n v="3003300"/>
    <s v="ZMﾂDesktopﾂElf"/>
    <d v="2025-02-13T00:00:00"/>
    <n v="762"/>
    <b v="0"/>
    <n v="578"/>
    <s v="GTX 1050 Ti"/>
    <x v="5"/>
    <x v="1"/>
  </r>
  <r>
    <n v="3003300"/>
    <s v="ZMﾂDesktopﾂElf"/>
    <d v="2025-02-13T00:00:00"/>
    <n v="762"/>
    <b v="0"/>
    <n v="578"/>
    <s v="GTX 1050 Ti"/>
    <x v="6"/>
    <x v="0"/>
  </r>
  <r>
    <n v="1948800"/>
    <s v="Yi Xian: The Cultivation Card Game"/>
    <d v="2024-01-21T00:00:00"/>
    <n v="761"/>
    <b v="1"/>
    <n v="579"/>
    <s v="Radeon Vega 11"/>
    <x v="0"/>
    <x v="1"/>
  </r>
  <r>
    <n v="1948800"/>
    <s v="Yi Xian: The Cultivation Card Game"/>
    <d v="2024-01-21T00:00:00"/>
    <n v="761"/>
    <b v="1"/>
    <n v="579"/>
    <s v="Radeon Vega 11"/>
    <x v="1"/>
    <x v="0"/>
  </r>
  <r>
    <n v="1948800"/>
    <s v="Yi Xian: The Cultivation Card Game"/>
    <d v="2024-01-21T00:00:00"/>
    <n v="761"/>
    <b v="1"/>
    <n v="579"/>
    <s v="Radeon Vega 11"/>
    <x v="2"/>
    <x v="1"/>
  </r>
  <r>
    <n v="1948800"/>
    <s v="Yi Xian: The Cultivation Card Game"/>
    <d v="2024-01-21T00:00:00"/>
    <n v="761"/>
    <b v="1"/>
    <n v="579"/>
    <s v="Radeon Vega 11"/>
    <x v="3"/>
    <x v="1"/>
  </r>
  <r>
    <n v="1948800"/>
    <s v="Yi Xian: The Cultivation Card Game"/>
    <d v="2024-01-21T00:00:00"/>
    <n v="761"/>
    <b v="1"/>
    <n v="579"/>
    <s v="Radeon Vega 11"/>
    <x v="4"/>
    <x v="1"/>
  </r>
  <r>
    <n v="1948800"/>
    <s v="Yi Xian: The Cultivation Card Game"/>
    <d v="2024-01-21T00:00:00"/>
    <n v="761"/>
    <b v="1"/>
    <n v="579"/>
    <s v="Radeon Vega 11"/>
    <x v="5"/>
    <x v="0"/>
  </r>
  <r>
    <n v="1948800"/>
    <s v="Yi Xian: The Cultivation Card Game"/>
    <d v="2024-01-21T00:00:00"/>
    <n v="761"/>
    <b v="1"/>
    <n v="579"/>
    <s v="Radeon Vega 11"/>
    <x v="6"/>
    <x v="0"/>
  </r>
  <r>
    <n v="1462040"/>
    <s v="FINAL FANTASY VII REMAKE INTERGRADE"/>
    <d v="2022-06-17T00:00:00"/>
    <n v="761"/>
    <b v="0"/>
    <n v="579"/>
    <s v="RX 5700"/>
    <x v="0"/>
    <x v="0"/>
  </r>
  <r>
    <n v="1462040"/>
    <s v="FINAL FANTASY VII REMAKE INTERGRADE"/>
    <d v="2022-06-17T00:00:00"/>
    <n v="761"/>
    <b v="0"/>
    <n v="579"/>
    <s v="RX 5700"/>
    <x v="1"/>
    <x v="1"/>
  </r>
  <r>
    <n v="1462040"/>
    <s v="FINAL FANTASY VII REMAKE INTERGRADE"/>
    <d v="2022-06-17T00:00:00"/>
    <n v="761"/>
    <b v="0"/>
    <n v="579"/>
    <s v="RX 5700"/>
    <x v="2"/>
    <x v="0"/>
  </r>
  <r>
    <n v="1462040"/>
    <s v="FINAL FANTASY VII REMAKE INTERGRADE"/>
    <d v="2022-06-17T00:00:00"/>
    <n v="761"/>
    <b v="0"/>
    <n v="579"/>
    <s v="RX 5700"/>
    <x v="3"/>
    <x v="1"/>
  </r>
  <r>
    <n v="1462040"/>
    <s v="FINAL FANTASY VII REMAKE INTERGRADE"/>
    <d v="2022-06-17T00:00:00"/>
    <n v="761"/>
    <b v="0"/>
    <n v="579"/>
    <s v="RX 5700"/>
    <x v="4"/>
    <x v="0"/>
  </r>
  <r>
    <n v="1462040"/>
    <s v="FINAL FANTASY VII REMAKE INTERGRADE"/>
    <d v="2022-06-17T00:00:00"/>
    <n v="761"/>
    <b v="0"/>
    <n v="579"/>
    <s v="RX 5700"/>
    <x v="5"/>
    <x v="1"/>
  </r>
  <r>
    <n v="1462040"/>
    <s v="FINAL FANTASY VII REMAKE INTERGRADE"/>
    <d v="2022-06-17T00:00:00"/>
    <n v="761"/>
    <b v="0"/>
    <n v="579"/>
    <s v="RX 5700"/>
    <x v="6"/>
    <x v="1"/>
  </r>
  <r>
    <n v="304050"/>
    <s v="Trove"/>
    <d v="2015-07-09T00:00:00"/>
    <n v="758"/>
    <b v="0"/>
    <n v="581"/>
    <s v="GTX 970"/>
    <x v="0"/>
    <x v="0"/>
  </r>
  <r>
    <n v="304050"/>
    <s v="Trove"/>
    <d v="2015-07-09T00:00:00"/>
    <n v="758"/>
    <b v="0"/>
    <n v="581"/>
    <s v="GTX 970"/>
    <x v="1"/>
    <x v="1"/>
  </r>
  <r>
    <n v="304050"/>
    <s v="Trove"/>
    <d v="2015-07-09T00:00:00"/>
    <n v="758"/>
    <b v="0"/>
    <n v="581"/>
    <s v="GTX 970"/>
    <x v="2"/>
    <x v="0"/>
  </r>
  <r>
    <n v="304050"/>
    <s v="Trove"/>
    <d v="2015-07-09T00:00:00"/>
    <n v="758"/>
    <b v="0"/>
    <n v="581"/>
    <s v="GTX 970"/>
    <x v="3"/>
    <x v="1"/>
  </r>
  <r>
    <n v="304050"/>
    <s v="Trove"/>
    <d v="2015-07-09T00:00:00"/>
    <n v="758"/>
    <b v="0"/>
    <n v="581"/>
    <s v="GTX 970"/>
    <x v="4"/>
    <x v="0"/>
  </r>
  <r>
    <n v="304050"/>
    <s v="Trove"/>
    <d v="2015-07-09T00:00:00"/>
    <n v="758"/>
    <b v="0"/>
    <n v="581"/>
    <s v="GTX 970"/>
    <x v="5"/>
    <x v="1"/>
  </r>
  <r>
    <n v="304050"/>
    <s v="Trove"/>
    <d v="2015-07-09T00:00:00"/>
    <n v="758"/>
    <b v="0"/>
    <n v="581"/>
    <s v="GTX 970"/>
    <x v="6"/>
    <x v="0"/>
  </r>
  <r>
    <n v="282070"/>
    <s v="This War of Mine"/>
    <d v="2014-11-14T00:00:00"/>
    <n v="756"/>
    <b v="1"/>
    <n v="582"/>
    <s v="GTX 980 Ti"/>
    <x v="0"/>
    <x v="1"/>
  </r>
  <r>
    <n v="282070"/>
    <s v="This War of Mine"/>
    <d v="2014-11-14T00:00:00"/>
    <n v="756"/>
    <b v="1"/>
    <n v="582"/>
    <s v="GTX 980 Ti"/>
    <x v="1"/>
    <x v="0"/>
  </r>
  <r>
    <n v="282070"/>
    <s v="This War of Mine"/>
    <d v="2014-11-14T00:00:00"/>
    <n v="756"/>
    <b v="1"/>
    <n v="582"/>
    <s v="GTX 980 Ti"/>
    <x v="2"/>
    <x v="0"/>
  </r>
  <r>
    <n v="282070"/>
    <s v="This War of Mine"/>
    <d v="2014-11-14T00:00:00"/>
    <n v="756"/>
    <b v="1"/>
    <n v="582"/>
    <s v="GTX 980 Ti"/>
    <x v="3"/>
    <x v="0"/>
  </r>
  <r>
    <n v="282070"/>
    <s v="This War of Mine"/>
    <d v="2014-11-14T00:00:00"/>
    <n v="756"/>
    <b v="1"/>
    <n v="582"/>
    <s v="GTX 980 Ti"/>
    <x v="4"/>
    <x v="1"/>
  </r>
  <r>
    <n v="282070"/>
    <s v="This War of Mine"/>
    <d v="2014-11-14T00:00:00"/>
    <n v="756"/>
    <b v="1"/>
    <n v="582"/>
    <s v="GTX 980 Ti"/>
    <x v="5"/>
    <x v="1"/>
  </r>
  <r>
    <n v="282070"/>
    <s v="This War of Mine"/>
    <d v="2014-11-14T00:00:00"/>
    <n v="756"/>
    <b v="1"/>
    <n v="582"/>
    <s v="GTX 980 Ti"/>
    <x v="6"/>
    <x v="1"/>
  </r>
  <r>
    <n v="704450"/>
    <s v="Neverwinter Nights: Enhanced Edition"/>
    <d v="2018-03-27T00:00:00"/>
    <n v="753"/>
    <b v="1"/>
    <n v="583"/>
    <s v="Radeon Vega 11"/>
    <x v="0"/>
    <x v="1"/>
  </r>
  <r>
    <n v="704450"/>
    <s v="Neverwinter Nights: Enhanced Edition"/>
    <d v="2018-03-27T00:00:00"/>
    <n v="753"/>
    <b v="1"/>
    <n v="583"/>
    <s v="Radeon Vega 11"/>
    <x v="1"/>
    <x v="1"/>
  </r>
  <r>
    <n v="704450"/>
    <s v="Neverwinter Nights: Enhanced Edition"/>
    <d v="2018-03-27T00:00:00"/>
    <n v="753"/>
    <b v="1"/>
    <n v="583"/>
    <s v="Radeon Vega 11"/>
    <x v="2"/>
    <x v="1"/>
  </r>
  <r>
    <n v="704450"/>
    <s v="Neverwinter Nights: Enhanced Edition"/>
    <d v="2018-03-27T00:00:00"/>
    <n v="753"/>
    <b v="1"/>
    <n v="583"/>
    <s v="Radeon Vega 11"/>
    <x v="3"/>
    <x v="1"/>
  </r>
  <r>
    <n v="704450"/>
    <s v="Neverwinter Nights: Enhanced Edition"/>
    <d v="2018-03-27T00:00:00"/>
    <n v="753"/>
    <b v="1"/>
    <n v="583"/>
    <s v="Radeon Vega 11"/>
    <x v="4"/>
    <x v="0"/>
  </r>
  <r>
    <n v="704450"/>
    <s v="Neverwinter Nights: Enhanced Edition"/>
    <d v="2018-03-27T00:00:00"/>
    <n v="753"/>
    <b v="1"/>
    <n v="583"/>
    <s v="Radeon Vega 11"/>
    <x v="5"/>
    <x v="1"/>
  </r>
  <r>
    <n v="704450"/>
    <s v="Neverwinter Nights: Enhanced Edition"/>
    <d v="2018-03-27T00:00:00"/>
    <n v="753"/>
    <b v="1"/>
    <n v="583"/>
    <s v="Radeon Vega 11"/>
    <x v="6"/>
    <x v="1"/>
  </r>
  <r>
    <n v="40970"/>
    <s v="Stronghold Crusader HD (2012)"/>
    <d v="2013-10-21T00:00:00"/>
    <n v="746"/>
    <b v="0"/>
    <n v="584"/>
    <s v="Radeon Graphics"/>
    <x v="0"/>
    <x v="1"/>
  </r>
  <r>
    <n v="40970"/>
    <s v="Stronghold Crusader HD (2012)"/>
    <d v="2013-10-21T00:00:00"/>
    <n v="746"/>
    <b v="0"/>
    <n v="584"/>
    <s v="Radeon Graphics"/>
    <x v="1"/>
    <x v="1"/>
  </r>
  <r>
    <n v="40970"/>
    <s v="Stronghold Crusader HD (2012)"/>
    <d v="2013-10-21T00:00:00"/>
    <n v="746"/>
    <b v="0"/>
    <n v="584"/>
    <s v="Radeon Graphics"/>
    <x v="2"/>
    <x v="1"/>
  </r>
  <r>
    <n v="40970"/>
    <s v="Stronghold Crusader HD (2012)"/>
    <d v="2013-10-21T00:00:00"/>
    <n v="746"/>
    <b v="0"/>
    <n v="584"/>
    <s v="Radeon Graphics"/>
    <x v="3"/>
    <x v="0"/>
  </r>
  <r>
    <n v="40970"/>
    <s v="Stronghold Crusader HD (2012)"/>
    <d v="2013-10-21T00:00:00"/>
    <n v="746"/>
    <b v="0"/>
    <n v="584"/>
    <s v="Radeon Graphics"/>
    <x v="4"/>
    <x v="1"/>
  </r>
  <r>
    <n v="40970"/>
    <s v="Stronghold Crusader HD (2012)"/>
    <d v="2013-10-21T00:00:00"/>
    <n v="746"/>
    <b v="0"/>
    <n v="584"/>
    <s v="Radeon Graphics"/>
    <x v="5"/>
    <x v="0"/>
  </r>
  <r>
    <n v="40970"/>
    <s v="Stronghold Crusader HD (2012)"/>
    <d v="2013-10-21T00:00:00"/>
    <n v="746"/>
    <b v="0"/>
    <n v="584"/>
    <s v="Radeon Graphics"/>
    <x v="6"/>
    <x v="1"/>
  </r>
  <r>
    <n v="625960"/>
    <s v="Stoneshard"/>
    <d v="2020-02-06T00:00:00"/>
    <n v="744"/>
    <b v="0"/>
    <n v="585"/>
    <s v="RX 560"/>
    <x v="0"/>
    <x v="1"/>
  </r>
  <r>
    <n v="625960"/>
    <s v="Stoneshard"/>
    <d v="2020-02-06T00:00:00"/>
    <n v="744"/>
    <b v="0"/>
    <n v="585"/>
    <s v="RX 560"/>
    <x v="1"/>
    <x v="0"/>
  </r>
  <r>
    <n v="625960"/>
    <s v="Stoneshard"/>
    <d v="2020-02-06T00:00:00"/>
    <n v="744"/>
    <b v="0"/>
    <n v="585"/>
    <s v="RX 560"/>
    <x v="2"/>
    <x v="0"/>
  </r>
  <r>
    <n v="625960"/>
    <s v="Stoneshard"/>
    <d v="2020-02-06T00:00:00"/>
    <n v="744"/>
    <b v="0"/>
    <n v="585"/>
    <s v="RX 560"/>
    <x v="3"/>
    <x v="1"/>
  </r>
  <r>
    <n v="625960"/>
    <s v="Stoneshard"/>
    <d v="2020-02-06T00:00:00"/>
    <n v="744"/>
    <b v="0"/>
    <n v="585"/>
    <s v="RX 560"/>
    <x v="4"/>
    <x v="0"/>
  </r>
  <r>
    <n v="625960"/>
    <s v="Stoneshard"/>
    <d v="2020-02-06T00:00:00"/>
    <n v="744"/>
    <b v="0"/>
    <n v="585"/>
    <s v="RX 560"/>
    <x v="5"/>
    <x v="0"/>
  </r>
  <r>
    <n v="625960"/>
    <s v="Stoneshard"/>
    <d v="2020-02-06T00:00:00"/>
    <n v="744"/>
    <b v="0"/>
    <n v="585"/>
    <s v="RX 560"/>
    <x v="6"/>
    <x v="1"/>
  </r>
  <r>
    <n v="1718570"/>
    <s v="ASTLIBRA Revision"/>
    <d v="2022-10-13T00:00:00"/>
    <n v="742"/>
    <b v="0"/>
    <n v="586"/>
    <s v="Radeon Vega 8"/>
    <x v="0"/>
    <x v="0"/>
  </r>
  <r>
    <n v="1718570"/>
    <s v="ASTLIBRA Revision"/>
    <d v="2022-10-13T00:00:00"/>
    <n v="742"/>
    <b v="0"/>
    <n v="586"/>
    <s v="Radeon Vega 8"/>
    <x v="1"/>
    <x v="1"/>
  </r>
  <r>
    <n v="1718570"/>
    <s v="ASTLIBRA Revision"/>
    <d v="2022-10-13T00:00:00"/>
    <n v="742"/>
    <b v="0"/>
    <n v="586"/>
    <s v="Radeon Vega 8"/>
    <x v="2"/>
    <x v="0"/>
  </r>
  <r>
    <n v="1718570"/>
    <s v="ASTLIBRA Revision"/>
    <d v="2022-10-13T00:00:00"/>
    <n v="742"/>
    <b v="0"/>
    <n v="586"/>
    <s v="Radeon Vega 8"/>
    <x v="3"/>
    <x v="1"/>
  </r>
  <r>
    <n v="1718570"/>
    <s v="ASTLIBRA Revision"/>
    <d v="2022-10-13T00:00:00"/>
    <n v="742"/>
    <b v="0"/>
    <n v="586"/>
    <s v="Radeon Vega 8"/>
    <x v="4"/>
    <x v="0"/>
  </r>
  <r>
    <n v="1718570"/>
    <s v="ASTLIBRA Revision"/>
    <d v="2022-10-13T00:00:00"/>
    <n v="742"/>
    <b v="0"/>
    <n v="586"/>
    <s v="Radeon Vega 8"/>
    <x v="5"/>
    <x v="1"/>
  </r>
  <r>
    <n v="1718570"/>
    <s v="ASTLIBRA Revision"/>
    <d v="2022-10-13T00:00:00"/>
    <n v="742"/>
    <b v="0"/>
    <n v="586"/>
    <s v="Radeon Vega 8"/>
    <x v="6"/>
    <x v="1"/>
  </r>
  <r>
    <n v="1766060"/>
    <s v="HumanitZ"/>
    <d v="2023-09-18T00:00:00"/>
    <n v="740"/>
    <b v="0"/>
    <n v="587"/>
    <s v="RTX 2060"/>
    <x v="0"/>
    <x v="0"/>
  </r>
  <r>
    <n v="1766060"/>
    <s v="HumanitZ"/>
    <d v="2023-09-18T00:00:00"/>
    <n v="740"/>
    <b v="0"/>
    <n v="587"/>
    <s v="RTX 2060"/>
    <x v="1"/>
    <x v="1"/>
  </r>
  <r>
    <n v="1766060"/>
    <s v="HumanitZ"/>
    <d v="2023-09-18T00:00:00"/>
    <n v="740"/>
    <b v="0"/>
    <n v="587"/>
    <s v="RTX 2060"/>
    <x v="2"/>
    <x v="0"/>
  </r>
  <r>
    <n v="1766060"/>
    <s v="HumanitZ"/>
    <d v="2023-09-18T00:00:00"/>
    <n v="740"/>
    <b v="0"/>
    <n v="587"/>
    <s v="RTX 2060"/>
    <x v="3"/>
    <x v="1"/>
  </r>
  <r>
    <n v="1766060"/>
    <s v="HumanitZ"/>
    <d v="2023-09-18T00:00:00"/>
    <n v="740"/>
    <b v="0"/>
    <n v="587"/>
    <s v="RTX 2060"/>
    <x v="4"/>
    <x v="0"/>
  </r>
  <r>
    <n v="1766060"/>
    <s v="HumanitZ"/>
    <d v="2023-09-18T00:00:00"/>
    <n v="740"/>
    <b v="0"/>
    <n v="587"/>
    <s v="RTX 2060"/>
    <x v="5"/>
    <x v="1"/>
  </r>
  <r>
    <n v="1766060"/>
    <s v="HumanitZ"/>
    <d v="2023-09-18T00:00:00"/>
    <n v="740"/>
    <b v="0"/>
    <n v="587"/>
    <s v="RTX 2060"/>
    <x v="6"/>
    <x v="1"/>
  </r>
  <r>
    <n v="1419170"/>
    <s v="My Singing Monsters"/>
    <d v="2021-03-24T00:00:00"/>
    <n v="740"/>
    <b v="0"/>
    <n v="587"/>
    <s v="Radeon Vega 11"/>
    <x v="0"/>
    <x v="1"/>
  </r>
  <r>
    <n v="1419170"/>
    <s v="My Singing Monsters"/>
    <d v="2021-03-24T00:00:00"/>
    <n v="740"/>
    <b v="0"/>
    <n v="587"/>
    <s v="Radeon Vega 11"/>
    <x v="1"/>
    <x v="1"/>
  </r>
  <r>
    <n v="1419170"/>
    <s v="My Singing Monsters"/>
    <d v="2021-03-24T00:00:00"/>
    <n v="740"/>
    <b v="0"/>
    <n v="587"/>
    <s v="Radeon Vega 11"/>
    <x v="2"/>
    <x v="1"/>
  </r>
  <r>
    <n v="1419170"/>
    <s v="My Singing Monsters"/>
    <d v="2021-03-24T00:00:00"/>
    <n v="740"/>
    <b v="0"/>
    <n v="587"/>
    <s v="Radeon Vega 11"/>
    <x v="3"/>
    <x v="0"/>
  </r>
  <r>
    <n v="1419170"/>
    <s v="My Singing Monsters"/>
    <d v="2021-03-24T00:00:00"/>
    <n v="740"/>
    <b v="0"/>
    <n v="587"/>
    <s v="Radeon Vega 11"/>
    <x v="4"/>
    <x v="1"/>
  </r>
  <r>
    <n v="1419170"/>
    <s v="My Singing Monsters"/>
    <d v="2021-03-24T00:00:00"/>
    <n v="740"/>
    <b v="0"/>
    <n v="587"/>
    <s v="Radeon Vega 11"/>
    <x v="5"/>
    <x v="1"/>
  </r>
  <r>
    <n v="1419170"/>
    <s v="My Singing Monsters"/>
    <d v="2021-03-24T00:00:00"/>
    <n v="740"/>
    <b v="0"/>
    <n v="587"/>
    <s v="Radeon Vega 11"/>
    <x v="6"/>
    <x v="0"/>
  </r>
  <r>
    <n v="2515020"/>
    <s v="FINAL FANTASY XVI"/>
    <d v="2024-09-17T00:00:00"/>
    <n v="737"/>
    <b v="0"/>
    <n v="589"/>
    <s v="RX 6700 XT"/>
    <x v="0"/>
    <x v="0"/>
  </r>
  <r>
    <n v="2515020"/>
    <s v="FINAL FANTASY XVI"/>
    <d v="2024-09-17T00:00:00"/>
    <n v="737"/>
    <b v="0"/>
    <n v="589"/>
    <s v="RX 6700 XT"/>
    <x v="1"/>
    <x v="1"/>
  </r>
  <r>
    <n v="2515020"/>
    <s v="FINAL FANTASY XVI"/>
    <d v="2024-09-17T00:00:00"/>
    <n v="737"/>
    <b v="0"/>
    <n v="589"/>
    <s v="RX 6700 XT"/>
    <x v="2"/>
    <x v="1"/>
  </r>
  <r>
    <n v="2515020"/>
    <s v="FINAL FANTASY XVI"/>
    <d v="2024-09-17T00:00:00"/>
    <n v="737"/>
    <b v="0"/>
    <n v="589"/>
    <s v="RX 6700 XT"/>
    <x v="3"/>
    <x v="1"/>
  </r>
  <r>
    <n v="2515020"/>
    <s v="FINAL FANTASY XVI"/>
    <d v="2024-09-17T00:00:00"/>
    <n v="737"/>
    <b v="0"/>
    <n v="589"/>
    <s v="RX 6700 XT"/>
    <x v="4"/>
    <x v="0"/>
  </r>
  <r>
    <n v="2515020"/>
    <s v="FINAL FANTASY XVI"/>
    <d v="2024-09-17T00:00:00"/>
    <n v="737"/>
    <b v="0"/>
    <n v="589"/>
    <s v="RX 6700 XT"/>
    <x v="5"/>
    <x v="1"/>
  </r>
  <r>
    <n v="2515020"/>
    <s v="FINAL FANTASY XVI"/>
    <d v="2024-09-17T00:00:00"/>
    <n v="737"/>
    <b v="0"/>
    <n v="589"/>
    <s v="RX 6700 XT"/>
    <x v="6"/>
    <x v="1"/>
  </r>
  <r>
    <n v="1677110"/>
    <s v="Lightyear Frontier"/>
    <d v="2024-03-19T00:00:00"/>
    <n v="732"/>
    <b v="0"/>
    <n v="590"/>
    <s v="RX 6600"/>
    <x v="0"/>
    <x v="1"/>
  </r>
  <r>
    <n v="1677110"/>
    <s v="Lightyear Frontier"/>
    <d v="2024-03-19T00:00:00"/>
    <n v="732"/>
    <b v="0"/>
    <n v="590"/>
    <s v="RX 6600"/>
    <x v="1"/>
    <x v="1"/>
  </r>
  <r>
    <n v="1677110"/>
    <s v="Lightyear Frontier"/>
    <d v="2024-03-19T00:00:00"/>
    <n v="732"/>
    <b v="0"/>
    <n v="590"/>
    <s v="RX 6600"/>
    <x v="2"/>
    <x v="1"/>
  </r>
  <r>
    <n v="1677110"/>
    <s v="Lightyear Frontier"/>
    <d v="2024-03-19T00:00:00"/>
    <n v="732"/>
    <b v="0"/>
    <n v="590"/>
    <s v="RX 6600"/>
    <x v="3"/>
    <x v="1"/>
  </r>
  <r>
    <n v="1677110"/>
    <s v="Lightyear Frontier"/>
    <d v="2024-03-19T00:00:00"/>
    <n v="732"/>
    <b v="0"/>
    <n v="590"/>
    <s v="RX 6600"/>
    <x v="4"/>
    <x v="1"/>
  </r>
  <r>
    <n v="1677110"/>
    <s v="Lightyear Frontier"/>
    <d v="2024-03-19T00:00:00"/>
    <n v="732"/>
    <b v="0"/>
    <n v="590"/>
    <s v="RX 6600"/>
    <x v="5"/>
    <x v="1"/>
  </r>
  <r>
    <n v="1677110"/>
    <s v="Lightyear Frontier"/>
    <d v="2024-03-19T00:00:00"/>
    <n v="732"/>
    <b v="0"/>
    <n v="590"/>
    <s v="RX 6600"/>
    <x v="6"/>
    <x v="1"/>
  </r>
  <r>
    <n v="3191030"/>
    <s v="Nubby's Number Factory"/>
    <d v="2025-03-07T00:00:00"/>
    <n v="731"/>
    <b v="0"/>
    <n v="591"/>
    <s v="Radeon Vega 11"/>
    <x v="0"/>
    <x v="1"/>
  </r>
  <r>
    <n v="3191030"/>
    <s v="Nubby's Number Factory"/>
    <d v="2025-03-07T00:00:00"/>
    <n v="731"/>
    <b v="0"/>
    <n v="591"/>
    <s v="Radeon Vega 11"/>
    <x v="1"/>
    <x v="1"/>
  </r>
  <r>
    <n v="3191030"/>
    <s v="Nubby's Number Factory"/>
    <d v="2025-03-07T00:00:00"/>
    <n v="731"/>
    <b v="0"/>
    <n v="591"/>
    <s v="Radeon Vega 11"/>
    <x v="2"/>
    <x v="1"/>
  </r>
  <r>
    <n v="3191030"/>
    <s v="Nubby's Number Factory"/>
    <d v="2025-03-07T00:00:00"/>
    <n v="731"/>
    <b v="0"/>
    <n v="591"/>
    <s v="Radeon Vega 11"/>
    <x v="3"/>
    <x v="1"/>
  </r>
  <r>
    <n v="3191030"/>
    <s v="Nubby's Number Factory"/>
    <d v="2025-03-07T00:00:00"/>
    <n v="731"/>
    <b v="0"/>
    <n v="591"/>
    <s v="Radeon Vega 11"/>
    <x v="4"/>
    <x v="1"/>
  </r>
  <r>
    <n v="3191030"/>
    <s v="Nubby's Number Factory"/>
    <d v="2025-03-07T00:00:00"/>
    <n v="731"/>
    <b v="0"/>
    <n v="591"/>
    <s v="Radeon Vega 11"/>
    <x v="5"/>
    <x v="0"/>
  </r>
  <r>
    <n v="3191030"/>
    <s v="Nubby's Number Factory"/>
    <d v="2025-03-07T00:00:00"/>
    <n v="731"/>
    <b v="0"/>
    <n v="591"/>
    <s v="Radeon Vega 11"/>
    <x v="6"/>
    <x v="1"/>
  </r>
  <r>
    <n v="2773280"/>
    <s v="ANEURISM IV"/>
    <d v="2025-03-11T00:00:00"/>
    <n v="723"/>
    <b v="1"/>
    <n v="592"/>
    <s v="GTX 1050"/>
    <x v="0"/>
    <x v="0"/>
  </r>
  <r>
    <n v="2773280"/>
    <s v="ANEURISM IV"/>
    <d v="2025-03-11T00:00:00"/>
    <n v="723"/>
    <b v="1"/>
    <n v="592"/>
    <s v="GTX 1050"/>
    <x v="1"/>
    <x v="1"/>
  </r>
  <r>
    <n v="2773280"/>
    <s v="ANEURISM IV"/>
    <d v="2025-03-11T00:00:00"/>
    <n v="723"/>
    <b v="1"/>
    <n v="592"/>
    <s v="GTX 1050"/>
    <x v="2"/>
    <x v="1"/>
  </r>
  <r>
    <n v="2773280"/>
    <s v="ANEURISM IV"/>
    <d v="2025-03-11T00:00:00"/>
    <n v="723"/>
    <b v="1"/>
    <n v="592"/>
    <s v="GTX 1050"/>
    <x v="3"/>
    <x v="0"/>
  </r>
  <r>
    <n v="2773280"/>
    <s v="ANEURISM IV"/>
    <d v="2025-03-11T00:00:00"/>
    <n v="723"/>
    <b v="1"/>
    <n v="592"/>
    <s v="GTX 1050"/>
    <x v="4"/>
    <x v="0"/>
  </r>
  <r>
    <n v="2773280"/>
    <s v="ANEURISM IV"/>
    <d v="2025-03-11T00:00:00"/>
    <n v="723"/>
    <b v="1"/>
    <n v="592"/>
    <s v="GTX 1050"/>
    <x v="5"/>
    <x v="1"/>
  </r>
  <r>
    <n v="2773280"/>
    <s v="ANEURISM IV"/>
    <d v="2025-03-11T00:00:00"/>
    <n v="723"/>
    <b v="1"/>
    <n v="592"/>
    <s v="GTX 1050"/>
    <x v="6"/>
    <x v="1"/>
  </r>
  <r>
    <n v="2881650"/>
    <s v="Content Warning"/>
    <d v="2024-04-01T00:00:00"/>
    <n v="722"/>
    <b v="0"/>
    <n v="593"/>
    <s v="GTX 1060"/>
    <x v="0"/>
    <x v="0"/>
  </r>
  <r>
    <n v="2881650"/>
    <s v="Content Warning"/>
    <d v="2024-04-01T00:00:00"/>
    <n v="722"/>
    <b v="0"/>
    <n v="593"/>
    <s v="GTX 1060"/>
    <x v="1"/>
    <x v="0"/>
  </r>
  <r>
    <n v="2881650"/>
    <s v="Content Warning"/>
    <d v="2024-04-01T00:00:00"/>
    <n v="722"/>
    <b v="0"/>
    <n v="593"/>
    <s v="GTX 1060"/>
    <x v="2"/>
    <x v="0"/>
  </r>
  <r>
    <n v="2881650"/>
    <s v="Content Warning"/>
    <d v="2024-04-01T00:00:00"/>
    <n v="722"/>
    <b v="0"/>
    <n v="593"/>
    <s v="GTX 1060"/>
    <x v="3"/>
    <x v="1"/>
  </r>
  <r>
    <n v="2881650"/>
    <s v="Content Warning"/>
    <d v="2024-04-01T00:00:00"/>
    <n v="722"/>
    <b v="0"/>
    <n v="593"/>
    <s v="GTX 1060"/>
    <x v="4"/>
    <x v="1"/>
  </r>
  <r>
    <n v="2881650"/>
    <s v="Content Warning"/>
    <d v="2024-04-01T00:00:00"/>
    <n v="722"/>
    <b v="0"/>
    <n v="593"/>
    <s v="GTX 1060"/>
    <x v="5"/>
    <x v="1"/>
  </r>
  <r>
    <n v="2881650"/>
    <s v="Content Warning"/>
    <d v="2024-04-01T00:00:00"/>
    <n v="722"/>
    <b v="0"/>
    <n v="593"/>
    <s v="GTX 1060"/>
    <x v="6"/>
    <x v="1"/>
  </r>
  <r>
    <n v="920210"/>
    <s v="LEGO Star Wars: The Skywalker Saga"/>
    <d v="2022-04-05T00:00:00"/>
    <n v="719"/>
    <b v="0"/>
    <n v="594"/>
    <s v="GTX 1050 Ti"/>
    <x v="0"/>
    <x v="0"/>
  </r>
  <r>
    <n v="920210"/>
    <s v="LEGO Star Wars: The Skywalker Saga"/>
    <d v="2022-04-05T00:00:00"/>
    <n v="719"/>
    <b v="0"/>
    <n v="594"/>
    <s v="GTX 1050 Ti"/>
    <x v="1"/>
    <x v="1"/>
  </r>
  <r>
    <n v="920210"/>
    <s v="LEGO Star Wars: The Skywalker Saga"/>
    <d v="2022-04-05T00:00:00"/>
    <n v="719"/>
    <b v="0"/>
    <n v="594"/>
    <s v="GTX 1050 Ti"/>
    <x v="2"/>
    <x v="0"/>
  </r>
  <r>
    <n v="920210"/>
    <s v="LEGO Star Wars: The Skywalker Saga"/>
    <d v="2022-04-05T00:00:00"/>
    <n v="719"/>
    <b v="0"/>
    <n v="594"/>
    <s v="GTX 1050 Ti"/>
    <x v="3"/>
    <x v="1"/>
  </r>
  <r>
    <n v="920210"/>
    <s v="LEGO Star Wars: The Skywalker Saga"/>
    <d v="2022-04-05T00:00:00"/>
    <n v="719"/>
    <b v="0"/>
    <n v="594"/>
    <s v="GTX 1050 Ti"/>
    <x v="4"/>
    <x v="1"/>
  </r>
  <r>
    <n v="920210"/>
    <s v="LEGO Star Wars: The Skywalker Saga"/>
    <d v="2022-04-05T00:00:00"/>
    <n v="719"/>
    <b v="0"/>
    <n v="594"/>
    <s v="GTX 1050 Ti"/>
    <x v="5"/>
    <x v="1"/>
  </r>
  <r>
    <n v="920210"/>
    <s v="LEGO Star Wars: The Skywalker Saga"/>
    <d v="2022-04-05T00:00:00"/>
    <n v="719"/>
    <b v="0"/>
    <n v="594"/>
    <s v="GTX 1050 Ti"/>
    <x v="6"/>
    <x v="1"/>
  </r>
  <r>
    <n v="1029780"/>
    <s v="Going Medieval"/>
    <d v="2021-06-01T00:00:00"/>
    <n v="713"/>
    <b v="0"/>
    <n v="595"/>
    <s v="GTX 1660 SUPER"/>
    <x v="0"/>
    <x v="1"/>
  </r>
  <r>
    <n v="1029780"/>
    <s v="Going Medieval"/>
    <d v="2021-06-01T00:00:00"/>
    <n v="713"/>
    <b v="0"/>
    <n v="595"/>
    <s v="GTX 1660 SUPER"/>
    <x v="1"/>
    <x v="0"/>
  </r>
  <r>
    <n v="1029780"/>
    <s v="Going Medieval"/>
    <d v="2021-06-01T00:00:00"/>
    <n v="713"/>
    <b v="0"/>
    <n v="595"/>
    <s v="GTX 1660 SUPER"/>
    <x v="2"/>
    <x v="1"/>
  </r>
  <r>
    <n v="1029780"/>
    <s v="Going Medieval"/>
    <d v="2021-06-01T00:00:00"/>
    <n v="713"/>
    <b v="0"/>
    <n v="595"/>
    <s v="GTX 1660 SUPER"/>
    <x v="3"/>
    <x v="0"/>
  </r>
  <r>
    <n v="1029780"/>
    <s v="Going Medieval"/>
    <d v="2021-06-01T00:00:00"/>
    <n v="713"/>
    <b v="0"/>
    <n v="595"/>
    <s v="GTX 1660 SUPER"/>
    <x v="4"/>
    <x v="0"/>
  </r>
  <r>
    <n v="1029780"/>
    <s v="Going Medieval"/>
    <d v="2021-06-01T00:00:00"/>
    <n v="713"/>
    <b v="0"/>
    <n v="595"/>
    <s v="GTX 1660 SUPER"/>
    <x v="5"/>
    <x v="0"/>
  </r>
  <r>
    <n v="1029780"/>
    <s v="Going Medieval"/>
    <d v="2021-06-01T00:00:00"/>
    <n v="713"/>
    <b v="0"/>
    <n v="595"/>
    <s v="GTX 1660 SUPER"/>
    <x v="6"/>
    <x v="1"/>
  </r>
  <r>
    <n v="799960"/>
    <s v="Wizard101"/>
    <d v="2018-09-06T00:00:00"/>
    <n v="712"/>
    <b v="0"/>
    <n v="596"/>
    <s v="Radeon Vega 11"/>
    <x v="0"/>
    <x v="1"/>
  </r>
  <r>
    <n v="799960"/>
    <s v="Wizard101"/>
    <d v="2018-09-06T00:00:00"/>
    <n v="712"/>
    <b v="0"/>
    <n v="596"/>
    <s v="Radeon Vega 11"/>
    <x v="1"/>
    <x v="1"/>
  </r>
  <r>
    <n v="799960"/>
    <s v="Wizard101"/>
    <d v="2018-09-06T00:00:00"/>
    <n v="712"/>
    <b v="0"/>
    <n v="596"/>
    <s v="Radeon Vega 11"/>
    <x v="2"/>
    <x v="0"/>
  </r>
  <r>
    <n v="799960"/>
    <s v="Wizard101"/>
    <d v="2018-09-06T00:00:00"/>
    <n v="712"/>
    <b v="0"/>
    <n v="596"/>
    <s v="Radeon Vega 11"/>
    <x v="3"/>
    <x v="1"/>
  </r>
  <r>
    <n v="799960"/>
    <s v="Wizard101"/>
    <d v="2018-09-06T00:00:00"/>
    <n v="712"/>
    <b v="0"/>
    <n v="596"/>
    <s v="Radeon Vega 11"/>
    <x v="4"/>
    <x v="0"/>
  </r>
  <r>
    <n v="799960"/>
    <s v="Wizard101"/>
    <d v="2018-09-06T00:00:00"/>
    <n v="712"/>
    <b v="0"/>
    <n v="596"/>
    <s v="Radeon Vega 11"/>
    <x v="5"/>
    <x v="0"/>
  </r>
  <r>
    <n v="799960"/>
    <s v="Wizard101"/>
    <d v="2018-09-06T00:00:00"/>
    <n v="712"/>
    <b v="0"/>
    <n v="596"/>
    <s v="Radeon Vega 11"/>
    <x v="6"/>
    <x v="0"/>
  </r>
  <r>
    <n v="244450"/>
    <s v="Men of War: Assault Squad 2"/>
    <d v="2014-05-15T00:00:00"/>
    <n v="711"/>
    <b v="0"/>
    <n v="597"/>
    <s v="GTX 750"/>
    <x v="0"/>
    <x v="0"/>
  </r>
  <r>
    <n v="244450"/>
    <s v="Men of War: Assault Squad 2"/>
    <d v="2014-05-15T00:00:00"/>
    <n v="711"/>
    <b v="0"/>
    <n v="597"/>
    <s v="GTX 750"/>
    <x v="1"/>
    <x v="1"/>
  </r>
  <r>
    <n v="244450"/>
    <s v="Men of War: Assault Squad 2"/>
    <d v="2014-05-15T00:00:00"/>
    <n v="711"/>
    <b v="0"/>
    <n v="597"/>
    <s v="GTX 750"/>
    <x v="2"/>
    <x v="1"/>
  </r>
  <r>
    <n v="244450"/>
    <s v="Men of War: Assault Squad 2"/>
    <d v="2014-05-15T00:00:00"/>
    <n v="711"/>
    <b v="0"/>
    <n v="597"/>
    <s v="GTX 750"/>
    <x v="3"/>
    <x v="0"/>
  </r>
  <r>
    <n v="244450"/>
    <s v="Men of War: Assault Squad 2"/>
    <d v="2014-05-15T00:00:00"/>
    <n v="711"/>
    <b v="0"/>
    <n v="597"/>
    <s v="GTX 750"/>
    <x v="4"/>
    <x v="1"/>
  </r>
  <r>
    <n v="244450"/>
    <s v="Men of War: Assault Squad 2"/>
    <d v="2014-05-15T00:00:00"/>
    <n v="711"/>
    <b v="0"/>
    <n v="597"/>
    <s v="GTX 750"/>
    <x v="5"/>
    <x v="0"/>
  </r>
  <r>
    <n v="244450"/>
    <s v="Men of War: Assault Squad 2"/>
    <d v="2014-05-15T00:00:00"/>
    <n v="711"/>
    <b v="0"/>
    <n v="597"/>
    <s v="GTX 750"/>
    <x v="6"/>
    <x v="1"/>
  </r>
  <r>
    <n v="972660"/>
    <s v="Spiritfarer: Farewell Edition"/>
    <d v="2020-08-18T00:00:00"/>
    <n v="702"/>
    <b v="1"/>
    <n v="598"/>
    <s v="Radeon Vega 11"/>
    <x v="0"/>
    <x v="1"/>
  </r>
  <r>
    <n v="972660"/>
    <s v="Spiritfarer: Farewell Edition"/>
    <d v="2020-08-18T00:00:00"/>
    <n v="702"/>
    <b v="1"/>
    <n v="598"/>
    <s v="Radeon Vega 11"/>
    <x v="1"/>
    <x v="0"/>
  </r>
  <r>
    <n v="972660"/>
    <s v="Spiritfarer: Farewell Edition"/>
    <d v="2020-08-18T00:00:00"/>
    <n v="702"/>
    <b v="1"/>
    <n v="598"/>
    <s v="Radeon Vega 11"/>
    <x v="2"/>
    <x v="0"/>
  </r>
  <r>
    <n v="972660"/>
    <s v="Spiritfarer: Farewell Edition"/>
    <d v="2020-08-18T00:00:00"/>
    <n v="702"/>
    <b v="1"/>
    <n v="598"/>
    <s v="Radeon Vega 11"/>
    <x v="3"/>
    <x v="0"/>
  </r>
  <r>
    <n v="972660"/>
    <s v="Spiritfarer: Farewell Edition"/>
    <d v="2020-08-18T00:00:00"/>
    <n v="702"/>
    <b v="1"/>
    <n v="598"/>
    <s v="Radeon Vega 11"/>
    <x v="4"/>
    <x v="1"/>
  </r>
  <r>
    <n v="972660"/>
    <s v="Spiritfarer: Farewell Edition"/>
    <d v="2020-08-18T00:00:00"/>
    <n v="702"/>
    <b v="1"/>
    <n v="598"/>
    <s v="Radeon Vega 11"/>
    <x v="5"/>
    <x v="1"/>
  </r>
  <r>
    <n v="972660"/>
    <s v="Spiritfarer: Farewell Edition"/>
    <d v="2020-08-18T00:00:00"/>
    <n v="702"/>
    <b v="1"/>
    <n v="598"/>
    <s v="Radeon Vega 11"/>
    <x v="6"/>
    <x v="1"/>
  </r>
  <r>
    <n v="412020"/>
    <s v="ASKA"/>
    <d v="2020-02-14T00:00:00"/>
    <n v="702"/>
    <b v="1"/>
    <n v="598"/>
    <s v="GTX 1070"/>
    <x v="0"/>
    <x v="0"/>
  </r>
  <r>
    <n v="412020"/>
    <s v="ASKA"/>
    <d v="2020-02-14T00:00:00"/>
    <n v="702"/>
    <b v="1"/>
    <n v="598"/>
    <s v="GTX 1070"/>
    <x v="1"/>
    <x v="1"/>
  </r>
  <r>
    <n v="412020"/>
    <s v="ASKA"/>
    <d v="2020-02-14T00:00:00"/>
    <n v="702"/>
    <b v="1"/>
    <n v="598"/>
    <s v="GTX 1070"/>
    <x v="2"/>
    <x v="1"/>
  </r>
  <r>
    <n v="412020"/>
    <s v="ASKA"/>
    <d v="2020-02-14T00:00:00"/>
    <n v="702"/>
    <b v="1"/>
    <n v="598"/>
    <s v="GTX 1070"/>
    <x v="3"/>
    <x v="1"/>
  </r>
  <r>
    <n v="412020"/>
    <s v="ASKA"/>
    <d v="2020-02-14T00:00:00"/>
    <n v="702"/>
    <b v="1"/>
    <n v="598"/>
    <s v="GTX 1070"/>
    <x v="4"/>
    <x v="1"/>
  </r>
  <r>
    <n v="412020"/>
    <s v="ASKA"/>
    <d v="2020-02-14T00:00:00"/>
    <n v="702"/>
    <b v="1"/>
    <n v="598"/>
    <s v="GTX 1070"/>
    <x v="5"/>
    <x v="1"/>
  </r>
  <r>
    <n v="412020"/>
    <s v="ASKA"/>
    <d v="2020-02-14T00:00:00"/>
    <n v="702"/>
    <b v="1"/>
    <n v="598"/>
    <s v="GTX 1070"/>
    <x v="6"/>
    <x v="1"/>
  </r>
  <r>
    <n v="1898300"/>
    <s v="Horizon Zero Dawn Complete Edition"/>
    <d v="2024-06-20T00:00:00"/>
    <n v="701"/>
    <b v="0"/>
    <n v="600"/>
    <s v="GTX 1660"/>
    <x v="0"/>
    <x v="1"/>
  </r>
  <r>
    <n v="1898300"/>
    <s v="Horizon Zero Dawn Complete Edition"/>
    <d v="2024-06-20T00:00:00"/>
    <n v="701"/>
    <b v="0"/>
    <n v="600"/>
    <s v="GTX 1660"/>
    <x v="1"/>
    <x v="1"/>
  </r>
  <r>
    <n v="1898300"/>
    <s v="Horizon Zero Dawn Complete Edition"/>
    <d v="2024-06-20T00:00:00"/>
    <n v="701"/>
    <b v="0"/>
    <n v="600"/>
    <s v="GTX 1660"/>
    <x v="2"/>
    <x v="0"/>
  </r>
  <r>
    <n v="1898300"/>
    <s v="Horizon Zero Dawn Complete Edition"/>
    <d v="2024-06-20T00:00:00"/>
    <n v="701"/>
    <b v="0"/>
    <n v="600"/>
    <s v="GTX 1660"/>
    <x v="3"/>
    <x v="0"/>
  </r>
  <r>
    <n v="1898300"/>
    <s v="Horizon Zero Dawn Complete Edition"/>
    <d v="2024-06-20T00:00:00"/>
    <n v="701"/>
    <b v="0"/>
    <n v="600"/>
    <s v="GTX 1660"/>
    <x v="4"/>
    <x v="1"/>
  </r>
  <r>
    <n v="1898300"/>
    <s v="Horizon Zero Dawn Complete Edition"/>
    <d v="2024-06-20T00:00:00"/>
    <n v="701"/>
    <b v="0"/>
    <n v="600"/>
    <s v="GTX 1660"/>
    <x v="5"/>
    <x v="0"/>
  </r>
  <r>
    <n v="1898300"/>
    <s v="Horizon Zero Dawn Complete Edition"/>
    <d v="2024-06-20T00:00:00"/>
    <n v="701"/>
    <b v="0"/>
    <n v="600"/>
    <s v="GTX 1660"/>
    <x v="6"/>
    <x v="1"/>
  </r>
  <r>
    <n v="1151640"/>
    <s v="Deadside"/>
    <d v="2020-08-07T00:00:00"/>
    <n v="700"/>
    <b v="0"/>
    <n v="601"/>
    <s v="RX 580"/>
    <x v="0"/>
    <x v="0"/>
  </r>
  <r>
    <n v="1151640"/>
    <s v="Deadside"/>
    <d v="2020-08-07T00:00:00"/>
    <n v="700"/>
    <b v="0"/>
    <n v="601"/>
    <s v="RX 580"/>
    <x v="1"/>
    <x v="1"/>
  </r>
  <r>
    <n v="1151640"/>
    <s v="Deadside"/>
    <d v="2020-08-07T00:00:00"/>
    <n v="700"/>
    <b v="0"/>
    <n v="601"/>
    <s v="RX 580"/>
    <x v="2"/>
    <x v="0"/>
  </r>
  <r>
    <n v="1151640"/>
    <s v="Deadside"/>
    <d v="2020-08-07T00:00:00"/>
    <n v="700"/>
    <b v="0"/>
    <n v="601"/>
    <s v="RX 580"/>
    <x v="3"/>
    <x v="1"/>
  </r>
  <r>
    <n v="1151640"/>
    <s v="Deadside"/>
    <d v="2020-08-07T00:00:00"/>
    <n v="700"/>
    <b v="0"/>
    <n v="601"/>
    <s v="RX 580"/>
    <x v="4"/>
    <x v="0"/>
  </r>
  <r>
    <n v="1151640"/>
    <s v="Deadside"/>
    <d v="2020-08-07T00:00:00"/>
    <n v="700"/>
    <b v="0"/>
    <n v="601"/>
    <s v="RX 580"/>
    <x v="5"/>
    <x v="1"/>
  </r>
  <r>
    <n v="1151640"/>
    <s v="Deadside"/>
    <d v="2020-08-07T00:00:00"/>
    <n v="700"/>
    <b v="0"/>
    <n v="601"/>
    <s v="RX 580"/>
    <x v="6"/>
    <x v="1"/>
  </r>
  <r>
    <n v="895400"/>
    <s v="Subnautica: Below Zero"/>
    <d v="2024-12-05T00:00:00"/>
    <n v="698"/>
    <b v="0"/>
    <n v="602"/>
    <s v="GTX 1060"/>
    <x v="0"/>
    <x v="0"/>
  </r>
  <r>
    <n v="895400"/>
    <s v="Subnautica: Below Zero"/>
    <d v="2024-12-05T00:00:00"/>
    <n v="698"/>
    <b v="0"/>
    <n v="602"/>
    <s v="GTX 1060"/>
    <x v="1"/>
    <x v="0"/>
  </r>
  <r>
    <n v="895400"/>
    <s v="Subnautica: Below Zero"/>
    <d v="2024-12-05T00:00:00"/>
    <n v="698"/>
    <b v="0"/>
    <n v="602"/>
    <s v="GTX 1060"/>
    <x v="2"/>
    <x v="0"/>
  </r>
  <r>
    <n v="895400"/>
    <s v="Subnautica: Below Zero"/>
    <d v="2024-12-05T00:00:00"/>
    <n v="698"/>
    <b v="0"/>
    <n v="602"/>
    <s v="GTX 1060"/>
    <x v="3"/>
    <x v="1"/>
  </r>
  <r>
    <n v="895400"/>
    <s v="Subnautica: Below Zero"/>
    <d v="2024-12-05T00:00:00"/>
    <n v="698"/>
    <b v="0"/>
    <n v="602"/>
    <s v="GTX 1060"/>
    <x v="4"/>
    <x v="1"/>
  </r>
  <r>
    <n v="895400"/>
    <s v="Subnautica: Below Zero"/>
    <d v="2024-12-05T00:00:00"/>
    <n v="698"/>
    <b v="0"/>
    <n v="602"/>
    <s v="GTX 1060"/>
    <x v="5"/>
    <x v="1"/>
  </r>
  <r>
    <n v="895400"/>
    <s v="Subnautica: Below Zero"/>
    <d v="2024-12-05T00:00:00"/>
    <n v="698"/>
    <b v="0"/>
    <n v="602"/>
    <s v="GTX 1060"/>
    <x v="6"/>
    <x v="1"/>
  </r>
  <r>
    <n v="848450"/>
    <s v="Ori and the Will of the Wisps"/>
    <d v="2021-05-13T00:00:00"/>
    <n v="698"/>
    <b v="1"/>
    <n v="602"/>
    <s v="RX 570"/>
    <x v="0"/>
    <x v="1"/>
  </r>
  <r>
    <n v="848450"/>
    <s v="Ori and the Will of the Wisps"/>
    <d v="2021-05-13T00:00:00"/>
    <n v="698"/>
    <b v="1"/>
    <n v="602"/>
    <s v="RX 570"/>
    <x v="1"/>
    <x v="0"/>
  </r>
  <r>
    <n v="848450"/>
    <s v="Ori and the Will of the Wisps"/>
    <d v="2021-05-13T00:00:00"/>
    <n v="698"/>
    <b v="1"/>
    <n v="602"/>
    <s v="RX 570"/>
    <x v="2"/>
    <x v="0"/>
  </r>
  <r>
    <n v="848450"/>
    <s v="Ori and the Will of the Wisps"/>
    <d v="2021-05-13T00:00:00"/>
    <n v="698"/>
    <b v="1"/>
    <n v="602"/>
    <s v="RX 570"/>
    <x v="3"/>
    <x v="1"/>
  </r>
  <r>
    <n v="848450"/>
    <s v="Ori and the Will of the Wisps"/>
    <d v="2021-05-13T00:00:00"/>
    <n v="698"/>
    <b v="1"/>
    <n v="602"/>
    <s v="RX 570"/>
    <x v="4"/>
    <x v="1"/>
  </r>
  <r>
    <n v="848450"/>
    <s v="Ori and the Will of the Wisps"/>
    <d v="2021-05-13T00:00:00"/>
    <n v="698"/>
    <b v="1"/>
    <n v="602"/>
    <s v="RX 570"/>
    <x v="5"/>
    <x v="1"/>
  </r>
  <r>
    <n v="848450"/>
    <s v="Ori and the Will of the Wisps"/>
    <d v="2021-05-13T00:00:00"/>
    <n v="698"/>
    <b v="1"/>
    <n v="602"/>
    <s v="RX 570"/>
    <x v="6"/>
    <x v="1"/>
  </r>
  <r>
    <n v="1057090"/>
    <s v="Terra Invicta"/>
    <d v="2020-03-10T00:00:00"/>
    <n v="697"/>
    <b v="0"/>
    <n v="604"/>
    <s v="GTX 970"/>
    <x v="0"/>
    <x v="0"/>
  </r>
  <r>
    <n v="1057090"/>
    <s v="Terra Invicta"/>
    <d v="2020-03-10T00:00:00"/>
    <n v="697"/>
    <b v="0"/>
    <n v="604"/>
    <s v="GTX 970"/>
    <x v="1"/>
    <x v="1"/>
  </r>
  <r>
    <n v="1057090"/>
    <s v="Terra Invicta"/>
    <d v="2020-03-10T00:00:00"/>
    <n v="697"/>
    <b v="0"/>
    <n v="604"/>
    <s v="GTX 970"/>
    <x v="2"/>
    <x v="1"/>
  </r>
  <r>
    <n v="1057090"/>
    <s v="Terra Invicta"/>
    <d v="2020-03-10T00:00:00"/>
    <n v="697"/>
    <b v="0"/>
    <n v="604"/>
    <s v="GTX 970"/>
    <x v="3"/>
    <x v="1"/>
  </r>
  <r>
    <n v="1057090"/>
    <s v="Terra Invicta"/>
    <d v="2020-03-10T00:00:00"/>
    <n v="697"/>
    <b v="0"/>
    <n v="604"/>
    <s v="GTX 970"/>
    <x v="4"/>
    <x v="1"/>
  </r>
  <r>
    <n v="1057090"/>
    <s v="Terra Invicta"/>
    <d v="2020-03-10T00:00:00"/>
    <n v="697"/>
    <b v="0"/>
    <n v="604"/>
    <s v="GTX 970"/>
    <x v="5"/>
    <x v="1"/>
  </r>
  <r>
    <n v="1057090"/>
    <s v="Terra Invicta"/>
    <d v="2020-03-10T00:00:00"/>
    <n v="697"/>
    <b v="0"/>
    <n v="604"/>
    <s v="GTX 970"/>
    <x v="6"/>
    <x v="1"/>
  </r>
  <r>
    <n v="1176470"/>
    <s v="Eco"/>
    <d v="2022-09-26T00:00:00"/>
    <n v="697"/>
    <b v="0"/>
    <n v="604"/>
    <s v="GTX 1060"/>
    <x v="0"/>
    <x v="1"/>
  </r>
  <r>
    <n v="1176470"/>
    <s v="Eco"/>
    <d v="2022-09-26T00:00:00"/>
    <n v="697"/>
    <b v="0"/>
    <n v="604"/>
    <s v="GTX 1060"/>
    <x v="1"/>
    <x v="1"/>
  </r>
  <r>
    <n v="1176470"/>
    <s v="Eco"/>
    <d v="2022-09-26T00:00:00"/>
    <n v="697"/>
    <b v="0"/>
    <n v="604"/>
    <s v="GTX 1060"/>
    <x v="2"/>
    <x v="1"/>
  </r>
  <r>
    <n v="1176470"/>
    <s v="Eco"/>
    <d v="2022-09-26T00:00:00"/>
    <n v="697"/>
    <b v="0"/>
    <n v="604"/>
    <s v="GTX 1060"/>
    <x v="3"/>
    <x v="0"/>
  </r>
  <r>
    <n v="1176470"/>
    <s v="Eco"/>
    <d v="2022-09-26T00:00:00"/>
    <n v="697"/>
    <b v="0"/>
    <n v="604"/>
    <s v="GTX 1060"/>
    <x v="4"/>
    <x v="1"/>
  </r>
  <r>
    <n v="1176470"/>
    <s v="Eco"/>
    <d v="2022-09-26T00:00:00"/>
    <n v="697"/>
    <b v="0"/>
    <n v="604"/>
    <s v="GTX 1060"/>
    <x v="5"/>
    <x v="0"/>
  </r>
  <r>
    <n v="1176470"/>
    <s v="Eco"/>
    <d v="2022-09-26T00:00:00"/>
    <n v="697"/>
    <b v="0"/>
    <n v="604"/>
    <s v="GTX 1060"/>
    <x v="6"/>
    <x v="1"/>
  </r>
  <r>
    <n v="382310"/>
    <s v="Supreme Commander: Forged Alliance"/>
    <d v="2018-02-06T00:00:00"/>
    <n v="692"/>
    <b v="0"/>
    <n v="606"/>
    <s v="RX 5700"/>
    <x v="0"/>
    <x v="1"/>
  </r>
  <r>
    <n v="382310"/>
    <s v="Supreme Commander: Forged Alliance"/>
    <d v="2018-02-06T00:00:00"/>
    <n v="692"/>
    <b v="0"/>
    <n v="606"/>
    <s v="RX 5700"/>
    <x v="1"/>
    <x v="0"/>
  </r>
  <r>
    <n v="382310"/>
    <s v="Supreme Commander: Forged Alliance"/>
    <d v="2018-02-06T00:00:00"/>
    <n v="692"/>
    <b v="0"/>
    <n v="606"/>
    <s v="RX 5700"/>
    <x v="2"/>
    <x v="1"/>
  </r>
  <r>
    <n v="382310"/>
    <s v="Supreme Commander: Forged Alliance"/>
    <d v="2018-02-06T00:00:00"/>
    <n v="692"/>
    <b v="0"/>
    <n v="606"/>
    <s v="RX 5700"/>
    <x v="3"/>
    <x v="0"/>
  </r>
  <r>
    <n v="382310"/>
    <s v="Supreme Commander: Forged Alliance"/>
    <d v="2018-02-06T00:00:00"/>
    <n v="692"/>
    <b v="0"/>
    <n v="606"/>
    <s v="RX 5700"/>
    <x v="4"/>
    <x v="1"/>
  </r>
  <r>
    <n v="382310"/>
    <s v="Supreme Commander: Forged Alliance"/>
    <d v="2018-02-06T00:00:00"/>
    <n v="692"/>
    <b v="0"/>
    <n v="606"/>
    <s v="RX 5700"/>
    <x v="5"/>
    <x v="1"/>
  </r>
  <r>
    <n v="382310"/>
    <s v="Supreme Commander: Forged Alliance"/>
    <d v="2018-02-06T00:00:00"/>
    <n v="692"/>
    <b v="0"/>
    <n v="606"/>
    <s v="RX 5700"/>
    <x v="6"/>
    <x v="1"/>
  </r>
  <r>
    <n v="9420"/>
    <s v="Pro Soccer Online"/>
    <d v="2011-09-28T00:00:00"/>
    <n v="691"/>
    <b v="0"/>
    <n v="607"/>
    <s v="Radeon Graphics"/>
    <x v="0"/>
    <x v="1"/>
  </r>
  <r>
    <n v="9420"/>
    <s v="Pro Soccer Online"/>
    <d v="2011-09-28T00:00:00"/>
    <n v="691"/>
    <b v="0"/>
    <n v="607"/>
    <s v="Radeon Graphics"/>
    <x v="1"/>
    <x v="1"/>
  </r>
  <r>
    <n v="9420"/>
    <s v="Pro Soccer Online"/>
    <d v="2011-09-28T00:00:00"/>
    <n v="691"/>
    <b v="0"/>
    <n v="607"/>
    <s v="Radeon Graphics"/>
    <x v="2"/>
    <x v="1"/>
  </r>
  <r>
    <n v="9420"/>
    <s v="Pro Soccer Online"/>
    <d v="2011-09-28T00:00:00"/>
    <n v="691"/>
    <b v="0"/>
    <n v="607"/>
    <s v="Radeon Graphics"/>
    <x v="3"/>
    <x v="1"/>
  </r>
  <r>
    <n v="9420"/>
    <s v="Pro Soccer Online"/>
    <d v="2011-09-28T00:00:00"/>
    <n v="691"/>
    <b v="0"/>
    <n v="607"/>
    <s v="Radeon Graphics"/>
    <x v="4"/>
    <x v="1"/>
  </r>
  <r>
    <n v="9420"/>
    <s v="Pro Soccer Online"/>
    <d v="2011-09-28T00:00:00"/>
    <n v="691"/>
    <b v="0"/>
    <n v="607"/>
    <s v="Radeon Graphics"/>
    <x v="5"/>
    <x v="0"/>
  </r>
  <r>
    <n v="9420"/>
    <s v="Pro Soccer Online"/>
    <d v="2011-09-28T00:00:00"/>
    <n v="691"/>
    <b v="0"/>
    <n v="607"/>
    <s v="Radeon Graphics"/>
    <x v="6"/>
    <x v="1"/>
  </r>
  <r>
    <n v="1583320"/>
    <s v="NieR:Automata"/>
    <d v="2025-12-05T00:00:00"/>
    <n v="690"/>
    <b v="0"/>
    <n v="608"/>
    <s v="RTX 3080"/>
    <x v="0"/>
    <x v="1"/>
  </r>
  <r>
    <n v="1583320"/>
    <s v="NieR:Automata"/>
    <d v="2025-12-05T00:00:00"/>
    <n v="690"/>
    <b v="0"/>
    <n v="608"/>
    <s v="RTX 3080"/>
    <x v="1"/>
    <x v="1"/>
  </r>
  <r>
    <n v="1583320"/>
    <s v="NieR:Automata"/>
    <d v="2025-12-05T00:00:00"/>
    <n v="690"/>
    <b v="0"/>
    <n v="608"/>
    <s v="RTX 3080"/>
    <x v="2"/>
    <x v="1"/>
  </r>
  <r>
    <n v="1583320"/>
    <s v="NieR:Automata"/>
    <d v="2025-12-05T00:00:00"/>
    <n v="690"/>
    <b v="0"/>
    <n v="608"/>
    <s v="RTX 3080"/>
    <x v="3"/>
    <x v="1"/>
  </r>
  <r>
    <n v="1583320"/>
    <s v="NieR:Automata"/>
    <d v="2025-12-05T00:00:00"/>
    <n v="690"/>
    <b v="0"/>
    <n v="608"/>
    <s v="RTX 3080"/>
    <x v="4"/>
    <x v="1"/>
  </r>
  <r>
    <n v="1583320"/>
    <s v="NieR:Automata"/>
    <d v="2025-12-05T00:00:00"/>
    <n v="690"/>
    <b v="0"/>
    <n v="608"/>
    <s v="RTX 3080"/>
    <x v="5"/>
    <x v="1"/>
  </r>
  <r>
    <n v="1583320"/>
    <s v="NieR:Automata"/>
    <d v="2025-12-05T00:00:00"/>
    <n v="690"/>
    <b v="0"/>
    <n v="608"/>
    <s v="RTX 3080"/>
    <x v="6"/>
    <x v="1"/>
  </r>
  <r>
    <n v="524220"/>
    <s v="Ratopia"/>
    <d v="2017-03-17T00:00:00"/>
    <n v="690"/>
    <b v="0"/>
    <n v="608"/>
    <s v="GTX 980"/>
    <x v="0"/>
    <x v="0"/>
  </r>
  <r>
    <n v="524220"/>
    <s v="Ratopia"/>
    <d v="2017-03-17T00:00:00"/>
    <n v="690"/>
    <b v="0"/>
    <n v="608"/>
    <s v="GTX 980"/>
    <x v="1"/>
    <x v="1"/>
  </r>
  <r>
    <n v="524220"/>
    <s v="Ratopia"/>
    <d v="2017-03-17T00:00:00"/>
    <n v="690"/>
    <b v="0"/>
    <n v="608"/>
    <s v="GTX 980"/>
    <x v="2"/>
    <x v="1"/>
  </r>
  <r>
    <n v="524220"/>
    <s v="Ratopia"/>
    <d v="2017-03-17T00:00:00"/>
    <n v="690"/>
    <b v="0"/>
    <n v="608"/>
    <s v="GTX 980"/>
    <x v="3"/>
    <x v="1"/>
  </r>
  <r>
    <n v="524220"/>
    <s v="Ratopia"/>
    <d v="2017-03-17T00:00:00"/>
    <n v="690"/>
    <b v="0"/>
    <n v="608"/>
    <s v="GTX 980"/>
    <x v="4"/>
    <x v="0"/>
  </r>
  <r>
    <n v="524220"/>
    <s v="Ratopia"/>
    <d v="2017-03-17T00:00:00"/>
    <n v="690"/>
    <b v="0"/>
    <n v="608"/>
    <s v="GTX 980"/>
    <x v="5"/>
    <x v="1"/>
  </r>
  <r>
    <n v="524220"/>
    <s v="Ratopia"/>
    <d v="2017-03-17T00:00:00"/>
    <n v="690"/>
    <b v="0"/>
    <n v="608"/>
    <s v="GTX 980"/>
    <x v="6"/>
    <x v="1"/>
  </r>
  <r>
    <n v="2244130"/>
    <s v="Legion TD 2 - Multiplayer Tower Defense"/>
    <d v="2025-04-30T00:00:00"/>
    <n v="687"/>
    <b v="1"/>
    <n v="610"/>
    <s v="Radeon Vega 11"/>
    <x v="0"/>
    <x v="1"/>
  </r>
  <r>
    <n v="2244130"/>
    <s v="Legion TD 2 - Multiplayer Tower Defense"/>
    <d v="2025-04-30T00:00:00"/>
    <n v="687"/>
    <b v="1"/>
    <n v="610"/>
    <s v="Radeon Vega 11"/>
    <x v="1"/>
    <x v="0"/>
  </r>
  <r>
    <n v="2244130"/>
    <s v="Legion TD 2 - Multiplayer Tower Defense"/>
    <d v="2025-04-30T00:00:00"/>
    <n v="687"/>
    <b v="1"/>
    <n v="610"/>
    <s v="Radeon Vega 11"/>
    <x v="2"/>
    <x v="0"/>
  </r>
  <r>
    <n v="2244130"/>
    <s v="Legion TD 2 - Multiplayer Tower Defense"/>
    <d v="2025-04-30T00:00:00"/>
    <n v="687"/>
    <b v="1"/>
    <n v="610"/>
    <s v="Radeon Vega 11"/>
    <x v="3"/>
    <x v="0"/>
  </r>
  <r>
    <n v="2244130"/>
    <s v="Legion TD 2 - Multiplayer Tower Defense"/>
    <d v="2025-04-30T00:00:00"/>
    <n v="687"/>
    <b v="1"/>
    <n v="610"/>
    <s v="Radeon Vega 11"/>
    <x v="4"/>
    <x v="1"/>
  </r>
  <r>
    <n v="2244130"/>
    <s v="Legion TD 2 - Multiplayer Tower Defense"/>
    <d v="2025-04-30T00:00:00"/>
    <n v="687"/>
    <b v="1"/>
    <n v="610"/>
    <s v="Radeon Vega 11"/>
    <x v="5"/>
    <x v="0"/>
  </r>
  <r>
    <n v="2244130"/>
    <s v="Legion TD 2 - Multiplayer Tower Defense"/>
    <d v="2025-04-30T00:00:00"/>
    <n v="687"/>
    <b v="1"/>
    <n v="610"/>
    <s v="Radeon Vega 11"/>
    <x v="6"/>
    <x v="1"/>
  </r>
  <r>
    <n v="469600"/>
    <s v="Planet Coaster"/>
    <d v="2021-10-01T00:00:00"/>
    <n v="687"/>
    <b v="1"/>
    <n v="610"/>
    <s v="GTX 1060"/>
    <x v="0"/>
    <x v="1"/>
  </r>
  <r>
    <n v="469600"/>
    <s v="Planet Coaster"/>
    <d v="2021-10-01T00:00:00"/>
    <n v="687"/>
    <b v="1"/>
    <n v="610"/>
    <s v="GTX 1060"/>
    <x v="1"/>
    <x v="0"/>
  </r>
  <r>
    <n v="469600"/>
    <s v="Planet Coaster"/>
    <d v="2021-10-01T00:00:00"/>
    <n v="687"/>
    <b v="1"/>
    <n v="610"/>
    <s v="GTX 1060"/>
    <x v="2"/>
    <x v="1"/>
  </r>
  <r>
    <n v="469600"/>
    <s v="Planet Coaster"/>
    <d v="2021-10-01T00:00:00"/>
    <n v="687"/>
    <b v="1"/>
    <n v="610"/>
    <s v="GTX 1060"/>
    <x v="3"/>
    <x v="1"/>
  </r>
  <r>
    <n v="469600"/>
    <s v="Planet Coaster"/>
    <d v="2021-10-01T00:00:00"/>
    <n v="687"/>
    <b v="1"/>
    <n v="610"/>
    <s v="GTX 1060"/>
    <x v="4"/>
    <x v="1"/>
  </r>
  <r>
    <n v="469600"/>
    <s v="Planet Coaster"/>
    <d v="2021-10-01T00:00:00"/>
    <n v="687"/>
    <b v="1"/>
    <n v="610"/>
    <s v="GTX 1060"/>
    <x v="5"/>
    <x v="0"/>
  </r>
  <r>
    <n v="469600"/>
    <s v="Planet Coaster"/>
    <d v="2021-10-01T00:00:00"/>
    <n v="687"/>
    <b v="1"/>
    <n v="610"/>
    <s v="GTX 1060"/>
    <x v="6"/>
    <x v="1"/>
  </r>
  <r>
    <n v="493340"/>
    <s v="WEBFISHING"/>
    <d v="2016-11-17T00:00:00"/>
    <n v="687"/>
    <b v="1"/>
    <n v="610"/>
    <s v="GTX 980"/>
    <x v="0"/>
    <x v="0"/>
  </r>
  <r>
    <n v="493340"/>
    <s v="WEBFISHING"/>
    <d v="2016-11-17T00:00:00"/>
    <n v="687"/>
    <b v="1"/>
    <n v="610"/>
    <s v="GTX 980"/>
    <x v="1"/>
    <x v="1"/>
  </r>
  <r>
    <n v="493340"/>
    <s v="WEBFISHING"/>
    <d v="2016-11-17T00:00:00"/>
    <n v="687"/>
    <b v="1"/>
    <n v="610"/>
    <s v="GTX 980"/>
    <x v="2"/>
    <x v="0"/>
  </r>
  <r>
    <n v="493340"/>
    <s v="WEBFISHING"/>
    <d v="2016-11-17T00:00:00"/>
    <n v="687"/>
    <b v="1"/>
    <n v="610"/>
    <s v="GTX 980"/>
    <x v="3"/>
    <x v="0"/>
  </r>
  <r>
    <n v="493340"/>
    <s v="WEBFISHING"/>
    <d v="2016-11-17T00:00:00"/>
    <n v="687"/>
    <b v="1"/>
    <n v="610"/>
    <s v="GTX 980"/>
    <x v="4"/>
    <x v="1"/>
  </r>
  <r>
    <n v="493340"/>
    <s v="WEBFISHING"/>
    <d v="2016-11-17T00:00:00"/>
    <n v="687"/>
    <b v="1"/>
    <n v="610"/>
    <s v="GTX 980"/>
    <x v="5"/>
    <x v="0"/>
  </r>
  <r>
    <n v="493340"/>
    <s v="WEBFISHING"/>
    <d v="2016-11-17T00:00:00"/>
    <n v="687"/>
    <b v="1"/>
    <n v="610"/>
    <s v="GTX 980"/>
    <x v="6"/>
    <x v="1"/>
  </r>
  <r>
    <n v="3146520"/>
    <s v="Mafia: Definitive Edition"/>
    <d v="2024-10-11T00:00:00"/>
    <n v="686"/>
    <b v="0"/>
    <n v="613"/>
    <s v="GTX 1050"/>
    <x v="0"/>
    <x v="1"/>
  </r>
  <r>
    <n v="3146520"/>
    <s v="Mafia: Definitive Edition"/>
    <d v="2024-10-11T00:00:00"/>
    <n v="686"/>
    <b v="0"/>
    <n v="613"/>
    <s v="GTX 1050"/>
    <x v="1"/>
    <x v="0"/>
  </r>
  <r>
    <n v="3146520"/>
    <s v="Mafia: Definitive Edition"/>
    <d v="2024-10-11T00:00:00"/>
    <n v="686"/>
    <b v="0"/>
    <n v="613"/>
    <s v="GTX 1050"/>
    <x v="2"/>
    <x v="1"/>
  </r>
  <r>
    <n v="3146520"/>
    <s v="Mafia: Definitive Edition"/>
    <d v="2024-10-11T00:00:00"/>
    <n v="686"/>
    <b v="0"/>
    <n v="613"/>
    <s v="GTX 1050"/>
    <x v="3"/>
    <x v="1"/>
  </r>
  <r>
    <n v="3146520"/>
    <s v="Mafia: Definitive Edition"/>
    <d v="2024-10-11T00:00:00"/>
    <n v="686"/>
    <b v="0"/>
    <n v="613"/>
    <s v="GTX 1050"/>
    <x v="4"/>
    <x v="1"/>
  </r>
  <r>
    <n v="3146520"/>
    <s v="Mafia: Definitive Edition"/>
    <d v="2024-10-11T00:00:00"/>
    <n v="686"/>
    <b v="0"/>
    <n v="613"/>
    <s v="GTX 1050"/>
    <x v="5"/>
    <x v="1"/>
  </r>
  <r>
    <n v="3146520"/>
    <s v="Mafia: Definitive Edition"/>
    <d v="2024-10-11T00:00:00"/>
    <n v="686"/>
    <b v="0"/>
    <n v="613"/>
    <s v="GTX 1050"/>
    <x v="6"/>
    <x v="1"/>
  </r>
  <r>
    <n v="1030840"/>
    <s v="Rocksmith 2014 Edition REMASTERED LEARN &amp; PLAY"/>
    <d v="2020-09-24T00:00:00"/>
    <n v="686"/>
    <b v="0"/>
    <n v="613"/>
    <s v="GTX 1080"/>
    <x v="0"/>
    <x v="0"/>
  </r>
  <r>
    <n v="1030840"/>
    <s v="Rocksmith 2014 Edition REMASTERED LEARN &amp; PLAY"/>
    <d v="2020-09-24T00:00:00"/>
    <n v="686"/>
    <b v="0"/>
    <n v="613"/>
    <s v="GTX 1080"/>
    <x v="1"/>
    <x v="1"/>
  </r>
  <r>
    <n v="1030840"/>
    <s v="Rocksmith 2014 Edition REMASTERED LEARN &amp; PLAY"/>
    <d v="2020-09-24T00:00:00"/>
    <n v="686"/>
    <b v="0"/>
    <n v="613"/>
    <s v="GTX 1080"/>
    <x v="2"/>
    <x v="0"/>
  </r>
  <r>
    <n v="1030840"/>
    <s v="Rocksmith 2014 Edition REMASTERED LEARN &amp; PLAY"/>
    <d v="2020-09-24T00:00:00"/>
    <n v="686"/>
    <b v="0"/>
    <n v="613"/>
    <s v="GTX 1080"/>
    <x v="3"/>
    <x v="1"/>
  </r>
  <r>
    <n v="1030840"/>
    <s v="Rocksmith 2014 Edition REMASTERED LEARN &amp; PLAY"/>
    <d v="2020-09-24T00:00:00"/>
    <n v="686"/>
    <b v="0"/>
    <n v="613"/>
    <s v="GTX 1080"/>
    <x v="4"/>
    <x v="1"/>
  </r>
  <r>
    <n v="1030840"/>
    <s v="Rocksmith 2014 Edition REMASTERED LEARN &amp; PLAY"/>
    <d v="2020-09-24T00:00:00"/>
    <n v="686"/>
    <b v="0"/>
    <n v="613"/>
    <s v="GTX 1080"/>
    <x v="5"/>
    <x v="1"/>
  </r>
  <r>
    <n v="1030840"/>
    <s v="Rocksmith 2014 Edition REMASTERED LEARN &amp; PLAY"/>
    <d v="2020-09-24T00:00:00"/>
    <n v="686"/>
    <b v="0"/>
    <n v="613"/>
    <s v="GTX 1080"/>
    <x v="6"/>
    <x v="1"/>
  </r>
  <r>
    <n v="221680"/>
    <s v="Idle Cave Miner"/>
    <d v="2024-12-19T00:00:00"/>
    <n v="683"/>
    <b v="0"/>
    <n v="615"/>
    <s v="RX 550"/>
    <x v="0"/>
    <x v="1"/>
  </r>
  <r>
    <n v="221680"/>
    <s v="Idle Cave Miner"/>
    <d v="2024-12-19T00:00:00"/>
    <n v="683"/>
    <b v="0"/>
    <n v="615"/>
    <s v="RX 550"/>
    <x v="1"/>
    <x v="1"/>
  </r>
  <r>
    <n v="221680"/>
    <s v="Idle Cave Miner"/>
    <d v="2024-12-19T00:00:00"/>
    <n v="683"/>
    <b v="0"/>
    <n v="615"/>
    <s v="RX 550"/>
    <x v="2"/>
    <x v="1"/>
  </r>
  <r>
    <n v="221680"/>
    <s v="Idle Cave Miner"/>
    <d v="2024-12-19T00:00:00"/>
    <n v="683"/>
    <b v="0"/>
    <n v="615"/>
    <s v="RX 550"/>
    <x v="3"/>
    <x v="0"/>
  </r>
  <r>
    <n v="221680"/>
    <s v="Idle Cave Miner"/>
    <d v="2024-12-19T00:00:00"/>
    <n v="683"/>
    <b v="0"/>
    <n v="615"/>
    <s v="RX 550"/>
    <x v="4"/>
    <x v="1"/>
  </r>
  <r>
    <n v="221680"/>
    <s v="Idle Cave Miner"/>
    <d v="2024-12-19T00:00:00"/>
    <n v="683"/>
    <b v="0"/>
    <n v="615"/>
    <s v="RX 550"/>
    <x v="5"/>
    <x v="1"/>
  </r>
  <r>
    <n v="221680"/>
    <s v="Idle Cave Miner"/>
    <d v="2024-12-19T00:00:00"/>
    <n v="683"/>
    <b v="0"/>
    <n v="615"/>
    <s v="RX 550"/>
    <x v="6"/>
    <x v="1"/>
  </r>
  <r>
    <n v="2289450"/>
    <s v="The Walking Dead: The Telltale Definitive Series"/>
    <d v="2023-12-07T00:00:00"/>
    <n v="683"/>
    <b v="1"/>
    <n v="615"/>
    <s v="GTX 970"/>
    <x v="0"/>
    <x v="1"/>
  </r>
  <r>
    <n v="2289450"/>
    <s v="The Walking Dead: The Telltale Definitive Series"/>
    <d v="2023-12-07T00:00:00"/>
    <n v="683"/>
    <b v="1"/>
    <n v="615"/>
    <s v="GTX 970"/>
    <x v="1"/>
    <x v="0"/>
  </r>
  <r>
    <n v="2289450"/>
    <s v="The Walking Dead: The Telltale Definitive Series"/>
    <d v="2023-12-07T00:00:00"/>
    <n v="683"/>
    <b v="1"/>
    <n v="615"/>
    <s v="GTX 970"/>
    <x v="2"/>
    <x v="1"/>
  </r>
  <r>
    <n v="2289450"/>
    <s v="The Walking Dead: The Telltale Definitive Series"/>
    <d v="2023-12-07T00:00:00"/>
    <n v="683"/>
    <b v="1"/>
    <n v="615"/>
    <s v="GTX 970"/>
    <x v="3"/>
    <x v="0"/>
  </r>
  <r>
    <n v="2289450"/>
    <s v="The Walking Dead: The Telltale Definitive Series"/>
    <d v="2023-12-07T00:00:00"/>
    <n v="683"/>
    <b v="1"/>
    <n v="615"/>
    <s v="GTX 970"/>
    <x v="4"/>
    <x v="1"/>
  </r>
  <r>
    <n v="2289450"/>
    <s v="The Walking Dead: The Telltale Definitive Series"/>
    <d v="2023-12-07T00:00:00"/>
    <n v="683"/>
    <b v="1"/>
    <n v="615"/>
    <s v="GTX 970"/>
    <x v="5"/>
    <x v="1"/>
  </r>
  <r>
    <n v="2289450"/>
    <s v="The Walking Dead: The Telltale Definitive Series"/>
    <d v="2023-12-07T00:00:00"/>
    <n v="683"/>
    <b v="1"/>
    <n v="615"/>
    <s v="GTX 970"/>
    <x v="6"/>
    <x v="0"/>
  </r>
  <r>
    <n v="1449690"/>
    <s v="Devil May Cry HD Collection"/>
    <d v="2020-10-29T00:00:00"/>
    <n v="677"/>
    <b v="0"/>
    <n v="617"/>
    <s v="GTX 1050 Ti"/>
    <x v="0"/>
    <x v="1"/>
  </r>
  <r>
    <n v="1449690"/>
    <s v="Devil May Cry HD Collection"/>
    <d v="2020-10-29T00:00:00"/>
    <n v="677"/>
    <b v="0"/>
    <n v="617"/>
    <s v="GTX 1050 Ti"/>
    <x v="1"/>
    <x v="1"/>
  </r>
  <r>
    <n v="1449690"/>
    <s v="Devil May Cry HD Collection"/>
    <d v="2020-10-29T00:00:00"/>
    <n v="677"/>
    <b v="0"/>
    <n v="617"/>
    <s v="GTX 1050 Ti"/>
    <x v="2"/>
    <x v="0"/>
  </r>
  <r>
    <n v="1449690"/>
    <s v="Devil May Cry HD Collection"/>
    <d v="2020-10-29T00:00:00"/>
    <n v="677"/>
    <b v="0"/>
    <n v="617"/>
    <s v="GTX 1050 Ti"/>
    <x v="3"/>
    <x v="1"/>
  </r>
  <r>
    <n v="1449690"/>
    <s v="Devil May Cry HD Collection"/>
    <d v="2020-10-29T00:00:00"/>
    <n v="677"/>
    <b v="0"/>
    <n v="617"/>
    <s v="GTX 1050 Ti"/>
    <x v="4"/>
    <x v="1"/>
  </r>
  <r>
    <n v="1449690"/>
    <s v="Devil May Cry HD Collection"/>
    <d v="2020-10-29T00:00:00"/>
    <n v="677"/>
    <b v="0"/>
    <n v="617"/>
    <s v="GTX 1050 Ti"/>
    <x v="5"/>
    <x v="1"/>
  </r>
  <r>
    <n v="1449690"/>
    <s v="Devil May Cry HD Collection"/>
    <d v="2020-10-29T00:00:00"/>
    <n v="677"/>
    <b v="0"/>
    <n v="617"/>
    <s v="GTX 1050 Ti"/>
    <x v="6"/>
    <x v="1"/>
  </r>
  <r>
    <n v="631510"/>
    <s v="Soulstone Survivors"/>
    <d v="2018-03-13T00:00:00"/>
    <n v="675"/>
    <b v="0"/>
    <n v="618"/>
    <s v="GTX 1050 Ti"/>
    <x v="0"/>
    <x v="0"/>
  </r>
  <r>
    <n v="631510"/>
    <s v="Soulstone Survivors"/>
    <d v="2018-03-13T00:00:00"/>
    <n v="675"/>
    <b v="0"/>
    <n v="618"/>
    <s v="GTX 1050 Ti"/>
    <x v="1"/>
    <x v="1"/>
  </r>
  <r>
    <n v="631510"/>
    <s v="Soulstone Survivors"/>
    <d v="2018-03-13T00:00:00"/>
    <n v="675"/>
    <b v="0"/>
    <n v="618"/>
    <s v="GTX 1050 Ti"/>
    <x v="2"/>
    <x v="1"/>
  </r>
  <r>
    <n v="631510"/>
    <s v="Soulstone Survivors"/>
    <d v="2018-03-13T00:00:00"/>
    <n v="675"/>
    <b v="0"/>
    <n v="618"/>
    <s v="GTX 1050 Ti"/>
    <x v="3"/>
    <x v="1"/>
  </r>
  <r>
    <n v="631510"/>
    <s v="Soulstone Survivors"/>
    <d v="2018-03-13T00:00:00"/>
    <n v="675"/>
    <b v="0"/>
    <n v="618"/>
    <s v="GTX 1050 Ti"/>
    <x v="4"/>
    <x v="1"/>
  </r>
  <r>
    <n v="631510"/>
    <s v="Soulstone Survivors"/>
    <d v="2018-03-13T00:00:00"/>
    <n v="675"/>
    <b v="0"/>
    <n v="618"/>
    <s v="GTX 1050 Ti"/>
    <x v="5"/>
    <x v="1"/>
  </r>
  <r>
    <n v="631510"/>
    <s v="Soulstone Survivors"/>
    <d v="2018-03-13T00:00:00"/>
    <n v="675"/>
    <b v="0"/>
    <n v="618"/>
    <s v="GTX 1050 Ti"/>
    <x v="6"/>
    <x v="1"/>
  </r>
  <r>
    <n v="2066020"/>
    <s v="Escape Simulator"/>
    <d v="2025-06-17T00:00:00"/>
    <n v="674"/>
    <b v="1"/>
    <n v="619"/>
    <s v="GTX 1060"/>
    <x v="0"/>
    <x v="0"/>
  </r>
  <r>
    <n v="2066020"/>
    <s v="Escape Simulator"/>
    <d v="2025-06-17T00:00:00"/>
    <n v="674"/>
    <b v="1"/>
    <n v="619"/>
    <s v="GTX 1060"/>
    <x v="1"/>
    <x v="0"/>
  </r>
  <r>
    <n v="2066020"/>
    <s v="Escape Simulator"/>
    <d v="2025-06-17T00:00:00"/>
    <n v="674"/>
    <b v="1"/>
    <n v="619"/>
    <s v="GTX 1060"/>
    <x v="2"/>
    <x v="1"/>
  </r>
  <r>
    <n v="2066020"/>
    <s v="Escape Simulator"/>
    <d v="2025-06-17T00:00:00"/>
    <n v="674"/>
    <b v="1"/>
    <n v="619"/>
    <s v="GTX 1060"/>
    <x v="3"/>
    <x v="1"/>
  </r>
  <r>
    <n v="2066020"/>
    <s v="Escape Simulator"/>
    <d v="2025-06-17T00:00:00"/>
    <n v="674"/>
    <b v="1"/>
    <n v="619"/>
    <s v="GTX 1060"/>
    <x v="4"/>
    <x v="0"/>
  </r>
  <r>
    <n v="2066020"/>
    <s v="Escape Simulator"/>
    <d v="2025-06-17T00:00:00"/>
    <n v="674"/>
    <b v="1"/>
    <n v="619"/>
    <s v="GTX 1060"/>
    <x v="5"/>
    <x v="1"/>
  </r>
  <r>
    <n v="2066020"/>
    <s v="Escape Simulator"/>
    <d v="2025-06-17T00:00:00"/>
    <n v="674"/>
    <b v="1"/>
    <n v="619"/>
    <s v="GTX 1060"/>
    <x v="6"/>
    <x v="1"/>
  </r>
  <r>
    <n v="1435790"/>
    <s v="Warhammer 40,000: Dawn of War - Soulstorm"/>
    <d v="2021-10-19T00:00:00"/>
    <n v="674"/>
    <b v="1"/>
    <n v="619"/>
    <s v="GTX 1060"/>
    <x v="0"/>
    <x v="1"/>
  </r>
  <r>
    <n v="1435790"/>
    <s v="Warhammer 40,000: Dawn of War - Soulstorm"/>
    <d v="2021-10-19T00:00:00"/>
    <n v="674"/>
    <b v="1"/>
    <n v="619"/>
    <s v="GTX 1060"/>
    <x v="1"/>
    <x v="0"/>
  </r>
  <r>
    <n v="1435790"/>
    <s v="Warhammer 40,000: Dawn of War - Soulstorm"/>
    <d v="2021-10-19T00:00:00"/>
    <n v="674"/>
    <b v="1"/>
    <n v="619"/>
    <s v="GTX 1060"/>
    <x v="2"/>
    <x v="0"/>
  </r>
  <r>
    <n v="1435790"/>
    <s v="Warhammer 40,000: Dawn of War - Soulstorm"/>
    <d v="2021-10-19T00:00:00"/>
    <n v="674"/>
    <b v="1"/>
    <n v="619"/>
    <s v="GTX 1060"/>
    <x v="3"/>
    <x v="0"/>
  </r>
  <r>
    <n v="1435790"/>
    <s v="Warhammer 40,000: Dawn of War - Soulstorm"/>
    <d v="2021-10-19T00:00:00"/>
    <n v="674"/>
    <b v="1"/>
    <n v="619"/>
    <s v="GTX 1060"/>
    <x v="4"/>
    <x v="1"/>
  </r>
  <r>
    <n v="1435790"/>
    <s v="Warhammer 40,000: Dawn of War - Soulstorm"/>
    <d v="2021-10-19T00:00:00"/>
    <n v="674"/>
    <b v="1"/>
    <n v="619"/>
    <s v="GTX 1060"/>
    <x v="5"/>
    <x v="1"/>
  </r>
  <r>
    <n v="1435790"/>
    <s v="Warhammer 40,000: Dawn of War - Soulstorm"/>
    <d v="2021-10-19T00:00:00"/>
    <n v="674"/>
    <b v="1"/>
    <n v="619"/>
    <s v="GTX 1060"/>
    <x v="6"/>
    <x v="1"/>
  </r>
  <r>
    <n v="9450"/>
    <s v="Resident Evil 4 (2005)"/>
    <d v="2008-03-05T00:00:00"/>
    <n v="673"/>
    <b v="0"/>
    <n v="621"/>
    <s v="Radeon Graphics"/>
    <x v="0"/>
    <x v="1"/>
  </r>
  <r>
    <n v="9450"/>
    <s v="Resident Evil 4 (2005)"/>
    <d v="2008-03-05T00:00:00"/>
    <n v="673"/>
    <b v="0"/>
    <n v="621"/>
    <s v="Radeon Graphics"/>
    <x v="1"/>
    <x v="1"/>
  </r>
  <r>
    <n v="9450"/>
    <s v="Resident Evil 4 (2005)"/>
    <d v="2008-03-05T00:00:00"/>
    <n v="673"/>
    <b v="0"/>
    <n v="621"/>
    <s v="Radeon Graphics"/>
    <x v="2"/>
    <x v="1"/>
  </r>
  <r>
    <n v="9450"/>
    <s v="Resident Evil 4 (2005)"/>
    <d v="2008-03-05T00:00:00"/>
    <n v="673"/>
    <b v="0"/>
    <n v="621"/>
    <s v="Radeon Graphics"/>
    <x v="3"/>
    <x v="1"/>
  </r>
  <r>
    <n v="9450"/>
    <s v="Resident Evil 4 (2005)"/>
    <d v="2008-03-05T00:00:00"/>
    <n v="673"/>
    <b v="0"/>
    <n v="621"/>
    <s v="Radeon Graphics"/>
    <x v="4"/>
    <x v="1"/>
  </r>
  <r>
    <n v="9450"/>
    <s v="Resident Evil 4 (2005)"/>
    <d v="2008-03-05T00:00:00"/>
    <n v="673"/>
    <b v="0"/>
    <n v="621"/>
    <s v="Radeon Graphics"/>
    <x v="5"/>
    <x v="0"/>
  </r>
  <r>
    <n v="9450"/>
    <s v="Resident Evil 4 (2005)"/>
    <d v="2008-03-05T00:00:00"/>
    <n v="673"/>
    <b v="0"/>
    <n v="621"/>
    <s v="Radeon Graphics"/>
    <x v="6"/>
    <x v="1"/>
  </r>
  <r>
    <n v="254700"/>
    <s v="Muse Dash"/>
    <d v="2014-02-27T00:00:00"/>
    <n v="673"/>
    <b v="0"/>
    <n v="621"/>
    <s v="Radeon Graphics"/>
    <x v="0"/>
    <x v="0"/>
  </r>
  <r>
    <n v="254700"/>
    <s v="Muse Dash"/>
    <d v="2014-02-27T00:00:00"/>
    <n v="673"/>
    <b v="0"/>
    <n v="621"/>
    <s v="Radeon Graphics"/>
    <x v="1"/>
    <x v="1"/>
  </r>
  <r>
    <n v="254700"/>
    <s v="Muse Dash"/>
    <d v="2014-02-27T00:00:00"/>
    <n v="673"/>
    <b v="0"/>
    <n v="621"/>
    <s v="Radeon Graphics"/>
    <x v="2"/>
    <x v="0"/>
  </r>
  <r>
    <n v="254700"/>
    <s v="Muse Dash"/>
    <d v="2014-02-27T00:00:00"/>
    <n v="673"/>
    <b v="0"/>
    <n v="621"/>
    <s v="Radeon Graphics"/>
    <x v="3"/>
    <x v="1"/>
  </r>
  <r>
    <n v="254700"/>
    <s v="Muse Dash"/>
    <d v="2014-02-27T00:00:00"/>
    <n v="673"/>
    <b v="0"/>
    <n v="621"/>
    <s v="Radeon Graphics"/>
    <x v="4"/>
    <x v="1"/>
  </r>
  <r>
    <n v="254700"/>
    <s v="Muse Dash"/>
    <d v="2014-02-27T00:00:00"/>
    <n v="673"/>
    <b v="0"/>
    <n v="621"/>
    <s v="Radeon Graphics"/>
    <x v="5"/>
    <x v="1"/>
  </r>
  <r>
    <n v="254700"/>
    <s v="Muse Dash"/>
    <d v="2014-02-27T00:00:00"/>
    <n v="673"/>
    <b v="0"/>
    <n v="621"/>
    <s v="Radeon Graphics"/>
    <x v="6"/>
    <x v="1"/>
  </r>
  <r>
    <n v="774171"/>
    <s v="The Quinfall"/>
    <d v="2019-06-19T00:00:00"/>
    <n v="672"/>
    <b v="1"/>
    <n v="623"/>
    <s v="Radeon Vega 11"/>
    <x v="0"/>
    <x v="0"/>
  </r>
  <r>
    <n v="774171"/>
    <s v="The Quinfall"/>
    <d v="2019-06-19T00:00:00"/>
    <n v="672"/>
    <b v="1"/>
    <n v="623"/>
    <s v="Radeon Vega 11"/>
    <x v="1"/>
    <x v="0"/>
  </r>
  <r>
    <n v="774171"/>
    <s v="The Quinfall"/>
    <d v="2019-06-19T00:00:00"/>
    <n v="672"/>
    <b v="1"/>
    <n v="623"/>
    <s v="Radeon Vega 11"/>
    <x v="2"/>
    <x v="1"/>
  </r>
  <r>
    <n v="774171"/>
    <s v="The Quinfall"/>
    <d v="2019-06-19T00:00:00"/>
    <n v="672"/>
    <b v="1"/>
    <n v="623"/>
    <s v="Radeon Vega 11"/>
    <x v="3"/>
    <x v="1"/>
  </r>
  <r>
    <n v="774171"/>
    <s v="The Quinfall"/>
    <d v="2019-06-19T00:00:00"/>
    <n v="672"/>
    <b v="1"/>
    <n v="623"/>
    <s v="Radeon Vega 11"/>
    <x v="4"/>
    <x v="1"/>
  </r>
  <r>
    <n v="774171"/>
    <s v="The Quinfall"/>
    <d v="2019-06-19T00:00:00"/>
    <n v="672"/>
    <b v="1"/>
    <n v="623"/>
    <s v="Radeon Vega 11"/>
    <x v="5"/>
    <x v="1"/>
  </r>
  <r>
    <n v="774171"/>
    <s v="The Quinfall"/>
    <d v="2019-06-19T00:00:00"/>
    <n v="672"/>
    <b v="1"/>
    <n v="623"/>
    <s v="Radeon Vega 11"/>
    <x v="6"/>
    <x v="1"/>
  </r>
  <r>
    <n v="2294660"/>
    <s v="Neverwinter"/>
    <d v="2025-01-24T00:00:00"/>
    <n v="669"/>
    <b v="0"/>
    <n v="624"/>
    <s v="GTX 1060"/>
    <x v="0"/>
    <x v="1"/>
  </r>
  <r>
    <n v="2294660"/>
    <s v="Neverwinter"/>
    <d v="2025-01-24T00:00:00"/>
    <n v="669"/>
    <b v="0"/>
    <n v="624"/>
    <s v="GTX 1060"/>
    <x v="1"/>
    <x v="1"/>
  </r>
  <r>
    <n v="2294660"/>
    <s v="Neverwinter"/>
    <d v="2025-01-24T00:00:00"/>
    <n v="669"/>
    <b v="0"/>
    <n v="624"/>
    <s v="GTX 1060"/>
    <x v="2"/>
    <x v="1"/>
  </r>
  <r>
    <n v="2294660"/>
    <s v="Neverwinter"/>
    <d v="2025-01-24T00:00:00"/>
    <n v="669"/>
    <b v="0"/>
    <n v="624"/>
    <s v="GTX 1060"/>
    <x v="3"/>
    <x v="1"/>
  </r>
  <r>
    <n v="2294660"/>
    <s v="Neverwinter"/>
    <d v="2025-01-24T00:00:00"/>
    <n v="669"/>
    <b v="0"/>
    <n v="624"/>
    <s v="GTX 1060"/>
    <x v="4"/>
    <x v="1"/>
  </r>
  <r>
    <n v="2294660"/>
    <s v="Neverwinter"/>
    <d v="2025-01-24T00:00:00"/>
    <n v="669"/>
    <b v="0"/>
    <n v="624"/>
    <s v="GTX 1060"/>
    <x v="5"/>
    <x v="1"/>
  </r>
  <r>
    <n v="2294660"/>
    <s v="Neverwinter"/>
    <d v="2025-01-24T00:00:00"/>
    <n v="669"/>
    <b v="0"/>
    <n v="624"/>
    <s v="GTX 1060"/>
    <x v="6"/>
    <x v="1"/>
  </r>
  <r>
    <n v="109600"/>
    <s v="Fall Guys"/>
    <d v="2013-12-05T00:00:00"/>
    <n v="665"/>
    <b v="0"/>
    <n v="625"/>
    <s v="GTX 980"/>
    <x v="0"/>
    <x v="0"/>
  </r>
  <r>
    <n v="109600"/>
    <s v="Fall Guys"/>
    <d v="2013-12-05T00:00:00"/>
    <n v="665"/>
    <b v="0"/>
    <n v="625"/>
    <s v="GTX 980"/>
    <x v="1"/>
    <x v="1"/>
  </r>
  <r>
    <n v="109600"/>
    <s v="Fall Guys"/>
    <d v="2013-12-05T00:00:00"/>
    <n v="665"/>
    <b v="0"/>
    <n v="625"/>
    <s v="GTX 980"/>
    <x v="2"/>
    <x v="0"/>
  </r>
  <r>
    <n v="109600"/>
    <s v="Fall Guys"/>
    <d v="2013-12-05T00:00:00"/>
    <n v="665"/>
    <b v="0"/>
    <n v="625"/>
    <s v="GTX 980"/>
    <x v="3"/>
    <x v="1"/>
  </r>
  <r>
    <n v="109600"/>
    <s v="Fall Guys"/>
    <d v="2013-12-05T00:00:00"/>
    <n v="665"/>
    <b v="0"/>
    <n v="625"/>
    <s v="GTX 980"/>
    <x v="4"/>
    <x v="0"/>
  </r>
  <r>
    <n v="109600"/>
    <s v="Fall Guys"/>
    <d v="2013-12-05T00:00:00"/>
    <n v="665"/>
    <b v="0"/>
    <n v="625"/>
    <s v="GTX 980"/>
    <x v="5"/>
    <x v="1"/>
  </r>
  <r>
    <n v="109600"/>
    <s v="Fall Guys"/>
    <d v="2013-12-05T00:00:00"/>
    <n v="665"/>
    <b v="0"/>
    <n v="625"/>
    <s v="GTX 980"/>
    <x v="6"/>
    <x v="0"/>
  </r>
  <r>
    <n v="1097150"/>
    <s v="Mindustry"/>
    <d v="2020-08-03T00:00:00"/>
    <n v="664"/>
    <b v="0"/>
    <n v="626"/>
    <s v="RX 560"/>
    <x v="0"/>
    <x v="0"/>
  </r>
  <r>
    <n v="1097150"/>
    <s v="Mindustry"/>
    <d v="2020-08-03T00:00:00"/>
    <n v="664"/>
    <b v="0"/>
    <n v="626"/>
    <s v="RX 560"/>
    <x v="1"/>
    <x v="0"/>
  </r>
  <r>
    <n v="1097150"/>
    <s v="Mindustry"/>
    <d v="2020-08-03T00:00:00"/>
    <n v="664"/>
    <b v="0"/>
    <n v="626"/>
    <s v="RX 560"/>
    <x v="2"/>
    <x v="1"/>
  </r>
  <r>
    <n v="1097150"/>
    <s v="Mindustry"/>
    <d v="2020-08-03T00:00:00"/>
    <n v="664"/>
    <b v="0"/>
    <n v="626"/>
    <s v="RX 560"/>
    <x v="3"/>
    <x v="1"/>
  </r>
  <r>
    <n v="1097150"/>
    <s v="Mindustry"/>
    <d v="2020-08-03T00:00:00"/>
    <n v="664"/>
    <b v="0"/>
    <n v="626"/>
    <s v="RX 560"/>
    <x v="4"/>
    <x v="1"/>
  </r>
  <r>
    <n v="1097150"/>
    <s v="Mindustry"/>
    <d v="2020-08-03T00:00:00"/>
    <n v="664"/>
    <b v="0"/>
    <n v="626"/>
    <s v="RX 560"/>
    <x v="5"/>
    <x v="1"/>
  </r>
  <r>
    <n v="1097150"/>
    <s v="Mindustry"/>
    <d v="2020-08-03T00:00:00"/>
    <n v="664"/>
    <b v="0"/>
    <n v="626"/>
    <s v="RX 560"/>
    <x v="6"/>
    <x v="1"/>
  </r>
  <r>
    <n v="1127400"/>
    <s v="Zuma Deluxe"/>
    <d v="2019-09-26T00:00:00"/>
    <n v="658"/>
    <b v="1"/>
    <n v="627"/>
    <s v="Radeon Vega 11"/>
    <x v="0"/>
    <x v="1"/>
  </r>
  <r>
    <n v="1127400"/>
    <s v="Zuma Deluxe"/>
    <d v="2019-09-26T00:00:00"/>
    <n v="658"/>
    <b v="1"/>
    <n v="627"/>
    <s v="Radeon Vega 11"/>
    <x v="1"/>
    <x v="1"/>
  </r>
  <r>
    <n v="1127400"/>
    <s v="Zuma Deluxe"/>
    <d v="2019-09-26T00:00:00"/>
    <n v="658"/>
    <b v="1"/>
    <n v="627"/>
    <s v="Radeon Vega 11"/>
    <x v="2"/>
    <x v="1"/>
  </r>
  <r>
    <n v="1127400"/>
    <s v="Zuma Deluxe"/>
    <d v="2019-09-26T00:00:00"/>
    <n v="658"/>
    <b v="1"/>
    <n v="627"/>
    <s v="Radeon Vega 11"/>
    <x v="3"/>
    <x v="1"/>
  </r>
  <r>
    <n v="1127400"/>
    <s v="Zuma Deluxe"/>
    <d v="2019-09-26T00:00:00"/>
    <n v="658"/>
    <b v="1"/>
    <n v="627"/>
    <s v="Radeon Vega 11"/>
    <x v="4"/>
    <x v="1"/>
  </r>
  <r>
    <n v="1127400"/>
    <s v="Zuma Deluxe"/>
    <d v="2019-09-26T00:00:00"/>
    <n v="658"/>
    <b v="1"/>
    <n v="627"/>
    <s v="Radeon Vega 11"/>
    <x v="5"/>
    <x v="0"/>
  </r>
  <r>
    <n v="1127400"/>
    <s v="Zuma Deluxe"/>
    <d v="2019-09-26T00:00:00"/>
    <n v="658"/>
    <b v="1"/>
    <n v="627"/>
    <s v="Radeon Vega 11"/>
    <x v="6"/>
    <x v="1"/>
  </r>
  <r>
    <n v="3330"/>
    <s v="Blade and Sorcery"/>
    <d v="2006-08-30T00:00:00"/>
    <n v="658"/>
    <b v="1"/>
    <n v="627"/>
    <s v="Intel HD Graphics"/>
    <x v="0"/>
    <x v="1"/>
  </r>
  <r>
    <n v="3330"/>
    <s v="Blade and Sorcery"/>
    <d v="2006-08-30T00:00:00"/>
    <n v="658"/>
    <b v="1"/>
    <n v="627"/>
    <s v="Intel HD Graphics"/>
    <x v="1"/>
    <x v="1"/>
  </r>
  <r>
    <n v="3330"/>
    <s v="Blade and Sorcery"/>
    <d v="2006-08-30T00:00:00"/>
    <n v="658"/>
    <b v="1"/>
    <n v="627"/>
    <s v="Intel HD Graphics"/>
    <x v="2"/>
    <x v="1"/>
  </r>
  <r>
    <n v="3330"/>
    <s v="Blade and Sorcery"/>
    <d v="2006-08-30T00:00:00"/>
    <n v="658"/>
    <b v="1"/>
    <n v="627"/>
    <s v="Intel HD Graphics"/>
    <x v="3"/>
    <x v="1"/>
  </r>
  <r>
    <n v="3330"/>
    <s v="Blade and Sorcery"/>
    <d v="2006-08-30T00:00:00"/>
    <n v="658"/>
    <b v="1"/>
    <n v="627"/>
    <s v="Intel HD Graphics"/>
    <x v="4"/>
    <x v="1"/>
  </r>
  <r>
    <n v="3330"/>
    <s v="Blade and Sorcery"/>
    <d v="2006-08-30T00:00:00"/>
    <n v="658"/>
    <b v="1"/>
    <n v="627"/>
    <s v="Intel HD Graphics"/>
    <x v="5"/>
    <x v="1"/>
  </r>
  <r>
    <n v="3330"/>
    <s v="Blade and Sorcery"/>
    <d v="2006-08-30T00:00:00"/>
    <n v="658"/>
    <b v="1"/>
    <n v="627"/>
    <s v="Intel HD Graphics"/>
    <x v="6"/>
    <x v="1"/>
  </r>
  <r>
    <n v="629730"/>
    <s v="RPG Maker MV"/>
    <d v="2024-06-17T00:00:00"/>
    <n v="657"/>
    <b v="0"/>
    <n v="629"/>
    <s v="RTX 2070"/>
    <x v="0"/>
    <x v="0"/>
  </r>
  <r>
    <n v="629730"/>
    <s v="RPG Maker MV"/>
    <d v="2024-06-17T00:00:00"/>
    <n v="657"/>
    <b v="0"/>
    <n v="629"/>
    <s v="RTX 2070"/>
    <x v="1"/>
    <x v="0"/>
  </r>
  <r>
    <n v="629730"/>
    <s v="RPG Maker MV"/>
    <d v="2024-06-17T00:00:00"/>
    <n v="657"/>
    <b v="0"/>
    <n v="629"/>
    <s v="RTX 2070"/>
    <x v="2"/>
    <x v="0"/>
  </r>
  <r>
    <n v="629730"/>
    <s v="RPG Maker MV"/>
    <d v="2024-06-17T00:00:00"/>
    <n v="657"/>
    <b v="0"/>
    <n v="629"/>
    <s v="RTX 2070"/>
    <x v="3"/>
    <x v="0"/>
  </r>
  <r>
    <n v="629730"/>
    <s v="RPG Maker MV"/>
    <d v="2024-06-17T00:00:00"/>
    <n v="657"/>
    <b v="0"/>
    <n v="629"/>
    <s v="RTX 2070"/>
    <x v="4"/>
    <x v="0"/>
  </r>
  <r>
    <n v="629730"/>
    <s v="RPG Maker MV"/>
    <d v="2024-06-17T00:00:00"/>
    <n v="657"/>
    <b v="0"/>
    <n v="629"/>
    <s v="RTX 2070"/>
    <x v="5"/>
    <x v="1"/>
  </r>
  <r>
    <n v="629730"/>
    <s v="RPG Maker MV"/>
    <d v="2024-06-17T00:00:00"/>
    <n v="657"/>
    <b v="0"/>
    <n v="629"/>
    <s v="RTX 2070"/>
    <x v="6"/>
    <x v="1"/>
  </r>
  <r>
    <n v="363890"/>
    <s v="Soul Dossier"/>
    <d v="2015-10-23T00:00:00"/>
    <n v="657"/>
    <b v="1"/>
    <n v="629"/>
    <s v="Radeon Vega 8"/>
    <x v="0"/>
    <x v="1"/>
  </r>
  <r>
    <n v="363890"/>
    <s v="Soul Dossier"/>
    <d v="2015-10-23T00:00:00"/>
    <n v="657"/>
    <b v="1"/>
    <n v="629"/>
    <s v="Radeon Vega 8"/>
    <x v="1"/>
    <x v="1"/>
  </r>
  <r>
    <n v="363890"/>
    <s v="Soul Dossier"/>
    <d v="2015-10-23T00:00:00"/>
    <n v="657"/>
    <b v="1"/>
    <n v="629"/>
    <s v="Radeon Vega 8"/>
    <x v="2"/>
    <x v="1"/>
  </r>
  <r>
    <n v="363890"/>
    <s v="Soul Dossier"/>
    <d v="2015-10-23T00:00:00"/>
    <n v="657"/>
    <b v="1"/>
    <n v="629"/>
    <s v="Radeon Vega 8"/>
    <x v="3"/>
    <x v="1"/>
  </r>
  <r>
    <n v="363890"/>
    <s v="Soul Dossier"/>
    <d v="2015-10-23T00:00:00"/>
    <n v="657"/>
    <b v="1"/>
    <n v="629"/>
    <s v="Radeon Vega 8"/>
    <x v="4"/>
    <x v="0"/>
  </r>
  <r>
    <n v="363890"/>
    <s v="Soul Dossier"/>
    <d v="2015-10-23T00:00:00"/>
    <n v="657"/>
    <b v="1"/>
    <n v="629"/>
    <s v="Radeon Vega 8"/>
    <x v="5"/>
    <x v="1"/>
  </r>
  <r>
    <n v="363890"/>
    <s v="Soul Dossier"/>
    <d v="2015-10-23T00:00:00"/>
    <n v="657"/>
    <b v="1"/>
    <n v="629"/>
    <s v="Radeon Vega 8"/>
    <x v="6"/>
    <x v="1"/>
  </r>
  <r>
    <n v="1520470"/>
    <s v="Chill Pulse"/>
    <d v="2021-03-29T00:00:00"/>
    <n v="656"/>
    <b v="0"/>
    <n v="631"/>
    <s v="RTX 2060"/>
    <x v="0"/>
    <x v="0"/>
  </r>
  <r>
    <n v="1520470"/>
    <s v="Chill Pulse"/>
    <d v="2021-03-29T00:00:00"/>
    <n v="656"/>
    <b v="0"/>
    <n v="631"/>
    <s v="RTX 2060"/>
    <x v="1"/>
    <x v="1"/>
  </r>
  <r>
    <n v="1520470"/>
    <s v="Chill Pulse"/>
    <d v="2021-03-29T00:00:00"/>
    <n v="656"/>
    <b v="0"/>
    <n v="631"/>
    <s v="RTX 2060"/>
    <x v="2"/>
    <x v="0"/>
  </r>
  <r>
    <n v="1520470"/>
    <s v="Chill Pulse"/>
    <d v="2021-03-29T00:00:00"/>
    <n v="656"/>
    <b v="0"/>
    <n v="631"/>
    <s v="RTX 2060"/>
    <x v="3"/>
    <x v="1"/>
  </r>
  <r>
    <n v="1520470"/>
    <s v="Chill Pulse"/>
    <d v="2021-03-29T00:00:00"/>
    <n v="656"/>
    <b v="0"/>
    <n v="631"/>
    <s v="RTX 2060"/>
    <x v="4"/>
    <x v="0"/>
  </r>
  <r>
    <n v="1520470"/>
    <s v="Chill Pulse"/>
    <d v="2021-03-29T00:00:00"/>
    <n v="656"/>
    <b v="0"/>
    <n v="631"/>
    <s v="RTX 2060"/>
    <x v="5"/>
    <x v="0"/>
  </r>
  <r>
    <n v="1520470"/>
    <s v="Chill Pulse"/>
    <d v="2021-03-29T00:00:00"/>
    <n v="656"/>
    <b v="0"/>
    <n v="631"/>
    <s v="RTX 2060"/>
    <x v="6"/>
    <x v="0"/>
  </r>
  <r>
    <n v="2826180"/>
    <s v="Batman: Arkham City - Game of the Year Edition"/>
    <d v="2024-05-02T00:00:00"/>
    <n v="655"/>
    <b v="1"/>
    <n v="632"/>
    <s v="GTX 750"/>
    <x v="0"/>
    <x v="1"/>
  </r>
  <r>
    <n v="2826180"/>
    <s v="Batman: Arkham City - Game of the Year Edition"/>
    <d v="2024-05-02T00:00:00"/>
    <n v="655"/>
    <b v="1"/>
    <n v="632"/>
    <s v="GTX 750"/>
    <x v="1"/>
    <x v="0"/>
  </r>
  <r>
    <n v="2826180"/>
    <s v="Batman: Arkham City - Game of the Year Edition"/>
    <d v="2024-05-02T00:00:00"/>
    <n v="655"/>
    <b v="1"/>
    <n v="632"/>
    <s v="GTX 750"/>
    <x v="2"/>
    <x v="0"/>
  </r>
  <r>
    <n v="2826180"/>
    <s v="Batman: Arkham City - Game of the Year Edition"/>
    <d v="2024-05-02T00:00:00"/>
    <n v="655"/>
    <b v="1"/>
    <n v="632"/>
    <s v="GTX 750"/>
    <x v="3"/>
    <x v="0"/>
  </r>
  <r>
    <n v="2826180"/>
    <s v="Batman: Arkham City - Game of the Year Edition"/>
    <d v="2024-05-02T00:00:00"/>
    <n v="655"/>
    <b v="1"/>
    <n v="632"/>
    <s v="GTX 750"/>
    <x v="4"/>
    <x v="1"/>
  </r>
  <r>
    <n v="2826180"/>
    <s v="Batman: Arkham City - Game of the Year Edition"/>
    <d v="2024-05-02T00:00:00"/>
    <n v="655"/>
    <b v="1"/>
    <n v="632"/>
    <s v="GTX 750"/>
    <x v="5"/>
    <x v="1"/>
  </r>
  <r>
    <n v="2826180"/>
    <s v="Batman: Arkham City - Game of the Year Edition"/>
    <d v="2024-05-02T00:00:00"/>
    <n v="655"/>
    <b v="1"/>
    <n v="632"/>
    <s v="GTX 750"/>
    <x v="6"/>
    <x v="1"/>
  </r>
  <r>
    <n v="200260"/>
    <s v="Like a Dragon: Infinite Wealth"/>
    <d v="2012-09-07T00:00:00"/>
    <n v="655"/>
    <b v="0"/>
    <n v="632"/>
    <s v="Radeon Graphics"/>
    <x v="0"/>
    <x v="0"/>
  </r>
  <r>
    <n v="200260"/>
    <s v="Like a Dragon: Infinite Wealth"/>
    <d v="2012-09-07T00:00:00"/>
    <n v="655"/>
    <b v="0"/>
    <n v="632"/>
    <s v="Radeon Graphics"/>
    <x v="1"/>
    <x v="1"/>
  </r>
  <r>
    <n v="200260"/>
    <s v="Like a Dragon: Infinite Wealth"/>
    <d v="2012-09-07T00:00:00"/>
    <n v="655"/>
    <b v="0"/>
    <n v="632"/>
    <s v="Radeon Graphics"/>
    <x v="2"/>
    <x v="0"/>
  </r>
  <r>
    <n v="200260"/>
    <s v="Like a Dragon: Infinite Wealth"/>
    <d v="2012-09-07T00:00:00"/>
    <n v="655"/>
    <b v="0"/>
    <n v="632"/>
    <s v="Radeon Graphics"/>
    <x v="3"/>
    <x v="1"/>
  </r>
  <r>
    <n v="200260"/>
    <s v="Like a Dragon: Infinite Wealth"/>
    <d v="2012-09-07T00:00:00"/>
    <n v="655"/>
    <b v="0"/>
    <n v="632"/>
    <s v="Radeon Graphics"/>
    <x v="4"/>
    <x v="1"/>
  </r>
  <r>
    <n v="200260"/>
    <s v="Like a Dragon: Infinite Wealth"/>
    <d v="2012-09-07T00:00:00"/>
    <n v="655"/>
    <b v="0"/>
    <n v="632"/>
    <s v="Radeon Graphics"/>
    <x v="5"/>
    <x v="1"/>
  </r>
  <r>
    <n v="200260"/>
    <s v="Like a Dragon: Infinite Wealth"/>
    <d v="2012-09-07T00:00:00"/>
    <n v="655"/>
    <b v="0"/>
    <n v="632"/>
    <s v="Radeon Graphics"/>
    <x v="6"/>
    <x v="1"/>
  </r>
  <r>
    <n v="2072450"/>
    <s v="Sun Haven"/>
    <d v="2024-01-25T00:00:00"/>
    <n v="655"/>
    <b v="0"/>
    <n v="632"/>
    <s v="RTX 2060"/>
    <x v="0"/>
    <x v="0"/>
  </r>
  <r>
    <n v="2072450"/>
    <s v="Sun Haven"/>
    <d v="2024-01-25T00:00:00"/>
    <n v="655"/>
    <b v="0"/>
    <n v="632"/>
    <s v="RTX 2060"/>
    <x v="1"/>
    <x v="1"/>
  </r>
  <r>
    <n v="2072450"/>
    <s v="Sun Haven"/>
    <d v="2024-01-25T00:00:00"/>
    <n v="655"/>
    <b v="0"/>
    <n v="632"/>
    <s v="RTX 2060"/>
    <x v="2"/>
    <x v="0"/>
  </r>
  <r>
    <n v="2072450"/>
    <s v="Sun Haven"/>
    <d v="2024-01-25T00:00:00"/>
    <n v="655"/>
    <b v="0"/>
    <n v="632"/>
    <s v="RTX 2060"/>
    <x v="3"/>
    <x v="1"/>
  </r>
  <r>
    <n v="2072450"/>
    <s v="Sun Haven"/>
    <d v="2024-01-25T00:00:00"/>
    <n v="655"/>
    <b v="0"/>
    <n v="632"/>
    <s v="RTX 2060"/>
    <x v="4"/>
    <x v="0"/>
  </r>
  <r>
    <n v="2072450"/>
    <s v="Sun Haven"/>
    <d v="2024-01-25T00:00:00"/>
    <n v="655"/>
    <b v="0"/>
    <n v="632"/>
    <s v="RTX 2060"/>
    <x v="5"/>
    <x v="1"/>
  </r>
  <r>
    <n v="2072450"/>
    <s v="Sun Haven"/>
    <d v="2024-01-25T00:00:00"/>
    <n v="655"/>
    <b v="0"/>
    <n v="632"/>
    <s v="RTX 2060"/>
    <x v="6"/>
    <x v="1"/>
  </r>
  <r>
    <n v="1432860"/>
    <s v="DRAGON BALL XENOVERSE 2"/>
    <d v="2023-03-10T00:00:00"/>
    <n v="653"/>
    <b v="1"/>
    <n v="635"/>
    <s v="GTX 1050"/>
    <x v="0"/>
    <x v="1"/>
  </r>
  <r>
    <n v="1432860"/>
    <s v="DRAGON BALL XENOVERSE 2"/>
    <d v="2023-03-10T00:00:00"/>
    <n v="653"/>
    <b v="1"/>
    <n v="635"/>
    <s v="GTX 1050"/>
    <x v="1"/>
    <x v="0"/>
  </r>
  <r>
    <n v="1432860"/>
    <s v="DRAGON BALL XENOVERSE 2"/>
    <d v="2023-03-10T00:00:00"/>
    <n v="653"/>
    <b v="1"/>
    <n v="635"/>
    <s v="GTX 1050"/>
    <x v="2"/>
    <x v="0"/>
  </r>
  <r>
    <n v="1432860"/>
    <s v="DRAGON BALL XENOVERSE 2"/>
    <d v="2023-03-10T00:00:00"/>
    <n v="653"/>
    <b v="1"/>
    <n v="635"/>
    <s v="GTX 1050"/>
    <x v="3"/>
    <x v="0"/>
  </r>
  <r>
    <n v="1432860"/>
    <s v="DRAGON BALL XENOVERSE 2"/>
    <d v="2023-03-10T00:00:00"/>
    <n v="653"/>
    <b v="1"/>
    <n v="635"/>
    <s v="GTX 1050"/>
    <x v="4"/>
    <x v="0"/>
  </r>
  <r>
    <n v="1432860"/>
    <s v="DRAGON BALL XENOVERSE 2"/>
    <d v="2023-03-10T00:00:00"/>
    <n v="653"/>
    <b v="1"/>
    <n v="635"/>
    <s v="GTX 1050"/>
    <x v="5"/>
    <x v="1"/>
  </r>
  <r>
    <n v="1432860"/>
    <s v="DRAGON BALL XENOVERSE 2"/>
    <d v="2023-03-10T00:00:00"/>
    <n v="653"/>
    <b v="1"/>
    <n v="635"/>
    <s v="GTX 1050"/>
    <x v="6"/>
    <x v="1"/>
  </r>
  <r>
    <n v="454650"/>
    <s v="Control Ultimate Edition"/>
    <d v="2016-10-27T00:00:00"/>
    <n v="652"/>
    <b v="0"/>
    <n v="636"/>
    <s v="R9 390X"/>
    <x v="0"/>
    <x v="0"/>
  </r>
  <r>
    <n v="454650"/>
    <s v="Control Ultimate Edition"/>
    <d v="2016-10-27T00:00:00"/>
    <n v="652"/>
    <b v="0"/>
    <n v="636"/>
    <s v="R9 390X"/>
    <x v="1"/>
    <x v="1"/>
  </r>
  <r>
    <n v="454650"/>
    <s v="Control Ultimate Edition"/>
    <d v="2016-10-27T00:00:00"/>
    <n v="652"/>
    <b v="0"/>
    <n v="636"/>
    <s v="R9 390X"/>
    <x v="2"/>
    <x v="0"/>
  </r>
  <r>
    <n v="454650"/>
    <s v="Control Ultimate Edition"/>
    <d v="2016-10-27T00:00:00"/>
    <n v="652"/>
    <b v="0"/>
    <n v="636"/>
    <s v="R9 390X"/>
    <x v="3"/>
    <x v="1"/>
  </r>
  <r>
    <n v="454650"/>
    <s v="Control Ultimate Edition"/>
    <d v="2016-10-27T00:00:00"/>
    <n v="652"/>
    <b v="0"/>
    <n v="636"/>
    <s v="R9 390X"/>
    <x v="4"/>
    <x v="1"/>
  </r>
  <r>
    <n v="454650"/>
    <s v="Control Ultimate Edition"/>
    <d v="2016-10-27T00:00:00"/>
    <n v="652"/>
    <b v="0"/>
    <n v="636"/>
    <s v="R9 390X"/>
    <x v="5"/>
    <x v="1"/>
  </r>
  <r>
    <n v="454650"/>
    <s v="Control Ultimate Edition"/>
    <d v="2016-10-27T00:00:00"/>
    <n v="652"/>
    <b v="0"/>
    <n v="636"/>
    <s v="R9 390X"/>
    <x v="6"/>
    <x v="1"/>
  </r>
  <r>
    <n v="870780"/>
    <s v="Book of Yog Idle RPG"/>
    <d v="2020-08-27T00:00:00"/>
    <n v="648"/>
    <b v="1"/>
    <n v="637"/>
    <s v="GTX 1660"/>
    <x v="0"/>
    <x v="0"/>
  </r>
  <r>
    <n v="870780"/>
    <s v="Book of Yog Idle RPG"/>
    <d v="2020-08-27T00:00:00"/>
    <n v="648"/>
    <b v="1"/>
    <n v="637"/>
    <s v="GTX 1660"/>
    <x v="1"/>
    <x v="1"/>
  </r>
  <r>
    <n v="870780"/>
    <s v="Book of Yog Idle RPG"/>
    <d v="2020-08-27T00:00:00"/>
    <n v="648"/>
    <b v="1"/>
    <n v="637"/>
    <s v="GTX 1660"/>
    <x v="2"/>
    <x v="0"/>
  </r>
  <r>
    <n v="870780"/>
    <s v="Book of Yog Idle RPG"/>
    <d v="2020-08-27T00:00:00"/>
    <n v="648"/>
    <b v="1"/>
    <n v="637"/>
    <s v="GTX 1660"/>
    <x v="3"/>
    <x v="1"/>
  </r>
  <r>
    <n v="870780"/>
    <s v="Book of Yog Idle RPG"/>
    <d v="2020-08-27T00:00:00"/>
    <n v="648"/>
    <b v="1"/>
    <n v="637"/>
    <s v="GTX 1660"/>
    <x v="4"/>
    <x v="1"/>
  </r>
  <r>
    <n v="870780"/>
    <s v="Book of Yog Idle RPG"/>
    <d v="2020-08-27T00:00:00"/>
    <n v="648"/>
    <b v="1"/>
    <n v="637"/>
    <s v="GTX 1660"/>
    <x v="5"/>
    <x v="1"/>
  </r>
  <r>
    <n v="870780"/>
    <s v="Book of Yog Idle RPG"/>
    <d v="2020-08-27T00:00:00"/>
    <n v="648"/>
    <b v="1"/>
    <n v="637"/>
    <s v="GTX 1660"/>
    <x v="6"/>
    <x v="1"/>
  </r>
  <r>
    <n v="1097430"/>
    <s v="Dead Frontier 2"/>
    <d v="2022-07-29T00:00:00"/>
    <n v="647"/>
    <b v="0"/>
    <n v="638"/>
    <s v="GTX 1050"/>
    <x v="0"/>
    <x v="0"/>
  </r>
  <r>
    <n v="1097430"/>
    <s v="Dead Frontier 2"/>
    <d v="2022-07-29T00:00:00"/>
    <n v="647"/>
    <b v="0"/>
    <n v="638"/>
    <s v="GTX 1050"/>
    <x v="1"/>
    <x v="0"/>
  </r>
  <r>
    <n v="1097430"/>
    <s v="Dead Frontier 2"/>
    <d v="2022-07-29T00:00:00"/>
    <n v="647"/>
    <b v="0"/>
    <n v="638"/>
    <s v="GTX 1050"/>
    <x v="2"/>
    <x v="0"/>
  </r>
  <r>
    <n v="1097430"/>
    <s v="Dead Frontier 2"/>
    <d v="2022-07-29T00:00:00"/>
    <n v="647"/>
    <b v="0"/>
    <n v="638"/>
    <s v="GTX 1050"/>
    <x v="3"/>
    <x v="1"/>
  </r>
  <r>
    <n v="1097430"/>
    <s v="Dead Frontier 2"/>
    <d v="2022-07-29T00:00:00"/>
    <n v="647"/>
    <b v="0"/>
    <n v="638"/>
    <s v="GTX 1050"/>
    <x v="4"/>
    <x v="0"/>
  </r>
  <r>
    <n v="1097430"/>
    <s v="Dead Frontier 2"/>
    <d v="2022-07-29T00:00:00"/>
    <n v="647"/>
    <b v="0"/>
    <n v="638"/>
    <s v="GTX 1050"/>
    <x v="5"/>
    <x v="0"/>
  </r>
  <r>
    <n v="1097430"/>
    <s v="Dead Frontier 2"/>
    <d v="2022-07-29T00:00:00"/>
    <n v="647"/>
    <b v="0"/>
    <n v="638"/>
    <s v="GTX 1050"/>
    <x v="6"/>
    <x v="0"/>
  </r>
  <r>
    <n v="744900"/>
    <s v="HoloCure - Save the Fans!"/>
    <d v="2019-07-15T00:00:00"/>
    <n v="647"/>
    <b v="0"/>
    <n v="638"/>
    <s v="GTX 1050"/>
    <x v="0"/>
    <x v="0"/>
  </r>
  <r>
    <n v="744900"/>
    <s v="HoloCure - Save the Fans!"/>
    <d v="2019-07-15T00:00:00"/>
    <n v="647"/>
    <b v="0"/>
    <n v="638"/>
    <s v="GTX 1050"/>
    <x v="1"/>
    <x v="0"/>
  </r>
  <r>
    <n v="744900"/>
    <s v="HoloCure - Save the Fans!"/>
    <d v="2019-07-15T00:00:00"/>
    <n v="647"/>
    <b v="0"/>
    <n v="638"/>
    <s v="GTX 1050"/>
    <x v="2"/>
    <x v="1"/>
  </r>
  <r>
    <n v="744900"/>
    <s v="HoloCure - Save the Fans!"/>
    <d v="2019-07-15T00:00:00"/>
    <n v="647"/>
    <b v="0"/>
    <n v="638"/>
    <s v="GTX 1050"/>
    <x v="3"/>
    <x v="1"/>
  </r>
  <r>
    <n v="744900"/>
    <s v="HoloCure - Save the Fans!"/>
    <d v="2019-07-15T00:00:00"/>
    <n v="647"/>
    <b v="0"/>
    <n v="638"/>
    <s v="GTX 1050"/>
    <x v="4"/>
    <x v="0"/>
  </r>
  <r>
    <n v="744900"/>
    <s v="HoloCure - Save the Fans!"/>
    <d v="2019-07-15T00:00:00"/>
    <n v="647"/>
    <b v="0"/>
    <n v="638"/>
    <s v="GTX 1050"/>
    <x v="5"/>
    <x v="1"/>
  </r>
  <r>
    <n v="744900"/>
    <s v="HoloCure - Save the Fans!"/>
    <d v="2019-07-15T00:00:00"/>
    <n v="647"/>
    <b v="0"/>
    <n v="638"/>
    <s v="GTX 1050"/>
    <x v="6"/>
    <x v="0"/>
  </r>
  <r>
    <n v="2420510"/>
    <s v="PAYDAY 3"/>
    <d v="2023-08-16T00:00:00"/>
    <n v="645"/>
    <b v="0"/>
    <n v="640"/>
    <s v="GTX 1080"/>
    <x v="0"/>
    <x v="0"/>
  </r>
  <r>
    <n v="2420510"/>
    <s v="PAYDAY 3"/>
    <d v="2023-08-16T00:00:00"/>
    <n v="645"/>
    <b v="0"/>
    <n v="640"/>
    <s v="GTX 1080"/>
    <x v="1"/>
    <x v="0"/>
  </r>
  <r>
    <n v="2420510"/>
    <s v="PAYDAY 3"/>
    <d v="2023-08-16T00:00:00"/>
    <n v="645"/>
    <b v="0"/>
    <n v="640"/>
    <s v="GTX 1080"/>
    <x v="2"/>
    <x v="0"/>
  </r>
  <r>
    <n v="2420510"/>
    <s v="PAYDAY 3"/>
    <d v="2023-08-16T00:00:00"/>
    <n v="645"/>
    <b v="0"/>
    <n v="640"/>
    <s v="GTX 1080"/>
    <x v="3"/>
    <x v="1"/>
  </r>
  <r>
    <n v="2420510"/>
    <s v="PAYDAY 3"/>
    <d v="2023-08-16T00:00:00"/>
    <n v="645"/>
    <b v="0"/>
    <n v="640"/>
    <s v="GTX 1080"/>
    <x v="4"/>
    <x v="1"/>
  </r>
  <r>
    <n v="2420510"/>
    <s v="PAYDAY 3"/>
    <d v="2023-08-16T00:00:00"/>
    <n v="645"/>
    <b v="0"/>
    <n v="640"/>
    <s v="GTX 1080"/>
    <x v="5"/>
    <x v="1"/>
  </r>
  <r>
    <n v="2420510"/>
    <s v="PAYDAY 3"/>
    <d v="2023-08-16T00:00:00"/>
    <n v="645"/>
    <b v="0"/>
    <n v="640"/>
    <s v="GTX 1080"/>
    <x v="6"/>
    <x v="1"/>
  </r>
  <r>
    <n v="1272080"/>
    <s v="Call of Duty: Black Ops Cold War"/>
    <d v="2023-09-21T00:00:00"/>
    <n v="644"/>
    <b v="0"/>
    <n v="641"/>
    <s v="GTX 1080"/>
    <x v="0"/>
    <x v="0"/>
  </r>
  <r>
    <n v="1272080"/>
    <s v="Call of Duty: Black Ops Cold War"/>
    <d v="2023-09-21T00:00:00"/>
    <n v="644"/>
    <b v="0"/>
    <n v="641"/>
    <s v="GTX 1080"/>
    <x v="1"/>
    <x v="1"/>
  </r>
  <r>
    <n v="1272080"/>
    <s v="Call of Duty: Black Ops Cold War"/>
    <d v="2023-09-21T00:00:00"/>
    <n v="644"/>
    <b v="0"/>
    <n v="641"/>
    <s v="GTX 1080"/>
    <x v="2"/>
    <x v="0"/>
  </r>
  <r>
    <n v="1272080"/>
    <s v="Call of Duty: Black Ops Cold War"/>
    <d v="2023-09-21T00:00:00"/>
    <n v="644"/>
    <b v="0"/>
    <n v="641"/>
    <s v="GTX 1080"/>
    <x v="3"/>
    <x v="1"/>
  </r>
  <r>
    <n v="1272080"/>
    <s v="Call of Duty: Black Ops Cold War"/>
    <d v="2023-09-21T00:00:00"/>
    <n v="644"/>
    <b v="0"/>
    <n v="641"/>
    <s v="GTX 1080"/>
    <x v="4"/>
    <x v="0"/>
  </r>
  <r>
    <n v="1272080"/>
    <s v="Call of Duty: Black Ops Cold War"/>
    <d v="2023-09-21T00:00:00"/>
    <n v="644"/>
    <b v="0"/>
    <n v="641"/>
    <s v="GTX 1080"/>
    <x v="5"/>
    <x v="1"/>
  </r>
  <r>
    <n v="1272080"/>
    <s v="Call of Duty: Black Ops Cold War"/>
    <d v="2023-09-21T00:00:00"/>
    <n v="644"/>
    <b v="0"/>
    <n v="641"/>
    <s v="GTX 1080"/>
    <x v="6"/>
    <x v="1"/>
  </r>
  <r>
    <n v="1985810"/>
    <s v="Just Cause 3"/>
    <d v="2023-03-08T00:00:00"/>
    <n v="644"/>
    <b v="0"/>
    <n v="641"/>
    <s v="GTX 970"/>
    <x v="0"/>
    <x v="0"/>
  </r>
  <r>
    <n v="1985810"/>
    <s v="Just Cause 3"/>
    <d v="2023-03-08T00:00:00"/>
    <n v="644"/>
    <b v="0"/>
    <n v="641"/>
    <s v="GTX 970"/>
    <x v="1"/>
    <x v="1"/>
  </r>
  <r>
    <n v="1985810"/>
    <s v="Just Cause 3"/>
    <d v="2023-03-08T00:00:00"/>
    <n v="644"/>
    <b v="0"/>
    <n v="641"/>
    <s v="GTX 970"/>
    <x v="2"/>
    <x v="1"/>
  </r>
  <r>
    <n v="1985810"/>
    <s v="Just Cause 3"/>
    <d v="2023-03-08T00:00:00"/>
    <n v="644"/>
    <b v="0"/>
    <n v="641"/>
    <s v="GTX 970"/>
    <x v="3"/>
    <x v="1"/>
  </r>
  <r>
    <n v="1985810"/>
    <s v="Just Cause 3"/>
    <d v="2023-03-08T00:00:00"/>
    <n v="644"/>
    <b v="0"/>
    <n v="641"/>
    <s v="GTX 970"/>
    <x v="4"/>
    <x v="1"/>
  </r>
  <r>
    <n v="1985810"/>
    <s v="Just Cause 3"/>
    <d v="2023-03-08T00:00:00"/>
    <n v="644"/>
    <b v="0"/>
    <n v="641"/>
    <s v="GTX 970"/>
    <x v="5"/>
    <x v="1"/>
  </r>
  <r>
    <n v="1985810"/>
    <s v="Just Cause 3"/>
    <d v="2023-03-08T00:00:00"/>
    <n v="644"/>
    <b v="0"/>
    <n v="641"/>
    <s v="GTX 970"/>
    <x v="6"/>
    <x v="1"/>
  </r>
  <r>
    <n v="225540"/>
    <s v="Portal"/>
    <d v="2015-11-30T00:00:00"/>
    <n v="639"/>
    <b v="0"/>
    <n v="643"/>
    <s v="R9 380"/>
    <x v="0"/>
    <x v="0"/>
  </r>
  <r>
    <n v="225540"/>
    <s v="Portal"/>
    <d v="2015-11-30T00:00:00"/>
    <n v="639"/>
    <b v="0"/>
    <n v="643"/>
    <s v="R9 380"/>
    <x v="1"/>
    <x v="1"/>
  </r>
  <r>
    <n v="225540"/>
    <s v="Portal"/>
    <d v="2015-11-30T00:00:00"/>
    <n v="639"/>
    <b v="0"/>
    <n v="643"/>
    <s v="R9 380"/>
    <x v="2"/>
    <x v="0"/>
  </r>
  <r>
    <n v="225540"/>
    <s v="Portal"/>
    <d v="2015-11-30T00:00:00"/>
    <n v="639"/>
    <b v="0"/>
    <n v="643"/>
    <s v="R9 380"/>
    <x v="3"/>
    <x v="1"/>
  </r>
  <r>
    <n v="225540"/>
    <s v="Portal"/>
    <d v="2015-11-30T00:00:00"/>
    <n v="639"/>
    <b v="0"/>
    <n v="643"/>
    <s v="R9 380"/>
    <x v="4"/>
    <x v="1"/>
  </r>
  <r>
    <n v="225540"/>
    <s v="Portal"/>
    <d v="2015-11-30T00:00:00"/>
    <n v="639"/>
    <b v="0"/>
    <n v="643"/>
    <s v="R9 380"/>
    <x v="5"/>
    <x v="1"/>
  </r>
  <r>
    <n v="225540"/>
    <s v="Portal"/>
    <d v="2015-11-30T00:00:00"/>
    <n v="639"/>
    <b v="0"/>
    <n v="643"/>
    <s v="R9 380"/>
    <x v="6"/>
    <x v="1"/>
  </r>
  <r>
    <n v="400"/>
    <s v="DCS World Steam Edition"/>
    <d v="2007-10-10T00:00:00"/>
    <n v="638"/>
    <b v="0"/>
    <n v="644"/>
    <s v="Radeon Graphics"/>
    <x v="0"/>
    <x v="0"/>
  </r>
  <r>
    <n v="400"/>
    <s v="DCS World Steam Edition"/>
    <d v="2007-10-10T00:00:00"/>
    <n v="638"/>
    <b v="0"/>
    <n v="644"/>
    <s v="Radeon Graphics"/>
    <x v="1"/>
    <x v="1"/>
  </r>
  <r>
    <n v="400"/>
    <s v="DCS World Steam Edition"/>
    <d v="2007-10-10T00:00:00"/>
    <n v="638"/>
    <b v="0"/>
    <n v="644"/>
    <s v="Radeon Graphics"/>
    <x v="2"/>
    <x v="1"/>
  </r>
  <r>
    <n v="400"/>
    <s v="DCS World Steam Edition"/>
    <d v="2007-10-10T00:00:00"/>
    <n v="638"/>
    <b v="0"/>
    <n v="644"/>
    <s v="Radeon Graphics"/>
    <x v="3"/>
    <x v="1"/>
  </r>
  <r>
    <n v="400"/>
    <s v="DCS World Steam Edition"/>
    <d v="2007-10-10T00:00:00"/>
    <n v="638"/>
    <b v="0"/>
    <n v="644"/>
    <s v="Radeon Graphics"/>
    <x v="4"/>
    <x v="1"/>
  </r>
  <r>
    <n v="400"/>
    <s v="DCS World Steam Edition"/>
    <d v="2007-10-10T00:00:00"/>
    <n v="638"/>
    <b v="0"/>
    <n v="644"/>
    <s v="Radeon Graphics"/>
    <x v="5"/>
    <x v="1"/>
  </r>
  <r>
    <n v="400"/>
    <s v="DCS World Steam Edition"/>
    <d v="2007-10-10T00:00:00"/>
    <n v="638"/>
    <b v="0"/>
    <n v="644"/>
    <s v="Radeon Graphics"/>
    <x v="6"/>
    <x v="1"/>
  </r>
  <r>
    <n v="223750"/>
    <s v="MechWarrior 5: Mercenaries"/>
    <d v="2013-08-02T00:00:00"/>
    <n v="636"/>
    <b v="0"/>
    <n v="645"/>
    <s v="GTX 980 Ti"/>
    <x v="0"/>
    <x v="1"/>
  </r>
  <r>
    <n v="223750"/>
    <s v="MechWarrior 5: Mercenaries"/>
    <d v="2013-08-02T00:00:00"/>
    <n v="636"/>
    <b v="0"/>
    <n v="645"/>
    <s v="GTX 980 Ti"/>
    <x v="1"/>
    <x v="1"/>
  </r>
  <r>
    <n v="223750"/>
    <s v="MechWarrior 5: Mercenaries"/>
    <d v="2013-08-02T00:00:00"/>
    <n v="636"/>
    <b v="0"/>
    <n v="645"/>
    <s v="GTX 980 Ti"/>
    <x v="2"/>
    <x v="1"/>
  </r>
  <r>
    <n v="223750"/>
    <s v="MechWarrior 5: Mercenaries"/>
    <d v="2013-08-02T00:00:00"/>
    <n v="636"/>
    <b v="0"/>
    <n v="645"/>
    <s v="GTX 980 Ti"/>
    <x v="3"/>
    <x v="0"/>
  </r>
  <r>
    <n v="223750"/>
    <s v="MechWarrior 5: Mercenaries"/>
    <d v="2013-08-02T00:00:00"/>
    <n v="636"/>
    <b v="0"/>
    <n v="645"/>
    <s v="GTX 980 Ti"/>
    <x v="4"/>
    <x v="1"/>
  </r>
  <r>
    <n v="223750"/>
    <s v="MechWarrior 5: Mercenaries"/>
    <d v="2013-08-02T00:00:00"/>
    <n v="636"/>
    <b v="0"/>
    <n v="645"/>
    <s v="GTX 980 Ti"/>
    <x v="5"/>
    <x v="1"/>
  </r>
  <r>
    <n v="223750"/>
    <s v="MechWarrior 5: Mercenaries"/>
    <d v="2013-08-02T00:00:00"/>
    <n v="636"/>
    <b v="0"/>
    <n v="645"/>
    <s v="GTX 980 Ti"/>
    <x v="6"/>
    <x v="0"/>
  </r>
  <r>
    <n v="784080"/>
    <s v="The Elder Scrolls III: Morrowind Game of the Year Edition"/>
    <d v="2021-05-26T00:00:00"/>
    <n v="636"/>
    <b v="0"/>
    <n v="645"/>
    <s v="GTX 1070"/>
    <x v="0"/>
    <x v="0"/>
  </r>
  <r>
    <n v="784080"/>
    <s v="The Elder Scrolls III: Morrowind Game of the Year Edition"/>
    <d v="2021-05-26T00:00:00"/>
    <n v="636"/>
    <b v="0"/>
    <n v="645"/>
    <s v="GTX 1070"/>
    <x v="1"/>
    <x v="1"/>
  </r>
  <r>
    <n v="784080"/>
    <s v="The Elder Scrolls III: Morrowind Game of the Year Edition"/>
    <d v="2021-05-26T00:00:00"/>
    <n v="636"/>
    <b v="0"/>
    <n v="645"/>
    <s v="GTX 1070"/>
    <x v="2"/>
    <x v="1"/>
  </r>
  <r>
    <n v="784080"/>
    <s v="The Elder Scrolls III: Morrowind Game of the Year Edition"/>
    <d v="2021-05-26T00:00:00"/>
    <n v="636"/>
    <b v="0"/>
    <n v="645"/>
    <s v="GTX 1070"/>
    <x v="3"/>
    <x v="0"/>
  </r>
  <r>
    <n v="784080"/>
    <s v="The Elder Scrolls III: Morrowind Game of the Year Edition"/>
    <d v="2021-05-26T00:00:00"/>
    <n v="636"/>
    <b v="0"/>
    <n v="645"/>
    <s v="GTX 1070"/>
    <x v="4"/>
    <x v="1"/>
  </r>
  <r>
    <n v="784080"/>
    <s v="The Elder Scrolls III: Morrowind Game of the Year Edition"/>
    <d v="2021-05-26T00:00:00"/>
    <n v="636"/>
    <b v="0"/>
    <n v="645"/>
    <s v="GTX 1070"/>
    <x v="5"/>
    <x v="1"/>
  </r>
  <r>
    <n v="784080"/>
    <s v="The Elder Scrolls III: Morrowind Game of the Year Edition"/>
    <d v="2021-05-26T00:00:00"/>
    <n v="636"/>
    <b v="0"/>
    <n v="645"/>
    <s v="GTX 1070"/>
    <x v="6"/>
    <x v="1"/>
  </r>
  <r>
    <n v="22320"/>
    <s v="ｿｮｻｰｱ"/>
    <d v="2009-06-16T00:00:00"/>
    <n v="635"/>
    <b v="0"/>
    <n v="647"/>
    <s v="Radeon Graphics"/>
    <x v="0"/>
    <x v="1"/>
  </r>
  <r>
    <n v="22320"/>
    <s v="ｿｮｻｰｱ"/>
    <d v="2009-06-16T00:00:00"/>
    <n v="635"/>
    <b v="0"/>
    <n v="647"/>
    <s v="Radeon Graphics"/>
    <x v="1"/>
    <x v="1"/>
  </r>
  <r>
    <n v="22320"/>
    <s v="ｿｮｻｰｱ"/>
    <d v="2009-06-16T00:00:00"/>
    <n v="635"/>
    <b v="0"/>
    <n v="647"/>
    <s v="Radeon Graphics"/>
    <x v="2"/>
    <x v="1"/>
  </r>
  <r>
    <n v="22320"/>
    <s v="ｿｮｻｰｱ"/>
    <d v="2009-06-16T00:00:00"/>
    <n v="635"/>
    <b v="0"/>
    <n v="647"/>
    <s v="Radeon Graphics"/>
    <x v="3"/>
    <x v="1"/>
  </r>
  <r>
    <n v="22320"/>
    <s v="ｿｮｻｰｱ"/>
    <d v="2009-06-16T00:00:00"/>
    <n v="635"/>
    <b v="0"/>
    <n v="647"/>
    <s v="Radeon Graphics"/>
    <x v="4"/>
    <x v="0"/>
  </r>
  <r>
    <n v="22320"/>
    <s v="ｿｮｻｰｱ"/>
    <d v="2009-06-16T00:00:00"/>
    <n v="635"/>
    <b v="0"/>
    <n v="647"/>
    <s v="Radeon Graphics"/>
    <x v="5"/>
    <x v="1"/>
  </r>
  <r>
    <n v="22320"/>
    <s v="ｿｮｻｰｱ"/>
    <d v="2009-06-16T00:00:00"/>
    <n v="635"/>
    <b v="0"/>
    <n v="647"/>
    <s v="Radeon Graphics"/>
    <x v="6"/>
    <x v="1"/>
  </r>
  <r>
    <n v="2892880"/>
    <s v="Half-Life"/>
    <d v="2025-03-26T00:00:00"/>
    <n v="635"/>
    <b v="0"/>
    <n v="647"/>
    <s v="Radeon Vega 11"/>
    <x v="0"/>
    <x v="1"/>
  </r>
  <r>
    <n v="2892880"/>
    <s v="Half-Life"/>
    <d v="2025-03-26T00:00:00"/>
    <n v="635"/>
    <b v="0"/>
    <n v="647"/>
    <s v="Radeon Vega 11"/>
    <x v="1"/>
    <x v="1"/>
  </r>
  <r>
    <n v="2892880"/>
    <s v="Half-Life"/>
    <d v="2025-03-26T00:00:00"/>
    <n v="635"/>
    <b v="0"/>
    <n v="647"/>
    <s v="Radeon Vega 11"/>
    <x v="2"/>
    <x v="1"/>
  </r>
  <r>
    <n v="2892880"/>
    <s v="Half-Life"/>
    <d v="2025-03-26T00:00:00"/>
    <n v="635"/>
    <b v="0"/>
    <n v="647"/>
    <s v="Radeon Vega 11"/>
    <x v="3"/>
    <x v="0"/>
  </r>
  <r>
    <n v="2892880"/>
    <s v="Half-Life"/>
    <d v="2025-03-26T00:00:00"/>
    <n v="635"/>
    <b v="0"/>
    <n v="647"/>
    <s v="Radeon Vega 11"/>
    <x v="4"/>
    <x v="1"/>
  </r>
  <r>
    <n v="2892880"/>
    <s v="Half-Life"/>
    <d v="2025-03-26T00:00:00"/>
    <n v="635"/>
    <b v="0"/>
    <n v="647"/>
    <s v="Radeon Vega 11"/>
    <x v="5"/>
    <x v="1"/>
  </r>
  <r>
    <n v="2892880"/>
    <s v="Half-Life"/>
    <d v="2025-03-26T00:00:00"/>
    <n v="635"/>
    <b v="0"/>
    <n v="647"/>
    <s v="Radeon Vega 11"/>
    <x v="6"/>
    <x v="0"/>
  </r>
  <r>
    <n v="70"/>
    <s v="UBOAT"/>
    <d v="1998-11-19T00:00:00"/>
    <n v="634"/>
    <b v="1"/>
    <n v="649"/>
    <s v="Intel HD Graphics"/>
    <x v="0"/>
    <x v="0"/>
  </r>
  <r>
    <n v="70"/>
    <s v="UBOAT"/>
    <d v="1998-11-19T00:00:00"/>
    <n v="634"/>
    <b v="1"/>
    <n v="649"/>
    <s v="Intel HD Graphics"/>
    <x v="1"/>
    <x v="1"/>
  </r>
  <r>
    <n v="70"/>
    <s v="UBOAT"/>
    <d v="1998-11-19T00:00:00"/>
    <n v="634"/>
    <b v="1"/>
    <n v="649"/>
    <s v="Intel HD Graphics"/>
    <x v="2"/>
    <x v="1"/>
  </r>
  <r>
    <n v="70"/>
    <s v="UBOAT"/>
    <d v="1998-11-19T00:00:00"/>
    <n v="634"/>
    <b v="1"/>
    <n v="649"/>
    <s v="Intel HD Graphics"/>
    <x v="3"/>
    <x v="1"/>
  </r>
  <r>
    <n v="70"/>
    <s v="UBOAT"/>
    <d v="1998-11-19T00:00:00"/>
    <n v="634"/>
    <b v="1"/>
    <n v="649"/>
    <s v="Intel HD Graphics"/>
    <x v="4"/>
    <x v="1"/>
  </r>
  <r>
    <n v="70"/>
    <s v="UBOAT"/>
    <d v="1998-11-19T00:00:00"/>
    <n v="634"/>
    <b v="1"/>
    <n v="649"/>
    <s v="Intel HD Graphics"/>
    <x v="5"/>
    <x v="1"/>
  </r>
  <r>
    <n v="70"/>
    <s v="UBOAT"/>
    <d v="1998-11-19T00:00:00"/>
    <n v="634"/>
    <b v="1"/>
    <n v="649"/>
    <s v="Intel HD Graphics"/>
    <x v="6"/>
    <x v="1"/>
  </r>
  <r>
    <n v="494840"/>
    <s v="MiSide"/>
    <d v="2024-08-02T00:00:00"/>
    <n v="633"/>
    <b v="0"/>
    <n v="650"/>
    <s v="GTX 1060"/>
    <x v="0"/>
    <x v="0"/>
  </r>
  <r>
    <n v="494840"/>
    <s v="MiSide"/>
    <d v="2024-08-02T00:00:00"/>
    <n v="633"/>
    <b v="0"/>
    <n v="650"/>
    <s v="GTX 1060"/>
    <x v="1"/>
    <x v="0"/>
  </r>
  <r>
    <n v="494840"/>
    <s v="MiSide"/>
    <d v="2024-08-02T00:00:00"/>
    <n v="633"/>
    <b v="0"/>
    <n v="650"/>
    <s v="GTX 1060"/>
    <x v="2"/>
    <x v="1"/>
  </r>
  <r>
    <n v="494840"/>
    <s v="MiSide"/>
    <d v="2024-08-02T00:00:00"/>
    <n v="633"/>
    <b v="0"/>
    <n v="650"/>
    <s v="GTX 1060"/>
    <x v="3"/>
    <x v="0"/>
  </r>
  <r>
    <n v="494840"/>
    <s v="MiSide"/>
    <d v="2024-08-02T00:00:00"/>
    <n v="633"/>
    <b v="0"/>
    <n v="650"/>
    <s v="GTX 1060"/>
    <x v="4"/>
    <x v="0"/>
  </r>
  <r>
    <n v="494840"/>
    <s v="MiSide"/>
    <d v="2024-08-02T00:00:00"/>
    <n v="633"/>
    <b v="0"/>
    <n v="650"/>
    <s v="GTX 1060"/>
    <x v="5"/>
    <x v="0"/>
  </r>
  <r>
    <n v="494840"/>
    <s v="MiSide"/>
    <d v="2024-08-02T00:00:00"/>
    <n v="633"/>
    <b v="0"/>
    <n v="650"/>
    <s v="GTX 1060"/>
    <x v="6"/>
    <x v="1"/>
  </r>
  <r>
    <n v="2527500"/>
    <s v="DiRT Rally 2.0"/>
    <d v="2024-12-10T00:00:00"/>
    <n v="631"/>
    <b v="0"/>
    <n v="651"/>
    <s v="GTX 1050"/>
    <x v="0"/>
    <x v="1"/>
  </r>
  <r>
    <n v="2527500"/>
    <s v="DiRT Rally 2.0"/>
    <d v="2024-12-10T00:00:00"/>
    <n v="631"/>
    <b v="0"/>
    <n v="651"/>
    <s v="GTX 1050"/>
    <x v="1"/>
    <x v="0"/>
  </r>
  <r>
    <n v="2527500"/>
    <s v="DiRT Rally 2.0"/>
    <d v="2024-12-10T00:00:00"/>
    <n v="631"/>
    <b v="0"/>
    <n v="651"/>
    <s v="GTX 1050"/>
    <x v="2"/>
    <x v="0"/>
  </r>
  <r>
    <n v="2527500"/>
    <s v="DiRT Rally 2.0"/>
    <d v="2024-12-10T00:00:00"/>
    <n v="631"/>
    <b v="0"/>
    <n v="651"/>
    <s v="GTX 1050"/>
    <x v="3"/>
    <x v="0"/>
  </r>
  <r>
    <n v="2527500"/>
    <s v="DiRT Rally 2.0"/>
    <d v="2024-12-10T00:00:00"/>
    <n v="631"/>
    <b v="0"/>
    <n v="651"/>
    <s v="GTX 1050"/>
    <x v="4"/>
    <x v="0"/>
  </r>
  <r>
    <n v="2527500"/>
    <s v="DiRT Rally 2.0"/>
    <d v="2024-12-10T00:00:00"/>
    <n v="631"/>
    <b v="0"/>
    <n v="651"/>
    <s v="GTX 1050"/>
    <x v="5"/>
    <x v="1"/>
  </r>
  <r>
    <n v="2527500"/>
    <s v="DiRT Rally 2.0"/>
    <d v="2024-12-10T00:00:00"/>
    <n v="631"/>
    <b v="0"/>
    <n v="651"/>
    <s v="GTX 1050"/>
    <x v="6"/>
    <x v="1"/>
  </r>
  <r>
    <n v="690790"/>
    <s v="Cellveillance"/>
    <d v="2019-02-25T00:00:00"/>
    <n v="631"/>
    <b v="0"/>
    <n v="651"/>
    <s v="GTX 1070"/>
    <x v="0"/>
    <x v="1"/>
  </r>
  <r>
    <n v="690790"/>
    <s v="Cellveillance"/>
    <d v="2019-02-25T00:00:00"/>
    <n v="631"/>
    <b v="0"/>
    <n v="651"/>
    <s v="GTX 1070"/>
    <x v="1"/>
    <x v="1"/>
  </r>
  <r>
    <n v="690790"/>
    <s v="Cellveillance"/>
    <d v="2019-02-25T00:00:00"/>
    <n v="631"/>
    <b v="0"/>
    <n v="651"/>
    <s v="GTX 1070"/>
    <x v="2"/>
    <x v="1"/>
  </r>
  <r>
    <n v="690790"/>
    <s v="Cellveillance"/>
    <d v="2019-02-25T00:00:00"/>
    <n v="631"/>
    <b v="0"/>
    <n v="651"/>
    <s v="GTX 1070"/>
    <x v="3"/>
    <x v="0"/>
  </r>
  <r>
    <n v="690790"/>
    <s v="Cellveillance"/>
    <d v="2019-02-25T00:00:00"/>
    <n v="631"/>
    <b v="0"/>
    <n v="651"/>
    <s v="GTX 1070"/>
    <x v="4"/>
    <x v="1"/>
  </r>
  <r>
    <n v="690790"/>
    <s v="Cellveillance"/>
    <d v="2019-02-25T00:00:00"/>
    <n v="631"/>
    <b v="0"/>
    <n v="651"/>
    <s v="GTX 1070"/>
    <x v="5"/>
    <x v="1"/>
  </r>
  <r>
    <n v="690790"/>
    <s v="Cellveillance"/>
    <d v="2019-02-25T00:00:00"/>
    <n v="631"/>
    <b v="0"/>
    <n v="651"/>
    <s v="GTX 1070"/>
    <x v="6"/>
    <x v="1"/>
  </r>
  <r>
    <n v="3218580"/>
    <s v="Far Cry 6"/>
    <d v="2025-06-04T00:00:00"/>
    <n v="628"/>
    <b v="1"/>
    <n v="653"/>
    <s v="GTX 1080"/>
    <x v="0"/>
    <x v="1"/>
  </r>
  <r>
    <n v="3218580"/>
    <s v="Far Cry 6"/>
    <d v="2025-06-04T00:00:00"/>
    <n v="628"/>
    <b v="1"/>
    <n v="653"/>
    <s v="GTX 1080"/>
    <x v="1"/>
    <x v="1"/>
  </r>
  <r>
    <n v="3218580"/>
    <s v="Far Cry 6"/>
    <d v="2025-06-04T00:00:00"/>
    <n v="628"/>
    <b v="1"/>
    <n v="653"/>
    <s v="GTX 1080"/>
    <x v="2"/>
    <x v="0"/>
  </r>
  <r>
    <n v="3218580"/>
    <s v="Far Cry 6"/>
    <d v="2025-06-04T00:00:00"/>
    <n v="628"/>
    <b v="1"/>
    <n v="653"/>
    <s v="GTX 1080"/>
    <x v="3"/>
    <x v="0"/>
  </r>
  <r>
    <n v="3218580"/>
    <s v="Far Cry 6"/>
    <d v="2025-06-04T00:00:00"/>
    <n v="628"/>
    <b v="1"/>
    <n v="653"/>
    <s v="GTX 1080"/>
    <x v="4"/>
    <x v="0"/>
  </r>
  <r>
    <n v="3218580"/>
    <s v="Far Cry 6"/>
    <d v="2025-06-04T00:00:00"/>
    <n v="628"/>
    <b v="1"/>
    <n v="653"/>
    <s v="GTX 1080"/>
    <x v="5"/>
    <x v="1"/>
  </r>
  <r>
    <n v="3218580"/>
    <s v="Far Cry 6"/>
    <d v="2025-06-04T00:00:00"/>
    <n v="628"/>
    <b v="1"/>
    <n v="653"/>
    <s v="GTX 1080"/>
    <x v="6"/>
    <x v="1"/>
  </r>
  <r>
    <n v="2369390"/>
    <s v="Nine Sols"/>
    <d v="2023-05-11T00:00:00"/>
    <n v="627"/>
    <b v="0"/>
    <n v="654"/>
    <s v="GTX 1080"/>
    <x v="0"/>
    <x v="0"/>
  </r>
  <r>
    <n v="2369390"/>
    <s v="Nine Sols"/>
    <d v="2023-05-11T00:00:00"/>
    <n v="627"/>
    <b v="0"/>
    <n v="654"/>
    <s v="GTX 1080"/>
    <x v="1"/>
    <x v="1"/>
  </r>
  <r>
    <n v="2369390"/>
    <s v="Nine Sols"/>
    <d v="2023-05-11T00:00:00"/>
    <n v="627"/>
    <b v="0"/>
    <n v="654"/>
    <s v="GTX 1080"/>
    <x v="2"/>
    <x v="0"/>
  </r>
  <r>
    <n v="2369390"/>
    <s v="Nine Sols"/>
    <d v="2023-05-11T00:00:00"/>
    <n v="627"/>
    <b v="0"/>
    <n v="654"/>
    <s v="GTX 1080"/>
    <x v="3"/>
    <x v="1"/>
  </r>
  <r>
    <n v="2369390"/>
    <s v="Nine Sols"/>
    <d v="2023-05-11T00:00:00"/>
    <n v="627"/>
    <b v="0"/>
    <n v="654"/>
    <s v="GTX 1080"/>
    <x v="4"/>
    <x v="1"/>
  </r>
  <r>
    <n v="2369390"/>
    <s v="Nine Sols"/>
    <d v="2023-05-11T00:00:00"/>
    <n v="627"/>
    <b v="0"/>
    <n v="654"/>
    <s v="GTX 1080"/>
    <x v="5"/>
    <x v="1"/>
  </r>
  <r>
    <n v="2369390"/>
    <s v="Nine Sols"/>
    <d v="2023-05-11T00:00:00"/>
    <n v="627"/>
    <b v="0"/>
    <n v="654"/>
    <s v="GTX 1080"/>
    <x v="6"/>
    <x v="1"/>
  </r>
  <r>
    <n v="1809540"/>
    <s v="Wobbly Life"/>
    <d v="2024-05-28T00:00:00"/>
    <n v="625"/>
    <b v="1"/>
    <n v="655"/>
    <s v="GTX 970"/>
    <x v="0"/>
    <x v="0"/>
  </r>
  <r>
    <n v="1809540"/>
    <s v="Wobbly Life"/>
    <d v="2024-05-28T00:00:00"/>
    <n v="625"/>
    <b v="1"/>
    <n v="655"/>
    <s v="GTX 970"/>
    <x v="1"/>
    <x v="0"/>
  </r>
  <r>
    <n v="1809540"/>
    <s v="Wobbly Life"/>
    <d v="2024-05-28T00:00:00"/>
    <n v="625"/>
    <b v="1"/>
    <n v="655"/>
    <s v="GTX 970"/>
    <x v="2"/>
    <x v="0"/>
  </r>
  <r>
    <n v="1809540"/>
    <s v="Wobbly Life"/>
    <d v="2024-05-28T00:00:00"/>
    <n v="625"/>
    <b v="1"/>
    <n v="655"/>
    <s v="GTX 970"/>
    <x v="3"/>
    <x v="1"/>
  </r>
  <r>
    <n v="1809540"/>
    <s v="Wobbly Life"/>
    <d v="2024-05-28T00:00:00"/>
    <n v="625"/>
    <b v="1"/>
    <n v="655"/>
    <s v="GTX 970"/>
    <x v="4"/>
    <x v="1"/>
  </r>
  <r>
    <n v="1809540"/>
    <s v="Wobbly Life"/>
    <d v="2024-05-28T00:00:00"/>
    <n v="625"/>
    <b v="1"/>
    <n v="655"/>
    <s v="GTX 970"/>
    <x v="5"/>
    <x v="1"/>
  </r>
  <r>
    <n v="1809540"/>
    <s v="Wobbly Life"/>
    <d v="2024-05-28T00:00:00"/>
    <n v="625"/>
    <b v="1"/>
    <n v="655"/>
    <s v="GTX 970"/>
    <x v="6"/>
    <x v="1"/>
  </r>
  <r>
    <n v="1211020"/>
    <s v="Sid Meier's Civilization IV"/>
    <d v="2025-09-18T00:00:00"/>
    <n v="625"/>
    <b v="0"/>
    <n v="655"/>
    <s v="GTX 1650"/>
    <x v="0"/>
    <x v="0"/>
  </r>
  <r>
    <n v="1211020"/>
    <s v="Sid Meier's Civilization IV"/>
    <d v="2025-09-18T00:00:00"/>
    <n v="625"/>
    <b v="0"/>
    <n v="655"/>
    <s v="GTX 1650"/>
    <x v="1"/>
    <x v="0"/>
  </r>
  <r>
    <n v="1211020"/>
    <s v="Sid Meier's Civilization IV"/>
    <d v="2025-09-18T00:00:00"/>
    <n v="625"/>
    <b v="0"/>
    <n v="655"/>
    <s v="GTX 1650"/>
    <x v="2"/>
    <x v="0"/>
  </r>
  <r>
    <n v="1211020"/>
    <s v="Sid Meier's Civilization IV"/>
    <d v="2025-09-18T00:00:00"/>
    <n v="625"/>
    <b v="0"/>
    <n v="655"/>
    <s v="GTX 1650"/>
    <x v="3"/>
    <x v="0"/>
  </r>
  <r>
    <n v="1211020"/>
    <s v="Sid Meier's Civilization IV"/>
    <d v="2025-09-18T00:00:00"/>
    <n v="625"/>
    <b v="0"/>
    <n v="655"/>
    <s v="GTX 1650"/>
    <x v="4"/>
    <x v="1"/>
  </r>
  <r>
    <n v="1211020"/>
    <s v="Sid Meier's Civilization IV"/>
    <d v="2025-09-18T00:00:00"/>
    <n v="625"/>
    <b v="0"/>
    <n v="655"/>
    <s v="GTX 1650"/>
    <x v="5"/>
    <x v="1"/>
  </r>
  <r>
    <n v="1211020"/>
    <s v="Sid Meier's Civilization IV"/>
    <d v="2025-09-18T00:00:00"/>
    <n v="625"/>
    <b v="0"/>
    <n v="655"/>
    <s v="GTX 1650"/>
    <x v="6"/>
    <x v="1"/>
  </r>
  <r>
    <n v="3900"/>
    <s v="Borderlands Game of the Year Enhanced"/>
    <d v="2006-10-25T00:00:00"/>
    <n v="620"/>
    <b v="1"/>
    <n v="657"/>
    <s v="Intel HD Graphics"/>
    <x v="0"/>
    <x v="1"/>
  </r>
  <r>
    <n v="3900"/>
    <s v="Borderlands Game of the Year Enhanced"/>
    <d v="2006-10-25T00:00:00"/>
    <n v="620"/>
    <b v="1"/>
    <n v="657"/>
    <s v="Intel HD Graphics"/>
    <x v="1"/>
    <x v="1"/>
  </r>
  <r>
    <n v="3900"/>
    <s v="Borderlands Game of the Year Enhanced"/>
    <d v="2006-10-25T00:00:00"/>
    <n v="620"/>
    <b v="1"/>
    <n v="657"/>
    <s v="Intel HD Graphics"/>
    <x v="2"/>
    <x v="1"/>
  </r>
  <r>
    <n v="3900"/>
    <s v="Borderlands Game of the Year Enhanced"/>
    <d v="2006-10-25T00:00:00"/>
    <n v="620"/>
    <b v="1"/>
    <n v="657"/>
    <s v="Intel HD Graphics"/>
    <x v="3"/>
    <x v="1"/>
  </r>
  <r>
    <n v="3900"/>
    <s v="Borderlands Game of the Year Enhanced"/>
    <d v="2006-10-25T00:00:00"/>
    <n v="620"/>
    <b v="1"/>
    <n v="657"/>
    <s v="Intel HD Graphics"/>
    <x v="4"/>
    <x v="1"/>
  </r>
  <r>
    <n v="3900"/>
    <s v="Borderlands Game of the Year Enhanced"/>
    <d v="2006-10-25T00:00:00"/>
    <n v="620"/>
    <b v="1"/>
    <n v="657"/>
    <s v="Intel HD Graphics"/>
    <x v="5"/>
    <x v="0"/>
  </r>
  <r>
    <n v="3900"/>
    <s v="Borderlands Game of the Year Enhanced"/>
    <d v="2006-10-25T00:00:00"/>
    <n v="620"/>
    <b v="1"/>
    <n v="657"/>
    <s v="Intel HD Graphics"/>
    <x v="6"/>
    <x v="1"/>
  </r>
  <r>
    <n v="729040"/>
    <s v="GWENT: The Witcher Card Game"/>
    <d v="2023-08-31T00:00:00"/>
    <n v="620"/>
    <b v="0"/>
    <n v="657"/>
    <s v="GTX 1050"/>
    <x v="0"/>
    <x v="0"/>
  </r>
  <r>
    <n v="729040"/>
    <s v="GWENT: The Witcher Card Game"/>
    <d v="2023-08-31T00:00:00"/>
    <n v="620"/>
    <b v="0"/>
    <n v="657"/>
    <s v="GTX 1050"/>
    <x v="1"/>
    <x v="1"/>
  </r>
  <r>
    <n v="729040"/>
    <s v="GWENT: The Witcher Card Game"/>
    <d v="2023-08-31T00:00:00"/>
    <n v="620"/>
    <b v="0"/>
    <n v="657"/>
    <s v="GTX 1050"/>
    <x v="2"/>
    <x v="1"/>
  </r>
  <r>
    <n v="729040"/>
    <s v="GWENT: The Witcher Card Game"/>
    <d v="2023-08-31T00:00:00"/>
    <n v="620"/>
    <b v="0"/>
    <n v="657"/>
    <s v="GTX 1050"/>
    <x v="3"/>
    <x v="1"/>
  </r>
  <r>
    <n v="729040"/>
    <s v="GWENT: The Witcher Card Game"/>
    <d v="2023-08-31T00:00:00"/>
    <n v="620"/>
    <b v="0"/>
    <n v="657"/>
    <s v="GTX 1050"/>
    <x v="4"/>
    <x v="0"/>
  </r>
  <r>
    <n v="729040"/>
    <s v="GWENT: The Witcher Card Game"/>
    <d v="2023-08-31T00:00:00"/>
    <n v="620"/>
    <b v="0"/>
    <n v="657"/>
    <s v="GTX 1050"/>
    <x v="5"/>
    <x v="1"/>
  </r>
  <r>
    <n v="729040"/>
    <s v="GWENT: The Witcher Card Game"/>
    <d v="2023-08-31T00:00:00"/>
    <n v="620"/>
    <b v="0"/>
    <n v="657"/>
    <s v="GTX 1050"/>
    <x v="6"/>
    <x v="1"/>
  </r>
  <r>
    <n v="1284410"/>
    <s v="RetroArch"/>
    <d v="2020-05-19T00:00:00"/>
    <n v="619"/>
    <b v="0"/>
    <n v="659"/>
    <s v="RX 560"/>
    <x v="0"/>
    <x v="1"/>
  </r>
  <r>
    <n v="1284410"/>
    <s v="RetroArch"/>
    <d v="2020-05-19T00:00:00"/>
    <n v="619"/>
    <b v="0"/>
    <n v="659"/>
    <s v="RX 560"/>
    <x v="1"/>
    <x v="1"/>
  </r>
  <r>
    <n v="1284410"/>
    <s v="RetroArch"/>
    <d v="2020-05-19T00:00:00"/>
    <n v="619"/>
    <b v="0"/>
    <n v="659"/>
    <s v="RX 560"/>
    <x v="2"/>
    <x v="1"/>
  </r>
  <r>
    <n v="1284410"/>
    <s v="RetroArch"/>
    <d v="2020-05-19T00:00:00"/>
    <n v="619"/>
    <b v="0"/>
    <n v="659"/>
    <s v="RX 560"/>
    <x v="3"/>
    <x v="1"/>
  </r>
  <r>
    <n v="1284410"/>
    <s v="RetroArch"/>
    <d v="2020-05-19T00:00:00"/>
    <n v="619"/>
    <b v="0"/>
    <n v="659"/>
    <s v="RX 560"/>
    <x v="4"/>
    <x v="0"/>
  </r>
  <r>
    <n v="1284410"/>
    <s v="RetroArch"/>
    <d v="2020-05-19T00:00:00"/>
    <n v="619"/>
    <b v="0"/>
    <n v="659"/>
    <s v="RX 560"/>
    <x v="5"/>
    <x v="0"/>
  </r>
  <r>
    <n v="1284410"/>
    <s v="RetroArch"/>
    <d v="2020-05-19T00:00:00"/>
    <n v="619"/>
    <b v="0"/>
    <n v="659"/>
    <s v="RX 560"/>
    <x v="6"/>
    <x v="0"/>
  </r>
  <r>
    <n v="1118310"/>
    <s v="Need for Speed Unbound"/>
    <d v="2022-05-27T00:00:00"/>
    <n v="619"/>
    <b v="1"/>
    <n v="659"/>
    <s v="RTX 2070"/>
    <x v="0"/>
    <x v="1"/>
  </r>
  <r>
    <n v="1118310"/>
    <s v="Need for Speed Unbound"/>
    <d v="2022-05-27T00:00:00"/>
    <n v="619"/>
    <b v="1"/>
    <n v="659"/>
    <s v="RTX 2070"/>
    <x v="1"/>
    <x v="1"/>
  </r>
  <r>
    <n v="1118310"/>
    <s v="Need for Speed Unbound"/>
    <d v="2022-05-27T00:00:00"/>
    <n v="619"/>
    <b v="1"/>
    <n v="659"/>
    <s v="RTX 2070"/>
    <x v="2"/>
    <x v="1"/>
  </r>
  <r>
    <n v="1118310"/>
    <s v="Need for Speed Unbound"/>
    <d v="2022-05-27T00:00:00"/>
    <n v="619"/>
    <b v="1"/>
    <n v="659"/>
    <s v="RTX 2070"/>
    <x v="3"/>
    <x v="1"/>
  </r>
  <r>
    <n v="1118310"/>
    <s v="Need for Speed Unbound"/>
    <d v="2022-05-27T00:00:00"/>
    <n v="619"/>
    <b v="1"/>
    <n v="659"/>
    <s v="RTX 2070"/>
    <x v="4"/>
    <x v="1"/>
  </r>
  <r>
    <n v="1118310"/>
    <s v="Need for Speed Unbound"/>
    <d v="2022-05-27T00:00:00"/>
    <n v="619"/>
    <b v="1"/>
    <n v="659"/>
    <s v="RTX 2070"/>
    <x v="5"/>
    <x v="1"/>
  </r>
  <r>
    <n v="1118310"/>
    <s v="Need for Speed Unbound"/>
    <d v="2022-05-27T00:00:00"/>
    <n v="619"/>
    <b v="1"/>
    <n v="659"/>
    <s v="RTX 2070"/>
    <x v="6"/>
    <x v="0"/>
  </r>
  <r>
    <n v="1846380"/>
    <s v="Avorion"/>
    <d v="2022-12-01T00:00:00"/>
    <n v="618"/>
    <b v="0"/>
    <n v="661"/>
    <s v="RX 5700"/>
    <x v="0"/>
    <x v="0"/>
  </r>
  <r>
    <n v="1846380"/>
    <s v="Avorion"/>
    <d v="2022-12-01T00:00:00"/>
    <n v="618"/>
    <b v="0"/>
    <n v="661"/>
    <s v="RX 5700"/>
    <x v="1"/>
    <x v="1"/>
  </r>
  <r>
    <n v="1846380"/>
    <s v="Avorion"/>
    <d v="2022-12-01T00:00:00"/>
    <n v="618"/>
    <b v="0"/>
    <n v="661"/>
    <s v="RX 5700"/>
    <x v="2"/>
    <x v="1"/>
  </r>
  <r>
    <n v="1846380"/>
    <s v="Avorion"/>
    <d v="2022-12-01T00:00:00"/>
    <n v="618"/>
    <b v="0"/>
    <n v="661"/>
    <s v="RX 5700"/>
    <x v="3"/>
    <x v="1"/>
  </r>
  <r>
    <n v="1846380"/>
    <s v="Avorion"/>
    <d v="2022-12-01T00:00:00"/>
    <n v="618"/>
    <b v="0"/>
    <n v="661"/>
    <s v="RX 5700"/>
    <x v="4"/>
    <x v="1"/>
  </r>
  <r>
    <n v="1846380"/>
    <s v="Avorion"/>
    <d v="2022-12-01T00:00:00"/>
    <n v="618"/>
    <b v="0"/>
    <n v="661"/>
    <s v="RX 5700"/>
    <x v="5"/>
    <x v="1"/>
  </r>
  <r>
    <n v="1846380"/>
    <s v="Avorion"/>
    <d v="2022-12-01T00:00:00"/>
    <n v="618"/>
    <b v="0"/>
    <n v="661"/>
    <s v="RX 5700"/>
    <x v="6"/>
    <x v="1"/>
  </r>
  <r>
    <n v="445220"/>
    <s v="Hitman: Absolution"/>
    <d v="2020-03-09T00:00:00"/>
    <n v="618"/>
    <b v="1"/>
    <n v="661"/>
    <s v="GTX 1050"/>
    <x v="0"/>
    <x v="0"/>
  </r>
  <r>
    <n v="445220"/>
    <s v="Hitman: Absolution"/>
    <d v="2020-03-09T00:00:00"/>
    <n v="618"/>
    <b v="1"/>
    <n v="661"/>
    <s v="GTX 1050"/>
    <x v="1"/>
    <x v="0"/>
  </r>
  <r>
    <n v="445220"/>
    <s v="Hitman: Absolution"/>
    <d v="2020-03-09T00:00:00"/>
    <n v="618"/>
    <b v="1"/>
    <n v="661"/>
    <s v="GTX 1050"/>
    <x v="2"/>
    <x v="1"/>
  </r>
  <r>
    <n v="445220"/>
    <s v="Hitman: Absolution"/>
    <d v="2020-03-09T00:00:00"/>
    <n v="618"/>
    <b v="1"/>
    <n v="661"/>
    <s v="GTX 1050"/>
    <x v="3"/>
    <x v="0"/>
  </r>
  <r>
    <n v="445220"/>
    <s v="Hitman: Absolution"/>
    <d v="2020-03-09T00:00:00"/>
    <n v="618"/>
    <b v="1"/>
    <n v="661"/>
    <s v="GTX 1050"/>
    <x v="4"/>
    <x v="1"/>
  </r>
  <r>
    <n v="445220"/>
    <s v="Hitman: Absolution"/>
    <d v="2020-03-09T00:00:00"/>
    <n v="618"/>
    <b v="1"/>
    <n v="661"/>
    <s v="GTX 1050"/>
    <x v="5"/>
    <x v="1"/>
  </r>
  <r>
    <n v="445220"/>
    <s v="Hitman: Absolution"/>
    <d v="2020-03-09T00:00:00"/>
    <n v="618"/>
    <b v="1"/>
    <n v="661"/>
    <s v="GTX 1050"/>
    <x v="6"/>
    <x v="1"/>
  </r>
  <r>
    <n v="203140"/>
    <s v="Ravenfield"/>
    <d v="2012-11-19T00:00:00"/>
    <n v="618"/>
    <b v="0"/>
    <n v="661"/>
    <s v="Radeon Graphics"/>
    <x v="0"/>
    <x v="0"/>
  </r>
  <r>
    <n v="203140"/>
    <s v="Ravenfield"/>
    <d v="2012-11-19T00:00:00"/>
    <n v="618"/>
    <b v="0"/>
    <n v="661"/>
    <s v="Radeon Graphics"/>
    <x v="1"/>
    <x v="1"/>
  </r>
  <r>
    <n v="203140"/>
    <s v="Ravenfield"/>
    <d v="2012-11-19T00:00:00"/>
    <n v="618"/>
    <b v="0"/>
    <n v="661"/>
    <s v="Radeon Graphics"/>
    <x v="2"/>
    <x v="1"/>
  </r>
  <r>
    <n v="203140"/>
    <s v="Ravenfield"/>
    <d v="2012-11-19T00:00:00"/>
    <n v="618"/>
    <b v="0"/>
    <n v="661"/>
    <s v="Radeon Graphics"/>
    <x v="3"/>
    <x v="1"/>
  </r>
  <r>
    <n v="203140"/>
    <s v="Ravenfield"/>
    <d v="2012-11-19T00:00:00"/>
    <n v="618"/>
    <b v="0"/>
    <n v="661"/>
    <s v="Radeon Graphics"/>
    <x v="4"/>
    <x v="1"/>
  </r>
  <r>
    <n v="203140"/>
    <s v="Ravenfield"/>
    <d v="2012-11-19T00:00:00"/>
    <n v="618"/>
    <b v="0"/>
    <n v="661"/>
    <s v="Radeon Graphics"/>
    <x v="5"/>
    <x v="1"/>
  </r>
  <r>
    <n v="203140"/>
    <s v="Ravenfield"/>
    <d v="2012-11-19T00:00:00"/>
    <n v="618"/>
    <b v="0"/>
    <n v="661"/>
    <s v="Radeon Graphics"/>
    <x v="6"/>
    <x v="1"/>
  </r>
  <r>
    <n v="636480"/>
    <s v="The Witcher: Enhanced Edition Director's Cut"/>
    <d v="2017-05-18T00:00:00"/>
    <n v="617"/>
    <b v="1"/>
    <n v="664"/>
    <s v="Radeon Vega 8"/>
    <x v="0"/>
    <x v="0"/>
  </r>
  <r>
    <n v="636480"/>
    <s v="The Witcher: Enhanced Edition Director's Cut"/>
    <d v="2017-05-18T00:00:00"/>
    <n v="617"/>
    <b v="1"/>
    <n v="664"/>
    <s v="Radeon Vega 8"/>
    <x v="1"/>
    <x v="0"/>
  </r>
  <r>
    <n v="636480"/>
    <s v="The Witcher: Enhanced Edition Director's Cut"/>
    <d v="2017-05-18T00:00:00"/>
    <n v="617"/>
    <b v="1"/>
    <n v="664"/>
    <s v="Radeon Vega 8"/>
    <x v="2"/>
    <x v="1"/>
  </r>
  <r>
    <n v="636480"/>
    <s v="The Witcher: Enhanced Edition Director's Cut"/>
    <d v="2017-05-18T00:00:00"/>
    <n v="617"/>
    <b v="1"/>
    <n v="664"/>
    <s v="Radeon Vega 8"/>
    <x v="3"/>
    <x v="1"/>
  </r>
  <r>
    <n v="636480"/>
    <s v="The Witcher: Enhanced Edition Director's Cut"/>
    <d v="2017-05-18T00:00:00"/>
    <n v="617"/>
    <b v="1"/>
    <n v="664"/>
    <s v="Radeon Vega 8"/>
    <x v="4"/>
    <x v="1"/>
  </r>
  <r>
    <n v="636480"/>
    <s v="The Witcher: Enhanced Edition Director's Cut"/>
    <d v="2017-05-18T00:00:00"/>
    <n v="617"/>
    <b v="1"/>
    <n v="664"/>
    <s v="Radeon Vega 8"/>
    <x v="5"/>
    <x v="1"/>
  </r>
  <r>
    <n v="636480"/>
    <s v="The Witcher: Enhanced Edition Director's Cut"/>
    <d v="2017-05-18T00:00:00"/>
    <n v="617"/>
    <b v="1"/>
    <n v="664"/>
    <s v="Radeon Vega 8"/>
    <x v="6"/>
    <x v="1"/>
  </r>
  <r>
    <n v="20900"/>
    <s v="Batman: Arkham Origins"/>
    <d v="2008-09-19T00:00:00"/>
    <n v="616"/>
    <b v="1"/>
    <n v="665"/>
    <s v="Radeon Graphics"/>
    <x v="0"/>
    <x v="0"/>
  </r>
  <r>
    <n v="20900"/>
    <s v="Batman: Arkham Origins"/>
    <d v="2008-09-19T00:00:00"/>
    <n v="616"/>
    <b v="1"/>
    <n v="665"/>
    <s v="Radeon Graphics"/>
    <x v="1"/>
    <x v="1"/>
  </r>
  <r>
    <n v="20900"/>
    <s v="Batman: Arkham Origins"/>
    <d v="2008-09-19T00:00:00"/>
    <n v="616"/>
    <b v="1"/>
    <n v="665"/>
    <s v="Radeon Graphics"/>
    <x v="2"/>
    <x v="1"/>
  </r>
  <r>
    <n v="20900"/>
    <s v="Batman: Arkham Origins"/>
    <d v="2008-09-19T00:00:00"/>
    <n v="616"/>
    <b v="1"/>
    <n v="665"/>
    <s v="Radeon Graphics"/>
    <x v="3"/>
    <x v="1"/>
  </r>
  <r>
    <n v="20900"/>
    <s v="Batman: Arkham Origins"/>
    <d v="2008-09-19T00:00:00"/>
    <n v="616"/>
    <b v="1"/>
    <n v="665"/>
    <s v="Radeon Graphics"/>
    <x v="4"/>
    <x v="0"/>
  </r>
  <r>
    <n v="20900"/>
    <s v="Batman: Arkham Origins"/>
    <d v="2008-09-19T00:00:00"/>
    <n v="616"/>
    <b v="1"/>
    <n v="665"/>
    <s v="Radeon Graphics"/>
    <x v="5"/>
    <x v="1"/>
  </r>
  <r>
    <n v="20900"/>
    <s v="Batman: Arkham Origins"/>
    <d v="2008-09-19T00:00:00"/>
    <n v="616"/>
    <b v="1"/>
    <n v="665"/>
    <s v="Radeon Graphics"/>
    <x v="6"/>
    <x v="1"/>
  </r>
  <r>
    <n v="209000"/>
    <s v="Flag Clicker"/>
    <d v="2013-10-24T00:00:00"/>
    <n v="616"/>
    <b v="0"/>
    <n v="665"/>
    <s v="Radeon Graphics"/>
    <x v="0"/>
    <x v="0"/>
  </r>
  <r>
    <n v="209000"/>
    <s v="Flag Clicker"/>
    <d v="2013-10-24T00:00:00"/>
    <n v="616"/>
    <b v="0"/>
    <n v="665"/>
    <s v="Radeon Graphics"/>
    <x v="1"/>
    <x v="1"/>
  </r>
  <r>
    <n v="209000"/>
    <s v="Flag Clicker"/>
    <d v="2013-10-24T00:00:00"/>
    <n v="616"/>
    <b v="0"/>
    <n v="665"/>
    <s v="Radeon Graphics"/>
    <x v="2"/>
    <x v="0"/>
  </r>
  <r>
    <n v="209000"/>
    <s v="Flag Clicker"/>
    <d v="2013-10-24T00:00:00"/>
    <n v="616"/>
    <b v="0"/>
    <n v="665"/>
    <s v="Radeon Graphics"/>
    <x v="3"/>
    <x v="1"/>
  </r>
  <r>
    <n v="209000"/>
    <s v="Flag Clicker"/>
    <d v="2013-10-24T00:00:00"/>
    <n v="616"/>
    <b v="0"/>
    <n v="665"/>
    <s v="Radeon Graphics"/>
    <x v="4"/>
    <x v="1"/>
  </r>
  <r>
    <n v="209000"/>
    <s v="Flag Clicker"/>
    <d v="2013-10-24T00:00:00"/>
    <n v="616"/>
    <b v="0"/>
    <n v="665"/>
    <s v="Radeon Graphics"/>
    <x v="5"/>
    <x v="1"/>
  </r>
  <r>
    <n v="209000"/>
    <s v="Flag Clicker"/>
    <d v="2013-10-24T00:00:00"/>
    <n v="616"/>
    <b v="0"/>
    <n v="665"/>
    <s v="Radeon Graphics"/>
    <x v="6"/>
    <x v="1"/>
  </r>
  <r>
    <n v="2996990"/>
    <s v="The Walking Dead"/>
    <d v="2024-11-16T00:00:00"/>
    <n v="615"/>
    <b v="0"/>
    <n v="667"/>
    <s v="RX 550"/>
    <x v="0"/>
    <x v="1"/>
  </r>
  <r>
    <n v="2996990"/>
    <s v="The Walking Dead"/>
    <d v="2024-11-16T00:00:00"/>
    <n v="615"/>
    <b v="0"/>
    <n v="667"/>
    <s v="RX 550"/>
    <x v="1"/>
    <x v="0"/>
  </r>
  <r>
    <n v="2996990"/>
    <s v="The Walking Dead"/>
    <d v="2024-11-16T00:00:00"/>
    <n v="615"/>
    <b v="0"/>
    <n v="667"/>
    <s v="RX 550"/>
    <x v="2"/>
    <x v="1"/>
  </r>
  <r>
    <n v="2996990"/>
    <s v="The Walking Dead"/>
    <d v="2024-11-16T00:00:00"/>
    <n v="615"/>
    <b v="0"/>
    <n v="667"/>
    <s v="RX 550"/>
    <x v="3"/>
    <x v="1"/>
  </r>
  <r>
    <n v="2996990"/>
    <s v="The Walking Dead"/>
    <d v="2024-11-16T00:00:00"/>
    <n v="615"/>
    <b v="0"/>
    <n v="667"/>
    <s v="RX 550"/>
    <x v="4"/>
    <x v="1"/>
  </r>
  <r>
    <n v="2996990"/>
    <s v="The Walking Dead"/>
    <d v="2024-11-16T00:00:00"/>
    <n v="615"/>
    <b v="0"/>
    <n v="667"/>
    <s v="RX 550"/>
    <x v="5"/>
    <x v="1"/>
  </r>
  <r>
    <n v="2996990"/>
    <s v="The Walking Dead"/>
    <d v="2024-11-16T00:00:00"/>
    <n v="615"/>
    <b v="0"/>
    <n v="667"/>
    <s v="RX 550"/>
    <x v="6"/>
    <x v="0"/>
  </r>
  <r>
    <n v="207610"/>
    <s v="Your Only Move Is HUSTLE"/>
    <d v="2012-04-24T00:00:00"/>
    <n v="614"/>
    <b v="1"/>
    <n v="668"/>
    <s v="Radeon Graphics"/>
    <x v="0"/>
    <x v="1"/>
  </r>
  <r>
    <n v="207610"/>
    <s v="Your Only Move Is HUSTLE"/>
    <d v="2012-04-24T00:00:00"/>
    <n v="614"/>
    <b v="1"/>
    <n v="668"/>
    <s v="Radeon Graphics"/>
    <x v="1"/>
    <x v="1"/>
  </r>
  <r>
    <n v="207610"/>
    <s v="Your Only Move Is HUSTLE"/>
    <d v="2012-04-24T00:00:00"/>
    <n v="614"/>
    <b v="1"/>
    <n v="668"/>
    <s v="Radeon Graphics"/>
    <x v="2"/>
    <x v="0"/>
  </r>
  <r>
    <n v="207610"/>
    <s v="Your Only Move Is HUSTLE"/>
    <d v="2012-04-24T00:00:00"/>
    <n v="614"/>
    <b v="1"/>
    <n v="668"/>
    <s v="Radeon Graphics"/>
    <x v="3"/>
    <x v="1"/>
  </r>
  <r>
    <n v="207610"/>
    <s v="Your Only Move Is HUSTLE"/>
    <d v="2012-04-24T00:00:00"/>
    <n v="614"/>
    <b v="1"/>
    <n v="668"/>
    <s v="Radeon Graphics"/>
    <x v="4"/>
    <x v="1"/>
  </r>
  <r>
    <n v="207610"/>
    <s v="Your Only Move Is HUSTLE"/>
    <d v="2012-04-24T00:00:00"/>
    <n v="614"/>
    <b v="1"/>
    <n v="668"/>
    <s v="Radeon Graphics"/>
    <x v="5"/>
    <x v="1"/>
  </r>
  <r>
    <n v="207610"/>
    <s v="Your Only Move Is HUSTLE"/>
    <d v="2012-04-24T00:00:00"/>
    <n v="614"/>
    <b v="1"/>
    <n v="668"/>
    <s v="Radeon Graphics"/>
    <x v="6"/>
    <x v="1"/>
  </r>
  <r>
    <n v="2212330"/>
    <s v="Type:Rider"/>
    <d v="2023-02-02T00:00:00"/>
    <n v="613"/>
    <b v="0"/>
    <n v="669"/>
    <s v="Radeon Vega 11"/>
    <x v="0"/>
    <x v="0"/>
  </r>
  <r>
    <n v="2212330"/>
    <s v="Type:Rider"/>
    <d v="2023-02-02T00:00:00"/>
    <n v="613"/>
    <b v="0"/>
    <n v="669"/>
    <s v="Radeon Vega 11"/>
    <x v="1"/>
    <x v="0"/>
  </r>
  <r>
    <n v="2212330"/>
    <s v="Type:Rider"/>
    <d v="2023-02-02T00:00:00"/>
    <n v="613"/>
    <b v="0"/>
    <n v="669"/>
    <s v="Radeon Vega 11"/>
    <x v="2"/>
    <x v="1"/>
  </r>
  <r>
    <n v="2212330"/>
    <s v="Type:Rider"/>
    <d v="2023-02-02T00:00:00"/>
    <n v="613"/>
    <b v="0"/>
    <n v="669"/>
    <s v="Radeon Vega 11"/>
    <x v="3"/>
    <x v="0"/>
  </r>
  <r>
    <n v="2212330"/>
    <s v="Type:Rider"/>
    <d v="2023-02-02T00:00:00"/>
    <n v="613"/>
    <b v="0"/>
    <n v="669"/>
    <s v="Radeon Vega 11"/>
    <x v="4"/>
    <x v="1"/>
  </r>
  <r>
    <n v="2212330"/>
    <s v="Type:Rider"/>
    <d v="2023-02-02T00:00:00"/>
    <n v="613"/>
    <b v="0"/>
    <n v="669"/>
    <s v="Radeon Vega 11"/>
    <x v="5"/>
    <x v="0"/>
  </r>
  <r>
    <n v="2212330"/>
    <s v="Type:Rider"/>
    <d v="2023-02-02T00:00:00"/>
    <n v="613"/>
    <b v="0"/>
    <n v="669"/>
    <s v="Radeon Vega 11"/>
    <x v="6"/>
    <x v="1"/>
  </r>
  <r>
    <n v="258890"/>
    <s v="Liar's Bar"/>
    <d v="2013-11-06T00:00:00"/>
    <n v="611"/>
    <b v="1"/>
    <n v="670"/>
    <s v="Radeon Graphics"/>
    <x v="0"/>
    <x v="0"/>
  </r>
  <r>
    <n v="258890"/>
    <s v="Liar's Bar"/>
    <d v="2013-11-06T00:00:00"/>
    <n v="611"/>
    <b v="1"/>
    <n v="670"/>
    <s v="Radeon Graphics"/>
    <x v="1"/>
    <x v="0"/>
  </r>
  <r>
    <n v="258890"/>
    <s v="Liar's Bar"/>
    <d v="2013-11-06T00:00:00"/>
    <n v="611"/>
    <b v="1"/>
    <n v="670"/>
    <s v="Radeon Graphics"/>
    <x v="2"/>
    <x v="0"/>
  </r>
  <r>
    <n v="258890"/>
    <s v="Liar's Bar"/>
    <d v="2013-11-06T00:00:00"/>
    <n v="611"/>
    <b v="1"/>
    <n v="670"/>
    <s v="Radeon Graphics"/>
    <x v="3"/>
    <x v="1"/>
  </r>
  <r>
    <n v="258890"/>
    <s v="Liar's Bar"/>
    <d v="2013-11-06T00:00:00"/>
    <n v="611"/>
    <b v="1"/>
    <n v="670"/>
    <s v="Radeon Graphics"/>
    <x v="4"/>
    <x v="1"/>
  </r>
  <r>
    <n v="258890"/>
    <s v="Liar's Bar"/>
    <d v="2013-11-06T00:00:00"/>
    <n v="611"/>
    <b v="1"/>
    <n v="670"/>
    <s v="Radeon Graphics"/>
    <x v="5"/>
    <x v="1"/>
  </r>
  <r>
    <n v="258890"/>
    <s v="Liar's Bar"/>
    <d v="2013-11-06T00:00:00"/>
    <n v="611"/>
    <b v="1"/>
    <n v="670"/>
    <s v="Radeon Graphics"/>
    <x v="6"/>
    <x v="1"/>
  </r>
  <r>
    <n v="3097560"/>
    <s v="Automobilista 2"/>
    <d v="2024-10-02T00:00:00"/>
    <n v="605"/>
    <b v="0"/>
    <n v="671"/>
    <s v="RTX 2060"/>
    <x v="0"/>
    <x v="1"/>
  </r>
  <r>
    <n v="3097560"/>
    <s v="Automobilista 2"/>
    <d v="2024-10-02T00:00:00"/>
    <n v="605"/>
    <b v="0"/>
    <n v="671"/>
    <s v="RTX 2060"/>
    <x v="1"/>
    <x v="0"/>
  </r>
  <r>
    <n v="3097560"/>
    <s v="Automobilista 2"/>
    <d v="2024-10-02T00:00:00"/>
    <n v="605"/>
    <b v="0"/>
    <n v="671"/>
    <s v="RTX 2060"/>
    <x v="2"/>
    <x v="1"/>
  </r>
  <r>
    <n v="3097560"/>
    <s v="Automobilista 2"/>
    <d v="2024-10-02T00:00:00"/>
    <n v="605"/>
    <b v="0"/>
    <n v="671"/>
    <s v="RTX 2060"/>
    <x v="3"/>
    <x v="0"/>
  </r>
  <r>
    <n v="3097560"/>
    <s v="Automobilista 2"/>
    <d v="2024-10-02T00:00:00"/>
    <n v="605"/>
    <b v="0"/>
    <n v="671"/>
    <s v="RTX 2060"/>
    <x v="4"/>
    <x v="1"/>
  </r>
  <r>
    <n v="3097560"/>
    <s v="Automobilista 2"/>
    <d v="2024-10-02T00:00:00"/>
    <n v="605"/>
    <b v="0"/>
    <n v="671"/>
    <s v="RTX 2060"/>
    <x v="5"/>
    <x v="0"/>
  </r>
  <r>
    <n v="3097560"/>
    <s v="Automobilista 2"/>
    <d v="2024-10-02T00:00:00"/>
    <n v="605"/>
    <b v="0"/>
    <n v="671"/>
    <s v="RTX 2060"/>
    <x v="6"/>
    <x v="1"/>
  </r>
  <r>
    <n v="1066890"/>
    <s v="Batman: Arkham Asylum Game of the Year Edition"/>
    <d v="2020-06-30T00:00:00"/>
    <n v="605"/>
    <b v="0"/>
    <n v="671"/>
    <s v="GTX 1080 Ti"/>
    <x v="0"/>
    <x v="0"/>
  </r>
  <r>
    <n v="1066890"/>
    <s v="Batman: Arkham Asylum Game of the Year Edition"/>
    <d v="2020-06-30T00:00:00"/>
    <n v="605"/>
    <b v="0"/>
    <n v="671"/>
    <s v="GTX 1080 Ti"/>
    <x v="1"/>
    <x v="0"/>
  </r>
  <r>
    <n v="1066890"/>
    <s v="Batman: Arkham Asylum Game of the Year Edition"/>
    <d v="2020-06-30T00:00:00"/>
    <n v="605"/>
    <b v="0"/>
    <n v="671"/>
    <s v="GTX 1080 Ti"/>
    <x v="2"/>
    <x v="1"/>
  </r>
  <r>
    <n v="1066890"/>
    <s v="Batman: Arkham Asylum Game of the Year Edition"/>
    <d v="2020-06-30T00:00:00"/>
    <n v="605"/>
    <b v="0"/>
    <n v="671"/>
    <s v="GTX 1080 Ti"/>
    <x v="3"/>
    <x v="0"/>
  </r>
  <r>
    <n v="1066890"/>
    <s v="Batman: Arkham Asylum Game of the Year Edition"/>
    <d v="2020-06-30T00:00:00"/>
    <n v="605"/>
    <b v="0"/>
    <n v="671"/>
    <s v="GTX 1080 Ti"/>
    <x v="4"/>
    <x v="1"/>
  </r>
  <r>
    <n v="1066890"/>
    <s v="Batman: Arkham Asylum Game of the Year Edition"/>
    <d v="2020-06-30T00:00:00"/>
    <n v="605"/>
    <b v="0"/>
    <n v="671"/>
    <s v="GTX 1080 Ti"/>
    <x v="5"/>
    <x v="1"/>
  </r>
  <r>
    <n v="1066890"/>
    <s v="Batman: Arkham Asylum Game of the Year Edition"/>
    <d v="2020-06-30T00:00:00"/>
    <n v="605"/>
    <b v="0"/>
    <n v="671"/>
    <s v="GTX 1080 Ti"/>
    <x v="6"/>
    <x v="1"/>
  </r>
  <r>
    <n v="35140"/>
    <s v="Magicraft"/>
    <d v="2010-03-26T00:00:00"/>
    <n v="601"/>
    <b v="0"/>
    <n v="673"/>
    <s v="Radeon Graphics"/>
    <x v="0"/>
    <x v="0"/>
  </r>
  <r>
    <n v="35140"/>
    <s v="Magicraft"/>
    <d v="2010-03-26T00:00:00"/>
    <n v="601"/>
    <b v="0"/>
    <n v="673"/>
    <s v="Radeon Graphics"/>
    <x v="1"/>
    <x v="1"/>
  </r>
  <r>
    <n v="35140"/>
    <s v="Magicraft"/>
    <d v="2010-03-26T00:00:00"/>
    <n v="601"/>
    <b v="0"/>
    <n v="673"/>
    <s v="Radeon Graphics"/>
    <x v="2"/>
    <x v="0"/>
  </r>
  <r>
    <n v="35140"/>
    <s v="Magicraft"/>
    <d v="2010-03-26T00:00:00"/>
    <n v="601"/>
    <b v="0"/>
    <n v="673"/>
    <s v="Radeon Graphics"/>
    <x v="3"/>
    <x v="1"/>
  </r>
  <r>
    <n v="35140"/>
    <s v="Magicraft"/>
    <d v="2010-03-26T00:00:00"/>
    <n v="601"/>
    <b v="0"/>
    <n v="673"/>
    <s v="Radeon Graphics"/>
    <x v="4"/>
    <x v="1"/>
  </r>
  <r>
    <n v="35140"/>
    <s v="Magicraft"/>
    <d v="2010-03-26T00:00:00"/>
    <n v="601"/>
    <b v="0"/>
    <n v="673"/>
    <s v="Radeon Graphics"/>
    <x v="5"/>
    <x v="1"/>
  </r>
  <r>
    <n v="35140"/>
    <s v="Magicraft"/>
    <d v="2010-03-26T00:00:00"/>
    <n v="601"/>
    <b v="0"/>
    <n v="673"/>
    <s v="Radeon Graphics"/>
    <x v="6"/>
    <x v="1"/>
  </r>
  <r>
    <n v="2103140"/>
    <s v="Into the Dead: Our Darkest Days"/>
    <d v="2024-11-01T00:00:00"/>
    <n v="600"/>
    <b v="0"/>
    <n v="674"/>
    <s v="GTX 1050"/>
    <x v="0"/>
    <x v="0"/>
  </r>
  <r>
    <n v="2103140"/>
    <s v="Into the Dead: Our Darkest Days"/>
    <d v="2024-11-01T00:00:00"/>
    <n v="600"/>
    <b v="0"/>
    <n v="674"/>
    <s v="GTX 1050"/>
    <x v="1"/>
    <x v="0"/>
  </r>
  <r>
    <n v="2103140"/>
    <s v="Into the Dead: Our Darkest Days"/>
    <d v="2024-11-01T00:00:00"/>
    <n v="600"/>
    <b v="0"/>
    <n v="674"/>
    <s v="GTX 1050"/>
    <x v="2"/>
    <x v="0"/>
  </r>
  <r>
    <n v="2103140"/>
    <s v="Into the Dead: Our Darkest Days"/>
    <d v="2024-11-01T00:00:00"/>
    <n v="600"/>
    <b v="0"/>
    <n v="674"/>
    <s v="GTX 1050"/>
    <x v="3"/>
    <x v="1"/>
  </r>
  <r>
    <n v="2103140"/>
    <s v="Into the Dead: Our Darkest Days"/>
    <d v="2024-11-01T00:00:00"/>
    <n v="600"/>
    <b v="0"/>
    <n v="674"/>
    <s v="GTX 1050"/>
    <x v="4"/>
    <x v="0"/>
  </r>
  <r>
    <n v="2103140"/>
    <s v="Into the Dead: Our Darkest Days"/>
    <d v="2024-11-01T00:00:00"/>
    <n v="600"/>
    <b v="0"/>
    <n v="674"/>
    <s v="GTX 1050"/>
    <x v="5"/>
    <x v="1"/>
  </r>
  <r>
    <n v="2103140"/>
    <s v="Into the Dead: Our Darkest Days"/>
    <d v="2024-11-01T00:00:00"/>
    <n v="600"/>
    <b v="0"/>
    <n v="674"/>
    <s v="GTX 1050"/>
    <x v="6"/>
    <x v="1"/>
  </r>
  <r>
    <n v="2239710"/>
    <s v="TEKKEN 7"/>
    <d v="2025-04-09T00:00:00"/>
    <n v="599"/>
    <b v="1"/>
    <n v="675"/>
    <s v="RTX 2070"/>
    <x v="0"/>
    <x v="0"/>
  </r>
  <r>
    <n v="2239710"/>
    <s v="TEKKEN 7"/>
    <d v="2025-04-09T00:00:00"/>
    <n v="599"/>
    <b v="1"/>
    <n v="675"/>
    <s v="RTX 2070"/>
    <x v="1"/>
    <x v="1"/>
  </r>
  <r>
    <n v="2239710"/>
    <s v="TEKKEN 7"/>
    <d v="2025-04-09T00:00:00"/>
    <n v="599"/>
    <b v="1"/>
    <n v="675"/>
    <s v="RTX 2070"/>
    <x v="2"/>
    <x v="1"/>
  </r>
  <r>
    <n v="2239710"/>
    <s v="TEKKEN 7"/>
    <d v="2025-04-09T00:00:00"/>
    <n v="599"/>
    <b v="1"/>
    <n v="675"/>
    <s v="RTX 2070"/>
    <x v="3"/>
    <x v="0"/>
  </r>
  <r>
    <n v="2239710"/>
    <s v="TEKKEN 7"/>
    <d v="2025-04-09T00:00:00"/>
    <n v="599"/>
    <b v="1"/>
    <n v="675"/>
    <s v="RTX 2070"/>
    <x v="4"/>
    <x v="1"/>
  </r>
  <r>
    <n v="2239710"/>
    <s v="TEKKEN 7"/>
    <d v="2025-04-09T00:00:00"/>
    <n v="599"/>
    <b v="1"/>
    <n v="675"/>
    <s v="RTX 2070"/>
    <x v="5"/>
    <x v="0"/>
  </r>
  <r>
    <n v="2239710"/>
    <s v="TEKKEN 7"/>
    <d v="2025-04-09T00:00:00"/>
    <n v="599"/>
    <b v="1"/>
    <n v="675"/>
    <s v="RTX 2070"/>
    <x v="6"/>
    <x v="1"/>
  </r>
  <r>
    <n v="389730"/>
    <s v="Titan Quest Anniversary Edition"/>
    <d v="2017-06-01T00:00:00"/>
    <n v="599"/>
    <b v="0"/>
    <n v="675"/>
    <s v="GTX 1060"/>
    <x v="0"/>
    <x v="0"/>
  </r>
  <r>
    <n v="389730"/>
    <s v="Titan Quest Anniversary Edition"/>
    <d v="2017-06-01T00:00:00"/>
    <n v="599"/>
    <b v="0"/>
    <n v="675"/>
    <s v="GTX 1060"/>
    <x v="1"/>
    <x v="1"/>
  </r>
  <r>
    <n v="389730"/>
    <s v="Titan Quest Anniversary Edition"/>
    <d v="2017-06-01T00:00:00"/>
    <n v="599"/>
    <b v="0"/>
    <n v="675"/>
    <s v="GTX 1060"/>
    <x v="2"/>
    <x v="1"/>
  </r>
  <r>
    <n v="389730"/>
    <s v="Titan Quest Anniversary Edition"/>
    <d v="2017-06-01T00:00:00"/>
    <n v="599"/>
    <b v="0"/>
    <n v="675"/>
    <s v="GTX 1060"/>
    <x v="3"/>
    <x v="1"/>
  </r>
  <r>
    <n v="389730"/>
    <s v="Titan Quest Anniversary Edition"/>
    <d v="2017-06-01T00:00:00"/>
    <n v="599"/>
    <b v="0"/>
    <n v="675"/>
    <s v="GTX 1060"/>
    <x v="4"/>
    <x v="1"/>
  </r>
  <r>
    <n v="389730"/>
    <s v="Titan Quest Anniversary Edition"/>
    <d v="2017-06-01T00:00:00"/>
    <n v="599"/>
    <b v="0"/>
    <n v="675"/>
    <s v="GTX 1060"/>
    <x v="5"/>
    <x v="1"/>
  </r>
  <r>
    <n v="389730"/>
    <s v="Titan Quest Anniversary Edition"/>
    <d v="2017-06-01T00:00:00"/>
    <n v="599"/>
    <b v="0"/>
    <n v="675"/>
    <s v="GTX 1060"/>
    <x v="6"/>
    <x v="1"/>
  </r>
  <r>
    <n v="475150"/>
    <s v="SPORE"/>
    <d v="2016-08-31T00:00:00"/>
    <n v="599"/>
    <b v="0"/>
    <n v="675"/>
    <s v="Radeon Graphics"/>
    <x v="0"/>
    <x v="0"/>
  </r>
  <r>
    <n v="475150"/>
    <s v="SPORE"/>
    <d v="2016-08-31T00:00:00"/>
    <n v="599"/>
    <b v="0"/>
    <n v="675"/>
    <s v="Radeon Graphics"/>
    <x v="1"/>
    <x v="1"/>
  </r>
  <r>
    <n v="475150"/>
    <s v="SPORE"/>
    <d v="2016-08-31T00:00:00"/>
    <n v="599"/>
    <b v="0"/>
    <n v="675"/>
    <s v="Radeon Graphics"/>
    <x v="2"/>
    <x v="1"/>
  </r>
  <r>
    <n v="475150"/>
    <s v="SPORE"/>
    <d v="2016-08-31T00:00:00"/>
    <n v="599"/>
    <b v="0"/>
    <n v="675"/>
    <s v="Radeon Graphics"/>
    <x v="3"/>
    <x v="1"/>
  </r>
  <r>
    <n v="475150"/>
    <s v="SPORE"/>
    <d v="2016-08-31T00:00:00"/>
    <n v="599"/>
    <b v="0"/>
    <n v="675"/>
    <s v="Radeon Graphics"/>
    <x v="4"/>
    <x v="0"/>
  </r>
  <r>
    <n v="475150"/>
    <s v="SPORE"/>
    <d v="2016-08-31T00:00:00"/>
    <n v="599"/>
    <b v="0"/>
    <n v="675"/>
    <s v="Radeon Graphics"/>
    <x v="5"/>
    <x v="1"/>
  </r>
  <r>
    <n v="475150"/>
    <s v="SPORE"/>
    <d v="2016-08-31T00:00:00"/>
    <n v="599"/>
    <b v="0"/>
    <n v="675"/>
    <s v="Radeon Graphics"/>
    <x v="6"/>
    <x v="1"/>
  </r>
  <r>
    <n v="17390"/>
    <s v="Krita"/>
    <d v="2008-12-19T00:00:00"/>
    <n v="599"/>
    <b v="0"/>
    <n v="675"/>
    <s v="Radeon Graphics"/>
    <x v="0"/>
    <x v="0"/>
  </r>
  <r>
    <n v="17390"/>
    <s v="Krita"/>
    <d v="2008-12-19T00:00:00"/>
    <n v="599"/>
    <b v="0"/>
    <n v="675"/>
    <s v="Radeon Graphics"/>
    <x v="1"/>
    <x v="1"/>
  </r>
  <r>
    <n v="17390"/>
    <s v="Krita"/>
    <d v="2008-12-19T00:00:00"/>
    <n v="599"/>
    <b v="0"/>
    <n v="675"/>
    <s v="Radeon Graphics"/>
    <x v="2"/>
    <x v="0"/>
  </r>
  <r>
    <n v="17390"/>
    <s v="Krita"/>
    <d v="2008-12-19T00:00:00"/>
    <n v="599"/>
    <b v="0"/>
    <n v="675"/>
    <s v="Radeon Graphics"/>
    <x v="3"/>
    <x v="0"/>
  </r>
  <r>
    <n v="17390"/>
    <s v="Krita"/>
    <d v="2008-12-19T00:00:00"/>
    <n v="599"/>
    <b v="0"/>
    <n v="675"/>
    <s v="Radeon Graphics"/>
    <x v="4"/>
    <x v="0"/>
  </r>
  <r>
    <n v="17390"/>
    <s v="Krita"/>
    <d v="2008-12-19T00:00:00"/>
    <n v="599"/>
    <b v="0"/>
    <n v="675"/>
    <s v="Radeon Graphics"/>
    <x v="5"/>
    <x v="0"/>
  </r>
  <r>
    <n v="17390"/>
    <s v="Krita"/>
    <d v="2008-12-19T00:00:00"/>
    <n v="599"/>
    <b v="0"/>
    <n v="675"/>
    <s v="Radeon Graphics"/>
    <x v="6"/>
    <x v="1"/>
  </r>
  <r>
    <n v="280680"/>
    <s v="Fabledom"/>
    <d v="2014-06-10T00:00:00"/>
    <n v="598"/>
    <b v="1"/>
    <n v="679"/>
    <s v="GTX 980 Ti"/>
    <x v="0"/>
    <x v="1"/>
  </r>
  <r>
    <n v="280680"/>
    <s v="Fabledom"/>
    <d v="2014-06-10T00:00:00"/>
    <n v="598"/>
    <b v="1"/>
    <n v="679"/>
    <s v="GTX 980 Ti"/>
    <x v="1"/>
    <x v="0"/>
  </r>
  <r>
    <n v="280680"/>
    <s v="Fabledom"/>
    <d v="2014-06-10T00:00:00"/>
    <n v="598"/>
    <b v="1"/>
    <n v="679"/>
    <s v="GTX 980 Ti"/>
    <x v="2"/>
    <x v="1"/>
  </r>
  <r>
    <n v="280680"/>
    <s v="Fabledom"/>
    <d v="2014-06-10T00:00:00"/>
    <n v="598"/>
    <b v="1"/>
    <n v="679"/>
    <s v="GTX 980 Ti"/>
    <x v="3"/>
    <x v="1"/>
  </r>
  <r>
    <n v="280680"/>
    <s v="Fabledom"/>
    <d v="2014-06-10T00:00:00"/>
    <n v="598"/>
    <b v="1"/>
    <n v="679"/>
    <s v="GTX 980 Ti"/>
    <x v="4"/>
    <x v="1"/>
  </r>
  <r>
    <n v="280680"/>
    <s v="Fabledom"/>
    <d v="2014-06-10T00:00:00"/>
    <n v="598"/>
    <b v="1"/>
    <n v="679"/>
    <s v="GTX 980 Ti"/>
    <x v="5"/>
    <x v="1"/>
  </r>
  <r>
    <n v="280680"/>
    <s v="Fabledom"/>
    <d v="2014-06-10T00:00:00"/>
    <n v="598"/>
    <b v="1"/>
    <n v="679"/>
    <s v="GTX 980 Ti"/>
    <x v="6"/>
    <x v="1"/>
  </r>
  <r>
    <n v="1651560"/>
    <s v="Amazing Cultivation Simulator"/>
    <d v="2024-05-13T00:00:00"/>
    <n v="598"/>
    <b v="0"/>
    <n v="679"/>
    <s v="GTX 1070"/>
    <x v="0"/>
    <x v="1"/>
  </r>
  <r>
    <n v="1651560"/>
    <s v="Amazing Cultivation Simulator"/>
    <d v="2024-05-13T00:00:00"/>
    <n v="598"/>
    <b v="0"/>
    <n v="679"/>
    <s v="GTX 1070"/>
    <x v="1"/>
    <x v="1"/>
  </r>
  <r>
    <n v="1651560"/>
    <s v="Amazing Cultivation Simulator"/>
    <d v="2024-05-13T00:00:00"/>
    <n v="598"/>
    <b v="0"/>
    <n v="679"/>
    <s v="GTX 1070"/>
    <x v="2"/>
    <x v="1"/>
  </r>
  <r>
    <n v="1651560"/>
    <s v="Amazing Cultivation Simulator"/>
    <d v="2024-05-13T00:00:00"/>
    <n v="598"/>
    <b v="0"/>
    <n v="679"/>
    <s v="GTX 1070"/>
    <x v="3"/>
    <x v="0"/>
  </r>
  <r>
    <n v="1651560"/>
    <s v="Amazing Cultivation Simulator"/>
    <d v="2024-05-13T00:00:00"/>
    <n v="598"/>
    <b v="0"/>
    <n v="679"/>
    <s v="GTX 1070"/>
    <x v="4"/>
    <x v="1"/>
  </r>
  <r>
    <n v="1651560"/>
    <s v="Amazing Cultivation Simulator"/>
    <d v="2024-05-13T00:00:00"/>
    <n v="598"/>
    <b v="0"/>
    <n v="679"/>
    <s v="GTX 1070"/>
    <x v="5"/>
    <x v="0"/>
  </r>
  <r>
    <n v="1651560"/>
    <s v="Amazing Cultivation Simulator"/>
    <d v="2024-05-13T00:00:00"/>
    <n v="598"/>
    <b v="0"/>
    <n v="679"/>
    <s v="GTX 1070"/>
    <x v="6"/>
    <x v="1"/>
  </r>
  <r>
    <n v="2217000"/>
    <s v="Crime Scene Cleaner"/>
    <d v="2024-10-23T00:00:00"/>
    <n v="596"/>
    <b v="0"/>
    <n v="681"/>
    <s v="GTX 1060"/>
    <x v="0"/>
    <x v="0"/>
  </r>
  <r>
    <n v="2217000"/>
    <s v="Crime Scene Cleaner"/>
    <d v="2024-10-23T00:00:00"/>
    <n v="596"/>
    <b v="0"/>
    <n v="681"/>
    <s v="GTX 1060"/>
    <x v="1"/>
    <x v="0"/>
  </r>
  <r>
    <n v="2217000"/>
    <s v="Crime Scene Cleaner"/>
    <d v="2024-10-23T00:00:00"/>
    <n v="596"/>
    <b v="0"/>
    <n v="681"/>
    <s v="GTX 1060"/>
    <x v="2"/>
    <x v="1"/>
  </r>
  <r>
    <n v="2217000"/>
    <s v="Crime Scene Cleaner"/>
    <d v="2024-10-23T00:00:00"/>
    <n v="596"/>
    <b v="0"/>
    <n v="681"/>
    <s v="GTX 1060"/>
    <x v="3"/>
    <x v="1"/>
  </r>
  <r>
    <n v="2217000"/>
    <s v="Crime Scene Cleaner"/>
    <d v="2024-10-23T00:00:00"/>
    <n v="596"/>
    <b v="0"/>
    <n v="681"/>
    <s v="GTX 1060"/>
    <x v="4"/>
    <x v="1"/>
  </r>
  <r>
    <n v="2217000"/>
    <s v="Crime Scene Cleaner"/>
    <d v="2024-10-23T00:00:00"/>
    <n v="596"/>
    <b v="0"/>
    <n v="681"/>
    <s v="GTX 1060"/>
    <x v="5"/>
    <x v="1"/>
  </r>
  <r>
    <n v="2217000"/>
    <s v="Crime Scene Cleaner"/>
    <d v="2024-10-23T00:00:00"/>
    <n v="596"/>
    <b v="0"/>
    <n v="681"/>
    <s v="GTX 1060"/>
    <x v="6"/>
    <x v="1"/>
  </r>
  <r>
    <n v="1040200"/>
    <s v="Monster Train"/>
    <d v="2024-08-14T00:00:00"/>
    <n v="596"/>
    <b v="0"/>
    <n v="681"/>
    <s v="RTX 2070 SUPER"/>
    <x v="0"/>
    <x v="0"/>
  </r>
  <r>
    <n v="1040200"/>
    <s v="Monster Train"/>
    <d v="2024-08-14T00:00:00"/>
    <n v="596"/>
    <b v="0"/>
    <n v="681"/>
    <s v="RTX 2070 SUPER"/>
    <x v="1"/>
    <x v="1"/>
  </r>
  <r>
    <n v="1040200"/>
    <s v="Monster Train"/>
    <d v="2024-08-14T00:00:00"/>
    <n v="596"/>
    <b v="0"/>
    <n v="681"/>
    <s v="RTX 2070 SUPER"/>
    <x v="2"/>
    <x v="1"/>
  </r>
  <r>
    <n v="1040200"/>
    <s v="Monster Train"/>
    <d v="2024-08-14T00:00:00"/>
    <n v="596"/>
    <b v="0"/>
    <n v="681"/>
    <s v="RTX 2070 SUPER"/>
    <x v="3"/>
    <x v="0"/>
  </r>
  <r>
    <n v="1040200"/>
    <s v="Monster Train"/>
    <d v="2024-08-14T00:00:00"/>
    <n v="596"/>
    <b v="0"/>
    <n v="681"/>
    <s v="RTX 2070 SUPER"/>
    <x v="4"/>
    <x v="1"/>
  </r>
  <r>
    <n v="1040200"/>
    <s v="Monster Train"/>
    <d v="2024-08-14T00:00:00"/>
    <n v="596"/>
    <b v="0"/>
    <n v="681"/>
    <s v="RTX 2070 SUPER"/>
    <x v="5"/>
    <x v="1"/>
  </r>
  <r>
    <n v="1040200"/>
    <s v="Monster Train"/>
    <d v="2024-08-14T00:00:00"/>
    <n v="596"/>
    <b v="0"/>
    <n v="681"/>
    <s v="RTX 2070 SUPER"/>
    <x v="6"/>
    <x v="1"/>
  </r>
  <r>
    <n v="1102190"/>
    <s v="Realm Grinder"/>
    <d v="2020-05-21T00:00:00"/>
    <n v="595"/>
    <b v="0"/>
    <n v="683"/>
    <s v="GTX 1050"/>
    <x v="0"/>
    <x v="1"/>
  </r>
  <r>
    <n v="1102190"/>
    <s v="Realm Grinder"/>
    <d v="2020-05-21T00:00:00"/>
    <n v="595"/>
    <b v="0"/>
    <n v="683"/>
    <s v="GTX 1050"/>
    <x v="1"/>
    <x v="1"/>
  </r>
  <r>
    <n v="1102190"/>
    <s v="Realm Grinder"/>
    <d v="2020-05-21T00:00:00"/>
    <n v="595"/>
    <b v="0"/>
    <n v="683"/>
    <s v="GTX 1050"/>
    <x v="2"/>
    <x v="1"/>
  </r>
  <r>
    <n v="1102190"/>
    <s v="Realm Grinder"/>
    <d v="2020-05-21T00:00:00"/>
    <n v="595"/>
    <b v="0"/>
    <n v="683"/>
    <s v="GTX 1050"/>
    <x v="3"/>
    <x v="1"/>
  </r>
  <r>
    <n v="1102190"/>
    <s v="Realm Grinder"/>
    <d v="2020-05-21T00:00:00"/>
    <n v="595"/>
    <b v="0"/>
    <n v="683"/>
    <s v="GTX 1050"/>
    <x v="4"/>
    <x v="1"/>
  </r>
  <r>
    <n v="1102190"/>
    <s v="Realm Grinder"/>
    <d v="2020-05-21T00:00:00"/>
    <n v="595"/>
    <b v="0"/>
    <n v="683"/>
    <s v="GTX 1050"/>
    <x v="5"/>
    <x v="0"/>
  </r>
  <r>
    <n v="1102190"/>
    <s v="Realm Grinder"/>
    <d v="2020-05-21T00:00:00"/>
    <n v="595"/>
    <b v="0"/>
    <n v="683"/>
    <s v="GTX 1050"/>
    <x v="6"/>
    <x v="1"/>
  </r>
  <r>
    <n v="610080"/>
    <s v="Nice Day for Fishing"/>
    <d v="2017-06-15T00:00:00"/>
    <n v="595"/>
    <b v="1"/>
    <n v="683"/>
    <s v="Radeon Vega 8"/>
    <x v="0"/>
    <x v="1"/>
  </r>
  <r>
    <n v="610080"/>
    <s v="Nice Day for Fishing"/>
    <d v="2017-06-15T00:00:00"/>
    <n v="595"/>
    <b v="1"/>
    <n v="683"/>
    <s v="Radeon Vega 8"/>
    <x v="1"/>
    <x v="1"/>
  </r>
  <r>
    <n v="610080"/>
    <s v="Nice Day for Fishing"/>
    <d v="2017-06-15T00:00:00"/>
    <n v="595"/>
    <b v="1"/>
    <n v="683"/>
    <s v="Radeon Vega 8"/>
    <x v="2"/>
    <x v="1"/>
  </r>
  <r>
    <n v="610080"/>
    <s v="Nice Day for Fishing"/>
    <d v="2017-06-15T00:00:00"/>
    <n v="595"/>
    <b v="1"/>
    <n v="683"/>
    <s v="Radeon Vega 8"/>
    <x v="3"/>
    <x v="1"/>
  </r>
  <r>
    <n v="610080"/>
    <s v="Nice Day for Fishing"/>
    <d v="2017-06-15T00:00:00"/>
    <n v="595"/>
    <b v="1"/>
    <n v="683"/>
    <s v="Radeon Vega 8"/>
    <x v="4"/>
    <x v="0"/>
  </r>
  <r>
    <n v="610080"/>
    <s v="Nice Day for Fishing"/>
    <d v="2017-06-15T00:00:00"/>
    <n v="595"/>
    <b v="1"/>
    <n v="683"/>
    <s v="Radeon Vega 8"/>
    <x v="5"/>
    <x v="0"/>
  </r>
  <r>
    <n v="610080"/>
    <s v="Nice Day for Fishing"/>
    <d v="2017-06-15T00:00:00"/>
    <n v="595"/>
    <b v="1"/>
    <n v="683"/>
    <s v="Radeon Vega 8"/>
    <x v="6"/>
    <x v="0"/>
  </r>
  <r>
    <n v="2393160"/>
    <s v="My Time at Portia"/>
    <d v="2025-05-29T00:00:00"/>
    <n v="594"/>
    <b v="0"/>
    <n v="685"/>
    <s v="GTX 1050"/>
    <x v="0"/>
    <x v="1"/>
  </r>
  <r>
    <n v="2393160"/>
    <s v="My Time at Portia"/>
    <d v="2025-05-29T00:00:00"/>
    <n v="594"/>
    <b v="0"/>
    <n v="685"/>
    <s v="GTX 1050"/>
    <x v="1"/>
    <x v="1"/>
  </r>
  <r>
    <n v="2393160"/>
    <s v="My Time at Portia"/>
    <d v="2025-05-29T00:00:00"/>
    <n v="594"/>
    <b v="0"/>
    <n v="685"/>
    <s v="GTX 1050"/>
    <x v="2"/>
    <x v="0"/>
  </r>
  <r>
    <n v="2393160"/>
    <s v="My Time at Portia"/>
    <d v="2025-05-29T00:00:00"/>
    <n v="594"/>
    <b v="0"/>
    <n v="685"/>
    <s v="GTX 1050"/>
    <x v="3"/>
    <x v="1"/>
  </r>
  <r>
    <n v="2393160"/>
    <s v="My Time at Portia"/>
    <d v="2025-05-29T00:00:00"/>
    <n v="594"/>
    <b v="0"/>
    <n v="685"/>
    <s v="GTX 1050"/>
    <x v="4"/>
    <x v="0"/>
  </r>
  <r>
    <n v="2393160"/>
    <s v="My Time at Portia"/>
    <d v="2025-05-29T00:00:00"/>
    <n v="594"/>
    <b v="0"/>
    <n v="685"/>
    <s v="GTX 1050"/>
    <x v="5"/>
    <x v="1"/>
  </r>
  <r>
    <n v="2393160"/>
    <s v="My Time at Portia"/>
    <d v="2025-05-29T00:00:00"/>
    <n v="594"/>
    <b v="0"/>
    <n v="685"/>
    <s v="GTX 1050"/>
    <x v="6"/>
    <x v="1"/>
  </r>
  <r>
    <n v="666140"/>
    <s v="XCOM: Enemy Unknown"/>
    <d v="2019-01-15T00:00:00"/>
    <n v="593"/>
    <b v="1"/>
    <n v="686"/>
    <s v="GTX 1050 Ti"/>
    <x v="0"/>
    <x v="1"/>
  </r>
  <r>
    <n v="666140"/>
    <s v="XCOM: Enemy Unknown"/>
    <d v="2019-01-15T00:00:00"/>
    <n v="593"/>
    <b v="1"/>
    <n v="686"/>
    <s v="GTX 1050 Ti"/>
    <x v="1"/>
    <x v="0"/>
  </r>
  <r>
    <n v="666140"/>
    <s v="XCOM: Enemy Unknown"/>
    <d v="2019-01-15T00:00:00"/>
    <n v="593"/>
    <b v="1"/>
    <n v="686"/>
    <s v="GTX 1050 Ti"/>
    <x v="2"/>
    <x v="0"/>
  </r>
  <r>
    <n v="666140"/>
    <s v="XCOM: Enemy Unknown"/>
    <d v="2019-01-15T00:00:00"/>
    <n v="593"/>
    <b v="1"/>
    <n v="686"/>
    <s v="GTX 1050 Ti"/>
    <x v="3"/>
    <x v="0"/>
  </r>
  <r>
    <n v="666140"/>
    <s v="XCOM: Enemy Unknown"/>
    <d v="2019-01-15T00:00:00"/>
    <n v="593"/>
    <b v="1"/>
    <n v="686"/>
    <s v="GTX 1050 Ti"/>
    <x v="4"/>
    <x v="0"/>
  </r>
  <r>
    <n v="666140"/>
    <s v="XCOM: Enemy Unknown"/>
    <d v="2019-01-15T00:00:00"/>
    <n v="593"/>
    <b v="1"/>
    <n v="686"/>
    <s v="GTX 1050 Ti"/>
    <x v="5"/>
    <x v="1"/>
  </r>
  <r>
    <n v="666140"/>
    <s v="XCOM: Enemy Unknown"/>
    <d v="2019-01-15T00:00:00"/>
    <n v="593"/>
    <b v="1"/>
    <n v="686"/>
    <s v="GTX 1050 Ti"/>
    <x v="6"/>
    <x v="1"/>
  </r>
  <r>
    <n v="200510"/>
    <s v="Pathfinder: Kingmaker ' Enhanced Plus Edition"/>
    <d v="2012-10-08T00:00:00"/>
    <n v="590"/>
    <b v="0"/>
    <n v="687"/>
    <s v="Radeon Graphics"/>
    <x v="0"/>
    <x v="1"/>
  </r>
  <r>
    <n v="200510"/>
    <s v="Pathfinder: Kingmaker ' Enhanced Plus Edition"/>
    <d v="2012-10-08T00:00:00"/>
    <n v="590"/>
    <b v="0"/>
    <n v="687"/>
    <s v="Radeon Graphics"/>
    <x v="1"/>
    <x v="1"/>
  </r>
  <r>
    <n v="200510"/>
    <s v="Pathfinder: Kingmaker ' Enhanced Plus Edition"/>
    <d v="2012-10-08T00:00:00"/>
    <n v="590"/>
    <b v="0"/>
    <n v="687"/>
    <s v="Radeon Graphics"/>
    <x v="2"/>
    <x v="1"/>
  </r>
  <r>
    <n v="200510"/>
    <s v="Pathfinder: Kingmaker ' Enhanced Plus Edition"/>
    <d v="2012-10-08T00:00:00"/>
    <n v="590"/>
    <b v="0"/>
    <n v="687"/>
    <s v="Radeon Graphics"/>
    <x v="3"/>
    <x v="1"/>
  </r>
  <r>
    <n v="200510"/>
    <s v="Pathfinder: Kingmaker ' Enhanced Plus Edition"/>
    <d v="2012-10-08T00:00:00"/>
    <n v="590"/>
    <b v="0"/>
    <n v="687"/>
    <s v="Radeon Graphics"/>
    <x v="4"/>
    <x v="1"/>
  </r>
  <r>
    <n v="200510"/>
    <s v="Pathfinder: Kingmaker ' Enhanced Plus Edition"/>
    <d v="2012-10-08T00:00:00"/>
    <n v="590"/>
    <b v="0"/>
    <n v="687"/>
    <s v="Radeon Graphics"/>
    <x v="5"/>
    <x v="0"/>
  </r>
  <r>
    <n v="200510"/>
    <s v="Pathfinder: Kingmaker ' Enhanced Plus Edition"/>
    <d v="2012-10-08T00:00:00"/>
    <n v="590"/>
    <b v="0"/>
    <n v="687"/>
    <s v="Radeon Graphics"/>
    <x v="6"/>
    <x v="1"/>
  </r>
  <r>
    <n v="640820"/>
    <s v="Poppy Playtime"/>
    <d v="2018-09-25T00:00:00"/>
    <n v="590"/>
    <b v="1"/>
    <n v="687"/>
    <s v="Radeon Vega 8"/>
    <x v="0"/>
    <x v="1"/>
  </r>
  <r>
    <n v="640820"/>
    <s v="Poppy Playtime"/>
    <d v="2018-09-25T00:00:00"/>
    <n v="590"/>
    <b v="1"/>
    <n v="687"/>
    <s v="Radeon Vega 8"/>
    <x v="1"/>
    <x v="1"/>
  </r>
  <r>
    <n v="640820"/>
    <s v="Poppy Playtime"/>
    <d v="2018-09-25T00:00:00"/>
    <n v="590"/>
    <b v="1"/>
    <n v="687"/>
    <s v="Radeon Vega 8"/>
    <x v="2"/>
    <x v="0"/>
  </r>
  <r>
    <n v="640820"/>
    <s v="Poppy Playtime"/>
    <d v="2018-09-25T00:00:00"/>
    <n v="590"/>
    <b v="1"/>
    <n v="687"/>
    <s v="Radeon Vega 8"/>
    <x v="3"/>
    <x v="1"/>
  </r>
  <r>
    <n v="640820"/>
    <s v="Poppy Playtime"/>
    <d v="2018-09-25T00:00:00"/>
    <n v="590"/>
    <b v="1"/>
    <n v="687"/>
    <s v="Radeon Vega 8"/>
    <x v="4"/>
    <x v="0"/>
  </r>
  <r>
    <n v="640820"/>
    <s v="Poppy Playtime"/>
    <d v="2018-09-25T00:00:00"/>
    <n v="590"/>
    <b v="1"/>
    <n v="687"/>
    <s v="Radeon Vega 8"/>
    <x v="5"/>
    <x v="1"/>
  </r>
  <r>
    <n v="640820"/>
    <s v="Poppy Playtime"/>
    <d v="2018-09-25T00:00:00"/>
    <n v="590"/>
    <b v="1"/>
    <n v="687"/>
    <s v="Radeon Vega 8"/>
    <x v="6"/>
    <x v="1"/>
  </r>
  <r>
    <n v="1721470"/>
    <s v="OMSI 2: Steam Edition"/>
    <d v="2021-10-12T00:00:00"/>
    <n v="588"/>
    <b v="0"/>
    <n v="689"/>
    <s v="RX 580"/>
    <x v="0"/>
    <x v="0"/>
  </r>
  <r>
    <n v="1721470"/>
    <s v="OMSI 2: Steam Edition"/>
    <d v="2021-10-12T00:00:00"/>
    <n v="588"/>
    <b v="0"/>
    <n v="689"/>
    <s v="RX 580"/>
    <x v="1"/>
    <x v="0"/>
  </r>
  <r>
    <n v="1721470"/>
    <s v="OMSI 2: Steam Edition"/>
    <d v="2021-10-12T00:00:00"/>
    <n v="588"/>
    <b v="0"/>
    <n v="689"/>
    <s v="RX 580"/>
    <x v="2"/>
    <x v="0"/>
  </r>
  <r>
    <n v="1721470"/>
    <s v="OMSI 2: Steam Edition"/>
    <d v="2021-10-12T00:00:00"/>
    <n v="588"/>
    <b v="0"/>
    <n v="689"/>
    <s v="RX 580"/>
    <x v="3"/>
    <x v="1"/>
  </r>
  <r>
    <n v="1721470"/>
    <s v="OMSI 2: Steam Edition"/>
    <d v="2021-10-12T00:00:00"/>
    <n v="588"/>
    <b v="0"/>
    <n v="689"/>
    <s v="RX 580"/>
    <x v="4"/>
    <x v="1"/>
  </r>
  <r>
    <n v="1721470"/>
    <s v="OMSI 2: Steam Edition"/>
    <d v="2021-10-12T00:00:00"/>
    <n v="588"/>
    <b v="0"/>
    <n v="689"/>
    <s v="RX 580"/>
    <x v="5"/>
    <x v="1"/>
  </r>
  <r>
    <n v="1721470"/>
    <s v="OMSI 2: Steam Edition"/>
    <d v="2021-10-12T00:00:00"/>
    <n v="588"/>
    <b v="0"/>
    <n v="689"/>
    <s v="RX 580"/>
    <x v="6"/>
    <x v="1"/>
  </r>
  <r>
    <n v="252530"/>
    <s v="Bugtopia"/>
    <d v="2013-12-11T00:00:00"/>
    <n v="587"/>
    <b v="0"/>
    <n v="690"/>
    <s v="Radeon Graphics"/>
    <x v="0"/>
    <x v="1"/>
  </r>
  <r>
    <n v="252530"/>
    <s v="Bugtopia"/>
    <d v="2013-12-11T00:00:00"/>
    <n v="587"/>
    <b v="0"/>
    <n v="690"/>
    <s v="Radeon Graphics"/>
    <x v="1"/>
    <x v="1"/>
  </r>
  <r>
    <n v="252530"/>
    <s v="Bugtopia"/>
    <d v="2013-12-11T00:00:00"/>
    <n v="587"/>
    <b v="0"/>
    <n v="690"/>
    <s v="Radeon Graphics"/>
    <x v="2"/>
    <x v="1"/>
  </r>
  <r>
    <n v="252530"/>
    <s v="Bugtopia"/>
    <d v="2013-12-11T00:00:00"/>
    <n v="587"/>
    <b v="0"/>
    <n v="690"/>
    <s v="Radeon Graphics"/>
    <x v="3"/>
    <x v="0"/>
  </r>
  <r>
    <n v="252530"/>
    <s v="Bugtopia"/>
    <d v="2013-12-11T00:00:00"/>
    <n v="587"/>
    <b v="0"/>
    <n v="690"/>
    <s v="Radeon Graphics"/>
    <x v="4"/>
    <x v="1"/>
  </r>
  <r>
    <n v="252530"/>
    <s v="Bugtopia"/>
    <d v="2013-12-11T00:00:00"/>
    <n v="587"/>
    <b v="0"/>
    <n v="690"/>
    <s v="Radeon Graphics"/>
    <x v="5"/>
    <x v="1"/>
  </r>
  <r>
    <n v="252530"/>
    <s v="Bugtopia"/>
    <d v="2013-12-11T00:00:00"/>
    <n v="587"/>
    <b v="0"/>
    <n v="690"/>
    <s v="Radeon Graphics"/>
    <x v="6"/>
    <x v="1"/>
  </r>
  <r>
    <n v="2988300"/>
    <s v="Shadow of the Tomb Raider: Definitive Edition"/>
    <d v="2025-05-21T00:00:00"/>
    <n v="583"/>
    <b v="0"/>
    <n v="691"/>
    <s v="GTX 1060"/>
    <x v="0"/>
    <x v="1"/>
  </r>
  <r>
    <n v="2988300"/>
    <s v="Shadow of the Tomb Raider: Definitive Edition"/>
    <d v="2025-05-21T00:00:00"/>
    <n v="583"/>
    <b v="0"/>
    <n v="691"/>
    <s v="GTX 1060"/>
    <x v="1"/>
    <x v="0"/>
  </r>
  <r>
    <n v="2988300"/>
    <s v="Shadow of the Tomb Raider: Definitive Edition"/>
    <d v="2025-05-21T00:00:00"/>
    <n v="583"/>
    <b v="0"/>
    <n v="691"/>
    <s v="GTX 1060"/>
    <x v="2"/>
    <x v="1"/>
  </r>
  <r>
    <n v="2988300"/>
    <s v="Shadow of the Tomb Raider: Definitive Edition"/>
    <d v="2025-05-21T00:00:00"/>
    <n v="583"/>
    <b v="0"/>
    <n v="691"/>
    <s v="GTX 1060"/>
    <x v="3"/>
    <x v="0"/>
  </r>
  <r>
    <n v="2988300"/>
    <s v="Shadow of the Tomb Raider: Definitive Edition"/>
    <d v="2025-05-21T00:00:00"/>
    <n v="583"/>
    <b v="0"/>
    <n v="691"/>
    <s v="GTX 1060"/>
    <x v="4"/>
    <x v="1"/>
  </r>
  <r>
    <n v="2988300"/>
    <s v="Shadow of the Tomb Raider: Definitive Edition"/>
    <d v="2025-05-21T00:00:00"/>
    <n v="583"/>
    <b v="0"/>
    <n v="691"/>
    <s v="GTX 1060"/>
    <x v="5"/>
    <x v="1"/>
  </r>
  <r>
    <n v="2988300"/>
    <s v="Shadow of the Tomb Raider: Definitive Edition"/>
    <d v="2025-05-21T00:00:00"/>
    <n v="583"/>
    <b v="0"/>
    <n v="691"/>
    <s v="GTX 1060"/>
    <x v="6"/>
    <x v="1"/>
  </r>
  <r>
    <n v="750920"/>
    <s v="Cultist Simulator"/>
    <d v="2018-09-14T00:00:00"/>
    <n v="582"/>
    <b v="1"/>
    <n v="692"/>
    <s v="GTX 1060"/>
    <x v="0"/>
    <x v="0"/>
  </r>
  <r>
    <n v="750920"/>
    <s v="Cultist Simulator"/>
    <d v="2018-09-14T00:00:00"/>
    <n v="582"/>
    <b v="1"/>
    <n v="692"/>
    <s v="GTX 1060"/>
    <x v="1"/>
    <x v="1"/>
  </r>
  <r>
    <n v="750920"/>
    <s v="Cultist Simulator"/>
    <d v="2018-09-14T00:00:00"/>
    <n v="582"/>
    <b v="1"/>
    <n v="692"/>
    <s v="GTX 1060"/>
    <x v="2"/>
    <x v="0"/>
  </r>
  <r>
    <n v="750920"/>
    <s v="Cultist Simulator"/>
    <d v="2018-09-14T00:00:00"/>
    <n v="582"/>
    <b v="1"/>
    <n v="692"/>
    <s v="GTX 1060"/>
    <x v="3"/>
    <x v="1"/>
  </r>
  <r>
    <n v="750920"/>
    <s v="Cultist Simulator"/>
    <d v="2018-09-14T00:00:00"/>
    <n v="582"/>
    <b v="1"/>
    <n v="692"/>
    <s v="GTX 1060"/>
    <x v="4"/>
    <x v="1"/>
  </r>
  <r>
    <n v="750920"/>
    <s v="Cultist Simulator"/>
    <d v="2018-09-14T00:00:00"/>
    <n v="582"/>
    <b v="1"/>
    <n v="692"/>
    <s v="GTX 1060"/>
    <x v="5"/>
    <x v="1"/>
  </r>
  <r>
    <n v="750920"/>
    <s v="Cultist Simulator"/>
    <d v="2018-09-14T00:00:00"/>
    <n v="582"/>
    <b v="1"/>
    <n v="692"/>
    <s v="GTX 1060"/>
    <x v="6"/>
    <x v="1"/>
  </r>
  <r>
    <n v="718670"/>
    <s v="Football Manager 2019"/>
    <d v="2018-05-31T00:00:00"/>
    <n v="582"/>
    <b v="1"/>
    <n v="692"/>
    <s v="Radeon Vega 11"/>
    <x v="0"/>
    <x v="1"/>
  </r>
  <r>
    <n v="718670"/>
    <s v="Football Manager 2019"/>
    <d v="2018-05-31T00:00:00"/>
    <n v="582"/>
    <b v="1"/>
    <n v="692"/>
    <s v="Radeon Vega 11"/>
    <x v="1"/>
    <x v="0"/>
  </r>
  <r>
    <n v="718670"/>
    <s v="Football Manager 2019"/>
    <d v="2018-05-31T00:00:00"/>
    <n v="582"/>
    <b v="1"/>
    <n v="692"/>
    <s v="Radeon Vega 11"/>
    <x v="2"/>
    <x v="1"/>
  </r>
  <r>
    <n v="718670"/>
    <s v="Football Manager 2019"/>
    <d v="2018-05-31T00:00:00"/>
    <n v="582"/>
    <b v="1"/>
    <n v="692"/>
    <s v="Radeon Vega 11"/>
    <x v="3"/>
    <x v="0"/>
  </r>
  <r>
    <n v="718670"/>
    <s v="Football Manager 2019"/>
    <d v="2018-05-31T00:00:00"/>
    <n v="582"/>
    <b v="1"/>
    <n v="692"/>
    <s v="Radeon Vega 11"/>
    <x v="4"/>
    <x v="0"/>
  </r>
  <r>
    <n v="718670"/>
    <s v="Football Manager 2019"/>
    <d v="2018-05-31T00:00:00"/>
    <n v="582"/>
    <b v="1"/>
    <n v="692"/>
    <s v="Radeon Vega 11"/>
    <x v="5"/>
    <x v="1"/>
  </r>
  <r>
    <n v="718670"/>
    <s v="Football Manager 2019"/>
    <d v="2018-05-31T00:00:00"/>
    <n v="582"/>
    <b v="1"/>
    <n v="692"/>
    <s v="Radeon Vega 11"/>
    <x v="6"/>
    <x v="1"/>
  </r>
  <r>
    <n v="872790"/>
    <s v="Train Sim World 5"/>
    <d v="2018-11-02T00:00:00"/>
    <n v="581"/>
    <b v="1"/>
    <n v="694"/>
    <s v="Radeon Vega 8"/>
    <x v="0"/>
    <x v="1"/>
  </r>
  <r>
    <n v="872790"/>
    <s v="Train Sim World 5"/>
    <d v="2018-11-02T00:00:00"/>
    <n v="581"/>
    <b v="1"/>
    <n v="694"/>
    <s v="Radeon Vega 8"/>
    <x v="1"/>
    <x v="1"/>
  </r>
  <r>
    <n v="872790"/>
    <s v="Train Sim World 5"/>
    <d v="2018-11-02T00:00:00"/>
    <n v="581"/>
    <b v="1"/>
    <n v="694"/>
    <s v="Radeon Vega 8"/>
    <x v="2"/>
    <x v="1"/>
  </r>
  <r>
    <n v="872790"/>
    <s v="Train Sim World 5"/>
    <d v="2018-11-02T00:00:00"/>
    <n v="581"/>
    <b v="1"/>
    <n v="694"/>
    <s v="Radeon Vega 8"/>
    <x v="3"/>
    <x v="0"/>
  </r>
  <r>
    <n v="872790"/>
    <s v="Train Sim World 5"/>
    <d v="2018-11-02T00:00:00"/>
    <n v="581"/>
    <b v="1"/>
    <n v="694"/>
    <s v="Radeon Vega 8"/>
    <x v="4"/>
    <x v="1"/>
  </r>
  <r>
    <n v="872790"/>
    <s v="Train Sim World 5"/>
    <d v="2018-11-02T00:00:00"/>
    <n v="581"/>
    <b v="1"/>
    <n v="694"/>
    <s v="Radeon Vega 8"/>
    <x v="5"/>
    <x v="1"/>
  </r>
  <r>
    <n v="872790"/>
    <s v="Train Sim World 5"/>
    <d v="2018-11-02T00:00:00"/>
    <n v="581"/>
    <b v="1"/>
    <n v="694"/>
    <s v="Radeon Vega 8"/>
    <x v="6"/>
    <x v="1"/>
  </r>
  <r>
    <n v="2967990"/>
    <s v="Axis &amp; Allies 1942 Online"/>
    <d v="2024-09-17T00:00:00"/>
    <n v="581"/>
    <b v="0"/>
    <n v="694"/>
    <s v="RTX 2060"/>
    <x v="0"/>
    <x v="1"/>
  </r>
  <r>
    <n v="2967990"/>
    <s v="Axis &amp; Allies 1942 Online"/>
    <d v="2024-09-17T00:00:00"/>
    <n v="581"/>
    <b v="0"/>
    <n v="694"/>
    <s v="RTX 2060"/>
    <x v="1"/>
    <x v="1"/>
  </r>
  <r>
    <n v="2967990"/>
    <s v="Axis &amp; Allies 1942 Online"/>
    <d v="2024-09-17T00:00:00"/>
    <n v="581"/>
    <b v="0"/>
    <n v="694"/>
    <s v="RTX 2060"/>
    <x v="2"/>
    <x v="1"/>
  </r>
  <r>
    <n v="2967990"/>
    <s v="Axis &amp; Allies 1942 Online"/>
    <d v="2024-09-17T00:00:00"/>
    <n v="581"/>
    <b v="0"/>
    <n v="694"/>
    <s v="RTX 2060"/>
    <x v="3"/>
    <x v="0"/>
  </r>
  <r>
    <n v="2967990"/>
    <s v="Axis &amp; Allies 1942 Online"/>
    <d v="2024-09-17T00:00:00"/>
    <n v="581"/>
    <b v="0"/>
    <n v="694"/>
    <s v="RTX 2060"/>
    <x v="4"/>
    <x v="1"/>
  </r>
  <r>
    <n v="2967990"/>
    <s v="Axis &amp; Allies 1942 Online"/>
    <d v="2024-09-17T00:00:00"/>
    <n v="581"/>
    <b v="0"/>
    <n v="694"/>
    <s v="RTX 2060"/>
    <x v="5"/>
    <x v="1"/>
  </r>
  <r>
    <n v="2967990"/>
    <s v="Axis &amp; Allies 1942 Online"/>
    <d v="2024-09-17T00:00:00"/>
    <n v="581"/>
    <b v="0"/>
    <n v="694"/>
    <s v="RTX 2060"/>
    <x v="6"/>
    <x v="1"/>
  </r>
  <r>
    <n v="898920"/>
    <s v="Tropico 6"/>
    <d v="2021-11-09T00:00:00"/>
    <n v="577"/>
    <b v="1"/>
    <n v="696"/>
    <s v="GTX 980"/>
    <x v="0"/>
    <x v="1"/>
  </r>
  <r>
    <n v="898920"/>
    <s v="Tropico 6"/>
    <d v="2021-11-09T00:00:00"/>
    <n v="577"/>
    <b v="1"/>
    <n v="696"/>
    <s v="GTX 980"/>
    <x v="1"/>
    <x v="1"/>
  </r>
  <r>
    <n v="898920"/>
    <s v="Tropico 6"/>
    <d v="2021-11-09T00:00:00"/>
    <n v="577"/>
    <b v="1"/>
    <n v="696"/>
    <s v="GTX 980"/>
    <x v="2"/>
    <x v="1"/>
  </r>
  <r>
    <n v="898920"/>
    <s v="Tropico 6"/>
    <d v="2021-11-09T00:00:00"/>
    <n v="577"/>
    <b v="1"/>
    <n v="696"/>
    <s v="GTX 980"/>
    <x v="3"/>
    <x v="1"/>
  </r>
  <r>
    <n v="898920"/>
    <s v="Tropico 6"/>
    <d v="2021-11-09T00:00:00"/>
    <n v="577"/>
    <b v="1"/>
    <n v="696"/>
    <s v="GTX 980"/>
    <x v="4"/>
    <x v="1"/>
  </r>
  <r>
    <n v="898920"/>
    <s v="Tropico 6"/>
    <d v="2021-11-09T00:00:00"/>
    <n v="577"/>
    <b v="1"/>
    <n v="696"/>
    <s v="GTX 980"/>
    <x v="5"/>
    <x v="0"/>
  </r>
  <r>
    <n v="898920"/>
    <s v="Tropico 6"/>
    <d v="2021-11-09T00:00:00"/>
    <n v="577"/>
    <b v="1"/>
    <n v="696"/>
    <s v="GTX 980"/>
    <x v="6"/>
    <x v="1"/>
  </r>
  <r>
    <n v="492720"/>
    <s v="JDM: Japanese Drift Master"/>
    <d v="2019-03-29T00:00:00"/>
    <n v="575"/>
    <b v="1"/>
    <n v="697"/>
    <s v="GTX 1050 Ti"/>
    <x v="0"/>
    <x v="1"/>
  </r>
  <r>
    <n v="492720"/>
    <s v="JDM: Japanese Drift Master"/>
    <d v="2019-03-29T00:00:00"/>
    <n v="575"/>
    <b v="1"/>
    <n v="697"/>
    <s v="GTX 1050 Ti"/>
    <x v="1"/>
    <x v="1"/>
  </r>
  <r>
    <n v="492720"/>
    <s v="JDM: Japanese Drift Master"/>
    <d v="2019-03-29T00:00:00"/>
    <n v="575"/>
    <b v="1"/>
    <n v="697"/>
    <s v="GTX 1050 Ti"/>
    <x v="2"/>
    <x v="1"/>
  </r>
  <r>
    <n v="492720"/>
    <s v="JDM: Japanese Drift Master"/>
    <d v="2019-03-29T00:00:00"/>
    <n v="575"/>
    <b v="1"/>
    <n v="697"/>
    <s v="GTX 1050 Ti"/>
    <x v="3"/>
    <x v="0"/>
  </r>
  <r>
    <n v="492720"/>
    <s v="JDM: Japanese Drift Master"/>
    <d v="2019-03-29T00:00:00"/>
    <n v="575"/>
    <b v="1"/>
    <n v="697"/>
    <s v="GTX 1050 Ti"/>
    <x v="4"/>
    <x v="1"/>
  </r>
  <r>
    <n v="492720"/>
    <s v="JDM: Japanese Drift Master"/>
    <d v="2019-03-29T00:00:00"/>
    <n v="575"/>
    <b v="1"/>
    <n v="697"/>
    <s v="GTX 1050 Ti"/>
    <x v="5"/>
    <x v="0"/>
  </r>
  <r>
    <n v="492720"/>
    <s v="JDM: Japanese Drift Master"/>
    <d v="2019-03-29T00:00:00"/>
    <n v="575"/>
    <b v="1"/>
    <n v="697"/>
    <s v="GTX 1050 Ti"/>
    <x v="6"/>
    <x v="1"/>
  </r>
  <r>
    <n v="1153410"/>
    <s v="Peglin"/>
    <d v="2025-05-21T00:00:00"/>
    <n v="574"/>
    <b v="0"/>
    <n v="698"/>
    <s v="RTX 3060 Ti"/>
    <x v="0"/>
    <x v="1"/>
  </r>
  <r>
    <n v="1153410"/>
    <s v="Peglin"/>
    <d v="2025-05-21T00:00:00"/>
    <n v="574"/>
    <b v="0"/>
    <n v="698"/>
    <s v="RTX 3060 Ti"/>
    <x v="1"/>
    <x v="1"/>
  </r>
  <r>
    <n v="1153410"/>
    <s v="Peglin"/>
    <d v="2025-05-21T00:00:00"/>
    <n v="574"/>
    <b v="0"/>
    <n v="698"/>
    <s v="RTX 3060 Ti"/>
    <x v="2"/>
    <x v="1"/>
  </r>
  <r>
    <n v="1153410"/>
    <s v="Peglin"/>
    <d v="2025-05-21T00:00:00"/>
    <n v="574"/>
    <b v="0"/>
    <n v="698"/>
    <s v="RTX 3060 Ti"/>
    <x v="3"/>
    <x v="0"/>
  </r>
  <r>
    <n v="1153410"/>
    <s v="Peglin"/>
    <d v="2025-05-21T00:00:00"/>
    <n v="574"/>
    <b v="0"/>
    <n v="698"/>
    <s v="RTX 3060 Ti"/>
    <x v="4"/>
    <x v="1"/>
  </r>
  <r>
    <n v="1153410"/>
    <s v="Peglin"/>
    <d v="2025-05-21T00:00:00"/>
    <n v="574"/>
    <b v="0"/>
    <n v="698"/>
    <s v="RTX 3060 Ti"/>
    <x v="5"/>
    <x v="1"/>
  </r>
  <r>
    <n v="1153410"/>
    <s v="Peglin"/>
    <d v="2025-05-21T00:00:00"/>
    <n v="574"/>
    <b v="0"/>
    <n v="698"/>
    <s v="RTX 3060 Ti"/>
    <x v="6"/>
    <x v="1"/>
  </r>
  <r>
    <n v="1296610"/>
    <s v="Royal Quest Online"/>
    <d v="2024-08-27T00:00:00"/>
    <n v="574"/>
    <b v="1"/>
    <n v="698"/>
    <s v="Radeon Vega 11"/>
    <x v="0"/>
    <x v="1"/>
  </r>
  <r>
    <n v="1296610"/>
    <s v="Royal Quest Online"/>
    <d v="2024-08-27T00:00:00"/>
    <n v="574"/>
    <b v="1"/>
    <n v="698"/>
    <s v="Radeon Vega 11"/>
    <x v="1"/>
    <x v="0"/>
  </r>
  <r>
    <n v="1296610"/>
    <s v="Royal Quest Online"/>
    <d v="2024-08-27T00:00:00"/>
    <n v="574"/>
    <b v="1"/>
    <n v="698"/>
    <s v="Radeon Vega 11"/>
    <x v="2"/>
    <x v="1"/>
  </r>
  <r>
    <n v="1296610"/>
    <s v="Royal Quest Online"/>
    <d v="2024-08-27T00:00:00"/>
    <n v="574"/>
    <b v="1"/>
    <n v="698"/>
    <s v="Radeon Vega 11"/>
    <x v="3"/>
    <x v="1"/>
  </r>
  <r>
    <n v="1296610"/>
    <s v="Royal Quest Online"/>
    <d v="2024-08-27T00:00:00"/>
    <n v="574"/>
    <b v="1"/>
    <n v="698"/>
    <s v="Radeon Vega 11"/>
    <x v="4"/>
    <x v="0"/>
  </r>
  <r>
    <n v="1296610"/>
    <s v="Royal Quest Online"/>
    <d v="2024-08-27T00:00:00"/>
    <n v="574"/>
    <b v="1"/>
    <n v="698"/>
    <s v="Radeon Vega 11"/>
    <x v="5"/>
    <x v="0"/>
  </r>
  <r>
    <n v="1296610"/>
    <s v="Royal Quest Online"/>
    <d v="2024-08-27T00:00:00"/>
    <n v="574"/>
    <b v="1"/>
    <n v="698"/>
    <s v="Radeon Vega 11"/>
    <x v="6"/>
    <x v="1"/>
  </r>
  <r>
    <n v="2962300"/>
    <s v="Backrooms: Escape Together"/>
    <d v="2024-12-19T00:00:00"/>
    <n v="573"/>
    <b v="0"/>
    <n v="700"/>
    <s v="RTX 2070"/>
    <x v="0"/>
    <x v="1"/>
  </r>
  <r>
    <n v="2962300"/>
    <s v="Backrooms: Escape Together"/>
    <d v="2024-12-19T00:00:00"/>
    <n v="573"/>
    <b v="0"/>
    <n v="700"/>
    <s v="RTX 2070"/>
    <x v="1"/>
    <x v="1"/>
  </r>
  <r>
    <n v="2962300"/>
    <s v="Backrooms: Escape Together"/>
    <d v="2024-12-19T00:00:00"/>
    <n v="573"/>
    <b v="0"/>
    <n v="700"/>
    <s v="RTX 2070"/>
    <x v="2"/>
    <x v="0"/>
  </r>
  <r>
    <n v="2962300"/>
    <s v="Backrooms: Escape Together"/>
    <d v="2024-12-19T00:00:00"/>
    <n v="573"/>
    <b v="0"/>
    <n v="700"/>
    <s v="RTX 2070"/>
    <x v="3"/>
    <x v="1"/>
  </r>
  <r>
    <n v="2962300"/>
    <s v="Backrooms: Escape Together"/>
    <d v="2024-12-19T00:00:00"/>
    <n v="573"/>
    <b v="0"/>
    <n v="700"/>
    <s v="RTX 2070"/>
    <x v="4"/>
    <x v="0"/>
  </r>
  <r>
    <n v="2962300"/>
    <s v="Backrooms: Escape Together"/>
    <d v="2024-12-19T00:00:00"/>
    <n v="573"/>
    <b v="0"/>
    <n v="700"/>
    <s v="RTX 2070"/>
    <x v="5"/>
    <x v="1"/>
  </r>
  <r>
    <n v="2962300"/>
    <s v="Backrooms: Escape Together"/>
    <d v="2024-12-19T00:00:00"/>
    <n v="573"/>
    <b v="0"/>
    <n v="700"/>
    <s v="RTX 2070"/>
    <x v="6"/>
    <x v="0"/>
  </r>
  <r>
    <n v="2141730"/>
    <s v="Borderless Gaming"/>
    <d v="2022-10-18T00:00:00"/>
    <n v="569"/>
    <b v="0"/>
    <n v="701"/>
    <s v="RTX 2070"/>
    <x v="0"/>
    <x v="0"/>
  </r>
  <r>
    <n v="2141730"/>
    <s v="Borderless Gaming"/>
    <d v="2022-10-18T00:00:00"/>
    <n v="569"/>
    <b v="0"/>
    <n v="701"/>
    <s v="RTX 2070"/>
    <x v="1"/>
    <x v="0"/>
  </r>
  <r>
    <n v="2141730"/>
    <s v="Borderless Gaming"/>
    <d v="2022-10-18T00:00:00"/>
    <n v="569"/>
    <b v="0"/>
    <n v="701"/>
    <s v="RTX 2070"/>
    <x v="2"/>
    <x v="0"/>
  </r>
  <r>
    <n v="2141730"/>
    <s v="Borderless Gaming"/>
    <d v="2022-10-18T00:00:00"/>
    <n v="569"/>
    <b v="0"/>
    <n v="701"/>
    <s v="RTX 2070"/>
    <x v="3"/>
    <x v="1"/>
  </r>
  <r>
    <n v="2141730"/>
    <s v="Borderless Gaming"/>
    <d v="2022-10-18T00:00:00"/>
    <n v="569"/>
    <b v="0"/>
    <n v="701"/>
    <s v="RTX 2070"/>
    <x v="4"/>
    <x v="1"/>
  </r>
  <r>
    <n v="2141730"/>
    <s v="Borderless Gaming"/>
    <d v="2022-10-18T00:00:00"/>
    <n v="569"/>
    <b v="0"/>
    <n v="701"/>
    <s v="RTX 2070"/>
    <x v="5"/>
    <x v="1"/>
  </r>
  <r>
    <n v="2141730"/>
    <s v="Borderless Gaming"/>
    <d v="2022-10-18T00:00:00"/>
    <n v="569"/>
    <b v="0"/>
    <n v="701"/>
    <s v="RTX 2070"/>
    <x v="6"/>
    <x v="1"/>
  </r>
  <r>
    <n v="388080"/>
    <s v="Wingspan"/>
    <d v="2015-07-23T00:00:00"/>
    <n v="569"/>
    <b v="0"/>
    <n v="701"/>
    <s v="Radeon Graphics"/>
    <x v="0"/>
    <x v="0"/>
  </r>
  <r>
    <n v="388080"/>
    <s v="Wingspan"/>
    <d v="2015-07-23T00:00:00"/>
    <n v="569"/>
    <b v="0"/>
    <n v="701"/>
    <s v="Radeon Graphics"/>
    <x v="1"/>
    <x v="1"/>
  </r>
  <r>
    <n v="388080"/>
    <s v="Wingspan"/>
    <d v="2015-07-23T00:00:00"/>
    <n v="569"/>
    <b v="0"/>
    <n v="701"/>
    <s v="Radeon Graphics"/>
    <x v="2"/>
    <x v="1"/>
  </r>
  <r>
    <n v="388080"/>
    <s v="Wingspan"/>
    <d v="2015-07-23T00:00:00"/>
    <n v="569"/>
    <b v="0"/>
    <n v="701"/>
    <s v="Radeon Graphics"/>
    <x v="3"/>
    <x v="1"/>
  </r>
  <r>
    <n v="388080"/>
    <s v="Wingspan"/>
    <d v="2015-07-23T00:00:00"/>
    <n v="569"/>
    <b v="0"/>
    <n v="701"/>
    <s v="Radeon Graphics"/>
    <x v="4"/>
    <x v="1"/>
  </r>
  <r>
    <n v="388080"/>
    <s v="Wingspan"/>
    <d v="2015-07-23T00:00:00"/>
    <n v="569"/>
    <b v="0"/>
    <n v="701"/>
    <s v="Radeon Graphics"/>
    <x v="5"/>
    <x v="1"/>
  </r>
  <r>
    <n v="388080"/>
    <s v="Wingspan"/>
    <d v="2015-07-23T00:00:00"/>
    <n v="569"/>
    <b v="0"/>
    <n v="701"/>
    <s v="Radeon Graphics"/>
    <x v="6"/>
    <x v="1"/>
  </r>
  <r>
    <n v="1054490"/>
    <s v="BattleBit Remastered"/>
    <d v="2020-09-17T00:00:00"/>
    <n v="569"/>
    <b v="1"/>
    <n v="701"/>
    <s v="RX 550"/>
    <x v="0"/>
    <x v="1"/>
  </r>
  <r>
    <n v="1054490"/>
    <s v="BattleBit Remastered"/>
    <d v="2020-09-17T00:00:00"/>
    <n v="569"/>
    <b v="1"/>
    <n v="701"/>
    <s v="RX 550"/>
    <x v="1"/>
    <x v="0"/>
  </r>
  <r>
    <n v="1054490"/>
    <s v="BattleBit Remastered"/>
    <d v="2020-09-17T00:00:00"/>
    <n v="569"/>
    <b v="1"/>
    <n v="701"/>
    <s v="RX 550"/>
    <x v="2"/>
    <x v="1"/>
  </r>
  <r>
    <n v="1054490"/>
    <s v="BattleBit Remastered"/>
    <d v="2020-09-17T00:00:00"/>
    <n v="569"/>
    <b v="1"/>
    <n v="701"/>
    <s v="RX 550"/>
    <x v="3"/>
    <x v="1"/>
  </r>
  <r>
    <n v="1054490"/>
    <s v="BattleBit Remastered"/>
    <d v="2020-09-17T00:00:00"/>
    <n v="569"/>
    <b v="1"/>
    <n v="701"/>
    <s v="RX 550"/>
    <x v="4"/>
    <x v="1"/>
  </r>
  <r>
    <n v="1054490"/>
    <s v="BattleBit Remastered"/>
    <d v="2020-09-17T00:00:00"/>
    <n v="569"/>
    <b v="1"/>
    <n v="701"/>
    <s v="RX 550"/>
    <x v="5"/>
    <x v="0"/>
  </r>
  <r>
    <n v="1054490"/>
    <s v="BattleBit Remastered"/>
    <d v="2020-09-17T00:00:00"/>
    <n v="569"/>
    <b v="1"/>
    <n v="701"/>
    <s v="RX 550"/>
    <x v="6"/>
    <x v="1"/>
  </r>
  <r>
    <n v="671860"/>
    <s v="Apocalypse Party"/>
    <d v="2023-06-15T00:00:00"/>
    <n v="568"/>
    <b v="0"/>
    <n v="704"/>
    <s v="GTX 1050 Ti"/>
    <x v="0"/>
    <x v="0"/>
  </r>
  <r>
    <n v="671860"/>
    <s v="Apocalypse Party"/>
    <d v="2023-06-15T00:00:00"/>
    <n v="568"/>
    <b v="0"/>
    <n v="704"/>
    <s v="GTX 1050 Ti"/>
    <x v="1"/>
    <x v="1"/>
  </r>
  <r>
    <n v="671860"/>
    <s v="Apocalypse Party"/>
    <d v="2023-06-15T00:00:00"/>
    <n v="568"/>
    <b v="0"/>
    <n v="704"/>
    <s v="GTX 1050 Ti"/>
    <x v="2"/>
    <x v="1"/>
  </r>
  <r>
    <n v="671860"/>
    <s v="Apocalypse Party"/>
    <d v="2023-06-15T00:00:00"/>
    <n v="568"/>
    <b v="0"/>
    <n v="704"/>
    <s v="GTX 1050 Ti"/>
    <x v="3"/>
    <x v="1"/>
  </r>
  <r>
    <n v="671860"/>
    <s v="Apocalypse Party"/>
    <d v="2023-06-15T00:00:00"/>
    <n v="568"/>
    <b v="0"/>
    <n v="704"/>
    <s v="GTX 1050 Ti"/>
    <x v="4"/>
    <x v="1"/>
  </r>
  <r>
    <n v="671860"/>
    <s v="Apocalypse Party"/>
    <d v="2023-06-15T00:00:00"/>
    <n v="568"/>
    <b v="0"/>
    <n v="704"/>
    <s v="GTX 1050 Ti"/>
    <x v="5"/>
    <x v="1"/>
  </r>
  <r>
    <n v="671860"/>
    <s v="Apocalypse Party"/>
    <d v="2023-06-15T00:00:00"/>
    <n v="568"/>
    <b v="0"/>
    <n v="704"/>
    <s v="GTX 1050 Ti"/>
    <x v="6"/>
    <x v="1"/>
  </r>
  <r>
    <n v="2351560"/>
    <s v="Resident Evil 5"/>
    <d v="2023-11-30T00:00:00"/>
    <n v="567"/>
    <b v="0"/>
    <n v="705"/>
    <s v="RTX 3060"/>
    <x v="0"/>
    <x v="0"/>
  </r>
  <r>
    <n v="2351560"/>
    <s v="Resident Evil 5"/>
    <d v="2023-11-30T00:00:00"/>
    <n v="567"/>
    <b v="0"/>
    <n v="705"/>
    <s v="RTX 3060"/>
    <x v="1"/>
    <x v="0"/>
  </r>
  <r>
    <n v="2351560"/>
    <s v="Resident Evil 5"/>
    <d v="2023-11-30T00:00:00"/>
    <n v="567"/>
    <b v="0"/>
    <n v="705"/>
    <s v="RTX 3060"/>
    <x v="2"/>
    <x v="1"/>
  </r>
  <r>
    <n v="2351560"/>
    <s v="Resident Evil 5"/>
    <d v="2023-11-30T00:00:00"/>
    <n v="567"/>
    <b v="0"/>
    <n v="705"/>
    <s v="RTX 3060"/>
    <x v="3"/>
    <x v="1"/>
  </r>
  <r>
    <n v="2351560"/>
    <s v="Resident Evil 5"/>
    <d v="2023-11-30T00:00:00"/>
    <n v="567"/>
    <b v="0"/>
    <n v="705"/>
    <s v="RTX 3060"/>
    <x v="4"/>
    <x v="1"/>
  </r>
  <r>
    <n v="2351560"/>
    <s v="Resident Evil 5"/>
    <d v="2023-11-30T00:00:00"/>
    <n v="567"/>
    <b v="0"/>
    <n v="705"/>
    <s v="RTX 3060"/>
    <x v="5"/>
    <x v="0"/>
  </r>
  <r>
    <n v="2351560"/>
    <s v="Resident Evil 5"/>
    <d v="2023-11-30T00:00:00"/>
    <n v="567"/>
    <b v="0"/>
    <n v="705"/>
    <s v="RTX 3060"/>
    <x v="6"/>
    <x v="1"/>
  </r>
  <r>
    <n v="21690"/>
    <s v="Command &amp; Conquer Remastered Collection"/>
    <d v="2009-09-15T00:00:00"/>
    <n v="566"/>
    <b v="0"/>
    <n v="706"/>
    <s v="Radeon Graphics"/>
    <x v="0"/>
    <x v="0"/>
  </r>
  <r>
    <n v="21690"/>
    <s v="Command &amp; Conquer Remastered Collection"/>
    <d v="2009-09-15T00:00:00"/>
    <n v="566"/>
    <b v="0"/>
    <n v="706"/>
    <s v="Radeon Graphics"/>
    <x v="1"/>
    <x v="1"/>
  </r>
  <r>
    <n v="21690"/>
    <s v="Command &amp; Conquer Remastered Collection"/>
    <d v="2009-09-15T00:00:00"/>
    <n v="566"/>
    <b v="0"/>
    <n v="706"/>
    <s v="Radeon Graphics"/>
    <x v="2"/>
    <x v="0"/>
  </r>
  <r>
    <n v="21690"/>
    <s v="Command &amp; Conquer Remastered Collection"/>
    <d v="2009-09-15T00:00:00"/>
    <n v="566"/>
    <b v="0"/>
    <n v="706"/>
    <s v="Radeon Graphics"/>
    <x v="3"/>
    <x v="1"/>
  </r>
  <r>
    <n v="21690"/>
    <s v="Command &amp; Conquer Remastered Collection"/>
    <d v="2009-09-15T00:00:00"/>
    <n v="566"/>
    <b v="0"/>
    <n v="706"/>
    <s v="Radeon Graphics"/>
    <x v="4"/>
    <x v="1"/>
  </r>
  <r>
    <n v="21690"/>
    <s v="Command &amp; Conquer Remastered Collection"/>
    <d v="2009-09-15T00:00:00"/>
    <n v="566"/>
    <b v="0"/>
    <n v="706"/>
    <s v="Radeon Graphics"/>
    <x v="5"/>
    <x v="1"/>
  </r>
  <r>
    <n v="21690"/>
    <s v="Command &amp; Conquer Remastered Collection"/>
    <d v="2009-09-15T00:00:00"/>
    <n v="566"/>
    <b v="0"/>
    <n v="706"/>
    <s v="Radeon Graphics"/>
    <x v="6"/>
    <x v="1"/>
  </r>
  <r>
    <n v="1213210"/>
    <s v="Mad Max"/>
    <d v="2020-06-05T00:00:00"/>
    <n v="564"/>
    <b v="0"/>
    <n v="707"/>
    <s v="RX 560"/>
    <x v="0"/>
    <x v="1"/>
  </r>
  <r>
    <n v="1213210"/>
    <s v="Mad Max"/>
    <d v="2020-06-05T00:00:00"/>
    <n v="564"/>
    <b v="0"/>
    <n v="707"/>
    <s v="RX 560"/>
    <x v="1"/>
    <x v="1"/>
  </r>
  <r>
    <n v="1213210"/>
    <s v="Mad Max"/>
    <d v="2020-06-05T00:00:00"/>
    <n v="564"/>
    <b v="0"/>
    <n v="707"/>
    <s v="RX 560"/>
    <x v="2"/>
    <x v="1"/>
  </r>
  <r>
    <n v="1213210"/>
    <s v="Mad Max"/>
    <d v="2020-06-05T00:00:00"/>
    <n v="564"/>
    <b v="0"/>
    <n v="707"/>
    <s v="RX 560"/>
    <x v="3"/>
    <x v="1"/>
  </r>
  <r>
    <n v="1213210"/>
    <s v="Mad Max"/>
    <d v="2020-06-05T00:00:00"/>
    <n v="564"/>
    <b v="0"/>
    <n v="707"/>
    <s v="RX 560"/>
    <x v="4"/>
    <x v="1"/>
  </r>
  <r>
    <n v="1213210"/>
    <s v="Mad Max"/>
    <d v="2020-06-05T00:00:00"/>
    <n v="564"/>
    <b v="0"/>
    <n v="707"/>
    <s v="RX 560"/>
    <x v="5"/>
    <x v="0"/>
  </r>
  <r>
    <n v="1213210"/>
    <s v="Mad Max"/>
    <d v="2020-06-05T00:00:00"/>
    <n v="564"/>
    <b v="0"/>
    <n v="707"/>
    <s v="RX 560"/>
    <x v="6"/>
    <x v="1"/>
  </r>
  <r>
    <n v="234140"/>
    <s v="Mabinogi"/>
    <d v="2015-09-01T00:00:00"/>
    <n v="563"/>
    <b v="0"/>
    <n v="708"/>
    <s v="GTX 950"/>
    <x v="0"/>
    <x v="0"/>
  </r>
  <r>
    <n v="234140"/>
    <s v="Mabinogi"/>
    <d v="2015-09-01T00:00:00"/>
    <n v="563"/>
    <b v="0"/>
    <n v="708"/>
    <s v="GTX 950"/>
    <x v="1"/>
    <x v="1"/>
  </r>
  <r>
    <n v="234140"/>
    <s v="Mabinogi"/>
    <d v="2015-09-01T00:00:00"/>
    <n v="563"/>
    <b v="0"/>
    <n v="708"/>
    <s v="GTX 950"/>
    <x v="2"/>
    <x v="0"/>
  </r>
  <r>
    <n v="234140"/>
    <s v="Mabinogi"/>
    <d v="2015-09-01T00:00:00"/>
    <n v="563"/>
    <b v="0"/>
    <n v="708"/>
    <s v="GTX 950"/>
    <x v="3"/>
    <x v="1"/>
  </r>
  <r>
    <n v="234140"/>
    <s v="Mabinogi"/>
    <d v="2015-09-01T00:00:00"/>
    <n v="563"/>
    <b v="0"/>
    <n v="708"/>
    <s v="GTX 950"/>
    <x v="4"/>
    <x v="1"/>
  </r>
  <r>
    <n v="234140"/>
    <s v="Mabinogi"/>
    <d v="2015-09-01T00:00:00"/>
    <n v="563"/>
    <b v="0"/>
    <n v="708"/>
    <s v="GTX 950"/>
    <x v="5"/>
    <x v="1"/>
  </r>
  <r>
    <n v="234140"/>
    <s v="Mabinogi"/>
    <d v="2015-09-01T00:00:00"/>
    <n v="563"/>
    <b v="0"/>
    <n v="708"/>
    <s v="GTX 950"/>
    <x v="6"/>
    <x v="1"/>
  </r>
  <r>
    <n v="212200"/>
    <s v="Age of Empires: Definitive Edition"/>
    <d v="2012-12-06T00:00:00"/>
    <n v="559"/>
    <b v="0"/>
    <n v="709"/>
    <s v="Radeon Graphics"/>
    <x v="0"/>
    <x v="0"/>
  </r>
  <r>
    <n v="212200"/>
    <s v="Age of Empires: Definitive Edition"/>
    <d v="2012-12-06T00:00:00"/>
    <n v="559"/>
    <b v="0"/>
    <n v="709"/>
    <s v="Radeon Graphics"/>
    <x v="1"/>
    <x v="1"/>
  </r>
  <r>
    <n v="212200"/>
    <s v="Age of Empires: Definitive Edition"/>
    <d v="2012-12-06T00:00:00"/>
    <n v="559"/>
    <b v="0"/>
    <n v="709"/>
    <s v="Radeon Graphics"/>
    <x v="2"/>
    <x v="0"/>
  </r>
  <r>
    <n v="212200"/>
    <s v="Age of Empires: Definitive Edition"/>
    <d v="2012-12-06T00:00:00"/>
    <n v="559"/>
    <b v="0"/>
    <n v="709"/>
    <s v="Radeon Graphics"/>
    <x v="3"/>
    <x v="0"/>
  </r>
  <r>
    <n v="212200"/>
    <s v="Age of Empires: Definitive Edition"/>
    <d v="2012-12-06T00:00:00"/>
    <n v="559"/>
    <b v="0"/>
    <n v="709"/>
    <s v="Radeon Graphics"/>
    <x v="4"/>
    <x v="0"/>
  </r>
  <r>
    <n v="212200"/>
    <s v="Age of Empires: Definitive Edition"/>
    <d v="2012-12-06T00:00:00"/>
    <n v="559"/>
    <b v="0"/>
    <n v="709"/>
    <s v="Radeon Graphics"/>
    <x v="5"/>
    <x v="1"/>
  </r>
  <r>
    <n v="212200"/>
    <s v="Age of Empires: Definitive Edition"/>
    <d v="2012-12-06T00:00:00"/>
    <n v="559"/>
    <b v="0"/>
    <n v="709"/>
    <s v="Radeon Graphics"/>
    <x v="6"/>
    <x v="0"/>
  </r>
  <r>
    <n v="1017900"/>
    <s v="Panzer Corps 2"/>
    <d v="2019-08-19T00:00:00"/>
    <n v="559"/>
    <b v="0"/>
    <n v="709"/>
    <s v="Radeon Vega 8"/>
    <x v="0"/>
    <x v="1"/>
  </r>
  <r>
    <n v="1017900"/>
    <s v="Panzer Corps 2"/>
    <d v="2019-08-19T00:00:00"/>
    <n v="559"/>
    <b v="0"/>
    <n v="709"/>
    <s v="Radeon Vega 8"/>
    <x v="1"/>
    <x v="1"/>
  </r>
  <r>
    <n v="1017900"/>
    <s v="Panzer Corps 2"/>
    <d v="2019-08-19T00:00:00"/>
    <n v="559"/>
    <b v="0"/>
    <n v="709"/>
    <s v="Radeon Vega 8"/>
    <x v="2"/>
    <x v="1"/>
  </r>
  <r>
    <n v="1017900"/>
    <s v="Panzer Corps 2"/>
    <d v="2019-08-19T00:00:00"/>
    <n v="559"/>
    <b v="0"/>
    <n v="709"/>
    <s v="Radeon Vega 8"/>
    <x v="3"/>
    <x v="1"/>
  </r>
  <r>
    <n v="1017900"/>
    <s v="Panzer Corps 2"/>
    <d v="2019-08-19T00:00:00"/>
    <n v="559"/>
    <b v="0"/>
    <n v="709"/>
    <s v="Radeon Vega 8"/>
    <x v="4"/>
    <x v="1"/>
  </r>
  <r>
    <n v="1017900"/>
    <s v="Panzer Corps 2"/>
    <d v="2019-08-19T00:00:00"/>
    <n v="559"/>
    <b v="0"/>
    <n v="709"/>
    <s v="Radeon Vega 8"/>
    <x v="5"/>
    <x v="0"/>
  </r>
  <r>
    <n v="1017900"/>
    <s v="Panzer Corps 2"/>
    <d v="2019-08-19T00:00:00"/>
    <n v="559"/>
    <b v="0"/>
    <n v="709"/>
    <s v="Radeon Vega 8"/>
    <x v="6"/>
    <x v="1"/>
  </r>
  <r>
    <n v="1072040"/>
    <s v="Far Cry 4"/>
    <d v="2020-03-19T00:00:00"/>
    <n v="559"/>
    <b v="0"/>
    <n v="709"/>
    <s v="GTX 1050"/>
    <x v="0"/>
    <x v="1"/>
  </r>
  <r>
    <n v="1072040"/>
    <s v="Far Cry 4"/>
    <d v="2020-03-19T00:00:00"/>
    <n v="559"/>
    <b v="0"/>
    <n v="709"/>
    <s v="GTX 1050"/>
    <x v="1"/>
    <x v="1"/>
  </r>
  <r>
    <n v="1072040"/>
    <s v="Far Cry 4"/>
    <d v="2020-03-19T00:00:00"/>
    <n v="559"/>
    <b v="0"/>
    <n v="709"/>
    <s v="GTX 1050"/>
    <x v="2"/>
    <x v="1"/>
  </r>
  <r>
    <n v="1072040"/>
    <s v="Far Cry 4"/>
    <d v="2020-03-19T00:00:00"/>
    <n v="559"/>
    <b v="0"/>
    <n v="709"/>
    <s v="GTX 1050"/>
    <x v="3"/>
    <x v="1"/>
  </r>
  <r>
    <n v="1072040"/>
    <s v="Far Cry 4"/>
    <d v="2020-03-19T00:00:00"/>
    <n v="559"/>
    <b v="0"/>
    <n v="709"/>
    <s v="GTX 1050"/>
    <x v="4"/>
    <x v="1"/>
  </r>
  <r>
    <n v="1072040"/>
    <s v="Far Cry 4"/>
    <d v="2020-03-19T00:00:00"/>
    <n v="559"/>
    <b v="0"/>
    <n v="709"/>
    <s v="GTX 1050"/>
    <x v="5"/>
    <x v="0"/>
  </r>
  <r>
    <n v="1072040"/>
    <s v="Far Cry 4"/>
    <d v="2020-03-19T00:00:00"/>
    <n v="559"/>
    <b v="0"/>
    <n v="709"/>
    <s v="GTX 1050"/>
    <x v="6"/>
    <x v="1"/>
  </r>
  <r>
    <n v="298110"/>
    <s v="Tomb Raider Game of the Year"/>
    <d v="2014-11-17T00:00:00"/>
    <n v="558"/>
    <b v="0"/>
    <n v="712"/>
    <s v="R9 280X"/>
    <x v="0"/>
    <x v="0"/>
  </r>
  <r>
    <n v="298110"/>
    <s v="Tomb Raider Game of the Year"/>
    <d v="2014-11-17T00:00:00"/>
    <n v="558"/>
    <b v="0"/>
    <n v="712"/>
    <s v="R9 280X"/>
    <x v="1"/>
    <x v="1"/>
  </r>
  <r>
    <n v="298110"/>
    <s v="Tomb Raider Game of the Year"/>
    <d v="2014-11-17T00:00:00"/>
    <n v="558"/>
    <b v="0"/>
    <n v="712"/>
    <s v="R9 280X"/>
    <x v="2"/>
    <x v="0"/>
  </r>
  <r>
    <n v="298110"/>
    <s v="Tomb Raider Game of the Year"/>
    <d v="2014-11-17T00:00:00"/>
    <n v="558"/>
    <b v="0"/>
    <n v="712"/>
    <s v="R9 280X"/>
    <x v="3"/>
    <x v="1"/>
  </r>
  <r>
    <n v="298110"/>
    <s v="Tomb Raider Game of the Year"/>
    <d v="2014-11-17T00:00:00"/>
    <n v="558"/>
    <b v="0"/>
    <n v="712"/>
    <s v="R9 280X"/>
    <x v="4"/>
    <x v="1"/>
  </r>
  <r>
    <n v="298110"/>
    <s v="Tomb Raider Game of the Year"/>
    <d v="2014-11-17T00:00:00"/>
    <n v="558"/>
    <b v="0"/>
    <n v="712"/>
    <s v="R9 280X"/>
    <x v="5"/>
    <x v="1"/>
  </r>
  <r>
    <n v="298110"/>
    <s v="Tomb Raider Game of the Year"/>
    <d v="2014-11-17T00:00:00"/>
    <n v="558"/>
    <b v="0"/>
    <n v="712"/>
    <s v="R9 280X"/>
    <x v="6"/>
    <x v="1"/>
  </r>
  <r>
    <n v="203160"/>
    <s v="ROUNDS"/>
    <d v="2013-03-04T00:00:00"/>
    <n v="556"/>
    <b v="1"/>
    <n v="713"/>
    <s v="Radeon Graphics"/>
    <x v="0"/>
    <x v="0"/>
  </r>
  <r>
    <n v="203160"/>
    <s v="ROUNDS"/>
    <d v="2013-03-04T00:00:00"/>
    <n v="556"/>
    <b v="1"/>
    <n v="713"/>
    <s v="Radeon Graphics"/>
    <x v="1"/>
    <x v="1"/>
  </r>
  <r>
    <n v="203160"/>
    <s v="ROUNDS"/>
    <d v="2013-03-04T00:00:00"/>
    <n v="556"/>
    <b v="1"/>
    <n v="713"/>
    <s v="Radeon Graphics"/>
    <x v="2"/>
    <x v="0"/>
  </r>
  <r>
    <n v="203160"/>
    <s v="ROUNDS"/>
    <d v="2013-03-04T00:00:00"/>
    <n v="556"/>
    <b v="1"/>
    <n v="713"/>
    <s v="Radeon Graphics"/>
    <x v="3"/>
    <x v="1"/>
  </r>
  <r>
    <n v="203160"/>
    <s v="ROUNDS"/>
    <d v="2013-03-04T00:00:00"/>
    <n v="556"/>
    <b v="1"/>
    <n v="713"/>
    <s v="Radeon Graphics"/>
    <x v="4"/>
    <x v="1"/>
  </r>
  <r>
    <n v="203160"/>
    <s v="ROUNDS"/>
    <d v="2013-03-04T00:00:00"/>
    <n v="556"/>
    <b v="1"/>
    <n v="713"/>
    <s v="Radeon Graphics"/>
    <x v="5"/>
    <x v="1"/>
  </r>
  <r>
    <n v="203160"/>
    <s v="ROUNDS"/>
    <d v="2013-03-04T00:00:00"/>
    <n v="556"/>
    <b v="1"/>
    <n v="713"/>
    <s v="Radeon Graphics"/>
    <x v="6"/>
    <x v="1"/>
  </r>
  <r>
    <n v="1557740"/>
    <s v="Automation - The Car Company Tycoon Game"/>
    <d v="2021-04-01T00:00:00"/>
    <n v="555"/>
    <b v="1"/>
    <n v="714"/>
    <s v="GTX 970"/>
    <x v="0"/>
    <x v="0"/>
  </r>
  <r>
    <n v="1557740"/>
    <s v="Automation - The Car Company Tycoon Game"/>
    <d v="2021-04-01T00:00:00"/>
    <n v="555"/>
    <b v="1"/>
    <n v="714"/>
    <s v="GTX 970"/>
    <x v="1"/>
    <x v="0"/>
  </r>
  <r>
    <n v="1557740"/>
    <s v="Automation - The Car Company Tycoon Game"/>
    <d v="2021-04-01T00:00:00"/>
    <n v="555"/>
    <b v="1"/>
    <n v="714"/>
    <s v="GTX 970"/>
    <x v="2"/>
    <x v="1"/>
  </r>
  <r>
    <n v="1557740"/>
    <s v="Automation - The Car Company Tycoon Game"/>
    <d v="2021-04-01T00:00:00"/>
    <n v="555"/>
    <b v="1"/>
    <n v="714"/>
    <s v="GTX 970"/>
    <x v="3"/>
    <x v="1"/>
  </r>
  <r>
    <n v="1557740"/>
    <s v="Automation - The Car Company Tycoon Game"/>
    <d v="2021-04-01T00:00:00"/>
    <n v="555"/>
    <b v="1"/>
    <n v="714"/>
    <s v="GTX 970"/>
    <x v="4"/>
    <x v="1"/>
  </r>
  <r>
    <n v="1557740"/>
    <s v="Automation - The Car Company Tycoon Game"/>
    <d v="2021-04-01T00:00:00"/>
    <n v="555"/>
    <b v="1"/>
    <n v="714"/>
    <s v="GTX 970"/>
    <x v="5"/>
    <x v="1"/>
  </r>
  <r>
    <n v="1557740"/>
    <s v="Automation - The Car Company Tycoon Game"/>
    <d v="2021-04-01T00:00:00"/>
    <n v="555"/>
    <b v="1"/>
    <n v="714"/>
    <s v="GTX 970"/>
    <x v="6"/>
    <x v="1"/>
  </r>
  <r>
    <n v="293760"/>
    <s v="Volcano Princess"/>
    <d v="2015-03-12T00:00:00"/>
    <n v="554"/>
    <b v="0"/>
    <n v="715"/>
    <s v="Radeon Graphics"/>
    <x v="0"/>
    <x v="1"/>
  </r>
  <r>
    <n v="293760"/>
    <s v="Volcano Princess"/>
    <d v="2015-03-12T00:00:00"/>
    <n v="554"/>
    <b v="0"/>
    <n v="715"/>
    <s v="Radeon Graphics"/>
    <x v="1"/>
    <x v="0"/>
  </r>
  <r>
    <n v="293760"/>
    <s v="Volcano Princess"/>
    <d v="2015-03-12T00:00:00"/>
    <n v="554"/>
    <b v="0"/>
    <n v="715"/>
    <s v="Radeon Graphics"/>
    <x v="2"/>
    <x v="1"/>
  </r>
  <r>
    <n v="293760"/>
    <s v="Volcano Princess"/>
    <d v="2015-03-12T00:00:00"/>
    <n v="554"/>
    <b v="0"/>
    <n v="715"/>
    <s v="Radeon Graphics"/>
    <x v="3"/>
    <x v="0"/>
  </r>
  <r>
    <n v="293760"/>
    <s v="Volcano Princess"/>
    <d v="2015-03-12T00:00:00"/>
    <n v="554"/>
    <b v="0"/>
    <n v="715"/>
    <s v="Radeon Graphics"/>
    <x v="4"/>
    <x v="1"/>
  </r>
  <r>
    <n v="293760"/>
    <s v="Volcano Princess"/>
    <d v="2015-03-12T00:00:00"/>
    <n v="554"/>
    <b v="0"/>
    <n v="715"/>
    <s v="Radeon Graphics"/>
    <x v="5"/>
    <x v="0"/>
  </r>
  <r>
    <n v="293760"/>
    <s v="Volcano Princess"/>
    <d v="2015-03-12T00:00:00"/>
    <n v="554"/>
    <b v="0"/>
    <n v="715"/>
    <s v="Radeon Graphics"/>
    <x v="6"/>
    <x v="1"/>
  </r>
  <r>
    <n v="1669980"/>
    <s v="The Precinct"/>
    <d v="2023-04-20T00:00:00"/>
    <n v="553"/>
    <b v="0"/>
    <n v="716"/>
    <s v="RX 560"/>
    <x v="0"/>
    <x v="1"/>
  </r>
  <r>
    <n v="1669980"/>
    <s v="The Precinct"/>
    <d v="2023-04-20T00:00:00"/>
    <n v="553"/>
    <b v="0"/>
    <n v="716"/>
    <s v="RX 560"/>
    <x v="1"/>
    <x v="0"/>
  </r>
  <r>
    <n v="1669980"/>
    <s v="The Precinct"/>
    <d v="2023-04-20T00:00:00"/>
    <n v="553"/>
    <b v="0"/>
    <n v="716"/>
    <s v="RX 560"/>
    <x v="2"/>
    <x v="1"/>
  </r>
  <r>
    <n v="1669980"/>
    <s v="The Precinct"/>
    <d v="2023-04-20T00:00:00"/>
    <n v="553"/>
    <b v="0"/>
    <n v="716"/>
    <s v="RX 560"/>
    <x v="3"/>
    <x v="0"/>
  </r>
  <r>
    <n v="1669980"/>
    <s v="The Precinct"/>
    <d v="2023-04-20T00:00:00"/>
    <n v="553"/>
    <b v="0"/>
    <n v="716"/>
    <s v="RX 560"/>
    <x v="4"/>
    <x v="0"/>
  </r>
  <r>
    <n v="1669980"/>
    <s v="The Precinct"/>
    <d v="2023-04-20T00:00:00"/>
    <n v="553"/>
    <b v="0"/>
    <n v="716"/>
    <s v="RX 560"/>
    <x v="5"/>
    <x v="0"/>
  </r>
  <r>
    <n v="1669980"/>
    <s v="The Precinct"/>
    <d v="2023-04-20T00:00:00"/>
    <n v="553"/>
    <b v="0"/>
    <n v="716"/>
    <s v="RX 560"/>
    <x v="6"/>
    <x v="1"/>
  </r>
  <r>
    <n v="490110"/>
    <s v="Cube Racer"/>
    <d v="2025-05-13T00:00:00"/>
    <n v="553"/>
    <b v="0"/>
    <n v="716"/>
    <s v="RTX 2060"/>
    <x v="0"/>
    <x v="0"/>
  </r>
  <r>
    <n v="490110"/>
    <s v="Cube Racer"/>
    <d v="2025-05-13T00:00:00"/>
    <n v="553"/>
    <b v="0"/>
    <n v="716"/>
    <s v="RTX 2060"/>
    <x v="1"/>
    <x v="0"/>
  </r>
  <r>
    <n v="490110"/>
    <s v="Cube Racer"/>
    <d v="2025-05-13T00:00:00"/>
    <n v="553"/>
    <b v="0"/>
    <n v="716"/>
    <s v="RTX 2060"/>
    <x v="2"/>
    <x v="1"/>
  </r>
  <r>
    <n v="490110"/>
    <s v="Cube Racer"/>
    <d v="2025-05-13T00:00:00"/>
    <n v="553"/>
    <b v="0"/>
    <n v="716"/>
    <s v="RTX 2060"/>
    <x v="3"/>
    <x v="0"/>
  </r>
  <r>
    <n v="490110"/>
    <s v="Cube Racer"/>
    <d v="2025-05-13T00:00:00"/>
    <n v="553"/>
    <b v="0"/>
    <n v="716"/>
    <s v="RTX 2060"/>
    <x v="4"/>
    <x v="1"/>
  </r>
  <r>
    <n v="490110"/>
    <s v="Cube Racer"/>
    <d v="2025-05-13T00:00:00"/>
    <n v="553"/>
    <b v="0"/>
    <n v="716"/>
    <s v="RTX 2060"/>
    <x v="5"/>
    <x v="1"/>
  </r>
  <r>
    <n v="490110"/>
    <s v="Cube Racer"/>
    <d v="2025-05-13T00:00:00"/>
    <n v="553"/>
    <b v="0"/>
    <n v="716"/>
    <s v="RTX 2060"/>
    <x v="6"/>
    <x v="1"/>
  </r>
  <r>
    <n v="705210"/>
    <s v="Rome: Total War - Collection"/>
    <d v="2017-10-30T00:00:00"/>
    <n v="552"/>
    <b v="0"/>
    <n v="718"/>
    <s v="Radeon Vega 8"/>
    <x v="0"/>
    <x v="0"/>
  </r>
  <r>
    <n v="705210"/>
    <s v="Rome: Total War - Collection"/>
    <d v="2017-10-30T00:00:00"/>
    <n v="552"/>
    <b v="0"/>
    <n v="718"/>
    <s v="Radeon Vega 8"/>
    <x v="1"/>
    <x v="0"/>
  </r>
  <r>
    <n v="705210"/>
    <s v="Rome: Total War - Collection"/>
    <d v="2017-10-30T00:00:00"/>
    <n v="552"/>
    <b v="0"/>
    <n v="718"/>
    <s v="Radeon Vega 8"/>
    <x v="2"/>
    <x v="1"/>
  </r>
  <r>
    <n v="705210"/>
    <s v="Rome: Total War - Collection"/>
    <d v="2017-10-30T00:00:00"/>
    <n v="552"/>
    <b v="0"/>
    <n v="718"/>
    <s v="Radeon Vega 8"/>
    <x v="3"/>
    <x v="1"/>
  </r>
  <r>
    <n v="705210"/>
    <s v="Rome: Total War - Collection"/>
    <d v="2017-10-30T00:00:00"/>
    <n v="552"/>
    <b v="0"/>
    <n v="718"/>
    <s v="Radeon Vega 8"/>
    <x v="4"/>
    <x v="1"/>
  </r>
  <r>
    <n v="705210"/>
    <s v="Rome: Total War - Collection"/>
    <d v="2017-10-30T00:00:00"/>
    <n v="552"/>
    <b v="0"/>
    <n v="718"/>
    <s v="Radeon Vega 8"/>
    <x v="5"/>
    <x v="1"/>
  </r>
  <r>
    <n v="705210"/>
    <s v="Rome: Total War - Collection"/>
    <d v="2017-10-30T00:00:00"/>
    <n v="552"/>
    <b v="0"/>
    <n v="718"/>
    <s v="Radeon Vega 8"/>
    <x v="6"/>
    <x v="1"/>
  </r>
  <r>
    <n v="4760"/>
    <s v="STAR WARS Knights of the Old Republic II - The Sith Lords"/>
    <d v="2007-08-28T00:00:00"/>
    <n v="552"/>
    <b v="0"/>
    <n v="718"/>
    <s v="Radeon Graphics"/>
    <x v="0"/>
    <x v="1"/>
  </r>
  <r>
    <n v="4760"/>
    <s v="STAR WARS Knights of the Old Republic II - The Sith Lords"/>
    <d v="2007-08-28T00:00:00"/>
    <n v="552"/>
    <b v="0"/>
    <n v="718"/>
    <s v="Radeon Graphics"/>
    <x v="1"/>
    <x v="1"/>
  </r>
  <r>
    <n v="4760"/>
    <s v="STAR WARS Knights of the Old Republic II - The Sith Lords"/>
    <d v="2007-08-28T00:00:00"/>
    <n v="552"/>
    <b v="0"/>
    <n v="718"/>
    <s v="Radeon Graphics"/>
    <x v="2"/>
    <x v="1"/>
  </r>
  <r>
    <n v="4760"/>
    <s v="STAR WARS Knights of the Old Republic II - The Sith Lords"/>
    <d v="2007-08-28T00:00:00"/>
    <n v="552"/>
    <b v="0"/>
    <n v="718"/>
    <s v="Radeon Graphics"/>
    <x v="3"/>
    <x v="1"/>
  </r>
  <r>
    <n v="4760"/>
    <s v="STAR WARS Knights of the Old Republic II - The Sith Lords"/>
    <d v="2007-08-28T00:00:00"/>
    <n v="552"/>
    <b v="0"/>
    <n v="718"/>
    <s v="Radeon Graphics"/>
    <x v="4"/>
    <x v="1"/>
  </r>
  <r>
    <n v="4760"/>
    <s v="STAR WARS Knights of the Old Republic II - The Sith Lords"/>
    <d v="2007-08-28T00:00:00"/>
    <n v="552"/>
    <b v="0"/>
    <n v="718"/>
    <s v="Radeon Graphics"/>
    <x v="5"/>
    <x v="0"/>
  </r>
  <r>
    <n v="4760"/>
    <s v="STAR WARS Knights of the Old Republic II - The Sith Lords"/>
    <d v="2007-08-28T00:00:00"/>
    <n v="552"/>
    <b v="0"/>
    <n v="718"/>
    <s v="Radeon Graphics"/>
    <x v="6"/>
    <x v="1"/>
  </r>
  <r>
    <n v="208580"/>
    <s v="VBridger"/>
    <d v="2012-08-23T00:00:00"/>
    <n v="551"/>
    <b v="1"/>
    <n v="720"/>
    <s v="Radeon Graphics"/>
    <x v="0"/>
    <x v="1"/>
  </r>
  <r>
    <n v="208580"/>
    <s v="VBridger"/>
    <d v="2012-08-23T00:00:00"/>
    <n v="551"/>
    <b v="1"/>
    <n v="720"/>
    <s v="Radeon Graphics"/>
    <x v="1"/>
    <x v="1"/>
  </r>
  <r>
    <n v="208580"/>
    <s v="VBridger"/>
    <d v="2012-08-23T00:00:00"/>
    <n v="551"/>
    <b v="1"/>
    <n v="720"/>
    <s v="Radeon Graphics"/>
    <x v="2"/>
    <x v="1"/>
  </r>
  <r>
    <n v="208580"/>
    <s v="VBridger"/>
    <d v="2012-08-23T00:00:00"/>
    <n v="551"/>
    <b v="1"/>
    <n v="720"/>
    <s v="Radeon Graphics"/>
    <x v="3"/>
    <x v="1"/>
  </r>
  <r>
    <n v="208580"/>
    <s v="VBridger"/>
    <d v="2012-08-23T00:00:00"/>
    <n v="551"/>
    <b v="1"/>
    <n v="720"/>
    <s v="Radeon Graphics"/>
    <x v="4"/>
    <x v="0"/>
  </r>
  <r>
    <n v="208580"/>
    <s v="VBridger"/>
    <d v="2012-08-23T00:00:00"/>
    <n v="551"/>
    <b v="1"/>
    <n v="720"/>
    <s v="Radeon Graphics"/>
    <x v="5"/>
    <x v="1"/>
  </r>
  <r>
    <n v="208580"/>
    <s v="VBridger"/>
    <d v="2012-08-23T00:00:00"/>
    <n v="551"/>
    <b v="1"/>
    <n v="720"/>
    <s v="Radeon Graphics"/>
    <x v="6"/>
    <x v="1"/>
  </r>
  <r>
    <n v="1898830"/>
    <s v="Naval Action"/>
    <d v="2022-04-10T00:00:00"/>
    <n v="551"/>
    <b v="0"/>
    <n v="720"/>
    <s v="GTX 970"/>
    <x v="0"/>
    <x v="1"/>
  </r>
  <r>
    <n v="1898830"/>
    <s v="Naval Action"/>
    <d v="2022-04-10T00:00:00"/>
    <n v="551"/>
    <b v="0"/>
    <n v="720"/>
    <s v="GTX 970"/>
    <x v="1"/>
    <x v="1"/>
  </r>
  <r>
    <n v="1898830"/>
    <s v="Naval Action"/>
    <d v="2022-04-10T00:00:00"/>
    <n v="551"/>
    <b v="0"/>
    <n v="720"/>
    <s v="GTX 970"/>
    <x v="2"/>
    <x v="1"/>
  </r>
  <r>
    <n v="1898830"/>
    <s v="Naval Action"/>
    <d v="2022-04-10T00:00:00"/>
    <n v="551"/>
    <b v="0"/>
    <n v="720"/>
    <s v="GTX 970"/>
    <x v="3"/>
    <x v="1"/>
  </r>
  <r>
    <n v="1898830"/>
    <s v="Naval Action"/>
    <d v="2022-04-10T00:00:00"/>
    <n v="551"/>
    <b v="0"/>
    <n v="720"/>
    <s v="GTX 970"/>
    <x v="4"/>
    <x v="1"/>
  </r>
  <r>
    <n v="1898830"/>
    <s v="Naval Action"/>
    <d v="2022-04-10T00:00:00"/>
    <n v="551"/>
    <b v="0"/>
    <n v="720"/>
    <s v="GTX 970"/>
    <x v="5"/>
    <x v="1"/>
  </r>
  <r>
    <n v="1898830"/>
    <s v="Naval Action"/>
    <d v="2022-04-10T00:00:00"/>
    <n v="551"/>
    <b v="0"/>
    <n v="720"/>
    <s v="GTX 970"/>
    <x v="6"/>
    <x v="1"/>
  </r>
  <r>
    <n v="311310"/>
    <s v="Yakuza 0"/>
    <d v="2019-06-13T00:00:00"/>
    <n v="550"/>
    <b v="0"/>
    <n v="722"/>
    <s v="RX 560"/>
    <x v="0"/>
    <x v="1"/>
  </r>
  <r>
    <n v="311310"/>
    <s v="Yakuza 0"/>
    <d v="2019-06-13T00:00:00"/>
    <n v="550"/>
    <b v="0"/>
    <n v="722"/>
    <s v="RX 560"/>
    <x v="1"/>
    <x v="0"/>
  </r>
  <r>
    <n v="311310"/>
    <s v="Yakuza 0"/>
    <d v="2019-06-13T00:00:00"/>
    <n v="550"/>
    <b v="0"/>
    <n v="722"/>
    <s v="RX 560"/>
    <x v="2"/>
    <x v="1"/>
  </r>
  <r>
    <n v="311310"/>
    <s v="Yakuza 0"/>
    <d v="2019-06-13T00:00:00"/>
    <n v="550"/>
    <b v="0"/>
    <n v="722"/>
    <s v="RX 560"/>
    <x v="3"/>
    <x v="0"/>
  </r>
  <r>
    <n v="311310"/>
    <s v="Yakuza 0"/>
    <d v="2019-06-13T00:00:00"/>
    <n v="550"/>
    <b v="0"/>
    <n v="722"/>
    <s v="RX 560"/>
    <x v="4"/>
    <x v="1"/>
  </r>
  <r>
    <n v="311310"/>
    <s v="Yakuza 0"/>
    <d v="2019-06-13T00:00:00"/>
    <n v="550"/>
    <b v="0"/>
    <n v="722"/>
    <s v="RX 560"/>
    <x v="5"/>
    <x v="1"/>
  </r>
  <r>
    <n v="311310"/>
    <s v="Yakuza 0"/>
    <d v="2019-06-13T00:00:00"/>
    <n v="550"/>
    <b v="0"/>
    <n v="722"/>
    <s v="RX 560"/>
    <x v="6"/>
    <x v="1"/>
  </r>
  <r>
    <n v="638970"/>
    <s v="Slapshot: Rebound"/>
    <d v="2018-08-01T00:00:00"/>
    <n v="550"/>
    <b v="0"/>
    <n v="722"/>
    <s v="GTX 1070"/>
    <x v="0"/>
    <x v="0"/>
  </r>
  <r>
    <n v="638970"/>
    <s v="Slapshot: Rebound"/>
    <d v="2018-08-01T00:00:00"/>
    <n v="550"/>
    <b v="0"/>
    <n v="722"/>
    <s v="GTX 1070"/>
    <x v="1"/>
    <x v="1"/>
  </r>
  <r>
    <n v="638970"/>
    <s v="Slapshot: Rebound"/>
    <d v="2018-08-01T00:00:00"/>
    <n v="550"/>
    <b v="0"/>
    <n v="722"/>
    <s v="GTX 1070"/>
    <x v="2"/>
    <x v="0"/>
  </r>
  <r>
    <n v="638970"/>
    <s v="Slapshot: Rebound"/>
    <d v="2018-08-01T00:00:00"/>
    <n v="550"/>
    <b v="0"/>
    <n v="722"/>
    <s v="GTX 1070"/>
    <x v="3"/>
    <x v="1"/>
  </r>
  <r>
    <n v="638970"/>
    <s v="Slapshot: Rebound"/>
    <d v="2018-08-01T00:00:00"/>
    <n v="550"/>
    <b v="0"/>
    <n v="722"/>
    <s v="GTX 1070"/>
    <x v="4"/>
    <x v="0"/>
  </r>
  <r>
    <n v="638970"/>
    <s v="Slapshot: Rebound"/>
    <d v="2018-08-01T00:00:00"/>
    <n v="550"/>
    <b v="0"/>
    <n v="722"/>
    <s v="GTX 1070"/>
    <x v="5"/>
    <x v="1"/>
  </r>
  <r>
    <n v="638970"/>
    <s v="Slapshot: Rebound"/>
    <d v="2018-08-01T00:00:00"/>
    <n v="550"/>
    <b v="0"/>
    <n v="722"/>
    <s v="GTX 1070"/>
    <x v="6"/>
    <x v="1"/>
  </r>
  <r>
    <n v="1173370"/>
    <s v="Game of Thrones Winter is Coming"/>
    <d v="2024-04-11T00:00:00"/>
    <n v="547"/>
    <b v="0"/>
    <n v="724"/>
    <s v="GTX 1060"/>
    <x v="0"/>
    <x v="0"/>
  </r>
  <r>
    <n v="1173370"/>
    <s v="Game of Thrones Winter is Coming"/>
    <d v="2024-04-11T00:00:00"/>
    <n v="547"/>
    <b v="0"/>
    <n v="724"/>
    <s v="GTX 1060"/>
    <x v="1"/>
    <x v="0"/>
  </r>
  <r>
    <n v="1173370"/>
    <s v="Game of Thrones Winter is Coming"/>
    <d v="2024-04-11T00:00:00"/>
    <n v="547"/>
    <b v="0"/>
    <n v="724"/>
    <s v="GTX 1060"/>
    <x v="2"/>
    <x v="1"/>
  </r>
  <r>
    <n v="1173370"/>
    <s v="Game of Thrones Winter is Coming"/>
    <d v="2024-04-11T00:00:00"/>
    <n v="547"/>
    <b v="0"/>
    <n v="724"/>
    <s v="GTX 1060"/>
    <x v="3"/>
    <x v="1"/>
  </r>
  <r>
    <n v="1173370"/>
    <s v="Game of Thrones Winter is Coming"/>
    <d v="2024-04-11T00:00:00"/>
    <n v="547"/>
    <b v="0"/>
    <n v="724"/>
    <s v="GTX 1060"/>
    <x v="4"/>
    <x v="1"/>
  </r>
  <r>
    <n v="1173370"/>
    <s v="Game of Thrones Winter is Coming"/>
    <d v="2024-04-11T00:00:00"/>
    <n v="547"/>
    <b v="0"/>
    <n v="724"/>
    <s v="GTX 1060"/>
    <x v="5"/>
    <x v="1"/>
  </r>
  <r>
    <n v="1173370"/>
    <s v="Game of Thrones Winter is Coming"/>
    <d v="2024-04-11T00:00:00"/>
    <n v="547"/>
    <b v="0"/>
    <n v="724"/>
    <s v="GTX 1060"/>
    <x v="6"/>
    <x v="0"/>
  </r>
  <r>
    <n v="1105420"/>
    <s v="Imperator: Rome"/>
    <d v="2019-11-14T00:00:00"/>
    <n v="547"/>
    <b v="0"/>
    <n v="724"/>
    <s v="GTX 750"/>
    <x v="0"/>
    <x v="1"/>
  </r>
  <r>
    <n v="1105420"/>
    <s v="Imperator: Rome"/>
    <d v="2019-11-14T00:00:00"/>
    <n v="547"/>
    <b v="0"/>
    <n v="724"/>
    <s v="GTX 750"/>
    <x v="1"/>
    <x v="1"/>
  </r>
  <r>
    <n v="1105420"/>
    <s v="Imperator: Rome"/>
    <d v="2019-11-14T00:00:00"/>
    <n v="547"/>
    <b v="0"/>
    <n v="724"/>
    <s v="GTX 750"/>
    <x v="2"/>
    <x v="1"/>
  </r>
  <r>
    <n v="1105420"/>
    <s v="Imperator: Rome"/>
    <d v="2019-11-14T00:00:00"/>
    <n v="547"/>
    <b v="0"/>
    <n v="724"/>
    <s v="GTX 750"/>
    <x v="3"/>
    <x v="0"/>
  </r>
  <r>
    <n v="1105420"/>
    <s v="Imperator: Rome"/>
    <d v="2019-11-14T00:00:00"/>
    <n v="547"/>
    <b v="0"/>
    <n v="724"/>
    <s v="GTX 750"/>
    <x v="4"/>
    <x v="0"/>
  </r>
  <r>
    <n v="1105420"/>
    <s v="Imperator: Rome"/>
    <d v="2019-11-14T00:00:00"/>
    <n v="547"/>
    <b v="0"/>
    <n v="724"/>
    <s v="GTX 750"/>
    <x v="5"/>
    <x v="0"/>
  </r>
  <r>
    <n v="1105420"/>
    <s v="Imperator: Rome"/>
    <d v="2019-11-14T00:00:00"/>
    <n v="547"/>
    <b v="0"/>
    <n v="724"/>
    <s v="GTX 750"/>
    <x v="6"/>
    <x v="0"/>
  </r>
  <r>
    <n v="859580"/>
    <s v="DC Universe Online"/>
    <d v="2019-04-25T00:00:00"/>
    <n v="547"/>
    <b v="1"/>
    <n v="724"/>
    <s v="RX 560"/>
    <x v="0"/>
    <x v="1"/>
  </r>
  <r>
    <n v="859580"/>
    <s v="DC Universe Online"/>
    <d v="2019-04-25T00:00:00"/>
    <n v="547"/>
    <b v="1"/>
    <n v="724"/>
    <s v="RX 560"/>
    <x v="1"/>
    <x v="1"/>
  </r>
  <r>
    <n v="859580"/>
    <s v="DC Universe Online"/>
    <d v="2019-04-25T00:00:00"/>
    <n v="547"/>
    <b v="1"/>
    <n v="724"/>
    <s v="RX 560"/>
    <x v="2"/>
    <x v="1"/>
  </r>
  <r>
    <n v="859580"/>
    <s v="DC Universe Online"/>
    <d v="2019-04-25T00:00:00"/>
    <n v="547"/>
    <b v="1"/>
    <n v="724"/>
    <s v="RX 560"/>
    <x v="3"/>
    <x v="0"/>
  </r>
  <r>
    <n v="859580"/>
    <s v="DC Universe Online"/>
    <d v="2019-04-25T00:00:00"/>
    <n v="547"/>
    <b v="1"/>
    <n v="724"/>
    <s v="RX 560"/>
    <x v="4"/>
    <x v="1"/>
  </r>
  <r>
    <n v="859580"/>
    <s v="DC Universe Online"/>
    <d v="2019-04-25T00:00:00"/>
    <n v="547"/>
    <b v="1"/>
    <n v="724"/>
    <s v="RX 560"/>
    <x v="5"/>
    <x v="0"/>
  </r>
  <r>
    <n v="859580"/>
    <s v="DC Universe Online"/>
    <d v="2019-04-25T00:00:00"/>
    <n v="547"/>
    <b v="1"/>
    <n v="724"/>
    <s v="RX 560"/>
    <x v="6"/>
    <x v="1"/>
  </r>
  <r>
    <n v="24200"/>
    <s v="Fast Food Simulator"/>
    <d v="2011-11-02T00:00:00"/>
    <n v="546"/>
    <b v="0"/>
    <n v="727"/>
    <s v="Radeon Graphics"/>
    <x v="0"/>
    <x v="0"/>
  </r>
  <r>
    <n v="24200"/>
    <s v="Fast Food Simulator"/>
    <d v="2011-11-02T00:00:00"/>
    <n v="546"/>
    <b v="0"/>
    <n v="727"/>
    <s v="Radeon Graphics"/>
    <x v="1"/>
    <x v="1"/>
  </r>
  <r>
    <n v="24200"/>
    <s v="Fast Food Simulator"/>
    <d v="2011-11-02T00:00:00"/>
    <n v="546"/>
    <b v="0"/>
    <n v="727"/>
    <s v="Radeon Graphics"/>
    <x v="2"/>
    <x v="0"/>
  </r>
  <r>
    <n v="24200"/>
    <s v="Fast Food Simulator"/>
    <d v="2011-11-02T00:00:00"/>
    <n v="546"/>
    <b v="0"/>
    <n v="727"/>
    <s v="Radeon Graphics"/>
    <x v="3"/>
    <x v="1"/>
  </r>
  <r>
    <n v="24200"/>
    <s v="Fast Food Simulator"/>
    <d v="2011-11-02T00:00:00"/>
    <n v="546"/>
    <b v="0"/>
    <n v="727"/>
    <s v="Radeon Graphics"/>
    <x v="4"/>
    <x v="0"/>
  </r>
  <r>
    <n v="24200"/>
    <s v="Fast Food Simulator"/>
    <d v="2011-11-02T00:00:00"/>
    <n v="546"/>
    <b v="0"/>
    <n v="727"/>
    <s v="Radeon Graphics"/>
    <x v="5"/>
    <x v="1"/>
  </r>
  <r>
    <n v="24200"/>
    <s v="Fast Food Simulator"/>
    <d v="2011-11-02T00:00:00"/>
    <n v="546"/>
    <b v="0"/>
    <n v="727"/>
    <s v="Radeon Graphics"/>
    <x v="6"/>
    <x v="0"/>
  </r>
  <r>
    <n v="2916430"/>
    <s v="Sins of a Solar Empire II"/>
    <d v="2024-12-10T00:00:00"/>
    <n v="545"/>
    <b v="0"/>
    <n v="728"/>
    <s v="RTX 3060"/>
    <x v="0"/>
    <x v="1"/>
  </r>
  <r>
    <n v="2916430"/>
    <s v="Sins of a Solar Empire II"/>
    <d v="2024-12-10T00:00:00"/>
    <n v="545"/>
    <b v="0"/>
    <n v="728"/>
    <s v="RTX 3060"/>
    <x v="1"/>
    <x v="0"/>
  </r>
  <r>
    <n v="2916430"/>
    <s v="Sins of a Solar Empire II"/>
    <d v="2024-12-10T00:00:00"/>
    <n v="545"/>
    <b v="0"/>
    <n v="728"/>
    <s v="RTX 3060"/>
    <x v="2"/>
    <x v="1"/>
  </r>
  <r>
    <n v="2916430"/>
    <s v="Sins of a Solar Empire II"/>
    <d v="2024-12-10T00:00:00"/>
    <n v="545"/>
    <b v="0"/>
    <n v="728"/>
    <s v="RTX 3060"/>
    <x v="3"/>
    <x v="0"/>
  </r>
  <r>
    <n v="2916430"/>
    <s v="Sins of a Solar Empire II"/>
    <d v="2024-12-10T00:00:00"/>
    <n v="545"/>
    <b v="0"/>
    <n v="728"/>
    <s v="RTX 3060"/>
    <x v="4"/>
    <x v="1"/>
  </r>
  <r>
    <n v="2916430"/>
    <s v="Sins of a Solar Empire II"/>
    <d v="2024-12-10T00:00:00"/>
    <n v="545"/>
    <b v="0"/>
    <n v="728"/>
    <s v="RTX 3060"/>
    <x v="5"/>
    <x v="1"/>
  </r>
  <r>
    <n v="2916430"/>
    <s v="Sins of a Solar Empire II"/>
    <d v="2024-12-10T00:00:00"/>
    <n v="545"/>
    <b v="0"/>
    <n v="728"/>
    <s v="RTX 3060"/>
    <x v="6"/>
    <x v="1"/>
  </r>
  <r>
    <n v="1575940"/>
    <s v="Will To Live Online"/>
    <d v="2024-08-15T00:00:00"/>
    <n v="544"/>
    <b v="0"/>
    <n v="729"/>
    <s v="RX 580"/>
    <x v="0"/>
    <x v="1"/>
  </r>
  <r>
    <n v="1575940"/>
    <s v="Will To Live Online"/>
    <d v="2024-08-15T00:00:00"/>
    <n v="544"/>
    <b v="0"/>
    <n v="729"/>
    <s v="RX 580"/>
    <x v="1"/>
    <x v="1"/>
  </r>
  <r>
    <n v="1575940"/>
    <s v="Will To Live Online"/>
    <d v="2024-08-15T00:00:00"/>
    <n v="544"/>
    <b v="0"/>
    <n v="729"/>
    <s v="RX 580"/>
    <x v="2"/>
    <x v="1"/>
  </r>
  <r>
    <n v="1575940"/>
    <s v="Will To Live Online"/>
    <d v="2024-08-15T00:00:00"/>
    <n v="544"/>
    <b v="0"/>
    <n v="729"/>
    <s v="RX 580"/>
    <x v="3"/>
    <x v="0"/>
  </r>
  <r>
    <n v="1575940"/>
    <s v="Will To Live Online"/>
    <d v="2024-08-15T00:00:00"/>
    <n v="544"/>
    <b v="0"/>
    <n v="729"/>
    <s v="RX 580"/>
    <x v="4"/>
    <x v="1"/>
  </r>
  <r>
    <n v="1575940"/>
    <s v="Will To Live Online"/>
    <d v="2024-08-15T00:00:00"/>
    <n v="544"/>
    <b v="0"/>
    <n v="729"/>
    <s v="RX 580"/>
    <x v="5"/>
    <x v="0"/>
  </r>
  <r>
    <n v="1575940"/>
    <s v="Will To Live Online"/>
    <d v="2024-08-15T00:00:00"/>
    <n v="544"/>
    <b v="0"/>
    <n v="729"/>
    <s v="RX 580"/>
    <x v="6"/>
    <x v="1"/>
  </r>
  <r>
    <n v="707010"/>
    <s v="Sniper Elite 4"/>
    <d v="2018-04-05T00:00:00"/>
    <n v="542"/>
    <b v="0"/>
    <n v="730"/>
    <s v="GTX 1060"/>
    <x v="0"/>
    <x v="0"/>
  </r>
  <r>
    <n v="707010"/>
    <s v="Sniper Elite 4"/>
    <d v="2018-04-05T00:00:00"/>
    <n v="542"/>
    <b v="0"/>
    <n v="730"/>
    <s v="GTX 1060"/>
    <x v="1"/>
    <x v="0"/>
  </r>
  <r>
    <n v="707010"/>
    <s v="Sniper Elite 4"/>
    <d v="2018-04-05T00:00:00"/>
    <n v="542"/>
    <b v="0"/>
    <n v="730"/>
    <s v="GTX 1060"/>
    <x v="2"/>
    <x v="1"/>
  </r>
  <r>
    <n v="707010"/>
    <s v="Sniper Elite 4"/>
    <d v="2018-04-05T00:00:00"/>
    <n v="542"/>
    <b v="0"/>
    <n v="730"/>
    <s v="GTX 1060"/>
    <x v="3"/>
    <x v="1"/>
  </r>
  <r>
    <n v="707010"/>
    <s v="Sniper Elite 4"/>
    <d v="2018-04-05T00:00:00"/>
    <n v="542"/>
    <b v="0"/>
    <n v="730"/>
    <s v="GTX 1060"/>
    <x v="4"/>
    <x v="0"/>
  </r>
  <r>
    <n v="707010"/>
    <s v="Sniper Elite 4"/>
    <d v="2018-04-05T00:00:00"/>
    <n v="542"/>
    <b v="0"/>
    <n v="730"/>
    <s v="GTX 1060"/>
    <x v="5"/>
    <x v="1"/>
  </r>
  <r>
    <n v="707010"/>
    <s v="Sniper Elite 4"/>
    <d v="2018-04-05T00:00:00"/>
    <n v="542"/>
    <b v="0"/>
    <n v="730"/>
    <s v="GTX 1060"/>
    <x v="6"/>
    <x v="0"/>
  </r>
  <r>
    <n v="312660"/>
    <s v="Mafia II: Definitive Edition"/>
    <d v="2017-02-13T00:00:00"/>
    <n v="541"/>
    <b v="0"/>
    <n v="731"/>
    <s v="GTX 970"/>
    <x v="0"/>
    <x v="0"/>
  </r>
  <r>
    <n v="312660"/>
    <s v="Mafia II: Definitive Edition"/>
    <d v="2017-02-13T00:00:00"/>
    <n v="541"/>
    <b v="0"/>
    <n v="731"/>
    <s v="GTX 970"/>
    <x v="1"/>
    <x v="1"/>
  </r>
  <r>
    <n v="312660"/>
    <s v="Mafia II: Definitive Edition"/>
    <d v="2017-02-13T00:00:00"/>
    <n v="541"/>
    <b v="0"/>
    <n v="731"/>
    <s v="GTX 970"/>
    <x v="2"/>
    <x v="0"/>
  </r>
  <r>
    <n v="312660"/>
    <s v="Mafia II: Definitive Edition"/>
    <d v="2017-02-13T00:00:00"/>
    <n v="541"/>
    <b v="0"/>
    <n v="731"/>
    <s v="GTX 970"/>
    <x v="3"/>
    <x v="1"/>
  </r>
  <r>
    <n v="312660"/>
    <s v="Mafia II: Definitive Edition"/>
    <d v="2017-02-13T00:00:00"/>
    <n v="541"/>
    <b v="0"/>
    <n v="731"/>
    <s v="GTX 970"/>
    <x v="4"/>
    <x v="1"/>
  </r>
  <r>
    <n v="312660"/>
    <s v="Mafia II: Definitive Edition"/>
    <d v="2017-02-13T00:00:00"/>
    <n v="541"/>
    <b v="0"/>
    <n v="731"/>
    <s v="GTX 970"/>
    <x v="5"/>
    <x v="1"/>
  </r>
  <r>
    <n v="312660"/>
    <s v="Mafia II: Definitive Edition"/>
    <d v="2017-02-13T00:00:00"/>
    <n v="541"/>
    <b v="0"/>
    <n v="731"/>
    <s v="GTX 970"/>
    <x v="6"/>
    <x v="1"/>
  </r>
  <r>
    <n v="1030830"/>
    <s v="Stranded: Alien Dawn"/>
    <d v="2020-05-19T00:00:00"/>
    <n v="538"/>
    <b v="0"/>
    <n v="732"/>
    <s v="GTX 1050 Ti"/>
    <x v="0"/>
    <x v="0"/>
  </r>
  <r>
    <n v="1030830"/>
    <s v="Stranded: Alien Dawn"/>
    <d v="2020-05-19T00:00:00"/>
    <n v="538"/>
    <b v="0"/>
    <n v="732"/>
    <s v="GTX 1050 Ti"/>
    <x v="1"/>
    <x v="1"/>
  </r>
  <r>
    <n v="1030830"/>
    <s v="Stranded: Alien Dawn"/>
    <d v="2020-05-19T00:00:00"/>
    <n v="538"/>
    <b v="0"/>
    <n v="732"/>
    <s v="GTX 1050 Ti"/>
    <x v="2"/>
    <x v="0"/>
  </r>
  <r>
    <n v="1030830"/>
    <s v="Stranded: Alien Dawn"/>
    <d v="2020-05-19T00:00:00"/>
    <n v="538"/>
    <b v="0"/>
    <n v="732"/>
    <s v="GTX 1050 Ti"/>
    <x v="3"/>
    <x v="1"/>
  </r>
  <r>
    <n v="1030830"/>
    <s v="Stranded: Alien Dawn"/>
    <d v="2020-05-19T00:00:00"/>
    <n v="538"/>
    <b v="0"/>
    <n v="732"/>
    <s v="GTX 1050 Ti"/>
    <x v="4"/>
    <x v="1"/>
  </r>
  <r>
    <n v="1030830"/>
    <s v="Stranded: Alien Dawn"/>
    <d v="2020-05-19T00:00:00"/>
    <n v="538"/>
    <b v="0"/>
    <n v="732"/>
    <s v="GTX 1050 Ti"/>
    <x v="5"/>
    <x v="1"/>
  </r>
  <r>
    <n v="1030830"/>
    <s v="Stranded: Alien Dawn"/>
    <d v="2020-05-19T00:00:00"/>
    <n v="538"/>
    <b v="0"/>
    <n v="732"/>
    <s v="GTX 1050 Ti"/>
    <x v="6"/>
    <x v="1"/>
  </r>
  <r>
    <n v="1324130"/>
    <s v="Juufuutei Raden's Guide for Pixel Museum"/>
    <d v="2023-04-25T00:00:00"/>
    <n v="538"/>
    <b v="0"/>
    <n v="732"/>
    <s v="RTX 2060"/>
    <x v="0"/>
    <x v="1"/>
  </r>
  <r>
    <n v="1324130"/>
    <s v="Juufuutei Raden's Guide for Pixel Museum"/>
    <d v="2023-04-25T00:00:00"/>
    <n v="538"/>
    <b v="0"/>
    <n v="732"/>
    <s v="RTX 2060"/>
    <x v="1"/>
    <x v="1"/>
  </r>
  <r>
    <n v="1324130"/>
    <s v="Juufuutei Raden's Guide for Pixel Museum"/>
    <d v="2023-04-25T00:00:00"/>
    <n v="538"/>
    <b v="0"/>
    <n v="732"/>
    <s v="RTX 2060"/>
    <x v="2"/>
    <x v="1"/>
  </r>
  <r>
    <n v="1324130"/>
    <s v="Juufuutei Raden's Guide for Pixel Museum"/>
    <d v="2023-04-25T00:00:00"/>
    <n v="538"/>
    <b v="0"/>
    <n v="732"/>
    <s v="RTX 2060"/>
    <x v="3"/>
    <x v="0"/>
  </r>
  <r>
    <n v="1324130"/>
    <s v="Juufuutei Raden's Guide for Pixel Museum"/>
    <d v="2023-04-25T00:00:00"/>
    <n v="538"/>
    <b v="0"/>
    <n v="732"/>
    <s v="RTX 2060"/>
    <x v="4"/>
    <x v="1"/>
  </r>
  <r>
    <n v="1324130"/>
    <s v="Juufuutei Raden's Guide for Pixel Museum"/>
    <d v="2023-04-25T00:00:00"/>
    <n v="538"/>
    <b v="0"/>
    <n v="732"/>
    <s v="RTX 2060"/>
    <x v="5"/>
    <x v="0"/>
  </r>
  <r>
    <n v="1324130"/>
    <s v="Juufuutei Raden's Guide for Pixel Museum"/>
    <d v="2023-04-25T00:00:00"/>
    <n v="538"/>
    <b v="0"/>
    <n v="732"/>
    <s v="RTX 2060"/>
    <x v="6"/>
    <x v="1"/>
  </r>
  <r>
    <n v="3204020"/>
    <s v="Across the Obelisk"/>
    <d v="2025-06-04T00:00:00"/>
    <n v="538"/>
    <b v="0"/>
    <n v="732"/>
    <s v="GTX 750"/>
    <x v="0"/>
    <x v="1"/>
  </r>
  <r>
    <n v="3204020"/>
    <s v="Across the Obelisk"/>
    <d v="2025-06-04T00:00:00"/>
    <n v="538"/>
    <b v="0"/>
    <n v="732"/>
    <s v="GTX 750"/>
    <x v="1"/>
    <x v="0"/>
  </r>
  <r>
    <n v="3204020"/>
    <s v="Across the Obelisk"/>
    <d v="2025-06-04T00:00:00"/>
    <n v="538"/>
    <b v="0"/>
    <n v="732"/>
    <s v="GTX 750"/>
    <x v="2"/>
    <x v="1"/>
  </r>
  <r>
    <n v="3204020"/>
    <s v="Across the Obelisk"/>
    <d v="2025-06-04T00:00:00"/>
    <n v="538"/>
    <b v="0"/>
    <n v="732"/>
    <s v="GTX 750"/>
    <x v="3"/>
    <x v="1"/>
  </r>
  <r>
    <n v="3204020"/>
    <s v="Across the Obelisk"/>
    <d v="2025-06-04T00:00:00"/>
    <n v="538"/>
    <b v="0"/>
    <n v="732"/>
    <s v="GTX 750"/>
    <x v="4"/>
    <x v="1"/>
  </r>
  <r>
    <n v="3204020"/>
    <s v="Across the Obelisk"/>
    <d v="2025-06-04T00:00:00"/>
    <n v="538"/>
    <b v="0"/>
    <n v="732"/>
    <s v="GTX 750"/>
    <x v="5"/>
    <x v="1"/>
  </r>
  <r>
    <n v="3204020"/>
    <s v="Across the Obelisk"/>
    <d v="2025-06-04T00:00:00"/>
    <n v="538"/>
    <b v="0"/>
    <n v="732"/>
    <s v="GTX 750"/>
    <x v="6"/>
    <x v="1"/>
  </r>
  <r>
    <n v="1385380"/>
    <s v="Tempest Rising"/>
    <d v="2022-08-16T00:00:00"/>
    <n v="531"/>
    <b v="1"/>
    <n v="735"/>
    <s v="RTX 3060 Ti"/>
    <x v="0"/>
    <x v="1"/>
  </r>
  <r>
    <n v="1385380"/>
    <s v="Tempest Rising"/>
    <d v="2022-08-16T00:00:00"/>
    <n v="531"/>
    <b v="1"/>
    <n v="735"/>
    <s v="RTX 3060 Ti"/>
    <x v="1"/>
    <x v="0"/>
  </r>
  <r>
    <n v="1385380"/>
    <s v="Tempest Rising"/>
    <d v="2022-08-16T00:00:00"/>
    <n v="531"/>
    <b v="1"/>
    <n v="735"/>
    <s v="RTX 3060 Ti"/>
    <x v="2"/>
    <x v="0"/>
  </r>
  <r>
    <n v="1385380"/>
    <s v="Tempest Rising"/>
    <d v="2022-08-16T00:00:00"/>
    <n v="531"/>
    <b v="1"/>
    <n v="735"/>
    <s v="RTX 3060 Ti"/>
    <x v="3"/>
    <x v="1"/>
  </r>
  <r>
    <n v="1385380"/>
    <s v="Tempest Rising"/>
    <d v="2022-08-16T00:00:00"/>
    <n v="531"/>
    <b v="1"/>
    <n v="735"/>
    <s v="RTX 3060 Ti"/>
    <x v="4"/>
    <x v="0"/>
  </r>
  <r>
    <n v="1385380"/>
    <s v="Tempest Rising"/>
    <d v="2022-08-16T00:00:00"/>
    <n v="531"/>
    <b v="1"/>
    <n v="735"/>
    <s v="RTX 3060 Ti"/>
    <x v="5"/>
    <x v="0"/>
  </r>
  <r>
    <n v="1385380"/>
    <s v="Tempest Rising"/>
    <d v="2022-08-16T00:00:00"/>
    <n v="531"/>
    <b v="1"/>
    <n v="735"/>
    <s v="RTX 3060 Ti"/>
    <x v="6"/>
    <x v="1"/>
  </r>
  <r>
    <n v="1486920"/>
    <s v="Call of Duty: Black Ops"/>
    <d v="2025-04-24T00:00:00"/>
    <n v="528"/>
    <b v="0"/>
    <n v="736"/>
    <s v="RTX 3060 Ti"/>
    <x v="0"/>
    <x v="0"/>
  </r>
  <r>
    <n v="1486920"/>
    <s v="Call of Duty: Black Ops"/>
    <d v="2025-04-24T00:00:00"/>
    <n v="528"/>
    <b v="0"/>
    <n v="736"/>
    <s v="RTX 3060 Ti"/>
    <x v="1"/>
    <x v="1"/>
  </r>
  <r>
    <n v="1486920"/>
    <s v="Call of Duty: Black Ops"/>
    <d v="2025-04-24T00:00:00"/>
    <n v="528"/>
    <b v="0"/>
    <n v="736"/>
    <s v="RTX 3060 Ti"/>
    <x v="2"/>
    <x v="1"/>
  </r>
  <r>
    <n v="1486920"/>
    <s v="Call of Duty: Black Ops"/>
    <d v="2025-04-24T00:00:00"/>
    <n v="528"/>
    <b v="0"/>
    <n v="736"/>
    <s v="RTX 3060 Ti"/>
    <x v="3"/>
    <x v="1"/>
  </r>
  <r>
    <n v="1486920"/>
    <s v="Call of Duty: Black Ops"/>
    <d v="2025-04-24T00:00:00"/>
    <n v="528"/>
    <b v="0"/>
    <n v="736"/>
    <s v="RTX 3060 Ti"/>
    <x v="4"/>
    <x v="1"/>
  </r>
  <r>
    <n v="1486920"/>
    <s v="Call of Duty: Black Ops"/>
    <d v="2025-04-24T00:00:00"/>
    <n v="528"/>
    <b v="0"/>
    <n v="736"/>
    <s v="RTX 3060 Ti"/>
    <x v="5"/>
    <x v="0"/>
  </r>
  <r>
    <n v="1486920"/>
    <s v="Call of Duty: Black Ops"/>
    <d v="2025-04-24T00:00:00"/>
    <n v="528"/>
    <b v="0"/>
    <n v="736"/>
    <s v="RTX 3060 Ti"/>
    <x v="6"/>
    <x v="1"/>
  </r>
  <r>
    <n v="42700"/>
    <s v="Cyber Knights: Flashpoint"/>
    <d v="2010-11-09T00:00:00"/>
    <n v="527"/>
    <b v="0"/>
    <n v="737"/>
    <s v="Radeon Graphics"/>
    <x v="0"/>
    <x v="0"/>
  </r>
  <r>
    <n v="42700"/>
    <s v="Cyber Knights: Flashpoint"/>
    <d v="2010-11-09T00:00:00"/>
    <n v="527"/>
    <b v="0"/>
    <n v="737"/>
    <s v="Radeon Graphics"/>
    <x v="1"/>
    <x v="1"/>
  </r>
  <r>
    <n v="42700"/>
    <s v="Cyber Knights: Flashpoint"/>
    <d v="2010-11-09T00:00:00"/>
    <n v="527"/>
    <b v="0"/>
    <n v="737"/>
    <s v="Radeon Graphics"/>
    <x v="2"/>
    <x v="1"/>
  </r>
  <r>
    <n v="42700"/>
    <s v="Cyber Knights: Flashpoint"/>
    <d v="2010-11-09T00:00:00"/>
    <n v="527"/>
    <b v="0"/>
    <n v="737"/>
    <s v="Radeon Graphics"/>
    <x v="3"/>
    <x v="1"/>
  </r>
  <r>
    <n v="42700"/>
    <s v="Cyber Knights: Flashpoint"/>
    <d v="2010-11-09T00:00:00"/>
    <n v="527"/>
    <b v="0"/>
    <n v="737"/>
    <s v="Radeon Graphics"/>
    <x v="4"/>
    <x v="1"/>
  </r>
  <r>
    <n v="42700"/>
    <s v="Cyber Knights: Flashpoint"/>
    <d v="2010-11-09T00:00:00"/>
    <n v="527"/>
    <b v="0"/>
    <n v="737"/>
    <s v="Radeon Graphics"/>
    <x v="5"/>
    <x v="1"/>
  </r>
  <r>
    <n v="42700"/>
    <s v="Cyber Knights: Flashpoint"/>
    <d v="2010-11-09T00:00:00"/>
    <n v="527"/>
    <b v="0"/>
    <n v="737"/>
    <s v="Radeon Graphics"/>
    <x v="6"/>
    <x v="1"/>
  </r>
  <r>
    <n v="1021210"/>
    <s v="DRAGON QUEST III HD-2D Remake"/>
    <d v="2025-06-02T00:00:00"/>
    <n v="527"/>
    <b v="1"/>
    <n v="737"/>
    <s v="GTX 1070"/>
    <x v="0"/>
    <x v="0"/>
  </r>
  <r>
    <n v="1021210"/>
    <s v="DRAGON QUEST III HD-2D Remake"/>
    <d v="2025-06-02T00:00:00"/>
    <n v="527"/>
    <b v="1"/>
    <n v="737"/>
    <s v="GTX 1070"/>
    <x v="1"/>
    <x v="0"/>
  </r>
  <r>
    <n v="1021210"/>
    <s v="DRAGON QUEST III HD-2D Remake"/>
    <d v="2025-06-02T00:00:00"/>
    <n v="527"/>
    <b v="1"/>
    <n v="737"/>
    <s v="GTX 1070"/>
    <x v="2"/>
    <x v="1"/>
  </r>
  <r>
    <n v="1021210"/>
    <s v="DRAGON QUEST III HD-2D Remake"/>
    <d v="2025-06-02T00:00:00"/>
    <n v="527"/>
    <b v="1"/>
    <n v="737"/>
    <s v="GTX 1070"/>
    <x v="3"/>
    <x v="1"/>
  </r>
  <r>
    <n v="1021210"/>
    <s v="DRAGON QUEST III HD-2D Remake"/>
    <d v="2025-06-02T00:00:00"/>
    <n v="527"/>
    <b v="1"/>
    <n v="737"/>
    <s v="GTX 1070"/>
    <x v="4"/>
    <x v="0"/>
  </r>
  <r>
    <n v="1021210"/>
    <s v="DRAGON QUEST III HD-2D Remake"/>
    <d v="2025-06-02T00:00:00"/>
    <n v="527"/>
    <b v="1"/>
    <n v="737"/>
    <s v="GTX 1070"/>
    <x v="5"/>
    <x v="0"/>
  </r>
  <r>
    <n v="1021210"/>
    <s v="DRAGON QUEST III HD-2D Remake"/>
    <d v="2025-06-02T00:00:00"/>
    <n v="527"/>
    <b v="1"/>
    <n v="737"/>
    <s v="GTX 1070"/>
    <x v="6"/>
    <x v="1"/>
  </r>
  <r>
    <n v="2701660"/>
    <s v="Frostpunk 2"/>
    <d v="2024-11-14T00:00:00"/>
    <n v="526"/>
    <b v="0"/>
    <n v="739"/>
    <s v="GTX 1060"/>
    <x v="0"/>
    <x v="1"/>
  </r>
  <r>
    <n v="2701660"/>
    <s v="Frostpunk 2"/>
    <d v="2024-11-14T00:00:00"/>
    <n v="526"/>
    <b v="0"/>
    <n v="739"/>
    <s v="GTX 1060"/>
    <x v="1"/>
    <x v="1"/>
  </r>
  <r>
    <n v="2701660"/>
    <s v="Frostpunk 2"/>
    <d v="2024-11-14T00:00:00"/>
    <n v="526"/>
    <b v="0"/>
    <n v="739"/>
    <s v="GTX 1060"/>
    <x v="2"/>
    <x v="1"/>
  </r>
  <r>
    <n v="2701660"/>
    <s v="Frostpunk 2"/>
    <d v="2024-11-14T00:00:00"/>
    <n v="526"/>
    <b v="0"/>
    <n v="739"/>
    <s v="GTX 1060"/>
    <x v="3"/>
    <x v="1"/>
  </r>
  <r>
    <n v="2701660"/>
    <s v="Frostpunk 2"/>
    <d v="2024-11-14T00:00:00"/>
    <n v="526"/>
    <b v="0"/>
    <n v="739"/>
    <s v="GTX 1060"/>
    <x v="4"/>
    <x v="0"/>
  </r>
  <r>
    <n v="2701660"/>
    <s v="Frostpunk 2"/>
    <d v="2024-11-14T00:00:00"/>
    <n v="526"/>
    <b v="0"/>
    <n v="739"/>
    <s v="GTX 1060"/>
    <x v="5"/>
    <x v="1"/>
  </r>
  <r>
    <n v="2701660"/>
    <s v="Frostpunk 2"/>
    <d v="2024-11-14T00:00:00"/>
    <n v="526"/>
    <b v="0"/>
    <n v="739"/>
    <s v="GTX 1060"/>
    <x v="6"/>
    <x v="1"/>
  </r>
  <r>
    <n v="1601580"/>
    <s v="Idle Wizard"/>
    <d v="2024-09-20T00:00:00"/>
    <n v="525"/>
    <b v="1"/>
    <n v="740"/>
    <s v="RX 5700"/>
    <x v="0"/>
    <x v="1"/>
  </r>
  <r>
    <n v="1601580"/>
    <s v="Idle Wizard"/>
    <d v="2024-09-20T00:00:00"/>
    <n v="525"/>
    <b v="1"/>
    <n v="740"/>
    <s v="RX 5700"/>
    <x v="1"/>
    <x v="1"/>
  </r>
  <r>
    <n v="1601580"/>
    <s v="Idle Wizard"/>
    <d v="2024-09-20T00:00:00"/>
    <n v="525"/>
    <b v="1"/>
    <n v="740"/>
    <s v="RX 5700"/>
    <x v="2"/>
    <x v="1"/>
  </r>
  <r>
    <n v="1601580"/>
    <s v="Idle Wizard"/>
    <d v="2024-09-20T00:00:00"/>
    <n v="525"/>
    <b v="1"/>
    <n v="740"/>
    <s v="RX 5700"/>
    <x v="3"/>
    <x v="0"/>
  </r>
  <r>
    <n v="1601580"/>
    <s v="Idle Wizard"/>
    <d v="2024-09-20T00:00:00"/>
    <n v="525"/>
    <b v="1"/>
    <n v="740"/>
    <s v="RX 5700"/>
    <x v="4"/>
    <x v="1"/>
  </r>
  <r>
    <n v="1601580"/>
    <s v="Idle Wizard"/>
    <d v="2024-09-20T00:00:00"/>
    <n v="525"/>
    <b v="1"/>
    <n v="740"/>
    <s v="RX 5700"/>
    <x v="5"/>
    <x v="0"/>
  </r>
  <r>
    <n v="1601580"/>
    <s v="Idle Wizard"/>
    <d v="2024-09-20T00:00:00"/>
    <n v="525"/>
    <b v="1"/>
    <n v="740"/>
    <s v="RX 5700"/>
    <x v="6"/>
    <x v="1"/>
  </r>
  <r>
    <n v="992070"/>
    <s v="Slime Rancher 2"/>
    <d v="2019-01-24T00:00:00"/>
    <n v="524"/>
    <b v="1"/>
    <n v="741"/>
    <s v="Radeon Vega 8"/>
    <x v="0"/>
    <x v="1"/>
  </r>
  <r>
    <n v="992070"/>
    <s v="Slime Rancher 2"/>
    <d v="2019-01-24T00:00:00"/>
    <n v="524"/>
    <b v="1"/>
    <n v="741"/>
    <s v="Radeon Vega 8"/>
    <x v="1"/>
    <x v="0"/>
  </r>
  <r>
    <n v="992070"/>
    <s v="Slime Rancher 2"/>
    <d v="2019-01-24T00:00:00"/>
    <n v="524"/>
    <b v="1"/>
    <n v="741"/>
    <s v="Radeon Vega 8"/>
    <x v="2"/>
    <x v="1"/>
  </r>
  <r>
    <n v="992070"/>
    <s v="Slime Rancher 2"/>
    <d v="2019-01-24T00:00:00"/>
    <n v="524"/>
    <b v="1"/>
    <n v="741"/>
    <s v="Radeon Vega 8"/>
    <x v="3"/>
    <x v="1"/>
  </r>
  <r>
    <n v="992070"/>
    <s v="Slime Rancher 2"/>
    <d v="2019-01-24T00:00:00"/>
    <n v="524"/>
    <b v="1"/>
    <n v="741"/>
    <s v="Radeon Vega 8"/>
    <x v="4"/>
    <x v="1"/>
  </r>
  <r>
    <n v="992070"/>
    <s v="Slime Rancher 2"/>
    <d v="2019-01-24T00:00:00"/>
    <n v="524"/>
    <b v="1"/>
    <n v="741"/>
    <s v="Radeon Vega 8"/>
    <x v="5"/>
    <x v="1"/>
  </r>
  <r>
    <n v="992070"/>
    <s v="Slime Rancher 2"/>
    <d v="2019-01-24T00:00:00"/>
    <n v="524"/>
    <b v="1"/>
    <n v="741"/>
    <s v="Radeon Vega 8"/>
    <x v="6"/>
    <x v="0"/>
  </r>
  <r>
    <n v="1657630"/>
    <s v="Sleeping Dogs: Definitive Edition"/>
    <d v="2025-09-23T00:00:00"/>
    <n v="524"/>
    <b v="0"/>
    <n v="741"/>
    <s v="RTX 2070"/>
    <x v="0"/>
    <x v="0"/>
  </r>
  <r>
    <n v="1657630"/>
    <s v="Sleeping Dogs: Definitive Edition"/>
    <d v="2025-09-23T00:00:00"/>
    <n v="524"/>
    <b v="0"/>
    <n v="741"/>
    <s v="RTX 2070"/>
    <x v="1"/>
    <x v="0"/>
  </r>
  <r>
    <n v="1657630"/>
    <s v="Sleeping Dogs: Definitive Edition"/>
    <d v="2025-09-23T00:00:00"/>
    <n v="524"/>
    <b v="0"/>
    <n v="741"/>
    <s v="RTX 2070"/>
    <x v="2"/>
    <x v="0"/>
  </r>
  <r>
    <n v="1657630"/>
    <s v="Sleeping Dogs: Definitive Edition"/>
    <d v="2025-09-23T00:00:00"/>
    <n v="524"/>
    <b v="0"/>
    <n v="741"/>
    <s v="RTX 2070"/>
    <x v="3"/>
    <x v="0"/>
  </r>
  <r>
    <n v="1657630"/>
    <s v="Sleeping Dogs: Definitive Edition"/>
    <d v="2025-09-23T00:00:00"/>
    <n v="524"/>
    <b v="0"/>
    <n v="741"/>
    <s v="RTX 2070"/>
    <x v="4"/>
    <x v="1"/>
  </r>
  <r>
    <n v="1657630"/>
    <s v="Sleeping Dogs: Definitive Edition"/>
    <d v="2025-09-23T00:00:00"/>
    <n v="524"/>
    <b v="0"/>
    <n v="741"/>
    <s v="RTX 2070"/>
    <x v="5"/>
    <x v="1"/>
  </r>
  <r>
    <n v="1657630"/>
    <s v="Sleeping Dogs: Definitive Edition"/>
    <d v="2025-09-23T00:00:00"/>
    <n v="524"/>
    <b v="0"/>
    <n v="741"/>
    <s v="RTX 2070"/>
    <x v="6"/>
    <x v="1"/>
  </r>
  <r>
    <n v="307690"/>
    <s v="Rise of Nations: Extended Edition"/>
    <d v="2014-10-08T00:00:00"/>
    <n v="524"/>
    <b v="1"/>
    <n v="741"/>
    <s v="GTX 980 Ti"/>
    <x v="0"/>
    <x v="0"/>
  </r>
  <r>
    <n v="307690"/>
    <s v="Rise of Nations: Extended Edition"/>
    <d v="2014-10-08T00:00:00"/>
    <n v="524"/>
    <b v="1"/>
    <n v="741"/>
    <s v="GTX 980 Ti"/>
    <x v="1"/>
    <x v="1"/>
  </r>
  <r>
    <n v="307690"/>
    <s v="Rise of Nations: Extended Edition"/>
    <d v="2014-10-08T00:00:00"/>
    <n v="524"/>
    <b v="1"/>
    <n v="741"/>
    <s v="GTX 980 Ti"/>
    <x v="2"/>
    <x v="0"/>
  </r>
  <r>
    <n v="307690"/>
    <s v="Rise of Nations: Extended Edition"/>
    <d v="2014-10-08T00:00:00"/>
    <n v="524"/>
    <b v="1"/>
    <n v="741"/>
    <s v="GTX 980 Ti"/>
    <x v="3"/>
    <x v="1"/>
  </r>
  <r>
    <n v="307690"/>
    <s v="Rise of Nations: Extended Edition"/>
    <d v="2014-10-08T00:00:00"/>
    <n v="524"/>
    <b v="1"/>
    <n v="741"/>
    <s v="GTX 980 Ti"/>
    <x v="4"/>
    <x v="1"/>
  </r>
  <r>
    <n v="307690"/>
    <s v="Rise of Nations: Extended Edition"/>
    <d v="2014-10-08T00:00:00"/>
    <n v="524"/>
    <b v="1"/>
    <n v="741"/>
    <s v="GTX 980 Ti"/>
    <x v="5"/>
    <x v="1"/>
  </r>
  <r>
    <n v="307690"/>
    <s v="Rise of Nations: Extended Edition"/>
    <d v="2014-10-08T00:00:00"/>
    <n v="524"/>
    <b v="1"/>
    <n v="741"/>
    <s v="GTX 980 Ti"/>
    <x v="6"/>
    <x v="1"/>
  </r>
  <r>
    <n v="287450"/>
    <s v="Ultimate Admiral: Dreadnoughts"/>
    <d v="2014-06-12T00:00:00"/>
    <n v="522"/>
    <b v="0"/>
    <n v="744"/>
    <s v="GTX 980"/>
    <x v="0"/>
    <x v="1"/>
  </r>
  <r>
    <n v="287450"/>
    <s v="Ultimate Admiral: Dreadnoughts"/>
    <d v="2014-06-12T00:00:00"/>
    <n v="522"/>
    <b v="0"/>
    <n v="744"/>
    <s v="GTX 980"/>
    <x v="1"/>
    <x v="1"/>
  </r>
  <r>
    <n v="287450"/>
    <s v="Ultimate Admiral: Dreadnoughts"/>
    <d v="2014-06-12T00:00:00"/>
    <n v="522"/>
    <b v="0"/>
    <n v="744"/>
    <s v="GTX 980"/>
    <x v="2"/>
    <x v="1"/>
  </r>
  <r>
    <n v="287450"/>
    <s v="Ultimate Admiral: Dreadnoughts"/>
    <d v="2014-06-12T00:00:00"/>
    <n v="522"/>
    <b v="0"/>
    <n v="744"/>
    <s v="GTX 980"/>
    <x v="3"/>
    <x v="0"/>
  </r>
  <r>
    <n v="287450"/>
    <s v="Ultimate Admiral: Dreadnoughts"/>
    <d v="2014-06-12T00:00:00"/>
    <n v="522"/>
    <b v="0"/>
    <n v="744"/>
    <s v="GTX 980"/>
    <x v="4"/>
    <x v="1"/>
  </r>
  <r>
    <n v="287450"/>
    <s v="Ultimate Admiral: Dreadnoughts"/>
    <d v="2014-06-12T00:00:00"/>
    <n v="522"/>
    <b v="0"/>
    <n v="744"/>
    <s v="GTX 980"/>
    <x v="5"/>
    <x v="0"/>
  </r>
  <r>
    <n v="287450"/>
    <s v="Ultimate Admiral: Dreadnoughts"/>
    <d v="2014-06-12T00:00:00"/>
    <n v="522"/>
    <b v="0"/>
    <n v="744"/>
    <s v="GTX 980"/>
    <x v="6"/>
    <x v="1"/>
  </r>
  <r>
    <n v="1069660"/>
    <s v="Two Point Hospital"/>
    <d v="2023-01-25T00:00:00"/>
    <n v="521"/>
    <b v="0"/>
    <n v="745"/>
    <s v="RX 580"/>
    <x v="0"/>
    <x v="1"/>
  </r>
  <r>
    <n v="1069660"/>
    <s v="Two Point Hospital"/>
    <d v="2023-01-25T00:00:00"/>
    <n v="521"/>
    <b v="0"/>
    <n v="745"/>
    <s v="RX 580"/>
    <x v="1"/>
    <x v="0"/>
  </r>
  <r>
    <n v="1069660"/>
    <s v="Two Point Hospital"/>
    <d v="2023-01-25T00:00:00"/>
    <n v="521"/>
    <b v="0"/>
    <n v="745"/>
    <s v="RX 580"/>
    <x v="2"/>
    <x v="1"/>
  </r>
  <r>
    <n v="1069660"/>
    <s v="Two Point Hospital"/>
    <d v="2023-01-25T00:00:00"/>
    <n v="521"/>
    <b v="0"/>
    <n v="745"/>
    <s v="RX 580"/>
    <x v="3"/>
    <x v="0"/>
  </r>
  <r>
    <n v="1069660"/>
    <s v="Two Point Hospital"/>
    <d v="2023-01-25T00:00:00"/>
    <n v="521"/>
    <b v="0"/>
    <n v="745"/>
    <s v="RX 580"/>
    <x v="4"/>
    <x v="0"/>
  </r>
  <r>
    <n v="1069660"/>
    <s v="Two Point Hospital"/>
    <d v="2023-01-25T00:00:00"/>
    <n v="521"/>
    <b v="0"/>
    <n v="745"/>
    <s v="RX 580"/>
    <x v="5"/>
    <x v="0"/>
  </r>
  <r>
    <n v="1069660"/>
    <s v="Two Point Hospital"/>
    <d v="2023-01-25T00:00:00"/>
    <n v="521"/>
    <b v="0"/>
    <n v="745"/>
    <s v="RX 580"/>
    <x v="6"/>
    <x v="1"/>
  </r>
  <r>
    <n v="535930"/>
    <s v="DREDGE"/>
    <d v="2018-08-29T00:00:00"/>
    <n v="518"/>
    <b v="1"/>
    <n v="746"/>
    <s v="GTX 1060"/>
    <x v="0"/>
    <x v="1"/>
  </r>
  <r>
    <n v="535930"/>
    <s v="DREDGE"/>
    <d v="2018-08-29T00:00:00"/>
    <n v="518"/>
    <b v="1"/>
    <n v="746"/>
    <s v="GTX 1060"/>
    <x v="1"/>
    <x v="0"/>
  </r>
  <r>
    <n v="535930"/>
    <s v="DREDGE"/>
    <d v="2018-08-29T00:00:00"/>
    <n v="518"/>
    <b v="1"/>
    <n v="746"/>
    <s v="GTX 1060"/>
    <x v="2"/>
    <x v="1"/>
  </r>
  <r>
    <n v="535930"/>
    <s v="DREDGE"/>
    <d v="2018-08-29T00:00:00"/>
    <n v="518"/>
    <b v="1"/>
    <n v="746"/>
    <s v="GTX 1060"/>
    <x v="3"/>
    <x v="0"/>
  </r>
  <r>
    <n v="535930"/>
    <s v="DREDGE"/>
    <d v="2018-08-29T00:00:00"/>
    <n v="518"/>
    <b v="1"/>
    <n v="746"/>
    <s v="GTX 1060"/>
    <x v="4"/>
    <x v="1"/>
  </r>
  <r>
    <n v="535930"/>
    <s v="DREDGE"/>
    <d v="2018-08-29T00:00:00"/>
    <n v="518"/>
    <b v="1"/>
    <n v="746"/>
    <s v="GTX 1060"/>
    <x v="5"/>
    <x v="1"/>
  </r>
  <r>
    <n v="535930"/>
    <s v="DREDGE"/>
    <d v="2018-08-29T00:00:00"/>
    <n v="518"/>
    <b v="1"/>
    <n v="746"/>
    <s v="GTX 1060"/>
    <x v="6"/>
    <x v="1"/>
  </r>
  <r>
    <n v="1562430"/>
    <s v="ｪ Warm Snow"/>
    <d v="2023-03-30T00:00:00"/>
    <n v="517"/>
    <b v="1"/>
    <n v="747"/>
    <s v="Radeon Vega 8"/>
    <x v="0"/>
    <x v="1"/>
  </r>
  <r>
    <n v="1562430"/>
    <s v="ｪ Warm Snow"/>
    <d v="2023-03-30T00:00:00"/>
    <n v="517"/>
    <b v="1"/>
    <n v="747"/>
    <s v="Radeon Vega 8"/>
    <x v="1"/>
    <x v="1"/>
  </r>
  <r>
    <n v="1562430"/>
    <s v="ｪ Warm Snow"/>
    <d v="2023-03-30T00:00:00"/>
    <n v="517"/>
    <b v="1"/>
    <n v="747"/>
    <s v="Radeon Vega 8"/>
    <x v="2"/>
    <x v="0"/>
  </r>
  <r>
    <n v="1562430"/>
    <s v="ｪ Warm Snow"/>
    <d v="2023-03-30T00:00:00"/>
    <n v="517"/>
    <b v="1"/>
    <n v="747"/>
    <s v="Radeon Vega 8"/>
    <x v="3"/>
    <x v="1"/>
  </r>
  <r>
    <n v="1562430"/>
    <s v="ｪ Warm Snow"/>
    <d v="2023-03-30T00:00:00"/>
    <n v="517"/>
    <b v="1"/>
    <n v="747"/>
    <s v="Radeon Vega 8"/>
    <x v="4"/>
    <x v="0"/>
  </r>
  <r>
    <n v="1562430"/>
    <s v="ｪ Warm Snow"/>
    <d v="2023-03-30T00:00:00"/>
    <n v="517"/>
    <b v="1"/>
    <n v="747"/>
    <s v="Radeon Vega 8"/>
    <x v="5"/>
    <x v="1"/>
  </r>
  <r>
    <n v="1562430"/>
    <s v="ｪ Warm Snow"/>
    <d v="2023-03-30T00:00:00"/>
    <n v="517"/>
    <b v="1"/>
    <n v="747"/>
    <s v="Radeon Vega 8"/>
    <x v="6"/>
    <x v="1"/>
  </r>
  <r>
    <n v="1296830"/>
    <s v="Resident Evil 6"/>
    <d v="2022-01-18T00:00:00"/>
    <n v="516"/>
    <b v="0"/>
    <n v="748"/>
    <s v="GTX 1050"/>
    <x v="0"/>
    <x v="0"/>
  </r>
  <r>
    <n v="1296830"/>
    <s v="Resident Evil 6"/>
    <d v="2022-01-18T00:00:00"/>
    <n v="516"/>
    <b v="0"/>
    <n v="748"/>
    <s v="GTX 1050"/>
    <x v="1"/>
    <x v="0"/>
  </r>
  <r>
    <n v="1296830"/>
    <s v="Resident Evil 6"/>
    <d v="2022-01-18T00:00:00"/>
    <n v="516"/>
    <b v="0"/>
    <n v="748"/>
    <s v="GTX 1050"/>
    <x v="2"/>
    <x v="0"/>
  </r>
  <r>
    <n v="1296830"/>
    <s v="Resident Evil 6"/>
    <d v="2022-01-18T00:00:00"/>
    <n v="516"/>
    <b v="0"/>
    <n v="748"/>
    <s v="GTX 1050"/>
    <x v="3"/>
    <x v="1"/>
  </r>
  <r>
    <n v="1296830"/>
    <s v="Resident Evil 6"/>
    <d v="2022-01-18T00:00:00"/>
    <n v="516"/>
    <b v="0"/>
    <n v="748"/>
    <s v="GTX 1050"/>
    <x v="4"/>
    <x v="0"/>
  </r>
  <r>
    <n v="1296830"/>
    <s v="Resident Evil 6"/>
    <d v="2022-01-18T00:00:00"/>
    <n v="516"/>
    <b v="0"/>
    <n v="748"/>
    <s v="GTX 1050"/>
    <x v="5"/>
    <x v="1"/>
  </r>
  <r>
    <n v="1296830"/>
    <s v="Resident Evil 6"/>
    <d v="2022-01-18T00:00:00"/>
    <n v="516"/>
    <b v="0"/>
    <n v="748"/>
    <s v="GTX 1050"/>
    <x v="6"/>
    <x v="1"/>
  </r>
  <r>
    <n v="221040"/>
    <s v="Void Crew"/>
    <d v="2013-03-21T00:00:00"/>
    <n v="515"/>
    <b v="0"/>
    <n v="749"/>
    <s v="Radeon Graphics"/>
    <x v="0"/>
    <x v="0"/>
  </r>
  <r>
    <n v="221040"/>
    <s v="Void Crew"/>
    <d v="2013-03-21T00:00:00"/>
    <n v="515"/>
    <b v="0"/>
    <n v="749"/>
    <s v="Radeon Graphics"/>
    <x v="1"/>
    <x v="1"/>
  </r>
  <r>
    <n v="221040"/>
    <s v="Void Crew"/>
    <d v="2013-03-21T00:00:00"/>
    <n v="515"/>
    <b v="0"/>
    <n v="749"/>
    <s v="Radeon Graphics"/>
    <x v="2"/>
    <x v="0"/>
  </r>
  <r>
    <n v="221040"/>
    <s v="Void Crew"/>
    <d v="2013-03-21T00:00:00"/>
    <n v="515"/>
    <b v="0"/>
    <n v="749"/>
    <s v="Radeon Graphics"/>
    <x v="3"/>
    <x v="1"/>
  </r>
  <r>
    <n v="221040"/>
    <s v="Void Crew"/>
    <d v="2013-03-21T00:00:00"/>
    <n v="515"/>
    <b v="0"/>
    <n v="749"/>
    <s v="Radeon Graphics"/>
    <x v="4"/>
    <x v="1"/>
  </r>
  <r>
    <n v="221040"/>
    <s v="Void Crew"/>
    <d v="2013-03-21T00:00:00"/>
    <n v="515"/>
    <b v="0"/>
    <n v="749"/>
    <s v="Radeon Graphics"/>
    <x v="5"/>
    <x v="1"/>
  </r>
  <r>
    <n v="221040"/>
    <s v="Void Crew"/>
    <d v="2013-03-21T00:00:00"/>
    <n v="515"/>
    <b v="0"/>
    <n v="749"/>
    <s v="Radeon Graphics"/>
    <x v="6"/>
    <x v="1"/>
  </r>
  <r>
    <n v="1063420"/>
    <s v="SILENT HILL 2"/>
    <d v="2024-11-25T00:00:00"/>
    <n v="514"/>
    <b v="0"/>
    <n v="750"/>
    <s v="RX 5700"/>
    <x v="0"/>
    <x v="0"/>
  </r>
  <r>
    <n v="1063420"/>
    <s v="SILENT HILL 2"/>
    <d v="2024-11-25T00:00:00"/>
    <n v="514"/>
    <b v="0"/>
    <n v="750"/>
    <s v="RX 5700"/>
    <x v="1"/>
    <x v="1"/>
  </r>
  <r>
    <n v="1063420"/>
    <s v="SILENT HILL 2"/>
    <d v="2024-11-25T00:00:00"/>
    <n v="514"/>
    <b v="0"/>
    <n v="750"/>
    <s v="RX 5700"/>
    <x v="2"/>
    <x v="0"/>
  </r>
  <r>
    <n v="1063420"/>
    <s v="SILENT HILL 2"/>
    <d v="2024-11-25T00:00:00"/>
    <n v="514"/>
    <b v="0"/>
    <n v="750"/>
    <s v="RX 5700"/>
    <x v="3"/>
    <x v="1"/>
  </r>
  <r>
    <n v="1063420"/>
    <s v="SILENT HILL 2"/>
    <d v="2024-11-25T00:00:00"/>
    <n v="514"/>
    <b v="0"/>
    <n v="750"/>
    <s v="RX 5700"/>
    <x v="4"/>
    <x v="1"/>
  </r>
  <r>
    <n v="1063420"/>
    <s v="SILENT HILL 2"/>
    <d v="2024-11-25T00:00:00"/>
    <n v="514"/>
    <b v="0"/>
    <n v="750"/>
    <s v="RX 5700"/>
    <x v="5"/>
    <x v="1"/>
  </r>
  <r>
    <n v="1063420"/>
    <s v="SILENT HILL 2"/>
    <d v="2024-11-25T00:00:00"/>
    <n v="514"/>
    <b v="0"/>
    <n v="750"/>
    <s v="RX 5700"/>
    <x v="6"/>
    <x v="1"/>
  </r>
  <r>
    <n v="2124490"/>
    <s v="RealFlight Evolution"/>
    <d v="2024-10-07T00:00:00"/>
    <n v="514"/>
    <b v="0"/>
    <n v="750"/>
    <s v="GTX 1070 Ti"/>
    <x v="0"/>
    <x v="0"/>
  </r>
  <r>
    <n v="2124490"/>
    <s v="RealFlight Evolution"/>
    <d v="2024-10-07T00:00:00"/>
    <n v="514"/>
    <b v="0"/>
    <n v="750"/>
    <s v="GTX 1070 Ti"/>
    <x v="1"/>
    <x v="1"/>
  </r>
  <r>
    <n v="2124490"/>
    <s v="RealFlight Evolution"/>
    <d v="2024-10-07T00:00:00"/>
    <n v="514"/>
    <b v="0"/>
    <n v="750"/>
    <s v="GTX 1070 Ti"/>
    <x v="2"/>
    <x v="0"/>
  </r>
  <r>
    <n v="2124490"/>
    <s v="RealFlight Evolution"/>
    <d v="2024-10-07T00:00:00"/>
    <n v="514"/>
    <b v="0"/>
    <n v="750"/>
    <s v="GTX 1070 Ti"/>
    <x v="3"/>
    <x v="1"/>
  </r>
  <r>
    <n v="2124490"/>
    <s v="RealFlight Evolution"/>
    <d v="2024-10-07T00:00:00"/>
    <n v="514"/>
    <b v="0"/>
    <n v="750"/>
    <s v="GTX 1070 Ti"/>
    <x v="4"/>
    <x v="1"/>
  </r>
  <r>
    <n v="2124490"/>
    <s v="RealFlight Evolution"/>
    <d v="2024-10-07T00:00:00"/>
    <n v="514"/>
    <b v="0"/>
    <n v="750"/>
    <s v="GTX 1070 Ti"/>
    <x v="5"/>
    <x v="1"/>
  </r>
  <r>
    <n v="2124490"/>
    <s v="RealFlight Evolution"/>
    <d v="2024-10-07T00:00:00"/>
    <n v="514"/>
    <b v="0"/>
    <n v="750"/>
    <s v="GTX 1070 Ti"/>
    <x v="6"/>
    <x v="1"/>
  </r>
  <r>
    <n v="2069310"/>
    <s v="Age of History II"/>
    <d v="2022-10-27T00:00:00"/>
    <n v="514"/>
    <b v="0"/>
    <n v="750"/>
    <s v="Radeon Vega 11"/>
    <x v="0"/>
    <x v="1"/>
  </r>
  <r>
    <n v="2069310"/>
    <s v="Age of History II"/>
    <d v="2022-10-27T00:00:00"/>
    <n v="514"/>
    <b v="0"/>
    <n v="750"/>
    <s v="Radeon Vega 11"/>
    <x v="1"/>
    <x v="0"/>
  </r>
  <r>
    <n v="2069310"/>
    <s v="Age of History II"/>
    <d v="2022-10-27T00:00:00"/>
    <n v="514"/>
    <b v="0"/>
    <n v="750"/>
    <s v="Radeon Vega 11"/>
    <x v="2"/>
    <x v="1"/>
  </r>
  <r>
    <n v="2069310"/>
    <s v="Age of History II"/>
    <d v="2022-10-27T00:00:00"/>
    <n v="514"/>
    <b v="0"/>
    <n v="750"/>
    <s v="Radeon Vega 11"/>
    <x v="3"/>
    <x v="0"/>
  </r>
  <r>
    <n v="2069310"/>
    <s v="Age of History II"/>
    <d v="2022-10-27T00:00:00"/>
    <n v="514"/>
    <b v="0"/>
    <n v="750"/>
    <s v="Radeon Vega 11"/>
    <x v="4"/>
    <x v="1"/>
  </r>
  <r>
    <n v="2069310"/>
    <s v="Age of History II"/>
    <d v="2022-10-27T00:00:00"/>
    <n v="514"/>
    <b v="0"/>
    <n v="750"/>
    <s v="Radeon Vega 11"/>
    <x v="5"/>
    <x v="1"/>
  </r>
  <r>
    <n v="2069310"/>
    <s v="Age of History II"/>
    <d v="2022-10-27T00:00:00"/>
    <n v="514"/>
    <b v="0"/>
    <n v="750"/>
    <s v="Radeon Vega 11"/>
    <x v="6"/>
    <x v="1"/>
  </r>
  <r>
    <n v="603850"/>
    <s v="DRAGON BALL FighterZ"/>
    <d v="2018-11-21T00:00:00"/>
    <n v="513"/>
    <b v="0"/>
    <n v="753"/>
    <s v="GTX 750"/>
    <x v="0"/>
    <x v="1"/>
  </r>
  <r>
    <n v="603850"/>
    <s v="DRAGON BALL FighterZ"/>
    <d v="2018-11-21T00:00:00"/>
    <n v="513"/>
    <b v="0"/>
    <n v="753"/>
    <s v="GTX 750"/>
    <x v="1"/>
    <x v="1"/>
  </r>
  <r>
    <n v="603850"/>
    <s v="DRAGON BALL FighterZ"/>
    <d v="2018-11-21T00:00:00"/>
    <n v="513"/>
    <b v="0"/>
    <n v="753"/>
    <s v="GTX 750"/>
    <x v="2"/>
    <x v="1"/>
  </r>
  <r>
    <n v="603850"/>
    <s v="DRAGON BALL FighterZ"/>
    <d v="2018-11-21T00:00:00"/>
    <n v="513"/>
    <b v="0"/>
    <n v="753"/>
    <s v="GTX 750"/>
    <x v="3"/>
    <x v="1"/>
  </r>
  <r>
    <n v="603850"/>
    <s v="DRAGON BALL FighterZ"/>
    <d v="2018-11-21T00:00:00"/>
    <n v="513"/>
    <b v="0"/>
    <n v="753"/>
    <s v="GTX 750"/>
    <x v="4"/>
    <x v="1"/>
  </r>
  <r>
    <n v="603850"/>
    <s v="DRAGON BALL FighterZ"/>
    <d v="2018-11-21T00:00:00"/>
    <n v="513"/>
    <b v="0"/>
    <n v="753"/>
    <s v="GTX 750"/>
    <x v="5"/>
    <x v="0"/>
  </r>
  <r>
    <n v="603850"/>
    <s v="DRAGON BALL FighterZ"/>
    <d v="2018-11-21T00:00:00"/>
    <n v="513"/>
    <b v="0"/>
    <n v="753"/>
    <s v="GTX 750"/>
    <x v="6"/>
    <x v="1"/>
  </r>
  <r>
    <n v="678950"/>
    <s v="GoreBox"/>
    <d v="2018-01-26T00:00:00"/>
    <n v="511"/>
    <b v="0"/>
    <n v="754"/>
    <s v="RX 560"/>
    <x v="0"/>
    <x v="0"/>
  </r>
  <r>
    <n v="678950"/>
    <s v="GoreBox"/>
    <d v="2018-01-26T00:00:00"/>
    <n v="511"/>
    <b v="0"/>
    <n v="754"/>
    <s v="RX 560"/>
    <x v="1"/>
    <x v="1"/>
  </r>
  <r>
    <n v="678950"/>
    <s v="GoreBox"/>
    <d v="2018-01-26T00:00:00"/>
    <n v="511"/>
    <b v="0"/>
    <n v="754"/>
    <s v="RX 560"/>
    <x v="2"/>
    <x v="1"/>
  </r>
  <r>
    <n v="678950"/>
    <s v="GoreBox"/>
    <d v="2018-01-26T00:00:00"/>
    <n v="511"/>
    <b v="0"/>
    <n v="754"/>
    <s v="RX 560"/>
    <x v="3"/>
    <x v="1"/>
  </r>
  <r>
    <n v="678950"/>
    <s v="GoreBox"/>
    <d v="2018-01-26T00:00:00"/>
    <n v="511"/>
    <b v="0"/>
    <n v="754"/>
    <s v="RX 560"/>
    <x v="4"/>
    <x v="1"/>
  </r>
  <r>
    <n v="678950"/>
    <s v="GoreBox"/>
    <d v="2018-01-26T00:00:00"/>
    <n v="511"/>
    <b v="0"/>
    <n v="754"/>
    <s v="RX 560"/>
    <x v="5"/>
    <x v="1"/>
  </r>
  <r>
    <n v="678950"/>
    <s v="GoreBox"/>
    <d v="2018-01-26T00:00:00"/>
    <n v="511"/>
    <b v="0"/>
    <n v="754"/>
    <s v="RX 560"/>
    <x v="6"/>
    <x v="1"/>
  </r>
  <r>
    <n v="2027330"/>
    <s v="Sea of Stars"/>
    <d v="2023-07-21T00:00:00"/>
    <n v="509"/>
    <b v="0"/>
    <n v="755"/>
    <s v="RX 550"/>
    <x v="0"/>
    <x v="0"/>
  </r>
  <r>
    <n v="2027330"/>
    <s v="Sea of Stars"/>
    <d v="2023-07-21T00:00:00"/>
    <n v="509"/>
    <b v="0"/>
    <n v="755"/>
    <s v="RX 550"/>
    <x v="1"/>
    <x v="0"/>
  </r>
  <r>
    <n v="2027330"/>
    <s v="Sea of Stars"/>
    <d v="2023-07-21T00:00:00"/>
    <n v="509"/>
    <b v="0"/>
    <n v="755"/>
    <s v="RX 550"/>
    <x v="2"/>
    <x v="1"/>
  </r>
  <r>
    <n v="2027330"/>
    <s v="Sea of Stars"/>
    <d v="2023-07-21T00:00:00"/>
    <n v="509"/>
    <b v="0"/>
    <n v="755"/>
    <s v="RX 550"/>
    <x v="3"/>
    <x v="0"/>
  </r>
  <r>
    <n v="2027330"/>
    <s v="Sea of Stars"/>
    <d v="2023-07-21T00:00:00"/>
    <n v="509"/>
    <b v="0"/>
    <n v="755"/>
    <s v="RX 550"/>
    <x v="4"/>
    <x v="1"/>
  </r>
  <r>
    <n v="2027330"/>
    <s v="Sea of Stars"/>
    <d v="2023-07-21T00:00:00"/>
    <n v="509"/>
    <b v="0"/>
    <n v="755"/>
    <s v="RX 550"/>
    <x v="5"/>
    <x v="1"/>
  </r>
  <r>
    <n v="2027330"/>
    <s v="Sea of Stars"/>
    <d v="2023-07-21T00:00:00"/>
    <n v="509"/>
    <b v="0"/>
    <n v="755"/>
    <s v="RX 550"/>
    <x v="6"/>
    <x v="1"/>
  </r>
  <r>
    <n v="1244090"/>
    <s v="Necesse"/>
    <d v="2023-08-28T00:00:00"/>
    <n v="509"/>
    <b v="0"/>
    <n v="755"/>
    <s v="Radeon Vega 8"/>
    <x v="0"/>
    <x v="1"/>
  </r>
  <r>
    <n v="1244090"/>
    <s v="Necesse"/>
    <d v="2023-08-28T00:00:00"/>
    <n v="509"/>
    <b v="0"/>
    <n v="755"/>
    <s v="Radeon Vega 8"/>
    <x v="1"/>
    <x v="0"/>
  </r>
  <r>
    <n v="1244090"/>
    <s v="Necesse"/>
    <d v="2023-08-28T00:00:00"/>
    <n v="509"/>
    <b v="0"/>
    <n v="755"/>
    <s v="Radeon Vega 8"/>
    <x v="2"/>
    <x v="0"/>
  </r>
  <r>
    <n v="1244090"/>
    <s v="Necesse"/>
    <d v="2023-08-28T00:00:00"/>
    <n v="509"/>
    <b v="0"/>
    <n v="755"/>
    <s v="Radeon Vega 8"/>
    <x v="3"/>
    <x v="1"/>
  </r>
  <r>
    <n v="1244090"/>
    <s v="Necesse"/>
    <d v="2023-08-28T00:00:00"/>
    <n v="509"/>
    <b v="0"/>
    <n v="755"/>
    <s v="Radeon Vega 8"/>
    <x v="4"/>
    <x v="0"/>
  </r>
  <r>
    <n v="1244090"/>
    <s v="Necesse"/>
    <d v="2023-08-28T00:00:00"/>
    <n v="509"/>
    <b v="0"/>
    <n v="755"/>
    <s v="Radeon Vega 8"/>
    <x v="5"/>
    <x v="1"/>
  </r>
  <r>
    <n v="1244090"/>
    <s v="Necesse"/>
    <d v="2023-08-28T00:00:00"/>
    <n v="509"/>
    <b v="0"/>
    <n v="755"/>
    <s v="Radeon Vega 8"/>
    <x v="6"/>
    <x v="1"/>
  </r>
  <r>
    <n v="1169040"/>
    <s v="War Selection"/>
    <d v="2025-10-16T00:00:00"/>
    <n v="507"/>
    <b v="1"/>
    <n v="757"/>
    <s v="Radeon Vega 8"/>
    <x v="0"/>
    <x v="0"/>
  </r>
  <r>
    <n v="1169040"/>
    <s v="War Selection"/>
    <d v="2025-10-16T00:00:00"/>
    <n v="507"/>
    <b v="1"/>
    <n v="757"/>
    <s v="Radeon Vega 8"/>
    <x v="1"/>
    <x v="0"/>
  </r>
  <r>
    <n v="1169040"/>
    <s v="War Selection"/>
    <d v="2025-10-16T00:00:00"/>
    <n v="507"/>
    <b v="1"/>
    <n v="757"/>
    <s v="Radeon Vega 8"/>
    <x v="2"/>
    <x v="0"/>
  </r>
  <r>
    <n v="1169040"/>
    <s v="War Selection"/>
    <d v="2025-10-16T00:00:00"/>
    <n v="507"/>
    <b v="1"/>
    <n v="757"/>
    <s v="Radeon Vega 8"/>
    <x v="3"/>
    <x v="1"/>
  </r>
  <r>
    <n v="1169040"/>
    <s v="War Selection"/>
    <d v="2025-10-16T00:00:00"/>
    <n v="507"/>
    <b v="1"/>
    <n v="757"/>
    <s v="Radeon Vega 8"/>
    <x v="4"/>
    <x v="0"/>
  </r>
  <r>
    <n v="1169040"/>
    <s v="War Selection"/>
    <d v="2025-10-16T00:00:00"/>
    <n v="507"/>
    <b v="1"/>
    <n v="757"/>
    <s v="Radeon Vega 8"/>
    <x v="5"/>
    <x v="1"/>
  </r>
  <r>
    <n v="1169040"/>
    <s v="War Selection"/>
    <d v="2025-10-16T00:00:00"/>
    <n v="507"/>
    <b v="1"/>
    <n v="757"/>
    <s v="Radeon Vega 8"/>
    <x v="6"/>
    <x v="1"/>
  </r>
  <r>
    <n v="1022450"/>
    <s v="Uncrashed : FPV Drone Simulator"/>
    <d v="2019-10-08T00:00:00"/>
    <n v="507"/>
    <b v="0"/>
    <n v="757"/>
    <s v="GTX 1050 Ti"/>
    <x v="0"/>
    <x v="1"/>
  </r>
  <r>
    <n v="1022450"/>
    <s v="Uncrashed : FPV Drone Simulator"/>
    <d v="2019-10-08T00:00:00"/>
    <n v="507"/>
    <b v="0"/>
    <n v="757"/>
    <s v="GTX 1050 Ti"/>
    <x v="1"/>
    <x v="0"/>
  </r>
  <r>
    <n v="1022450"/>
    <s v="Uncrashed : FPV Drone Simulator"/>
    <d v="2019-10-08T00:00:00"/>
    <n v="507"/>
    <b v="0"/>
    <n v="757"/>
    <s v="GTX 1050 Ti"/>
    <x v="2"/>
    <x v="1"/>
  </r>
  <r>
    <n v="1022450"/>
    <s v="Uncrashed : FPV Drone Simulator"/>
    <d v="2019-10-08T00:00:00"/>
    <n v="507"/>
    <b v="0"/>
    <n v="757"/>
    <s v="GTX 1050 Ti"/>
    <x v="3"/>
    <x v="1"/>
  </r>
  <r>
    <n v="1022450"/>
    <s v="Uncrashed : FPV Drone Simulator"/>
    <d v="2019-10-08T00:00:00"/>
    <n v="507"/>
    <b v="0"/>
    <n v="757"/>
    <s v="GTX 1050 Ti"/>
    <x v="4"/>
    <x v="1"/>
  </r>
  <r>
    <n v="1022450"/>
    <s v="Uncrashed : FPV Drone Simulator"/>
    <d v="2019-10-08T00:00:00"/>
    <n v="507"/>
    <b v="0"/>
    <n v="757"/>
    <s v="GTX 1050 Ti"/>
    <x v="5"/>
    <x v="0"/>
  </r>
  <r>
    <n v="1022450"/>
    <s v="Uncrashed : FPV Drone Simulator"/>
    <d v="2019-10-08T00:00:00"/>
    <n v="507"/>
    <b v="0"/>
    <n v="757"/>
    <s v="GTX 1050 Ti"/>
    <x v="6"/>
    <x v="0"/>
  </r>
  <r>
    <n v="1682970"/>
    <s v="Surviving Mars"/>
    <d v="2021-09-01T00:00:00"/>
    <n v="507"/>
    <b v="1"/>
    <n v="757"/>
    <s v="GTX 1050 Ti"/>
    <x v="0"/>
    <x v="0"/>
  </r>
  <r>
    <n v="1682970"/>
    <s v="Surviving Mars"/>
    <d v="2021-09-01T00:00:00"/>
    <n v="507"/>
    <b v="1"/>
    <n v="757"/>
    <s v="GTX 1050 Ti"/>
    <x v="1"/>
    <x v="0"/>
  </r>
  <r>
    <n v="1682970"/>
    <s v="Surviving Mars"/>
    <d v="2021-09-01T00:00:00"/>
    <n v="507"/>
    <b v="1"/>
    <n v="757"/>
    <s v="GTX 1050 Ti"/>
    <x v="2"/>
    <x v="1"/>
  </r>
  <r>
    <n v="1682970"/>
    <s v="Surviving Mars"/>
    <d v="2021-09-01T00:00:00"/>
    <n v="507"/>
    <b v="1"/>
    <n v="757"/>
    <s v="GTX 1050 Ti"/>
    <x v="3"/>
    <x v="0"/>
  </r>
  <r>
    <n v="1682970"/>
    <s v="Surviving Mars"/>
    <d v="2021-09-01T00:00:00"/>
    <n v="507"/>
    <b v="1"/>
    <n v="757"/>
    <s v="GTX 1050 Ti"/>
    <x v="4"/>
    <x v="1"/>
  </r>
  <r>
    <n v="1682970"/>
    <s v="Surviving Mars"/>
    <d v="2021-09-01T00:00:00"/>
    <n v="507"/>
    <b v="1"/>
    <n v="757"/>
    <s v="GTX 1050 Ti"/>
    <x v="5"/>
    <x v="1"/>
  </r>
  <r>
    <n v="1682970"/>
    <s v="Surviving Mars"/>
    <d v="2021-09-01T00:00:00"/>
    <n v="507"/>
    <b v="1"/>
    <n v="757"/>
    <s v="GTX 1050 Ti"/>
    <x v="6"/>
    <x v="1"/>
  </r>
  <r>
    <n v="464920"/>
    <s v="OMORI"/>
    <d v="2018-03-15T00:00:00"/>
    <n v="507"/>
    <b v="1"/>
    <n v="757"/>
    <s v="Radeon Vega 8"/>
    <x v="0"/>
    <x v="1"/>
  </r>
  <r>
    <n v="464920"/>
    <s v="OMORI"/>
    <d v="2018-03-15T00:00:00"/>
    <n v="507"/>
    <b v="1"/>
    <n v="757"/>
    <s v="Radeon Vega 8"/>
    <x v="1"/>
    <x v="1"/>
  </r>
  <r>
    <n v="464920"/>
    <s v="OMORI"/>
    <d v="2018-03-15T00:00:00"/>
    <n v="507"/>
    <b v="1"/>
    <n v="757"/>
    <s v="Radeon Vega 8"/>
    <x v="2"/>
    <x v="1"/>
  </r>
  <r>
    <n v="464920"/>
    <s v="OMORI"/>
    <d v="2018-03-15T00:00:00"/>
    <n v="507"/>
    <b v="1"/>
    <n v="757"/>
    <s v="Radeon Vega 8"/>
    <x v="3"/>
    <x v="0"/>
  </r>
  <r>
    <n v="464920"/>
    <s v="OMORI"/>
    <d v="2018-03-15T00:00:00"/>
    <n v="507"/>
    <b v="1"/>
    <n v="757"/>
    <s v="Radeon Vega 8"/>
    <x v="4"/>
    <x v="1"/>
  </r>
  <r>
    <n v="464920"/>
    <s v="OMORI"/>
    <d v="2018-03-15T00:00:00"/>
    <n v="507"/>
    <b v="1"/>
    <n v="757"/>
    <s v="Radeon Vega 8"/>
    <x v="5"/>
    <x v="0"/>
  </r>
  <r>
    <n v="464920"/>
    <s v="OMORI"/>
    <d v="2018-03-15T00:00:00"/>
    <n v="507"/>
    <b v="1"/>
    <n v="757"/>
    <s v="Radeon Vega 8"/>
    <x v="6"/>
    <x v="1"/>
  </r>
  <r>
    <n v="1150690"/>
    <s v="Forza Motorsport"/>
    <d v="2020-12-25T00:00:00"/>
    <n v="506"/>
    <b v="1"/>
    <n v="761"/>
    <s v="RTX 2080 Ti"/>
    <x v="0"/>
    <x v="1"/>
  </r>
  <r>
    <n v="1150690"/>
    <s v="Forza Motorsport"/>
    <d v="2020-12-25T00:00:00"/>
    <n v="506"/>
    <b v="1"/>
    <n v="761"/>
    <s v="RTX 2080 Ti"/>
    <x v="1"/>
    <x v="0"/>
  </r>
  <r>
    <n v="1150690"/>
    <s v="Forza Motorsport"/>
    <d v="2020-12-25T00:00:00"/>
    <n v="506"/>
    <b v="1"/>
    <n v="761"/>
    <s v="RTX 2080 Ti"/>
    <x v="2"/>
    <x v="0"/>
  </r>
  <r>
    <n v="1150690"/>
    <s v="Forza Motorsport"/>
    <d v="2020-12-25T00:00:00"/>
    <n v="506"/>
    <b v="1"/>
    <n v="761"/>
    <s v="RTX 2080 Ti"/>
    <x v="3"/>
    <x v="1"/>
  </r>
  <r>
    <n v="1150690"/>
    <s v="Forza Motorsport"/>
    <d v="2020-12-25T00:00:00"/>
    <n v="506"/>
    <b v="1"/>
    <n v="761"/>
    <s v="RTX 2080 Ti"/>
    <x v="4"/>
    <x v="0"/>
  </r>
  <r>
    <n v="1150690"/>
    <s v="Forza Motorsport"/>
    <d v="2020-12-25T00:00:00"/>
    <n v="506"/>
    <b v="1"/>
    <n v="761"/>
    <s v="RTX 2080 Ti"/>
    <x v="5"/>
    <x v="1"/>
  </r>
  <r>
    <n v="1150690"/>
    <s v="Forza Motorsport"/>
    <d v="2020-12-25T00:00:00"/>
    <n v="506"/>
    <b v="1"/>
    <n v="761"/>
    <s v="RTX 2080 Ti"/>
    <x v="6"/>
    <x v="1"/>
  </r>
  <r>
    <n v="2440510"/>
    <s v="Coloring Pixels"/>
    <d v="2023-10-09T00:00:00"/>
    <n v="506"/>
    <b v="0"/>
    <n v="761"/>
    <s v="RTX 2080 Ti"/>
    <x v="0"/>
    <x v="1"/>
  </r>
  <r>
    <n v="2440510"/>
    <s v="Coloring Pixels"/>
    <d v="2023-10-09T00:00:00"/>
    <n v="506"/>
    <b v="0"/>
    <n v="761"/>
    <s v="RTX 2080 Ti"/>
    <x v="1"/>
    <x v="1"/>
  </r>
  <r>
    <n v="2440510"/>
    <s v="Coloring Pixels"/>
    <d v="2023-10-09T00:00:00"/>
    <n v="506"/>
    <b v="0"/>
    <n v="761"/>
    <s v="RTX 2080 Ti"/>
    <x v="2"/>
    <x v="1"/>
  </r>
  <r>
    <n v="2440510"/>
    <s v="Coloring Pixels"/>
    <d v="2023-10-09T00:00:00"/>
    <n v="506"/>
    <b v="0"/>
    <n v="761"/>
    <s v="RTX 2080 Ti"/>
    <x v="3"/>
    <x v="1"/>
  </r>
  <r>
    <n v="2440510"/>
    <s v="Coloring Pixels"/>
    <d v="2023-10-09T00:00:00"/>
    <n v="506"/>
    <b v="0"/>
    <n v="761"/>
    <s v="RTX 2080 Ti"/>
    <x v="4"/>
    <x v="1"/>
  </r>
  <r>
    <n v="2440510"/>
    <s v="Coloring Pixels"/>
    <d v="2023-10-09T00:00:00"/>
    <n v="506"/>
    <b v="0"/>
    <n v="761"/>
    <s v="RTX 2080 Ti"/>
    <x v="5"/>
    <x v="1"/>
  </r>
  <r>
    <n v="2440510"/>
    <s v="Coloring Pixels"/>
    <d v="2023-10-09T00:00:00"/>
    <n v="506"/>
    <b v="0"/>
    <n v="761"/>
    <s v="RTX 2080 Ti"/>
    <x v="6"/>
    <x v="1"/>
  </r>
  <r>
    <n v="897330"/>
    <s v="Door Kickers 2: Task Force North"/>
    <d v="2018-08-17T00:00:00"/>
    <n v="505"/>
    <b v="1"/>
    <n v="763"/>
    <s v="GTX 970"/>
    <x v="0"/>
    <x v="1"/>
  </r>
  <r>
    <n v="897330"/>
    <s v="Door Kickers 2: Task Force North"/>
    <d v="2018-08-17T00:00:00"/>
    <n v="505"/>
    <b v="1"/>
    <n v="763"/>
    <s v="GTX 970"/>
    <x v="1"/>
    <x v="0"/>
  </r>
  <r>
    <n v="897330"/>
    <s v="Door Kickers 2: Task Force North"/>
    <d v="2018-08-17T00:00:00"/>
    <n v="505"/>
    <b v="1"/>
    <n v="763"/>
    <s v="GTX 970"/>
    <x v="2"/>
    <x v="1"/>
  </r>
  <r>
    <n v="897330"/>
    <s v="Door Kickers 2: Task Force North"/>
    <d v="2018-08-17T00:00:00"/>
    <n v="505"/>
    <b v="1"/>
    <n v="763"/>
    <s v="GTX 970"/>
    <x v="3"/>
    <x v="1"/>
  </r>
  <r>
    <n v="897330"/>
    <s v="Door Kickers 2: Task Force North"/>
    <d v="2018-08-17T00:00:00"/>
    <n v="505"/>
    <b v="1"/>
    <n v="763"/>
    <s v="GTX 970"/>
    <x v="4"/>
    <x v="1"/>
  </r>
  <r>
    <n v="897330"/>
    <s v="Door Kickers 2: Task Force North"/>
    <d v="2018-08-17T00:00:00"/>
    <n v="505"/>
    <b v="1"/>
    <n v="763"/>
    <s v="GTX 970"/>
    <x v="5"/>
    <x v="1"/>
  </r>
  <r>
    <n v="897330"/>
    <s v="Door Kickers 2: Task Force North"/>
    <d v="2018-08-17T00:00:00"/>
    <n v="505"/>
    <b v="1"/>
    <n v="763"/>
    <s v="GTX 970"/>
    <x v="6"/>
    <x v="0"/>
  </r>
  <r>
    <n v="1239080"/>
    <s v="Red Dead Redemption"/>
    <d v="2025-02-10T00:00:00"/>
    <n v="505"/>
    <b v="1"/>
    <n v="763"/>
    <s v="RX 5700 XT"/>
    <x v="0"/>
    <x v="0"/>
  </r>
  <r>
    <n v="1239080"/>
    <s v="Red Dead Redemption"/>
    <d v="2025-02-10T00:00:00"/>
    <n v="505"/>
    <b v="1"/>
    <n v="763"/>
    <s v="RX 5700 XT"/>
    <x v="1"/>
    <x v="0"/>
  </r>
  <r>
    <n v="1239080"/>
    <s v="Red Dead Redemption"/>
    <d v="2025-02-10T00:00:00"/>
    <n v="505"/>
    <b v="1"/>
    <n v="763"/>
    <s v="RX 5700 XT"/>
    <x v="2"/>
    <x v="1"/>
  </r>
  <r>
    <n v="1239080"/>
    <s v="Red Dead Redemption"/>
    <d v="2025-02-10T00:00:00"/>
    <n v="505"/>
    <b v="1"/>
    <n v="763"/>
    <s v="RX 5700 XT"/>
    <x v="3"/>
    <x v="0"/>
  </r>
  <r>
    <n v="1239080"/>
    <s v="Red Dead Redemption"/>
    <d v="2025-02-10T00:00:00"/>
    <n v="505"/>
    <b v="1"/>
    <n v="763"/>
    <s v="RX 5700 XT"/>
    <x v="4"/>
    <x v="1"/>
  </r>
  <r>
    <n v="1239080"/>
    <s v="Red Dead Redemption"/>
    <d v="2025-02-10T00:00:00"/>
    <n v="505"/>
    <b v="1"/>
    <n v="763"/>
    <s v="RX 5700 XT"/>
    <x v="5"/>
    <x v="0"/>
  </r>
  <r>
    <n v="1239080"/>
    <s v="Red Dead Redemption"/>
    <d v="2025-02-10T00:00:00"/>
    <n v="505"/>
    <b v="1"/>
    <n v="763"/>
    <s v="RX 5700 XT"/>
    <x v="6"/>
    <x v="1"/>
  </r>
  <r>
    <n v="2668510"/>
    <s v="Undisputed"/>
    <d v="2024-10-29T00:00:00"/>
    <n v="504"/>
    <b v="0"/>
    <n v="765"/>
    <s v="RTX 2070"/>
    <x v="0"/>
    <x v="0"/>
  </r>
  <r>
    <n v="2668510"/>
    <s v="Undisputed"/>
    <d v="2024-10-29T00:00:00"/>
    <n v="504"/>
    <b v="0"/>
    <n v="765"/>
    <s v="RTX 2070"/>
    <x v="1"/>
    <x v="1"/>
  </r>
  <r>
    <n v="2668510"/>
    <s v="Undisputed"/>
    <d v="2024-10-29T00:00:00"/>
    <n v="504"/>
    <b v="0"/>
    <n v="765"/>
    <s v="RTX 2070"/>
    <x v="2"/>
    <x v="1"/>
  </r>
  <r>
    <n v="2668510"/>
    <s v="Undisputed"/>
    <d v="2024-10-29T00:00:00"/>
    <n v="504"/>
    <b v="0"/>
    <n v="765"/>
    <s v="RTX 2070"/>
    <x v="3"/>
    <x v="1"/>
  </r>
  <r>
    <n v="2668510"/>
    <s v="Undisputed"/>
    <d v="2024-10-29T00:00:00"/>
    <n v="504"/>
    <b v="0"/>
    <n v="765"/>
    <s v="RTX 2070"/>
    <x v="4"/>
    <x v="1"/>
  </r>
  <r>
    <n v="2668510"/>
    <s v="Undisputed"/>
    <d v="2024-10-29T00:00:00"/>
    <n v="504"/>
    <b v="0"/>
    <n v="765"/>
    <s v="RTX 2070"/>
    <x v="5"/>
    <x v="1"/>
  </r>
  <r>
    <n v="2668510"/>
    <s v="Undisputed"/>
    <d v="2024-10-29T00:00:00"/>
    <n v="504"/>
    <b v="0"/>
    <n v="765"/>
    <s v="RTX 2070"/>
    <x v="6"/>
    <x v="1"/>
  </r>
  <r>
    <n v="1451190"/>
    <s v="Train Simulator Classic"/>
    <d v="2024-10-08T00:00:00"/>
    <n v="503"/>
    <b v="0"/>
    <n v="766"/>
    <s v="RTX 3070"/>
    <x v="0"/>
    <x v="0"/>
  </r>
  <r>
    <n v="1451190"/>
    <s v="Train Simulator Classic"/>
    <d v="2024-10-08T00:00:00"/>
    <n v="503"/>
    <b v="0"/>
    <n v="766"/>
    <s v="RTX 3070"/>
    <x v="1"/>
    <x v="1"/>
  </r>
  <r>
    <n v="1451190"/>
    <s v="Train Simulator Classic"/>
    <d v="2024-10-08T00:00:00"/>
    <n v="503"/>
    <b v="0"/>
    <n v="766"/>
    <s v="RTX 3070"/>
    <x v="2"/>
    <x v="1"/>
  </r>
  <r>
    <n v="1451190"/>
    <s v="Train Simulator Classic"/>
    <d v="2024-10-08T00:00:00"/>
    <n v="503"/>
    <b v="0"/>
    <n v="766"/>
    <s v="RTX 3070"/>
    <x v="3"/>
    <x v="0"/>
  </r>
  <r>
    <n v="1451190"/>
    <s v="Train Simulator Classic"/>
    <d v="2024-10-08T00:00:00"/>
    <n v="503"/>
    <b v="0"/>
    <n v="766"/>
    <s v="RTX 3070"/>
    <x v="4"/>
    <x v="1"/>
  </r>
  <r>
    <n v="1451190"/>
    <s v="Train Simulator Classic"/>
    <d v="2024-10-08T00:00:00"/>
    <n v="503"/>
    <b v="0"/>
    <n v="766"/>
    <s v="RTX 3070"/>
    <x v="5"/>
    <x v="1"/>
  </r>
  <r>
    <n v="1451190"/>
    <s v="Train Simulator Classic"/>
    <d v="2024-10-08T00:00:00"/>
    <n v="503"/>
    <b v="0"/>
    <n v="766"/>
    <s v="RTX 3070"/>
    <x v="6"/>
    <x v="1"/>
  </r>
  <r>
    <n v="24010"/>
    <s v="Romance of the Three Kingdoms XIII"/>
    <d v="2015-09-17T00:00:00"/>
    <n v="503"/>
    <b v="0"/>
    <n v="766"/>
    <s v="GTX 970"/>
    <x v="0"/>
    <x v="1"/>
  </r>
  <r>
    <n v="24010"/>
    <s v="Romance of the Three Kingdoms XIII"/>
    <d v="2015-09-17T00:00:00"/>
    <n v="503"/>
    <b v="0"/>
    <n v="766"/>
    <s v="GTX 970"/>
    <x v="1"/>
    <x v="1"/>
  </r>
  <r>
    <n v="24010"/>
    <s v="Romance of the Three Kingdoms XIII"/>
    <d v="2015-09-17T00:00:00"/>
    <n v="503"/>
    <b v="0"/>
    <n v="766"/>
    <s v="GTX 970"/>
    <x v="2"/>
    <x v="1"/>
  </r>
  <r>
    <n v="24010"/>
    <s v="Romance of the Three Kingdoms XIII"/>
    <d v="2015-09-17T00:00:00"/>
    <n v="503"/>
    <b v="0"/>
    <n v="766"/>
    <s v="GTX 970"/>
    <x v="3"/>
    <x v="0"/>
  </r>
  <r>
    <n v="24010"/>
    <s v="Romance of the Three Kingdoms XIII"/>
    <d v="2015-09-17T00:00:00"/>
    <n v="503"/>
    <b v="0"/>
    <n v="766"/>
    <s v="GTX 970"/>
    <x v="4"/>
    <x v="1"/>
  </r>
  <r>
    <n v="24010"/>
    <s v="Romance of the Three Kingdoms XIII"/>
    <d v="2015-09-17T00:00:00"/>
    <n v="503"/>
    <b v="0"/>
    <n v="766"/>
    <s v="GTX 970"/>
    <x v="5"/>
    <x v="1"/>
  </r>
  <r>
    <n v="24010"/>
    <s v="Romance of the Three Kingdoms XIII"/>
    <d v="2015-09-17T00:00:00"/>
    <n v="503"/>
    <b v="0"/>
    <n v="766"/>
    <s v="GTX 970"/>
    <x v="6"/>
    <x v="1"/>
  </r>
  <r>
    <n v="363150"/>
    <s v="CarX Street"/>
    <d v="2016-01-27T00:00:00"/>
    <n v="501"/>
    <b v="0"/>
    <n v="768"/>
    <s v="GTX 1070"/>
    <x v="0"/>
    <x v="1"/>
  </r>
  <r>
    <n v="363150"/>
    <s v="CarX Street"/>
    <d v="2016-01-27T00:00:00"/>
    <n v="501"/>
    <b v="0"/>
    <n v="768"/>
    <s v="GTX 1070"/>
    <x v="1"/>
    <x v="1"/>
  </r>
  <r>
    <n v="363150"/>
    <s v="CarX Street"/>
    <d v="2016-01-27T00:00:00"/>
    <n v="501"/>
    <b v="0"/>
    <n v="768"/>
    <s v="GTX 1070"/>
    <x v="2"/>
    <x v="1"/>
  </r>
  <r>
    <n v="363150"/>
    <s v="CarX Street"/>
    <d v="2016-01-27T00:00:00"/>
    <n v="501"/>
    <b v="0"/>
    <n v="768"/>
    <s v="GTX 1070"/>
    <x v="3"/>
    <x v="0"/>
  </r>
  <r>
    <n v="363150"/>
    <s v="CarX Street"/>
    <d v="2016-01-27T00:00:00"/>
    <n v="501"/>
    <b v="0"/>
    <n v="768"/>
    <s v="GTX 1070"/>
    <x v="4"/>
    <x v="1"/>
  </r>
  <r>
    <n v="363150"/>
    <s v="CarX Street"/>
    <d v="2016-01-27T00:00:00"/>
    <n v="501"/>
    <b v="0"/>
    <n v="768"/>
    <s v="GTX 1070"/>
    <x v="5"/>
    <x v="1"/>
  </r>
  <r>
    <n v="363150"/>
    <s v="CarX Street"/>
    <d v="2016-01-27T00:00:00"/>
    <n v="501"/>
    <b v="0"/>
    <n v="768"/>
    <s v="GTX 1070"/>
    <x v="6"/>
    <x v="1"/>
  </r>
  <r>
    <n v="1114150"/>
    <s v="Death Must Die"/>
    <d v="2024-08-29T00:00:00"/>
    <n v="499"/>
    <b v="1"/>
    <n v="769"/>
    <s v="RTX 2060 SUPER"/>
    <x v="0"/>
    <x v="1"/>
  </r>
  <r>
    <n v="1114150"/>
    <s v="Death Must Die"/>
    <d v="2024-08-29T00:00:00"/>
    <n v="499"/>
    <b v="1"/>
    <n v="769"/>
    <s v="RTX 2060 SUPER"/>
    <x v="1"/>
    <x v="1"/>
  </r>
  <r>
    <n v="1114150"/>
    <s v="Death Must Die"/>
    <d v="2024-08-29T00:00:00"/>
    <n v="499"/>
    <b v="1"/>
    <n v="769"/>
    <s v="RTX 2060 SUPER"/>
    <x v="2"/>
    <x v="1"/>
  </r>
  <r>
    <n v="1114150"/>
    <s v="Death Must Die"/>
    <d v="2024-08-29T00:00:00"/>
    <n v="499"/>
    <b v="1"/>
    <n v="769"/>
    <s v="RTX 2060 SUPER"/>
    <x v="3"/>
    <x v="0"/>
  </r>
  <r>
    <n v="1114150"/>
    <s v="Death Must Die"/>
    <d v="2024-08-29T00:00:00"/>
    <n v="499"/>
    <b v="1"/>
    <n v="769"/>
    <s v="RTX 2060 SUPER"/>
    <x v="4"/>
    <x v="1"/>
  </r>
  <r>
    <n v="1114150"/>
    <s v="Death Must Die"/>
    <d v="2024-08-29T00:00:00"/>
    <n v="499"/>
    <b v="1"/>
    <n v="769"/>
    <s v="RTX 2060 SUPER"/>
    <x v="5"/>
    <x v="1"/>
  </r>
  <r>
    <n v="1114150"/>
    <s v="Death Must Die"/>
    <d v="2024-08-29T00:00:00"/>
    <n v="499"/>
    <b v="1"/>
    <n v="769"/>
    <s v="RTX 2060 SUPER"/>
    <x v="6"/>
    <x v="1"/>
  </r>
  <r>
    <n v="2334730"/>
    <s v="Stray"/>
    <d v="2023-11-14T00:00:00"/>
    <n v="499"/>
    <b v="1"/>
    <n v="769"/>
    <s v="RX 560"/>
    <x v="0"/>
    <x v="0"/>
  </r>
  <r>
    <n v="2334730"/>
    <s v="Stray"/>
    <d v="2023-11-14T00:00:00"/>
    <n v="499"/>
    <b v="1"/>
    <n v="769"/>
    <s v="RX 560"/>
    <x v="1"/>
    <x v="0"/>
  </r>
  <r>
    <n v="2334730"/>
    <s v="Stray"/>
    <d v="2023-11-14T00:00:00"/>
    <n v="499"/>
    <b v="1"/>
    <n v="769"/>
    <s v="RX 560"/>
    <x v="2"/>
    <x v="1"/>
  </r>
  <r>
    <n v="2334730"/>
    <s v="Stray"/>
    <d v="2023-11-14T00:00:00"/>
    <n v="499"/>
    <b v="1"/>
    <n v="769"/>
    <s v="RX 560"/>
    <x v="3"/>
    <x v="1"/>
  </r>
  <r>
    <n v="2334730"/>
    <s v="Stray"/>
    <d v="2023-11-14T00:00:00"/>
    <n v="499"/>
    <b v="1"/>
    <n v="769"/>
    <s v="RX 560"/>
    <x v="4"/>
    <x v="0"/>
  </r>
  <r>
    <n v="2334730"/>
    <s v="Stray"/>
    <d v="2023-11-14T00:00:00"/>
    <n v="499"/>
    <b v="1"/>
    <n v="769"/>
    <s v="RX 560"/>
    <x v="5"/>
    <x v="1"/>
  </r>
  <r>
    <n v="2334730"/>
    <s v="Stray"/>
    <d v="2023-11-14T00:00:00"/>
    <n v="499"/>
    <b v="1"/>
    <n v="769"/>
    <s v="RX 560"/>
    <x v="6"/>
    <x v="1"/>
  </r>
  <r>
    <n v="1332010"/>
    <s v="Aviassembly"/>
    <d v="2022-07-19T00:00:00"/>
    <n v="498"/>
    <b v="1"/>
    <n v="771"/>
    <s v="GTX 1050 Ti"/>
    <x v="0"/>
    <x v="1"/>
  </r>
  <r>
    <n v="1332010"/>
    <s v="Aviassembly"/>
    <d v="2022-07-19T00:00:00"/>
    <n v="498"/>
    <b v="1"/>
    <n v="771"/>
    <s v="GTX 1050 Ti"/>
    <x v="1"/>
    <x v="0"/>
  </r>
  <r>
    <n v="1332010"/>
    <s v="Aviassembly"/>
    <d v="2022-07-19T00:00:00"/>
    <n v="498"/>
    <b v="1"/>
    <n v="771"/>
    <s v="GTX 1050 Ti"/>
    <x v="2"/>
    <x v="0"/>
  </r>
  <r>
    <n v="1332010"/>
    <s v="Aviassembly"/>
    <d v="2022-07-19T00:00:00"/>
    <n v="498"/>
    <b v="1"/>
    <n v="771"/>
    <s v="GTX 1050 Ti"/>
    <x v="3"/>
    <x v="1"/>
  </r>
  <r>
    <n v="1332010"/>
    <s v="Aviassembly"/>
    <d v="2022-07-19T00:00:00"/>
    <n v="498"/>
    <b v="1"/>
    <n v="771"/>
    <s v="GTX 1050 Ti"/>
    <x v="4"/>
    <x v="1"/>
  </r>
  <r>
    <n v="1332010"/>
    <s v="Aviassembly"/>
    <d v="2022-07-19T00:00:00"/>
    <n v="498"/>
    <b v="1"/>
    <n v="771"/>
    <s v="GTX 1050 Ti"/>
    <x v="5"/>
    <x v="1"/>
  </r>
  <r>
    <n v="1332010"/>
    <s v="Aviassembly"/>
    <d v="2022-07-19T00:00:00"/>
    <n v="498"/>
    <b v="1"/>
    <n v="771"/>
    <s v="GTX 1050 Ti"/>
    <x v="6"/>
    <x v="1"/>
  </r>
  <r>
    <n v="2660460"/>
    <s v="PlanetSide 2"/>
    <d v="2025-04-11T00:00:00"/>
    <n v="498"/>
    <b v="0"/>
    <n v="771"/>
    <s v="GTX 970"/>
    <x v="0"/>
    <x v="1"/>
  </r>
  <r>
    <n v="2660460"/>
    <s v="PlanetSide 2"/>
    <d v="2025-04-11T00:00:00"/>
    <n v="498"/>
    <b v="0"/>
    <n v="771"/>
    <s v="GTX 970"/>
    <x v="1"/>
    <x v="1"/>
  </r>
  <r>
    <n v="2660460"/>
    <s v="PlanetSide 2"/>
    <d v="2025-04-11T00:00:00"/>
    <n v="498"/>
    <b v="0"/>
    <n v="771"/>
    <s v="GTX 970"/>
    <x v="2"/>
    <x v="1"/>
  </r>
  <r>
    <n v="2660460"/>
    <s v="PlanetSide 2"/>
    <d v="2025-04-11T00:00:00"/>
    <n v="498"/>
    <b v="0"/>
    <n v="771"/>
    <s v="GTX 970"/>
    <x v="3"/>
    <x v="0"/>
  </r>
  <r>
    <n v="2660460"/>
    <s v="PlanetSide 2"/>
    <d v="2025-04-11T00:00:00"/>
    <n v="498"/>
    <b v="0"/>
    <n v="771"/>
    <s v="GTX 970"/>
    <x v="4"/>
    <x v="1"/>
  </r>
  <r>
    <n v="2660460"/>
    <s v="PlanetSide 2"/>
    <d v="2025-04-11T00:00:00"/>
    <n v="498"/>
    <b v="0"/>
    <n v="771"/>
    <s v="GTX 970"/>
    <x v="5"/>
    <x v="1"/>
  </r>
  <r>
    <n v="2660460"/>
    <s v="PlanetSide 2"/>
    <d v="2025-04-11T00:00:00"/>
    <n v="498"/>
    <b v="0"/>
    <n v="771"/>
    <s v="GTX 970"/>
    <x v="6"/>
    <x v="1"/>
  </r>
  <r>
    <n v="218230"/>
    <s v="ROMANCE OF THE THREE KINGDOMS 8 REMAKE"/>
    <d v="2012-11-20T00:00:00"/>
    <n v="496"/>
    <b v="0"/>
    <n v="773"/>
    <s v="GTX 770"/>
    <x v="0"/>
    <x v="0"/>
  </r>
  <r>
    <n v="218230"/>
    <s v="ROMANCE OF THE THREE KINGDOMS 8 REMAKE"/>
    <d v="2012-11-20T00:00:00"/>
    <n v="496"/>
    <b v="0"/>
    <n v="773"/>
    <s v="GTX 770"/>
    <x v="1"/>
    <x v="1"/>
  </r>
  <r>
    <n v="218230"/>
    <s v="ROMANCE OF THE THREE KINGDOMS 8 REMAKE"/>
    <d v="2012-11-20T00:00:00"/>
    <n v="496"/>
    <b v="0"/>
    <n v="773"/>
    <s v="GTX 770"/>
    <x v="2"/>
    <x v="1"/>
  </r>
  <r>
    <n v="218230"/>
    <s v="ROMANCE OF THE THREE KINGDOMS 8 REMAKE"/>
    <d v="2012-11-20T00:00:00"/>
    <n v="496"/>
    <b v="0"/>
    <n v="773"/>
    <s v="GTX 770"/>
    <x v="3"/>
    <x v="1"/>
  </r>
  <r>
    <n v="218230"/>
    <s v="ROMANCE OF THE THREE KINGDOMS 8 REMAKE"/>
    <d v="2012-11-20T00:00:00"/>
    <n v="496"/>
    <b v="0"/>
    <n v="773"/>
    <s v="GTX 770"/>
    <x v="4"/>
    <x v="1"/>
  </r>
  <r>
    <n v="218230"/>
    <s v="ROMANCE OF THE THREE KINGDOMS 8 REMAKE"/>
    <d v="2012-11-20T00:00:00"/>
    <n v="496"/>
    <b v="0"/>
    <n v="773"/>
    <s v="GTX 770"/>
    <x v="5"/>
    <x v="1"/>
  </r>
  <r>
    <n v="218230"/>
    <s v="ROMANCE OF THE THREE KINGDOMS 8 REMAKE"/>
    <d v="2012-11-20T00:00:00"/>
    <n v="496"/>
    <b v="0"/>
    <n v="773"/>
    <s v="GTX 770"/>
    <x v="6"/>
    <x v="0"/>
  </r>
  <r>
    <n v="2288150"/>
    <s v="Ultimate General: Civil War"/>
    <d v="2024-10-23T00:00:00"/>
    <n v="496"/>
    <b v="0"/>
    <n v="773"/>
    <s v="GTX 1660"/>
    <x v="0"/>
    <x v="1"/>
  </r>
  <r>
    <n v="2288150"/>
    <s v="Ultimate General: Civil War"/>
    <d v="2024-10-23T00:00:00"/>
    <n v="496"/>
    <b v="0"/>
    <n v="773"/>
    <s v="GTX 1660"/>
    <x v="1"/>
    <x v="1"/>
  </r>
  <r>
    <n v="2288150"/>
    <s v="Ultimate General: Civil War"/>
    <d v="2024-10-23T00:00:00"/>
    <n v="496"/>
    <b v="0"/>
    <n v="773"/>
    <s v="GTX 1660"/>
    <x v="2"/>
    <x v="1"/>
  </r>
  <r>
    <n v="2288150"/>
    <s v="Ultimate General: Civil War"/>
    <d v="2024-10-23T00:00:00"/>
    <n v="496"/>
    <b v="0"/>
    <n v="773"/>
    <s v="GTX 1660"/>
    <x v="3"/>
    <x v="0"/>
  </r>
  <r>
    <n v="2288150"/>
    <s v="Ultimate General: Civil War"/>
    <d v="2024-10-23T00:00:00"/>
    <n v="496"/>
    <b v="0"/>
    <n v="773"/>
    <s v="GTX 1660"/>
    <x v="4"/>
    <x v="1"/>
  </r>
  <r>
    <n v="2288150"/>
    <s v="Ultimate General: Civil War"/>
    <d v="2024-10-23T00:00:00"/>
    <n v="496"/>
    <b v="0"/>
    <n v="773"/>
    <s v="GTX 1660"/>
    <x v="5"/>
    <x v="0"/>
  </r>
  <r>
    <n v="2288150"/>
    <s v="Ultimate General: Civil War"/>
    <d v="2024-10-23T00:00:00"/>
    <n v="496"/>
    <b v="0"/>
    <n v="773"/>
    <s v="GTX 1660"/>
    <x v="6"/>
    <x v="1"/>
  </r>
  <r>
    <n v="502520"/>
    <s v="EVGA Precision X1"/>
    <d v="2017-07-14T00:00:00"/>
    <n v="495"/>
    <b v="1"/>
    <n v="775"/>
    <s v="GTX 1050 Ti"/>
    <x v="0"/>
    <x v="1"/>
  </r>
  <r>
    <n v="502520"/>
    <s v="EVGA Precision X1"/>
    <d v="2017-07-14T00:00:00"/>
    <n v="495"/>
    <b v="1"/>
    <n v="775"/>
    <s v="GTX 1050 Ti"/>
    <x v="1"/>
    <x v="0"/>
  </r>
  <r>
    <n v="502520"/>
    <s v="EVGA Precision X1"/>
    <d v="2017-07-14T00:00:00"/>
    <n v="495"/>
    <b v="1"/>
    <n v="775"/>
    <s v="GTX 1050 Ti"/>
    <x v="2"/>
    <x v="1"/>
  </r>
  <r>
    <n v="502520"/>
    <s v="EVGA Precision X1"/>
    <d v="2017-07-14T00:00:00"/>
    <n v="495"/>
    <b v="1"/>
    <n v="775"/>
    <s v="GTX 1050 Ti"/>
    <x v="3"/>
    <x v="0"/>
  </r>
  <r>
    <n v="502520"/>
    <s v="EVGA Precision X1"/>
    <d v="2017-07-14T00:00:00"/>
    <n v="495"/>
    <b v="1"/>
    <n v="775"/>
    <s v="GTX 1050 Ti"/>
    <x v="4"/>
    <x v="1"/>
  </r>
  <r>
    <n v="502520"/>
    <s v="EVGA Precision X1"/>
    <d v="2017-07-14T00:00:00"/>
    <n v="495"/>
    <b v="1"/>
    <n v="775"/>
    <s v="GTX 1050 Ti"/>
    <x v="5"/>
    <x v="0"/>
  </r>
  <r>
    <n v="502520"/>
    <s v="EVGA Precision X1"/>
    <d v="2017-07-14T00:00:00"/>
    <n v="495"/>
    <b v="1"/>
    <n v="775"/>
    <s v="GTX 1050 Ti"/>
    <x v="6"/>
    <x v="1"/>
  </r>
  <r>
    <n v="268850"/>
    <s v="Increlution"/>
    <d v="2014-07-16T00:00:00"/>
    <n v="494"/>
    <b v="0"/>
    <n v="776"/>
    <s v="RTX 3050"/>
    <x v="0"/>
    <x v="1"/>
  </r>
  <r>
    <n v="268850"/>
    <s v="Increlution"/>
    <d v="2014-07-16T00:00:00"/>
    <n v="494"/>
    <b v="0"/>
    <n v="776"/>
    <s v="RTX 3050"/>
    <x v="1"/>
    <x v="1"/>
  </r>
  <r>
    <n v="268850"/>
    <s v="Increlution"/>
    <d v="2014-07-16T00:00:00"/>
    <n v="494"/>
    <b v="0"/>
    <n v="776"/>
    <s v="RTX 3050"/>
    <x v="2"/>
    <x v="1"/>
  </r>
  <r>
    <n v="268850"/>
    <s v="Increlution"/>
    <d v="2014-07-16T00:00:00"/>
    <n v="494"/>
    <b v="0"/>
    <n v="776"/>
    <s v="RTX 3050"/>
    <x v="3"/>
    <x v="1"/>
  </r>
  <r>
    <n v="268850"/>
    <s v="Increlution"/>
    <d v="2014-07-16T00:00:00"/>
    <n v="494"/>
    <b v="0"/>
    <n v="776"/>
    <s v="RTX 3050"/>
    <x v="4"/>
    <x v="1"/>
  </r>
  <r>
    <n v="268850"/>
    <s v="Increlution"/>
    <d v="2014-07-16T00:00:00"/>
    <n v="494"/>
    <b v="0"/>
    <n v="776"/>
    <s v="RTX 3050"/>
    <x v="5"/>
    <x v="1"/>
  </r>
  <r>
    <n v="268850"/>
    <s v="Increlution"/>
    <d v="2014-07-16T00:00:00"/>
    <n v="494"/>
    <b v="0"/>
    <n v="776"/>
    <s v="RTX 3050"/>
    <x v="6"/>
    <x v="1"/>
  </r>
  <r>
    <n v="1593350"/>
    <s v="Out of Ore"/>
    <d v="2021-10-13T00:00:00"/>
    <n v="494"/>
    <b v="1"/>
    <n v="776"/>
    <s v="GTX 1060"/>
    <x v="0"/>
    <x v="1"/>
  </r>
  <r>
    <n v="1593350"/>
    <s v="Out of Ore"/>
    <d v="2021-10-13T00:00:00"/>
    <n v="494"/>
    <b v="1"/>
    <n v="776"/>
    <s v="GTX 1060"/>
    <x v="1"/>
    <x v="0"/>
  </r>
  <r>
    <n v="1593350"/>
    <s v="Out of Ore"/>
    <d v="2021-10-13T00:00:00"/>
    <n v="494"/>
    <b v="1"/>
    <n v="776"/>
    <s v="GTX 1060"/>
    <x v="2"/>
    <x v="1"/>
  </r>
  <r>
    <n v="1593350"/>
    <s v="Out of Ore"/>
    <d v="2021-10-13T00:00:00"/>
    <n v="494"/>
    <b v="1"/>
    <n v="776"/>
    <s v="GTX 1060"/>
    <x v="3"/>
    <x v="1"/>
  </r>
  <r>
    <n v="1593350"/>
    <s v="Out of Ore"/>
    <d v="2021-10-13T00:00:00"/>
    <n v="494"/>
    <b v="1"/>
    <n v="776"/>
    <s v="GTX 1060"/>
    <x v="4"/>
    <x v="1"/>
  </r>
  <r>
    <n v="1593350"/>
    <s v="Out of Ore"/>
    <d v="2021-10-13T00:00:00"/>
    <n v="494"/>
    <b v="1"/>
    <n v="776"/>
    <s v="GTX 1060"/>
    <x v="5"/>
    <x v="1"/>
  </r>
  <r>
    <n v="1593350"/>
    <s v="Out of Ore"/>
    <d v="2021-10-13T00:00:00"/>
    <n v="494"/>
    <b v="1"/>
    <n v="776"/>
    <s v="GTX 1060"/>
    <x v="6"/>
    <x v="1"/>
  </r>
  <r>
    <n v="2009350"/>
    <s v="The Perfect Tower II"/>
    <d v="2022-10-31T00:00:00"/>
    <n v="493"/>
    <b v="0"/>
    <n v="778"/>
    <s v="RTX 3060"/>
    <x v="0"/>
    <x v="1"/>
  </r>
  <r>
    <n v="2009350"/>
    <s v="The Perfect Tower II"/>
    <d v="2022-10-31T00:00:00"/>
    <n v="493"/>
    <b v="0"/>
    <n v="778"/>
    <s v="RTX 3060"/>
    <x v="1"/>
    <x v="1"/>
  </r>
  <r>
    <n v="2009350"/>
    <s v="The Perfect Tower II"/>
    <d v="2022-10-31T00:00:00"/>
    <n v="493"/>
    <b v="0"/>
    <n v="778"/>
    <s v="RTX 3060"/>
    <x v="2"/>
    <x v="0"/>
  </r>
  <r>
    <n v="2009350"/>
    <s v="The Perfect Tower II"/>
    <d v="2022-10-31T00:00:00"/>
    <n v="493"/>
    <b v="0"/>
    <n v="778"/>
    <s v="RTX 3060"/>
    <x v="3"/>
    <x v="0"/>
  </r>
  <r>
    <n v="2009350"/>
    <s v="The Perfect Tower II"/>
    <d v="2022-10-31T00:00:00"/>
    <n v="493"/>
    <b v="0"/>
    <n v="778"/>
    <s v="RTX 3060"/>
    <x v="4"/>
    <x v="1"/>
  </r>
  <r>
    <n v="2009350"/>
    <s v="The Perfect Tower II"/>
    <d v="2022-10-31T00:00:00"/>
    <n v="493"/>
    <b v="0"/>
    <n v="778"/>
    <s v="RTX 3060"/>
    <x v="5"/>
    <x v="0"/>
  </r>
  <r>
    <n v="2009350"/>
    <s v="The Perfect Tower II"/>
    <d v="2022-10-31T00:00:00"/>
    <n v="493"/>
    <b v="0"/>
    <n v="778"/>
    <s v="RTX 3060"/>
    <x v="6"/>
    <x v="1"/>
  </r>
  <r>
    <n v="1197260"/>
    <s v="Blacksmith Master"/>
    <d v="2025-11-30T00:00:00"/>
    <n v="491"/>
    <b v="0"/>
    <n v="779"/>
    <s v="GTX 1060"/>
    <x v="0"/>
    <x v="0"/>
  </r>
  <r>
    <n v="1197260"/>
    <s v="Blacksmith Master"/>
    <d v="2025-11-30T00:00:00"/>
    <n v="491"/>
    <b v="0"/>
    <n v="779"/>
    <s v="GTX 1060"/>
    <x v="1"/>
    <x v="0"/>
  </r>
  <r>
    <n v="1197260"/>
    <s v="Blacksmith Master"/>
    <d v="2025-11-30T00:00:00"/>
    <n v="491"/>
    <b v="0"/>
    <n v="779"/>
    <s v="GTX 1060"/>
    <x v="2"/>
    <x v="1"/>
  </r>
  <r>
    <n v="1197260"/>
    <s v="Blacksmith Master"/>
    <d v="2025-11-30T00:00:00"/>
    <n v="491"/>
    <b v="0"/>
    <n v="779"/>
    <s v="GTX 1060"/>
    <x v="3"/>
    <x v="1"/>
  </r>
  <r>
    <n v="1197260"/>
    <s v="Blacksmith Master"/>
    <d v="2025-11-30T00:00:00"/>
    <n v="491"/>
    <b v="0"/>
    <n v="779"/>
    <s v="GTX 1060"/>
    <x v="4"/>
    <x v="1"/>
  </r>
  <r>
    <n v="1197260"/>
    <s v="Blacksmith Master"/>
    <d v="2025-11-30T00:00:00"/>
    <n v="491"/>
    <b v="0"/>
    <n v="779"/>
    <s v="GTX 1060"/>
    <x v="5"/>
    <x v="0"/>
  </r>
  <r>
    <n v="1197260"/>
    <s v="Blacksmith Master"/>
    <d v="2025-11-30T00:00:00"/>
    <n v="491"/>
    <b v="0"/>
    <n v="779"/>
    <s v="GTX 1060"/>
    <x v="6"/>
    <x v="0"/>
  </r>
  <r>
    <n v="2292800"/>
    <s v="Victoria II"/>
    <d v="2025-05-15T00:00:00"/>
    <n v="490"/>
    <b v="1"/>
    <n v="780"/>
    <s v="GTX 1050"/>
    <x v="0"/>
    <x v="1"/>
  </r>
  <r>
    <n v="2292800"/>
    <s v="Victoria II"/>
    <d v="2025-05-15T00:00:00"/>
    <n v="490"/>
    <b v="1"/>
    <n v="780"/>
    <s v="GTX 1050"/>
    <x v="1"/>
    <x v="1"/>
  </r>
  <r>
    <n v="2292800"/>
    <s v="Victoria II"/>
    <d v="2025-05-15T00:00:00"/>
    <n v="490"/>
    <b v="1"/>
    <n v="780"/>
    <s v="GTX 1050"/>
    <x v="2"/>
    <x v="1"/>
  </r>
  <r>
    <n v="2292800"/>
    <s v="Victoria II"/>
    <d v="2025-05-15T00:00:00"/>
    <n v="490"/>
    <b v="1"/>
    <n v="780"/>
    <s v="GTX 1050"/>
    <x v="3"/>
    <x v="0"/>
  </r>
  <r>
    <n v="2292800"/>
    <s v="Victoria II"/>
    <d v="2025-05-15T00:00:00"/>
    <n v="490"/>
    <b v="1"/>
    <n v="780"/>
    <s v="GTX 1050"/>
    <x v="4"/>
    <x v="1"/>
  </r>
  <r>
    <n v="2292800"/>
    <s v="Victoria II"/>
    <d v="2025-05-15T00:00:00"/>
    <n v="490"/>
    <b v="1"/>
    <n v="780"/>
    <s v="GTX 1050"/>
    <x v="5"/>
    <x v="0"/>
  </r>
  <r>
    <n v="2292800"/>
    <s v="Victoria II"/>
    <d v="2025-05-15T00:00:00"/>
    <n v="490"/>
    <b v="1"/>
    <n v="780"/>
    <s v="GTX 1050"/>
    <x v="6"/>
    <x v="1"/>
  </r>
  <r>
    <n v="42960"/>
    <s v="X-Plane 12"/>
    <d v="2010-08-30T00:00:00"/>
    <n v="490"/>
    <b v="0"/>
    <n v="780"/>
    <s v="RX 5700 XT"/>
    <x v="0"/>
    <x v="1"/>
  </r>
  <r>
    <n v="42960"/>
    <s v="X-Plane 12"/>
    <d v="2010-08-30T00:00:00"/>
    <n v="490"/>
    <b v="0"/>
    <n v="780"/>
    <s v="RX 5700 XT"/>
    <x v="1"/>
    <x v="1"/>
  </r>
  <r>
    <n v="42960"/>
    <s v="X-Plane 12"/>
    <d v="2010-08-30T00:00:00"/>
    <n v="490"/>
    <b v="0"/>
    <n v="780"/>
    <s v="RX 5700 XT"/>
    <x v="2"/>
    <x v="1"/>
  </r>
  <r>
    <n v="42960"/>
    <s v="X-Plane 12"/>
    <d v="2010-08-30T00:00:00"/>
    <n v="490"/>
    <b v="0"/>
    <n v="780"/>
    <s v="RX 5700 XT"/>
    <x v="3"/>
    <x v="1"/>
  </r>
  <r>
    <n v="42960"/>
    <s v="X-Plane 12"/>
    <d v="2010-08-30T00:00:00"/>
    <n v="490"/>
    <b v="0"/>
    <n v="780"/>
    <s v="RX 5700 XT"/>
    <x v="4"/>
    <x v="1"/>
  </r>
  <r>
    <n v="42960"/>
    <s v="X-Plane 12"/>
    <d v="2010-08-30T00:00:00"/>
    <n v="490"/>
    <b v="0"/>
    <n v="780"/>
    <s v="RX 5700 XT"/>
    <x v="5"/>
    <x v="0"/>
  </r>
  <r>
    <n v="42960"/>
    <s v="X-Plane 12"/>
    <d v="2010-08-30T00:00:00"/>
    <n v="490"/>
    <b v="0"/>
    <n v="780"/>
    <s v="RX 5700 XT"/>
    <x v="6"/>
    <x v="1"/>
  </r>
  <r>
    <n v="2014780"/>
    <s v="Far Cry 3"/>
    <d v="2022-12-17T00:00:00"/>
    <n v="489"/>
    <b v="1"/>
    <n v="782"/>
    <s v="GTX 750"/>
    <x v="0"/>
    <x v="1"/>
  </r>
  <r>
    <n v="2014780"/>
    <s v="Far Cry 3"/>
    <d v="2022-12-17T00:00:00"/>
    <n v="489"/>
    <b v="1"/>
    <n v="782"/>
    <s v="GTX 750"/>
    <x v="1"/>
    <x v="1"/>
  </r>
  <r>
    <n v="2014780"/>
    <s v="Far Cry 3"/>
    <d v="2022-12-17T00:00:00"/>
    <n v="489"/>
    <b v="1"/>
    <n v="782"/>
    <s v="GTX 750"/>
    <x v="2"/>
    <x v="1"/>
  </r>
  <r>
    <n v="2014780"/>
    <s v="Far Cry 3"/>
    <d v="2022-12-17T00:00:00"/>
    <n v="489"/>
    <b v="1"/>
    <n v="782"/>
    <s v="GTX 750"/>
    <x v="3"/>
    <x v="0"/>
  </r>
  <r>
    <n v="2014780"/>
    <s v="Far Cry 3"/>
    <d v="2022-12-17T00:00:00"/>
    <n v="489"/>
    <b v="1"/>
    <n v="782"/>
    <s v="GTX 750"/>
    <x v="4"/>
    <x v="1"/>
  </r>
  <r>
    <n v="2014780"/>
    <s v="Far Cry 3"/>
    <d v="2022-12-17T00:00:00"/>
    <n v="489"/>
    <b v="1"/>
    <n v="782"/>
    <s v="GTX 750"/>
    <x v="5"/>
    <x v="1"/>
  </r>
  <r>
    <n v="2014780"/>
    <s v="Far Cry 3"/>
    <d v="2022-12-17T00:00:00"/>
    <n v="489"/>
    <b v="1"/>
    <n v="782"/>
    <s v="GTX 750"/>
    <x v="6"/>
    <x v="1"/>
  </r>
  <r>
    <n v="220240"/>
    <s v="Luma Island"/>
    <d v="2012-12-04T00:00:00"/>
    <n v="488"/>
    <b v="0"/>
    <n v="783"/>
    <s v="GTX 770"/>
    <x v="0"/>
    <x v="0"/>
  </r>
  <r>
    <n v="220240"/>
    <s v="Luma Island"/>
    <d v="2012-12-04T00:00:00"/>
    <n v="488"/>
    <b v="0"/>
    <n v="783"/>
    <s v="GTX 770"/>
    <x v="1"/>
    <x v="1"/>
  </r>
  <r>
    <n v="220240"/>
    <s v="Luma Island"/>
    <d v="2012-12-04T00:00:00"/>
    <n v="488"/>
    <b v="0"/>
    <n v="783"/>
    <s v="GTX 770"/>
    <x v="2"/>
    <x v="0"/>
  </r>
  <r>
    <n v="220240"/>
    <s v="Luma Island"/>
    <d v="2012-12-04T00:00:00"/>
    <n v="488"/>
    <b v="0"/>
    <n v="783"/>
    <s v="GTX 770"/>
    <x v="3"/>
    <x v="1"/>
  </r>
  <r>
    <n v="220240"/>
    <s v="Luma Island"/>
    <d v="2012-12-04T00:00:00"/>
    <n v="488"/>
    <b v="0"/>
    <n v="783"/>
    <s v="GTX 770"/>
    <x v="4"/>
    <x v="1"/>
  </r>
  <r>
    <n v="220240"/>
    <s v="Luma Island"/>
    <d v="2012-12-04T00:00:00"/>
    <n v="488"/>
    <b v="0"/>
    <n v="783"/>
    <s v="GTX 770"/>
    <x v="5"/>
    <x v="1"/>
  </r>
  <r>
    <n v="220240"/>
    <s v="Luma Island"/>
    <d v="2012-12-04T00:00:00"/>
    <n v="488"/>
    <b v="0"/>
    <n v="783"/>
    <s v="GTX 770"/>
    <x v="6"/>
    <x v="1"/>
  </r>
  <r>
    <n v="2408820"/>
    <s v="ｹ､ (Night of Full Moon)"/>
    <d v="2024-11-20T00:00:00"/>
    <n v="487"/>
    <b v="0"/>
    <n v="784"/>
    <s v="GTX 1660 Ti"/>
    <x v="0"/>
    <x v="1"/>
  </r>
  <r>
    <n v="2408820"/>
    <s v="ｹ､ (Night of Full Moon)"/>
    <d v="2024-11-20T00:00:00"/>
    <n v="487"/>
    <b v="0"/>
    <n v="784"/>
    <s v="GTX 1660 Ti"/>
    <x v="1"/>
    <x v="0"/>
  </r>
  <r>
    <n v="2408820"/>
    <s v="ｹ､ (Night of Full Moon)"/>
    <d v="2024-11-20T00:00:00"/>
    <n v="487"/>
    <b v="0"/>
    <n v="784"/>
    <s v="GTX 1660 Ti"/>
    <x v="2"/>
    <x v="0"/>
  </r>
  <r>
    <n v="2408820"/>
    <s v="ｹ､ (Night of Full Moon)"/>
    <d v="2024-11-20T00:00:00"/>
    <n v="487"/>
    <b v="0"/>
    <n v="784"/>
    <s v="GTX 1660 Ti"/>
    <x v="3"/>
    <x v="0"/>
  </r>
  <r>
    <n v="2408820"/>
    <s v="ｹ､ (Night of Full Moon)"/>
    <d v="2024-11-20T00:00:00"/>
    <n v="487"/>
    <b v="0"/>
    <n v="784"/>
    <s v="GTX 1660 Ti"/>
    <x v="4"/>
    <x v="0"/>
  </r>
  <r>
    <n v="2408820"/>
    <s v="ｹ､ (Night of Full Moon)"/>
    <d v="2024-11-20T00:00:00"/>
    <n v="487"/>
    <b v="0"/>
    <n v="784"/>
    <s v="GTX 1660 Ti"/>
    <x v="5"/>
    <x v="1"/>
  </r>
  <r>
    <n v="2408820"/>
    <s v="ｹ､ (Night of Full Moon)"/>
    <d v="2024-11-20T00:00:00"/>
    <n v="487"/>
    <b v="0"/>
    <n v="784"/>
    <s v="GTX 1660 Ti"/>
    <x v="6"/>
    <x v="1"/>
  </r>
  <r>
    <n v="769560"/>
    <s v="Microsoft Flight Simulator X: Steam Edition"/>
    <d v="2019-07-25T00:00:00"/>
    <n v="487"/>
    <b v="0"/>
    <n v="784"/>
    <s v="Radeon Vega 11"/>
    <x v="0"/>
    <x v="1"/>
  </r>
  <r>
    <n v="769560"/>
    <s v="Microsoft Flight Simulator X: Steam Edition"/>
    <d v="2019-07-25T00:00:00"/>
    <n v="487"/>
    <b v="0"/>
    <n v="784"/>
    <s v="Radeon Vega 11"/>
    <x v="1"/>
    <x v="0"/>
  </r>
  <r>
    <n v="769560"/>
    <s v="Microsoft Flight Simulator X: Steam Edition"/>
    <d v="2019-07-25T00:00:00"/>
    <n v="487"/>
    <b v="0"/>
    <n v="784"/>
    <s v="Radeon Vega 11"/>
    <x v="2"/>
    <x v="0"/>
  </r>
  <r>
    <n v="769560"/>
    <s v="Microsoft Flight Simulator X: Steam Edition"/>
    <d v="2019-07-25T00:00:00"/>
    <n v="487"/>
    <b v="0"/>
    <n v="784"/>
    <s v="Radeon Vega 11"/>
    <x v="3"/>
    <x v="1"/>
  </r>
  <r>
    <n v="769560"/>
    <s v="Microsoft Flight Simulator X: Steam Edition"/>
    <d v="2019-07-25T00:00:00"/>
    <n v="487"/>
    <b v="0"/>
    <n v="784"/>
    <s v="Radeon Vega 11"/>
    <x v="4"/>
    <x v="1"/>
  </r>
  <r>
    <n v="769560"/>
    <s v="Microsoft Flight Simulator X: Steam Edition"/>
    <d v="2019-07-25T00:00:00"/>
    <n v="487"/>
    <b v="0"/>
    <n v="784"/>
    <s v="Radeon Vega 11"/>
    <x v="5"/>
    <x v="0"/>
  </r>
  <r>
    <n v="769560"/>
    <s v="Microsoft Flight Simulator X: Steam Edition"/>
    <d v="2019-07-25T00:00:00"/>
    <n v="487"/>
    <b v="0"/>
    <n v="784"/>
    <s v="Radeon Vega 11"/>
    <x v="6"/>
    <x v="0"/>
  </r>
  <r>
    <n v="314160"/>
    <s v="WRC 7 FIA World Rally Championship"/>
    <d v="2014-12-18T00:00:00"/>
    <n v="486"/>
    <b v="0"/>
    <n v="786"/>
    <s v="GTX 980"/>
    <x v="0"/>
    <x v="1"/>
  </r>
  <r>
    <n v="314160"/>
    <s v="WRC 7 FIA World Rally Championship"/>
    <d v="2014-12-18T00:00:00"/>
    <n v="486"/>
    <b v="0"/>
    <n v="786"/>
    <s v="GTX 980"/>
    <x v="1"/>
    <x v="1"/>
  </r>
  <r>
    <n v="314160"/>
    <s v="WRC 7 FIA World Rally Championship"/>
    <d v="2014-12-18T00:00:00"/>
    <n v="486"/>
    <b v="0"/>
    <n v="786"/>
    <s v="GTX 980"/>
    <x v="2"/>
    <x v="1"/>
  </r>
  <r>
    <n v="314160"/>
    <s v="WRC 7 FIA World Rally Championship"/>
    <d v="2014-12-18T00:00:00"/>
    <n v="486"/>
    <b v="0"/>
    <n v="786"/>
    <s v="GTX 980"/>
    <x v="3"/>
    <x v="0"/>
  </r>
  <r>
    <n v="314160"/>
    <s v="WRC 7 FIA World Rally Championship"/>
    <d v="2014-12-18T00:00:00"/>
    <n v="486"/>
    <b v="0"/>
    <n v="786"/>
    <s v="GTX 980"/>
    <x v="4"/>
    <x v="1"/>
  </r>
  <r>
    <n v="314160"/>
    <s v="WRC 7 FIA World Rally Championship"/>
    <d v="2014-12-18T00:00:00"/>
    <n v="486"/>
    <b v="0"/>
    <n v="786"/>
    <s v="GTX 980"/>
    <x v="5"/>
    <x v="1"/>
  </r>
  <r>
    <n v="314160"/>
    <s v="WRC 7 FIA World Rally Championship"/>
    <d v="2014-12-18T00:00:00"/>
    <n v="486"/>
    <b v="0"/>
    <n v="786"/>
    <s v="GTX 980"/>
    <x v="6"/>
    <x v="1"/>
  </r>
  <r>
    <n v="621830"/>
    <s v="City Car Driving"/>
    <d v="2017-09-15T00:00:00"/>
    <n v="484"/>
    <b v="0"/>
    <n v="787"/>
    <s v="GTX 1050 Ti"/>
    <x v="0"/>
    <x v="1"/>
  </r>
  <r>
    <n v="621830"/>
    <s v="City Car Driving"/>
    <d v="2017-09-15T00:00:00"/>
    <n v="484"/>
    <b v="0"/>
    <n v="787"/>
    <s v="GTX 1050 Ti"/>
    <x v="1"/>
    <x v="1"/>
  </r>
  <r>
    <n v="621830"/>
    <s v="City Car Driving"/>
    <d v="2017-09-15T00:00:00"/>
    <n v="484"/>
    <b v="0"/>
    <n v="787"/>
    <s v="GTX 1050 Ti"/>
    <x v="2"/>
    <x v="1"/>
  </r>
  <r>
    <n v="621830"/>
    <s v="City Car Driving"/>
    <d v="2017-09-15T00:00:00"/>
    <n v="484"/>
    <b v="0"/>
    <n v="787"/>
    <s v="GTX 1050 Ti"/>
    <x v="3"/>
    <x v="1"/>
  </r>
  <r>
    <n v="621830"/>
    <s v="City Car Driving"/>
    <d v="2017-09-15T00:00:00"/>
    <n v="484"/>
    <b v="0"/>
    <n v="787"/>
    <s v="GTX 1050 Ti"/>
    <x v="4"/>
    <x v="1"/>
  </r>
  <r>
    <n v="621830"/>
    <s v="City Car Driving"/>
    <d v="2017-09-15T00:00:00"/>
    <n v="484"/>
    <b v="0"/>
    <n v="787"/>
    <s v="GTX 1050 Ti"/>
    <x v="5"/>
    <x v="1"/>
  </r>
  <r>
    <n v="621830"/>
    <s v="City Car Driving"/>
    <d v="2017-09-15T00:00:00"/>
    <n v="484"/>
    <b v="0"/>
    <n v="787"/>
    <s v="GTX 1050 Ti"/>
    <x v="6"/>
    <x v="1"/>
  </r>
  <r>
    <n v="493490"/>
    <s v="Cosmoteer: Starship Architect &amp; Commander"/>
    <d v="2016-11-03T00:00:00"/>
    <n v="484"/>
    <b v="0"/>
    <n v="787"/>
    <s v="R9 390X"/>
    <x v="0"/>
    <x v="1"/>
  </r>
  <r>
    <n v="493490"/>
    <s v="Cosmoteer: Starship Architect &amp; Commander"/>
    <d v="2016-11-03T00:00:00"/>
    <n v="484"/>
    <b v="0"/>
    <n v="787"/>
    <s v="R9 390X"/>
    <x v="1"/>
    <x v="0"/>
  </r>
  <r>
    <n v="493490"/>
    <s v="Cosmoteer: Starship Architect &amp; Commander"/>
    <d v="2016-11-03T00:00:00"/>
    <n v="484"/>
    <b v="0"/>
    <n v="787"/>
    <s v="R9 390X"/>
    <x v="2"/>
    <x v="1"/>
  </r>
  <r>
    <n v="493490"/>
    <s v="Cosmoteer: Starship Architect &amp; Commander"/>
    <d v="2016-11-03T00:00:00"/>
    <n v="484"/>
    <b v="0"/>
    <n v="787"/>
    <s v="R9 390X"/>
    <x v="3"/>
    <x v="0"/>
  </r>
  <r>
    <n v="493490"/>
    <s v="Cosmoteer: Starship Architect &amp; Commander"/>
    <d v="2016-11-03T00:00:00"/>
    <n v="484"/>
    <b v="0"/>
    <n v="787"/>
    <s v="R9 390X"/>
    <x v="4"/>
    <x v="1"/>
  </r>
  <r>
    <n v="493490"/>
    <s v="Cosmoteer: Starship Architect &amp; Commander"/>
    <d v="2016-11-03T00:00:00"/>
    <n v="484"/>
    <b v="0"/>
    <n v="787"/>
    <s v="R9 390X"/>
    <x v="5"/>
    <x v="1"/>
  </r>
  <r>
    <n v="493490"/>
    <s v="Cosmoteer: Starship Architect &amp; Commander"/>
    <d v="2016-11-03T00:00:00"/>
    <n v="484"/>
    <b v="0"/>
    <n v="787"/>
    <s v="R9 390X"/>
    <x v="6"/>
    <x v="1"/>
  </r>
  <r>
    <n v="799600"/>
    <s v="From the Depths"/>
    <d v="2022-10-24T00:00:00"/>
    <n v="482"/>
    <b v="0"/>
    <n v="789"/>
    <s v="GTX 750"/>
    <x v="0"/>
    <x v="1"/>
  </r>
  <r>
    <n v="799600"/>
    <s v="From the Depths"/>
    <d v="2022-10-24T00:00:00"/>
    <n v="482"/>
    <b v="0"/>
    <n v="789"/>
    <s v="GTX 750"/>
    <x v="1"/>
    <x v="1"/>
  </r>
  <r>
    <n v="799600"/>
    <s v="From the Depths"/>
    <d v="2022-10-24T00:00:00"/>
    <n v="482"/>
    <b v="0"/>
    <n v="789"/>
    <s v="GTX 750"/>
    <x v="2"/>
    <x v="1"/>
  </r>
  <r>
    <n v="799600"/>
    <s v="From the Depths"/>
    <d v="2022-10-24T00:00:00"/>
    <n v="482"/>
    <b v="0"/>
    <n v="789"/>
    <s v="GTX 750"/>
    <x v="3"/>
    <x v="0"/>
  </r>
  <r>
    <n v="799600"/>
    <s v="From the Depths"/>
    <d v="2022-10-24T00:00:00"/>
    <n v="482"/>
    <b v="0"/>
    <n v="789"/>
    <s v="GTX 750"/>
    <x v="4"/>
    <x v="1"/>
  </r>
  <r>
    <n v="799600"/>
    <s v="From the Depths"/>
    <d v="2022-10-24T00:00:00"/>
    <n v="482"/>
    <b v="0"/>
    <n v="789"/>
    <s v="GTX 750"/>
    <x v="5"/>
    <x v="0"/>
  </r>
  <r>
    <n v="799600"/>
    <s v="From the Depths"/>
    <d v="2022-10-24T00:00:00"/>
    <n v="482"/>
    <b v="0"/>
    <n v="789"/>
    <s v="GTX 750"/>
    <x v="6"/>
    <x v="1"/>
  </r>
  <r>
    <n v="268650"/>
    <s v="Age of History 3"/>
    <d v="2020-11-06T00:00:00"/>
    <n v="482"/>
    <b v="1"/>
    <n v="789"/>
    <s v="Radeon Vega 8"/>
    <x v="0"/>
    <x v="0"/>
  </r>
  <r>
    <n v="268650"/>
    <s v="Age of History 3"/>
    <d v="2020-11-06T00:00:00"/>
    <n v="482"/>
    <b v="1"/>
    <n v="789"/>
    <s v="Radeon Vega 8"/>
    <x v="1"/>
    <x v="0"/>
  </r>
  <r>
    <n v="268650"/>
    <s v="Age of History 3"/>
    <d v="2020-11-06T00:00:00"/>
    <n v="482"/>
    <b v="1"/>
    <n v="789"/>
    <s v="Radeon Vega 8"/>
    <x v="2"/>
    <x v="0"/>
  </r>
  <r>
    <n v="268650"/>
    <s v="Age of History 3"/>
    <d v="2020-11-06T00:00:00"/>
    <n v="482"/>
    <b v="1"/>
    <n v="789"/>
    <s v="Radeon Vega 8"/>
    <x v="3"/>
    <x v="0"/>
  </r>
  <r>
    <n v="268650"/>
    <s v="Age of History 3"/>
    <d v="2020-11-06T00:00:00"/>
    <n v="482"/>
    <b v="1"/>
    <n v="789"/>
    <s v="Radeon Vega 8"/>
    <x v="4"/>
    <x v="1"/>
  </r>
  <r>
    <n v="268650"/>
    <s v="Age of History 3"/>
    <d v="2020-11-06T00:00:00"/>
    <n v="482"/>
    <b v="1"/>
    <n v="789"/>
    <s v="Radeon Vega 8"/>
    <x v="5"/>
    <x v="0"/>
  </r>
  <r>
    <n v="268650"/>
    <s v="Age of History 3"/>
    <d v="2020-11-06T00:00:00"/>
    <n v="482"/>
    <b v="1"/>
    <n v="789"/>
    <s v="Radeon Vega 8"/>
    <x v="6"/>
    <x v="1"/>
  </r>
  <r>
    <n v="2772750"/>
    <s v="Bopl Battle"/>
    <d v="2024-10-23T00:00:00"/>
    <n v="481"/>
    <b v="1"/>
    <n v="791"/>
    <s v="Radeon Vega 8"/>
    <x v="0"/>
    <x v="1"/>
  </r>
  <r>
    <n v="2772750"/>
    <s v="Bopl Battle"/>
    <d v="2024-10-23T00:00:00"/>
    <n v="481"/>
    <b v="1"/>
    <n v="791"/>
    <s v="Radeon Vega 8"/>
    <x v="1"/>
    <x v="1"/>
  </r>
  <r>
    <n v="2772750"/>
    <s v="Bopl Battle"/>
    <d v="2024-10-23T00:00:00"/>
    <n v="481"/>
    <b v="1"/>
    <n v="791"/>
    <s v="Radeon Vega 8"/>
    <x v="2"/>
    <x v="1"/>
  </r>
  <r>
    <n v="2772750"/>
    <s v="Bopl Battle"/>
    <d v="2024-10-23T00:00:00"/>
    <n v="481"/>
    <b v="1"/>
    <n v="791"/>
    <s v="Radeon Vega 8"/>
    <x v="3"/>
    <x v="0"/>
  </r>
  <r>
    <n v="2772750"/>
    <s v="Bopl Battle"/>
    <d v="2024-10-23T00:00:00"/>
    <n v="481"/>
    <b v="1"/>
    <n v="791"/>
    <s v="Radeon Vega 8"/>
    <x v="4"/>
    <x v="1"/>
  </r>
  <r>
    <n v="2772750"/>
    <s v="Bopl Battle"/>
    <d v="2024-10-23T00:00:00"/>
    <n v="481"/>
    <b v="1"/>
    <n v="791"/>
    <s v="Radeon Vega 8"/>
    <x v="5"/>
    <x v="0"/>
  </r>
  <r>
    <n v="2772750"/>
    <s v="Bopl Battle"/>
    <d v="2024-10-23T00:00:00"/>
    <n v="481"/>
    <b v="1"/>
    <n v="791"/>
    <s v="Radeon Vega 8"/>
    <x v="6"/>
    <x v="1"/>
  </r>
  <r>
    <n v="1686940"/>
    <s v="The Witcher 2: Assassins of Kings Enhanced Edition"/>
    <d v="2023-11-16T00:00:00"/>
    <n v="480"/>
    <b v="0"/>
    <n v="792"/>
    <s v="GTX 1650"/>
    <x v="0"/>
    <x v="0"/>
  </r>
  <r>
    <n v="1686940"/>
    <s v="The Witcher 2: Assassins of Kings Enhanced Edition"/>
    <d v="2023-11-16T00:00:00"/>
    <n v="480"/>
    <b v="0"/>
    <n v="792"/>
    <s v="GTX 1650"/>
    <x v="1"/>
    <x v="1"/>
  </r>
  <r>
    <n v="1686940"/>
    <s v="The Witcher 2: Assassins of Kings Enhanced Edition"/>
    <d v="2023-11-16T00:00:00"/>
    <n v="480"/>
    <b v="0"/>
    <n v="792"/>
    <s v="GTX 1650"/>
    <x v="2"/>
    <x v="1"/>
  </r>
  <r>
    <n v="1686940"/>
    <s v="The Witcher 2: Assassins of Kings Enhanced Edition"/>
    <d v="2023-11-16T00:00:00"/>
    <n v="480"/>
    <b v="0"/>
    <n v="792"/>
    <s v="GTX 1650"/>
    <x v="3"/>
    <x v="1"/>
  </r>
  <r>
    <n v="1686940"/>
    <s v="The Witcher 2: Assassins of Kings Enhanced Edition"/>
    <d v="2023-11-16T00:00:00"/>
    <n v="480"/>
    <b v="0"/>
    <n v="792"/>
    <s v="GTX 1650"/>
    <x v="4"/>
    <x v="1"/>
  </r>
  <r>
    <n v="1686940"/>
    <s v="The Witcher 2: Assassins of Kings Enhanced Edition"/>
    <d v="2023-11-16T00:00:00"/>
    <n v="480"/>
    <b v="0"/>
    <n v="792"/>
    <s v="GTX 1650"/>
    <x v="5"/>
    <x v="1"/>
  </r>
  <r>
    <n v="1686940"/>
    <s v="The Witcher 2: Assassins of Kings Enhanced Edition"/>
    <d v="2023-11-16T00:00:00"/>
    <n v="480"/>
    <b v="0"/>
    <n v="792"/>
    <s v="GTX 1650"/>
    <x v="6"/>
    <x v="1"/>
  </r>
  <r>
    <n v="20920"/>
    <s v="Blasphemous"/>
    <d v="2012-04-16T00:00:00"/>
    <n v="479"/>
    <b v="1"/>
    <n v="793"/>
    <s v="Radeon Graphics"/>
    <x v="0"/>
    <x v="1"/>
  </r>
  <r>
    <n v="20920"/>
    <s v="Blasphemous"/>
    <d v="2012-04-16T00:00:00"/>
    <n v="479"/>
    <b v="1"/>
    <n v="793"/>
    <s v="Radeon Graphics"/>
    <x v="1"/>
    <x v="1"/>
  </r>
  <r>
    <n v="20920"/>
    <s v="Blasphemous"/>
    <d v="2012-04-16T00:00:00"/>
    <n v="479"/>
    <b v="1"/>
    <n v="793"/>
    <s v="Radeon Graphics"/>
    <x v="2"/>
    <x v="1"/>
  </r>
  <r>
    <n v="20920"/>
    <s v="Blasphemous"/>
    <d v="2012-04-16T00:00:00"/>
    <n v="479"/>
    <b v="1"/>
    <n v="793"/>
    <s v="Radeon Graphics"/>
    <x v="3"/>
    <x v="1"/>
  </r>
  <r>
    <n v="20920"/>
    <s v="Blasphemous"/>
    <d v="2012-04-16T00:00:00"/>
    <n v="479"/>
    <b v="1"/>
    <n v="793"/>
    <s v="Radeon Graphics"/>
    <x v="4"/>
    <x v="0"/>
  </r>
  <r>
    <n v="20920"/>
    <s v="Blasphemous"/>
    <d v="2012-04-16T00:00:00"/>
    <n v="479"/>
    <b v="1"/>
    <n v="793"/>
    <s v="Radeon Graphics"/>
    <x v="5"/>
    <x v="1"/>
  </r>
  <r>
    <n v="20920"/>
    <s v="Blasphemous"/>
    <d v="2012-04-16T00:00:00"/>
    <n v="479"/>
    <b v="1"/>
    <n v="793"/>
    <s v="Radeon Graphics"/>
    <x v="6"/>
    <x v="1"/>
  </r>
  <r>
    <n v="774361"/>
    <s v="Banished"/>
    <d v="2019-09-10T00:00:00"/>
    <n v="479"/>
    <b v="1"/>
    <n v="793"/>
    <s v="Radeon Vega 8"/>
    <x v="0"/>
    <x v="0"/>
  </r>
  <r>
    <n v="774361"/>
    <s v="Banished"/>
    <d v="2019-09-10T00:00:00"/>
    <n v="479"/>
    <b v="1"/>
    <n v="793"/>
    <s v="Radeon Vega 8"/>
    <x v="1"/>
    <x v="0"/>
  </r>
  <r>
    <n v="774361"/>
    <s v="Banished"/>
    <d v="2019-09-10T00:00:00"/>
    <n v="479"/>
    <b v="1"/>
    <n v="793"/>
    <s v="Radeon Vega 8"/>
    <x v="2"/>
    <x v="0"/>
  </r>
  <r>
    <n v="774361"/>
    <s v="Banished"/>
    <d v="2019-09-10T00:00:00"/>
    <n v="479"/>
    <b v="1"/>
    <n v="793"/>
    <s v="Radeon Vega 8"/>
    <x v="3"/>
    <x v="1"/>
  </r>
  <r>
    <n v="774361"/>
    <s v="Banished"/>
    <d v="2019-09-10T00:00:00"/>
    <n v="479"/>
    <b v="1"/>
    <n v="793"/>
    <s v="Radeon Vega 8"/>
    <x v="4"/>
    <x v="1"/>
  </r>
  <r>
    <n v="774361"/>
    <s v="Banished"/>
    <d v="2019-09-10T00:00:00"/>
    <n v="479"/>
    <b v="1"/>
    <n v="793"/>
    <s v="Radeon Vega 8"/>
    <x v="5"/>
    <x v="1"/>
  </r>
  <r>
    <n v="774361"/>
    <s v="Banished"/>
    <d v="2019-09-10T00:00:00"/>
    <n v="479"/>
    <b v="1"/>
    <n v="793"/>
    <s v="Radeon Vega 8"/>
    <x v="6"/>
    <x v="1"/>
  </r>
  <r>
    <n v="242920"/>
    <s v="Conquest Dark"/>
    <d v="2014-02-18T00:00:00"/>
    <n v="477"/>
    <b v="0"/>
    <n v="795"/>
    <s v="RTX 2080"/>
    <x v="0"/>
    <x v="1"/>
  </r>
  <r>
    <n v="242920"/>
    <s v="Conquest Dark"/>
    <d v="2014-02-18T00:00:00"/>
    <n v="477"/>
    <b v="0"/>
    <n v="795"/>
    <s v="RTX 2080"/>
    <x v="1"/>
    <x v="0"/>
  </r>
  <r>
    <n v="242920"/>
    <s v="Conquest Dark"/>
    <d v="2014-02-18T00:00:00"/>
    <n v="477"/>
    <b v="0"/>
    <n v="795"/>
    <s v="RTX 2080"/>
    <x v="2"/>
    <x v="1"/>
  </r>
  <r>
    <n v="242920"/>
    <s v="Conquest Dark"/>
    <d v="2014-02-18T00:00:00"/>
    <n v="477"/>
    <b v="0"/>
    <n v="795"/>
    <s v="RTX 2080"/>
    <x v="3"/>
    <x v="0"/>
  </r>
  <r>
    <n v="242920"/>
    <s v="Conquest Dark"/>
    <d v="2014-02-18T00:00:00"/>
    <n v="477"/>
    <b v="0"/>
    <n v="795"/>
    <s v="RTX 2080"/>
    <x v="4"/>
    <x v="1"/>
  </r>
  <r>
    <n v="242920"/>
    <s v="Conquest Dark"/>
    <d v="2014-02-18T00:00:00"/>
    <n v="477"/>
    <b v="0"/>
    <n v="795"/>
    <s v="RTX 2080"/>
    <x v="5"/>
    <x v="0"/>
  </r>
  <r>
    <n v="242920"/>
    <s v="Conquest Dark"/>
    <d v="2014-02-18T00:00:00"/>
    <n v="477"/>
    <b v="0"/>
    <n v="795"/>
    <s v="RTX 2080"/>
    <x v="6"/>
    <x v="1"/>
  </r>
  <r>
    <n v="3238670"/>
    <s v="Old World"/>
    <d v="2025-04-30T00:00:00"/>
    <n v="476"/>
    <b v="0"/>
    <n v="796"/>
    <s v="RTX 2080"/>
    <x v="0"/>
    <x v="0"/>
  </r>
  <r>
    <n v="3238670"/>
    <s v="Old World"/>
    <d v="2025-04-30T00:00:00"/>
    <n v="476"/>
    <b v="0"/>
    <n v="796"/>
    <s v="RTX 2080"/>
    <x v="1"/>
    <x v="0"/>
  </r>
  <r>
    <n v="3238670"/>
    <s v="Old World"/>
    <d v="2025-04-30T00:00:00"/>
    <n v="476"/>
    <b v="0"/>
    <n v="796"/>
    <s v="RTX 2080"/>
    <x v="2"/>
    <x v="1"/>
  </r>
  <r>
    <n v="3238670"/>
    <s v="Old World"/>
    <d v="2025-04-30T00:00:00"/>
    <n v="476"/>
    <b v="0"/>
    <n v="796"/>
    <s v="RTX 2080"/>
    <x v="3"/>
    <x v="1"/>
  </r>
  <r>
    <n v="3238670"/>
    <s v="Old World"/>
    <d v="2025-04-30T00:00:00"/>
    <n v="476"/>
    <b v="0"/>
    <n v="796"/>
    <s v="RTX 2080"/>
    <x v="4"/>
    <x v="0"/>
  </r>
  <r>
    <n v="3238670"/>
    <s v="Old World"/>
    <d v="2025-04-30T00:00:00"/>
    <n v="476"/>
    <b v="0"/>
    <n v="796"/>
    <s v="RTX 2080"/>
    <x v="5"/>
    <x v="1"/>
  </r>
  <r>
    <n v="3238670"/>
    <s v="Old World"/>
    <d v="2025-04-30T00:00:00"/>
    <n v="476"/>
    <b v="0"/>
    <n v="796"/>
    <s v="RTX 2080"/>
    <x v="6"/>
    <x v="1"/>
  </r>
  <r>
    <n v="597180"/>
    <s v="Goat Simulator 3"/>
    <d v="2022-05-18T00:00:00"/>
    <n v="474"/>
    <b v="1"/>
    <n v="797"/>
    <s v="GTX 1060"/>
    <x v="0"/>
    <x v="1"/>
  </r>
  <r>
    <n v="597180"/>
    <s v="Goat Simulator 3"/>
    <d v="2022-05-18T00:00:00"/>
    <n v="474"/>
    <b v="1"/>
    <n v="797"/>
    <s v="GTX 1060"/>
    <x v="1"/>
    <x v="1"/>
  </r>
  <r>
    <n v="597180"/>
    <s v="Goat Simulator 3"/>
    <d v="2022-05-18T00:00:00"/>
    <n v="474"/>
    <b v="1"/>
    <n v="797"/>
    <s v="GTX 1060"/>
    <x v="2"/>
    <x v="1"/>
  </r>
  <r>
    <n v="597180"/>
    <s v="Goat Simulator 3"/>
    <d v="2022-05-18T00:00:00"/>
    <n v="474"/>
    <b v="1"/>
    <n v="797"/>
    <s v="GTX 1060"/>
    <x v="3"/>
    <x v="0"/>
  </r>
  <r>
    <n v="597180"/>
    <s v="Goat Simulator 3"/>
    <d v="2022-05-18T00:00:00"/>
    <n v="474"/>
    <b v="1"/>
    <n v="797"/>
    <s v="GTX 1060"/>
    <x v="4"/>
    <x v="0"/>
  </r>
  <r>
    <n v="597180"/>
    <s v="Goat Simulator 3"/>
    <d v="2022-05-18T00:00:00"/>
    <n v="474"/>
    <b v="1"/>
    <n v="797"/>
    <s v="GTX 1060"/>
    <x v="5"/>
    <x v="0"/>
  </r>
  <r>
    <n v="597180"/>
    <s v="Goat Simulator 3"/>
    <d v="2022-05-18T00:00:00"/>
    <n v="474"/>
    <b v="1"/>
    <n v="797"/>
    <s v="GTX 1060"/>
    <x v="6"/>
    <x v="1"/>
  </r>
  <r>
    <n v="850190"/>
    <s v="No More Room in Hell"/>
    <d v="2024-02-15T00:00:00"/>
    <n v="474"/>
    <b v="0"/>
    <n v="797"/>
    <s v="GTX 1070"/>
    <x v="0"/>
    <x v="1"/>
  </r>
  <r>
    <n v="850190"/>
    <s v="No More Room in Hell"/>
    <d v="2024-02-15T00:00:00"/>
    <n v="474"/>
    <b v="0"/>
    <n v="797"/>
    <s v="GTX 1070"/>
    <x v="1"/>
    <x v="1"/>
  </r>
  <r>
    <n v="850190"/>
    <s v="No More Room in Hell"/>
    <d v="2024-02-15T00:00:00"/>
    <n v="474"/>
    <b v="0"/>
    <n v="797"/>
    <s v="GTX 1070"/>
    <x v="2"/>
    <x v="0"/>
  </r>
  <r>
    <n v="850190"/>
    <s v="No More Room in Hell"/>
    <d v="2024-02-15T00:00:00"/>
    <n v="474"/>
    <b v="0"/>
    <n v="797"/>
    <s v="GTX 1070"/>
    <x v="3"/>
    <x v="0"/>
  </r>
  <r>
    <n v="850190"/>
    <s v="No More Room in Hell"/>
    <d v="2024-02-15T00:00:00"/>
    <n v="474"/>
    <b v="0"/>
    <n v="797"/>
    <s v="GTX 1070"/>
    <x v="4"/>
    <x v="1"/>
  </r>
  <r>
    <n v="850190"/>
    <s v="No More Room in Hell"/>
    <d v="2024-02-15T00:00:00"/>
    <n v="474"/>
    <b v="0"/>
    <n v="797"/>
    <s v="GTX 1070"/>
    <x v="5"/>
    <x v="1"/>
  </r>
  <r>
    <n v="850190"/>
    <s v="No More Room in Hell"/>
    <d v="2024-02-15T00:00:00"/>
    <n v="474"/>
    <b v="0"/>
    <n v="797"/>
    <s v="GTX 1070"/>
    <x v="6"/>
    <x v="1"/>
  </r>
  <r>
    <n v="224260"/>
    <s v="Satisfactory Modeler"/>
    <d v="2013-10-31T00:00:00"/>
    <n v="473"/>
    <b v="0"/>
    <n v="799"/>
    <s v="Radeon Graphics"/>
    <x v="0"/>
    <x v="0"/>
  </r>
  <r>
    <n v="224260"/>
    <s v="Satisfactory Modeler"/>
    <d v="2013-10-31T00:00:00"/>
    <n v="473"/>
    <b v="0"/>
    <n v="799"/>
    <s v="Radeon Graphics"/>
    <x v="1"/>
    <x v="0"/>
  </r>
  <r>
    <n v="224260"/>
    <s v="Satisfactory Modeler"/>
    <d v="2013-10-31T00:00:00"/>
    <n v="473"/>
    <b v="0"/>
    <n v="799"/>
    <s v="Radeon Graphics"/>
    <x v="2"/>
    <x v="1"/>
  </r>
  <r>
    <n v="224260"/>
    <s v="Satisfactory Modeler"/>
    <d v="2013-10-31T00:00:00"/>
    <n v="473"/>
    <b v="0"/>
    <n v="799"/>
    <s v="Radeon Graphics"/>
    <x v="3"/>
    <x v="1"/>
  </r>
  <r>
    <n v="224260"/>
    <s v="Satisfactory Modeler"/>
    <d v="2013-10-31T00:00:00"/>
    <n v="473"/>
    <b v="0"/>
    <n v="799"/>
    <s v="Radeon Graphics"/>
    <x v="4"/>
    <x v="1"/>
  </r>
  <r>
    <n v="224260"/>
    <s v="Satisfactory Modeler"/>
    <d v="2013-10-31T00:00:00"/>
    <n v="473"/>
    <b v="0"/>
    <n v="799"/>
    <s v="Radeon Graphics"/>
    <x v="5"/>
    <x v="1"/>
  </r>
  <r>
    <n v="224260"/>
    <s v="Satisfactory Modeler"/>
    <d v="2013-10-31T00:00:00"/>
    <n v="473"/>
    <b v="0"/>
    <n v="799"/>
    <s v="Radeon Graphics"/>
    <x v="6"/>
    <x v="0"/>
  </r>
  <r>
    <n v="2080690"/>
    <s v="Yet Another Zombie Survivors"/>
    <d v="2023-08-25T00:00:00"/>
    <n v="472"/>
    <b v="0"/>
    <n v="800"/>
    <s v="Radeon Vega 11"/>
    <x v="0"/>
    <x v="0"/>
  </r>
  <r>
    <n v="2080690"/>
    <s v="Yet Another Zombie Survivors"/>
    <d v="2023-08-25T00:00:00"/>
    <n v="472"/>
    <b v="0"/>
    <n v="800"/>
    <s v="Radeon Vega 11"/>
    <x v="1"/>
    <x v="0"/>
  </r>
  <r>
    <n v="2080690"/>
    <s v="Yet Another Zombie Survivors"/>
    <d v="2023-08-25T00:00:00"/>
    <n v="472"/>
    <b v="0"/>
    <n v="800"/>
    <s v="Radeon Vega 11"/>
    <x v="2"/>
    <x v="1"/>
  </r>
  <r>
    <n v="2080690"/>
    <s v="Yet Another Zombie Survivors"/>
    <d v="2023-08-25T00:00:00"/>
    <n v="472"/>
    <b v="0"/>
    <n v="800"/>
    <s v="Radeon Vega 11"/>
    <x v="3"/>
    <x v="1"/>
  </r>
  <r>
    <n v="2080690"/>
    <s v="Yet Another Zombie Survivors"/>
    <d v="2023-08-25T00:00:00"/>
    <n v="472"/>
    <b v="0"/>
    <n v="800"/>
    <s v="Radeon Vega 11"/>
    <x v="4"/>
    <x v="1"/>
  </r>
  <r>
    <n v="2080690"/>
    <s v="Yet Another Zombie Survivors"/>
    <d v="2023-08-25T00:00:00"/>
    <n v="472"/>
    <b v="0"/>
    <n v="800"/>
    <s v="Radeon Vega 11"/>
    <x v="5"/>
    <x v="1"/>
  </r>
  <r>
    <n v="2080690"/>
    <s v="Yet Another Zombie Survivors"/>
    <d v="2023-08-25T00:00:00"/>
    <n v="472"/>
    <b v="0"/>
    <n v="800"/>
    <s v="Radeon Vega 11"/>
    <x v="6"/>
    <x v="1"/>
  </r>
  <r>
    <n v="2163330"/>
    <s v="Yakuza: Like a Dragon"/>
    <d v="2023-07-13T00:00:00"/>
    <n v="472"/>
    <b v="0"/>
    <n v="800"/>
    <s v="RTX 2060"/>
    <x v="0"/>
    <x v="0"/>
  </r>
  <r>
    <n v="2163330"/>
    <s v="Yakuza: Like a Dragon"/>
    <d v="2023-07-13T00:00:00"/>
    <n v="472"/>
    <b v="0"/>
    <n v="800"/>
    <s v="RTX 2060"/>
    <x v="1"/>
    <x v="0"/>
  </r>
  <r>
    <n v="2163330"/>
    <s v="Yakuza: Like a Dragon"/>
    <d v="2023-07-13T00:00:00"/>
    <n v="472"/>
    <b v="0"/>
    <n v="800"/>
    <s v="RTX 2060"/>
    <x v="2"/>
    <x v="1"/>
  </r>
  <r>
    <n v="2163330"/>
    <s v="Yakuza: Like a Dragon"/>
    <d v="2023-07-13T00:00:00"/>
    <n v="472"/>
    <b v="0"/>
    <n v="800"/>
    <s v="RTX 2060"/>
    <x v="3"/>
    <x v="1"/>
  </r>
  <r>
    <n v="2163330"/>
    <s v="Yakuza: Like a Dragon"/>
    <d v="2023-07-13T00:00:00"/>
    <n v="472"/>
    <b v="0"/>
    <n v="800"/>
    <s v="RTX 2060"/>
    <x v="4"/>
    <x v="0"/>
  </r>
  <r>
    <n v="2163330"/>
    <s v="Yakuza: Like a Dragon"/>
    <d v="2023-07-13T00:00:00"/>
    <n v="472"/>
    <b v="0"/>
    <n v="800"/>
    <s v="RTX 2060"/>
    <x v="5"/>
    <x v="1"/>
  </r>
  <r>
    <n v="2163330"/>
    <s v="Yakuza: Like a Dragon"/>
    <d v="2023-07-13T00:00:00"/>
    <n v="472"/>
    <b v="0"/>
    <n v="800"/>
    <s v="RTX 2060"/>
    <x v="6"/>
    <x v="1"/>
  </r>
  <r>
    <n v="1235140"/>
    <s v="Ascension"/>
    <d v="2020-11-10T00:00:00"/>
    <n v="470"/>
    <b v="0"/>
    <n v="802"/>
    <s v="RX 580"/>
    <x v="0"/>
    <x v="0"/>
  </r>
  <r>
    <n v="1235140"/>
    <s v="Ascension"/>
    <d v="2020-11-10T00:00:00"/>
    <n v="470"/>
    <b v="0"/>
    <n v="802"/>
    <s v="RX 580"/>
    <x v="1"/>
    <x v="1"/>
  </r>
  <r>
    <n v="1235140"/>
    <s v="Ascension"/>
    <d v="2020-11-10T00:00:00"/>
    <n v="470"/>
    <b v="0"/>
    <n v="802"/>
    <s v="RX 580"/>
    <x v="2"/>
    <x v="0"/>
  </r>
  <r>
    <n v="1235140"/>
    <s v="Ascension"/>
    <d v="2020-11-10T00:00:00"/>
    <n v="470"/>
    <b v="0"/>
    <n v="802"/>
    <s v="RX 580"/>
    <x v="3"/>
    <x v="1"/>
  </r>
  <r>
    <n v="1235140"/>
    <s v="Ascension"/>
    <d v="2020-11-10T00:00:00"/>
    <n v="470"/>
    <b v="0"/>
    <n v="802"/>
    <s v="RX 580"/>
    <x v="4"/>
    <x v="0"/>
  </r>
  <r>
    <n v="1235140"/>
    <s v="Ascension"/>
    <d v="2020-11-10T00:00:00"/>
    <n v="470"/>
    <b v="0"/>
    <n v="802"/>
    <s v="RX 580"/>
    <x v="5"/>
    <x v="1"/>
  </r>
  <r>
    <n v="1235140"/>
    <s v="Ascension"/>
    <d v="2020-11-10T00:00:00"/>
    <n v="470"/>
    <b v="0"/>
    <n v="802"/>
    <s v="RX 580"/>
    <x v="6"/>
    <x v="1"/>
  </r>
  <r>
    <n v="2328480"/>
    <s v="Outward Definitive Edition"/>
    <d v="2025-05-08T00:00:00"/>
    <n v="470"/>
    <b v="0"/>
    <n v="802"/>
    <s v="RTX 2060"/>
    <x v="0"/>
    <x v="1"/>
  </r>
  <r>
    <n v="2328480"/>
    <s v="Outward Definitive Edition"/>
    <d v="2025-05-08T00:00:00"/>
    <n v="470"/>
    <b v="0"/>
    <n v="802"/>
    <s v="RTX 2060"/>
    <x v="1"/>
    <x v="1"/>
  </r>
  <r>
    <n v="2328480"/>
    <s v="Outward Definitive Edition"/>
    <d v="2025-05-08T00:00:00"/>
    <n v="470"/>
    <b v="0"/>
    <n v="802"/>
    <s v="RTX 2060"/>
    <x v="2"/>
    <x v="1"/>
  </r>
  <r>
    <n v="2328480"/>
    <s v="Outward Definitive Edition"/>
    <d v="2025-05-08T00:00:00"/>
    <n v="470"/>
    <b v="0"/>
    <n v="802"/>
    <s v="RTX 2060"/>
    <x v="3"/>
    <x v="1"/>
  </r>
  <r>
    <n v="2328480"/>
    <s v="Outward Definitive Edition"/>
    <d v="2025-05-08T00:00:00"/>
    <n v="470"/>
    <b v="0"/>
    <n v="802"/>
    <s v="RTX 2060"/>
    <x v="4"/>
    <x v="1"/>
  </r>
  <r>
    <n v="2328480"/>
    <s v="Outward Definitive Edition"/>
    <d v="2025-05-08T00:00:00"/>
    <n v="470"/>
    <b v="0"/>
    <n v="802"/>
    <s v="RTX 2060"/>
    <x v="5"/>
    <x v="0"/>
  </r>
  <r>
    <n v="2328480"/>
    <s v="Outward Definitive Edition"/>
    <d v="2025-05-08T00:00:00"/>
    <n v="470"/>
    <b v="0"/>
    <n v="802"/>
    <s v="RTX 2060"/>
    <x v="6"/>
    <x v="1"/>
  </r>
  <r>
    <n v="794260"/>
    <s v="ATLAS"/>
    <d v="2022-05-17T00:00:00"/>
    <n v="469"/>
    <b v="0"/>
    <n v="804"/>
    <s v="GTX 1050 Ti"/>
    <x v="0"/>
    <x v="1"/>
  </r>
  <r>
    <n v="794260"/>
    <s v="ATLAS"/>
    <d v="2022-05-17T00:00:00"/>
    <n v="469"/>
    <b v="0"/>
    <n v="804"/>
    <s v="GTX 1050 Ti"/>
    <x v="1"/>
    <x v="1"/>
  </r>
  <r>
    <n v="794260"/>
    <s v="ATLAS"/>
    <d v="2022-05-17T00:00:00"/>
    <n v="469"/>
    <b v="0"/>
    <n v="804"/>
    <s v="GTX 1050 Ti"/>
    <x v="2"/>
    <x v="1"/>
  </r>
  <r>
    <n v="794260"/>
    <s v="ATLAS"/>
    <d v="2022-05-17T00:00:00"/>
    <n v="469"/>
    <b v="0"/>
    <n v="804"/>
    <s v="GTX 1050 Ti"/>
    <x v="3"/>
    <x v="1"/>
  </r>
  <r>
    <n v="794260"/>
    <s v="ATLAS"/>
    <d v="2022-05-17T00:00:00"/>
    <n v="469"/>
    <b v="0"/>
    <n v="804"/>
    <s v="GTX 1050 Ti"/>
    <x v="4"/>
    <x v="0"/>
  </r>
  <r>
    <n v="794260"/>
    <s v="ATLAS"/>
    <d v="2022-05-17T00:00:00"/>
    <n v="469"/>
    <b v="0"/>
    <n v="804"/>
    <s v="GTX 1050 Ti"/>
    <x v="5"/>
    <x v="1"/>
  </r>
  <r>
    <n v="794260"/>
    <s v="ATLAS"/>
    <d v="2022-05-17T00:00:00"/>
    <n v="469"/>
    <b v="0"/>
    <n v="804"/>
    <s v="GTX 1050 Ti"/>
    <x v="6"/>
    <x v="1"/>
  </r>
  <r>
    <n v="834910"/>
    <s v="UNCHARTED: Legacy of Thieves Collection"/>
    <d v="2018-12-22T00:00:00"/>
    <n v="468"/>
    <b v="0"/>
    <n v="805"/>
    <s v="GTX 1050 Ti"/>
    <x v="0"/>
    <x v="0"/>
  </r>
  <r>
    <n v="834910"/>
    <s v="UNCHARTED: Legacy of Thieves Collection"/>
    <d v="2018-12-22T00:00:00"/>
    <n v="468"/>
    <b v="0"/>
    <n v="805"/>
    <s v="GTX 1050 Ti"/>
    <x v="1"/>
    <x v="1"/>
  </r>
  <r>
    <n v="834910"/>
    <s v="UNCHARTED: Legacy of Thieves Collection"/>
    <d v="2018-12-22T00:00:00"/>
    <n v="468"/>
    <b v="0"/>
    <n v="805"/>
    <s v="GTX 1050 Ti"/>
    <x v="2"/>
    <x v="0"/>
  </r>
  <r>
    <n v="834910"/>
    <s v="UNCHARTED: Legacy of Thieves Collection"/>
    <d v="2018-12-22T00:00:00"/>
    <n v="468"/>
    <b v="0"/>
    <n v="805"/>
    <s v="GTX 1050 Ti"/>
    <x v="3"/>
    <x v="1"/>
  </r>
  <r>
    <n v="834910"/>
    <s v="UNCHARTED: Legacy of Thieves Collection"/>
    <d v="2018-12-22T00:00:00"/>
    <n v="468"/>
    <b v="0"/>
    <n v="805"/>
    <s v="GTX 1050 Ti"/>
    <x v="4"/>
    <x v="0"/>
  </r>
  <r>
    <n v="834910"/>
    <s v="UNCHARTED: Legacy of Thieves Collection"/>
    <d v="2018-12-22T00:00:00"/>
    <n v="468"/>
    <b v="0"/>
    <n v="805"/>
    <s v="GTX 1050 Ti"/>
    <x v="5"/>
    <x v="1"/>
  </r>
  <r>
    <n v="834910"/>
    <s v="UNCHARTED: Legacy of Thieves Collection"/>
    <d v="2018-12-22T00:00:00"/>
    <n v="468"/>
    <b v="0"/>
    <n v="805"/>
    <s v="GTX 1050 Ti"/>
    <x v="6"/>
    <x v="1"/>
  </r>
  <r>
    <n v="1659420"/>
    <s v="Atomic Heart"/>
    <d v="2022-10-19T00:00:00"/>
    <n v="467"/>
    <b v="0"/>
    <n v="806"/>
    <s v="GTX 1060"/>
    <x v="0"/>
    <x v="1"/>
  </r>
  <r>
    <n v="1659420"/>
    <s v="Atomic Heart"/>
    <d v="2022-10-19T00:00:00"/>
    <n v="467"/>
    <b v="0"/>
    <n v="806"/>
    <s v="GTX 1060"/>
    <x v="1"/>
    <x v="1"/>
  </r>
  <r>
    <n v="1659420"/>
    <s v="Atomic Heart"/>
    <d v="2022-10-19T00:00:00"/>
    <n v="467"/>
    <b v="0"/>
    <n v="806"/>
    <s v="GTX 1060"/>
    <x v="2"/>
    <x v="0"/>
  </r>
  <r>
    <n v="1659420"/>
    <s v="Atomic Heart"/>
    <d v="2022-10-19T00:00:00"/>
    <n v="467"/>
    <b v="0"/>
    <n v="806"/>
    <s v="GTX 1060"/>
    <x v="3"/>
    <x v="1"/>
  </r>
  <r>
    <n v="1659420"/>
    <s v="Atomic Heart"/>
    <d v="2022-10-19T00:00:00"/>
    <n v="467"/>
    <b v="0"/>
    <n v="806"/>
    <s v="GTX 1060"/>
    <x v="4"/>
    <x v="1"/>
  </r>
  <r>
    <n v="1659420"/>
    <s v="Atomic Heart"/>
    <d v="2022-10-19T00:00:00"/>
    <n v="467"/>
    <b v="0"/>
    <n v="806"/>
    <s v="GTX 1060"/>
    <x v="5"/>
    <x v="1"/>
  </r>
  <r>
    <n v="1659420"/>
    <s v="Atomic Heart"/>
    <d v="2022-10-19T00:00:00"/>
    <n v="467"/>
    <b v="0"/>
    <n v="806"/>
    <s v="GTX 1060"/>
    <x v="6"/>
    <x v="1"/>
  </r>
  <r>
    <n v="668580"/>
    <s v="Powernaut VANGARDT"/>
    <d v="2023-02-20T00:00:00"/>
    <n v="466"/>
    <b v="0"/>
    <n v="807"/>
    <s v="RX 6700 XT"/>
    <x v="0"/>
    <x v="0"/>
  </r>
  <r>
    <n v="668580"/>
    <s v="Powernaut VANGARDT"/>
    <d v="2023-02-20T00:00:00"/>
    <n v="466"/>
    <b v="0"/>
    <n v="807"/>
    <s v="RX 6700 XT"/>
    <x v="1"/>
    <x v="1"/>
  </r>
  <r>
    <n v="668580"/>
    <s v="Powernaut VANGARDT"/>
    <d v="2023-02-20T00:00:00"/>
    <n v="466"/>
    <b v="0"/>
    <n v="807"/>
    <s v="RX 6700 XT"/>
    <x v="2"/>
    <x v="0"/>
  </r>
  <r>
    <n v="668580"/>
    <s v="Powernaut VANGARDT"/>
    <d v="2023-02-20T00:00:00"/>
    <n v="466"/>
    <b v="0"/>
    <n v="807"/>
    <s v="RX 6700 XT"/>
    <x v="3"/>
    <x v="1"/>
  </r>
  <r>
    <n v="668580"/>
    <s v="Powernaut VANGARDT"/>
    <d v="2023-02-20T00:00:00"/>
    <n v="466"/>
    <b v="0"/>
    <n v="807"/>
    <s v="RX 6700 XT"/>
    <x v="4"/>
    <x v="0"/>
  </r>
  <r>
    <n v="668580"/>
    <s v="Powernaut VANGARDT"/>
    <d v="2023-02-20T00:00:00"/>
    <n v="466"/>
    <b v="0"/>
    <n v="807"/>
    <s v="RX 6700 XT"/>
    <x v="5"/>
    <x v="1"/>
  </r>
  <r>
    <n v="668580"/>
    <s v="Powernaut VANGARDT"/>
    <d v="2023-02-20T00:00:00"/>
    <n v="466"/>
    <b v="0"/>
    <n v="807"/>
    <s v="RX 6700 XT"/>
    <x v="6"/>
    <x v="1"/>
  </r>
  <r>
    <n v="602880"/>
    <s v="Diplomacy is Not an Option"/>
    <d v="2017-03-28T00:00:00"/>
    <n v="465"/>
    <b v="0"/>
    <n v="808"/>
    <s v="Radeon Vega 11"/>
    <x v="0"/>
    <x v="0"/>
  </r>
  <r>
    <n v="602880"/>
    <s v="Diplomacy is Not an Option"/>
    <d v="2017-03-28T00:00:00"/>
    <n v="465"/>
    <b v="0"/>
    <n v="808"/>
    <s v="Radeon Vega 11"/>
    <x v="1"/>
    <x v="0"/>
  </r>
  <r>
    <n v="602880"/>
    <s v="Diplomacy is Not an Option"/>
    <d v="2017-03-28T00:00:00"/>
    <n v="465"/>
    <b v="0"/>
    <n v="808"/>
    <s v="Radeon Vega 11"/>
    <x v="2"/>
    <x v="0"/>
  </r>
  <r>
    <n v="602880"/>
    <s v="Diplomacy is Not an Option"/>
    <d v="2017-03-28T00:00:00"/>
    <n v="465"/>
    <b v="0"/>
    <n v="808"/>
    <s v="Radeon Vega 11"/>
    <x v="3"/>
    <x v="1"/>
  </r>
  <r>
    <n v="602880"/>
    <s v="Diplomacy is Not an Option"/>
    <d v="2017-03-28T00:00:00"/>
    <n v="465"/>
    <b v="0"/>
    <n v="808"/>
    <s v="Radeon Vega 11"/>
    <x v="4"/>
    <x v="1"/>
  </r>
  <r>
    <n v="602880"/>
    <s v="Diplomacy is Not an Option"/>
    <d v="2017-03-28T00:00:00"/>
    <n v="465"/>
    <b v="0"/>
    <n v="808"/>
    <s v="Radeon Vega 11"/>
    <x v="5"/>
    <x v="1"/>
  </r>
  <r>
    <n v="602880"/>
    <s v="Diplomacy is Not an Option"/>
    <d v="2017-03-28T00:00:00"/>
    <n v="465"/>
    <b v="0"/>
    <n v="808"/>
    <s v="Radeon Vega 11"/>
    <x v="6"/>
    <x v="1"/>
  </r>
  <r>
    <n v="1272320"/>
    <s v="Big Ambitions"/>
    <d v="2024-10-04T00:00:00"/>
    <n v="464"/>
    <b v="0"/>
    <n v="809"/>
    <s v="RTX 2060"/>
    <x v="0"/>
    <x v="1"/>
  </r>
  <r>
    <n v="1272320"/>
    <s v="Big Ambitions"/>
    <d v="2024-10-04T00:00:00"/>
    <n v="464"/>
    <b v="0"/>
    <n v="809"/>
    <s v="RTX 2060"/>
    <x v="1"/>
    <x v="0"/>
  </r>
  <r>
    <n v="1272320"/>
    <s v="Big Ambitions"/>
    <d v="2024-10-04T00:00:00"/>
    <n v="464"/>
    <b v="0"/>
    <n v="809"/>
    <s v="RTX 2060"/>
    <x v="2"/>
    <x v="1"/>
  </r>
  <r>
    <n v="1272320"/>
    <s v="Big Ambitions"/>
    <d v="2024-10-04T00:00:00"/>
    <n v="464"/>
    <b v="0"/>
    <n v="809"/>
    <s v="RTX 2060"/>
    <x v="3"/>
    <x v="0"/>
  </r>
  <r>
    <n v="1272320"/>
    <s v="Big Ambitions"/>
    <d v="2024-10-04T00:00:00"/>
    <n v="464"/>
    <b v="0"/>
    <n v="809"/>
    <s v="RTX 2060"/>
    <x v="4"/>
    <x v="1"/>
  </r>
  <r>
    <n v="1272320"/>
    <s v="Big Ambitions"/>
    <d v="2024-10-04T00:00:00"/>
    <n v="464"/>
    <b v="0"/>
    <n v="809"/>
    <s v="RTX 2060"/>
    <x v="5"/>
    <x v="0"/>
  </r>
  <r>
    <n v="1272320"/>
    <s v="Big Ambitions"/>
    <d v="2024-10-04T00:00:00"/>
    <n v="464"/>
    <b v="0"/>
    <n v="809"/>
    <s v="RTX 2060"/>
    <x v="6"/>
    <x v="1"/>
  </r>
  <r>
    <n v="1331550"/>
    <s v="EverQuest"/>
    <d v="2023-03-10T00:00:00"/>
    <n v="460"/>
    <b v="1"/>
    <n v="810"/>
    <s v="RTX 2060"/>
    <x v="0"/>
    <x v="1"/>
  </r>
  <r>
    <n v="1331550"/>
    <s v="EverQuest"/>
    <d v="2023-03-10T00:00:00"/>
    <n v="460"/>
    <b v="1"/>
    <n v="810"/>
    <s v="RTX 2060"/>
    <x v="1"/>
    <x v="0"/>
  </r>
  <r>
    <n v="1331550"/>
    <s v="EverQuest"/>
    <d v="2023-03-10T00:00:00"/>
    <n v="460"/>
    <b v="1"/>
    <n v="810"/>
    <s v="RTX 2060"/>
    <x v="2"/>
    <x v="1"/>
  </r>
  <r>
    <n v="1331550"/>
    <s v="EverQuest"/>
    <d v="2023-03-10T00:00:00"/>
    <n v="460"/>
    <b v="1"/>
    <n v="810"/>
    <s v="RTX 2060"/>
    <x v="3"/>
    <x v="0"/>
  </r>
  <r>
    <n v="1331550"/>
    <s v="EverQuest"/>
    <d v="2023-03-10T00:00:00"/>
    <n v="460"/>
    <b v="1"/>
    <n v="810"/>
    <s v="RTX 2060"/>
    <x v="4"/>
    <x v="1"/>
  </r>
  <r>
    <n v="1331550"/>
    <s v="EverQuest"/>
    <d v="2023-03-10T00:00:00"/>
    <n v="460"/>
    <b v="1"/>
    <n v="810"/>
    <s v="RTX 2060"/>
    <x v="5"/>
    <x v="1"/>
  </r>
  <r>
    <n v="1331550"/>
    <s v="EverQuest"/>
    <d v="2023-03-10T00:00:00"/>
    <n v="460"/>
    <b v="1"/>
    <n v="810"/>
    <s v="RTX 2060"/>
    <x v="6"/>
    <x v="1"/>
  </r>
  <r>
    <n v="205710"/>
    <s v="Lootun"/>
    <d v="2012-12-13T00:00:00"/>
    <n v="456"/>
    <b v="0"/>
    <n v="811"/>
    <s v="RTX 2060"/>
    <x v="0"/>
    <x v="1"/>
  </r>
  <r>
    <n v="205710"/>
    <s v="Lootun"/>
    <d v="2012-12-13T00:00:00"/>
    <n v="456"/>
    <b v="0"/>
    <n v="811"/>
    <s v="RTX 2060"/>
    <x v="1"/>
    <x v="1"/>
  </r>
  <r>
    <n v="205710"/>
    <s v="Lootun"/>
    <d v="2012-12-13T00:00:00"/>
    <n v="456"/>
    <b v="0"/>
    <n v="811"/>
    <s v="RTX 2060"/>
    <x v="2"/>
    <x v="1"/>
  </r>
  <r>
    <n v="205710"/>
    <s v="Lootun"/>
    <d v="2012-12-13T00:00:00"/>
    <n v="456"/>
    <b v="0"/>
    <n v="811"/>
    <s v="RTX 2060"/>
    <x v="3"/>
    <x v="1"/>
  </r>
  <r>
    <n v="205710"/>
    <s v="Lootun"/>
    <d v="2012-12-13T00:00:00"/>
    <n v="456"/>
    <b v="0"/>
    <n v="811"/>
    <s v="RTX 2060"/>
    <x v="4"/>
    <x v="0"/>
  </r>
  <r>
    <n v="205710"/>
    <s v="Lootun"/>
    <d v="2012-12-13T00:00:00"/>
    <n v="456"/>
    <b v="0"/>
    <n v="811"/>
    <s v="RTX 2060"/>
    <x v="5"/>
    <x v="1"/>
  </r>
  <r>
    <n v="205710"/>
    <s v="Lootun"/>
    <d v="2012-12-13T00:00:00"/>
    <n v="456"/>
    <b v="0"/>
    <n v="811"/>
    <s v="RTX 2060"/>
    <x v="6"/>
    <x v="0"/>
  </r>
  <r>
    <n v="1960270"/>
    <s v="Railroader"/>
    <d v="2024-05-14T00:00:00"/>
    <n v="455"/>
    <b v="0"/>
    <n v="812"/>
    <s v="GTX 1660"/>
    <x v="0"/>
    <x v="1"/>
  </r>
  <r>
    <n v="1960270"/>
    <s v="Railroader"/>
    <d v="2024-05-14T00:00:00"/>
    <n v="455"/>
    <b v="0"/>
    <n v="812"/>
    <s v="GTX 1660"/>
    <x v="1"/>
    <x v="1"/>
  </r>
  <r>
    <n v="1960270"/>
    <s v="Railroader"/>
    <d v="2024-05-14T00:00:00"/>
    <n v="455"/>
    <b v="0"/>
    <n v="812"/>
    <s v="GTX 1660"/>
    <x v="2"/>
    <x v="1"/>
  </r>
  <r>
    <n v="1960270"/>
    <s v="Railroader"/>
    <d v="2024-05-14T00:00:00"/>
    <n v="455"/>
    <b v="0"/>
    <n v="812"/>
    <s v="GTX 1660"/>
    <x v="3"/>
    <x v="1"/>
  </r>
  <r>
    <n v="1960270"/>
    <s v="Railroader"/>
    <d v="2024-05-14T00:00:00"/>
    <n v="455"/>
    <b v="0"/>
    <n v="812"/>
    <s v="GTX 1660"/>
    <x v="4"/>
    <x v="0"/>
  </r>
  <r>
    <n v="1960270"/>
    <s v="Railroader"/>
    <d v="2024-05-14T00:00:00"/>
    <n v="455"/>
    <b v="0"/>
    <n v="812"/>
    <s v="GTX 1660"/>
    <x v="5"/>
    <x v="1"/>
  </r>
  <r>
    <n v="1960270"/>
    <s v="Railroader"/>
    <d v="2024-05-14T00:00:00"/>
    <n v="455"/>
    <b v="0"/>
    <n v="812"/>
    <s v="GTX 1660"/>
    <x v="6"/>
    <x v="1"/>
  </r>
  <r>
    <n v="1683150"/>
    <s v="Dragon Age Inquisition"/>
    <d v="2023-12-07T00:00:00"/>
    <n v="455"/>
    <b v="0"/>
    <n v="812"/>
    <s v="GTX 1660"/>
    <x v="0"/>
    <x v="1"/>
  </r>
  <r>
    <n v="1683150"/>
    <s v="Dragon Age Inquisition"/>
    <d v="2023-12-07T00:00:00"/>
    <n v="455"/>
    <b v="0"/>
    <n v="812"/>
    <s v="GTX 1660"/>
    <x v="1"/>
    <x v="1"/>
  </r>
  <r>
    <n v="1683150"/>
    <s v="Dragon Age Inquisition"/>
    <d v="2023-12-07T00:00:00"/>
    <n v="455"/>
    <b v="0"/>
    <n v="812"/>
    <s v="GTX 1660"/>
    <x v="2"/>
    <x v="1"/>
  </r>
  <r>
    <n v="1683150"/>
    <s v="Dragon Age Inquisition"/>
    <d v="2023-12-07T00:00:00"/>
    <n v="455"/>
    <b v="0"/>
    <n v="812"/>
    <s v="GTX 1660"/>
    <x v="3"/>
    <x v="0"/>
  </r>
  <r>
    <n v="1683150"/>
    <s v="Dragon Age Inquisition"/>
    <d v="2023-12-07T00:00:00"/>
    <n v="455"/>
    <b v="0"/>
    <n v="812"/>
    <s v="GTX 1660"/>
    <x v="4"/>
    <x v="1"/>
  </r>
  <r>
    <n v="1683150"/>
    <s v="Dragon Age Inquisition"/>
    <d v="2023-12-07T00:00:00"/>
    <n v="455"/>
    <b v="0"/>
    <n v="812"/>
    <s v="GTX 1660"/>
    <x v="5"/>
    <x v="0"/>
  </r>
  <r>
    <n v="1683150"/>
    <s v="Dragon Age Inquisition"/>
    <d v="2023-12-07T00:00:00"/>
    <n v="455"/>
    <b v="0"/>
    <n v="812"/>
    <s v="GTX 1660"/>
    <x v="6"/>
    <x v="1"/>
  </r>
  <r>
    <n v="1222690"/>
    <s v="SULFUR"/>
    <d v="2020-06-04T00:00:00"/>
    <n v="454"/>
    <b v="0"/>
    <n v="814"/>
    <s v="RX 560"/>
    <x v="0"/>
    <x v="0"/>
  </r>
  <r>
    <n v="1222690"/>
    <s v="SULFUR"/>
    <d v="2020-06-04T00:00:00"/>
    <n v="454"/>
    <b v="0"/>
    <n v="814"/>
    <s v="RX 560"/>
    <x v="1"/>
    <x v="1"/>
  </r>
  <r>
    <n v="1222690"/>
    <s v="SULFUR"/>
    <d v="2020-06-04T00:00:00"/>
    <n v="454"/>
    <b v="0"/>
    <n v="814"/>
    <s v="RX 560"/>
    <x v="2"/>
    <x v="0"/>
  </r>
  <r>
    <n v="1222690"/>
    <s v="SULFUR"/>
    <d v="2020-06-04T00:00:00"/>
    <n v="454"/>
    <b v="0"/>
    <n v="814"/>
    <s v="RX 560"/>
    <x v="3"/>
    <x v="1"/>
  </r>
  <r>
    <n v="1222690"/>
    <s v="SULFUR"/>
    <d v="2020-06-04T00:00:00"/>
    <n v="454"/>
    <b v="0"/>
    <n v="814"/>
    <s v="RX 560"/>
    <x v="4"/>
    <x v="0"/>
  </r>
  <r>
    <n v="1222690"/>
    <s v="SULFUR"/>
    <d v="2020-06-04T00:00:00"/>
    <n v="454"/>
    <b v="0"/>
    <n v="814"/>
    <s v="RX 560"/>
    <x v="5"/>
    <x v="0"/>
  </r>
  <r>
    <n v="1222690"/>
    <s v="SULFUR"/>
    <d v="2020-06-04T00:00:00"/>
    <n v="454"/>
    <b v="0"/>
    <n v="814"/>
    <s v="RX 560"/>
    <x v="6"/>
    <x v="1"/>
  </r>
  <r>
    <n v="2124120"/>
    <s v="Undawn"/>
    <d v="2024-10-28T00:00:00"/>
    <n v="451"/>
    <b v="0"/>
    <n v="815"/>
    <s v="GTX 1080"/>
    <x v="0"/>
    <x v="0"/>
  </r>
  <r>
    <n v="2124120"/>
    <s v="Undawn"/>
    <d v="2024-10-28T00:00:00"/>
    <n v="451"/>
    <b v="0"/>
    <n v="815"/>
    <s v="GTX 1080"/>
    <x v="1"/>
    <x v="0"/>
  </r>
  <r>
    <n v="2124120"/>
    <s v="Undawn"/>
    <d v="2024-10-28T00:00:00"/>
    <n v="451"/>
    <b v="0"/>
    <n v="815"/>
    <s v="GTX 1080"/>
    <x v="2"/>
    <x v="0"/>
  </r>
  <r>
    <n v="2124120"/>
    <s v="Undawn"/>
    <d v="2024-10-28T00:00:00"/>
    <n v="451"/>
    <b v="0"/>
    <n v="815"/>
    <s v="GTX 1080"/>
    <x v="3"/>
    <x v="0"/>
  </r>
  <r>
    <n v="2124120"/>
    <s v="Undawn"/>
    <d v="2024-10-28T00:00:00"/>
    <n v="451"/>
    <b v="0"/>
    <n v="815"/>
    <s v="GTX 1080"/>
    <x v="4"/>
    <x v="0"/>
  </r>
  <r>
    <n v="2124120"/>
    <s v="Undawn"/>
    <d v="2024-10-28T00:00:00"/>
    <n v="451"/>
    <b v="0"/>
    <n v="815"/>
    <s v="GTX 1080"/>
    <x v="5"/>
    <x v="1"/>
  </r>
  <r>
    <n v="2124120"/>
    <s v="Undawn"/>
    <d v="2024-10-28T00:00:00"/>
    <n v="451"/>
    <b v="0"/>
    <n v="815"/>
    <s v="GTX 1080"/>
    <x v="6"/>
    <x v="1"/>
  </r>
  <r>
    <n v="1881700"/>
    <s v="Angel Legion"/>
    <d v="2023-06-13T00:00:00"/>
    <n v="451"/>
    <b v="0"/>
    <n v="815"/>
    <s v="RTX 2060"/>
    <x v="0"/>
    <x v="1"/>
  </r>
  <r>
    <n v="1881700"/>
    <s v="Angel Legion"/>
    <d v="2023-06-13T00:00:00"/>
    <n v="451"/>
    <b v="0"/>
    <n v="815"/>
    <s v="RTX 2060"/>
    <x v="1"/>
    <x v="1"/>
  </r>
  <r>
    <n v="1881700"/>
    <s v="Angel Legion"/>
    <d v="2023-06-13T00:00:00"/>
    <n v="451"/>
    <b v="0"/>
    <n v="815"/>
    <s v="RTX 2060"/>
    <x v="2"/>
    <x v="0"/>
  </r>
  <r>
    <n v="1881700"/>
    <s v="Angel Legion"/>
    <d v="2023-06-13T00:00:00"/>
    <n v="451"/>
    <b v="0"/>
    <n v="815"/>
    <s v="RTX 2060"/>
    <x v="3"/>
    <x v="1"/>
  </r>
  <r>
    <n v="1881700"/>
    <s v="Angel Legion"/>
    <d v="2023-06-13T00:00:00"/>
    <n v="451"/>
    <b v="0"/>
    <n v="815"/>
    <s v="RTX 2060"/>
    <x v="4"/>
    <x v="0"/>
  </r>
  <r>
    <n v="1881700"/>
    <s v="Angel Legion"/>
    <d v="2023-06-13T00:00:00"/>
    <n v="451"/>
    <b v="0"/>
    <n v="815"/>
    <s v="RTX 2060"/>
    <x v="5"/>
    <x v="1"/>
  </r>
  <r>
    <n v="1881700"/>
    <s v="Angel Legion"/>
    <d v="2023-06-13T00:00:00"/>
    <n v="451"/>
    <b v="0"/>
    <n v="815"/>
    <s v="RTX 2060"/>
    <x v="6"/>
    <x v="0"/>
  </r>
  <r>
    <n v="1333350"/>
    <s v="Rising Storm 2: Vietnam"/>
    <d v="2020-08-14T00:00:00"/>
    <n v="450"/>
    <b v="1"/>
    <n v="817"/>
    <s v="GTX 750"/>
    <x v="0"/>
    <x v="1"/>
  </r>
  <r>
    <n v="1333350"/>
    <s v="Rising Storm 2: Vietnam"/>
    <d v="2020-08-14T00:00:00"/>
    <n v="450"/>
    <b v="1"/>
    <n v="817"/>
    <s v="GTX 750"/>
    <x v="1"/>
    <x v="1"/>
  </r>
  <r>
    <n v="1333350"/>
    <s v="Rising Storm 2: Vietnam"/>
    <d v="2020-08-14T00:00:00"/>
    <n v="450"/>
    <b v="1"/>
    <n v="817"/>
    <s v="GTX 750"/>
    <x v="2"/>
    <x v="0"/>
  </r>
  <r>
    <n v="1333350"/>
    <s v="Rising Storm 2: Vietnam"/>
    <d v="2020-08-14T00:00:00"/>
    <n v="450"/>
    <b v="1"/>
    <n v="817"/>
    <s v="GTX 750"/>
    <x v="3"/>
    <x v="1"/>
  </r>
  <r>
    <n v="1333350"/>
    <s v="Rising Storm 2: Vietnam"/>
    <d v="2020-08-14T00:00:00"/>
    <n v="450"/>
    <b v="1"/>
    <n v="817"/>
    <s v="GTX 750"/>
    <x v="4"/>
    <x v="0"/>
  </r>
  <r>
    <n v="1333350"/>
    <s v="Rising Storm 2: Vietnam"/>
    <d v="2020-08-14T00:00:00"/>
    <n v="450"/>
    <b v="1"/>
    <n v="817"/>
    <s v="GTX 750"/>
    <x v="5"/>
    <x v="0"/>
  </r>
  <r>
    <n v="1333350"/>
    <s v="Rising Storm 2: Vietnam"/>
    <d v="2020-08-14T00:00:00"/>
    <n v="450"/>
    <b v="1"/>
    <n v="817"/>
    <s v="GTX 750"/>
    <x v="6"/>
    <x v="0"/>
  </r>
  <r>
    <n v="418460"/>
    <s v="WRC 9 FIA World Rally Championship"/>
    <d v="2017-05-30T00:00:00"/>
    <n v="449"/>
    <b v="0"/>
    <n v="818"/>
    <s v="GTX 1050"/>
    <x v="0"/>
    <x v="0"/>
  </r>
  <r>
    <n v="418460"/>
    <s v="WRC 9 FIA World Rally Championship"/>
    <d v="2017-05-30T00:00:00"/>
    <n v="449"/>
    <b v="0"/>
    <n v="818"/>
    <s v="GTX 1050"/>
    <x v="1"/>
    <x v="1"/>
  </r>
  <r>
    <n v="418460"/>
    <s v="WRC 9 FIA World Rally Championship"/>
    <d v="2017-05-30T00:00:00"/>
    <n v="449"/>
    <b v="0"/>
    <n v="818"/>
    <s v="GTX 1050"/>
    <x v="2"/>
    <x v="1"/>
  </r>
  <r>
    <n v="418460"/>
    <s v="WRC 9 FIA World Rally Championship"/>
    <d v="2017-05-30T00:00:00"/>
    <n v="449"/>
    <b v="0"/>
    <n v="818"/>
    <s v="GTX 1050"/>
    <x v="3"/>
    <x v="0"/>
  </r>
  <r>
    <n v="418460"/>
    <s v="WRC 9 FIA World Rally Championship"/>
    <d v="2017-05-30T00:00:00"/>
    <n v="449"/>
    <b v="0"/>
    <n v="818"/>
    <s v="GTX 1050"/>
    <x v="4"/>
    <x v="1"/>
  </r>
  <r>
    <n v="418460"/>
    <s v="WRC 9 FIA World Rally Championship"/>
    <d v="2017-05-30T00:00:00"/>
    <n v="449"/>
    <b v="0"/>
    <n v="818"/>
    <s v="GTX 1050"/>
    <x v="5"/>
    <x v="0"/>
  </r>
  <r>
    <n v="418460"/>
    <s v="WRC 9 FIA World Rally Championship"/>
    <d v="2017-05-30T00:00:00"/>
    <n v="449"/>
    <b v="0"/>
    <n v="818"/>
    <s v="GTX 1050"/>
    <x v="6"/>
    <x v="1"/>
  </r>
  <r>
    <n v="1267540"/>
    <s v="DEVOUR"/>
    <d v="2021-09-16T00:00:00"/>
    <n v="448"/>
    <b v="0"/>
    <n v="819"/>
    <s v="GTX 1060"/>
    <x v="0"/>
    <x v="1"/>
  </r>
  <r>
    <n v="1267540"/>
    <s v="DEVOUR"/>
    <d v="2021-09-16T00:00:00"/>
    <n v="448"/>
    <b v="0"/>
    <n v="819"/>
    <s v="GTX 1060"/>
    <x v="1"/>
    <x v="1"/>
  </r>
  <r>
    <n v="1267540"/>
    <s v="DEVOUR"/>
    <d v="2021-09-16T00:00:00"/>
    <n v="448"/>
    <b v="0"/>
    <n v="819"/>
    <s v="GTX 1060"/>
    <x v="2"/>
    <x v="1"/>
  </r>
  <r>
    <n v="1267540"/>
    <s v="DEVOUR"/>
    <d v="2021-09-16T00:00:00"/>
    <n v="448"/>
    <b v="0"/>
    <n v="819"/>
    <s v="GTX 1060"/>
    <x v="3"/>
    <x v="0"/>
  </r>
  <r>
    <n v="1267540"/>
    <s v="DEVOUR"/>
    <d v="2021-09-16T00:00:00"/>
    <n v="448"/>
    <b v="0"/>
    <n v="819"/>
    <s v="GTX 1060"/>
    <x v="4"/>
    <x v="1"/>
  </r>
  <r>
    <n v="1267540"/>
    <s v="DEVOUR"/>
    <d v="2021-09-16T00:00:00"/>
    <n v="448"/>
    <b v="0"/>
    <n v="819"/>
    <s v="GTX 1060"/>
    <x v="5"/>
    <x v="1"/>
  </r>
  <r>
    <n v="1267540"/>
    <s v="DEVOUR"/>
    <d v="2021-09-16T00:00:00"/>
    <n v="448"/>
    <b v="0"/>
    <n v="819"/>
    <s v="GTX 1060"/>
    <x v="6"/>
    <x v="1"/>
  </r>
  <r>
    <n v="1274570"/>
    <s v="Cossacks 3"/>
    <d v="2021-01-28T00:00:00"/>
    <n v="447"/>
    <b v="1"/>
    <n v="820"/>
    <s v="GTX 970"/>
    <x v="0"/>
    <x v="1"/>
  </r>
  <r>
    <n v="1274570"/>
    <s v="Cossacks 3"/>
    <d v="2021-01-28T00:00:00"/>
    <n v="447"/>
    <b v="1"/>
    <n v="820"/>
    <s v="GTX 970"/>
    <x v="1"/>
    <x v="0"/>
  </r>
  <r>
    <n v="1274570"/>
    <s v="Cossacks 3"/>
    <d v="2021-01-28T00:00:00"/>
    <n v="447"/>
    <b v="1"/>
    <n v="820"/>
    <s v="GTX 970"/>
    <x v="2"/>
    <x v="1"/>
  </r>
  <r>
    <n v="1274570"/>
    <s v="Cossacks 3"/>
    <d v="2021-01-28T00:00:00"/>
    <n v="447"/>
    <b v="1"/>
    <n v="820"/>
    <s v="GTX 970"/>
    <x v="3"/>
    <x v="1"/>
  </r>
  <r>
    <n v="1274570"/>
    <s v="Cossacks 3"/>
    <d v="2021-01-28T00:00:00"/>
    <n v="447"/>
    <b v="1"/>
    <n v="820"/>
    <s v="GTX 970"/>
    <x v="4"/>
    <x v="1"/>
  </r>
  <r>
    <n v="1274570"/>
    <s v="Cossacks 3"/>
    <d v="2021-01-28T00:00:00"/>
    <n v="447"/>
    <b v="1"/>
    <n v="820"/>
    <s v="GTX 970"/>
    <x v="5"/>
    <x v="1"/>
  </r>
  <r>
    <n v="1274570"/>
    <s v="Cossacks 3"/>
    <d v="2021-01-28T00:00:00"/>
    <n v="447"/>
    <b v="1"/>
    <n v="820"/>
    <s v="GTX 970"/>
    <x v="6"/>
    <x v="1"/>
  </r>
  <r>
    <n v="333420"/>
    <s v="OpenTTD"/>
    <d v="2016-09-20T00:00:00"/>
    <n v="446"/>
    <b v="0"/>
    <n v="821"/>
    <s v="GTX 1050"/>
    <x v="0"/>
    <x v="0"/>
  </r>
  <r>
    <n v="333420"/>
    <s v="OpenTTD"/>
    <d v="2016-09-20T00:00:00"/>
    <n v="446"/>
    <b v="0"/>
    <n v="821"/>
    <s v="GTX 1050"/>
    <x v="1"/>
    <x v="1"/>
  </r>
  <r>
    <n v="333420"/>
    <s v="OpenTTD"/>
    <d v="2016-09-20T00:00:00"/>
    <n v="446"/>
    <b v="0"/>
    <n v="821"/>
    <s v="GTX 1050"/>
    <x v="2"/>
    <x v="0"/>
  </r>
  <r>
    <n v="333420"/>
    <s v="OpenTTD"/>
    <d v="2016-09-20T00:00:00"/>
    <n v="446"/>
    <b v="0"/>
    <n v="821"/>
    <s v="GTX 1050"/>
    <x v="3"/>
    <x v="1"/>
  </r>
  <r>
    <n v="333420"/>
    <s v="OpenTTD"/>
    <d v="2016-09-20T00:00:00"/>
    <n v="446"/>
    <b v="0"/>
    <n v="821"/>
    <s v="GTX 1050"/>
    <x v="4"/>
    <x v="1"/>
  </r>
  <r>
    <n v="333420"/>
    <s v="OpenTTD"/>
    <d v="2016-09-20T00:00:00"/>
    <n v="446"/>
    <b v="0"/>
    <n v="821"/>
    <s v="GTX 1050"/>
    <x v="5"/>
    <x v="0"/>
  </r>
  <r>
    <n v="333420"/>
    <s v="OpenTTD"/>
    <d v="2016-09-20T00:00:00"/>
    <n v="446"/>
    <b v="0"/>
    <n v="821"/>
    <s v="GTX 1050"/>
    <x v="6"/>
    <x v="1"/>
  </r>
  <r>
    <n v="1536610"/>
    <s v="Cricket 24"/>
    <d v="2021-04-01T00:00:00"/>
    <n v="445"/>
    <b v="1"/>
    <n v="822"/>
    <s v="GTX 1660 Ti"/>
    <x v="0"/>
    <x v="1"/>
  </r>
  <r>
    <n v="1536610"/>
    <s v="Cricket 24"/>
    <d v="2021-04-01T00:00:00"/>
    <n v="445"/>
    <b v="1"/>
    <n v="822"/>
    <s v="GTX 1660 Ti"/>
    <x v="1"/>
    <x v="0"/>
  </r>
  <r>
    <n v="1536610"/>
    <s v="Cricket 24"/>
    <d v="2021-04-01T00:00:00"/>
    <n v="445"/>
    <b v="1"/>
    <n v="822"/>
    <s v="GTX 1660 Ti"/>
    <x v="2"/>
    <x v="1"/>
  </r>
  <r>
    <n v="1536610"/>
    <s v="Cricket 24"/>
    <d v="2021-04-01T00:00:00"/>
    <n v="445"/>
    <b v="1"/>
    <n v="822"/>
    <s v="GTX 1660 Ti"/>
    <x v="3"/>
    <x v="0"/>
  </r>
  <r>
    <n v="1536610"/>
    <s v="Cricket 24"/>
    <d v="2021-04-01T00:00:00"/>
    <n v="445"/>
    <b v="1"/>
    <n v="822"/>
    <s v="GTX 1660 Ti"/>
    <x v="4"/>
    <x v="1"/>
  </r>
  <r>
    <n v="1536610"/>
    <s v="Cricket 24"/>
    <d v="2021-04-01T00:00:00"/>
    <n v="445"/>
    <b v="1"/>
    <n v="822"/>
    <s v="GTX 1660 Ti"/>
    <x v="5"/>
    <x v="1"/>
  </r>
  <r>
    <n v="1536610"/>
    <s v="Cricket 24"/>
    <d v="2021-04-01T00:00:00"/>
    <n v="445"/>
    <b v="1"/>
    <n v="822"/>
    <s v="GTX 1660 Ti"/>
    <x v="6"/>
    <x v="0"/>
  </r>
  <r>
    <n v="2358260"/>
    <s v="Castle Crashers"/>
    <d v="2023-10-04T00:00:00"/>
    <n v="445"/>
    <b v="0"/>
    <n v="822"/>
    <s v="GTX 1660 Ti"/>
    <x v="0"/>
    <x v="1"/>
  </r>
  <r>
    <n v="2358260"/>
    <s v="Castle Crashers"/>
    <d v="2023-10-04T00:00:00"/>
    <n v="445"/>
    <b v="0"/>
    <n v="822"/>
    <s v="GTX 1660 Ti"/>
    <x v="1"/>
    <x v="1"/>
  </r>
  <r>
    <n v="2358260"/>
    <s v="Castle Crashers"/>
    <d v="2023-10-04T00:00:00"/>
    <n v="445"/>
    <b v="0"/>
    <n v="822"/>
    <s v="GTX 1660 Ti"/>
    <x v="2"/>
    <x v="1"/>
  </r>
  <r>
    <n v="2358260"/>
    <s v="Castle Crashers"/>
    <d v="2023-10-04T00:00:00"/>
    <n v="445"/>
    <b v="0"/>
    <n v="822"/>
    <s v="GTX 1660 Ti"/>
    <x v="3"/>
    <x v="0"/>
  </r>
  <r>
    <n v="2358260"/>
    <s v="Castle Crashers"/>
    <d v="2023-10-04T00:00:00"/>
    <n v="445"/>
    <b v="0"/>
    <n v="822"/>
    <s v="GTX 1660 Ti"/>
    <x v="4"/>
    <x v="1"/>
  </r>
  <r>
    <n v="2358260"/>
    <s v="Castle Crashers"/>
    <d v="2023-10-04T00:00:00"/>
    <n v="445"/>
    <b v="0"/>
    <n v="822"/>
    <s v="GTX 1660 Ti"/>
    <x v="5"/>
    <x v="1"/>
  </r>
  <r>
    <n v="2358260"/>
    <s v="Castle Crashers"/>
    <d v="2023-10-04T00:00:00"/>
    <n v="445"/>
    <b v="0"/>
    <n v="822"/>
    <s v="GTX 1660 Ti"/>
    <x v="6"/>
    <x v="1"/>
  </r>
  <r>
    <n v="204360"/>
    <s v="CODE VEIN"/>
    <d v="2012-09-26T00:00:00"/>
    <n v="443"/>
    <b v="1"/>
    <n v="824"/>
    <s v="GTX 970"/>
    <x v="0"/>
    <x v="0"/>
  </r>
  <r>
    <n v="204360"/>
    <s v="CODE VEIN"/>
    <d v="2012-09-26T00:00:00"/>
    <n v="443"/>
    <b v="1"/>
    <n v="824"/>
    <s v="GTX 970"/>
    <x v="1"/>
    <x v="0"/>
  </r>
  <r>
    <n v="204360"/>
    <s v="CODE VEIN"/>
    <d v="2012-09-26T00:00:00"/>
    <n v="443"/>
    <b v="1"/>
    <n v="824"/>
    <s v="GTX 970"/>
    <x v="2"/>
    <x v="0"/>
  </r>
  <r>
    <n v="204360"/>
    <s v="CODE VEIN"/>
    <d v="2012-09-26T00:00:00"/>
    <n v="443"/>
    <b v="1"/>
    <n v="824"/>
    <s v="GTX 970"/>
    <x v="3"/>
    <x v="1"/>
  </r>
  <r>
    <n v="204360"/>
    <s v="CODE VEIN"/>
    <d v="2012-09-26T00:00:00"/>
    <n v="443"/>
    <b v="1"/>
    <n v="824"/>
    <s v="GTX 970"/>
    <x v="4"/>
    <x v="0"/>
  </r>
  <r>
    <n v="204360"/>
    <s v="CODE VEIN"/>
    <d v="2012-09-26T00:00:00"/>
    <n v="443"/>
    <b v="1"/>
    <n v="824"/>
    <s v="GTX 970"/>
    <x v="5"/>
    <x v="1"/>
  </r>
  <r>
    <n v="204360"/>
    <s v="CODE VEIN"/>
    <d v="2012-09-26T00:00:00"/>
    <n v="443"/>
    <b v="1"/>
    <n v="824"/>
    <s v="GTX 970"/>
    <x v="6"/>
    <x v="1"/>
  </r>
  <r>
    <n v="678960"/>
    <s v="Karos"/>
    <d v="2019-09-26T00:00:00"/>
    <n v="443"/>
    <b v="0"/>
    <n v="824"/>
    <s v="GTX 1050 Ti"/>
    <x v="0"/>
    <x v="0"/>
  </r>
  <r>
    <n v="678960"/>
    <s v="Karos"/>
    <d v="2019-09-26T00:00:00"/>
    <n v="443"/>
    <b v="0"/>
    <n v="824"/>
    <s v="GTX 1050 Ti"/>
    <x v="1"/>
    <x v="1"/>
  </r>
  <r>
    <n v="678960"/>
    <s v="Karos"/>
    <d v="2019-09-26T00:00:00"/>
    <n v="443"/>
    <b v="0"/>
    <n v="824"/>
    <s v="GTX 1050 Ti"/>
    <x v="2"/>
    <x v="1"/>
  </r>
  <r>
    <n v="678960"/>
    <s v="Karos"/>
    <d v="2019-09-26T00:00:00"/>
    <n v="443"/>
    <b v="0"/>
    <n v="824"/>
    <s v="GTX 1050 Ti"/>
    <x v="3"/>
    <x v="1"/>
  </r>
  <r>
    <n v="678960"/>
    <s v="Karos"/>
    <d v="2019-09-26T00:00:00"/>
    <n v="443"/>
    <b v="0"/>
    <n v="824"/>
    <s v="GTX 1050 Ti"/>
    <x v="4"/>
    <x v="0"/>
  </r>
  <r>
    <n v="678960"/>
    <s v="Karos"/>
    <d v="2019-09-26T00:00:00"/>
    <n v="443"/>
    <b v="0"/>
    <n v="824"/>
    <s v="GTX 1050 Ti"/>
    <x v="5"/>
    <x v="1"/>
  </r>
  <r>
    <n v="678960"/>
    <s v="Karos"/>
    <d v="2019-09-26T00:00:00"/>
    <n v="443"/>
    <b v="0"/>
    <n v="824"/>
    <s v="GTX 1050 Ti"/>
    <x v="6"/>
    <x v="1"/>
  </r>
  <r>
    <n v="337410"/>
    <s v="Middle-earth: Shadow of Mordor"/>
    <d v="2014-12-24T00:00:00"/>
    <n v="441"/>
    <b v="0"/>
    <n v="826"/>
    <s v="GTX 980 Ti"/>
    <x v="0"/>
    <x v="1"/>
  </r>
  <r>
    <n v="337410"/>
    <s v="Middle-earth: Shadow of Mordor"/>
    <d v="2014-12-24T00:00:00"/>
    <n v="441"/>
    <b v="0"/>
    <n v="826"/>
    <s v="GTX 980 Ti"/>
    <x v="1"/>
    <x v="1"/>
  </r>
  <r>
    <n v="337410"/>
    <s v="Middle-earth: Shadow of Mordor"/>
    <d v="2014-12-24T00:00:00"/>
    <n v="441"/>
    <b v="0"/>
    <n v="826"/>
    <s v="GTX 980 Ti"/>
    <x v="2"/>
    <x v="1"/>
  </r>
  <r>
    <n v="337410"/>
    <s v="Middle-earth: Shadow of Mordor"/>
    <d v="2014-12-24T00:00:00"/>
    <n v="441"/>
    <b v="0"/>
    <n v="826"/>
    <s v="GTX 980 Ti"/>
    <x v="3"/>
    <x v="1"/>
  </r>
  <r>
    <n v="337410"/>
    <s v="Middle-earth: Shadow of Mordor"/>
    <d v="2014-12-24T00:00:00"/>
    <n v="441"/>
    <b v="0"/>
    <n v="826"/>
    <s v="GTX 980 Ti"/>
    <x v="4"/>
    <x v="0"/>
  </r>
  <r>
    <n v="337410"/>
    <s v="Middle-earth: Shadow of Mordor"/>
    <d v="2014-12-24T00:00:00"/>
    <n v="441"/>
    <b v="0"/>
    <n v="826"/>
    <s v="GTX 980 Ti"/>
    <x v="5"/>
    <x v="1"/>
  </r>
  <r>
    <n v="337410"/>
    <s v="Middle-earth: Shadow of Mordor"/>
    <d v="2014-12-24T00:00:00"/>
    <n v="441"/>
    <b v="0"/>
    <n v="826"/>
    <s v="GTX 980 Ti"/>
    <x v="6"/>
    <x v="0"/>
  </r>
  <r>
    <n v="1170950"/>
    <s v="The Ranch of Rivershine"/>
    <d v="2022-01-25T00:00:00"/>
    <n v="440"/>
    <b v="0"/>
    <n v="827"/>
    <s v="RTX 2060"/>
    <x v="0"/>
    <x v="0"/>
  </r>
  <r>
    <n v="1170950"/>
    <s v="The Ranch of Rivershine"/>
    <d v="2022-01-25T00:00:00"/>
    <n v="440"/>
    <b v="0"/>
    <n v="827"/>
    <s v="RTX 2060"/>
    <x v="1"/>
    <x v="0"/>
  </r>
  <r>
    <n v="1170950"/>
    <s v="The Ranch of Rivershine"/>
    <d v="2022-01-25T00:00:00"/>
    <n v="440"/>
    <b v="0"/>
    <n v="827"/>
    <s v="RTX 2060"/>
    <x v="2"/>
    <x v="1"/>
  </r>
  <r>
    <n v="1170950"/>
    <s v="The Ranch of Rivershine"/>
    <d v="2022-01-25T00:00:00"/>
    <n v="440"/>
    <b v="0"/>
    <n v="827"/>
    <s v="RTX 2060"/>
    <x v="3"/>
    <x v="1"/>
  </r>
  <r>
    <n v="1170950"/>
    <s v="The Ranch of Rivershine"/>
    <d v="2022-01-25T00:00:00"/>
    <n v="440"/>
    <b v="0"/>
    <n v="827"/>
    <s v="RTX 2060"/>
    <x v="4"/>
    <x v="0"/>
  </r>
  <r>
    <n v="1170950"/>
    <s v="The Ranch of Rivershine"/>
    <d v="2022-01-25T00:00:00"/>
    <n v="440"/>
    <b v="0"/>
    <n v="827"/>
    <s v="RTX 2060"/>
    <x v="5"/>
    <x v="1"/>
  </r>
  <r>
    <n v="1170950"/>
    <s v="The Ranch of Rivershine"/>
    <d v="2022-01-25T00:00:00"/>
    <n v="440"/>
    <b v="0"/>
    <n v="827"/>
    <s v="RTX 2060"/>
    <x v="6"/>
    <x v="1"/>
  </r>
  <r>
    <n v="1559600"/>
    <s v="Nuclear Option"/>
    <d v="2025-05-23T00:00:00"/>
    <n v="440"/>
    <b v="0"/>
    <n v="827"/>
    <s v="GTX 1050 Ti"/>
    <x v="0"/>
    <x v="1"/>
  </r>
  <r>
    <n v="1559600"/>
    <s v="Nuclear Option"/>
    <d v="2025-05-23T00:00:00"/>
    <n v="440"/>
    <b v="0"/>
    <n v="827"/>
    <s v="GTX 1050 Ti"/>
    <x v="1"/>
    <x v="1"/>
  </r>
  <r>
    <n v="1559600"/>
    <s v="Nuclear Option"/>
    <d v="2025-05-23T00:00:00"/>
    <n v="440"/>
    <b v="0"/>
    <n v="827"/>
    <s v="GTX 1050 Ti"/>
    <x v="2"/>
    <x v="1"/>
  </r>
  <r>
    <n v="1559600"/>
    <s v="Nuclear Option"/>
    <d v="2025-05-23T00:00:00"/>
    <n v="440"/>
    <b v="0"/>
    <n v="827"/>
    <s v="GTX 1050 Ti"/>
    <x v="3"/>
    <x v="0"/>
  </r>
  <r>
    <n v="1559600"/>
    <s v="Nuclear Option"/>
    <d v="2025-05-23T00:00:00"/>
    <n v="440"/>
    <b v="0"/>
    <n v="827"/>
    <s v="GTX 1050 Ti"/>
    <x v="4"/>
    <x v="1"/>
  </r>
  <r>
    <n v="1559600"/>
    <s v="Nuclear Option"/>
    <d v="2025-05-23T00:00:00"/>
    <n v="440"/>
    <b v="0"/>
    <n v="827"/>
    <s v="GTX 1050 Ti"/>
    <x v="5"/>
    <x v="1"/>
  </r>
  <r>
    <n v="1559600"/>
    <s v="Nuclear Option"/>
    <d v="2025-05-23T00:00:00"/>
    <n v="440"/>
    <b v="0"/>
    <n v="827"/>
    <s v="GTX 1050 Ti"/>
    <x v="6"/>
    <x v="1"/>
  </r>
  <r>
    <n v="2168680"/>
    <s v="Hotline Miami 2: Wrong Number"/>
    <d v="2023-10-15T00:00:00"/>
    <n v="438"/>
    <b v="0"/>
    <n v="829"/>
    <s v="RTX 3050"/>
    <x v="0"/>
    <x v="0"/>
  </r>
  <r>
    <n v="2168680"/>
    <s v="Hotline Miami 2: Wrong Number"/>
    <d v="2023-10-15T00:00:00"/>
    <n v="438"/>
    <b v="0"/>
    <n v="829"/>
    <s v="RTX 3050"/>
    <x v="1"/>
    <x v="0"/>
  </r>
  <r>
    <n v="2168680"/>
    <s v="Hotline Miami 2: Wrong Number"/>
    <d v="2023-10-15T00:00:00"/>
    <n v="438"/>
    <b v="0"/>
    <n v="829"/>
    <s v="RTX 3050"/>
    <x v="2"/>
    <x v="1"/>
  </r>
  <r>
    <n v="2168680"/>
    <s v="Hotline Miami 2: Wrong Number"/>
    <d v="2023-10-15T00:00:00"/>
    <n v="438"/>
    <b v="0"/>
    <n v="829"/>
    <s v="RTX 3050"/>
    <x v="3"/>
    <x v="0"/>
  </r>
  <r>
    <n v="2168680"/>
    <s v="Hotline Miami 2: Wrong Number"/>
    <d v="2023-10-15T00:00:00"/>
    <n v="438"/>
    <b v="0"/>
    <n v="829"/>
    <s v="RTX 3050"/>
    <x v="4"/>
    <x v="1"/>
  </r>
  <r>
    <n v="2168680"/>
    <s v="Hotline Miami 2: Wrong Number"/>
    <d v="2023-10-15T00:00:00"/>
    <n v="438"/>
    <b v="0"/>
    <n v="829"/>
    <s v="RTX 3050"/>
    <x v="5"/>
    <x v="1"/>
  </r>
  <r>
    <n v="2168680"/>
    <s v="Hotline Miami 2: Wrong Number"/>
    <d v="2023-10-15T00:00:00"/>
    <n v="438"/>
    <b v="0"/>
    <n v="829"/>
    <s v="RTX 3050"/>
    <x v="6"/>
    <x v="1"/>
  </r>
  <r>
    <n v="274170"/>
    <s v="Borderlands: The Pre-Sequel"/>
    <d v="2015-03-10T00:00:00"/>
    <n v="437"/>
    <b v="1"/>
    <n v="830"/>
    <s v="GTX 750"/>
    <x v="0"/>
    <x v="0"/>
  </r>
  <r>
    <n v="274170"/>
    <s v="Borderlands: The Pre-Sequel"/>
    <d v="2015-03-10T00:00:00"/>
    <n v="437"/>
    <b v="1"/>
    <n v="830"/>
    <s v="GTX 750"/>
    <x v="1"/>
    <x v="0"/>
  </r>
  <r>
    <n v="274170"/>
    <s v="Borderlands: The Pre-Sequel"/>
    <d v="2015-03-10T00:00:00"/>
    <n v="437"/>
    <b v="1"/>
    <n v="830"/>
    <s v="GTX 750"/>
    <x v="2"/>
    <x v="1"/>
  </r>
  <r>
    <n v="274170"/>
    <s v="Borderlands: The Pre-Sequel"/>
    <d v="2015-03-10T00:00:00"/>
    <n v="437"/>
    <b v="1"/>
    <n v="830"/>
    <s v="GTX 750"/>
    <x v="3"/>
    <x v="1"/>
  </r>
  <r>
    <n v="274170"/>
    <s v="Borderlands: The Pre-Sequel"/>
    <d v="2015-03-10T00:00:00"/>
    <n v="437"/>
    <b v="1"/>
    <n v="830"/>
    <s v="GTX 750"/>
    <x v="4"/>
    <x v="1"/>
  </r>
  <r>
    <n v="274170"/>
    <s v="Borderlands: The Pre-Sequel"/>
    <d v="2015-03-10T00:00:00"/>
    <n v="437"/>
    <b v="1"/>
    <n v="830"/>
    <s v="GTX 750"/>
    <x v="5"/>
    <x v="1"/>
  </r>
  <r>
    <n v="274170"/>
    <s v="Borderlands: The Pre-Sequel"/>
    <d v="2015-03-10T00:00:00"/>
    <n v="437"/>
    <b v="1"/>
    <n v="830"/>
    <s v="GTX 750"/>
    <x v="6"/>
    <x v="1"/>
  </r>
  <r>
    <n v="261640"/>
    <s v="Marvel's Midnight Suns"/>
    <d v="2014-10-13T00:00:00"/>
    <n v="437"/>
    <b v="1"/>
    <n v="830"/>
    <s v="RX 5700"/>
    <x v="0"/>
    <x v="0"/>
  </r>
  <r>
    <n v="261640"/>
    <s v="Marvel's Midnight Suns"/>
    <d v="2014-10-13T00:00:00"/>
    <n v="437"/>
    <b v="1"/>
    <n v="830"/>
    <s v="RX 5700"/>
    <x v="1"/>
    <x v="1"/>
  </r>
  <r>
    <n v="261640"/>
    <s v="Marvel's Midnight Suns"/>
    <d v="2014-10-13T00:00:00"/>
    <n v="437"/>
    <b v="1"/>
    <n v="830"/>
    <s v="RX 5700"/>
    <x v="2"/>
    <x v="1"/>
  </r>
  <r>
    <n v="261640"/>
    <s v="Marvel's Midnight Suns"/>
    <d v="2014-10-13T00:00:00"/>
    <n v="437"/>
    <b v="1"/>
    <n v="830"/>
    <s v="RX 5700"/>
    <x v="3"/>
    <x v="1"/>
  </r>
  <r>
    <n v="261640"/>
    <s v="Marvel's Midnight Suns"/>
    <d v="2014-10-13T00:00:00"/>
    <n v="437"/>
    <b v="1"/>
    <n v="830"/>
    <s v="RX 5700"/>
    <x v="4"/>
    <x v="0"/>
  </r>
  <r>
    <n v="261640"/>
    <s v="Marvel's Midnight Suns"/>
    <d v="2014-10-13T00:00:00"/>
    <n v="437"/>
    <b v="1"/>
    <n v="830"/>
    <s v="RX 5700"/>
    <x v="5"/>
    <x v="1"/>
  </r>
  <r>
    <n v="261640"/>
    <s v="Marvel's Midnight Suns"/>
    <d v="2014-10-13T00:00:00"/>
    <n v="437"/>
    <b v="1"/>
    <n v="830"/>
    <s v="RX 5700"/>
    <x v="6"/>
    <x v="1"/>
  </r>
  <r>
    <n v="368260"/>
    <s v="Maltese's Fluffy Onsen"/>
    <d v="2022-12-01T00:00:00"/>
    <n v="436"/>
    <b v="0"/>
    <n v="832"/>
    <s v="RX 5700"/>
    <x v="0"/>
    <x v="1"/>
  </r>
  <r>
    <n v="368260"/>
    <s v="Maltese's Fluffy Onsen"/>
    <d v="2022-12-01T00:00:00"/>
    <n v="436"/>
    <b v="0"/>
    <n v="832"/>
    <s v="RX 5700"/>
    <x v="1"/>
    <x v="1"/>
  </r>
  <r>
    <n v="368260"/>
    <s v="Maltese's Fluffy Onsen"/>
    <d v="2022-12-01T00:00:00"/>
    <n v="436"/>
    <b v="0"/>
    <n v="832"/>
    <s v="RX 5700"/>
    <x v="2"/>
    <x v="1"/>
  </r>
  <r>
    <n v="368260"/>
    <s v="Maltese's Fluffy Onsen"/>
    <d v="2022-12-01T00:00:00"/>
    <n v="436"/>
    <b v="0"/>
    <n v="832"/>
    <s v="RX 5700"/>
    <x v="3"/>
    <x v="1"/>
  </r>
  <r>
    <n v="368260"/>
    <s v="Maltese's Fluffy Onsen"/>
    <d v="2022-12-01T00:00:00"/>
    <n v="436"/>
    <b v="0"/>
    <n v="832"/>
    <s v="RX 5700"/>
    <x v="4"/>
    <x v="0"/>
  </r>
  <r>
    <n v="368260"/>
    <s v="Maltese's Fluffy Onsen"/>
    <d v="2022-12-01T00:00:00"/>
    <n v="436"/>
    <b v="0"/>
    <n v="832"/>
    <s v="RX 5700"/>
    <x v="5"/>
    <x v="0"/>
  </r>
  <r>
    <n v="368260"/>
    <s v="Maltese's Fluffy Onsen"/>
    <d v="2022-12-01T00:00:00"/>
    <n v="436"/>
    <b v="0"/>
    <n v="832"/>
    <s v="RX 5700"/>
    <x v="6"/>
    <x v="1"/>
  </r>
  <r>
    <n v="3404470"/>
    <s v="Wargame: Red Dragon"/>
    <d v="2025-05-13T00:00:00"/>
    <n v="436"/>
    <b v="1"/>
    <n v="832"/>
    <s v="GTX 1650"/>
    <x v="0"/>
    <x v="1"/>
  </r>
  <r>
    <n v="3404470"/>
    <s v="Wargame: Red Dragon"/>
    <d v="2025-05-13T00:00:00"/>
    <n v="436"/>
    <b v="1"/>
    <n v="832"/>
    <s v="GTX 1650"/>
    <x v="1"/>
    <x v="0"/>
  </r>
  <r>
    <n v="3404470"/>
    <s v="Wargame: Red Dragon"/>
    <d v="2025-05-13T00:00:00"/>
    <n v="436"/>
    <b v="1"/>
    <n v="832"/>
    <s v="GTX 1650"/>
    <x v="2"/>
    <x v="1"/>
  </r>
  <r>
    <n v="3404470"/>
    <s v="Wargame: Red Dragon"/>
    <d v="2025-05-13T00:00:00"/>
    <n v="436"/>
    <b v="1"/>
    <n v="832"/>
    <s v="GTX 1650"/>
    <x v="3"/>
    <x v="0"/>
  </r>
  <r>
    <n v="3404470"/>
    <s v="Wargame: Red Dragon"/>
    <d v="2025-05-13T00:00:00"/>
    <n v="436"/>
    <b v="1"/>
    <n v="832"/>
    <s v="GTX 1650"/>
    <x v="4"/>
    <x v="1"/>
  </r>
  <r>
    <n v="3404470"/>
    <s v="Wargame: Red Dragon"/>
    <d v="2025-05-13T00:00:00"/>
    <n v="436"/>
    <b v="1"/>
    <n v="832"/>
    <s v="GTX 1650"/>
    <x v="5"/>
    <x v="1"/>
  </r>
  <r>
    <n v="3404470"/>
    <s v="Wargame: Red Dragon"/>
    <d v="2025-05-13T00:00:00"/>
    <n v="436"/>
    <b v="1"/>
    <n v="832"/>
    <s v="GTX 1650"/>
    <x v="6"/>
    <x v="1"/>
  </r>
  <r>
    <n v="251060"/>
    <s v="Call of Duty: World at War"/>
    <d v="2014-04-17T00:00:00"/>
    <n v="434"/>
    <b v="1"/>
    <n v="834"/>
    <s v="Radeon Graphics"/>
    <x v="0"/>
    <x v="1"/>
  </r>
  <r>
    <n v="251060"/>
    <s v="Call of Duty: World at War"/>
    <d v="2014-04-17T00:00:00"/>
    <n v="434"/>
    <b v="1"/>
    <n v="834"/>
    <s v="Radeon Graphics"/>
    <x v="1"/>
    <x v="0"/>
  </r>
  <r>
    <n v="251060"/>
    <s v="Call of Duty: World at War"/>
    <d v="2014-04-17T00:00:00"/>
    <n v="434"/>
    <b v="1"/>
    <n v="834"/>
    <s v="Radeon Graphics"/>
    <x v="2"/>
    <x v="1"/>
  </r>
  <r>
    <n v="251060"/>
    <s v="Call of Duty: World at War"/>
    <d v="2014-04-17T00:00:00"/>
    <n v="434"/>
    <b v="1"/>
    <n v="834"/>
    <s v="Radeon Graphics"/>
    <x v="3"/>
    <x v="0"/>
  </r>
  <r>
    <n v="251060"/>
    <s v="Call of Duty: World at War"/>
    <d v="2014-04-17T00:00:00"/>
    <n v="434"/>
    <b v="1"/>
    <n v="834"/>
    <s v="Radeon Graphics"/>
    <x v="4"/>
    <x v="1"/>
  </r>
  <r>
    <n v="251060"/>
    <s v="Call of Duty: World at War"/>
    <d v="2014-04-17T00:00:00"/>
    <n v="434"/>
    <b v="1"/>
    <n v="834"/>
    <s v="Radeon Graphics"/>
    <x v="5"/>
    <x v="0"/>
  </r>
  <r>
    <n v="251060"/>
    <s v="Call of Duty: World at War"/>
    <d v="2014-04-17T00:00:00"/>
    <n v="434"/>
    <b v="1"/>
    <n v="834"/>
    <s v="Radeon Graphics"/>
    <x v="6"/>
    <x v="1"/>
  </r>
  <r>
    <n v="10090"/>
    <s v="FireAlpaca SE"/>
    <d v="2008-11-18T00:00:00"/>
    <n v="433"/>
    <b v="0"/>
    <n v="835"/>
    <s v="Radeon Graphics"/>
    <x v="0"/>
    <x v="0"/>
  </r>
  <r>
    <n v="10090"/>
    <s v="FireAlpaca SE"/>
    <d v="2008-11-18T00:00:00"/>
    <n v="433"/>
    <b v="0"/>
    <n v="835"/>
    <s v="Radeon Graphics"/>
    <x v="1"/>
    <x v="1"/>
  </r>
  <r>
    <n v="10090"/>
    <s v="FireAlpaca SE"/>
    <d v="2008-11-18T00:00:00"/>
    <n v="433"/>
    <b v="0"/>
    <n v="835"/>
    <s v="Radeon Graphics"/>
    <x v="2"/>
    <x v="1"/>
  </r>
  <r>
    <n v="10090"/>
    <s v="FireAlpaca SE"/>
    <d v="2008-11-18T00:00:00"/>
    <n v="433"/>
    <b v="0"/>
    <n v="835"/>
    <s v="Radeon Graphics"/>
    <x v="3"/>
    <x v="1"/>
  </r>
  <r>
    <n v="10090"/>
    <s v="FireAlpaca SE"/>
    <d v="2008-11-18T00:00:00"/>
    <n v="433"/>
    <b v="0"/>
    <n v="835"/>
    <s v="Radeon Graphics"/>
    <x v="4"/>
    <x v="1"/>
  </r>
  <r>
    <n v="10090"/>
    <s v="FireAlpaca SE"/>
    <d v="2008-11-18T00:00:00"/>
    <n v="433"/>
    <b v="0"/>
    <n v="835"/>
    <s v="Radeon Graphics"/>
    <x v="5"/>
    <x v="1"/>
  </r>
  <r>
    <n v="10090"/>
    <s v="FireAlpaca SE"/>
    <d v="2008-11-18T00:00:00"/>
    <n v="433"/>
    <b v="0"/>
    <n v="835"/>
    <s v="Radeon Graphics"/>
    <x v="6"/>
    <x v="1"/>
  </r>
  <r>
    <n v="458750"/>
    <s v="Zombie Army 4: Dead War"/>
    <d v="2016-05-22T00:00:00"/>
    <n v="433"/>
    <b v="1"/>
    <n v="835"/>
    <s v="Radeon Graphics"/>
    <x v="0"/>
    <x v="1"/>
  </r>
  <r>
    <n v="458750"/>
    <s v="Zombie Army 4: Dead War"/>
    <d v="2016-05-22T00:00:00"/>
    <n v="433"/>
    <b v="1"/>
    <n v="835"/>
    <s v="Radeon Graphics"/>
    <x v="1"/>
    <x v="1"/>
  </r>
  <r>
    <n v="458750"/>
    <s v="Zombie Army 4: Dead War"/>
    <d v="2016-05-22T00:00:00"/>
    <n v="433"/>
    <b v="1"/>
    <n v="835"/>
    <s v="Radeon Graphics"/>
    <x v="2"/>
    <x v="1"/>
  </r>
  <r>
    <n v="458750"/>
    <s v="Zombie Army 4: Dead War"/>
    <d v="2016-05-22T00:00:00"/>
    <n v="433"/>
    <b v="1"/>
    <n v="835"/>
    <s v="Radeon Graphics"/>
    <x v="3"/>
    <x v="1"/>
  </r>
  <r>
    <n v="458750"/>
    <s v="Zombie Army 4: Dead War"/>
    <d v="2016-05-22T00:00:00"/>
    <n v="433"/>
    <b v="1"/>
    <n v="835"/>
    <s v="Radeon Graphics"/>
    <x v="4"/>
    <x v="1"/>
  </r>
  <r>
    <n v="458750"/>
    <s v="Zombie Army 4: Dead War"/>
    <d v="2016-05-22T00:00:00"/>
    <n v="433"/>
    <b v="1"/>
    <n v="835"/>
    <s v="Radeon Graphics"/>
    <x v="5"/>
    <x v="1"/>
  </r>
  <r>
    <n v="458750"/>
    <s v="Zombie Army 4: Dead War"/>
    <d v="2016-05-22T00:00:00"/>
    <n v="433"/>
    <b v="1"/>
    <n v="835"/>
    <s v="Radeon Graphics"/>
    <x v="6"/>
    <x v="1"/>
  </r>
  <r>
    <n v="694280"/>
    <s v="RaceRoom Racing Experience"/>
    <d v="2021-02-18T00:00:00"/>
    <n v="431"/>
    <b v="0"/>
    <n v="837"/>
    <s v="RX 550"/>
    <x v="0"/>
    <x v="0"/>
  </r>
  <r>
    <n v="694280"/>
    <s v="RaceRoom Racing Experience"/>
    <d v="2021-02-18T00:00:00"/>
    <n v="431"/>
    <b v="0"/>
    <n v="837"/>
    <s v="RX 550"/>
    <x v="1"/>
    <x v="1"/>
  </r>
  <r>
    <n v="694280"/>
    <s v="RaceRoom Racing Experience"/>
    <d v="2021-02-18T00:00:00"/>
    <n v="431"/>
    <b v="0"/>
    <n v="837"/>
    <s v="RX 550"/>
    <x v="2"/>
    <x v="1"/>
  </r>
  <r>
    <n v="694280"/>
    <s v="RaceRoom Racing Experience"/>
    <d v="2021-02-18T00:00:00"/>
    <n v="431"/>
    <b v="0"/>
    <n v="837"/>
    <s v="RX 550"/>
    <x v="3"/>
    <x v="1"/>
  </r>
  <r>
    <n v="694280"/>
    <s v="RaceRoom Racing Experience"/>
    <d v="2021-02-18T00:00:00"/>
    <n v="431"/>
    <b v="0"/>
    <n v="837"/>
    <s v="RX 550"/>
    <x v="4"/>
    <x v="1"/>
  </r>
  <r>
    <n v="694280"/>
    <s v="RaceRoom Racing Experience"/>
    <d v="2021-02-18T00:00:00"/>
    <n v="431"/>
    <b v="0"/>
    <n v="837"/>
    <s v="RX 550"/>
    <x v="5"/>
    <x v="1"/>
  </r>
  <r>
    <n v="694280"/>
    <s v="RaceRoom Racing Experience"/>
    <d v="2021-02-18T00:00:00"/>
    <n v="431"/>
    <b v="0"/>
    <n v="837"/>
    <s v="RX 550"/>
    <x v="6"/>
    <x v="1"/>
  </r>
  <r>
    <n v="211500"/>
    <s v="DYSMANTLE"/>
    <d v="2013-02-12T00:00:00"/>
    <n v="431"/>
    <b v="0"/>
    <n v="837"/>
    <s v="GTX 970"/>
    <x v="0"/>
    <x v="1"/>
  </r>
  <r>
    <n v="211500"/>
    <s v="DYSMANTLE"/>
    <d v="2013-02-12T00:00:00"/>
    <n v="431"/>
    <b v="0"/>
    <n v="837"/>
    <s v="GTX 970"/>
    <x v="1"/>
    <x v="1"/>
  </r>
  <r>
    <n v="211500"/>
    <s v="DYSMANTLE"/>
    <d v="2013-02-12T00:00:00"/>
    <n v="431"/>
    <b v="0"/>
    <n v="837"/>
    <s v="GTX 970"/>
    <x v="2"/>
    <x v="1"/>
  </r>
  <r>
    <n v="211500"/>
    <s v="DYSMANTLE"/>
    <d v="2013-02-12T00:00:00"/>
    <n v="431"/>
    <b v="0"/>
    <n v="837"/>
    <s v="GTX 970"/>
    <x v="3"/>
    <x v="0"/>
  </r>
  <r>
    <n v="211500"/>
    <s v="DYSMANTLE"/>
    <d v="2013-02-12T00:00:00"/>
    <n v="431"/>
    <b v="0"/>
    <n v="837"/>
    <s v="GTX 970"/>
    <x v="4"/>
    <x v="1"/>
  </r>
  <r>
    <n v="211500"/>
    <s v="DYSMANTLE"/>
    <d v="2013-02-12T00:00:00"/>
    <n v="431"/>
    <b v="0"/>
    <n v="837"/>
    <s v="GTX 970"/>
    <x v="5"/>
    <x v="1"/>
  </r>
  <r>
    <n v="211500"/>
    <s v="DYSMANTLE"/>
    <d v="2013-02-12T00:00:00"/>
    <n v="431"/>
    <b v="0"/>
    <n v="837"/>
    <s v="GTX 970"/>
    <x v="6"/>
    <x v="0"/>
  </r>
  <r>
    <n v="846770"/>
    <s v="Gloomhaven"/>
    <d v="2021-11-16T00:00:00"/>
    <n v="431"/>
    <b v="1"/>
    <n v="837"/>
    <s v="GTX 1070"/>
    <x v="0"/>
    <x v="0"/>
  </r>
  <r>
    <n v="846770"/>
    <s v="Gloomhaven"/>
    <d v="2021-11-16T00:00:00"/>
    <n v="431"/>
    <b v="1"/>
    <n v="837"/>
    <s v="GTX 1070"/>
    <x v="1"/>
    <x v="0"/>
  </r>
  <r>
    <n v="846770"/>
    <s v="Gloomhaven"/>
    <d v="2021-11-16T00:00:00"/>
    <n v="431"/>
    <b v="1"/>
    <n v="837"/>
    <s v="GTX 1070"/>
    <x v="2"/>
    <x v="0"/>
  </r>
  <r>
    <n v="846770"/>
    <s v="Gloomhaven"/>
    <d v="2021-11-16T00:00:00"/>
    <n v="431"/>
    <b v="1"/>
    <n v="837"/>
    <s v="GTX 1070"/>
    <x v="3"/>
    <x v="0"/>
  </r>
  <r>
    <n v="846770"/>
    <s v="Gloomhaven"/>
    <d v="2021-11-16T00:00:00"/>
    <n v="431"/>
    <b v="1"/>
    <n v="837"/>
    <s v="GTX 1070"/>
    <x v="4"/>
    <x v="0"/>
  </r>
  <r>
    <n v="846770"/>
    <s v="Gloomhaven"/>
    <d v="2021-11-16T00:00:00"/>
    <n v="431"/>
    <b v="1"/>
    <n v="837"/>
    <s v="GTX 1070"/>
    <x v="5"/>
    <x v="1"/>
  </r>
  <r>
    <n v="846770"/>
    <s v="Gloomhaven"/>
    <d v="2021-11-16T00:00:00"/>
    <n v="431"/>
    <b v="1"/>
    <n v="837"/>
    <s v="GTX 1070"/>
    <x v="6"/>
    <x v="1"/>
  </r>
  <r>
    <n v="780290"/>
    <s v="PGA TOUR 2K23"/>
    <d v="2021-10-20T00:00:00"/>
    <n v="430"/>
    <b v="1"/>
    <n v="840"/>
    <s v="GTX 1070"/>
    <x v="0"/>
    <x v="1"/>
  </r>
  <r>
    <n v="780290"/>
    <s v="PGA TOUR 2K23"/>
    <d v="2021-10-20T00:00:00"/>
    <n v="430"/>
    <b v="1"/>
    <n v="840"/>
    <s v="GTX 1070"/>
    <x v="1"/>
    <x v="1"/>
  </r>
  <r>
    <n v="780290"/>
    <s v="PGA TOUR 2K23"/>
    <d v="2021-10-20T00:00:00"/>
    <n v="430"/>
    <b v="1"/>
    <n v="840"/>
    <s v="GTX 1070"/>
    <x v="2"/>
    <x v="0"/>
  </r>
  <r>
    <n v="780290"/>
    <s v="PGA TOUR 2K23"/>
    <d v="2021-10-20T00:00:00"/>
    <n v="430"/>
    <b v="1"/>
    <n v="840"/>
    <s v="GTX 1070"/>
    <x v="3"/>
    <x v="1"/>
  </r>
  <r>
    <n v="780290"/>
    <s v="PGA TOUR 2K23"/>
    <d v="2021-10-20T00:00:00"/>
    <n v="430"/>
    <b v="1"/>
    <n v="840"/>
    <s v="GTX 1070"/>
    <x v="4"/>
    <x v="0"/>
  </r>
  <r>
    <n v="780290"/>
    <s v="PGA TOUR 2K23"/>
    <d v="2021-10-20T00:00:00"/>
    <n v="430"/>
    <b v="1"/>
    <n v="840"/>
    <s v="GTX 1070"/>
    <x v="5"/>
    <x v="0"/>
  </r>
  <r>
    <n v="780290"/>
    <s v="PGA TOUR 2K23"/>
    <d v="2021-10-20T00:00:00"/>
    <n v="430"/>
    <b v="1"/>
    <n v="840"/>
    <s v="GTX 1070"/>
    <x v="6"/>
    <x v="1"/>
  </r>
  <r>
    <n v="1588010"/>
    <s v="Roboquest"/>
    <d v="2022-10-13T00:00:00"/>
    <n v="430"/>
    <b v="0"/>
    <n v="840"/>
    <s v="RX 5700 XT"/>
    <x v="0"/>
    <x v="1"/>
  </r>
  <r>
    <n v="1588010"/>
    <s v="Roboquest"/>
    <d v="2022-10-13T00:00:00"/>
    <n v="430"/>
    <b v="0"/>
    <n v="840"/>
    <s v="RX 5700 XT"/>
    <x v="1"/>
    <x v="1"/>
  </r>
  <r>
    <n v="1588010"/>
    <s v="Roboquest"/>
    <d v="2022-10-13T00:00:00"/>
    <n v="430"/>
    <b v="0"/>
    <n v="840"/>
    <s v="RX 5700 XT"/>
    <x v="2"/>
    <x v="1"/>
  </r>
  <r>
    <n v="1588010"/>
    <s v="Roboquest"/>
    <d v="2022-10-13T00:00:00"/>
    <n v="430"/>
    <b v="0"/>
    <n v="840"/>
    <s v="RX 5700 XT"/>
    <x v="3"/>
    <x v="0"/>
  </r>
  <r>
    <n v="1588010"/>
    <s v="Roboquest"/>
    <d v="2022-10-13T00:00:00"/>
    <n v="430"/>
    <b v="0"/>
    <n v="840"/>
    <s v="RX 5700 XT"/>
    <x v="4"/>
    <x v="0"/>
  </r>
  <r>
    <n v="1588010"/>
    <s v="Roboquest"/>
    <d v="2022-10-13T00:00:00"/>
    <n v="430"/>
    <b v="0"/>
    <n v="840"/>
    <s v="RX 5700 XT"/>
    <x v="5"/>
    <x v="1"/>
  </r>
  <r>
    <n v="1588010"/>
    <s v="Roboquest"/>
    <d v="2022-10-13T00:00:00"/>
    <n v="430"/>
    <b v="0"/>
    <n v="840"/>
    <s v="RX 5700 XT"/>
    <x v="6"/>
    <x v="1"/>
  </r>
  <r>
    <n v="692890"/>
    <s v="Contraband Police"/>
    <d v="2023-11-07T00:00:00"/>
    <n v="429"/>
    <b v="0"/>
    <n v="842"/>
    <s v="GTX 1060"/>
    <x v="0"/>
    <x v="0"/>
  </r>
  <r>
    <n v="692890"/>
    <s v="Contraband Police"/>
    <d v="2023-11-07T00:00:00"/>
    <n v="429"/>
    <b v="0"/>
    <n v="842"/>
    <s v="GTX 1060"/>
    <x v="1"/>
    <x v="0"/>
  </r>
  <r>
    <n v="692890"/>
    <s v="Contraband Police"/>
    <d v="2023-11-07T00:00:00"/>
    <n v="429"/>
    <b v="0"/>
    <n v="842"/>
    <s v="GTX 1060"/>
    <x v="2"/>
    <x v="1"/>
  </r>
  <r>
    <n v="692890"/>
    <s v="Contraband Police"/>
    <d v="2023-11-07T00:00:00"/>
    <n v="429"/>
    <b v="0"/>
    <n v="842"/>
    <s v="GTX 1060"/>
    <x v="3"/>
    <x v="1"/>
  </r>
  <r>
    <n v="692890"/>
    <s v="Contraband Police"/>
    <d v="2023-11-07T00:00:00"/>
    <n v="429"/>
    <b v="0"/>
    <n v="842"/>
    <s v="GTX 1060"/>
    <x v="4"/>
    <x v="1"/>
  </r>
  <r>
    <n v="692890"/>
    <s v="Contraband Police"/>
    <d v="2023-11-07T00:00:00"/>
    <n v="429"/>
    <b v="0"/>
    <n v="842"/>
    <s v="GTX 1060"/>
    <x v="5"/>
    <x v="1"/>
  </r>
  <r>
    <n v="692890"/>
    <s v="Contraband Police"/>
    <d v="2023-11-07T00:00:00"/>
    <n v="429"/>
    <b v="0"/>
    <n v="842"/>
    <s v="GTX 1060"/>
    <x v="6"/>
    <x v="1"/>
  </r>
  <r>
    <n v="756800"/>
    <s v="Cubic Odyssey"/>
    <d v="2023-03-08T00:00:00"/>
    <n v="429"/>
    <b v="0"/>
    <n v="842"/>
    <s v="RTX 2060"/>
    <x v="0"/>
    <x v="0"/>
  </r>
  <r>
    <n v="756800"/>
    <s v="Cubic Odyssey"/>
    <d v="2023-03-08T00:00:00"/>
    <n v="429"/>
    <b v="0"/>
    <n v="842"/>
    <s v="RTX 2060"/>
    <x v="1"/>
    <x v="1"/>
  </r>
  <r>
    <n v="756800"/>
    <s v="Cubic Odyssey"/>
    <d v="2023-03-08T00:00:00"/>
    <n v="429"/>
    <b v="0"/>
    <n v="842"/>
    <s v="RTX 2060"/>
    <x v="2"/>
    <x v="0"/>
  </r>
  <r>
    <n v="756800"/>
    <s v="Cubic Odyssey"/>
    <d v="2023-03-08T00:00:00"/>
    <n v="429"/>
    <b v="0"/>
    <n v="842"/>
    <s v="RTX 2060"/>
    <x v="3"/>
    <x v="0"/>
  </r>
  <r>
    <n v="756800"/>
    <s v="Cubic Odyssey"/>
    <d v="2023-03-08T00:00:00"/>
    <n v="429"/>
    <b v="0"/>
    <n v="842"/>
    <s v="RTX 2060"/>
    <x v="4"/>
    <x v="1"/>
  </r>
  <r>
    <n v="756800"/>
    <s v="Cubic Odyssey"/>
    <d v="2023-03-08T00:00:00"/>
    <n v="429"/>
    <b v="0"/>
    <n v="842"/>
    <s v="RTX 2060"/>
    <x v="5"/>
    <x v="1"/>
  </r>
  <r>
    <n v="756800"/>
    <s v="Cubic Odyssey"/>
    <d v="2023-03-08T00:00:00"/>
    <n v="429"/>
    <b v="0"/>
    <n v="842"/>
    <s v="RTX 2060"/>
    <x v="6"/>
    <x v="1"/>
  </r>
  <r>
    <n v="3400000"/>
    <s v="VRoid Studio v2.7.0"/>
    <d v="2025-05-14T00:00:00"/>
    <n v="429"/>
    <b v="0"/>
    <n v="842"/>
    <s v="RTX 3060"/>
    <x v="0"/>
    <x v="0"/>
  </r>
  <r>
    <n v="3400000"/>
    <s v="VRoid Studio v2.7.0"/>
    <d v="2025-05-14T00:00:00"/>
    <n v="429"/>
    <b v="0"/>
    <n v="842"/>
    <s v="RTX 3060"/>
    <x v="1"/>
    <x v="1"/>
  </r>
  <r>
    <n v="3400000"/>
    <s v="VRoid Studio v2.7.0"/>
    <d v="2025-05-14T00:00:00"/>
    <n v="429"/>
    <b v="0"/>
    <n v="842"/>
    <s v="RTX 3060"/>
    <x v="2"/>
    <x v="0"/>
  </r>
  <r>
    <n v="3400000"/>
    <s v="VRoid Studio v2.7.0"/>
    <d v="2025-05-14T00:00:00"/>
    <n v="429"/>
    <b v="0"/>
    <n v="842"/>
    <s v="RTX 3060"/>
    <x v="3"/>
    <x v="1"/>
  </r>
  <r>
    <n v="3400000"/>
    <s v="VRoid Studio v2.7.0"/>
    <d v="2025-05-14T00:00:00"/>
    <n v="429"/>
    <b v="0"/>
    <n v="842"/>
    <s v="RTX 3060"/>
    <x v="4"/>
    <x v="1"/>
  </r>
  <r>
    <n v="3400000"/>
    <s v="VRoid Studio v2.7.0"/>
    <d v="2025-05-14T00:00:00"/>
    <n v="429"/>
    <b v="0"/>
    <n v="842"/>
    <s v="RTX 3060"/>
    <x v="5"/>
    <x v="1"/>
  </r>
  <r>
    <n v="3400000"/>
    <s v="VRoid Studio v2.7.0"/>
    <d v="2025-05-14T00:00:00"/>
    <n v="429"/>
    <b v="0"/>
    <n v="842"/>
    <s v="RTX 3060"/>
    <x v="6"/>
    <x v="1"/>
  </r>
  <r>
    <n v="617290"/>
    <s v="For The King"/>
    <d v="2019-08-19T00:00:00"/>
    <n v="429"/>
    <b v="0"/>
    <n v="842"/>
    <s v="GTX 970"/>
    <x v="0"/>
    <x v="0"/>
  </r>
  <r>
    <n v="617290"/>
    <s v="For The King"/>
    <d v="2019-08-19T00:00:00"/>
    <n v="429"/>
    <b v="0"/>
    <n v="842"/>
    <s v="GTX 970"/>
    <x v="1"/>
    <x v="1"/>
  </r>
  <r>
    <n v="617290"/>
    <s v="For The King"/>
    <d v="2019-08-19T00:00:00"/>
    <n v="429"/>
    <b v="0"/>
    <n v="842"/>
    <s v="GTX 970"/>
    <x v="2"/>
    <x v="0"/>
  </r>
  <r>
    <n v="617290"/>
    <s v="For The King"/>
    <d v="2019-08-19T00:00:00"/>
    <n v="429"/>
    <b v="0"/>
    <n v="842"/>
    <s v="GTX 970"/>
    <x v="3"/>
    <x v="1"/>
  </r>
  <r>
    <n v="617290"/>
    <s v="For The King"/>
    <d v="2019-08-19T00:00:00"/>
    <n v="429"/>
    <b v="0"/>
    <n v="842"/>
    <s v="GTX 970"/>
    <x v="4"/>
    <x v="0"/>
  </r>
  <r>
    <n v="617290"/>
    <s v="For The King"/>
    <d v="2019-08-19T00:00:00"/>
    <n v="429"/>
    <b v="0"/>
    <n v="842"/>
    <s v="GTX 970"/>
    <x v="5"/>
    <x v="1"/>
  </r>
  <r>
    <n v="617290"/>
    <s v="For The King"/>
    <d v="2019-08-19T00:00:00"/>
    <n v="429"/>
    <b v="0"/>
    <n v="842"/>
    <s v="GTX 970"/>
    <x v="6"/>
    <x v="1"/>
  </r>
  <r>
    <n v="527230"/>
    <s v="Doki Doki Literature Club!"/>
    <d v="2018-04-19T00:00:00"/>
    <n v="428"/>
    <b v="1"/>
    <n v="846"/>
    <s v="Radeon Vega 11"/>
    <x v="0"/>
    <x v="1"/>
  </r>
  <r>
    <n v="527230"/>
    <s v="Doki Doki Literature Club!"/>
    <d v="2018-04-19T00:00:00"/>
    <n v="428"/>
    <b v="1"/>
    <n v="846"/>
    <s v="Radeon Vega 11"/>
    <x v="1"/>
    <x v="0"/>
  </r>
  <r>
    <n v="527230"/>
    <s v="Doki Doki Literature Club!"/>
    <d v="2018-04-19T00:00:00"/>
    <n v="428"/>
    <b v="1"/>
    <n v="846"/>
    <s v="Radeon Vega 11"/>
    <x v="2"/>
    <x v="0"/>
  </r>
  <r>
    <n v="527230"/>
    <s v="Doki Doki Literature Club!"/>
    <d v="2018-04-19T00:00:00"/>
    <n v="428"/>
    <b v="1"/>
    <n v="846"/>
    <s v="Radeon Vega 11"/>
    <x v="3"/>
    <x v="1"/>
  </r>
  <r>
    <n v="527230"/>
    <s v="Doki Doki Literature Club!"/>
    <d v="2018-04-19T00:00:00"/>
    <n v="428"/>
    <b v="1"/>
    <n v="846"/>
    <s v="Radeon Vega 11"/>
    <x v="4"/>
    <x v="0"/>
  </r>
  <r>
    <n v="527230"/>
    <s v="Doki Doki Literature Club!"/>
    <d v="2018-04-19T00:00:00"/>
    <n v="428"/>
    <b v="1"/>
    <n v="846"/>
    <s v="Radeon Vega 11"/>
    <x v="5"/>
    <x v="0"/>
  </r>
  <r>
    <n v="527230"/>
    <s v="Doki Doki Literature Club!"/>
    <d v="2018-04-19T00:00:00"/>
    <n v="428"/>
    <b v="1"/>
    <n v="846"/>
    <s v="Radeon Vega 11"/>
    <x v="6"/>
    <x v="1"/>
  </r>
  <r>
    <n v="698780"/>
    <s v="gogh: Focus with Your Avatar"/>
    <d v="2017-10-06T00:00:00"/>
    <n v="427"/>
    <b v="1"/>
    <n v="847"/>
    <s v="Radeon Graphics"/>
    <x v="0"/>
    <x v="1"/>
  </r>
  <r>
    <n v="698780"/>
    <s v="gogh: Focus with Your Avatar"/>
    <d v="2017-10-06T00:00:00"/>
    <n v="427"/>
    <b v="1"/>
    <n v="847"/>
    <s v="Radeon Graphics"/>
    <x v="1"/>
    <x v="0"/>
  </r>
  <r>
    <n v="698780"/>
    <s v="gogh: Focus with Your Avatar"/>
    <d v="2017-10-06T00:00:00"/>
    <n v="427"/>
    <b v="1"/>
    <n v="847"/>
    <s v="Radeon Graphics"/>
    <x v="2"/>
    <x v="1"/>
  </r>
  <r>
    <n v="698780"/>
    <s v="gogh: Focus with Your Avatar"/>
    <d v="2017-10-06T00:00:00"/>
    <n v="427"/>
    <b v="1"/>
    <n v="847"/>
    <s v="Radeon Graphics"/>
    <x v="3"/>
    <x v="1"/>
  </r>
  <r>
    <n v="698780"/>
    <s v="gogh: Focus with Your Avatar"/>
    <d v="2017-10-06T00:00:00"/>
    <n v="427"/>
    <b v="1"/>
    <n v="847"/>
    <s v="Radeon Graphics"/>
    <x v="4"/>
    <x v="1"/>
  </r>
  <r>
    <n v="698780"/>
    <s v="gogh: Focus with Your Avatar"/>
    <d v="2017-10-06T00:00:00"/>
    <n v="427"/>
    <b v="1"/>
    <n v="847"/>
    <s v="Radeon Graphics"/>
    <x v="5"/>
    <x v="1"/>
  </r>
  <r>
    <n v="698780"/>
    <s v="gogh: Focus with Your Avatar"/>
    <d v="2017-10-06T00:00:00"/>
    <n v="427"/>
    <b v="1"/>
    <n v="847"/>
    <s v="Radeon Graphics"/>
    <x v="6"/>
    <x v="0"/>
  </r>
  <r>
    <n v="3213850"/>
    <s v="Fights in Tight Spaces"/>
    <d v="2025-04-30T00:00:00"/>
    <n v="426"/>
    <b v="1"/>
    <n v="848"/>
    <s v="GTX 1060"/>
    <x v="0"/>
    <x v="0"/>
  </r>
  <r>
    <n v="3213850"/>
    <s v="Fights in Tight Spaces"/>
    <d v="2025-04-30T00:00:00"/>
    <n v="426"/>
    <b v="1"/>
    <n v="848"/>
    <s v="GTX 1060"/>
    <x v="1"/>
    <x v="0"/>
  </r>
  <r>
    <n v="3213850"/>
    <s v="Fights in Tight Spaces"/>
    <d v="2025-04-30T00:00:00"/>
    <n v="426"/>
    <b v="1"/>
    <n v="848"/>
    <s v="GTX 1060"/>
    <x v="2"/>
    <x v="0"/>
  </r>
  <r>
    <n v="3213850"/>
    <s v="Fights in Tight Spaces"/>
    <d v="2025-04-30T00:00:00"/>
    <n v="426"/>
    <b v="1"/>
    <n v="848"/>
    <s v="GTX 1060"/>
    <x v="3"/>
    <x v="0"/>
  </r>
  <r>
    <n v="3213850"/>
    <s v="Fights in Tight Spaces"/>
    <d v="2025-04-30T00:00:00"/>
    <n v="426"/>
    <b v="1"/>
    <n v="848"/>
    <s v="GTX 1060"/>
    <x v="4"/>
    <x v="0"/>
  </r>
  <r>
    <n v="3213850"/>
    <s v="Fights in Tight Spaces"/>
    <d v="2025-04-30T00:00:00"/>
    <n v="426"/>
    <b v="1"/>
    <n v="848"/>
    <s v="GTX 1060"/>
    <x v="5"/>
    <x v="1"/>
  </r>
  <r>
    <n v="3213850"/>
    <s v="Fights in Tight Spaces"/>
    <d v="2025-04-30T00:00:00"/>
    <n v="426"/>
    <b v="1"/>
    <n v="848"/>
    <s v="GTX 1060"/>
    <x v="6"/>
    <x v="0"/>
  </r>
  <r>
    <n v="1265820"/>
    <s v="Mortal Kombat X"/>
    <d v="2021-12-02T00:00:00"/>
    <n v="426"/>
    <b v="0"/>
    <n v="848"/>
    <s v="GTX 750"/>
    <x v="0"/>
    <x v="0"/>
  </r>
  <r>
    <n v="1265820"/>
    <s v="Mortal Kombat X"/>
    <d v="2021-12-02T00:00:00"/>
    <n v="426"/>
    <b v="0"/>
    <n v="848"/>
    <s v="GTX 750"/>
    <x v="1"/>
    <x v="1"/>
  </r>
  <r>
    <n v="1265820"/>
    <s v="Mortal Kombat X"/>
    <d v="2021-12-02T00:00:00"/>
    <n v="426"/>
    <b v="0"/>
    <n v="848"/>
    <s v="GTX 750"/>
    <x v="2"/>
    <x v="1"/>
  </r>
  <r>
    <n v="1265820"/>
    <s v="Mortal Kombat X"/>
    <d v="2021-12-02T00:00:00"/>
    <n v="426"/>
    <b v="0"/>
    <n v="848"/>
    <s v="GTX 750"/>
    <x v="3"/>
    <x v="1"/>
  </r>
  <r>
    <n v="1265820"/>
    <s v="Mortal Kombat X"/>
    <d v="2021-12-02T00:00:00"/>
    <n v="426"/>
    <b v="0"/>
    <n v="848"/>
    <s v="GTX 750"/>
    <x v="4"/>
    <x v="1"/>
  </r>
  <r>
    <n v="1265820"/>
    <s v="Mortal Kombat X"/>
    <d v="2021-12-02T00:00:00"/>
    <n v="426"/>
    <b v="0"/>
    <n v="848"/>
    <s v="GTX 750"/>
    <x v="5"/>
    <x v="0"/>
  </r>
  <r>
    <n v="1265820"/>
    <s v="Mortal Kombat X"/>
    <d v="2021-12-02T00:00:00"/>
    <n v="426"/>
    <b v="0"/>
    <n v="848"/>
    <s v="GTX 750"/>
    <x v="6"/>
    <x v="1"/>
  </r>
  <r>
    <n v="307780"/>
    <s v="Caves of Qud"/>
    <d v="2015-04-13T00:00:00"/>
    <n v="426"/>
    <b v="0"/>
    <n v="848"/>
    <s v="R9 380"/>
    <x v="0"/>
    <x v="0"/>
  </r>
  <r>
    <n v="307780"/>
    <s v="Caves of Qud"/>
    <d v="2015-04-13T00:00:00"/>
    <n v="426"/>
    <b v="0"/>
    <n v="848"/>
    <s v="R9 380"/>
    <x v="1"/>
    <x v="1"/>
  </r>
  <r>
    <n v="307780"/>
    <s v="Caves of Qud"/>
    <d v="2015-04-13T00:00:00"/>
    <n v="426"/>
    <b v="0"/>
    <n v="848"/>
    <s v="R9 380"/>
    <x v="2"/>
    <x v="1"/>
  </r>
  <r>
    <n v="307780"/>
    <s v="Caves of Qud"/>
    <d v="2015-04-13T00:00:00"/>
    <n v="426"/>
    <b v="0"/>
    <n v="848"/>
    <s v="R9 380"/>
    <x v="3"/>
    <x v="1"/>
  </r>
  <r>
    <n v="307780"/>
    <s v="Caves of Qud"/>
    <d v="2015-04-13T00:00:00"/>
    <n v="426"/>
    <b v="0"/>
    <n v="848"/>
    <s v="R9 380"/>
    <x v="4"/>
    <x v="1"/>
  </r>
  <r>
    <n v="307780"/>
    <s v="Caves of Qud"/>
    <d v="2015-04-13T00:00:00"/>
    <n v="426"/>
    <b v="0"/>
    <n v="848"/>
    <s v="R9 380"/>
    <x v="5"/>
    <x v="1"/>
  </r>
  <r>
    <n v="307780"/>
    <s v="Caves of Qud"/>
    <d v="2015-04-13T00:00:00"/>
    <n v="426"/>
    <b v="0"/>
    <n v="848"/>
    <s v="R9 380"/>
    <x v="6"/>
    <x v="1"/>
  </r>
  <r>
    <n v="333640"/>
    <s v="DRAGON QUEST BUILDERS 2"/>
    <d v="2024-12-05T00:00:00"/>
    <n v="425"/>
    <b v="1"/>
    <n v="851"/>
    <s v="GTX 1060"/>
    <x v="0"/>
    <x v="1"/>
  </r>
  <r>
    <n v="333640"/>
    <s v="DRAGON QUEST BUILDERS 2"/>
    <d v="2024-12-05T00:00:00"/>
    <n v="425"/>
    <b v="1"/>
    <n v="851"/>
    <s v="GTX 1060"/>
    <x v="1"/>
    <x v="0"/>
  </r>
  <r>
    <n v="333640"/>
    <s v="DRAGON QUEST BUILDERS 2"/>
    <d v="2024-12-05T00:00:00"/>
    <n v="425"/>
    <b v="1"/>
    <n v="851"/>
    <s v="GTX 1060"/>
    <x v="2"/>
    <x v="0"/>
  </r>
  <r>
    <n v="333640"/>
    <s v="DRAGON QUEST BUILDERS 2"/>
    <d v="2024-12-05T00:00:00"/>
    <n v="425"/>
    <b v="1"/>
    <n v="851"/>
    <s v="GTX 1060"/>
    <x v="3"/>
    <x v="1"/>
  </r>
  <r>
    <n v="333640"/>
    <s v="DRAGON QUEST BUILDERS 2"/>
    <d v="2024-12-05T00:00:00"/>
    <n v="425"/>
    <b v="1"/>
    <n v="851"/>
    <s v="GTX 1060"/>
    <x v="4"/>
    <x v="0"/>
  </r>
  <r>
    <n v="333640"/>
    <s v="DRAGON QUEST BUILDERS 2"/>
    <d v="2024-12-05T00:00:00"/>
    <n v="425"/>
    <b v="1"/>
    <n v="851"/>
    <s v="GTX 1060"/>
    <x v="5"/>
    <x v="0"/>
  </r>
  <r>
    <n v="333640"/>
    <s v="DRAGON QUEST BUILDERS 2"/>
    <d v="2024-12-05T00:00:00"/>
    <n v="425"/>
    <b v="1"/>
    <n v="851"/>
    <s v="GTX 1060"/>
    <x v="6"/>
    <x v="1"/>
  </r>
  <r>
    <n v="1072420"/>
    <s v="S.T.A.L.K.E.R.: Shadow of Chornobyl - Enhanced Edition"/>
    <d v="2019-12-10T00:00:00"/>
    <n v="425"/>
    <b v="0"/>
    <n v="851"/>
    <s v="GTX 1060"/>
    <x v="0"/>
    <x v="0"/>
  </r>
  <r>
    <n v="1072420"/>
    <s v="S.T.A.L.K.E.R.: Shadow of Chornobyl - Enhanced Edition"/>
    <d v="2019-12-10T00:00:00"/>
    <n v="425"/>
    <b v="0"/>
    <n v="851"/>
    <s v="GTX 1060"/>
    <x v="1"/>
    <x v="1"/>
  </r>
  <r>
    <n v="1072420"/>
    <s v="S.T.A.L.K.E.R.: Shadow of Chornobyl - Enhanced Edition"/>
    <d v="2019-12-10T00:00:00"/>
    <n v="425"/>
    <b v="0"/>
    <n v="851"/>
    <s v="GTX 1060"/>
    <x v="2"/>
    <x v="0"/>
  </r>
  <r>
    <n v="1072420"/>
    <s v="S.T.A.L.K.E.R.: Shadow of Chornobyl - Enhanced Edition"/>
    <d v="2019-12-10T00:00:00"/>
    <n v="425"/>
    <b v="0"/>
    <n v="851"/>
    <s v="GTX 1060"/>
    <x v="3"/>
    <x v="1"/>
  </r>
  <r>
    <n v="1072420"/>
    <s v="S.T.A.L.K.E.R.: Shadow of Chornobyl - Enhanced Edition"/>
    <d v="2019-12-10T00:00:00"/>
    <n v="425"/>
    <b v="0"/>
    <n v="851"/>
    <s v="GTX 1060"/>
    <x v="4"/>
    <x v="0"/>
  </r>
  <r>
    <n v="1072420"/>
    <s v="S.T.A.L.K.E.R.: Shadow of Chornobyl - Enhanced Edition"/>
    <d v="2019-12-10T00:00:00"/>
    <n v="425"/>
    <b v="0"/>
    <n v="851"/>
    <s v="GTX 1060"/>
    <x v="5"/>
    <x v="1"/>
  </r>
  <r>
    <n v="1072420"/>
    <s v="S.T.A.L.K.E.R.: Shadow of Chornobyl - Enhanced Edition"/>
    <d v="2019-12-10T00:00:00"/>
    <n v="425"/>
    <b v="0"/>
    <n v="851"/>
    <s v="GTX 1060"/>
    <x v="6"/>
    <x v="1"/>
  </r>
  <r>
    <n v="2427410"/>
    <s v="The Last Spell"/>
    <d v="2025-05-20T00:00:00"/>
    <n v="424"/>
    <b v="0"/>
    <n v="853"/>
    <s v="RX 580"/>
    <x v="0"/>
    <x v="0"/>
  </r>
  <r>
    <n v="2427410"/>
    <s v="The Last Spell"/>
    <d v="2025-05-20T00:00:00"/>
    <n v="424"/>
    <b v="0"/>
    <n v="853"/>
    <s v="RX 580"/>
    <x v="1"/>
    <x v="1"/>
  </r>
  <r>
    <n v="2427410"/>
    <s v="The Last Spell"/>
    <d v="2025-05-20T00:00:00"/>
    <n v="424"/>
    <b v="0"/>
    <n v="853"/>
    <s v="RX 580"/>
    <x v="2"/>
    <x v="0"/>
  </r>
  <r>
    <n v="2427410"/>
    <s v="The Last Spell"/>
    <d v="2025-05-20T00:00:00"/>
    <n v="424"/>
    <b v="0"/>
    <n v="853"/>
    <s v="RX 580"/>
    <x v="3"/>
    <x v="1"/>
  </r>
  <r>
    <n v="2427410"/>
    <s v="The Last Spell"/>
    <d v="2025-05-20T00:00:00"/>
    <n v="424"/>
    <b v="0"/>
    <n v="853"/>
    <s v="RX 580"/>
    <x v="4"/>
    <x v="0"/>
  </r>
  <r>
    <n v="2427410"/>
    <s v="The Last Spell"/>
    <d v="2025-05-20T00:00:00"/>
    <n v="424"/>
    <b v="0"/>
    <n v="853"/>
    <s v="RX 580"/>
    <x v="5"/>
    <x v="1"/>
  </r>
  <r>
    <n v="2427410"/>
    <s v="The Last Spell"/>
    <d v="2025-05-20T00:00:00"/>
    <n v="424"/>
    <b v="0"/>
    <n v="853"/>
    <s v="RX 580"/>
    <x v="6"/>
    <x v="1"/>
  </r>
  <r>
    <n v="1105670"/>
    <s v="STAR WARS Knights of the Old Republic"/>
    <d v="2023-03-09T00:00:00"/>
    <n v="424"/>
    <b v="0"/>
    <n v="853"/>
    <s v="RX 560"/>
    <x v="0"/>
    <x v="0"/>
  </r>
  <r>
    <n v="1105670"/>
    <s v="STAR WARS Knights of the Old Republic"/>
    <d v="2023-03-09T00:00:00"/>
    <n v="424"/>
    <b v="0"/>
    <n v="853"/>
    <s v="RX 560"/>
    <x v="1"/>
    <x v="0"/>
  </r>
  <r>
    <n v="1105670"/>
    <s v="STAR WARS Knights of the Old Republic"/>
    <d v="2023-03-09T00:00:00"/>
    <n v="424"/>
    <b v="0"/>
    <n v="853"/>
    <s v="RX 560"/>
    <x v="2"/>
    <x v="1"/>
  </r>
  <r>
    <n v="1105670"/>
    <s v="STAR WARS Knights of the Old Republic"/>
    <d v="2023-03-09T00:00:00"/>
    <n v="424"/>
    <b v="0"/>
    <n v="853"/>
    <s v="RX 560"/>
    <x v="3"/>
    <x v="1"/>
  </r>
  <r>
    <n v="1105670"/>
    <s v="STAR WARS Knights of the Old Republic"/>
    <d v="2023-03-09T00:00:00"/>
    <n v="424"/>
    <b v="0"/>
    <n v="853"/>
    <s v="RX 560"/>
    <x v="4"/>
    <x v="0"/>
  </r>
  <r>
    <n v="1105670"/>
    <s v="STAR WARS Knights of the Old Republic"/>
    <d v="2023-03-09T00:00:00"/>
    <n v="424"/>
    <b v="0"/>
    <n v="853"/>
    <s v="RX 560"/>
    <x v="5"/>
    <x v="0"/>
  </r>
  <r>
    <n v="1105670"/>
    <s v="STAR WARS Knights of the Old Republic"/>
    <d v="2023-03-09T00:00:00"/>
    <n v="424"/>
    <b v="0"/>
    <n v="853"/>
    <s v="RX 560"/>
    <x v="6"/>
    <x v="1"/>
  </r>
  <r>
    <n v="32370"/>
    <s v="Liftoff: FPV Drone Racing"/>
    <d v="2009-09-05T00:00:00"/>
    <n v="424"/>
    <b v="1"/>
    <n v="853"/>
    <s v="Radeon Graphics"/>
    <x v="0"/>
    <x v="1"/>
  </r>
  <r>
    <n v="32370"/>
    <s v="Liftoff: FPV Drone Racing"/>
    <d v="2009-09-05T00:00:00"/>
    <n v="424"/>
    <b v="1"/>
    <n v="853"/>
    <s v="Radeon Graphics"/>
    <x v="1"/>
    <x v="1"/>
  </r>
  <r>
    <n v="32370"/>
    <s v="Liftoff: FPV Drone Racing"/>
    <d v="2009-09-05T00:00:00"/>
    <n v="424"/>
    <b v="1"/>
    <n v="853"/>
    <s v="Radeon Graphics"/>
    <x v="2"/>
    <x v="0"/>
  </r>
  <r>
    <n v="32370"/>
    <s v="Liftoff: FPV Drone Racing"/>
    <d v="2009-09-05T00:00:00"/>
    <n v="424"/>
    <b v="1"/>
    <n v="853"/>
    <s v="Radeon Graphics"/>
    <x v="3"/>
    <x v="1"/>
  </r>
  <r>
    <n v="32370"/>
    <s v="Liftoff: FPV Drone Racing"/>
    <d v="2009-09-05T00:00:00"/>
    <n v="424"/>
    <b v="1"/>
    <n v="853"/>
    <s v="Radeon Graphics"/>
    <x v="4"/>
    <x v="0"/>
  </r>
  <r>
    <n v="32370"/>
    <s v="Liftoff: FPV Drone Racing"/>
    <d v="2009-09-05T00:00:00"/>
    <n v="424"/>
    <b v="1"/>
    <n v="853"/>
    <s v="Radeon Graphics"/>
    <x v="5"/>
    <x v="1"/>
  </r>
  <r>
    <n v="32370"/>
    <s v="Liftoff: FPV Drone Racing"/>
    <d v="2009-09-05T00:00:00"/>
    <n v="424"/>
    <b v="1"/>
    <n v="853"/>
    <s v="Radeon Graphics"/>
    <x v="6"/>
    <x v="1"/>
  </r>
  <r>
    <n v="410340"/>
    <s v="Beat Saber"/>
    <d v="2018-09-13T00:00:00"/>
    <n v="423"/>
    <b v="1"/>
    <n v="856"/>
    <s v="RTX 2060"/>
    <x v="0"/>
    <x v="1"/>
  </r>
  <r>
    <n v="410340"/>
    <s v="Beat Saber"/>
    <d v="2018-09-13T00:00:00"/>
    <n v="423"/>
    <b v="1"/>
    <n v="856"/>
    <s v="RTX 2060"/>
    <x v="1"/>
    <x v="0"/>
  </r>
  <r>
    <n v="410340"/>
    <s v="Beat Saber"/>
    <d v="2018-09-13T00:00:00"/>
    <n v="423"/>
    <b v="1"/>
    <n v="856"/>
    <s v="RTX 2060"/>
    <x v="2"/>
    <x v="1"/>
  </r>
  <r>
    <n v="410340"/>
    <s v="Beat Saber"/>
    <d v="2018-09-13T00:00:00"/>
    <n v="423"/>
    <b v="1"/>
    <n v="856"/>
    <s v="RTX 2060"/>
    <x v="3"/>
    <x v="0"/>
  </r>
  <r>
    <n v="410340"/>
    <s v="Beat Saber"/>
    <d v="2018-09-13T00:00:00"/>
    <n v="423"/>
    <b v="1"/>
    <n v="856"/>
    <s v="RTX 2060"/>
    <x v="4"/>
    <x v="1"/>
  </r>
  <r>
    <n v="410340"/>
    <s v="Beat Saber"/>
    <d v="2018-09-13T00:00:00"/>
    <n v="423"/>
    <b v="1"/>
    <n v="856"/>
    <s v="RTX 2060"/>
    <x v="5"/>
    <x v="1"/>
  </r>
  <r>
    <n v="410340"/>
    <s v="Beat Saber"/>
    <d v="2018-09-13T00:00:00"/>
    <n v="423"/>
    <b v="1"/>
    <n v="856"/>
    <s v="RTX 2060"/>
    <x v="6"/>
    <x v="1"/>
  </r>
  <r>
    <n v="620980"/>
    <s v="Bodycam"/>
    <d v="2019-05-21T00:00:00"/>
    <n v="423"/>
    <b v="0"/>
    <n v="856"/>
    <s v="GTX 1060"/>
    <x v="0"/>
    <x v="1"/>
  </r>
  <r>
    <n v="620980"/>
    <s v="Bodycam"/>
    <d v="2019-05-21T00:00:00"/>
    <n v="423"/>
    <b v="0"/>
    <n v="856"/>
    <s v="GTX 1060"/>
    <x v="1"/>
    <x v="0"/>
  </r>
  <r>
    <n v="620980"/>
    <s v="Bodycam"/>
    <d v="2019-05-21T00:00:00"/>
    <n v="423"/>
    <b v="0"/>
    <n v="856"/>
    <s v="GTX 1060"/>
    <x v="2"/>
    <x v="1"/>
  </r>
  <r>
    <n v="620980"/>
    <s v="Bodycam"/>
    <d v="2019-05-21T00:00:00"/>
    <n v="423"/>
    <b v="0"/>
    <n v="856"/>
    <s v="GTX 1060"/>
    <x v="3"/>
    <x v="1"/>
  </r>
  <r>
    <n v="620980"/>
    <s v="Bodycam"/>
    <d v="2019-05-21T00:00:00"/>
    <n v="423"/>
    <b v="0"/>
    <n v="856"/>
    <s v="GTX 1060"/>
    <x v="4"/>
    <x v="1"/>
  </r>
  <r>
    <n v="620980"/>
    <s v="Bodycam"/>
    <d v="2019-05-21T00:00:00"/>
    <n v="423"/>
    <b v="0"/>
    <n v="856"/>
    <s v="GTX 1060"/>
    <x v="5"/>
    <x v="1"/>
  </r>
  <r>
    <n v="620980"/>
    <s v="Bodycam"/>
    <d v="2019-05-21T00:00:00"/>
    <n v="423"/>
    <b v="0"/>
    <n v="856"/>
    <s v="GTX 1060"/>
    <x v="6"/>
    <x v="1"/>
  </r>
  <r>
    <n v="2406770"/>
    <s v="A Little to the Left"/>
    <d v="2024-06-07T00:00:00"/>
    <n v="422"/>
    <b v="0"/>
    <n v="858"/>
    <s v="RX 6600 XT"/>
    <x v="0"/>
    <x v="0"/>
  </r>
  <r>
    <n v="2406770"/>
    <s v="A Little to the Left"/>
    <d v="2024-06-07T00:00:00"/>
    <n v="422"/>
    <b v="0"/>
    <n v="858"/>
    <s v="RX 6600 XT"/>
    <x v="1"/>
    <x v="0"/>
  </r>
  <r>
    <n v="2406770"/>
    <s v="A Little to the Left"/>
    <d v="2024-06-07T00:00:00"/>
    <n v="422"/>
    <b v="0"/>
    <n v="858"/>
    <s v="RX 6600 XT"/>
    <x v="2"/>
    <x v="1"/>
  </r>
  <r>
    <n v="2406770"/>
    <s v="A Little to the Left"/>
    <d v="2024-06-07T00:00:00"/>
    <n v="422"/>
    <b v="0"/>
    <n v="858"/>
    <s v="RX 6600 XT"/>
    <x v="3"/>
    <x v="0"/>
  </r>
  <r>
    <n v="2406770"/>
    <s v="A Little to the Left"/>
    <d v="2024-06-07T00:00:00"/>
    <n v="422"/>
    <b v="0"/>
    <n v="858"/>
    <s v="RX 6600 XT"/>
    <x v="4"/>
    <x v="1"/>
  </r>
  <r>
    <n v="2406770"/>
    <s v="A Little to the Left"/>
    <d v="2024-06-07T00:00:00"/>
    <n v="422"/>
    <b v="0"/>
    <n v="858"/>
    <s v="RX 6600 XT"/>
    <x v="5"/>
    <x v="0"/>
  </r>
  <r>
    <n v="2406770"/>
    <s v="A Little to the Left"/>
    <d v="2024-06-07T00:00:00"/>
    <n v="422"/>
    <b v="0"/>
    <n v="858"/>
    <s v="RX 6600 XT"/>
    <x v="6"/>
    <x v="1"/>
  </r>
  <r>
    <n v="1629520"/>
    <s v="theHunter Classic"/>
    <d v="2022-11-08T00:00:00"/>
    <n v="422"/>
    <b v="1"/>
    <n v="858"/>
    <s v="Radeon Vega 11"/>
    <x v="0"/>
    <x v="1"/>
  </r>
  <r>
    <n v="1629520"/>
    <s v="theHunter Classic"/>
    <d v="2022-11-08T00:00:00"/>
    <n v="422"/>
    <b v="1"/>
    <n v="858"/>
    <s v="Radeon Vega 11"/>
    <x v="1"/>
    <x v="0"/>
  </r>
  <r>
    <n v="1629520"/>
    <s v="theHunter Classic"/>
    <d v="2022-11-08T00:00:00"/>
    <n v="422"/>
    <b v="1"/>
    <n v="858"/>
    <s v="Radeon Vega 11"/>
    <x v="2"/>
    <x v="1"/>
  </r>
  <r>
    <n v="1629520"/>
    <s v="theHunter Classic"/>
    <d v="2022-11-08T00:00:00"/>
    <n v="422"/>
    <b v="1"/>
    <n v="858"/>
    <s v="Radeon Vega 11"/>
    <x v="3"/>
    <x v="1"/>
  </r>
  <r>
    <n v="1629520"/>
    <s v="theHunter Classic"/>
    <d v="2022-11-08T00:00:00"/>
    <n v="422"/>
    <b v="1"/>
    <n v="858"/>
    <s v="Radeon Vega 11"/>
    <x v="4"/>
    <x v="1"/>
  </r>
  <r>
    <n v="1629520"/>
    <s v="theHunter Classic"/>
    <d v="2022-11-08T00:00:00"/>
    <n v="422"/>
    <b v="1"/>
    <n v="858"/>
    <s v="Radeon Vega 11"/>
    <x v="5"/>
    <x v="1"/>
  </r>
  <r>
    <n v="1629520"/>
    <s v="theHunter Classic"/>
    <d v="2022-11-08T00:00:00"/>
    <n v="422"/>
    <b v="1"/>
    <n v="858"/>
    <s v="Radeon Vega 11"/>
    <x v="6"/>
    <x v="1"/>
  </r>
  <r>
    <n v="253710"/>
    <s v="Wolfenstein: The New Order"/>
    <d v="2014-06-03T00:00:00"/>
    <n v="417"/>
    <b v="0"/>
    <n v="860"/>
    <s v="GTX 780"/>
    <x v="0"/>
    <x v="0"/>
  </r>
  <r>
    <n v="253710"/>
    <s v="Wolfenstein: The New Order"/>
    <d v="2014-06-03T00:00:00"/>
    <n v="417"/>
    <b v="0"/>
    <n v="860"/>
    <s v="GTX 780"/>
    <x v="1"/>
    <x v="1"/>
  </r>
  <r>
    <n v="253710"/>
    <s v="Wolfenstein: The New Order"/>
    <d v="2014-06-03T00:00:00"/>
    <n v="417"/>
    <b v="0"/>
    <n v="860"/>
    <s v="GTX 780"/>
    <x v="2"/>
    <x v="0"/>
  </r>
  <r>
    <n v="253710"/>
    <s v="Wolfenstein: The New Order"/>
    <d v="2014-06-03T00:00:00"/>
    <n v="417"/>
    <b v="0"/>
    <n v="860"/>
    <s v="GTX 780"/>
    <x v="3"/>
    <x v="0"/>
  </r>
  <r>
    <n v="253710"/>
    <s v="Wolfenstein: The New Order"/>
    <d v="2014-06-03T00:00:00"/>
    <n v="417"/>
    <b v="0"/>
    <n v="860"/>
    <s v="GTX 780"/>
    <x v="4"/>
    <x v="1"/>
  </r>
  <r>
    <n v="253710"/>
    <s v="Wolfenstein: The New Order"/>
    <d v="2014-06-03T00:00:00"/>
    <n v="417"/>
    <b v="0"/>
    <n v="860"/>
    <s v="GTX 780"/>
    <x v="5"/>
    <x v="1"/>
  </r>
  <r>
    <n v="253710"/>
    <s v="Wolfenstein: The New Order"/>
    <d v="2014-06-03T00:00:00"/>
    <n v="417"/>
    <b v="0"/>
    <n v="860"/>
    <s v="GTX 780"/>
    <x v="6"/>
    <x v="0"/>
  </r>
  <r>
    <n v="201810"/>
    <s v="Papers, Please"/>
    <d v="2014-05-19T00:00:00"/>
    <n v="417"/>
    <b v="0"/>
    <n v="860"/>
    <s v="Radeon Graphics"/>
    <x v="0"/>
    <x v="0"/>
  </r>
  <r>
    <n v="201810"/>
    <s v="Papers, Please"/>
    <d v="2014-05-19T00:00:00"/>
    <n v="417"/>
    <b v="0"/>
    <n v="860"/>
    <s v="Radeon Graphics"/>
    <x v="1"/>
    <x v="1"/>
  </r>
  <r>
    <n v="201810"/>
    <s v="Papers, Please"/>
    <d v="2014-05-19T00:00:00"/>
    <n v="417"/>
    <b v="0"/>
    <n v="860"/>
    <s v="Radeon Graphics"/>
    <x v="2"/>
    <x v="1"/>
  </r>
  <r>
    <n v="201810"/>
    <s v="Papers, Please"/>
    <d v="2014-05-19T00:00:00"/>
    <n v="417"/>
    <b v="0"/>
    <n v="860"/>
    <s v="Radeon Graphics"/>
    <x v="3"/>
    <x v="1"/>
  </r>
  <r>
    <n v="201810"/>
    <s v="Papers, Please"/>
    <d v="2014-05-19T00:00:00"/>
    <n v="417"/>
    <b v="0"/>
    <n v="860"/>
    <s v="Radeon Graphics"/>
    <x v="4"/>
    <x v="1"/>
  </r>
  <r>
    <n v="201810"/>
    <s v="Papers, Please"/>
    <d v="2014-05-19T00:00:00"/>
    <n v="417"/>
    <b v="0"/>
    <n v="860"/>
    <s v="Radeon Graphics"/>
    <x v="5"/>
    <x v="1"/>
  </r>
  <r>
    <n v="201810"/>
    <s v="Papers, Please"/>
    <d v="2014-05-19T00:00:00"/>
    <n v="417"/>
    <b v="0"/>
    <n v="860"/>
    <s v="Radeon Graphics"/>
    <x v="6"/>
    <x v="1"/>
  </r>
  <r>
    <n v="239030"/>
    <s v="Mad Island"/>
    <d v="2013-08-08T00:00:00"/>
    <n v="416"/>
    <b v="1"/>
    <n v="862"/>
    <s v="Radeon Graphics"/>
    <x v="0"/>
    <x v="1"/>
  </r>
  <r>
    <n v="239030"/>
    <s v="Mad Island"/>
    <d v="2013-08-08T00:00:00"/>
    <n v="416"/>
    <b v="1"/>
    <n v="862"/>
    <s v="Radeon Graphics"/>
    <x v="1"/>
    <x v="0"/>
  </r>
  <r>
    <n v="239030"/>
    <s v="Mad Island"/>
    <d v="2013-08-08T00:00:00"/>
    <n v="416"/>
    <b v="1"/>
    <n v="862"/>
    <s v="Radeon Graphics"/>
    <x v="2"/>
    <x v="0"/>
  </r>
  <r>
    <n v="239030"/>
    <s v="Mad Island"/>
    <d v="2013-08-08T00:00:00"/>
    <n v="416"/>
    <b v="1"/>
    <n v="862"/>
    <s v="Radeon Graphics"/>
    <x v="3"/>
    <x v="1"/>
  </r>
  <r>
    <n v="239030"/>
    <s v="Mad Island"/>
    <d v="2013-08-08T00:00:00"/>
    <n v="416"/>
    <b v="1"/>
    <n v="862"/>
    <s v="Radeon Graphics"/>
    <x v="4"/>
    <x v="1"/>
  </r>
  <r>
    <n v="239030"/>
    <s v="Mad Island"/>
    <d v="2013-08-08T00:00:00"/>
    <n v="416"/>
    <b v="1"/>
    <n v="862"/>
    <s v="Radeon Graphics"/>
    <x v="5"/>
    <x v="1"/>
  </r>
  <r>
    <n v="239030"/>
    <s v="Mad Island"/>
    <d v="2013-08-08T00:00:00"/>
    <n v="416"/>
    <b v="1"/>
    <n v="862"/>
    <s v="Radeon Graphics"/>
    <x v="6"/>
    <x v="1"/>
  </r>
  <r>
    <n v="2739590"/>
    <s v="Battle Teams 2"/>
    <d v="2024-05-23T00:00:00"/>
    <n v="416"/>
    <b v="0"/>
    <n v="862"/>
    <s v="GTX 1050"/>
    <x v="0"/>
    <x v="0"/>
  </r>
  <r>
    <n v="2739590"/>
    <s v="Battle Teams 2"/>
    <d v="2024-05-23T00:00:00"/>
    <n v="416"/>
    <b v="0"/>
    <n v="862"/>
    <s v="GTX 1050"/>
    <x v="1"/>
    <x v="0"/>
  </r>
  <r>
    <n v="2739590"/>
    <s v="Battle Teams 2"/>
    <d v="2024-05-23T00:00:00"/>
    <n v="416"/>
    <b v="0"/>
    <n v="862"/>
    <s v="GTX 1050"/>
    <x v="2"/>
    <x v="1"/>
  </r>
  <r>
    <n v="2739590"/>
    <s v="Battle Teams 2"/>
    <d v="2024-05-23T00:00:00"/>
    <n v="416"/>
    <b v="0"/>
    <n v="862"/>
    <s v="GTX 1050"/>
    <x v="3"/>
    <x v="0"/>
  </r>
  <r>
    <n v="2739590"/>
    <s v="Battle Teams 2"/>
    <d v="2024-05-23T00:00:00"/>
    <n v="416"/>
    <b v="0"/>
    <n v="862"/>
    <s v="GTX 1050"/>
    <x v="4"/>
    <x v="0"/>
  </r>
  <r>
    <n v="2739590"/>
    <s v="Battle Teams 2"/>
    <d v="2024-05-23T00:00:00"/>
    <n v="416"/>
    <b v="0"/>
    <n v="862"/>
    <s v="GTX 1050"/>
    <x v="5"/>
    <x v="1"/>
  </r>
  <r>
    <n v="2739590"/>
    <s v="Battle Teams 2"/>
    <d v="2024-05-23T00:00:00"/>
    <n v="416"/>
    <b v="0"/>
    <n v="862"/>
    <s v="GTX 1050"/>
    <x v="6"/>
    <x v="1"/>
  </r>
  <r>
    <n v="1969870"/>
    <s v="Onmyoji"/>
    <d v="2022-07-20T00:00:00"/>
    <n v="413"/>
    <b v="0"/>
    <n v="864"/>
    <s v="GTX 1070"/>
    <x v="0"/>
    <x v="0"/>
  </r>
  <r>
    <n v="1969870"/>
    <s v="Onmyoji"/>
    <d v="2022-07-20T00:00:00"/>
    <n v="413"/>
    <b v="0"/>
    <n v="864"/>
    <s v="GTX 1070"/>
    <x v="1"/>
    <x v="1"/>
  </r>
  <r>
    <n v="1969870"/>
    <s v="Onmyoji"/>
    <d v="2022-07-20T00:00:00"/>
    <n v="413"/>
    <b v="0"/>
    <n v="864"/>
    <s v="GTX 1070"/>
    <x v="2"/>
    <x v="0"/>
  </r>
  <r>
    <n v="1969870"/>
    <s v="Onmyoji"/>
    <d v="2022-07-20T00:00:00"/>
    <n v="413"/>
    <b v="0"/>
    <n v="864"/>
    <s v="GTX 1070"/>
    <x v="3"/>
    <x v="1"/>
  </r>
  <r>
    <n v="1969870"/>
    <s v="Onmyoji"/>
    <d v="2022-07-20T00:00:00"/>
    <n v="413"/>
    <b v="0"/>
    <n v="864"/>
    <s v="GTX 1070"/>
    <x v="4"/>
    <x v="1"/>
  </r>
  <r>
    <n v="1969870"/>
    <s v="Onmyoji"/>
    <d v="2022-07-20T00:00:00"/>
    <n v="413"/>
    <b v="0"/>
    <n v="864"/>
    <s v="GTX 1070"/>
    <x v="5"/>
    <x v="1"/>
  </r>
  <r>
    <n v="1969870"/>
    <s v="Onmyoji"/>
    <d v="2022-07-20T00:00:00"/>
    <n v="413"/>
    <b v="0"/>
    <n v="864"/>
    <s v="GTX 1070"/>
    <x v="6"/>
    <x v="0"/>
  </r>
  <r>
    <n v="551170"/>
    <s v="The Sims 2 Legacy Collection"/>
    <d v="2018-04-18T00:00:00"/>
    <n v="412"/>
    <b v="0"/>
    <n v="865"/>
    <s v="Radeon Vega 8"/>
    <x v="0"/>
    <x v="1"/>
  </r>
  <r>
    <n v="551170"/>
    <s v="The Sims 2 Legacy Collection"/>
    <d v="2018-04-18T00:00:00"/>
    <n v="412"/>
    <b v="0"/>
    <n v="865"/>
    <s v="Radeon Vega 8"/>
    <x v="1"/>
    <x v="1"/>
  </r>
  <r>
    <n v="551170"/>
    <s v="The Sims 2 Legacy Collection"/>
    <d v="2018-04-18T00:00:00"/>
    <n v="412"/>
    <b v="0"/>
    <n v="865"/>
    <s v="Radeon Vega 8"/>
    <x v="2"/>
    <x v="0"/>
  </r>
  <r>
    <n v="551170"/>
    <s v="The Sims 2 Legacy Collection"/>
    <d v="2018-04-18T00:00:00"/>
    <n v="412"/>
    <b v="0"/>
    <n v="865"/>
    <s v="Radeon Vega 8"/>
    <x v="3"/>
    <x v="1"/>
  </r>
  <r>
    <n v="551170"/>
    <s v="The Sims 2 Legacy Collection"/>
    <d v="2018-04-18T00:00:00"/>
    <n v="412"/>
    <b v="0"/>
    <n v="865"/>
    <s v="Radeon Vega 8"/>
    <x v="4"/>
    <x v="0"/>
  </r>
  <r>
    <n v="551170"/>
    <s v="The Sims 2 Legacy Collection"/>
    <d v="2018-04-18T00:00:00"/>
    <n v="412"/>
    <b v="0"/>
    <n v="865"/>
    <s v="Radeon Vega 8"/>
    <x v="5"/>
    <x v="0"/>
  </r>
  <r>
    <n v="551170"/>
    <s v="The Sims 2 Legacy Collection"/>
    <d v="2018-04-18T00:00:00"/>
    <n v="412"/>
    <b v="0"/>
    <n v="865"/>
    <s v="Radeon Vega 8"/>
    <x v="6"/>
    <x v="1"/>
  </r>
  <r>
    <n v="3314070"/>
    <s v="HUMANKIND"/>
    <d v="2025-01-31T00:00:00"/>
    <n v="412"/>
    <b v="0"/>
    <n v="865"/>
    <s v="GTX 1050 Ti"/>
    <x v="0"/>
    <x v="1"/>
  </r>
  <r>
    <n v="3314070"/>
    <s v="HUMANKIND"/>
    <d v="2025-01-31T00:00:00"/>
    <n v="412"/>
    <b v="0"/>
    <n v="865"/>
    <s v="GTX 1050 Ti"/>
    <x v="1"/>
    <x v="1"/>
  </r>
  <r>
    <n v="3314070"/>
    <s v="HUMANKIND"/>
    <d v="2025-01-31T00:00:00"/>
    <n v="412"/>
    <b v="0"/>
    <n v="865"/>
    <s v="GTX 1050 Ti"/>
    <x v="2"/>
    <x v="1"/>
  </r>
  <r>
    <n v="3314070"/>
    <s v="HUMANKIND"/>
    <d v="2025-01-31T00:00:00"/>
    <n v="412"/>
    <b v="0"/>
    <n v="865"/>
    <s v="GTX 1050 Ti"/>
    <x v="3"/>
    <x v="0"/>
  </r>
  <r>
    <n v="3314070"/>
    <s v="HUMANKIND"/>
    <d v="2025-01-31T00:00:00"/>
    <n v="412"/>
    <b v="0"/>
    <n v="865"/>
    <s v="GTX 1050 Ti"/>
    <x v="4"/>
    <x v="1"/>
  </r>
  <r>
    <n v="3314070"/>
    <s v="HUMANKIND"/>
    <d v="2025-01-31T00:00:00"/>
    <n v="412"/>
    <b v="0"/>
    <n v="865"/>
    <s v="GTX 1050 Ti"/>
    <x v="5"/>
    <x v="1"/>
  </r>
  <r>
    <n v="3314070"/>
    <s v="HUMANKIND"/>
    <d v="2025-01-31T00:00:00"/>
    <n v="412"/>
    <b v="0"/>
    <n v="865"/>
    <s v="GTX 1050 Ti"/>
    <x v="6"/>
    <x v="1"/>
  </r>
  <r>
    <n v="1124300"/>
    <s v="LOCKDOWN Protocol"/>
    <d v="2021-08-17T00:00:00"/>
    <n v="411"/>
    <b v="1"/>
    <n v="867"/>
    <s v="GTX 1060"/>
    <x v="0"/>
    <x v="1"/>
  </r>
  <r>
    <n v="1124300"/>
    <s v="LOCKDOWN Protocol"/>
    <d v="2021-08-17T00:00:00"/>
    <n v="411"/>
    <b v="1"/>
    <n v="867"/>
    <s v="GTX 1060"/>
    <x v="1"/>
    <x v="1"/>
  </r>
  <r>
    <n v="1124300"/>
    <s v="LOCKDOWN Protocol"/>
    <d v="2021-08-17T00:00:00"/>
    <n v="411"/>
    <b v="1"/>
    <n v="867"/>
    <s v="GTX 1060"/>
    <x v="2"/>
    <x v="1"/>
  </r>
  <r>
    <n v="1124300"/>
    <s v="LOCKDOWN Protocol"/>
    <d v="2021-08-17T00:00:00"/>
    <n v="411"/>
    <b v="1"/>
    <n v="867"/>
    <s v="GTX 1060"/>
    <x v="3"/>
    <x v="1"/>
  </r>
  <r>
    <n v="1124300"/>
    <s v="LOCKDOWN Protocol"/>
    <d v="2021-08-17T00:00:00"/>
    <n v="411"/>
    <b v="1"/>
    <n v="867"/>
    <s v="GTX 1060"/>
    <x v="4"/>
    <x v="1"/>
  </r>
  <r>
    <n v="1124300"/>
    <s v="LOCKDOWN Protocol"/>
    <d v="2021-08-17T00:00:00"/>
    <n v="411"/>
    <b v="1"/>
    <n v="867"/>
    <s v="GTX 1060"/>
    <x v="5"/>
    <x v="0"/>
  </r>
  <r>
    <n v="1124300"/>
    <s v="LOCKDOWN Protocol"/>
    <d v="2021-08-17T00:00:00"/>
    <n v="411"/>
    <b v="1"/>
    <n v="867"/>
    <s v="GTX 1060"/>
    <x v="6"/>
    <x v="1"/>
  </r>
  <r>
    <n v="2780980"/>
    <s v="Dead Island Definitive Edition"/>
    <d v="2025-11-18T00:00:00"/>
    <n v="411"/>
    <b v="0"/>
    <n v="867"/>
    <s v="GTX 1050"/>
    <x v="0"/>
    <x v="0"/>
  </r>
  <r>
    <n v="2780980"/>
    <s v="Dead Island Definitive Edition"/>
    <d v="2025-11-18T00:00:00"/>
    <n v="411"/>
    <b v="0"/>
    <n v="867"/>
    <s v="GTX 1050"/>
    <x v="1"/>
    <x v="0"/>
  </r>
  <r>
    <n v="2780980"/>
    <s v="Dead Island Definitive Edition"/>
    <d v="2025-11-18T00:00:00"/>
    <n v="411"/>
    <b v="0"/>
    <n v="867"/>
    <s v="GTX 1050"/>
    <x v="2"/>
    <x v="1"/>
  </r>
  <r>
    <n v="2780980"/>
    <s v="Dead Island Definitive Edition"/>
    <d v="2025-11-18T00:00:00"/>
    <n v="411"/>
    <b v="0"/>
    <n v="867"/>
    <s v="GTX 1050"/>
    <x v="3"/>
    <x v="1"/>
  </r>
  <r>
    <n v="2780980"/>
    <s v="Dead Island Definitive Edition"/>
    <d v="2025-11-18T00:00:00"/>
    <n v="411"/>
    <b v="0"/>
    <n v="867"/>
    <s v="GTX 1050"/>
    <x v="4"/>
    <x v="1"/>
  </r>
  <r>
    <n v="2780980"/>
    <s v="Dead Island Definitive Edition"/>
    <d v="2025-11-18T00:00:00"/>
    <n v="411"/>
    <b v="0"/>
    <n v="867"/>
    <s v="GTX 1050"/>
    <x v="5"/>
    <x v="0"/>
  </r>
  <r>
    <n v="2780980"/>
    <s v="Dead Island Definitive Edition"/>
    <d v="2025-11-18T00:00:00"/>
    <n v="411"/>
    <b v="0"/>
    <n v="867"/>
    <s v="GTX 1050"/>
    <x v="6"/>
    <x v="1"/>
  </r>
  <r>
    <n v="383150"/>
    <s v="Shin Megami Tensei V: Vengeance"/>
    <d v="2016-05-31T00:00:00"/>
    <n v="410"/>
    <b v="0"/>
    <n v="869"/>
    <s v="GTX 1050 Ti"/>
    <x v="0"/>
    <x v="0"/>
  </r>
  <r>
    <n v="383150"/>
    <s v="Shin Megami Tensei V: Vengeance"/>
    <d v="2016-05-31T00:00:00"/>
    <n v="410"/>
    <b v="0"/>
    <n v="869"/>
    <s v="GTX 1050 Ti"/>
    <x v="1"/>
    <x v="1"/>
  </r>
  <r>
    <n v="383150"/>
    <s v="Shin Megami Tensei V: Vengeance"/>
    <d v="2016-05-31T00:00:00"/>
    <n v="410"/>
    <b v="0"/>
    <n v="869"/>
    <s v="GTX 1050 Ti"/>
    <x v="2"/>
    <x v="1"/>
  </r>
  <r>
    <n v="383150"/>
    <s v="Shin Megami Tensei V: Vengeance"/>
    <d v="2016-05-31T00:00:00"/>
    <n v="410"/>
    <b v="0"/>
    <n v="869"/>
    <s v="GTX 1050 Ti"/>
    <x v="3"/>
    <x v="1"/>
  </r>
  <r>
    <n v="383150"/>
    <s v="Shin Megami Tensei V: Vengeance"/>
    <d v="2016-05-31T00:00:00"/>
    <n v="410"/>
    <b v="0"/>
    <n v="869"/>
    <s v="GTX 1050 Ti"/>
    <x v="4"/>
    <x v="1"/>
  </r>
  <r>
    <n v="383150"/>
    <s v="Shin Megami Tensei V: Vengeance"/>
    <d v="2016-05-31T00:00:00"/>
    <n v="410"/>
    <b v="0"/>
    <n v="869"/>
    <s v="GTX 1050 Ti"/>
    <x v="5"/>
    <x v="1"/>
  </r>
  <r>
    <n v="383150"/>
    <s v="Shin Megami Tensei V: Vengeance"/>
    <d v="2016-05-31T00:00:00"/>
    <n v="410"/>
    <b v="0"/>
    <n v="869"/>
    <s v="GTX 1050 Ti"/>
    <x v="6"/>
    <x v="1"/>
  </r>
  <r>
    <n v="1875830"/>
    <s v="Symphony of War: The Nephilim Saga"/>
    <d v="2024-06-13T00:00:00"/>
    <n v="410"/>
    <b v="0"/>
    <n v="869"/>
    <s v="GTX 1050 Ti"/>
    <x v="0"/>
    <x v="1"/>
  </r>
  <r>
    <n v="1875830"/>
    <s v="Symphony of War: The Nephilim Saga"/>
    <d v="2024-06-13T00:00:00"/>
    <n v="410"/>
    <b v="0"/>
    <n v="869"/>
    <s v="GTX 1050 Ti"/>
    <x v="1"/>
    <x v="1"/>
  </r>
  <r>
    <n v="1875830"/>
    <s v="Symphony of War: The Nephilim Saga"/>
    <d v="2024-06-13T00:00:00"/>
    <n v="410"/>
    <b v="0"/>
    <n v="869"/>
    <s v="GTX 1050 Ti"/>
    <x v="2"/>
    <x v="0"/>
  </r>
  <r>
    <n v="1875830"/>
    <s v="Symphony of War: The Nephilim Saga"/>
    <d v="2024-06-13T00:00:00"/>
    <n v="410"/>
    <b v="0"/>
    <n v="869"/>
    <s v="GTX 1050 Ti"/>
    <x v="3"/>
    <x v="1"/>
  </r>
  <r>
    <n v="1875830"/>
    <s v="Symphony of War: The Nephilim Saga"/>
    <d v="2024-06-13T00:00:00"/>
    <n v="410"/>
    <b v="0"/>
    <n v="869"/>
    <s v="GTX 1050 Ti"/>
    <x v="4"/>
    <x v="0"/>
  </r>
  <r>
    <n v="1875830"/>
    <s v="Symphony of War: The Nephilim Saga"/>
    <d v="2024-06-13T00:00:00"/>
    <n v="410"/>
    <b v="0"/>
    <n v="869"/>
    <s v="GTX 1050 Ti"/>
    <x v="5"/>
    <x v="1"/>
  </r>
  <r>
    <n v="1875830"/>
    <s v="Symphony of War: The Nephilim Saga"/>
    <d v="2024-06-13T00:00:00"/>
    <n v="410"/>
    <b v="0"/>
    <n v="869"/>
    <s v="GTX 1050 Ti"/>
    <x v="6"/>
    <x v="1"/>
  </r>
  <r>
    <n v="1488200"/>
    <s v="Zenkcraft"/>
    <d v="2022-06-10T00:00:00"/>
    <n v="409"/>
    <b v="0"/>
    <n v="871"/>
    <s v="Radeon Vega 11"/>
    <x v="0"/>
    <x v="1"/>
  </r>
  <r>
    <n v="1488200"/>
    <s v="Zenkcraft"/>
    <d v="2022-06-10T00:00:00"/>
    <n v="409"/>
    <b v="0"/>
    <n v="871"/>
    <s v="Radeon Vega 11"/>
    <x v="1"/>
    <x v="0"/>
  </r>
  <r>
    <n v="1488200"/>
    <s v="Zenkcraft"/>
    <d v="2022-06-10T00:00:00"/>
    <n v="409"/>
    <b v="0"/>
    <n v="871"/>
    <s v="Radeon Vega 11"/>
    <x v="2"/>
    <x v="0"/>
  </r>
  <r>
    <n v="1488200"/>
    <s v="Zenkcraft"/>
    <d v="2022-06-10T00:00:00"/>
    <n v="409"/>
    <b v="0"/>
    <n v="871"/>
    <s v="Radeon Vega 11"/>
    <x v="3"/>
    <x v="1"/>
  </r>
  <r>
    <n v="1488200"/>
    <s v="Zenkcraft"/>
    <d v="2022-06-10T00:00:00"/>
    <n v="409"/>
    <b v="0"/>
    <n v="871"/>
    <s v="Radeon Vega 11"/>
    <x v="4"/>
    <x v="0"/>
  </r>
  <r>
    <n v="1488200"/>
    <s v="Zenkcraft"/>
    <d v="2022-06-10T00:00:00"/>
    <n v="409"/>
    <b v="0"/>
    <n v="871"/>
    <s v="Radeon Vega 11"/>
    <x v="5"/>
    <x v="0"/>
  </r>
  <r>
    <n v="1488200"/>
    <s v="Zenkcraft"/>
    <d v="2022-06-10T00:00:00"/>
    <n v="409"/>
    <b v="0"/>
    <n v="871"/>
    <s v="Radeon Vega 11"/>
    <x v="6"/>
    <x v="1"/>
  </r>
  <r>
    <n v="1144400"/>
    <s v="Riichi City ﾃ The Quintessential Quintuplets Specials 2"/>
    <d v="2020-02-14T00:00:00"/>
    <n v="406"/>
    <b v="0"/>
    <n v="872"/>
    <s v="Radeon Vega 11"/>
    <x v="0"/>
    <x v="1"/>
  </r>
  <r>
    <n v="1144400"/>
    <s v="Riichi City ﾃ The Quintessential Quintuplets Specials 2"/>
    <d v="2020-02-14T00:00:00"/>
    <n v="406"/>
    <b v="0"/>
    <n v="872"/>
    <s v="Radeon Vega 11"/>
    <x v="1"/>
    <x v="1"/>
  </r>
  <r>
    <n v="1144400"/>
    <s v="Riichi City ﾃ The Quintessential Quintuplets Specials 2"/>
    <d v="2020-02-14T00:00:00"/>
    <n v="406"/>
    <b v="0"/>
    <n v="872"/>
    <s v="Radeon Vega 11"/>
    <x v="2"/>
    <x v="0"/>
  </r>
  <r>
    <n v="1144400"/>
    <s v="Riichi City ﾃ The Quintessential Quintuplets Specials 2"/>
    <d v="2020-02-14T00:00:00"/>
    <n v="406"/>
    <b v="0"/>
    <n v="872"/>
    <s v="Radeon Vega 11"/>
    <x v="3"/>
    <x v="1"/>
  </r>
  <r>
    <n v="1144400"/>
    <s v="Riichi City ﾃ The Quintessential Quintuplets Specials 2"/>
    <d v="2020-02-14T00:00:00"/>
    <n v="406"/>
    <b v="0"/>
    <n v="872"/>
    <s v="Radeon Vega 11"/>
    <x v="4"/>
    <x v="1"/>
  </r>
  <r>
    <n v="1144400"/>
    <s v="Riichi City ﾃ The Quintessential Quintuplets Specials 2"/>
    <d v="2020-02-14T00:00:00"/>
    <n v="406"/>
    <b v="0"/>
    <n v="872"/>
    <s v="Radeon Vega 11"/>
    <x v="5"/>
    <x v="1"/>
  </r>
  <r>
    <n v="1144400"/>
    <s v="Riichi City ﾃ The Quintessential Quintuplets Specials 2"/>
    <d v="2020-02-14T00:00:00"/>
    <n v="406"/>
    <b v="0"/>
    <n v="872"/>
    <s v="Radeon Vega 11"/>
    <x v="6"/>
    <x v="1"/>
  </r>
  <r>
    <n v="1458140"/>
    <s v="Cry of Fear"/>
    <d v="2024-02-21T00:00:00"/>
    <n v="406"/>
    <b v="0"/>
    <n v="872"/>
    <s v="RTX 2080"/>
    <x v="0"/>
    <x v="0"/>
  </r>
  <r>
    <n v="1458140"/>
    <s v="Cry of Fear"/>
    <d v="2024-02-21T00:00:00"/>
    <n v="406"/>
    <b v="0"/>
    <n v="872"/>
    <s v="RTX 2080"/>
    <x v="1"/>
    <x v="0"/>
  </r>
  <r>
    <n v="1458140"/>
    <s v="Cry of Fear"/>
    <d v="2024-02-21T00:00:00"/>
    <n v="406"/>
    <b v="0"/>
    <n v="872"/>
    <s v="RTX 2080"/>
    <x v="2"/>
    <x v="0"/>
  </r>
  <r>
    <n v="1458140"/>
    <s v="Cry of Fear"/>
    <d v="2024-02-21T00:00:00"/>
    <n v="406"/>
    <b v="0"/>
    <n v="872"/>
    <s v="RTX 2080"/>
    <x v="3"/>
    <x v="0"/>
  </r>
  <r>
    <n v="1458140"/>
    <s v="Cry of Fear"/>
    <d v="2024-02-21T00:00:00"/>
    <n v="406"/>
    <b v="0"/>
    <n v="872"/>
    <s v="RTX 2080"/>
    <x v="4"/>
    <x v="1"/>
  </r>
  <r>
    <n v="1458140"/>
    <s v="Cry of Fear"/>
    <d v="2024-02-21T00:00:00"/>
    <n v="406"/>
    <b v="0"/>
    <n v="872"/>
    <s v="RTX 2080"/>
    <x v="5"/>
    <x v="1"/>
  </r>
  <r>
    <n v="1458140"/>
    <s v="Cry of Fear"/>
    <d v="2024-02-21T00:00:00"/>
    <n v="406"/>
    <b v="0"/>
    <n v="872"/>
    <s v="RTX 2080"/>
    <x v="6"/>
    <x v="1"/>
  </r>
  <r>
    <n v="223710"/>
    <s v="Hotline Miami"/>
    <d v="2013-04-25T00:00:00"/>
    <n v="405"/>
    <b v="0"/>
    <n v="874"/>
    <s v="Radeon Graphics"/>
    <x v="0"/>
    <x v="0"/>
  </r>
  <r>
    <n v="223710"/>
    <s v="Hotline Miami"/>
    <d v="2013-04-25T00:00:00"/>
    <n v="405"/>
    <b v="0"/>
    <n v="874"/>
    <s v="Radeon Graphics"/>
    <x v="1"/>
    <x v="0"/>
  </r>
  <r>
    <n v="223710"/>
    <s v="Hotline Miami"/>
    <d v="2013-04-25T00:00:00"/>
    <n v="405"/>
    <b v="0"/>
    <n v="874"/>
    <s v="Radeon Graphics"/>
    <x v="2"/>
    <x v="0"/>
  </r>
  <r>
    <n v="223710"/>
    <s v="Hotline Miami"/>
    <d v="2013-04-25T00:00:00"/>
    <n v="405"/>
    <b v="0"/>
    <n v="874"/>
    <s v="Radeon Graphics"/>
    <x v="3"/>
    <x v="1"/>
  </r>
  <r>
    <n v="223710"/>
    <s v="Hotline Miami"/>
    <d v="2013-04-25T00:00:00"/>
    <n v="405"/>
    <b v="0"/>
    <n v="874"/>
    <s v="Radeon Graphics"/>
    <x v="4"/>
    <x v="1"/>
  </r>
  <r>
    <n v="223710"/>
    <s v="Hotline Miami"/>
    <d v="2013-04-25T00:00:00"/>
    <n v="405"/>
    <b v="0"/>
    <n v="874"/>
    <s v="Radeon Graphics"/>
    <x v="5"/>
    <x v="1"/>
  </r>
  <r>
    <n v="223710"/>
    <s v="Hotline Miami"/>
    <d v="2013-04-25T00:00:00"/>
    <n v="405"/>
    <b v="0"/>
    <n v="874"/>
    <s v="Radeon Graphics"/>
    <x v="6"/>
    <x v="1"/>
  </r>
  <r>
    <n v="219150"/>
    <s v="Gothic II: Gold Edition"/>
    <d v="2012-10-23T00:00:00"/>
    <n v="404"/>
    <b v="1"/>
    <n v="875"/>
    <s v="Radeon Graphics"/>
    <x v="0"/>
    <x v="0"/>
  </r>
  <r>
    <n v="219150"/>
    <s v="Gothic II: Gold Edition"/>
    <d v="2012-10-23T00:00:00"/>
    <n v="404"/>
    <b v="1"/>
    <n v="875"/>
    <s v="Radeon Graphics"/>
    <x v="1"/>
    <x v="0"/>
  </r>
  <r>
    <n v="219150"/>
    <s v="Gothic II: Gold Edition"/>
    <d v="2012-10-23T00:00:00"/>
    <n v="404"/>
    <b v="1"/>
    <n v="875"/>
    <s v="Radeon Graphics"/>
    <x v="2"/>
    <x v="1"/>
  </r>
  <r>
    <n v="219150"/>
    <s v="Gothic II: Gold Edition"/>
    <d v="2012-10-23T00:00:00"/>
    <n v="404"/>
    <b v="1"/>
    <n v="875"/>
    <s v="Radeon Graphics"/>
    <x v="3"/>
    <x v="1"/>
  </r>
  <r>
    <n v="219150"/>
    <s v="Gothic II: Gold Edition"/>
    <d v="2012-10-23T00:00:00"/>
    <n v="404"/>
    <b v="1"/>
    <n v="875"/>
    <s v="Radeon Graphics"/>
    <x v="4"/>
    <x v="1"/>
  </r>
  <r>
    <n v="219150"/>
    <s v="Gothic II: Gold Edition"/>
    <d v="2012-10-23T00:00:00"/>
    <n v="404"/>
    <b v="1"/>
    <n v="875"/>
    <s v="Radeon Graphics"/>
    <x v="5"/>
    <x v="1"/>
  </r>
  <r>
    <n v="219150"/>
    <s v="Gothic II: Gold Edition"/>
    <d v="2012-10-23T00:00:00"/>
    <n v="404"/>
    <b v="1"/>
    <n v="875"/>
    <s v="Radeon Graphics"/>
    <x v="6"/>
    <x v="1"/>
  </r>
  <r>
    <n v="39510"/>
    <s v="Dome Keeper"/>
    <d v="2005-11-29T00:00:00"/>
    <n v="404"/>
    <b v="0"/>
    <n v="875"/>
    <s v="Intel HD Graphics"/>
    <x v="0"/>
    <x v="0"/>
  </r>
  <r>
    <n v="39510"/>
    <s v="Dome Keeper"/>
    <d v="2005-11-29T00:00:00"/>
    <n v="404"/>
    <b v="0"/>
    <n v="875"/>
    <s v="Intel HD Graphics"/>
    <x v="1"/>
    <x v="1"/>
  </r>
  <r>
    <n v="39510"/>
    <s v="Dome Keeper"/>
    <d v="2005-11-29T00:00:00"/>
    <n v="404"/>
    <b v="0"/>
    <n v="875"/>
    <s v="Intel HD Graphics"/>
    <x v="2"/>
    <x v="1"/>
  </r>
  <r>
    <n v="39510"/>
    <s v="Dome Keeper"/>
    <d v="2005-11-29T00:00:00"/>
    <n v="404"/>
    <b v="0"/>
    <n v="875"/>
    <s v="Intel HD Graphics"/>
    <x v="3"/>
    <x v="1"/>
  </r>
  <r>
    <n v="39510"/>
    <s v="Dome Keeper"/>
    <d v="2005-11-29T00:00:00"/>
    <n v="404"/>
    <b v="0"/>
    <n v="875"/>
    <s v="Intel HD Graphics"/>
    <x v="4"/>
    <x v="0"/>
  </r>
  <r>
    <n v="39510"/>
    <s v="Dome Keeper"/>
    <d v="2005-11-29T00:00:00"/>
    <n v="404"/>
    <b v="0"/>
    <n v="875"/>
    <s v="Intel HD Graphics"/>
    <x v="5"/>
    <x v="1"/>
  </r>
  <r>
    <n v="39510"/>
    <s v="Dome Keeper"/>
    <d v="2005-11-29T00:00:00"/>
    <n v="404"/>
    <b v="0"/>
    <n v="875"/>
    <s v="Intel HD Graphics"/>
    <x v="6"/>
    <x v="1"/>
  </r>
  <r>
    <n v="1637320"/>
    <s v="Elsword"/>
    <d v="2022-09-27T00:00:00"/>
    <n v="402"/>
    <b v="1"/>
    <n v="877"/>
    <s v="Radeon Vega 11"/>
    <x v="0"/>
    <x v="0"/>
  </r>
  <r>
    <n v="1637320"/>
    <s v="Elsword"/>
    <d v="2022-09-27T00:00:00"/>
    <n v="402"/>
    <b v="1"/>
    <n v="877"/>
    <s v="Radeon Vega 11"/>
    <x v="1"/>
    <x v="0"/>
  </r>
  <r>
    <n v="1637320"/>
    <s v="Elsword"/>
    <d v="2022-09-27T00:00:00"/>
    <n v="402"/>
    <b v="1"/>
    <n v="877"/>
    <s v="Radeon Vega 11"/>
    <x v="2"/>
    <x v="0"/>
  </r>
  <r>
    <n v="1637320"/>
    <s v="Elsword"/>
    <d v="2022-09-27T00:00:00"/>
    <n v="402"/>
    <b v="1"/>
    <n v="877"/>
    <s v="Radeon Vega 11"/>
    <x v="3"/>
    <x v="0"/>
  </r>
  <r>
    <n v="1637320"/>
    <s v="Elsword"/>
    <d v="2022-09-27T00:00:00"/>
    <n v="402"/>
    <b v="1"/>
    <n v="877"/>
    <s v="Radeon Vega 11"/>
    <x v="4"/>
    <x v="1"/>
  </r>
  <r>
    <n v="1637320"/>
    <s v="Elsword"/>
    <d v="2022-09-27T00:00:00"/>
    <n v="402"/>
    <b v="1"/>
    <n v="877"/>
    <s v="Radeon Vega 11"/>
    <x v="5"/>
    <x v="1"/>
  </r>
  <r>
    <n v="1637320"/>
    <s v="Elsword"/>
    <d v="2022-09-27T00:00:00"/>
    <n v="402"/>
    <b v="1"/>
    <n v="877"/>
    <s v="Radeon Vega 11"/>
    <x v="6"/>
    <x v="1"/>
  </r>
  <r>
    <n v="237310"/>
    <s v="Worlds of Magic"/>
    <d v="2014-07-02T00:00:00"/>
    <n v="401"/>
    <b v="0"/>
    <n v="878"/>
    <s v="GTX 750"/>
    <x v="0"/>
    <x v="0"/>
  </r>
  <r>
    <n v="237310"/>
    <s v="Worlds of Magic"/>
    <d v="2014-07-02T00:00:00"/>
    <n v="401"/>
    <b v="0"/>
    <n v="878"/>
    <s v="GTX 750"/>
    <x v="1"/>
    <x v="1"/>
  </r>
  <r>
    <n v="237310"/>
    <s v="Worlds of Magic"/>
    <d v="2014-07-02T00:00:00"/>
    <n v="401"/>
    <b v="0"/>
    <n v="878"/>
    <s v="GTX 750"/>
    <x v="2"/>
    <x v="0"/>
  </r>
  <r>
    <n v="237310"/>
    <s v="Worlds of Magic"/>
    <d v="2014-07-02T00:00:00"/>
    <n v="401"/>
    <b v="0"/>
    <n v="878"/>
    <s v="GTX 750"/>
    <x v="3"/>
    <x v="1"/>
  </r>
  <r>
    <n v="237310"/>
    <s v="Worlds of Magic"/>
    <d v="2014-07-02T00:00:00"/>
    <n v="401"/>
    <b v="0"/>
    <n v="878"/>
    <s v="GTX 750"/>
    <x v="4"/>
    <x v="0"/>
  </r>
  <r>
    <n v="237310"/>
    <s v="Worlds of Magic"/>
    <d v="2014-07-02T00:00:00"/>
    <n v="401"/>
    <b v="0"/>
    <n v="878"/>
    <s v="GTX 750"/>
    <x v="5"/>
    <x v="1"/>
  </r>
  <r>
    <n v="237310"/>
    <s v="Worlds of Magic"/>
    <d v="2014-07-02T00:00:00"/>
    <n v="401"/>
    <b v="0"/>
    <n v="878"/>
    <s v="GTX 750"/>
    <x v="6"/>
    <x v="0"/>
  </r>
  <r>
    <n v="265970"/>
    <s v="Empires of the Undergrowth"/>
    <d v="2015-03-19T00:00:00"/>
    <n v="401"/>
    <b v="1"/>
    <n v="878"/>
    <s v="Radeon Graphics"/>
    <x v="0"/>
    <x v="1"/>
  </r>
  <r>
    <n v="265970"/>
    <s v="Empires of the Undergrowth"/>
    <d v="2015-03-19T00:00:00"/>
    <n v="401"/>
    <b v="1"/>
    <n v="878"/>
    <s v="Radeon Graphics"/>
    <x v="1"/>
    <x v="1"/>
  </r>
  <r>
    <n v="265970"/>
    <s v="Empires of the Undergrowth"/>
    <d v="2015-03-19T00:00:00"/>
    <n v="401"/>
    <b v="1"/>
    <n v="878"/>
    <s v="Radeon Graphics"/>
    <x v="2"/>
    <x v="1"/>
  </r>
  <r>
    <n v="265970"/>
    <s v="Empires of the Undergrowth"/>
    <d v="2015-03-19T00:00:00"/>
    <n v="401"/>
    <b v="1"/>
    <n v="878"/>
    <s v="Radeon Graphics"/>
    <x v="3"/>
    <x v="1"/>
  </r>
  <r>
    <n v="265970"/>
    <s v="Empires of the Undergrowth"/>
    <d v="2015-03-19T00:00:00"/>
    <n v="401"/>
    <b v="1"/>
    <n v="878"/>
    <s v="Radeon Graphics"/>
    <x v="4"/>
    <x v="0"/>
  </r>
  <r>
    <n v="265970"/>
    <s v="Empires of the Undergrowth"/>
    <d v="2015-03-19T00:00:00"/>
    <n v="401"/>
    <b v="1"/>
    <n v="878"/>
    <s v="Radeon Graphics"/>
    <x v="5"/>
    <x v="0"/>
  </r>
  <r>
    <n v="265970"/>
    <s v="Empires of the Undergrowth"/>
    <d v="2015-03-19T00:00:00"/>
    <n v="401"/>
    <b v="1"/>
    <n v="878"/>
    <s v="Radeon Graphics"/>
    <x v="6"/>
    <x v="1"/>
  </r>
  <r>
    <n v="463530"/>
    <s v="Call of Duty: Modern Warfare 2 (2009)"/>
    <d v="2024-06-07T00:00:00"/>
    <n v="399"/>
    <b v="1"/>
    <n v="880"/>
    <s v="Radeon Vega 8"/>
    <x v="0"/>
    <x v="1"/>
  </r>
  <r>
    <n v="463530"/>
    <s v="Call of Duty: Modern Warfare 2 (2009)"/>
    <d v="2024-06-07T00:00:00"/>
    <n v="399"/>
    <b v="1"/>
    <n v="880"/>
    <s v="Radeon Vega 8"/>
    <x v="1"/>
    <x v="1"/>
  </r>
  <r>
    <n v="463530"/>
    <s v="Call of Duty: Modern Warfare 2 (2009)"/>
    <d v="2024-06-07T00:00:00"/>
    <n v="399"/>
    <b v="1"/>
    <n v="880"/>
    <s v="Radeon Vega 8"/>
    <x v="2"/>
    <x v="1"/>
  </r>
  <r>
    <n v="463530"/>
    <s v="Call of Duty: Modern Warfare 2 (2009)"/>
    <d v="2024-06-07T00:00:00"/>
    <n v="399"/>
    <b v="1"/>
    <n v="880"/>
    <s v="Radeon Vega 8"/>
    <x v="3"/>
    <x v="0"/>
  </r>
  <r>
    <n v="463530"/>
    <s v="Call of Duty: Modern Warfare 2 (2009)"/>
    <d v="2024-06-07T00:00:00"/>
    <n v="399"/>
    <b v="1"/>
    <n v="880"/>
    <s v="Radeon Vega 8"/>
    <x v="4"/>
    <x v="1"/>
  </r>
  <r>
    <n v="463530"/>
    <s v="Call of Duty: Modern Warfare 2 (2009)"/>
    <d v="2024-06-07T00:00:00"/>
    <n v="399"/>
    <b v="1"/>
    <n v="880"/>
    <s v="Radeon Vega 8"/>
    <x v="5"/>
    <x v="0"/>
  </r>
  <r>
    <n v="463530"/>
    <s v="Call of Duty: Modern Warfare 2 (2009)"/>
    <d v="2024-06-07T00:00:00"/>
    <n v="399"/>
    <b v="1"/>
    <n v="880"/>
    <s v="Radeon Vega 8"/>
    <x v="6"/>
    <x v="1"/>
  </r>
  <r>
    <n v="10180"/>
    <s v="OCTOPATH TRAVELER II"/>
    <d v="2009-11-11T00:00:00"/>
    <n v="399"/>
    <b v="1"/>
    <n v="880"/>
    <s v="GTX 780"/>
    <x v="0"/>
    <x v="0"/>
  </r>
  <r>
    <n v="10180"/>
    <s v="OCTOPATH TRAVELER II"/>
    <d v="2009-11-11T00:00:00"/>
    <n v="399"/>
    <b v="1"/>
    <n v="880"/>
    <s v="GTX 780"/>
    <x v="1"/>
    <x v="1"/>
  </r>
  <r>
    <n v="10180"/>
    <s v="OCTOPATH TRAVELER II"/>
    <d v="2009-11-11T00:00:00"/>
    <n v="399"/>
    <b v="1"/>
    <n v="880"/>
    <s v="GTX 780"/>
    <x v="2"/>
    <x v="1"/>
  </r>
  <r>
    <n v="10180"/>
    <s v="OCTOPATH TRAVELER II"/>
    <d v="2009-11-11T00:00:00"/>
    <n v="399"/>
    <b v="1"/>
    <n v="880"/>
    <s v="GTX 780"/>
    <x v="3"/>
    <x v="1"/>
  </r>
  <r>
    <n v="10180"/>
    <s v="OCTOPATH TRAVELER II"/>
    <d v="2009-11-11T00:00:00"/>
    <n v="399"/>
    <b v="1"/>
    <n v="880"/>
    <s v="GTX 780"/>
    <x v="4"/>
    <x v="1"/>
  </r>
  <r>
    <n v="10180"/>
    <s v="OCTOPATH TRAVELER II"/>
    <d v="2009-11-11T00:00:00"/>
    <n v="399"/>
    <b v="1"/>
    <n v="880"/>
    <s v="GTX 780"/>
    <x v="5"/>
    <x v="1"/>
  </r>
  <r>
    <n v="10180"/>
    <s v="OCTOPATH TRAVELER II"/>
    <d v="2009-11-11T00:00:00"/>
    <n v="399"/>
    <b v="1"/>
    <n v="880"/>
    <s v="GTX 780"/>
    <x v="6"/>
    <x v="1"/>
  </r>
  <r>
    <n v="1971650"/>
    <s v="Solasta: Crown of the Magister"/>
    <d v="2023-02-24T00:00:00"/>
    <n v="398"/>
    <b v="0"/>
    <n v="882"/>
    <s v="GTX 1060"/>
    <x v="0"/>
    <x v="1"/>
  </r>
  <r>
    <n v="1971650"/>
    <s v="Solasta: Crown of the Magister"/>
    <d v="2023-02-24T00:00:00"/>
    <n v="398"/>
    <b v="0"/>
    <n v="882"/>
    <s v="GTX 1060"/>
    <x v="1"/>
    <x v="1"/>
  </r>
  <r>
    <n v="1971650"/>
    <s v="Solasta: Crown of the Magister"/>
    <d v="2023-02-24T00:00:00"/>
    <n v="398"/>
    <b v="0"/>
    <n v="882"/>
    <s v="GTX 1060"/>
    <x v="2"/>
    <x v="1"/>
  </r>
  <r>
    <n v="1971650"/>
    <s v="Solasta: Crown of the Magister"/>
    <d v="2023-02-24T00:00:00"/>
    <n v="398"/>
    <b v="0"/>
    <n v="882"/>
    <s v="GTX 1060"/>
    <x v="3"/>
    <x v="1"/>
  </r>
  <r>
    <n v="1971650"/>
    <s v="Solasta: Crown of the Magister"/>
    <d v="2023-02-24T00:00:00"/>
    <n v="398"/>
    <b v="0"/>
    <n v="882"/>
    <s v="GTX 1060"/>
    <x v="4"/>
    <x v="0"/>
  </r>
  <r>
    <n v="1971650"/>
    <s v="Solasta: Crown of the Magister"/>
    <d v="2023-02-24T00:00:00"/>
    <n v="398"/>
    <b v="0"/>
    <n v="882"/>
    <s v="GTX 1060"/>
    <x v="5"/>
    <x v="1"/>
  </r>
  <r>
    <n v="1971650"/>
    <s v="Solasta: Crown of the Magister"/>
    <d v="2023-02-24T00:00:00"/>
    <n v="398"/>
    <b v="0"/>
    <n v="882"/>
    <s v="GTX 1060"/>
    <x v="6"/>
    <x v="1"/>
  </r>
  <r>
    <n v="1096530"/>
    <s v="Dragon Age: Origins - Ultimate Edition"/>
    <d v="2021-05-27T00:00:00"/>
    <n v="396"/>
    <b v="1"/>
    <n v="883"/>
    <s v="RX 590"/>
    <x v="0"/>
    <x v="1"/>
  </r>
  <r>
    <n v="1096530"/>
    <s v="Dragon Age: Origins - Ultimate Edition"/>
    <d v="2021-05-27T00:00:00"/>
    <n v="396"/>
    <b v="1"/>
    <n v="883"/>
    <s v="RX 590"/>
    <x v="1"/>
    <x v="1"/>
  </r>
  <r>
    <n v="1096530"/>
    <s v="Dragon Age: Origins - Ultimate Edition"/>
    <d v="2021-05-27T00:00:00"/>
    <n v="396"/>
    <b v="1"/>
    <n v="883"/>
    <s v="RX 590"/>
    <x v="2"/>
    <x v="0"/>
  </r>
  <r>
    <n v="1096530"/>
    <s v="Dragon Age: Origins - Ultimate Edition"/>
    <d v="2021-05-27T00:00:00"/>
    <n v="396"/>
    <b v="1"/>
    <n v="883"/>
    <s v="RX 590"/>
    <x v="3"/>
    <x v="1"/>
  </r>
  <r>
    <n v="1096530"/>
    <s v="Dragon Age: Origins - Ultimate Edition"/>
    <d v="2021-05-27T00:00:00"/>
    <n v="396"/>
    <b v="1"/>
    <n v="883"/>
    <s v="RX 590"/>
    <x v="4"/>
    <x v="0"/>
  </r>
  <r>
    <n v="1096530"/>
    <s v="Dragon Age: Origins - Ultimate Edition"/>
    <d v="2021-05-27T00:00:00"/>
    <n v="396"/>
    <b v="1"/>
    <n v="883"/>
    <s v="RX 590"/>
    <x v="5"/>
    <x v="0"/>
  </r>
  <r>
    <n v="1096530"/>
    <s v="Dragon Age: Origins - Ultimate Edition"/>
    <d v="2021-05-27T00:00:00"/>
    <n v="396"/>
    <b v="1"/>
    <n v="883"/>
    <s v="RX 590"/>
    <x v="6"/>
    <x v="1"/>
  </r>
  <r>
    <n v="47810"/>
    <s v="Sifu"/>
    <d v="2010-10-26T00:00:00"/>
    <n v="394"/>
    <b v="0"/>
    <n v="884"/>
    <s v="GTX 770"/>
    <x v="0"/>
    <x v="1"/>
  </r>
  <r>
    <n v="47810"/>
    <s v="Sifu"/>
    <d v="2010-10-26T00:00:00"/>
    <n v="394"/>
    <b v="0"/>
    <n v="884"/>
    <s v="GTX 770"/>
    <x v="1"/>
    <x v="1"/>
  </r>
  <r>
    <n v="47810"/>
    <s v="Sifu"/>
    <d v="2010-10-26T00:00:00"/>
    <n v="394"/>
    <b v="0"/>
    <n v="884"/>
    <s v="GTX 770"/>
    <x v="2"/>
    <x v="1"/>
  </r>
  <r>
    <n v="47810"/>
    <s v="Sifu"/>
    <d v="2010-10-26T00:00:00"/>
    <n v="394"/>
    <b v="0"/>
    <n v="884"/>
    <s v="GTX 770"/>
    <x v="3"/>
    <x v="1"/>
  </r>
  <r>
    <n v="47810"/>
    <s v="Sifu"/>
    <d v="2010-10-26T00:00:00"/>
    <n v="394"/>
    <b v="0"/>
    <n v="884"/>
    <s v="GTX 770"/>
    <x v="4"/>
    <x v="0"/>
  </r>
  <r>
    <n v="47810"/>
    <s v="Sifu"/>
    <d v="2010-10-26T00:00:00"/>
    <n v="394"/>
    <b v="0"/>
    <n v="884"/>
    <s v="GTX 770"/>
    <x v="5"/>
    <x v="1"/>
  </r>
  <r>
    <n v="47810"/>
    <s v="Sifu"/>
    <d v="2010-10-26T00:00:00"/>
    <n v="394"/>
    <b v="0"/>
    <n v="884"/>
    <s v="GTX 770"/>
    <x v="6"/>
    <x v="1"/>
  </r>
  <r>
    <n v="2138710"/>
    <s v="MechWarrior Online Legends"/>
    <d v="2023-03-28T00:00:00"/>
    <n v="394"/>
    <b v="0"/>
    <n v="884"/>
    <s v="GTX 970"/>
    <x v="0"/>
    <x v="0"/>
  </r>
  <r>
    <n v="2138710"/>
    <s v="MechWarrior Online Legends"/>
    <d v="2023-03-28T00:00:00"/>
    <n v="394"/>
    <b v="0"/>
    <n v="884"/>
    <s v="GTX 970"/>
    <x v="1"/>
    <x v="0"/>
  </r>
  <r>
    <n v="2138710"/>
    <s v="MechWarrior Online Legends"/>
    <d v="2023-03-28T00:00:00"/>
    <n v="394"/>
    <b v="0"/>
    <n v="884"/>
    <s v="GTX 970"/>
    <x v="2"/>
    <x v="1"/>
  </r>
  <r>
    <n v="2138710"/>
    <s v="MechWarrior Online Legends"/>
    <d v="2023-03-28T00:00:00"/>
    <n v="394"/>
    <b v="0"/>
    <n v="884"/>
    <s v="GTX 970"/>
    <x v="3"/>
    <x v="1"/>
  </r>
  <r>
    <n v="2138710"/>
    <s v="MechWarrior Online Legends"/>
    <d v="2023-03-28T00:00:00"/>
    <n v="394"/>
    <b v="0"/>
    <n v="884"/>
    <s v="GTX 970"/>
    <x v="4"/>
    <x v="1"/>
  </r>
  <r>
    <n v="2138710"/>
    <s v="MechWarrior Online Legends"/>
    <d v="2023-03-28T00:00:00"/>
    <n v="394"/>
    <b v="0"/>
    <n v="884"/>
    <s v="GTX 970"/>
    <x v="5"/>
    <x v="1"/>
  </r>
  <r>
    <n v="2138710"/>
    <s v="MechWarrior Online Legends"/>
    <d v="2023-03-28T00:00:00"/>
    <n v="394"/>
    <b v="0"/>
    <n v="884"/>
    <s v="GTX 970"/>
    <x v="6"/>
    <x v="1"/>
  </r>
  <r>
    <n v="342200"/>
    <s v="Barony"/>
    <d v="2015-12-10T00:00:00"/>
    <n v="392"/>
    <b v="0"/>
    <n v="886"/>
    <s v="R9 380"/>
    <x v="0"/>
    <x v="0"/>
  </r>
  <r>
    <n v="342200"/>
    <s v="Barony"/>
    <d v="2015-12-10T00:00:00"/>
    <n v="392"/>
    <b v="0"/>
    <n v="886"/>
    <s v="R9 380"/>
    <x v="1"/>
    <x v="1"/>
  </r>
  <r>
    <n v="342200"/>
    <s v="Barony"/>
    <d v="2015-12-10T00:00:00"/>
    <n v="392"/>
    <b v="0"/>
    <n v="886"/>
    <s v="R9 380"/>
    <x v="2"/>
    <x v="1"/>
  </r>
  <r>
    <n v="342200"/>
    <s v="Barony"/>
    <d v="2015-12-10T00:00:00"/>
    <n v="392"/>
    <b v="0"/>
    <n v="886"/>
    <s v="R9 380"/>
    <x v="3"/>
    <x v="0"/>
  </r>
  <r>
    <n v="342200"/>
    <s v="Barony"/>
    <d v="2015-12-10T00:00:00"/>
    <n v="392"/>
    <b v="0"/>
    <n v="886"/>
    <s v="R9 380"/>
    <x v="4"/>
    <x v="1"/>
  </r>
  <r>
    <n v="342200"/>
    <s v="Barony"/>
    <d v="2015-12-10T00:00:00"/>
    <n v="392"/>
    <b v="0"/>
    <n v="886"/>
    <s v="R9 380"/>
    <x v="5"/>
    <x v="0"/>
  </r>
  <r>
    <n v="342200"/>
    <s v="Barony"/>
    <d v="2015-12-10T00:00:00"/>
    <n v="392"/>
    <b v="0"/>
    <n v="886"/>
    <s v="R9 380"/>
    <x v="6"/>
    <x v="0"/>
  </r>
  <r>
    <n v="371970"/>
    <s v="Standable: Full Body Estimation"/>
    <d v="2015-06-23T00:00:00"/>
    <n v="390"/>
    <b v="1"/>
    <n v="887"/>
    <s v="GTX 950"/>
    <x v="0"/>
    <x v="0"/>
  </r>
  <r>
    <n v="371970"/>
    <s v="Standable: Full Body Estimation"/>
    <d v="2015-06-23T00:00:00"/>
    <n v="390"/>
    <b v="1"/>
    <n v="887"/>
    <s v="GTX 950"/>
    <x v="1"/>
    <x v="0"/>
  </r>
  <r>
    <n v="371970"/>
    <s v="Standable: Full Body Estimation"/>
    <d v="2015-06-23T00:00:00"/>
    <n v="390"/>
    <b v="1"/>
    <n v="887"/>
    <s v="GTX 950"/>
    <x v="2"/>
    <x v="0"/>
  </r>
  <r>
    <n v="371970"/>
    <s v="Standable: Full Body Estimation"/>
    <d v="2015-06-23T00:00:00"/>
    <n v="390"/>
    <b v="1"/>
    <n v="887"/>
    <s v="GTX 950"/>
    <x v="3"/>
    <x v="1"/>
  </r>
  <r>
    <n v="371970"/>
    <s v="Standable: Full Body Estimation"/>
    <d v="2015-06-23T00:00:00"/>
    <n v="390"/>
    <b v="1"/>
    <n v="887"/>
    <s v="GTX 950"/>
    <x v="4"/>
    <x v="0"/>
  </r>
  <r>
    <n v="371970"/>
    <s v="Standable: Full Body Estimation"/>
    <d v="2015-06-23T00:00:00"/>
    <n v="390"/>
    <b v="1"/>
    <n v="887"/>
    <s v="GTX 950"/>
    <x v="5"/>
    <x v="1"/>
  </r>
  <r>
    <n v="371970"/>
    <s v="Standable: Full Body Estimation"/>
    <d v="2015-06-23T00:00:00"/>
    <n v="390"/>
    <b v="1"/>
    <n v="887"/>
    <s v="GTX 950"/>
    <x v="6"/>
    <x v="1"/>
  </r>
  <r>
    <n v="2370570"/>
    <s v="Watch_Dogs"/>
    <d v="2023-05-08T00:00:00"/>
    <n v="389"/>
    <b v="0"/>
    <n v="888"/>
    <s v="GTX 1050"/>
    <x v="0"/>
    <x v="1"/>
  </r>
  <r>
    <n v="2370570"/>
    <s v="Watch_Dogs"/>
    <d v="2023-05-08T00:00:00"/>
    <n v="389"/>
    <b v="0"/>
    <n v="888"/>
    <s v="GTX 1050"/>
    <x v="1"/>
    <x v="0"/>
  </r>
  <r>
    <n v="2370570"/>
    <s v="Watch_Dogs"/>
    <d v="2023-05-08T00:00:00"/>
    <n v="389"/>
    <b v="0"/>
    <n v="888"/>
    <s v="GTX 1050"/>
    <x v="2"/>
    <x v="1"/>
  </r>
  <r>
    <n v="2370570"/>
    <s v="Watch_Dogs"/>
    <d v="2023-05-08T00:00:00"/>
    <n v="389"/>
    <b v="0"/>
    <n v="888"/>
    <s v="GTX 1050"/>
    <x v="3"/>
    <x v="1"/>
  </r>
  <r>
    <n v="2370570"/>
    <s v="Watch_Dogs"/>
    <d v="2023-05-08T00:00:00"/>
    <n v="389"/>
    <b v="0"/>
    <n v="888"/>
    <s v="GTX 1050"/>
    <x v="4"/>
    <x v="1"/>
  </r>
  <r>
    <n v="2370570"/>
    <s v="Watch_Dogs"/>
    <d v="2023-05-08T00:00:00"/>
    <n v="389"/>
    <b v="0"/>
    <n v="888"/>
    <s v="GTX 1050"/>
    <x v="5"/>
    <x v="1"/>
  </r>
  <r>
    <n v="2370570"/>
    <s v="Watch_Dogs"/>
    <d v="2023-05-08T00:00:00"/>
    <n v="389"/>
    <b v="0"/>
    <n v="888"/>
    <s v="GTX 1050"/>
    <x v="6"/>
    <x v="1"/>
  </r>
  <r>
    <n v="243470"/>
    <s v="Bejeweled 3"/>
    <d v="2014-05-26T00:00:00"/>
    <n v="388"/>
    <b v="0"/>
    <n v="889"/>
    <s v="GTX 980 Ti"/>
    <x v="0"/>
    <x v="0"/>
  </r>
  <r>
    <n v="243470"/>
    <s v="Bejeweled 3"/>
    <d v="2014-05-26T00:00:00"/>
    <n v="388"/>
    <b v="0"/>
    <n v="889"/>
    <s v="GTX 980 Ti"/>
    <x v="1"/>
    <x v="1"/>
  </r>
  <r>
    <n v="243470"/>
    <s v="Bejeweled 3"/>
    <d v="2014-05-26T00:00:00"/>
    <n v="388"/>
    <b v="0"/>
    <n v="889"/>
    <s v="GTX 980 Ti"/>
    <x v="2"/>
    <x v="0"/>
  </r>
  <r>
    <n v="243470"/>
    <s v="Bejeweled 3"/>
    <d v="2014-05-26T00:00:00"/>
    <n v="388"/>
    <b v="0"/>
    <n v="889"/>
    <s v="GTX 980 Ti"/>
    <x v="3"/>
    <x v="1"/>
  </r>
  <r>
    <n v="243470"/>
    <s v="Bejeweled 3"/>
    <d v="2014-05-26T00:00:00"/>
    <n v="388"/>
    <b v="0"/>
    <n v="889"/>
    <s v="GTX 980 Ti"/>
    <x v="4"/>
    <x v="1"/>
  </r>
  <r>
    <n v="243470"/>
    <s v="Bejeweled 3"/>
    <d v="2014-05-26T00:00:00"/>
    <n v="388"/>
    <b v="0"/>
    <n v="889"/>
    <s v="GTX 980 Ti"/>
    <x v="5"/>
    <x v="1"/>
  </r>
  <r>
    <n v="243470"/>
    <s v="Bejeweled 3"/>
    <d v="2014-05-26T00:00:00"/>
    <n v="388"/>
    <b v="0"/>
    <n v="889"/>
    <s v="GTX 980 Ti"/>
    <x v="6"/>
    <x v="1"/>
  </r>
  <r>
    <n v="78000"/>
    <s v="Project Hospital"/>
    <d v="2010-12-07T00:00:00"/>
    <n v="387"/>
    <b v="1"/>
    <n v="890"/>
    <s v="Radeon Graphics"/>
    <x v="0"/>
    <x v="1"/>
  </r>
  <r>
    <n v="78000"/>
    <s v="Project Hospital"/>
    <d v="2010-12-07T00:00:00"/>
    <n v="387"/>
    <b v="1"/>
    <n v="890"/>
    <s v="Radeon Graphics"/>
    <x v="1"/>
    <x v="1"/>
  </r>
  <r>
    <n v="78000"/>
    <s v="Project Hospital"/>
    <d v="2010-12-07T00:00:00"/>
    <n v="387"/>
    <b v="1"/>
    <n v="890"/>
    <s v="Radeon Graphics"/>
    <x v="2"/>
    <x v="1"/>
  </r>
  <r>
    <n v="78000"/>
    <s v="Project Hospital"/>
    <d v="2010-12-07T00:00:00"/>
    <n v="387"/>
    <b v="1"/>
    <n v="890"/>
    <s v="Radeon Graphics"/>
    <x v="3"/>
    <x v="1"/>
  </r>
  <r>
    <n v="78000"/>
    <s v="Project Hospital"/>
    <d v="2010-12-07T00:00:00"/>
    <n v="387"/>
    <b v="1"/>
    <n v="890"/>
    <s v="Radeon Graphics"/>
    <x v="4"/>
    <x v="1"/>
  </r>
  <r>
    <n v="78000"/>
    <s v="Project Hospital"/>
    <d v="2010-12-07T00:00:00"/>
    <n v="387"/>
    <b v="1"/>
    <n v="890"/>
    <s v="Radeon Graphics"/>
    <x v="5"/>
    <x v="0"/>
  </r>
  <r>
    <n v="78000"/>
    <s v="Project Hospital"/>
    <d v="2010-12-07T00:00:00"/>
    <n v="387"/>
    <b v="1"/>
    <n v="890"/>
    <s v="Radeon Graphics"/>
    <x v="6"/>
    <x v="1"/>
  </r>
  <r>
    <n v="868360"/>
    <s v="Divinity: Original Sin - Enhanced Edition"/>
    <d v="2018-10-30T00:00:00"/>
    <n v="387"/>
    <b v="1"/>
    <n v="890"/>
    <s v="GTX 1050"/>
    <x v="0"/>
    <x v="1"/>
  </r>
  <r>
    <n v="868360"/>
    <s v="Divinity: Original Sin - Enhanced Edition"/>
    <d v="2018-10-30T00:00:00"/>
    <n v="387"/>
    <b v="1"/>
    <n v="890"/>
    <s v="GTX 1050"/>
    <x v="1"/>
    <x v="0"/>
  </r>
  <r>
    <n v="868360"/>
    <s v="Divinity: Original Sin - Enhanced Edition"/>
    <d v="2018-10-30T00:00:00"/>
    <n v="387"/>
    <b v="1"/>
    <n v="890"/>
    <s v="GTX 1050"/>
    <x v="2"/>
    <x v="1"/>
  </r>
  <r>
    <n v="868360"/>
    <s v="Divinity: Original Sin - Enhanced Edition"/>
    <d v="2018-10-30T00:00:00"/>
    <n v="387"/>
    <b v="1"/>
    <n v="890"/>
    <s v="GTX 1050"/>
    <x v="3"/>
    <x v="0"/>
  </r>
  <r>
    <n v="868360"/>
    <s v="Divinity: Original Sin - Enhanced Edition"/>
    <d v="2018-10-30T00:00:00"/>
    <n v="387"/>
    <b v="1"/>
    <n v="890"/>
    <s v="GTX 1050"/>
    <x v="4"/>
    <x v="1"/>
  </r>
  <r>
    <n v="868360"/>
    <s v="Divinity: Original Sin - Enhanced Edition"/>
    <d v="2018-10-30T00:00:00"/>
    <n v="387"/>
    <b v="1"/>
    <n v="890"/>
    <s v="GTX 1050"/>
    <x v="5"/>
    <x v="0"/>
  </r>
  <r>
    <n v="868360"/>
    <s v="Divinity: Original Sin - Enhanced Edition"/>
    <d v="2018-10-30T00:00:00"/>
    <n v="387"/>
    <b v="1"/>
    <n v="890"/>
    <s v="GTX 1050"/>
    <x v="6"/>
    <x v="1"/>
  </r>
  <r>
    <n v="373420"/>
    <s v="FINAL FANTASY VII"/>
    <d v="2015-10-27T00:00:00"/>
    <n v="387"/>
    <b v="1"/>
    <n v="890"/>
    <s v="Radeon Vega 8"/>
    <x v="0"/>
    <x v="1"/>
  </r>
  <r>
    <n v="373420"/>
    <s v="FINAL FANTASY VII"/>
    <d v="2015-10-27T00:00:00"/>
    <n v="387"/>
    <b v="1"/>
    <n v="890"/>
    <s v="Radeon Vega 8"/>
    <x v="1"/>
    <x v="0"/>
  </r>
  <r>
    <n v="373420"/>
    <s v="FINAL FANTASY VII"/>
    <d v="2015-10-27T00:00:00"/>
    <n v="387"/>
    <b v="1"/>
    <n v="890"/>
    <s v="Radeon Vega 8"/>
    <x v="2"/>
    <x v="0"/>
  </r>
  <r>
    <n v="373420"/>
    <s v="FINAL FANTASY VII"/>
    <d v="2015-10-27T00:00:00"/>
    <n v="387"/>
    <b v="1"/>
    <n v="890"/>
    <s v="Radeon Vega 8"/>
    <x v="3"/>
    <x v="1"/>
  </r>
  <r>
    <n v="373420"/>
    <s v="FINAL FANTASY VII"/>
    <d v="2015-10-27T00:00:00"/>
    <n v="387"/>
    <b v="1"/>
    <n v="890"/>
    <s v="Radeon Vega 8"/>
    <x v="4"/>
    <x v="0"/>
  </r>
  <r>
    <n v="373420"/>
    <s v="FINAL FANTASY VII"/>
    <d v="2015-10-27T00:00:00"/>
    <n v="387"/>
    <b v="1"/>
    <n v="890"/>
    <s v="Radeon Vega 8"/>
    <x v="5"/>
    <x v="0"/>
  </r>
  <r>
    <n v="373420"/>
    <s v="FINAL FANTASY VII"/>
    <d v="2015-10-27T00:00:00"/>
    <n v="387"/>
    <b v="1"/>
    <n v="890"/>
    <s v="Radeon Vega 8"/>
    <x v="6"/>
    <x v="1"/>
  </r>
  <r>
    <n v="39140"/>
    <s v="Clanfolk"/>
    <d v="2013-07-04T00:00:00"/>
    <n v="386"/>
    <b v="0"/>
    <n v="893"/>
    <s v="GTX 750"/>
    <x v="0"/>
    <x v="1"/>
  </r>
  <r>
    <n v="39140"/>
    <s v="Clanfolk"/>
    <d v="2013-07-04T00:00:00"/>
    <n v="386"/>
    <b v="0"/>
    <n v="893"/>
    <s v="GTX 750"/>
    <x v="1"/>
    <x v="1"/>
  </r>
  <r>
    <n v="39140"/>
    <s v="Clanfolk"/>
    <d v="2013-07-04T00:00:00"/>
    <n v="386"/>
    <b v="0"/>
    <n v="893"/>
    <s v="GTX 750"/>
    <x v="2"/>
    <x v="1"/>
  </r>
  <r>
    <n v="39140"/>
    <s v="Clanfolk"/>
    <d v="2013-07-04T00:00:00"/>
    <n v="386"/>
    <b v="0"/>
    <n v="893"/>
    <s v="GTX 750"/>
    <x v="3"/>
    <x v="1"/>
  </r>
  <r>
    <n v="39140"/>
    <s v="Clanfolk"/>
    <d v="2013-07-04T00:00:00"/>
    <n v="386"/>
    <b v="0"/>
    <n v="893"/>
    <s v="GTX 750"/>
    <x v="4"/>
    <x v="0"/>
  </r>
  <r>
    <n v="39140"/>
    <s v="Clanfolk"/>
    <d v="2013-07-04T00:00:00"/>
    <n v="386"/>
    <b v="0"/>
    <n v="893"/>
    <s v="GTX 750"/>
    <x v="5"/>
    <x v="1"/>
  </r>
  <r>
    <n v="39140"/>
    <s v="Clanfolk"/>
    <d v="2013-07-04T00:00:00"/>
    <n v="386"/>
    <b v="0"/>
    <n v="893"/>
    <s v="GTX 750"/>
    <x v="6"/>
    <x v="1"/>
  </r>
  <r>
    <n v="1700870"/>
    <s v="Kingdom Rush 5: Alliance TD"/>
    <d v="2022-07-14T00:00:00"/>
    <n v="386"/>
    <b v="0"/>
    <n v="893"/>
    <s v="GTX 1050"/>
    <x v="0"/>
    <x v="1"/>
  </r>
  <r>
    <n v="1700870"/>
    <s v="Kingdom Rush 5: Alliance TD"/>
    <d v="2022-07-14T00:00:00"/>
    <n v="386"/>
    <b v="0"/>
    <n v="893"/>
    <s v="GTX 1050"/>
    <x v="1"/>
    <x v="1"/>
  </r>
  <r>
    <n v="1700870"/>
    <s v="Kingdom Rush 5: Alliance TD"/>
    <d v="2022-07-14T00:00:00"/>
    <n v="386"/>
    <b v="0"/>
    <n v="893"/>
    <s v="GTX 1050"/>
    <x v="2"/>
    <x v="1"/>
  </r>
  <r>
    <n v="1700870"/>
    <s v="Kingdom Rush 5: Alliance TD"/>
    <d v="2022-07-14T00:00:00"/>
    <n v="386"/>
    <b v="0"/>
    <n v="893"/>
    <s v="GTX 1050"/>
    <x v="3"/>
    <x v="0"/>
  </r>
  <r>
    <n v="1700870"/>
    <s v="Kingdom Rush 5: Alliance TD"/>
    <d v="2022-07-14T00:00:00"/>
    <n v="386"/>
    <b v="0"/>
    <n v="893"/>
    <s v="GTX 1050"/>
    <x v="4"/>
    <x v="0"/>
  </r>
  <r>
    <n v="1700870"/>
    <s v="Kingdom Rush 5: Alliance TD"/>
    <d v="2022-07-14T00:00:00"/>
    <n v="386"/>
    <b v="0"/>
    <n v="893"/>
    <s v="GTX 1050"/>
    <x v="5"/>
    <x v="0"/>
  </r>
  <r>
    <n v="1700870"/>
    <s v="Kingdom Rush 5: Alliance TD"/>
    <d v="2022-07-14T00:00:00"/>
    <n v="386"/>
    <b v="0"/>
    <n v="893"/>
    <s v="GTX 1050"/>
    <x v="6"/>
    <x v="1"/>
  </r>
  <r>
    <n v="2849080"/>
    <s v="Rise of the Ronin"/>
    <d v="2024-07-25T00:00:00"/>
    <n v="386"/>
    <b v="1"/>
    <n v="893"/>
    <s v="RTX 2080 SUPER"/>
    <x v="0"/>
    <x v="1"/>
  </r>
  <r>
    <n v="2849080"/>
    <s v="Rise of the Ronin"/>
    <d v="2024-07-25T00:00:00"/>
    <n v="386"/>
    <b v="1"/>
    <n v="893"/>
    <s v="RTX 2080 SUPER"/>
    <x v="1"/>
    <x v="0"/>
  </r>
  <r>
    <n v="2849080"/>
    <s v="Rise of the Ronin"/>
    <d v="2024-07-25T00:00:00"/>
    <n v="386"/>
    <b v="1"/>
    <n v="893"/>
    <s v="RTX 2080 SUPER"/>
    <x v="2"/>
    <x v="1"/>
  </r>
  <r>
    <n v="2849080"/>
    <s v="Rise of the Ronin"/>
    <d v="2024-07-25T00:00:00"/>
    <n v="386"/>
    <b v="1"/>
    <n v="893"/>
    <s v="RTX 2080 SUPER"/>
    <x v="3"/>
    <x v="1"/>
  </r>
  <r>
    <n v="2849080"/>
    <s v="Rise of the Ronin"/>
    <d v="2024-07-25T00:00:00"/>
    <n v="386"/>
    <b v="1"/>
    <n v="893"/>
    <s v="RTX 2080 SUPER"/>
    <x v="4"/>
    <x v="1"/>
  </r>
  <r>
    <n v="2849080"/>
    <s v="Rise of the Ronin"/>
    <d v="2024-07-25T00:00:00"/>
    <n v="386"/>
    <b v="1"/>
    <n v="893"/>
    <s v="RTX 2080 SUPER"/>
    <x v="5"/>
    <x v="0"/>
  </r>
  <r>
    <n v="2849080"/>
    <s v="Rise of the Ronin"/>
    <d v="2024-07-25T00:00:00"/>
    <n v="386"/>
    <b v="1"/>
    <n v="893"/>
    <s v="RTX 2080 SUPER"/>
    <x v="6"/>
    <x v="1"/>
  </r>
  <r>
    <n v="1340990"/>
    <s v="NARUTO SHIPPUDEN: Ultimate Ninja STORM 4"/>
    <d v="2025-03-10T00:00:00"/>
    <n v="385"/>
    <b v="0"/>
    <n v="896"/>
    <s v="RTX 2080 SUPER"/>
    <x v="0"/>
    <x v="0"/>
  </r>
  <r>
    <n v="1340990"/>
    <s v="NARUTO SHIPPUDEN: Ultimate Ninja STORM 4"/>
    <d v="2025-03-10T00:00:00"/>
    <n v="385"/>
    <b v="0"/>
    <n v="896"/>
    <s v="RTX 2080 SUPER"/>
    <x v="1"/>
    <x v="1"/>
  </r>
  <r>
    <n v="1340990"/>
    <s v="NARUTO SHIPPUDEN: Ultimate Ninja STORM 4"/>
    <d v="2025-03-10T00:00:00"/>
    <n v="385"/>
    <b v="0"/>
    <n v="896"/>
    <s v="RTX 2080 SUPER"/>
    <x v="2"/>
    <x v="0"/>
  </r>
  <r>
    <n v="1340990"/>
    <s v="NARUTO SHIPPUDEN: Ultimate Ninja STORM 4"/>
    <d v="2025-03-10T00:00:00"/>
    <n v="385"/>
    <b v="0"/>
    <n v="896"/>
    <s v="RTX 2080 SUPER"/>
    <x v="3"/>
    <x v="1"/>
  </r>
  <r>
    <n v="1340990"/>
    <s v="NARUTO SHIPPUDEN: Ultimate Ninja STORM 4"/>
    <d v="2025-03-10T00:00:00"/>
    <n v="385"/>
    <b v="0"/>
    <n v="896"/>
    <s v="RTX 2080 SUPER"/>
    <x v="4"/>
    <x v="0"/>
  </r>
  <r>
    <n v="1340990"/>
    <s v="NARUTO SHIPPUDEN: Ultimate Ninja STORM 4"/>
    <d v="2025-03-10T00:00:00"/>
    <n v="385"/>
    <b v="0"/>
    <n v="896"/>
    <s v="RTX 2080 SUPER"/>
    <x v="5"/>
    <x v="1"/>
  </r>
  <r>
    <n v="1340990"/>
    <s v="NARUTO SHIPPUDEN: Ultimate Ninja STORM 4"/>
    <d v="2025-03-10T00:00:00"/>
    <n v="385"/>
    <b v="0"/>
    <n v="896"/>
    <s v="RTX 2080 SUPER"/>
    <x v="6"/>
    <x v="1"/>
  </r>
  <r>
    <n v="349040"/>
    <s v="Sea Power : Naval Combat in the Missile Age"/>
    <d v="2016-02-04T00:00:00"/>
    <n v="384"/>
    <b v="0"/>
    <n v="897"/>
    <s v="RX 6700"/>
    <x v="0"/>
    <x v="0"/>
  </r>
  <r>
    <n v="349040"/>
    <s v="Sea Power : Naval Combat in the Missile Age"/>
    <d v="2016-02-04T00:00:00"/>
    <n v="384"/>
    <b v="0"/>
    <n v="897"/>
    <s v="RX 6700"/>
    <x v="1"/>
    <x v="1"/>
  </r>
  <r>
    <n v="349040"/>
    <s v="Sea Power : Naval Combat in the Missile Age"/>
    <d v="2016-02-04T00:00:00"/>
    <n v="384"/>
    <b v="0"/>
    <n v="897"/>
    <s v="RX 6700"/>
    <x v="2"/>
    <x v="0"/>
  </r>
  <r>
    <n v="349040"/>
    <s v="Sea Power : Naval Combat in the Missile Age"/>
    <d v="2016-02-04T00:00:00"/>
    <n v="384"/>
    <b v="0"/>
    <n v="897"/>
    <s v="RX 6700"/>
    <x v="3"/>
    <x v="1"/>
  </r>
  <r>
    <n v="349040"/>
    <s v="Sea Power : Naval Combat in the Missile Age"/>
    <d v="2016-02-04T00:00:00"/>
    <n v="384"/>
    <b v="0"/>
    <n v="897"/>
    <s v="RX 6700"/>
    <x v="4"/>
    <x v="1"/>
  </r>
  <r>
    <n v="349040"/>
    <s v="Sea Power : Naval Combat in the Missile Age"/>
    <d v="2016-02-04T00:00:00"/>
    <n v="384"/>
    <b v="0"/>
    <n v="897"/>
    <s v="RX 6700"/>
    <x v="5"/>
    <x v="1"/>
  </r>
  <r>
    <n v="349040"/>
    <s v="Sea Power : Naval Combat in the Missile Age"/>
    <d v="2016-02-04T00:00:00"/>
    <n v="384"/>
    <b v="0"/>
    <n v="897"/>
    <s v="RX 6700"/>
    <x v="6"/>
    <x v="1"/>
  </r>
  <r>
    <n v="1286220"/>
    <s v="LurkBait Twitch Fishing"/>
    <d v="2024-11-12T00:00:00"/>
    <n v="384"/>
    <b v="0"/>
    <n v="897"/>
    <s v="RX 6700"/>
    <x v="0"/>
    <x v="0"/>
  </r>
  <r>
    <n v="1286220"/>
    <s v="LurkBait Twitch Fishing"/>
    <d v="2024-11-12T00:00:00"/>
    <n v="384"/>
    <b v="0"/>
    <n v="897"/>
    <s v="RX 6700"/>
    <x v="1"/>
    <x v="1"/>
  </r>
  <r>
    <n v="1286220"/>
    <s v="LurkBait Twitch Fishing"/>
    <d v="2024-11-12T00:00:00"/>
    <n v="384"/>
    <b v="0"/>
    <n v="897"/>
    <s v="RX 6700"/>
    <x v="2"/>
    <x v="1"/>
  </r>
  <r>
    <n v="1286220"/>
    <s v="LurkBait Twitch Fishing"/>
    <d v="2024-11-12T00:00:00"/>
    <n v="384"/>
    <b v="0"/>
    <n v="897"/>
    <s v="RX 6700"/>
    <x v="3"/>
    <x v="0"/>
  </r>
  <r>
    <n v="1286220"/>
    <s v="LurkBait Twitch Fishing"/>
    <d v="2024-11-12T00:00:00"/>
    <n v="384"/>
    <b v="0"/>
    <n v="897"/>
    <s v="RX 6700"/>
    <x v="4"/>
    <x v="1"/>
  </r>
  <r>
    <n v="1286220"/>
    <s v="LurkBait Twitch Fishing"/>
    <d v="2024-11-12T00:00:00"/>
    <n v="384"/>
    <b v="0"/>
    <n v="897"/>
    <s v="RX 6700"/>
    <x v="5"/>
    <x v="0"/>
  </r>
  <r>
    <n v="1286220"/>
    <s v="LurkBait Twitch Fishing"/>
    <d v="2024-11-12T00:00:00"/>
    <n v="384"/>
    <b v="0"/>
    <n v="897"/>
    <s v="RX 6700"/>
    <x v="6"/>
    <x v="1"/>
  </r>
  <r>
    <n v="2767520"/>
    <s v="Town of Salem 2"/>
    <d v="2024-02-21T00:00:00"/>
    <n v="383"/>
    <b v="0"/>
    <n v="899"/>
    <s v="RTX 2080"/>
    <x v="0"/>
    <x v="1"/>
  </r>
  <r>
    <n v="2767520"/>
    <s v="Town of Salem 2"/>
    <d v="2024-02-21T00:00:00"/>
    <n v="383"/>
    <b v="0"/>
    <n v="899"/>
    <s v="RTX 2080"/>
    <x v="1"/>
    <x v="0"/>
  </r>
  <r>
    <n v="2767520"/>
    <s v="Town of Salem 2"/>
    <d v="2024-02-21T00:00:00"/>
    <n v="383"/>
    <b v="0"/>
    <n v="899"/>
    <s v="RTX 2080"/>
    <x v="2"/>
    <x v="1"/>
  </r>
  <r>
    <n v="2767520"/>
    <s v="Town of Salem 2"/>
    <d v="2024-02-21T00:00:00"/>
    <n v="383"/>
    <b v="0"/>
    <n v="899"/>
    <s v="RTX 2080"/>
    <x v="3"/>
    <x v="0"/>
  </r>
  <r>
    <n v="2767520"/>
    <s v="Town of Salem 2"/>
    <d v="2024-02-21T00:00:00"/>
    <n v="383"/>
    <b v="0"/>
    <n v="899"/>
    <s v="RTX 2080"/>
    <x v="4"/>
    <x v="1"/>
  </r>
  <r>
    <n v="2767520"/>
    <s v="Town of Salem 2"/>
    <d v="2024-02-21T00:00:00"/>
    <n v="383"/>
    <b v="0"/>
    <n v="899"/>
    <s v="RTX 2080"/>
    <x v="5"/>
    <x v="1"/>
  </r>
  <r>
    <n v="2767520"/>
    <s v="Town of Salem 2"/>
    <d v="2024-02-21T00:00:00"/>
    <n v="383"/>
    <b v="0"/>
    <n v="899"/>
    <s v="RTX 2080"/>
    <x v="6"/>
    <x v="1"/>
  </r>
  <r>
    <n v="2140510"/>
    <s v="X-Plane 11"/>
    <d v="2023-08-25T00:00:00"/>
    <n v="382"/>
    <b v="1"/>
    <n v="900"/>
    <s v="GTX 1070"/>
    <x v="0"/>
    <x v="0"/>
  </r>
  <r>
    <n v="2140510"/>
    <s v="X-Plane 11"/>
    <d v="2023-08-25T00:00:00"/>
    <n v="382"/>
    <b v="1"/>
    <n v="900"/>
    <s v="GTX 1070"/>
    <x v="1"/>
    <x v="1"/>
  </r>
  <r>
    <n v="2140510"/>
    <s v="X-Plane 11"/>
    <d v="2023-08-25T00:00:00"/>
    <n v="382"/>
    <b v="1"/>
    <n v="900"/>
    <s v="GTX 1070"/>
    <x v="2"/>
    <x v="1"/>
  </r>
  <r>
    <n v="2140510"/>
    <s v="X-Plane 11"/>
    <d v="2023-08-25T00:00:00"/>
    <n v="382"/>
    <b v="1"/>
    <n v="900"/>
    <s v="GTX 1070"/>
    <x v="3"/>
    <x v="1"/>
  </r>
  <r>
    <n v="2140510"/>
    <s v="X-Plane 11"/>
    <d v="2023-08-25T00:00:00"/>
    <n v="382"/>
    <b v="1"/>
    <n v="900"/>
    <s v="GTX 1070"/>
    <x v="4"/>
    <x v="0"/>
  </r>
  <r>
    <n v="2140510"/>
    <s v="X-Plane 11"/>
    <d v="2023-08-25T00:00:00"/>
    <n v="382"/>
    <b v="1"/>
    <n v="900"/>
    <s v="GTX 1070"/>
    <x v="5"/>
    <x v="0"/>
  </r>
  <r>
    <n v="2140510"/>
    <s v="X-Plane 11"/>
    <d v="2023-08-25T00:00:00"/>
    <n v="382"/>
    <b v="1"/>
    <n v="900"/>
    <s v="GTX 1070"/>
    <x v="6"/>
    <x v="0"/>
  </r>
  <r>
    <n v="269950"/>
    <s v="Forts"/>
    <d v="2017-03-30T00:00:00"/>
    <n v="381"/>
    <b v="1"/>
    <n v="901"/>
    <s v="Intel UHD Graphics"/>
    <x v="0"/>
    <x v="1"/>
  </r>
  <r>
    <n v="269950"/>
    <s v="Forts"/>
    <d v="2017-03-30T00:00:00"/>
    <n v="381"/>
    <b v="1"/>
    <n v="901"/>
    <s v="Intel UHD Graphics"/>
    <x v="1"/>
    <x v="1"/>
  </r>
  <r>
    <n v="269950"/>
    <s v="Forts"/>
    <d v="2017-03-30T00:00:00"/>
    <n v="381"/>
    <b v="1"/>
    <n v="901"/>
    <s v="Intel UHD Graphics"/>
    <x v="2"/>
    <x v="1"/>
  </r>
  <r>
    <n v="269950"/>
    <s v="Forts"/>
    <d v="2017-03-30T00:00:00"/>
    <n v="381"/>
    <b v="1"/>
    <n v="901"/>
    <s v="Intel UHD Graphics"/>
    <x v="3"/>
    <x v="0"/>
  </r>
  <r>
    <n v="269950"/>
    <s v="Forts"/>
    <d v="2017-03-30T00:00:00"/>
    <n v="381"/>
    <b v="1"/>
    <n v="901"/>
    <s v="Intel UHD Graphics"/>
    <x v="4"/>
    <x v="1"/>
  </r>
  <r>
    <n v="269950"/>
    <s v="Forts"/>
    <d v="2017-03-30T00:00:00"/>
    <n v="381"/>
    <b v="1"/>
    <n v="901"/>
    <s v="Intel UHD Graphics"/>
    <x v="5"/>
    <x v="1"/>
  </r>
  <r>
    <n v="269950"/>
    <s v="Forts"/>
    <d v="2017-03-30T00:00:00"/>
    <n v="381"/>
    <b v="1"/>
    <n v="901"/>
    <s v="Intel UHD Graphics"/>
    <x v="6"/>
    <x v="1"/>
  </r>
  <r>
    <n v="410900"/>
    <s v="The Forever Winter"/>
    <d v="2017-04-19T00:00:00"/>
    <n v="379"/>
    <b v="0"/>
    <n v="902"/>
    <s v="RTX 3080 Ti"/>
    <x v="0"/>
    <x v="0"/>
  </r>
  <r>
    <n v="410900"/>
    <s v="The Forever Winter"/>
    <d v="2017-04-19T00:00:00"/>
    <n v="379"/>
    <b v="0"/>
    <n v="902"/>
    <s v="RTX 3080 Ti"/>
    <x v="1"/>
    <x v="0"/>
  </r>
  <r>
    <n v="410900"/>
    <s v="The Forever Winter"/>
    <d v="2017-04-19T00:00:00"/>
    <n v="379"/>
    <b v="0"/>
    <n v="902"/>
    <s v="RTX 3080 Ti"/>
    <x v="2"/>
    <x v="1"/>
  </r>
  <r>
    <n v="410900"/>
    <s v="The Forever Winter"/>
    <d v="2017-04-19T00:00:00"/>
    <n v="379"/>
    <b v="0"/>
    <n v="902"/>
    <s v="RTX 3080 Ti"/>
    <x v="3"/>
    <x v="1"/>
  </r>
  <r>
    <n v="410900"/>
    <s v="The Forever Winter"/>
    <d v="2017-04-19T00:00:00"/>
    <n v="379"/>
    <b v="0"/>
    <n v="902"/>
    <s v="RTX 3080 Ti"/>
    <x v="4"/>
    <x v="1"/>
  </r>
  <r>
    <n v="410900"/>
    <s v="The Forever Winter"/>
    <d v="2017-04-19T00:00:00"/>
    <n v="379"/>
    <b v="0"/>
    <n v="902"/>
    <s v="RTX 3080 Ti"/>
    <x v="5"/>
    <x v="0"/>
  </r>
  <r>
    <n v="410900"/>
    <s v="The Forever Winter"/>
    <d v="2017-04-19T00:00:00"/>
    <n v="379"/>
    <b v="0"/>
    <n v="902"/>
    <s v="RTX 3080 Ti"/>
    <x v="6"/>
    <x v="1"/>
  </r>
  <r>
    <n v="2828860"/>
    <s v="Warhammer 40,000: Battlesector"/>
    <d v="2024-09-24T00:00:00"/>
    <n v="379"/>
    <b v="0"/>
    <n v="902"/>
    <s v="RTX 3080 Ti"/>
    <x v="0"/>
    <x v="0"/>
  </r>
  <r>
    <n v="2828860"/>
    <s v="Warhammer 40,000: Battlesector"/>
    <d v="2024-09-24T00:00:00"/>
    <n v="379"/>
    <b v="0"/>
    <n v="902"/>
    <s v="RTX 3080 Ti"/>
    <x v="1"/>
    <x v="1"/>
  </r>
  <r>
    <n v="2828860"/>
    <s v="Warhammer 40,000: Battlesector"/>
    <d v="2024-09-24T00:00:00"/>
    <n v="379"/>
    <b v="0"/>
    <n v="902"/>
    <s v="RTX 3080 Ti"/>
    <x v="2"/>
    <x v="1"/>
  </r>
  <r>
    <n v="2828860"/>
    <s v="Warhammer 40,000: Battlesector"/>
    <d v="2024-09-24T00:00:00"/>
    <n v="379"/>
    <b v="0"/>
    <n v="902"/>
    <s v="RTX 3080 Ti"/>
    <x v="3"/>
    <x v="1"/>
  </r>
  <r>
    <n v="2828860"/>
    <s v="Warhammer 40,000: Battlesector"/>
    <d v="2024-09-24T00:00:00"/>
    <n v="379"/>
    <b v="0"/>
    <n v="902"/>
    <s v="RTX 3080 Ti"/>
    <x v="4"/>
    <x v="1"/>
  </r>
  <r>
    <n v="2828860"/>
    <s v="Warhammer 40,000: Battlesector"/>
    <d v="2024-09-24T00:00:00"/>
    <n v="379"/>
    <b v="0"/>
    <n v="902"/>
    <s v="RTX 3080 Ti"/>
    <x v="5"/>
    <x v="1"/>
  </r>
  <r>
    <n v="2828860"/>
    <s v="Warhammer 40,000: Battlesector"/>
    <d v="2024-09-24T00:00:00"/>
    <n v="379"/>
    <b v="0"/>
    <n v="902"/>
    <s v="RTX 3080 Ti"/>
    <x v="6"/>
    <x v="1"/>
  </r>
  <r>
    <n v="1295500"/>
    <s v="Baldur's Gate: Enhanced Edition"/>
    <d v="2021-07-22T00:00:00"/>
    <n v="378"/>
    <b v="0"/>
    <n v="904"/>
    <s v="GTX 1050"/>
    <x v="0"/>
    <x v="1"/>
  </r>
  <r>
    <n v="1295500"/>
    <s v="Baldur's Gate: Enhanced Edition"/>
    <d v="2021-07-22T00:00:00"/>
    <n v="378"/>
    <b v="0"/>
    <n v="904"/>
    <s v="GTX 1050"/>
    <x v="1"/>
    <x v="1"/>
  </r>
  <r>
    <n v="1295500"/>
    <s v="Baldur's Gate: Enhanced Edition"/>
    <d v="2021-07-22T00:00:00"/>
    <n v="378"/>
    <b v="0"/>
    <n v="904"/>
    <s v="GTX 1050"/>
    <x v="2"/>
    <x v="1"/>
  </r>
  <r>
    <n v="1295500"/>
    <s v="Baldur's Gate: Enhanced Edition"/>
    <d v="2021-07-22T00:00:00"/>
    <n v="378"/>
    <b v="0"/>
    <n v="904"/>
    <s v="GTX 1050"/>
    <x v="3"/>
    <x v="1"/>
  </r>
  <r>
    <n v="1295500"/>
    <s v="Baldur's Gate: Enhanced Edition"/>
    <d v="2021-07-22T00:00:00"/>
    <n v="378"/>
    <b v="0"/>
    <n v="904"/>
    <s v="GTX 1050"/>
    <x v="4"/>
    <x v="1"/>
  </r>
  <r>
    <n v="1295500"/>
    <s v="Baldur's Gate: Enhanced Edition"/>
    <d v="2021-07-22T00:00:00"/>
    <n v="378"/>
    <b v="0"/>
    <n v="904"/>
    <s v="GTX 1050"/>
    <x v="5"/>
    <x v="0"/>
  </r>
  <r>
    <n v="1295500"/>
    <s v="Baldur's Gate: Enhanced Edition"/>
    <d v="2021-07-22T00:00:00"/>
    <n v="378"/>
    <b v="0"/>
    <n v="904"/>
    <s v="GTX 1050"/>
    <x v="6"/>
    <x v="1"/>
  </r>
  <r>
    <n v="228280"/>
    <s v="Call of Duty 4: Modern Warfare (2007)"/>
    <d v="2013-01-16T00:00:00"/>
    <n v="378"/>
    <b v="1"/>
    <n v="904"/>
    <s v="GTX 750"/>
    <x v="0"/>
    <x v="1"/>
  </r>
  <r>
    <n v="228280"/>
    <s v="Call of Duty 4: Modern Warfare (2007)"/>
    <d v="2013-01-16T00:00:00"/>
    <n v="378"/>
    <b v="1"/>
    <n v="904"/>
    <s v="GTX 750"/>
    <x v="1"/>
    <x v="1"/>
  </r>
  <r>
    <n v="228280"/>
    <s v="Call of Duty 4: Modern Warfare (2007)"/>
    <d v="2013-01-16T00:00:00"/>
    <n v="378"/>
    <b v="1"/>
    <n v="904"/>
    <s v="GTX 750"/>
    <x v="2"/>
    <x v="0"/>
  </r>
  <r>
    <n v="228280"/>
    <s v="Call of Duty 4: Modern Warfare (2007)"/>
    <d v="2013-01-16T00:00:00"/>
    <n v="378"/>
    <b v="1"/>
    <n v="904"/>
    <s v="GTX 750"/>
    <x v="3"/>
    <x v="1"/>
  </r>
  <r>
    <n v="228280"/>
    <s v="Call of Duty 4: Modern Warfare (2007)"/>
    <d v="2013-01-16T00:00:00"/>
    <n v="378"/>
    <b v="1"/>
    <n v="904"/>
    <s v="GTX 750"/>
    <x v="4"/>
    <x v="0"/>
  </r>
  <r>
    <n v="228280"/>
    <s v="Call of Duty 4: Modern Warfare (2007)"/>
    <d v="2013-01-16T00:00:00"/>
    <n v="378"/>
    <b v="1"/>
    <n v="904"/>
    <s v="GTX 750"/>
    <x v="5"/>
    <x v="1"/>
  </r>
  <r>
    <n v="228280"/>
    <s v="Call of Duty 4: Modern Warfare (2007)"/>
    <d v="2013-01-16T00:00:00"/>
    <n v="378"/>
    <b v="1"/>
    <n v="904"/>
    <s v="GTX 750"/>
    <x v="6"/>
    <x v="1"/>
  </r>
  <r>
    <n v="7940"/>
    <s v="Marvel's Spider-Man: Miles Morales"/>
    <d v="2017-11-12T00:00:00"/>
    <n v="377"/>
    <b v="1"/>
    <n v="906"/>
    <s v="Radeon Graphics"/>
    <x v="0"/>
    <x v="0"/>
  </r>
  <r>
    <n v="7940"/>
    <s v="Marvel's Spider-Man: Miles Morales"/>
    <d v="2017-11-12T00:00:00"/>
    <n v="377"/>
    <b v="1"/>
    <n v="906"/>
    <s v="Radeon Graphics"/>
    <x v="1"/>
    <x v="1"/>
  </r>
  <r>
    <n v="7940"/>
    <s v="Marvel's Spider-Man: Miles Morales"/>
    <d v="2017-11-12T00:00:00"/>
    <n v="377"/>
    <b v="1"/>
    <n v="906"/>
    <s v="Radeon Graphics"/>
    <x v="2"/>
    <x v="1"/>
  </r>
  <r>
    <n v="7940"/>
    <s v="Marvel's Spider-Man: Miles Morales"/>
    <d v="2017-11-12T00:00:00"/>
    <n v="377"/>
    <b v="1"/>
    <n v="906"/>
    <s v="Radeon Graphics"/>
    <x v="3"/>
    <x v="1"/>
  </r>
  <r>
    <n v="7940"/>
    <s v="Marvel's Spider-Man: Miles Morales"/>
    <d v="2017-11-12T00:00:00"/>
    <n v="377"/>
    <b v="1"/>
    <n v="906"/>
    <s v="Radeon Graphics"/>
    <x v="4"/>
    <x v="1"/>
  </r>
  <r>
    <n v="7940"/>
    <s v="Marvel's Spider-Man: Miles Morales"/>
    <d v="2017-11-12T00:00:00"/>
    <n v="377"/>
    <b v="1"/>
    <n v="906"/>
    <s v="Radeon Graphics"/>
    <x v="5"/>
    <x v="1"/>
  </r>
  <r>
    <n v="7940"/>
    <s v="Marvel's Spider-Man: Miles Morales"/>
    <d v="2017-11-12T00:00:00"/>
    <n v="377"/>
    <b v="1"/>
    <n v="906"/>
    <s v="Radeon Graphics"/>
    <x v="6"/>
    <x v="1"/>
  </r>
  <r>
    <n v="1817190"/>
    <s v="The Long Drive"/>
    <d v="2022-11-18T00:00:00"/>
    <n v="377"/>
    <b v="0"/>
    <n v="906"/>
    <s v="RX 580"/>
    <x v="0"/>
    <x v="0"/>
  </r>
  <r>
    <n v="1817190"/>
    <s v="The Long Drive"/>
    <d v="2022-11-18T00:00:00"/>
    <n v="377"/>
    <b v="0"/>
    <n v="906"/>
    <s v="RX 580"/>
    <x v="1"/>
    <x v="1"/>
  </r>
  <r>
    <n v="1817190"/>
    <s v="The Long Drive"/>
    <d v="2022-11-18T00:00:00"/>
    <n v="377"/>
    <b v="0"/>
    <n v="906"/>
    <s v="RX 580"/>
    <x v="2"/>
    <x v="0"/>
  </r>
  <r>
    <n v="1817190"/>
    <s v="The Long Drive"/>
    <d v="2022-11-18T00:00:00"/>
    <n v="377"/>
    <b v="0"/>
    <n v="906"/>
    <s v="RX 580"/>
    <x v="3"/>
    <x v="1"/>
  </r>
  <r>
    <n v="1817190"/>
    <s v="The Long Drive"/>
    <d v="2022-11-18T00:00:00"/>
    <n v="377"/>
    <b v="0"/>
    <n v="906"/>
    <s v="RX 580"/>
    <x v="4"/>
    <x v="1"/>
  </r>
  <r>
    <n v="1817190"/>
    <s v="The Long Drive"/>
    <d v="2022-11-18T00:00:00"/>
    <n v="377"/>
    <b v="0"/>
    <n v="906"/>
    <s v="RX 580"/>
    <x v="5"/>
    <x v="1"/>
  </r>
  <r>
    <n v="1817190"/>
    <s v="The Long Drive"/>
    <d v="2022-11-18T00:00:00"/>
    <n v="377"/>
    <b v="0"/>
    <n v="906"/>
    <s v="RX 580"/>
    <x v="6"/>
    <x v="1"/>
  </r>
  <r>
    <n v="1017180"/>
    <s v="Gang Beasts"/>
    <d v="2019-09-25T00:00:00"/>
    <n v="377"/>
    <b v="0"/>
    <n v="906"/>
    <s v="GTX 1050 Ti"/>
    <x v="0"/>
    <x v="0"/>
  </r>
  <r>
    <n v="1017180"/>
    <s v="Gang Beasts"/>
    <d v="2019-09-25T00:00:00"/>
    <n v="377"/>
    <b v="0"/>
    <n v="906"/>
    <s v="GTX 1050 Ti"/>
    <x v="1"/>
    <x v="0"/>
  </r>
  <r>
    <n v="1017180"/>
    <s v="Gang Beasts"/>
    <d v="2019-09-25T00:00:00"/>
    <n v="377"/>
    <b v="0"/>
    <n v="906"/>
    <s v="GTX 1050 Ti"/>
    <x v="2"/>
    <x v="0"/>
  </r>
  <r>
    <n v="1017180"/>
    <s v="Gang Beasts"/>
    <d v="2019-09-25T00:00:00"/>
    <n v="377"/>
    <b v="0"/>
    <n v="906"/>
    <s v="GTX 1050 Ti"/>
    <x v="3"/>
    <x v="0"/>
  </r>
  <r>
    <n v="1017180"/>
    <s v="Gang Beasts"/>
    <d v="2019-09-25T00:00:00"/>
    <n v="377"/>
    <b v="0"/>
    <n v="906"/>
    <s v="GTX 1050 Ti"/>
    <x v="4"/>
    <x v="1"/>
  </r>
  <r>
    <n v="1017180"/>
    <s v="Gang Beasts"/>
    <d v="2019-09-25T00:00:00"/>
    <n v="377"/>
    <b v="0"/>
    <n v="906"/>
    <s v="GTX 1050 Ti"/>
    <x v="5"/>
    <x v="1"/>
  </r>
  <r>
    <n v="1017180"/>
    <s v="Gang Beasts"/>
    <d v="2019-09-25T00:00:00"/>
    <n v="377"/>
    <b v="0"/>
    <n v="906"/>
    <s v="GTX 1050 Ti"/>
    <x v="6"/>
    <x v="1"/>
  </r>
  <r>
    <n v="285900"/>
    <s v="Hydroneer"/>
    <d v="2017-12-12T00:00:00"/>
    <n v="376"/>
    <b v="1"/>
    <n v="909"/>
    <s v="RX 560"/>
    <x v="0"/>
    <x v="0"/>
  </r>
  <r>
    <n v="285900"/>
    <s v="Hydroneer"/>
    <d v="2017-12-12T00:00:00"/>
    <n v="376"/>
    <b v="1"/>
    <n v="909"/>
    <s v="RX 560"/>
    <x v="1"/>
    <x v="0"/>
  </r>
  <r>
    <n v="285900"/>
    <s v="Hydroneer"/>
    <d v="2017-12-12T00:00:00"/>
    <n v="376"/>
    <b v="1"/>
    <n v="909"/>
    <s v="RX 560"/>
    <x v="2"/>
    <x v="0"/>
  </r>
  <r>
    <n v="285900"/>
    <s v="Hydroneer"/>
    <d v="2017-12-12T00:00:00"/>
    <n v="376"/>
    <b v="1"/>
    <n v="909"/>
    <s v="RX 560"/>
    <x v="3"/>
    <x v="0"/>
  </r>
  <r>
    <n v="285900"/>
    <s v="Hydroneer"/>
    <d v="2017-12-12T00:00:00"/>
    <n v="376"/>
    <b v="1"/>
    <n v="909"/>
    <s v="RX 560"/>
    <x v="4"/>
    <x v="1"/>
  </r>
  <r>
    <n v="285900"/>
    <s v="Hydroneer"/>
    <d v="2017-12-12T00:00:00"/>
    <n v="376"/>
    <b v="1"/>
    <n v="909"/>
    <s v="RX 560"/>
    <x v="5"/>
    <x v="1"/>
  </r>
  <r>
    <n v="285900"/>
    <s v="Hydroneer"/>
    <d v="2017-12-12T00:00:00"/>
    <n v="376"/>
    <b v="1"/>
    <n v="909"/>
    <s v="RX 560"/>
    <x v="6"/>
    <x v="1"/>
  </r>
  <r>
    <n v="1106840"/>
    <s v="For The King II"/>
    <d v="2020-05-08T00:00:00"/>
    <n v="374"/>
    <b v="0"/>
    <n v="910"/>
    <s v="GTX 1060"/>
    <x v="0"/>
    <x v="1"/>
  </r>
  <r>
    <n v="1106840"/>
    <s v="For The King II"/>
    <d v="2020-05-08T00:00:00"/>
    <n v="374"/>
    <b v="0"/>
    <n v="910"/>
    <s v="GTX 1060"/>
    <x v="1"/>
    <x v="0"/>
  </r>
  <r>
    <n v="1106840"/>
    <s v="For The King II"/>
    <d v="2020-05-08T00:00:00"/>
    <n v="374"/>
    <b v="0"/>
    <n v="910"/>
    <s v="GTX 1060"/>
    <x v="2"/>
    <x v="0"/>
  </r>
  <r>
    <n v="1106840"/>
    <s v="For The King II"/>
    <d v="2020-05-08T00:00:00"/>
    <n v="374"/>
    <b v="0"/>
    <n v="910"/>
    <s v="GTX 1060"/>
    <x v="3"/>
    <x v="0"/>
  </r>
  <r>
    <n v="1106840"/>
    <s v="For The King II"/>
    <d v="2020-05-08T00:00:00"/>
    <n v="374"/>
    <b v="0"/>
    <n v="910"/>
    <s v="GTX 1060"/>
    <x v="4"/>
    <x v="1"/>
  </r>
  <r>
    <n v="1106840"/>
    <s v="For The King II"/>
    <d v="2020-05-08T00:00:00"/>
    <n v="374"/>
    <b v="0"/>
    <n v="910"/>
    <s v="GTX 1060"/>
    <x v="5"/>
    <x v="0"/>
  </r>
  <r>
    <n v="1106840"/>
    <s v="For The King II"/>
    <d v="2020-05-08T00:00:00"/>
    <n v="374"/>
    <b v="0"/>
    <n v="910"/>
    <s v="GTX 1060"/>
    <x v="6"/>
    <x v="1"/>
  </r>
  <r>
    <n v="1676840"/>
    <s v="Warhammer 40,000: Chaos Gate - Daemonhunters"/>
    <d v="2023-11-02T00:00:00"/>
    <n v="374"/>
    <b v="0"/>
    <n v="910"/>
    <s v="RTX 2060 SUPER"/>
    <x v="0"/>
    <x v="1"/>
  </r>
  <r>
    <n v="1676840"/>
    <s v="Warhammer 40,000: Chaos Gate - Daemonhunters"/>
    <d v="2023-11-02T00:00:00"/>
    <n v="374"/>
    <b v="0"/>
    <n v="910"/>
    <s v="RTX 2060 SUPER"/>
    <x v="1"/>
    <x v="0"/>
  </r>
  <r>
    <n v="1676840"/>
    <s v="Warhammer 40,000: Chaos Gate - Daemonhunters"/>
    <d v="2023-11-02T00:00:00"/>
    <n v="374"/>
    <b v="0"/>
    <n v="910"/>
    <s v="RTX 2060 SUPER"/>
    <x v="2"/>
    <x v="0"/>
  </r>
  <r>
    <n v="1676840"/>
    <s v="Warhammer 40,000: Chaos Gate - Daemonhunters"/>
    <d v="2023-11-02T00:00:00"/>
    <n v="374"/>
    <b v="0"/>
    <n v="910"/>
    <s v="RTX 2060 SUPER"/>
    <x v="3"/>
    <x v="1"/>
  </r>
  <r>
    <n v="1676840"/>
    <s v="Warhammer 40,000: Chaos Gate - Daemonhunters"/>
    <d v="2023-11-02T00:00:00"/>
    <n v="374"/>
    <b v="0"/>
    <n v="910"/>
    <s v="RTX 2060 SUPER"/>
    <x v="4"/>
    <x v="0"/>
  </r>
  <r>
    <n v="1676840"/>
    <s v="Warhammer 40,000: Chaos Gate - Daemonhunters"/>
    <d v="2023-11-02T00:00:00"/>
    <n v="374"/>
    <b v="0"/>
    <n v="910"/>
    <s v="RTX 2060 SUPER"/>
    <x v="5"/>
    <x v="0"/>
  </r>
  <r>
    <n v="1676840"/>
    <s v="Warhammer 40,000: Chaos Gate - Daemonhunters"/>
    <d v="2023-11-02T00:00:00"/>
    <n v="374"/>
    <b v="0"/>
    <n v="910"/>
    <s v="RTX 2060 SUPER"/>
    <x v="6"/>
    <x v="1"/>
  </r>
  <r>
    <n v="1611910"/>
    <s v="Thronefall"/>
    <d v="2022-05-05T00:00:00"/>
    <n v="373"/>
    <b v="0"/>
    <n v="912"/>
    <s v="RX 580"/>
    <x v="0"/>
    <x v="1"/>
  </r>
  <r>
    <n v="1611910"/>
    <s v="Thronefall"/>
    <d v="2022-05-05T00:00:00"/>
    <n v="373"/>
    <b v="0"/>
    <n v="912"/>
    <s v="RX 580"/>
    <x v="1"/>
    <x v="1"/>
  </r>
  <r>
    <n v="1611910"/>
    <s v="Thronefall"/>
    <d v="2022-05-05T00:00:00"/>
    <n v="373"/>
    <b v="0"/>
    <n v="912"/>
    <s v="RX 580"/>
    <x v="2"/>
    <x v="1"/>
  </r>
  <r>
    <n v="1611910"/>
    <s v="Thronefall"/>
    <d v="2022-05-05T00:00:00"/>
    <n v="373"/>
    <b v="0"/>
    <n v="912"/>
    <s v="RX 580"/>
    <x v="3"/>
    <x v="1"/>
  </r>
  <r>
    <n v="1611910"/>
    <s v="Thronefall"/>
    <d v="2022-05-05T00:00:00"/>
    <n v="373"/>
    <b v="0"/>
    <n v="912"/>
    <s v="RX 580"/>
    <x v="4"/>
    <x v="0"/>
  </r>
  <r>
    <n v="1611910"/>
    <s v="Thronefall"/>
    <d v="2022-05-05T00:00:00"/>
    <n v="373"/>
    <b v="0"/>
    <n v="912"/>
    <s v="RX 580"/>
    <x v="5"/>
    <x v="0"/>
  </r>
  <r>
    <n v="1611910"/>
    <s v="Thronefall"/>
    <d v="2022-05-05T00:00:00"/>
    <n v="373"/>
    <b v="0"/>
    <n v="912"/>
    <s v="RX 580"/>
    <x v="6"/>
    <x v="1"/>
  </r>
  <r>
    <n v="2239150"/>
    <s v="Assassin's Creed Unity"/>
    <d v="2024-10-11T00:00:00"/>
    <n v="373"/>
    <b v="1"/>
    <n v="912"/>
    <s v="GTX 970"/>
    <x v="0"/>
    <x v="0"/>
  </r>
  <r>
    <n v="2239150"/>
    <s v="Assassin's Creed Unity"/>
    <d v="2024-10-11T00:00:00"/>
    <n v="373"/>
    <b v="1"/>
    <n v="912"/>
    <s v="GTX 970"/>
    <x v="1"/>
    <x v="0"/>
  </r>
  <r>
    <n v="2239150"/>
    <s v="Assassin's Creed Unity"/>
    <d v="2024-10-11T00:00:00"/>
    <n v="373"/>
    <b v="1"/>
    <n v="912"/>
    <s v="GTX 970"/>
    <x v="2"/>
    <x v="1"/>
  </r>
  <r>
    <n v="2239150"/>
    <s v="Assassin's Creed Unity"/>
    <d v="2024-10-11T00:00:00"/>
    <n v="373"/>
    <b v="1"/>
    <n v="912"/>
    <s v="GTX 970"/>
    <x v="3"/>
    <x v="1"/>
  </r>
  <r>
    <n v="2239150"/>
    <s v="Assassin's Creed Unity"/>
    <d v="2024-10-11T00:00:00"/>
    <n v="373"/>
    <b v="1"/>
    <n v="912"/>
    <s v="GTX 970"/>
    <x v="4"/>
    <x v="1"/>
  </r>
  <r>
    <n v="2239150"/>
    <s v="Assassin's Creed Unity"/>
    <d v="2024-10-11T00:00:00"/>
    <n v="373"/>
    <b v="1"/>
    <n v="912"/>
    <s v="GTX 970"/>
    <x v="5"/>
    <x v="0"/>
  </r>
  <r>
    <n v="2239150"/>
    <s v="Assassin's Creed Unity"/>
    <d v="2024-10-11T00:00:00"/>
    <n v="373"/>
    <b v="1"/>
    <n v="912"/>
    <s v="GTX 970"/>
    <x v="6"/>
    <x v="1"/>
  </r>
  <r>
    <n v="289650"/>
    <s v="Motorsport Manager"/>
    <d v="2014-11-11T00:00:00"/>
    <n v="373"/>
    <b v="0"/>
    <n v="912"/>
    <s v="R9 280X"/>
    <x v="0"/>
    <x v="0"/>
  </r>
  <r>
    <n v="289650"/>
    <s v="Motorsport Manager"/>
    <d v="2014-11-11T00:00:00"/>
    <n v="373"/>
    <b v="0"/>
    <n v="912"/>
    <s v="R9 280X"/>
    <x v="1"/>
    <x v="1"/>
  </r>
  <r>
    <n v="289650"/>
    <s v="Motorsport Manager"/>
    <d v="2014-11-11T00:00:00"/>
    <n v="373"/>
    <b v="0"/>
    <n v="912"/>
    <s v="R9 280X"/>
    <x v="2"/>
    <x v="0"/>
  </r>
  <r>
    <n v="289650"/>
    <s v="Motorsport Manager"/>
    <d v="2014-11-11T00:00:00"/>
    <n v="373"/>
    <b v="0"/>
    <n v="912"/>
    <s v="R9 280X"/>
    <x v="3"/>
    <x v="1"/>
  </r>
  <r>
    <n v="289650"/>
    <s v="Motorsport Manager"/>
    <d v="2014-11-11T00:00:00"/>
    <n v="373"/>
    <b v="0"/>
    <n v="912"/>
    <s v="R9 280X"/>
    <x v="4"/>
    <x v="1"/>
  </r>
  <r>
    <n v="289650"/>
    <s v="Motorsport Manager"/>
    <d v="2014-11-11T00:00:00"/>
    <n v="373"/>
    <b v="0"/>
    <n v="912"/>
    <s v="R9 280X"/>
    <x v="5"/>
    <x v="1"/>
  </r>
  <r>
    <n v="289650"/>
    <s v="Motorsport Manager"/>
    <d v="2014-11-11T00:00:00"/>
    <n v="373"/>
    <b v="0"/>
    <n v="912"/>
    <s v="R9 280X"/>
    <x v="6"/>
    <x v="1"/>
  </r>
  <r>
    <n v="415200"/>
    <s v="The Lord of the Rings: Return to Moria"/>
    <d v="2016-11-09T00:00:00"/>
    <n v="373"/>
    <b v="1"/>
    <n v="912"/>
    <s v="R9 390X"/>
    <x v="0"/>
    <x v="1"/>
  </r>
  <r>
    <n v="415200"/>
    <s v="The Lord of the Rings: Return to Moria"/>
    <d v="2016-11-09T00:00:00"/>
    <n v="373"/>
    <b v="1"/>
    <n v="912"/>
    <s v="R9 390X"/>
    <x v="1"/>
    <x v="1"/>
  </r>
  <r>
    <n v="415200"/>
    <s v="The Lord of the Rings: Return to Moria"/>
    <d v="2016-11-09T00:00:00"/>
    <n v="373"/>
    <b v="1"/>
    <n v="912"/>
    <s v="R9 390X"/>
    <x v="2"/>
    <x v="1"/>
  </r>
  <r>
    <n v="415200"/>
    <s v="The Lord of the Rings: Return to Moria"/>
    <d v="2016-11-09T00:00:00"/>
    <n v="373"/>
    <b v="1"/>
    <n v="912"/>
    <s v="R9 390X"/>
    <x v="3"/>
    <x v="0"/>
  </r>
  <r>
    <n v="415200"/>
    <s v="The Lord of the Rings: Return to Moria"/>
    <d v="2016-11-09T00:00:00"/>
    <n v="373"/>
    <b v="1"/>
    <n v="912"/>
    <s v="R9 390X"/>
    <x v="4"/>
    <x v="1"/>
  </r>
  <r>
    <n v="415200"/>
    <s v="The Lord of the Rings: Return to Moria"/>
    <d v="2016-11-09T00:00:00"/>
    <n v="373"/>
    <b v="1"/>
    <n v="912"/>
    <s v="R9 390X"/>
    <x v="5"/>
    <x v="0"/>
  </r>
  <r>
    <n v="415200"/>
    <s v="The Lord of the Rings: Return to Moria"/>
    <d v="2016-11-09T00:00:00"/>
    <n v="373"/>
    <b v="1"/>
    <n v="912"/>
    <s v="R9 390X"/>
    <x v="6"/>
    <x v="1"/>
  </r>
  <r>
    <n v="2933130"/>
    <s v="Hero Siege"/>
    <d v="2024-08-27T00:00:00"/>
    <n v="370"/>
    <b v="0"/>
    <n v="916"/>
    <s v="RTX 2060"/>
    <x v="0"/>
    <x v="0"/>
  </r>
  <r>
    <n v="2933130"/>
    <s v="Hero Siege"/>
    <d v="2024-08-27T00:00:00"/>
    <n v="370"/>
    <b v="0"/>
    <n v="916"/>
    <s v="RTX 2060"/>
    <x v="1"/>
    <x v="1"/>
  </r>
  <r>
    <n v="2933130"/>
    <s v="Hero Siege"/>
    <d v="2024-08-27T00:00:00"/>
    <n v="370"/>
    <b v="0"/>
    <n v="916"/>
    <s v="RTX 2060"/>
    <x v="2"/>
    <x v="0"/>
  </r>
  <r>
    <n v="2933130"/>
    <s v="Hero Siege"/>
    <d v="2024-08-27T00:00:00"/>
    <n v="370"/>
    <b v="0"/>
    <n v="916"/>
    <s v="RTX 2060"/>
    <x v="3"/>
    <x v="1"/>
  </r>
  <r>
    <n v="2933130"/>
    <s v="Hero Siege"/>
    <d v="2024-08-27T00:00:00"/>
    <n v="370"/>
    <b v="0"/>
    <n v="916"/>
    <s v="RTX 2060"/>
    <x v="4"/>
    <x v="0"/>
  </r>
  <r>
    <n v="2933130"/>
    <s v="Hero Siege"/>
    <d v="2024-08-27T00:00:00"/>
    <n v="370"/>
    <b v="0"/>
    <n v="916"/>
    <s v="RTX 2060"/>
    <x v="5"/>
    <x v="1"/>
  </r>
  <r>
    <n v="2933130"/>
    <s v="Hero Siege"/>
    <d v="2024-08-27T00:00:00"/>
    <n v="370"/>
    <b v="0"/>
    <n v="916"/>
    <s v="RTX 2060"/>
    <x v="6"/>
    <x v="1"/>
  </r>
  <r>
    <n v="269210"/>
    <s v="Counter-Strike Nexon"/>
    <d v="2014-01-29T00:00:00"/>
    <n v="369"/>
    <b v="0"/>
    <n v="917"/>
    <s v="GTX 980 Ti"/>
    <x v="0"/>
    <x v="0"/>
  </r>
  <r>
    <n v="269210"/>
    <s v="Counter-Strike Nexon"/>
    <d v="2014-01-29T00:00:00"/>
    <n v="369"/>
    <b v="0"/>
    <n v="917"/>
    <s v="GTX 980 Ti"/>
    <x v="1"/>
    <x v="0"/>
  </r>
  <r>
    <n v="269210"/>
    <s v="Counter-Strike Nexon"/>
    <d v="2014-01-29T00:00:00"/>
    <n v="369"/>
    <b v="0"/>
    <n v="917"/>
    <s v="GTX 980 Ti"/>
    <x v="2"/>
    <x v="0"/>
  </r>
  <r>
    <n v="269210"/>
    <s v="Counter-Strike Nexon"/>
    <d v="2014-01-29T00:00:00"/>
    <n v="369"/>
    <b v="0"/>
    <n v="917"/>
    <s v="GTX 980 Ti"/>
    <x v="3"/>
    <x v="1"/>
  </r>
  <r>
    <n v="269210"/>
    <s v="Counter-Strike Nexon"/>
    <d v="2014-01-29T00:00:00"/>
    <n v="369"/>
    <b v="0"/>
    <n v="917"/>
    <s v="GTX 980 Ti"/>
    <x v="4"/>
    <x v="0"/>
  </r>
  <r>
    <n v="269210"/>
    <s v="Counter-Strike Nexon"/>
    <d v="2014-01-29T00:00:00"/>
    <n v="369"/>
    <b v="0"/>
    <n v="917"/>
    <s v="GTX 980 Ti"/>
    <x v="5"/>
    <x v="1"/>
  </r>
  <r>
    <n v="269210"/>
    <s v="Counter-Strike Nexon"/>
    <d v="2014-01-29T00:00:00"/>
    <n v="369"/>
    <b v="0"/>
    <n v="917"/>
    <s v="GTX 980 Ti"/>
    <x v="6"/>
    <x v="1"/>
  </r>
  <r>
    <n v="273110"/>
    <s v="EARTH DEFENSE FORCE 6"/>
    <d v="2014-10-07T00:00:00"/>
    <n v="369"/>
    <b v="0"/>
    <n v="917"/>
    <s v="GTX 980 Ti"/>
    <x v="0"/>
    <x v="0"/>
  </r>
  <r>
    <n v="273110"/>
    <s v="EARTH DEFENSE FORCE 6"/>
    <d v="2014-10-07T00:00:00"/>
    <n v="369"/>
    <b v="0"/>
    <n v="917"/>
    <s v="GTX 980 Ti"/>
    <x v="1"/>
    <x v="0"/>
  </r>
  <r>
    <n v="273110"/>
    <s v="EARTH DEFENSE FORCE 6"/>
    <d v="2014-10-07T00:00:00"/>
    <n v="369"/>
    <b v="0"/>
    <n v="917"/>
    <s v="GTX 980 Ti"/>
    <x v="2"/>
    <x v="1"/>
  </r>
  <r>
    <n v="273110"/>
    <s v="EARTH DEFENSE FORCE 6"/>
    <d v="2014-10-07T00:00:00"/>
    <n v="369"/>
    <b v="0"/>
    <n v="917"/>
    <s v="GTX 980 Ti"/>
    <x v="3"/>
    <x v="1"/>
  </r>
  <r>
    <n v="273110"/>
    <s v="EARTH DEFENSE FORCE 6"/>
    <d v="2014-10-07T00:00:00"/>
    <n v="369"/>
    <b v="0"/>
    <n v="917"/>
    <s v="GTX 980 Ti"/>
    <x v="4"/>
    <x v="1"/>
  </r>
  <r>
    <n v="273110"/>
    <s v="EARTH DEFENSE FORCE 6"/>
    <d v="2014-10-07T00:00:00"/>
    <n v="369"/>
    <b v="0"/>
    <n v="917"/>
    <s v="GTX 980 Ti"/>
    <x v="5"/>
    <x v="1"/>
  </r>
  <r>
    <n v="273110"/>
    <s v="EARTH DEFENSE FORCE 6"/>
    <d v="2014-10-07T00:00:00"/>
    <n v="369"/>
    <b v="0"/>
    <n v="917"/>
    <s v="GTX 980 Ti"/>
    <x v="6"/>
    <x v="0"/>
  </r>
  <r>
    <n v="2291060"/>
    <s v="Night of the Dead"/>
    <d v="2024-07-25T00:00:00"/>
    <n v="369"/>
    <b v="0"/>
    <n v="917"/>
    <s v="GTX 1070"/>
    <x v="0"/>
    <x v="0"/>
  </r>
  <r>
    <n v="2291060"/>
    <s v="Night of the Dead"/>
    <d v="2024-07-25T00:00:00"/>
    <n v="369"/>
    <b v="0"/>
    <n v="917"/>
    <s v="GTX 1070"/>
    <x v="1"/>
    <x v="1"/>
  </r>
  <r>
    <n v="2291060"/>
    <s v="Night of the Dead"/>
    <d v="2024-07-25T00:00:00"/>
    <n v="369"/>
    <b v="0"/>
    <n v="917"/>
    <s v="GTX 1070"/>
    <x v="2"/>
    <x v="1"/>
  </r>
  <r>
    <n v="2291060"/>
    <s v="Night of the Dead"/>
    <d v="2024-07-25T00:00:00"/>
    <n v="369"/>
    <b v="0"/>
    <n v="917"/>
    <s v="GTX 1070"/>
    <x v="3"/>
    <x v="1"/>
  </r>
  <r>
    <n v="2291060"/>
    <s v="Night of the Dead"/>
    <d v="2024-07-25T00:00:00"/>
    <n v="369"/>
    <b v="0"/>
    <n v="917"/>
    <s v="GTX 1070"/>
    <x v="4"/>
    <x v="1"/>
  </r>
  <r>
    <n v="2291060"/>
    <s v="Night of the Dead"/>
    <d v="2024-07-25T00:00:00"/>
    <n v="369"/>
    <b v="0"/>
    <n v="917"/>
    <s v="GTX 1070"/>
    <x v="5"/>
    <x v="1"/>
  </r>
  <r>
    <n v="2291060"/>
    <s v="Night of the Dead"/>
    <d v="2024-07-25T00:00:00"/>
    <n v="369"/>
    <b v="0"/>
    <n v="917"/>
    <s v="GTX 1070"/>
    <x v="6"/>
    <x v="1"/>
  </r>
  <r>
    <n v="1377380"/>
    <s v="Pizza Tower"/>
    <d v="2024-05-31T00:00:00"/>
    <n v="368"/>
    <b v="0"/>
    <n v="920"/>
    <s v="GTX 1660 Ti"/>
    <x v="0"/>
    <x v="0"/>
  </r>
  <r>
    <n v="1377380"/>
    <s v="Pizza Tower"/>
    <d v="2024-05-31T00:00:00"/>
    <n v="368"/>
    <b v="0"/>
    <n v="920"/>
    <s v="GTX 1660 Ti"/>
    <x v="1"/>
    <x v="0"/>
  </r>
  <r>
    <n v="1377380"/>
    <s v="Pizza Tower"/>
    <d v="2024-05-31T00:00:00"/>
    <n v="368"/>
    <b v="0"/>
    <n v="920"/>
    <s v="GTX 1660 Ti"/>
    <x v="2"/>
    <x v="0"/>
  </r>
  <r>
    <n v="1377380"/>
    <s v="Pizza Tower"/>
    <d v="2024-05-31T00:00:00"/>
    <n v="368"/>
    <b v="0"/>
    <n v="920"/>
    <s v="GTX 1660 Ti"/>
    <x v="3"/>
    <x v="0"/>
  </r>
  <r>
    <n v="1377380"/>
    <s v="Pizza Tower"/>
    <d v="2024-05-31T00:00:00"/>
    <n v="368"/>
    <b v="0"/>
    <n v="920"/>
    <s v="GTX 1660 Ti"/>
    <x v="4"/>
    <x v="0"/>
  </r>
  <r>
    <n v="1377380"/>
    <s v="Pizza Tower"/>
    <d v="2024-05-31T00:00:00"/>
    <n v="368"/>
    <b v="0"/>
    <n v="920"/>
    <s v="GTX 1660 Ti"/>
    <x v="5"/>
    <x v="1"/>
  </r>
  <r>
    <n v="1377380"/>
    <s v="Pizza Tower"/>
    <d v="2024-05-31T00:00:00"/>
    <n v="368"/>
    <b v="0"/>
    <n v="920"/>
    <s v="GTX 1660 Ti"/>
    <x v="6"/>
    <x v="1"/>
  </r>
  <r>
    <n v="2231450"/>
    <s v="Dorfromantik"/>
    <d v="2023-01-26T00:00:00"/>
    <n v="367"/>
    <b v="0"/>
    <n v="921"/>
    <s v="RX 550"/>
    <x v="0"/>
    <x v="0"/>
  </r>
  <r>
    <n v="2231450"/>
    <s v="Dorfromantik"/>
    <d v="2023-01-26T00:00:00"/>
    <n v="367"/>
    <b v="0"/>
    <n v="921"/>
    <s v="RX 550"/>
    <x v="1"/>
    <x v="0"/>
  </r>
  <r>
    <n v="2231450"/>
    <s v="Dorfromantik"/>
    <d v="2023-01-26T00:00:00"/>
    <n v="367"/>
    <b v="0"/>
    <n v="921"/>
    <s v="RX 550"/>
    <x v="2"/>
    <x v="1"/>
  </r>
  <r>
    <n v="2231450"/>
    <s v="Dorfromantik"/>
    <d v="2023-01-26T00:00:00"/>
    <n v="367"/>
    <b v="0"/>
    <n v="921"/>
    <s v="RX 550"/>
    <x v="3"/>
    <x v="1"/>
  </r>
  <r>
    <n v="2231450"/>
    <s v="Dorfromantik"/>
    <d v="2023-01-26T00:00:00"/>
    <n v="367"/>
    <b v="0"/>
    <n v="921"/>
    <s v="RX 550"/>
    <x v="4"/>
    <x v="1"/>
  </r>
  <r>
    <n v="2231450"/>
    <s v="Dorfromantik"/>
    <d v="2023-01-26T00:00:00"/>
    <n v="367"/>
    <b v="0"/>
    <n v="921"/>
    <s v="RX 550"/>
    <x v="5"/>
    <x v="1"/>
  </r>
  <r>
    <n v="2231450"/>
    <s v="Dorfromantik"/>
    <d v="2023-01-26T00:00:00"/>
    <n v="367"/>
    <b v="0"/>
    <n v="921"/>
    <s v="RX 550"/>
    <x v="6"/>
    <x v="1"/>
  </r>
  <r>
    <n v="1455840"/>
    <s v="Star Wars Outlaws"/>
    <d v="2022-04-28T00:00:00"/>
    <n v="365"/>
    <b v="0"/>
    <n v="922"/>
    <s v="RX 550"/>
    <x v="0"/>
    <x v="1"/>
  </r>
  <r>
    <n v="1455840"/>
    <s v="Star Wars Outlaws"/>
    <d v="2022-04-28T00:00:00"/>
    <n v="365"/>
    <b v="0"/>
    <n v="922"/>
    <s v="RX 550"/>
    <x v="1"/>
    <x v="0"/>
  </r>
  <r>
    <n v="1455840"/>
    <s v="Star Wars Outlaws"/>
    <d v="2022-04-28T00:00:00"/>
    <n v="365"/>
    <b v="0"/>
    <n v="922"/>
    <s v="RX 550"/>
    <x v="2"/>
    <x v="1"/>
  </r>
  <r>
    <n v="1455840"/>
    <s v="Star Wars Outlaws"/>
    <d v="2022-04-28T00:00:00"/>
    <n v="365"/>
    <b v="0"/>
    <n v="922"/>
    <s v="RX 550"/>
    <x v="3"/>
    <x v="0"/>
  </r>
  <r>
    <n v="1455840"/>
    <s v="Star Wars Outlaws"/>
    <d v="2022-04-28T00:00:00"/>
    <n v="365"/>
    <b v="0"/>
    <n v="922"/>
    <s v="RX 550"/>
    <x v="4"/>
    <x v="1"/>
  </r>
  <r>
    <n v="1455840"/>
    <s v="Star Wars Outlaws"/>
    <d v="2022-04-28T00:00:00"/>
    <n v="365"/>
    <b v="0"/>
    <n v="922"/>
    <s v="RX 550"/>
    <x v="5"/>
    <x v="0"/>
  </r>
  <r>
    <n v="1455840"/>
    <s v="Star Wars Outlaws"/>
    <d v="2022-04-28T00:00:00"/>
    <n v="365"/>
    <b v="0"/>
    <n v="922"/>
    <s v="RX 550"/>
    <x v="6"/>
    <x v="1"/>
  </r>
  <r>
    <n v="2842040"/>
    <s v="BioShock Remastered"/>
    <d v="2024-11-21T00:00:00"/>
    <n v="364"/>
    <b v="0"/>
    <n v="923"/>
    <s v="RTX 3060 Ti"/>
    <x v="0"/>
    <x v="0"/>
  </r>
  <r>
    <n v="2842040"/>
    <s v="BioShock Remastered"/>
    <d v="2024-11-21T00:00:00"/>
    <n v="364"/>
    <b v="0"/>
    <n v="923"/>
    <s v="RTX 3060 Ti"/>
    <x v="1"/>
    <x v="1"/>
  </r>
  <r>
    <n v="2842040"/>
    <s v="BioShock Remastered"/>
    <d v="2024-11-21T00:00:00"/>
    <n v="364"/>
    <b v="0"/>
    <n v="923"/>
    <s v="RTX 3060 Ti"/>
    <x v="2"/>
    <x v="0"/>
  </r>
  <r>
    <n v="2842040"/>
    <s v="BioShock Remastered"/>
    <d v="2024-11-21T00:00:00"/>
    <n v="364"/>
    <b v="0"/>
    <n v="923"/>
    <s v="RTX 3060 Ti"/>
    <x v="3"/>
    <x v="1"/>
  </r>
  <r>
    <n v="2842040"/>
    <s v="BioShock Remastered"/>
    <d v="2024-11-21T00:00:00"/>
    <n v="364"/>
    <b v="0"/>
    <n v="923"/>
    <s v="RTX 3060 Ti"/>
    <x v="4"/>
    <x v="1"/>
  </r>
  <r>
    <n v="2842040"/>
    <s v="BioShock Remastered"/>
    <d v="2024-11-21T00:00:00"/>
    <n v="364"/>
    <b v="0"/>
    <n v="923"/>
    <s v="RTX 3060 Ti"/>
    <x v="5"/>
    <x v="1"/>
  </r>
  <r>
    <n v="2842040"/>
    <s v="BioShock Remastered"/>
    <d v="2024-11-21T00:00:00"/>
    <n v="364"/>
    <b v="0"/>
    <n v="923"/>
    <s v="RTX 3060 Ti"/>
    <x v="6"/>
    <x v="1"/>
  </r>
  <r>
    <n v="409710"/>
    <s v="Super Animal Royale"/>
    <d v="2016-09-15T00:00:00"/>
    <n v="364"/>
    <b v="1"/>
    <n v="923"/>
    <s v="GTX 1050 Ti"/>
    <x v="0"/>
    <x v="0"/>
  </r>
  <r>
    <n v="409710"/>
    <s v="Super Animal Royale"/>
    <d v="2016-09-15T00:00:00"/>
    <n v="364"/>
    <b v="1"/>
    <n v="923"/>
    <s v="GTX 1050 Ti"/>
    <x v="1"/>
    <x v="1"/>
  </r>
  <r>
    <n v="409710"/>
    <s v="Super Animal Royale"/>
    <d v="2016-09-15T00:00:00"/>
    <n v="364"/>
    <b v="1"/>
    <n v="923"/>
    <s v="GTX 1050 Ti"/>
    <x v="2"/>
    <x v="1"/>
  </r>
  <r>
    <n v="409710"/>
    <s v="Super Animal Royale"/>
    <d v="2016-09-15T00:00:00"/>
    <n v="364"/>
    <b v="1"/>
    <n v="923"/>
    <s v="GTX 1050 Ti"/>
    <x v="3"/>
    <x v="1"/>
  </r>
  <r>
    <n v="409710"/>
    <s v="Super Animal Royale"/>
    <d v="2016-09-15T00:00:00"/>
    <n v="364"/>
    <b v="1"/>
    <n v="923"/>
    <s v="GTX 1050 Ti"/>
    <x v="4"/>
    <x v="0"/>
  </r>
  <r>
    <n v="409710"/>
    <s v="Super Animal Royale"/>
    <d v="2016-09-15T00:00:00"/>
    <n v="364"/>
    <b v="1"/>
    <n v="923"/>
    <s v="GTX 1050 Ti"/>
    <x v="5"/>
    <x v="1"/>
  </r>
  <r>
    <n v="409710"/>
    <s v="Super Animal Royale"/>
    <d v="2016-09-15T00:00:00"/>
    <n v="364"/>
    <b v="1"/>
    <n v="923"/>
    <s v="GTX 1050 Ti"/>
    <x v="6"/>
    <x v="1"/>
  </r>
  <r>
    <n v="843380"/>
    <s v="Jagged Alliance 3"/>
    <d v="2021-08-26T00:00:00"/>
    <n v="364"/>
    <b v="1"/>
    <n v="923"/>
    <s v="RTX 2070"/>
    <x v="0"/>
    <x v="0"/>
  </r>
  <r>
    <n v="843380"/>
    <s v="Jagged Alliance 3"/>
    <d v="2021-08-26T00:00:00"/>
    <n v="364"/>
    <b v="1"/>
    <n v="923"/>
    <s v="RTX 2070"/>
    <x v="1"/>
    <x v="0"/>
  </r>
  <r>
    <n v="843380"/>
    <s v="Jagged Alliance 3"/>
    <d v="2021-08-26T00:00:00"/>
    <n v="364"/>
    <b v="1"/>
    <n v="923"/>
    <s v="RTX 2070"/>
    <x v="2"/>
    <x v="0"/>
  </r>
  <r>
    <n v="843380"/>
    <s v="Jagged Alliance 3"/>
    <d v="2021-08-26T00:00:00"/>
    <n v="364"/>
    <b v="1"/>
    <n v="923"/>
    <s v="RTX 2070"/>
    <x v="3"/>
    <x v="1"/>
  </r>
  <r>
    <n v="843380"/>
    <s v="Jagged Alliance 3"/>
    <d v="2021-08-26T00:00:00"/>
    <n v="364"/>
    <b v="1"/>
    <n v="923"/>
    <s v="RTX 2070"/>
    <x v="4"/>
    <x v="1"/>
  </r>
  <r>
    <n v="843380"/>
    <s v="Jagged Alliance 3"/>
    <d v="2021-08-26T00:00:00"/>
    <n v="364"/>
    <b v="1"/>
    <n v="923"/>
    <s v="RTX 2070"/>
    <x v="5"/>
    <x v="1"/>
  </r>
  <r>
    <n v="843380"/>
    <s v="Jagged Alliance 3"/>
    <d v="2021-08-26T00:00:00"/>
    <n v="364"/>
    <b v="1"/>
    <n v="923"/>
    <s v="RTX 2070"/>
    <x v="6"/>
    <x v="0"/>
  </r>
  <r>
    <n v="1084160"/>
    <s v="Vampire: The Masquerade - Bloodhunt"/>
    <d v="2023-07-14T00:00:00"/>
    <n v="363"/>
    <b v="0"/>
    <n v="926"/>
    <s v="RTX 2070"/>
    <x v="0"/>
    <x v="0"/>
  </r>
  <r>
    <n v="1084160"/>
    <s v="Vampire: The Masquerade - Bloodhunt"/>
    <d v="2023-07-14T00:00:00"/>
    <n v="363"/>
    <b v="0"/>
    <n v="926"/>
    <s v="RTX 2070"/>
    <x v="1"/>
    <x v="1"/>
  </r>
  <r>
    <n v="1084160"/>
    <s v="Vampire: The Masquerade - Bloodhunt"/>
    <d v="2023-07-14T00:00:00"/>
    <n v="363"/>
    <b v="0"/>
    <n v="926"/>
    <s v="RTX 2070"/>
    <x v="2"/>
    <x v="1"/>
  </r>
  <r>
    <n v="1084160"/>
    <s v="Vampire: The Masquerade - Bloodhunt"/>
    <d v="2023-07-14T00:00:00"/>
    <n v="363"/>
    <b v="0"/>
    <n v="926"/>
    <s v="RTX 2070"/>
    <x v="3"/>
    <x v="1"/>
  </r>
  <r>
    <n v="1084160"/>
    <s v="Vampire: The Masquerade - Bloodhunt"/>
    <d v="2023-07-14T00:00:00"/>
    <n v="363"/>
    <b v="0"/>
    <n v="926"/>
    <s v="RTX 2070"/>
    <x v="4"/>
    <x v="1"/>
  </r>
  <r>
    <n v="1084160"/>
    <s v="Vampire: The Masquerade - Bloodhunt"/>
    <d v="2023-07-14T00:00:00"/>
    <n v="363"/>
    <b v="0"/>
    <n v="926"/>
    <s v="RTX 2070"/>
    <x v="5"/>
    <x v="0"/>
  </r>
  <r>
    <n v="1084160"/>
    <s v="Vampire: The Masquerade - Bloodhunt"/>
    <d v="2023-07-14T00:00:00"/>
    <n v="363"/>
    <b v="0"/>
    <n v="926"/>
    <s v="RTX 2070"/>
    <x v="6"/>
    <x v="1"/>
  </r>
  <r>
    <n v="760160"/>
    <s v="Resident Evil 3"/>
    <d v="2022-04-27T00:00:00"/>
    <n v="362"/>
    <b v="0"/>
    <n v="927"/>
    <s v="GTX 1080"/>
    <x v="0"/>
    <x v="0"/>
  </r>
  <r>
    <n v="760160"/>
    <s v="Resident Evil 3"/>
    <d v="2022-04-27T00:00:00"/>
    <n v="362"/>
    <b v="0"/>
    <n v="927"/>
    <s v="GTX 1080"/>
    <x v="1"/>
    <x v="1"/>
  </r>
  <r>
    <n v="760160"/>
    <s v="Resident Evil 3"/>
    <d v="2022-04-27T00:00:00"/>
    <n v="362"/>
    <b v="0"/>
    <n v="927"/>
    <s v="GTX 1080"/>
    <x v="2"/>
    <x v="1"/>
  </r>
  <r>
    <n v="760160"/>
    <s v="Resident Evil 3"/>
    <d v="2022-04-27T00:00:00"/>
    <n v="362"/>
    <b v="0"/>
    <n v="927"/>
    <s v="GTX 1080"/>
    <x v="3"/>
    <x v="1"/>
  </r>
  <r>
    <n v="760160"/>
    <s v="Resident Evil 3"/>
    <d v="2022-04-27T00:00:00"/>
    <n v="362"/>
    <b v="0"/>
    <n v="927"/>
    <s v="GTX 1080"/>
    <x v="4"/>
    <x v="1"/>
  </r>
  <r>
    <n v="760160"/>
    <s v="Resident Evil 3"/>
    <d v="2022-04-27T00:00:00"/>
    <n v="362"/>
    <b v="0"/>
    <n v="927"/>
    <s v="GTX 1080"/>
    <x v="5"/>
    <x v="1"/>
  </r>
  <r>
    <n v="760160"/>
    <s v="Resident Evil 3"/>
    <d v="2022-04-27T00:00:00"/>
    <n v="362"/>
    <b v="0"/>
    <n v="927"/>
    <s v="GTX 1080"/>
    <x v="6"/>
    <x v="0"/>
  </r>
  <r>
    <n v="952060"/>
    <s v="Command &amp; Conquer Red Alert 3"/>
    <d v="2020-04-02T00:00:00"/>
    <n v="362"/>
    <b v="0"/>
    <n v="927"/>
    <s v="GTX 1060"/>
    <x v="0"/>
    <x v="0"/>
  </r>
  <r>
    <n v="952060"/>
    <s v="Command &amp; Conquer Red Alert 3"/>
    <d v="2020-04-02T00:00:00"/>
    <n v="362"/>
    <b v="0"/>
    <n v="927"/>
    <s v="GTX 1060"/>
    <x v="1"/>
    <x v="1"/>
  </r>
  <r>
    <n v="952060"/>
    <s v="Command &amp; Conquer Red Alert 3"/>
    <d v="2020-04-02T00:00:00"/>
    <n v="362"/>
    <b v="0"/>
    <n v="927"/>
    <s v="GTX 1060"/>
    <x v="2"/>
    <x v="1"/>
  </r>
  <r>
    <n v="952060"/>
    <s v="Command &amp; Conquer Red Alert 3"/>
    <d v="2020-04-02T00:00:00"/>
    <n v="362"/>
    <b v="0"/>
    <n v="927"/>
    <s v="GTX 1060"/>
    <x v="3"/>
    <x v="1"/>
  </r>
  <r>
    <n v="952060"/>
    <s v="Command &amp; Conquer Red Alert 3"/>
    <d v="2020-04-02T00:00:00"/>
    <n v="362"/>
    <b v="0"/>
    <n v="927"/>
    <s v="GTX 1060"/>
    <x v="4"/>
    <x v="1"/>
  </r>
  <r>
    <n v="952060"/>
    <s v="Command &amp; Conquer Red Alert 3"/>
    <d v="2020-04-02T00:00:00"/>
    <n v="362"/>
    <b v="0"/>
    <n v="927"/>
    <s v="GTX 1060"/>
    <x v="5"/>
    <x v="1"/>
  </r>
  <r>
    <n v="952060"/>
    <s v="Command &amp; Conquer Red Alert 3"/>
    <d v="2020-04-02T00:00:00"/>
    <n v="362"/>
    <b v="0"/>
    <n v="927"/>
    <s v="GTX 1060"/>
    <x v="6"/>
    <x v="1"/>
  </r>
  <r>
    <n v="17480"/>
    <s v="Ithya: Magic Studies"/>
    <d v="2009-01-08T00:00:00"/>
    <n v="362"/>
    <b v="0"/>
    <n v="927"/>
    <s v="Radeon Graphics"/>
    <x v="0"/>
    <x v="0"/>
  </r>
  <r>
    <n v="17480"/>
    <s v="Ithya: Magic Studies"/>
    <d v="2009-01-08T00:00:00"/>
    <n v="362"/>
    <b v="0"/>
    <n v="927"/>
    <s v="Radeon Graphics"/>
    <x v="1"/>
    <x v="1"/>
  </r>
  <r>
    <n v="17480"/>
    <s v="Ithya: Magic Studies"/>
    <d v="2009-01-08T00:00:00"/>
    <n v="362"/>
    <b v="0"/>
    <n v="927"/>
    <s v="Radeon Graphics"/>
    <x v="2"/>
    <x v="1"/>
  </r>
  <r>
    <n v="17480"/>
    <s v="Ithya: Magic Studies"/>
    <d v="2009-01-08T00:00:00"/>
    <n v="362"/>
    <b v="0"/>
    <n v="927"/>
    <s v="Radeon Graphics"/>
    <x v="3"/>
    <x v="1"/>
  </r>
  <r>
    <n v="17480"/>
    <s v="Ithya: Magic Studies"/>
    <d v="2009-01-08T00:00:00"/>
    <n v="362"/>
    <b v="0"/>
    <n v="927"/>
    <s v="Radeon Graphics"/>
    <x v="4"/>
    <x v="1"/>
  </r>
  <r>
    <n v="17480"/>
    <s v="Ithya: Magic Studies"/>
    <d v="2009-01-08T00:00:00"/>
    <n v="362"/>
    <b v="0"/>
    <n v="927"/>
    <s v="Radeon Graphics"/>
    <x v="5"/>
    <x v="0"/>
  </r>
  <r>
    <n v="17480"/>
    <s v="Ithya: Magic Studies"/>
    <d v="2009-01-08T00:00:00"/>
    <n v="362"/>
    <b v="0"/>
    <n v="927"/>
    <s v="Radeon Graphics"/>
    <x v="6"/>
    <x v="1"/>
  </r>
  <r>
    <n v="3330250"/>
    <s v="Halls of Torment"/>
    <d v="2025-05-07T00:00:00"/>
    <n v="361"/>
    <b v="1"/>
    <n v="930"/>
    <s v="GTX 970"/>
    <x v="0"/>
    <x v="1"/>
  </r>
  <r>
    <n v="3330250"/>
    <s v="Halls of Torment"/>
    <d v="2025-05-07T00:00:00"/>
    <n v="361"/>
    <b v="1"/>
    <n v="930"/>
    <s v="GTX 970"/>
    <x v="1"/>
    <x v="1"/>
  </r>
  <r>
    <n v="3330250"/>
    <s v="Halls of Torment"/>
    <d v="2025-05-07T00:00:00"/>
    <n v="361"/>
    <b v="1"/>
    <n v="930"/>
    <s v="GTX 970"/>
    <x v="2"/>
    <x v="1"/>
  </r>
  <r>
    <n v="3330250"/>
    <s v="Halls of Torment"/>
    <d v="2025-05-07T00:00:00"/>
    <n v="361"/>
    <b v="1"/>
    <n v="930"/>
    <s v="GTX 970"/>
    <x v="3"/>
    <x v="1"/>
  </r>
  <r>
    <n v="3330250"/>
    <s v="Halls of Torment"/>
    <d v="2025-05-07T00:00:00"/>
    <n v="361"/>
    <b v="1"/>
    <n v="930"/>
    <s v="GTX 970"/>
    <x v="4"/>
    <x v="1"/>
  </r>
  <r>
    <n v="3330250"/>
    <s v="Halls of Torment"/>
    <d v="2025-05-07T00:00:00"/>
    <n v="361"/>
    <b v="1"/>
    <n v="930"/>
    <s v="GTX 970"/>
    <x v="5"/>
    <x v="1"/>
  </r>
  <r>
    <n v="3330250"/>
    <s v="Halls of Torment"/>
    <d v="2025-05-07T00:00:00"/>
    <n v="361"/>
    <b v="1"/>
    <n v="930"/>
    <s v="GTX 970"/>
    <x v="6"/>
    <x v="1"/>
  </r>
  <r>
    <n v="2218750"/>
    <s v="Terraforming Mars"/>
    <d v="2024-09-24T00:00:00"/>
    <n v="361"/>
    <b v="0"/>
    <n v="930"/>
    <s v="GTX 1070"/>
    <x v="0"/>
    <x v="0"/>
  </r>
  <r>
    <n v="2218750"/>
    <s v="Terraforming Mars"/>
    <d v="2024-09-24T00:00:00"/>
    <n v="361"/>
    <b v="0"/>
    <n v="930"/>
    <s v="GTX 1070"/>
    <x v="1"/>
    <x v="0"/>
  </r>
  <r>
    <n v="2218750"/>
    <s v="Terraforming Mars"/>
    <d v="2024-09-24T00:00:00"/>
    <n v="361"/>
    <b v="0"/>
    <n v="930"/>
    <s v="GTX 1070"/>
    <x v="2"/>
    <x v="1"/>
  </r>
  <r>
    <n v="2218750"/>
    <s v="Terraforming Mars"/>
    <d v="2024-09-24T00:00:00"/>
    <n v="361"/>
    <b v="0"/>
    <n v="930"/>
    <s v="GTX 1070"/>
    <x v="3"/>
    <x v="1"/>
  </r>
  <r>
    <n v="2218750"/>
    <s v="Terraforming Mars"/>
    <d v="2024-09-24T00:00:00"/>
    <n v="361"/>
    <b v="0"/>
    <n v="930"/>
    <s v="GTX 1070"/>
    <x v="4"/>
    <x v="0"/>
  </r>
  <r>
    <n v="2218750"/>
    <s v="Terraforming Mars"/>
    <d v="2024-09-24T00:00:00"/>
    <n v="361"/>
    <b v="0"/>
    <n v="930"/>
    <s v="GTX 1070"/>
    <x v="5"/>
    <x v="1"/>
  </r>
  <r>
    <n v="2218750"/>
    <s v="Terraforming Mars"/>
    <d v="2024-09-24T00:00:00"/>
    <n v="361"/>
    <b v="0"/>
    <n v="930"/>
    <s v="GTX 1070"/>
    <x v="6"/>
    <x v="1"/>
  </r>
  <r>
    <n v="800270"/>
    <s v="ENDLESS Space 2"/>
    <d v="2018-10-17T00:00:00"/>
    <n v="361"/>
    <b v="1"/>
    <n v="930"/>
    <s v="GTX 1050 Ti"/>
    <x v="0"/>
    <x v="1"/>
  </r>
  <r>
    <n v="800270"/>
    <s v="ENDLESS Space 2"/>
    <d v="2018-10-17T00:00:00"/>
    <n v="361"/>
    <b v="1"/>
    <n v="930"/>
    <s v="GTX 1050 Ti"/>
    <x v="1"/>
    <x v="1"/>
  </r>
  <r>
    <n v="800270"/>
    <s v="ENDLESS Space 2"/>
    <d v="2018-10-17T00:00:00"/>
    <n v="361"/>
    <b v="1"/>
    <n v="930"/>
    <s v="GTX 1050 Ti"/>
    <x v="2"/>
    <x v="1"/>
  </r>
  <r>
    <n v="800270"/>
    <s v="ENDLESS Space 2"/>
    <d v="2018-10-17T00:00:00"/>
    <n v="361"/>
    <b v="1"/>
    <n v="930"/>
    <s v="GTX 1050 Ti"/>
    <x v="3"/>
    <x v="1"/>
  </r>
  <r>
    <n v="800270"/>
    <s v="ENDLESS Space 2"/>
    <d v="2018-10-17T00:00:00"/>
    <n v="361"/>
    <b v="1"/>
    <n v="930"/>
    <s v="GTX 1050 Ti"/>
    <x v="4"/>
    <x v="1"/>
  </r>
  <r>
    <n v="800270"/>
    <s v="ENDLESS Space 2"/>
    <d v="2018-10-17T00:00:00"/>
    <n v="361"/>
    <b v="1"/>
    <n v="930"/>
    <s v="GTX 1050 Ti"/>
    <x v="5"/>
    <x v="0"/>
  </r>
  <r>
    <n v="800270"/>
    <s v="ENDLESS Space 2"/>
    <d v="2018-10-17T00:00:00"/>
    <n v="361"/>
    <b v="1"/>
    <n v="930"/>
    <s v="GTX 1050 Ti"/>
    <x v="6"/>
    <x v="1"/>
  </r>
  <r>
    <n v="392110"/>
    <s v="Haste"/>
    <d v="2017-05-18T00:00:00"/>
    <n v="359"/>
    <b v="1"/>
    <n v="933"/>
    <s v="RX 570"/>
    <x v="0"/>
    <x v="1"/>
  </r>
  <r>
    <n v="392110"/>
    <s v="Haste"/>
    <d v="2017-05-18T00:00:00"/>
    <n v="359"/>
    <b v="1"/>
    <n v="933"/>
    <s v="RX 570"/>
    <x v="1"/>
    <x v="1"/>
  </r>
  <r>
    <n v="392110"/>
    <s v="Haste"/>
    <d v="2017-05-18T00:00:00"/>
    <n v="359"/>
    <b v="1"/>
    <n v="933"/>
    <s v="RX 570"/>
    <x v="2"/>
    <x v="1"/>
  </r>
  <r>
    <n v="392110"/>
    <s v="Haste"/>
    <d v="2017-05-18T00:00:00"/>
    <n v="359"/>
    <b v="1"/>
    <n v="933"/>
    <s v="RX 570"/>
    <x v="3"/>
    <x v="1"/>
  </r>
  <r>
    <n v="392110"/>
    <s v="Haste"/>
    <d v="2017-05-18T00:00:00"/>
    <n v="359"/>
    <b v="1"/>
    <n v="933"/>
    <s v="RX 570"/>
    <x v="4"/>
    <x v="1"/>
  </r>
  <r>
    <n v="392110"/>
    <s v="Haste"/>
    <d v="2017-05-18T00:00:00"/>
    <n v="359"/>
    <b v="1"/>
    <n v="933"/>
    <s v="RX 570"/>
    <x v="5"/>
    <x v="0"/>
  </r>
  <r>
    <n v="392110"/>
    <s v="Haste"/>
    <d v="2017-05-18T00:00:00"/>
    <n v="359"/>
    <b v="1"/>
    <n v="933"/>
    <s v="RX 570"/>
    <x v="6"/>
    <x v="1"/>
  </r>
  <r>
    <n v="1796470"/>
    <s v="Rebel Inc: Escalation"/>
    <d v="2025-04-01T00:00:00"/>
    <n v="358"/>
    <b v="1"/>
    <n v="934"/>
    <s v="GTX 970"/>
    <x v="0"/>
    <x v="0"/>
  </r>
  <r>
    <n v="1796470"/>
    <s v="Rebel Inc: Escalation"/>
    <d v="2025-04-01T00:00:00"/>
    <n v="358"/>
    <b v="1"/>
    <n v="934"/>
    <s v="GTX 970"/>
    <x v="1"/>
    <x v="0"/>
  </r>
  <r>
    <n v="1796470"/>
    <s v="Rebel Inc: Escalation"/>
    <d v="2025-04-01T00:00:00"/>
    <n v="358"/>
    <b v="1"/>
    <n v="934"/>
    <s v="GTX 970"/>
    <x v="2"/>
    <x v="0"/>
  </r>
  <r>
    <n v="1796470"/>
    <s v="Rebel Inc: Escalation"/>
    <d v="2025-04-01T00:00:00"/>
    <n v="358"/>
    <b v="1"/>
    <n v="934"/>
    <s v="GTX 970"/>
    <x v="3"/>
    <x v="1"/>
  </r>
  <r>
    <n v="1796470"/>
    <s v="Rebel Inc: Escalation"/>
    <d v="2025-04-01T00:00:00"/>
    <n v="358"/>
    <b v="1"/>
    <n v="934"/>
    <s v="GTX 970"/>
    <x v="4"/>
    <x v="1"/>
  </r>
  <r>
    <n v="1796470"/>
    <s v="Rebel Inc: Escalation"/>
    <d v="2025-04-01T00:00:00"/>
    <n v="358"/>
    <b v="1"/>
    <n v="934"/>
    <s v="GTX 970"/>
    <x v="5"/>
    <x v="1"/>
  </r>
  <r>
    <n v="1796470"/>
    <s v="Rebel Inc: Escalation"/>
    <d v="2025-04-01T00:00:00"/>
    <n v="358"/>
    <b v="1"/>
    <n v="934"/>
    <s v="GTX 970"/>
    <x v="6"/>
    <x v="1"/>
  </r>
  <r>
    <n v="1088790"/>
    <s v="JoJo's Bizarre Adventure: All-Star Battle R"/>
    <d v="2021-10-13T00:00:00"/>
    <n v="358"/>
    <b v="1"/>
    <n v="934"/>
    <s v="RX 560"/>
    <x v="0"/>
    <x v="1"/>
  </r>
  <r>
    <n v="1088790"/>
    <s v="JoJo's Bizarre Adventure: All-Star Battle R"/>
    <d v="2021-10-13T00:00:00"/>
    <n v="358"/>
    <b v="1"/>
    <n v="934"/>
    <s v="RX 560"/>
    <x v="1"/>
    <x v="1"/>
  </r>
  <r>
    <n v="1088790"/>
    <s v="JoJo's Bizarre Adventure: All-Star Battle R"/>
    <d v="2021-10-13T00:00:00"/>
    <n v="358"/>
    <b v="1"/>
    <n v="934"/>
    <s v="RX 560"/>
    <x v="2"/>
    <x v="1"/>
  </r>
  <r>
    <n v="1088790"/>
    <s v="JoJo's Bizarre Adventure: All-Star Battle R"/>
    <d v="2021-10-13T00:00:00"/>
    <n v="358"/>
    <b v="1"/>
    <n v="934"/>
    <s v="RX 560"/>
    <x v="3"/>
    <x v="0"/>
  </r>
  <r>
    <n v="1088790"/>
    <s v="JoJo's Bizarre Adventure: All-Star Battle R"/>
    <d v="2021-10-13T00:00:00"/>
    <n v="358"/>
    <b v="1"/>
    <n v="934"/>
    <s v="RX 560"/>
    <x v="4"/>
    <x v="1"/>
  </r>
  <r>
    <n v="1088790"/>
    <s v="JoJo's Bizarre Adventure: All-Star Battle R"/>
    <d v="2021-10-13T00:00:00"/>
    <n v="358"/>
    <b v="1"/>
    <n v="934"/>
    <s v="RX 560"/>
    <x v="5"/>
    <x v="0"/>
  </r>
  <r>
    <n v="1088790"/>
    <s v="JoJo's Bizarre Adventure: All-Star Battle R"/>
    <d v="2021-10-13T00:00:00"/>
    <n v="358"/>
    <b v="1"/>
    <n v="934"/>
    <s v="RX 560"/>
    <x v="6"/>
    <x v="1"/>
  </r>
  <r>
    <n v="1372110"/>
    <s v="Universe Sandbox"/>
    <d v="2022-09-01T00:00:00"/>
    <n v="357"/>
    <b v="0"/>
    <n v="936"/>
    <s v="GTX 1060"/>
    <x v="0"/>
    <x v="0"/>
  </r>
  <r>
    <n v="1372110"/>
    <s v="Universe Sandbox"/>
    <d v="2022-09-01T00:00:00"/>
    <n v="357"/>
    <b v="0"/>
    <n v="936"/>
    <s v="GTX 1060"/>
    <x v="1"/>
    <x v="1"/>
  </r>
  <r>
    <n v="1372110"/>
    <s v="Universe Sandbox"/>
    <d v="2022-09-01T00:00:00"/>
    <n v="357"/>
    <b v="0"/>
    <n v="936"/>
    <s v="GTX 1060"/>
    <x v="2"/>
    <x v="1"/>
  </r>
  <r>
    <n v="1372110"/>
    <s v="Universe Sandbox"/>
    <d v="2022-09-01T00:00:00"/>
    <n v="357"/>
    <b v="0"/>
    <n v="936"/>
    <s v="GTX 1060"/>
    <x v="3"/>
    <x v="1"/>
  </r>
  <r>
    <n v="1372110"/>
    <s v="Universe Sandbox"/>
    <d v="2022-09-01T00:00:00"/>
    <n v="357"/>
    <b v="0"/>
    <n v="936"/>
    <s v="GTX 1060"/>
    <x v="4"/>
    <x v="1"/>
  </r>
  <r>
    <n v="1372110"/>
    <s v="Universe Sandbox"/>
    <d v="2022-09-01T00:00:00"/>
    <n v="357"/>
    <b v="0"/>
    <n v="936"/>
    <s v="GTX 1060"/>
    <x v="5"/>
    <x v="1"/>
  </r>
  <r>
    <n v="1372110"/>
    <s v="Universe Sandbox"/>
    <d v="2022-09-01T00:00:00"/>
    <n v="357"/>
    <b v="0"/>
    <n v="936"/>
    <s v="GTX 1060"/>
    <x v="6"/>
    <x v="1"/>
  </r>
  <r>
    <n v="230290"/>
    <s v="Call of Duty: Modern Warfare 3 (2011)"/>
    <d v="2015-08-24T00:00:00"/>
    <n v="357"/>
    <b v="1"/>
    <n v="936"/>
    <s v="GTX 750"/>
    <x v="0"/>
    <x v="1"/>
  </r>
  <r>
    <n v="230290"/>
    <s v="Call of Duty: Modern Warfare 3 (2011)"/>
    <d v="2015-08-24T00:00:00"/>
    <n v="357"/>
    <b v="1"/>
    <n v="936"/>
    <s v="GTX 750"/>
    <x v="1"/>
    <x v="0"/>
  </r>
  <r>
    <n v="230290"/>
    <s v="Call of Duty: Modern Warfare 3 (2011)"/>
    <d v="2015-08-24T00:00:00"/>
    <n v="357"/>
    <b v="1"/>
    <n v="936"/>
    <s v="GTX 750"/>
    <x v="2"/>
    <x v="1"/>
  </r>
  <r>
    <n v="230290"/>
    <s v="Call of Duty: Modern Warfare 3 (2011)"/>
    <d v="2015-08-24T00:00:00"/>
    <n v="357"/>
    <b v="1"/>
    <n v="936"/>
    <s v="GTX 750"/>
    <x v="3"/>
    <x v="0"/>
  </r>
  <r>
    <n v="230290"/>
    <s v="Call of Duty: Modern Warfare 3 (2011)"/>
    <d v="2015-08-24T00:00:00"/>
    <n v="357"/>
    <b v="1"/>
    <n v="936"/>
    <s v="GTX 750"/>
    <x v="4"/>
    <x v="1"/>
  </r>
  <r>
    <n v="230290"/>
    <s v="Call of Duty: Modern Warfare 3 (2011)"/>
    <d v="2015-08-24T00:00:00"/>
    <n v="357"/>
    <b v="1"/>
    <n v="936"/>
    <s v="GTX 750"/>
    <x v="5"/>
    <x v="1"/>
  </r>
  <r>
    <n v="230290"/>
    <s v="Call of Duty: Modern Warfare 3 (2011)"/>
    <d v="2015-08-24T00:00:00"/>
    <n v="357"/>
    <b v="1"/>
    <n v="936"/>
    <s v="GTX 750"/>
    <x v="6"/>
    <x v="1"/>
  </r>
  <r>
    <n v="42680"/>
    <s v="iRacing"/>
    <d v="2011-11-08T00:00:00"/>
    <n v="357"/>
    <b v="0"/>
    <n v="936"/>
    <s v="RTX 2070"/>
    <x v="0"/>
    <x v="0"/>
  </r>
  <r>
    <n v="42680"/>
    <s v="iRacing"/>
    <d v="2011-11-08T00:00:00"/>
    <n v="357"/>
    <b v="0"/>
    <n v="936"/>
    <s v="RTX 2070"/>
    <x v="1"/>
    <x v="1"/>
  </r>
  <r>
    <n v="42680"/>
    <s v="iRacing"/>
    <d v="2011-11-08T00:00:00"/>
    <n v="357"/>
    <b v="0"/>
    <n v="936"/>
    <s v="RTX 2070"/>
    <x v="2"/>
    <x v="1"/>
  </r>
  <r>
    <n v="42680"/>
    <s v="iRacing"/>
    <d v="2011-11-08T00:00:00"/>
    <n v="357"/>
    <b v="0"/>
    <n v="936"/>
    <s v="RTX 2070"/>
    <x v="3"/>
    <x v="1"/>
  </r>
  <r>
    <n v="42680"/>
    <s v="iRacing"/>
    <d v="2011-11-08T00:00:00"/>
    <n v="357"/>
    <b v="0"/>
    <n v="936"/>
    <s v="RTX 2070"/>
    <x v="4"/>
    <x v="1"/>
  </r>
  <r>
    <n v="42680"/>
    <s v="iRacing"/>
    <d v="2011-11-08T00:00:00"/>
    <n v="357"/>
    <b v="0"/>
    <n v="936"/>
    <s v="RTX 2070"/>
    <x v="5"/>
    <x v="1"/>
  </r>
  <r>
    <n v="42680"/>
    <s v="iRacing"/>
    <d v="2011-11-08T00:00:00"/>
    <n v="357"/>
    <b v="0"/>
    <n v="936"/>
    <s v="RTX 2070"/>
    <x v="6"/>
    <x v="1"/>
  </r>
  <r>
    <n v="266410"/>
    <s v="Tower of Fantasy"/>
    <d v="2015-01-12T00:00:00"/>
    <n v="354"/>
    <b v="0"/>
    <n v="939"/>
    <s v="GTX 980 Ti"/>
    <x v="0"/>
    <x v="1"/>
  </r>
  <r>
    <n v="266410"/>
    <s v="Tower of Fantasy"/>
    <d v="2015-01-12T00:00:00"/>
    <n v="354"/>
    <b v="0"/>
    <n v="939"/>
    <s v="GTX 980 Ti"/>
    <x v="1"/>
    <x v="1"/>
  </r>
  <r>
    <n v="266410"/>
    <s v="Tower of Fantasy"/>
    <d v="2015-01-12T00:00:00"/>
    <n v="354"/>
    <b v="0"/>
    <n v="939"/>
    <s v="GTX 980 Ti"/>
    <x v="2"/>
    <x v="1"/>
  </r>
  <r>
    <n v="266410"/>
    <s v="Tower of Fantasy"/>
    <d v="2015-01-12T00:00:00"/>
    <n v="354"/>
    <b v="0"/>
    <n v="939"/>
    <s v="GTX 980 Ti"/>
    <x v="3"/>
    <x v="0"/>
  </r>
  <r>
    <n v="266410"/>
    <s v="Tower of Fantasy"/>
    <d v="2015-01-12T00:00:00"/>
    <n v="354"/>
    <b v="0"/>
    <n v="939"/>
    <s v="GTX 980 Ti"/>
    <x v="4"/>
    <x v="1"/>
  </r>
  <r>
    <n v="266410"/>
    <s v="Tower of Fantasy"/>
    <d v="2015-01-12T00:00:00"/>
    <n v="354"/>
    <b v="0"/>
    <n v="939"/>
    <s v="GTX 980 Ti"/>
    <x v="5"/>
    <x v="1"/>
  </r>
  <r>
    <n v="266410"/>
    <s v="Tower of Fantasy"/>
    <d v="2015-01-12T00:00:00"/>
    <n v="354"/>
    <b v="0"/>
    <n v="939"/>
    <s v="GTX 980 Ti"/>
    <x v="6"/>
    <x v="1"/>
  </r>
  <r>
    <n v="2064650"/>
    <s v="Golf It!"/>
    <d v="2022-10-19T00:00:00"/>
    <n v="354"/>
    <b v="0"/>
    <n v="939"/>
    <s v="RX 550"/>
    <x v="0"/>
    <x v="0"/>
  </r>
  <r>
    <n v="2064650"/>
    <s v="Golf It!"/>
    <d v="2022-10-19T00:00:00"/>
    <n v="354"/>
    <b v="0"/>
    <n v="939"/>
    <s v="RX 550"/>
    <x v="1"/>
    <x v="1"/>
  </r>
  <r>
    <n v="2064650"/>
    <s v="Golf It!"/>
    <d v="2022-10-19T00:00:00"/>
    <n v="354"/>
    <b v="0"/>
    <n v="939"/>
    <s v="RX 550"/>
    <x v="2"/>
    <x v="1"/>
  </r>
  <r>
    <n v="2064650"/>
    <s v="Golf It!"/>
    <d v="2022-10-19T00:00:00"/>
    <n v="354"/>
    <b v="0"/>
    <n v="939"/>
    <s v="RX 550"/>
    <x v="3"/>
    <x v="1"/>
  </r>
  <r>
    <n v="2064650"/>
    <s v="Golf It!"/>
    <d v="2022-10-19T00:00:00"/>
    <n v="354"/>
    <b v="0"/>
    <n v="939"/>
    <s v="RX 550"/>
    <x v="4"/>
    <x v="0"/>
  </r>
  <r>
    <n v="2064650"/>
    <s v="Golf It!"/>
    <d v="2022-10-19T00:00:00"/>
    <n v="354"/>
    <b v="0"/>
    <n v="939"/>
    <s v="RX 550"/>
    <x v="5"/>
    <x v="1"/>
  </r>
  <r>
    <n v="2064650"/>
    <s v="Golf It!"/>
    <d v="2022-10-19T00:00:00"/>
    <n v="354"/>
    <b v="0"/>
    <n v="939"/>
    <s v="RX 550"/>
    <x v="6"/>
    <x v="0"/>
  </r>
  <r>
    <n v="571740"/>
    <s v="Dungeon Defenders II"/>
    <d v="2023-08-18T00:00:00"/>
    <n v="352"/>
    <b v="1"/>
    <n v="941"/>
    <s v="GTX 1050 Ti"/>
    <x v="0"/>
    <x v="1"/>
  </r>
  <r>
    <n v="571740"/>
    <s v="Dungeon Defenders II"/>
    <d v="2023-08-18T00:00:00"/>
    <n v="352"/>
    <b v="1"/>
    <n v="941"/>
    <s v="GTX 1050 Ti"/>
    <x v="1"/>
    <x v="0"/>
  </r>
  <r>
    <n v="571740"/>
    <s v="Dungeon Defenders II"/>
    <d v="2023-08-18T00:00:00"/>
    <n v="352"/>
    <b v="1"/>
    <n v="941"/>
    <s v="GTX 1050 Ti"/>
    <x v="2"/>
    <x v="1"/>
  </r>
  <r>
    <n v="571740"/>
    <s v="Dungeon Defenders II"/>
    <d v="2023-08-18T00:00:00"/>
    <n v="352"/>
    <b v="1"/>
    <n v="941"/>
    <s v="GTX 1050 Ti"/>
    <x v="3"/>
    <x v="0"/>
  </r>
  <r>
    <n v="571740"/>
    <s v="Dungeon Defenders II"/>
    <d v="2023-08-18T00:00:00"/>
    <n v="352"/>
    <b v="1"/>
    <n v="941"/>
    <s v="GTX 1050 Ti"/>
    <x v="4"/>
    <x v="1"/>
  </r>
  <r>
    <n v="571740"/>
    <s v="Dungeon Defenders II"/>
    <d v="2023-08-18T00:00:00"/>
    <n v="352"/>
    <b v="1"/>
    <n v="941"/>
    <s v="GTX 1050 Ti"/>
    <x v="5"/>
    <x v="1"/>
  </r>
  <r>
    <n v="571740"/>
    <s v="Dungeon Defenders II"/>
    <d v="2023-08-18T00:00:00"/>
    <n v="352"/>
    <b v="1"/>
    <n v="941"/>
    <s v="GTX 1050 Ti"/>
    <x v="6"/>
    <x v="1"/>
  </r>
  <r>
    <n v="236110"/>
    <s v="Spyro Reignited Trilogy"/>
    <d v="2017-06-20T00:00:00"/>
    <n v="351"/>
    <b v="0"/>
    <n v="942"/>
    <s v="Radeon Vega 8"/>
    <x v="0"/>
    <x v="0"/>
  </r>
  <r>
    <n v="236110"/>
    <s v="Spyro Reignited Trilogy"/>
    <d v="2017-06-20T00:00:00"/>
    <n v="351"/>
    <b v="0"/>
    <n v="942"/>
    <s v="Radeon Vega 8"/>
    <x v="1"/>
    <x v="0"/>
  </r>
  <r>
    <n v="236110"/>
    <s v="Spyro Reignited Trilogy"/>
    <d v="2017-06-20T00:00:00"/>
    <n v="351"/>
    <b v="0"/>
    <n v="942"/>
    <s v="Radeon Vega 8"/>
    <x v="2"/>
    <x v="1"/>
  </r>
  <r>
    <n v="236110"/>
    <s v="Spyro Reignited Trilogy"/>
    <d v="2017-06-20T00:00:00"/>
    <n v="351"/>
    <b v="0"/>
    <n v="942"/>
    <s v="Radeon Vega 8"/>
    <x v="3"/>
    <x v="1"/>
  </r>
  <r>
    <n v="236110"/>
    <s v="Spyro Reignited Trilogy"/>
    <d v="2017-06-20T00:00:00"/>
    <n v="351"/>
    <b v="0"/>
    <n v="942"/>
    <s v="Radeon Vega 8"/>
    <x v="4"/>
    <x v="0"/>
  </r>
  <r>
    <n v="236110"/>
    <s v="Spyro Reignited Trilogy"/>
    <d v="2017-06-20T00:00:00"/>
    <n v="351"/>
    <b v="0"/>
    <n v="942"/>
    <s v="Radeon Vega 8"/>
    <x v="5"/>
    <x v="0"/>
  </r>
  <r>
    <n v="236110"/>
    <s v="Spyro Reignited Trilogy"/>
    <d v="2017-06-20T00:00:00"/>
    <n v="351"/>
    <b v="0"/>
    <n v="942"/>
    <s v="Radeon Vega 8"/>
    <x v="6"/>
    <x v="0"/>
  </r>
  <r>
    <n v="996580"/>
    <s v="FINAL FANTASY IX"/>
    <d v="2019-09-03T00:00:00"/>
    <n v="351"/>
    <b v="0"/>
    <n v="942"/>
    <s v="GTX 1050 Ti"/>
    <x v="0"/>
    <x v="0"/>
  </r>
  <r>
    <n v="996580"/>
    <s v="FINAL FANTASY IX"/>
    <d v="2019-09-03T00:00:00"/>
    <n v="351"/>
    <b v="0"/>
    <n v="942"/>
    <s v="GTX 1050 Ti"/>
    <x v="1"/>
    <x v="1"/>
  </r>
  <r>
    <n v="996580"/>
    <s v="FINAL FANTASY IX"/>
    <d v="2019-09-03T00:00:00"/>
    <n v="351"/>
    <b v="0"/>
    <n v="942"/>
    <s v="GTX 1050 Ti"/>
    <x v="2"/>
    <x v="0"/>
  </r>
  <r>
    <n v="996580"/>
    <s v="FINAL FANTASY IX"/>
    <d v="2019-09-03T00:00:00"/>
    <n v="351"/>
    <b v="0"/>
    <n v="942"/>
    <s v="GTX 1050 Ti"/>
    <x v="3"/>
    <x v="1"/>
  </r>
  <r>
    <n v="996580"/>
    <s v="FINAL FANTASY IX"/>
    <d v="2019-09-03T00:00:00"/>
    <n v="351"/>
    <b v="0"/>
    <n v="942"/>
    <s v="GTX 1050 Ti"/>
    <x v="4"/>
    <x v="1"/>
  </r>
  <r>
    <n v="996580"/>
    <s v="FINAL FANTASY IX"/>
    <d v="2019-09-03T00:00:00"/>
    <n v="351"/>
    <b v="0"/>
    <n v="942"/>
    <s v="GTX 1050 Ti"/>
    <x v="5"/>
    <x v="1"/>
  </r>
  <r>
    <n v="996580"/>
    <s v="FINAL FANTASY IX"/>
    <d v="2019-09-03T00:00:00"/>
    <n v="351"/>
    <b v="0"/>
    <n v="942"/>
    <s v="GTX 1050 Ti"/>
    <x v="6"/>
    <x v="1"/>
  </r>
  <r>
    <n v="377840"/>
    <s v="Better Mart Simulator"/>
    <d v="2016-04-14T00:00:00"/>
    <n v="351"/>
    <b v="0"/>
    <n v="942"/>
    <s v="Radeon Vega 8"/>
    <x v="0"/>
    <x v="1"/>
  </r>
  <r>
    <n v="377840"/>
    <s v="Better Mart Simulator"/>
    <d v="2016-04-14T00:00:00"/>
    <n v="351"/>
    <b v="0"/>
    <n v="942"/>
    <s v="Radeon Vega 8"/>
    <x v="1"/>
    <x v="1"/>
  </r>
  <r>
    <n v="377840"/>
    <s v="Better Mart Simulator"/>
    <d v="2016-04-14T00:00:00"/>
    <n v="351"/>
    <b v="0"/>
    <n v="942"/>
    <s v="Radeon Vega 8"/>
    <x v="2"/>
    <x v="1"/>
  </r>
  <r>
    <n v="377840"/>
    <s v="Better Mart Simulator"/>
    <d v="2016-04-14T00:00:00"/>
    <n v="351"/>
    <b v="0"/>
    <n v="942"/>
    <s v="Radeon Vega 8"/>
    <x v="3"/>
    <x v="1"/>
  </r>
  <r>
    <n v="377840"/>
    <s v="Better Mart Simulator"/>
    <d v="2016-04-14T00:00:00"/>
    <n v="351"/>
    <b v="0"/>
    <n v="942"/>
    <s v="Radeon Vega 8"/>
    <x v="4"/>
    <x v="0"/>
  </r>
  <r>
    <n v="377840"/>
    <s v="Better Mart Simulator"/>
    <d v="2016-04-14T00:00:00"/>
    <n v="351"/>
    <b v="0"/>
    <n v="942"/>
    <s v="Radeon Vega 8"/>
    <x v="5"/>
    <x v="1"/>
  </r>
  <r>
    <n v="377840"/>
    <s v="Better Mart Simulator"/>
    <d v="2016-04-14T00:00:00"/>
    <n v="351"/>
    <b v="0"/>
    <n v="942"/>
    <s v="Radeon Vega 8"/>
    <x v="6"/>
    <x v="1"/>
  </r>
  <r>
    <n v="3498270"/>
    <s v="Ultimate Chicken Horse"/>
    <d v="2025-05-16T00:00:00"/>
    <n v="351"/>
    <b v="0"/>
    <n v="942"/>
    <s v="RTX 2060"/>
    <x v="0"/>
    <x v="1"/>
  </r>
  <r>
    <n v="3498270"/>
    <s v="Ultimate Chicken Horse"/>
    <d v="2025-05-16T00:00:00"/>
    <n v="351"/>
    <b v="0"/>
    <n v="942"/>
    <s v="RTX 2060"/>
    <x v="1"/>
    <x v="0"/>
  </r>
  <r>
    <n v="3498270"/>
    <s v="Ultimate Chicken Horse"/>
    <d v="2025-05-16T00:00:00"/>
    <n v="351"/>
    <b v="0"/>
    <n v="942"/>
    <s v="RTX 2060"/>
    <x v="2"/>
    <x v="1"/>
  </r>
  <r>
    <n v="3498270"/>
    <s v="Ultimate Chicken Horse"/>
    <d v="2025-05-16T00:00:00"/>
    <n v="351"/>
    <b v="0"/>
    <n v="942"/>
    <s v="RTX 2060"/>
    <x v="3"/>
    <x v="0"/>
  </r>
  <r>
    <n v="3498270"/>
    <s v="Ultimate Chicken Horse"/>
    <d v="2025-05-16T00:00:00"/>
    <n v="351"/>
    <b v="0"/>
    <n v="942"/>
    <s v="RTX 2060"/>
    <x v="4"/>
    <x v="1"/>
  </r>
  <r>
    <n v="3498270"/>
    <s v="Ultimate Chicken Horse"/>
    <d v="2025-05-16T00:00:00"/>
    <n v="351"/>
    <b v="0"/>
    <n v="942"/>
    <s v="RTX 2060"/>
    <x v="5"/>
    <x v="1"/>
  </r>
  <r>
    <n v="3498270"/>
    <s v="Ultimate Chicken Horse"/>
    <d v="2025-05-16T00:00:00"/>
    <n v="351"/>
    <b v="0"/>
    <n v="942"/>
    <s v="RTX 2060"/>
    <x v="6"/>
    <x v="1"/>
  </r>
  <r>
    <n v="386940"/>
    <s v="GROUND BRANCH"/>
    <d v="2016-03-04T00:00:00"/>
    <n v="350"/>
    <b v="1"/>
    <n v="946"/>
    <s v="Radeon Vega 8"/>
    <x v="0"/>
    <x v="0"/>
  </r>
  <r>
    <n v="386940"/>
    <s v="GROUND BRANCH"/>
    <d v="2016-03-04T00:00:00"/>
    <n v="350"/>
    <b v="1"/>
    <n v="946"/>
    <s v="Radeon Vega 8"/>
    <x v="1"/>
    <x v="0"/>
  </r>
  <r>
    <n v="386940"/>
    <s v="GROUND BRANCH"/>
    <d v="2016-03-04T00:00:00"/>
    <n v="350"/>
    <b v="1"/>
    <n v="946"/>
    <s v="Radeon Vega 8"/>
    <x v="2"/>
    <x v="1"/>
  </r>
  <r>
    <n v="386940"/>
    <s v="GROUND BRANCH"/>
    <d v="2016-03-04T00:00:00"/>
    <n v="350"/>
    <b v="1"/>
    <n v="946"/>
    <s v="Radeon Vega 8"/>
    <x v="3"/>
    <x v="1"/>
  </r>
  <r>
    <n v="386940"/>
    <s v="GROUND BRANCH"/>
    <d v="2016-03-04T00:00:00"/>
    <n v="350"/>
    <b v="1"/>
    <n v="946"/>
    <s v="Radeon Vega 8"/>
    <x v="4"/>
    <x v="1"/>
  </r>
  <r>
    <n v="386940"/>
    <s v="GROUND BRANCH"/>
    <d v="2016-03-04T00:00:00"/>
    <n v="350"/>
    <b v="1"/>
    <n v="946"/>
    <s v="Radeon Vega 8"/>
    <x v="5"/>
    <x v="1"/>
  </r>
  <r>
    <n v="386940"/>
    <s v="GROUND BRANCH"/>
    <d v="2016-03-04T00:00:00"/>
    <n v="350"/>
    <b v="1"/>
    <n v="946"/>
    <s v="Radeon Vega 8"/>
    <x v="6"/>
    <x v="1"/>
  </r>
  <r>
    <n v="16900"/>
    <s v="Fisher Online"/>
    <d v="2018-08-14T00:00:00"/>
    <n v="349"/>
    <b v="0"/>
    <n v="947"/>
    <s v="RTX 4070"/>
    <x v="0"/>
    <x v="0"/>
  </r>
  <r>
    <n v="16900"/>
    <s v="Fisher Online"/>
    <d v="2018-08-14T00:00:00"/>
    <n v="349"/>
    <b v="0"/>
    <n v="947"/>
    <s v="RTX 4070"/>
    <x v="1"/>
    <x v="0"/>
  </r>
  <r>
    <n v="16900"/>
    <s v="Fisher Online"/>
    <d v="2018-08-14T00:00:00"/>
    <n v="349"/>
    <b v="0"/>
    <n v="947"/>
    <s v="RTX 4070"/>
    <x v="2"/>
    <x v="1"/>
  </r>
  <r>
    <n v="16900"/>
    <s v="Fisher Online"/>
    <d v="2018-08-14T00:00:00"/>
    <n v="349"/>
    <b v="0"/>
    <n v="947"/>
    <s v="RTX 4070"/>
    <x v="3"/>
    <x v="0"/>
  </r>
  <r>
    <n v="16900"/>
    <s v="Fisher Online"/>
    <d v="2018-08-14T00:00:00"/>
    <n v="349"/>
    <b v="0"/>
    <n v="947"/>
    <s v="RTX 4070"/>
    <x v="4"/>
    <x v="1"/>
  </r>
  <r>
    <n v="16900"/>
    <s v="Fisher Online"/>
    <d v="2018-08-14T00:00:00"/>
    <n v="349"/>
    <b v="0"/>
    <n v="947"/>
    <s v="RTX 4070"/>
    <x v="5"/>
    <x v="1"/>
  </r>
  <r>
    <n v="16900"/>
    <s v="Fisher Online"/>
    <d v="2018-08-14T00:00:00"/>
    <n v="349"/>
    <b v="0"/>
    <n v="947"/>
    <s v="RTX 4070"/>
    <x v="6"/>
    <x v="1"/>
  </r>
  <r>
    <n v="1094780"/>
    <s v="Loop Hero"/>
    <d v="2019-10-27T00:00:00"/>
    <n v="349"/>
    <b v="0"/>
    <n v="947"/>
    <s v="RTX 3060"/>
    <x v="0"/>
    <x v="1"/>
  </r>
  <r>
    <n v="1094780"/>
    <s v="Loop Hero"/>
    <d v="2019-10-27T00:00:00"/>
    <n v="349"/>
    <b v="0"/>
    <n v="947"/>
    <s v="RTX 3060"/>
    <x v="1"/>
    <x v="1"/>
  </r>
  <r>
    <n v="1094780"/>
    <s v="Loop Hero"/>
    <d v="2019-10-27T00:00:00"/>
    <n v="349"/>
    <b v="0"/>
    <n v="947"/>
    <s v="RTX 3060"/>
    <x v="2"/>
    <x v="1"/>
  </r>
  <r>
    <n v="1094780"/>
    <s v="Loop Hero"/>
    <d v="2019-10-27T00:00:00"/>
    <n v="349"/>
    <b v="0"/>
    <n v="947"/>
    <s v="RTX 3060"/>
    <x v="3"/>
    <x v="0"/>
  </r>
  <r>
    <n v="1094780"/>
    <s v="Loop Hero"/>
    <d v="2019-10-27T00:00:00"/>
    <n v="349"/>
    <b v="0"/>
    <n v="947"/>
    <s v="RTX 3060"/>
    <x v="4"/>
    <x v="1"/>
  </r>
  <r>
    <n v="1094780"/>
    <s v="Loop Hero"/>
    <d v="2019-10-27T00:00:00"/>
    <n v="349"/>
    <b v="0"/>
    <n v="947"/>
    <s v="RTX 3060"/>
    <x v="5"/>
    <x v="1"/>
  </r>
  <r>
    <n v="1094780"/>
    <s v="Loop Hero"/>
    <d v="2019-10-27T00:00:00"/>
    <n v="349"/>
    <b v="0"/>
    <n v="947"/>
    <s v="RTX 3060"/>
    <x v="6"/>
    <x v="1"/>
  </r>
  <r>
    <n v="1282730"/>
    <s v="Stacklands"/>
    <d v="2021-03-04T00:00:00"/>
    <n v="348"/>
    <b v="1"/>
    <n v="949"/>
    <s v="Radeon Vega 8"/>
    <x v="0"/>
    <x v="1"/>
  </r>
  <r>
    <n v="1282730"/>
    <s v="Stacklands"/>
    <d v="2021-03-04T00:00:00"/>
    <n v="348"/>
    <b v="1"/>
    <n v="949"/>
    <s v="Radeon Vega 8"/>
    <x v="1"/>
    <x v="0"/>
  </r>
  <r>
    <n v="1282730"/>
    <s v="Stacklands"/>
    <d v="2021-03-04T00:00:00"/>
    <n v="348"/>
    <b v="1"/>
    <n v="949"/>
    <s v="Radeon Vega 8"/>
    <x v="2"/>
    <x v="1"/>
  </r>
  <r>
    <n v="1282730"/>
    <s v="Stacklands"/>
    <d v="2021-03-04T00:00:00"/>
    <n v="348"/>
    <b v="1"/>
    <n v="949"/>
    <s v="Radeon Vega 8"/>
    <x v="3"/>
    <x v="1"/>
  </r>
  <r>
    <n v="1282730"/>
    <s v="Stacklands"/>
    <d v="2021-03-04T00:00:00"/>
    <n v="348"/>
    <b v="1"/>
    <n v="949"/>
    <s v="Radeon Vega 8"/>
    <x v="4"/>
    <x v="0"/>
  </r>
  <r>
    <n v="1282730"/>
    <s v="Stacklands"/>
    <d v="2021-03-04T00:00:00"/>
    <n v="348"/>
    <b v="1"/>
    <n v="949"/>
    <s v="Radeon Vega 8"/>
    <x v="5"/>
    <x v="0"/>
  </r>
  <r>
    <n v="1282730"/>
    <s v="Stacklands"/>
    <d v="2021-03-04T00:00:00"/>
    <n v="348"/>
    <b v="1"/>
    <n v="949"/>
    <s v="Radeon Vega 8"/>
    <x v="6"/>
    <x v="1"/>
  </r>
  <r>
    <n v="1948280"/>
    <s v="Look Outside"/>
    <d v="2022-04-08T00:00:00"/>
    <n v="347"/>
    <b v="1"/>
    <n v="950"/>
    <s v="Radeon Vega 11"/>
    <x v="0"/>
    <x v="1"/>
  </r>
  <r>
    <n v="1948280"/>
    <s v="Look Outside"/>
    <d v="2022-04-08T00:00:00"/>
    <n v="347"/>
    <b v="1"/>
    <n v="950"/>
    <s v="Radeon Vega 11"/>
    <x v="1"/>
    <x v="0"/>
  </r>
  <r>
    <n v="1948280"/>
    <s v="Look Outside"/>
    <d v="2022-04-08T00:00:00"/>
    <n v="347"/>
    <b v="1"/>
    <n v="950"/>
    <s v="Radeon Vega 11"/>
    <x v="2"/>
    <x v="1"/>
  </r>
  <r>
    <n v="1948280"/>
    <s v="Look Outside"/>
    <d v="2022-04-08T00:00:00"/>
    <n v="347"/>
    <b v="1"/>
    <n v="950"/>
    <s v="Radeon Vega 11"/>
    <x v="3"/>
    <x v="0"/>
  </r>
  <r>
    <n v="1948280"/>
    <s v="Look Outside"/>
    <d v="2022-04-08T00:00:00"/>
    <n v="347"/>
    <b v="1"/>
    <n v="950"/>
    <s v="Radeon Vega 11"/>
    <x v="4"/>
    <x v="1"/>
  </r>
  <r>
    <n v="1948280"/>
    <s v="Look Outside"/>
    <d v="2022-04-08T00:00:00"/>
    <n v="347"/>
    <b v="1"/>
    <n v="950"/>
    <s v="Radeon Vega 11"/>
    <x v="5"/>
    <x v="1"/>
  </r>
  <r>
    <n v="1948280"/>
    <s v="Look Outside"/>
    <d v="2022-04-08T00:00:00"/>
    <n v="347"/>
    <b v="1"/>
    <n v="950"/>
    <s v="Radeon Vega 11"/>
    <x v="6"/>
    <x v="1"/>
  </r>
  <r>
    <n v="3373660"/>
    <s v="Command &amp; Conquer 3: Kane's Wrath"/>
    <d v="2025-03-21T00:00:00"/>
    <n v="346"/>
    <b v="0"/>
    <n v="951"/>
    <s v="Radeon Vega 11"/>
    <x v="0"/>
    <x v="1"/>
  </r>
  <r>
    <n v="3373660"/>
    <s v="Command &amp; Conquer 3: Kane's Wrath"/>
    <d v="2025-03-21T00:00:00"/>
    <n v="346"/>
    <b v="0"/>
    <n v="951"/>
    <s v="Radeon Vega 11"/>
    <x v="1"/>
    <x v="1"/>
  </r>
  <r>
    <n v="3373660"/>
    <s v="Command &amp; Conquer 3: Kane's Wrath"/>
    <d v="2025-03-21T00:00:00"/>
    <n v="346"/>
    <b v="0"/>
    <n v="951"/>
    <s v="Radeon Vega 11"/>
    <x v="2"/>
    <x v="0"/>
  </r>
  <r>
    <n v="3373660"/>
    <s v="Command &amp; Conquer 3: Kane's Wrath"/>
    <d v="2025-03-21T00:00:00"/>
    <n v="346"/>
    <b v="0"/>
    <n v="951"/>
    <s v="Radeon Vega 11"/>
    <x v="3"/>
    <x v="1"/>
  </r>
  <r>
    <n v="3373660"/>
    <s v="Command &amp; Conquer 3: Kane's Wrath"/>
    <d v="2025-03-21T00:00:00"/>
    <n v="346"/>
    <b v="0"/>
    <n v="951"/>
    <s v="Radeon Vega 11"/>
    <x v="4"/>
    <x v="0"/>
  </r>
  <r>
    <n v="3373660"/>
    <s v="Command &amp; Conquer 3: Kane's Wrath"/>
    <d v="2025-03-21T00:00:00"/>
    <n v="346"/>
    <b v="0"/>
    <n v="951"/>
    <s v="Radeon Vega 11"/>
    <x v="5"/>
    <x v="1"/>
  </r>
  <r>
    <n v="3373660"/>
    <s v="Command &amp; Conquer 3: Kane's Wrath"/>
    <d v="2025-03-21T00:00:00"/>
    <n v="346"/>
    <b v="0"/>
    <n v="951"/>
    <s v="Radeon Vega 11"/>
    <x v="6"/>
    <x v="1"/>
  </r>
  <r>
    <n v="24810"/>
    <s v="Easy Red 2"/>
    <d v="2009-11-13T00:00:00"/>
    <n v="346"/>
    <b v="0"/>
    <n v="951"/>
    <s v="Radeon Graphics"/>
    <x v="0"/>
    <x v="0"/>
  </r>
  <r>
    <n v="24810"/>
    <s v="Easy Red 2"/>
    <d v="2009-11-13T00:00:00"/>
    <n v="346"/>
    <b v="0"/>
    <n v="951"/>
    <s v="Radeon Graphics"/>
    <x v="1"/>
    <x v="1"/>
  </r>
  <r>
    <n v="24810"/>
    <s v="Easy Red 2"/>
    <d v="2009-11-13T00:00:00"/>
    <n v="346"/>
    <b v="0"/>
    <n v="951"/>
    <s v="Radeon Graphics"/>
    <x v="2"/>
    <x v="1"/>
  </r>
  <r>
    <n v="24810"/>
    <s v="Easy Red 2"/>
    <d v="2009-11-13T00:00:00"/>
    <n v="346"/>
    <b v="0"/>
    <n v="951"/>
    <s v="Radeon Graphics"/>
    <x v="3"/>
    <x v="1"/>
  </r>
  <r>
    <n v="24810"/>
    <s v="Easy Red 2"/>
    <d v="2009-11-13T00:00:00"/>
    <n v="346"/>
    <b v="0"/>
    <n v="951"/>
    <s v="Radeon Graphics"/>
    <x v="4"/>
    <x v="1"/>
  </r>
  <r>
    <n v="24810"/>
    <s v="Easy Red 2"/>
    <d v="2009-11-13T00:00:00"/>
    <n v="346"/>
    <b v="0"/>
    <n v="951"/>
    <s v="Radeon Graphics"/>
    <x v="5"/>
    <x v="0"/>
  </r>
  <r>
    <n v="24810"/>
    <s v="Easy Red 2"/>
    <d v="2009-11-13T00:00:00"/>
    <n v="346"/>
    <b v="0"/>
    <n v="951"/>
    <s v="Radeon Graphics"/>
    <x v="6"/>
    <x v="1"/>
  </r>
  <r>
    <n v="1324780"/>
    <s v="DOOM + DOOM II"/>
    <d v="2022-01-06T00:00:00"/>
    <n v="346"/>
    <b v="1"/>
    <n v="951"/>
    <s v="GTX 1070 Ti"/>
    <x v="0"/>
    <x v="0"/>
  </r>
  <r>
    <n v="1324780"/>
    <s v="DOOM + DOOM II"/>
    <d v="2022-01-06T00:00:00"/>
    <n v="346"/>
    <b v="1"/>
    <n v="951"/>
    <s v="GTX 1070 Ti"/>
    <x v="1"/>
    <x v="0"/>
  </r>
  <r>
    <n v="1324780"/>
    <s v="DOOM + DOOM II"/>
    <d v="2022-01-06T00:00:00"/>
    <n v="346"/>
    <b v="1"/>
    <n v="951"/>
    <s v="GTX 1070 Ti"/>
    <x v="2"/>
    <x v="1"/>
  </r>
  <r>
    <n v="1324780"/>
    <s v="DOOM + DOOM II"/>
    <d v="2022-01-06T00:00:00"/>
    <n v="346"/>
    <b v="1"/>
    <n v="951"/>
    <s v="GTX 1070 Ti"/>
    <x v="3"/>
    <x v="0"/>
  </r>
  <r>
    <n v="1324780"/>
    <s v="DOOM + DOOM II"/>
    <d v="2022-01-06T00:00:00"/>
    <n v="346"/>
    <b v="1"/>
    <n v="951"/>
    <s v="GTX 1070 Ti"/>
    <x v="4"/>
    <x v="1"/>
  </r>
  <r>
    <n v="1324780"/>
    <s v="DOOM + DOOM II"/>
    <d v="2022-01-06T00:00:00"/>
    <n v="346"/>
    <b v="1"/>
    <n v="951"/>
    <s v="GTX 1070 Ti"/>
    <x v="5"/>
    <x v="0"/>
  </r>
  <r>
    <n v="1324780"/>
    <s v="DOOM + DOOM II"/>
    <d v="2022-01-06T00:00:00"/>
    <n v="346"/>
    <b v="1"/>
    <n v="951"/>
    <s v="GTX 1070 Ti"/>
    <x v="6"/>
    <x v="1"/>
  </r>
  <r>
    <n v="2280"/>
    <s v="Hotel Architect"/>
    <d v="2007-08-03T00:00:00"/>
    <n v="345"/>
    <b v="0"/>
    <n v="954"/>
    <s v="Radeon Graphics"/>
    <x v="0"/>
    <x v="0"/>
  </r>
  <r>
    <n v="2280"/>
    <s v="Hotel Architect"/>
    <d v="2007-08-03T00:00:00"/>
    <n v="345"/>
    <b v="0"/>
    <n v="954"/>
    <s v="Radeon Graphics"/>
    <x v="1"/>
    <x v="1"/>
  </r>
  <r>
    <n v="2280"/>
    <s v="Hotel Architect"/>
    <d v="2007-08-03T00:00:00"/>
    <n v="345"/>
    <b v="0"/>
    <n v="954"/>
    <s v="Radeon Graphics"/>
    <x v="2"/>
    <x v="1"/>
  </r>
  <r>
    <n v="2280"/>
    <s v="Hotel Architect"/>
    <d v="2007-08-03T00:00:00"/>
    <n v="345"/>
    <b v="0"/>
    <n v="954"/>
    <s v="Radeon Graphics"/>
    <x v="3"/>
    <x v="1"/>
  </r>
  <r>
    <n v="2280"/>
    <s v="Hotel Architect"/>
    <d v="2007-08-03T00:00:00"/>
    <n v="345"/>
    <b v="0"/>
    <n v="954"/>
    <s v="Radeon Graphics"/>
    <x v="4"/>
    <x v="1"/>
  </r>
  <r>
    <n v="2280"/>
    <s v="Hotel Architect"/>
    <d v="2007-08-03T00:00:00"/>
    <n v="345"/>
    <b v="0"/>
    <n v="954"/>
    <s v="Radeon Graphics"/>
    <x v="5"/>
    <x v="1"/>
  </r>
  <r>
    <n v="2280"/>
    <s v="Hotel Architect"/>
    <d v="2007-08-03T00:00:00"/>
    <n v="345"/>
    <b v="0"/>
    <n v="954"/>
    <s v="Radeon Graphics"/>
    <x v="6"/>
    <x v="1"/>
  </r>
  <r>
    <n v="1602000"/>
    <s v="The Killing Antidote"/>
    <d v="2025-05-20T00:00:00"/>
    <n v="344"/>
    <b v="0"/>
    <n v="955"/>
    <s v="RTX 2070"/>
    <x v="0"/>
    <x v="1"/>
  </r>
  <r>
    <n v="1602000"/>
    <s v="The Killing Antidote"/>
    <d v="2025-05-20T00:00:00"/>
    <n v="344"/>
    <b v="0"/>
    <n v="955"/>
    <s v="RTX 2070"/>
    <x v="1"/>
    <x v="0"/>
  </r>
  <r>
    <n v="1602000"/>
    <s v="The Killing Antidote"/>
    <d v="2025-05-20T00:00:00"/>
    <n v="344"/>
    <b v="0"/>
    <n v="955"/>
    <s v="RTX 2070"/>
    <x v="2"/>
    <x v="1"/>
  </r>
  <r>
    <n v="1602000"/>
    <s v="The Killing Antidote"/>
    <d v="2025-05-20T00:00:00"/>
    <n v="344"/>
    <b v="0"/>
    <n v="955"/>
    <s v="RTX 2070"/>
    <x v="3"/>
    <x v="0"/>
  </r>
  <r>
    <n v="1602000"/>
    <s v="The Killing Antidote"/>
    <d v="2025-05-20T00:00:00"/>
    <n v="344"/>
    <b v="0"/>
    <n v="955"/>
    <s v="RTX 2070"/>
    <x v="4"/>
    <x v="1"/>
  </r>
  <r>
    <n v="1602000"/>
    <s v="The Killing Antidote"/>
    <d v="2025-05-20T00:00:00"/>
    <n v="344"/>
    <b v="0"/>
    <n v="955"/>
    <s v="RTX 2070"/>
    <x v="5"/>
    <x v="0"/>
  </r>
  <r>
    <n v="1602000"/>
    <s v="The Killing Antidote"/>
    <d v="2025-05-20T00:00:00"/>
    <n v="344"/>
    <b v="0"/>
    <n v="955"/>
    <s v="RTX 2070"/>
    <x v="6"/>
    <x v="1"/>
  </r>
  <r>
    <n v="2254890"/>
    <s v="ACE COMBAT 7: SKIES UNKNOWN"/>
    <d v="2024-10-05T00:00:00"/>
    <n v="343"/>
    <b v="0"/>
    <n v="956"/>
    <s v="RTX 2070"/>
    <x v="0"/>
    <x v="0"/>
  </r>
  <r>
    <n v="2254890"/>
    <s v="ACE COMBAT 7: SKIES UNKNOWN"/>
    <d v="2024-10-05T00:00:00"/>
    <n v="343"/>
    <b v="0"/>
    <n v="956"/>
    <s v="RTX 2070"/>
    <x v="1"/>
    <x v="0"/>
  </r>
  <r>
    <n v="2254890"/>
    <s v="ACE COMBAT 7: SKIES UNKNOWN"/>
    <d v="2024-10-05T00:00:00"/>
    <n v="343"/>
    <b v="0"/>
    <n v="956"/>
    <s v="RTX 2070"/>
    <x v="2"/>
    <x v="0"/>
  </r>
  <r>
    <n v="2254890"/>
    <s v="ACE COMBAT 7: SKIES UNKNOWN"/>
    <d v="2024-10-05T00:00:00"/>
    <n v="343"/>
    <b v="0"/>
    <n v="956"/>
    <s v="RTX 2070"/>
    <x v="3"/>
    <x v="1"/>
  </r>
  <r>
    <n v="2254890"/>
    <s v="ACE COMBAT 7: SKIES UNKNOWN"/>
    <d v="2024-10-05T00:00:00"/>
    <n v="343"/>
    <b v="0"/>
    <n v="956"/>
    <s v="RTX 2070"/>
    <x v="4"/>
    <x v="0"/>
  </r>
  <r>
    <n v="2254890"/>
    <s v="ACE COMBAT 7: SKIES UNKNOWN"/>
    <d v="2024-10-05T00:00:00"/>
    <n v="343"/>
    <b v="0"/>
    <n v="956"/>
    <s v="RTX 2070"/>
    <x v="5"/>
    <x v="1"/>
  </r>
  <r>
    <n v="2254890"/>
    <s v="ACE COMBAT 7: SKIES UNKNOWN"/>
    <d v="2024-10-05T00:00:00"/>
    <n v="343"/>
    <b v="0"/>
    <n v="956"/>
    <s v="RTX 2070"/>
    <x v="6"/>
    <x v="1"/>
  </r>
  <r>
    <n v="502500"/>
    <s v="Ages of Conflict: World War Simulator"/>
    <d v="2019-01-31T00:00:00"/>
    <n v="340"/>
    <b v="0"/>
    <n v="957"/>
    <s v="GTX 1060"/>
    <x v="0"/>
    <x v="0"/>
  </r>
  <r>
    <n v="502500"/>
    <s v="Ages of Conflict: World War Simulator"/>
    <d v="2019-01-31T00:00:00"/>
    <n v="340"/>
    <b v="0"/>
    <n v="957"/>
    <s v="GTX 1060"/>
    <x v="1"/>
    <x v="1"/>
  </r>
  <r>
    <n v="502500"/>
    <s v="Ages of Conflict: World War Simulator"/>
    <d v="2019-01-31T00:00:00"/>
    <n v="340"/>
    <b v="0"/>
    <n v="957"/>
    <s v="GTX 1060"/>
    <x v="2"/>
    <x v="1"/>
  </r>
  <r>
    <n v="502500"/>
    <s v="Ages of Conflict: World War Simulator"/>
    <d v="2019-01-31T00:00:00"/>
    <n v="340"/>
    <b v="0"/>
    <n v="957"/>
    <s v="GTX 1060"/>
    <x v="3"/>
    <x v="0"/>
  </r>
  <r>
    <n v="502500"/>
    <s v="Ages of Conflict: World War Simulator"/>
    <d v="2019-01-31T00:00:00"/>
    <n v="340"/>
    <b v="0"/>
    <n v="957"/>
    <s v="GTX 1060"/>
    <x v="4"/>
    <x v="1"/>
  </r>
  <r>
    <n v="502500"/>
    <s v="Ages of Conflict: World War Simulator"/>
    <d v="2019-01-31T00:00:00"/>
    <n v="340"/>
    <b v="0"/>
    <n v="957"/>
    <s v="GTX 1060"/>
    <x v="5"/>
    <x v="1"/>
  </r>
  <r>
    <n v="502500"/>
    <s v="Ages of Conflict: World War Simulator"/>
    <d v="2019-01-31T00:00:00"/>
    <n v="340"/>
    <b v="0"/>
    <n v="957"/>
    <s v="GTX 1060"/>
    <x v="6"/>
    <x v="1"/>
  </r>
  <r>
    <n v="2186320"/>
    <s v="FINAL FANTASY XV WINDOWS EDITION"/>
    <d v="2023-02-17T00:00:00"/>
    <n v="340"/>
    <b v="1"/>
    <n v="957"/>
    <s v="GTX 1080 Ti"/>
    <x v="0"/>
    <x v="1"/>
  </r>
  <r>
    <n v="2186320"/>
    <s v="FINAL FANTASY XV WINDOWS EDITION"/>
    <d v="2023-02-17T00:00:00"/>
    <n v="340"/>
    <b v="1"/>
    <n v="957"/>
    <s v="GTX 1080 Ti"/>
    <x v="1"/>
    <x v="0"/>
  </r>
  <r>
    <n v="2186320"/>
    <s v="FINAL FANTASY XV WINDOWS EDITION"/>
    <d v="2023-02-17T00:00:00"/>
    <n v="340"/>
    <b v="1"/>
    <n v="957"/>
    <s v="GTX 1080 Ti"/>
    <x v="2"/>
    <x v="1"/>
  </r>
  <r>
    <n v="2186320"/>
    <s v="FINAL FANTASY XV WINDOWS EDITION"/>
    <d v="2023-02-17T00:00:00"/>
    <n v="340"/>
    <b v="1"/>
    <n v="957"/>
    <s v="GTX 1080 Ti"/>
    <x v="3"/>
    <x v="0"/>
  </r>
  <r>
    <n v="2186320"/>
    <s v="FINAL FANTASY XV WINDOWS EDITION"/>
    <d v="2023-02-17T00:00:00"/>
    <n v="340"/>
    <b v="1"/>
    <n v="957"/>
    <s v="GTX 1080 Ti"/>
    <x v="4"/>
    <x v="1"/>
  </r>
  <r>
    <n v="2186320"/>
    <s v="FINAL FANTASY XV WINDOWS EDITION"/>
    <d v="2023-02-17T00:00:00"/>
    <n v="340"/>
    <b v="1"/>
    <n v="957"/>
    <s v="GTX 1080 Ti"/>
    <x v="5"/>
    <x v="1"/>
  </r>
  <r>
    <n v="2186320"/>
    <s v="FINAL FANTASY XV WINDOWS EDITION"/>
    <d v="2023-02-17T00:00:00"/>
    <n v="340"/>
    <b v="1"/>
    <n v="957"/>
    <s v="GTX 1080 Ti"/>
    <x v="6"/>
    <x v="1"/>
  </r>
  <r>
    <n v="637650"/>
    <s v="Smalland: Survive the Wilds"/>
    <d v="2018-03-06T00:00:00"/>
    <n v="339"/>
    <b v="0"/>
    <n v="959"/>
    <s v="GTX 1060"/>
    <x v="0"/>
    <x v="1"/>
  </r>
  <r>
    <n v="637650"/>
    <s v="Smalland: Survive the Wilds"/>
    <d v="2018-03-06T00:00:00"/>
    <n v="339"/>
    <b v="0"/>
    <n v="959"/>
    <s v="GTX 1060"/>
    <x v="1"/>
    <x v="1"/>
  </r>
  <r>
    <n v="637650"/>
    <s v="Smalland: Survive the Wilds"/>
    <d v="2018-03-06T00:00:00"/>
    <n v="339"/>
    <b v="0"/>
    <n v="959"/>
    <s v="GTX 1060"/>
    <x v="2"/>
    <x v="1"/>
  </r>
  <r>
    <n v="637650"/>
    <s v="Smalland: Survive the Wilds"/>
    <d v="2018-03-06T00:00:00"/>
    <n v="339"/>
    <b v="0"/>
    <n v="959"/>
    <s v="GTX 1060"/>
    <x v="3"/>
    <x v="1"/>
  </r>
  <r>
    <n v="637650"/>
    <s v="Smalland: Survive the Wilds"/>
    <d v="2018-03-06T00:00:00"/>
    <n v="339"/>
    <b v="0"/>
    <n v="959"/>
    <s v="GTX 1060"/>
    <x v="4"/>
    <x v="0"/>
  </r>
  <r>
    <n v="637650"/>
    <s v="Smalland: Survive the Wilds"/>
    <d v="2018-03-06T00:00:00"/>
    <n v="339"/>
    <b v="0"/>
    <n v="959"/>
    <s v="GTX 1060"/>
    <x v="5"/>
    <x v="1"/>
  </r>
  <r>
    <n v="637650"/>
    <s v="Smalland: Survive the Wilds"/>
    <d v="2018-03-06T00:00:00"/>
    <n v="339"/>
    <b v="0"/>
    <n v="959"/>
    <s v="GTX 1060"/>
    <x v="6"/>
    <x v="1"/>
  </r>
  <r>
    <n v="768200"/>
    <s v="The Texas Chain Saw Massacre"/>
    <d v="2024-02-15T00:00:00"/>
    <n v="338"/>
    <b v="0"/>
    <n v="960"/>
    <s v="RTX 2070"/>
    <x v="0"/>
    <x v="0"/>
  </r>
  <r>
    <n v="768200"/>
    <s v="The Texas Chain Saw Massacre"/>
    <d v="2024-02-15T00:00:00"/>
    <n v="338"/>
    <b v="0"/>
    <n v="960"/>
    <s v="RTX 2070"/>
    <x v="1"/>
    <x v="0"/>
  </r>
  <r>
    <n v="768200"/>
    <s v="The Texas Chain Saw Massacre"/>
    <d v="2024-02-15T00:00:00"/>
    <n v="338"/>
    <b v="0"/>
    <n v="960"/>
    <s v="RTX 2070"/>
    <x v="2"/>
    <x v="0"/>
  </r>
  <r>
    <n v="768200"/>
    <s v="The Texas Chain Saw Massacre"/>
    <d v="2024-02-15T00:00:00"/>
    <n v="338"/>
    <b v="0"/>
    <n v="960"/>
    <s v="RTX 2070"/>
    <x v="3"/>
    <x v="1"/>
  </r>
  <r>
    <n v="768200"/>
    <s v="The Texas Chain Saw Massacre"/>
    <d v="2024-02-15T00:00:00"/>
    <n v="338"/>
    <b v="0"/>
    <n v="960"/>
    <s v="RTX 2070"/>
    <x v="4"/>
    <x v="0"/>
  </r>
  <r>
    <n v="768200"/>
    <s v="The Texas Chain Saw Massacre"/>
    <d v="2024-02-15T00:00:00"/>
    <n v="338"/>
    <b v="0"/>
    <n v="960"/>
    <s v="RTX 2070"/>
    <x v="5"/>
    <x v="1"/>
  </r>
  <r>
    <n v="768200"/>
    <s v="The Texas Chain Saw Massacre"/>
    <d v="2024-02-15T00:00:00"/>
    <n v="338"/>
    <b v="0"/>
    <n v="960"/>
    <s v="RTX 2070"/>
    <x v="6"/>
    <x v="1"/>
  </r>
  <r>
    <n v="1433140"/>
    <s v="LEGO Star Wars - The Complete Saga"/>
    <d v="2023-08-18T00:00:00"/>
    <n v="336"/>
    <b v="0"/>
    <n v="961"/>
    <s v="RTX 3070"/>
    <x v="0"/>
    <x v="0"/>
  </r>
  <r>
    <n v="1433140"/>
    <s v="LEGO Star Wars - The Complete Saga"/>
    <d v="2023-08-18T00:00:00"/>
    <n v="336"/>
    <b v="0"/>
    <n v="961"/>
    <s v="RTX 3070"/>
    <x v="1"/>
    <x v="0"/>
  </r>
  <r>
    <n v="1433140"/>
    <s v="LEGO Star Wars - The Complete Saga"/>
    <d v="2023-08-18T00:00:00"/>
    <n v="336"/>
    <b v="0"/>
    <n v="961"/>
    <s v="RTX 3070"/>
    <x v="2"/>
    <x v="1"/>
  </r>
  <r>
    <n v="1433140"/>
    <s v="LEGO Star Wars - The Complete Saga"/>
    <d v="2023-08-18T00:00:00"/>
    <n v="336"/>
    <b v="0"/>
    <n v="961"/>
    <s v="RTX 3070"/>
    <x v="3"/>
    <x v="1"/>
  </r>
  <r>
    <n v="1433140"/>
    <s v="LEGO Star Wars - The Complete Saga"/>
    <d v="2023-08-18T00:00:00"/>
    <n v="336"/>
    <b v="0"/>
    <n v="961"/>
    <s v="RTX 3070"/>
    <x v="4"/>
    <x v="1"/>
  </r>
  <r>
    <n v="1433140"/>
    <s v="LEGO Star Wars - The Complete Saga"/>
    <d v="2023-08-18T00:00:00"/>
    <n v="336"/>
    <b v="0"/>
    <n v="961"/>
    <s v="RTX 3070"/>
    <x v="5"/>
    <x v="1"/>
  </r>
  <r>
    <n v="1433140"/>
    <s v="LEGO Star Wars - The Complete Saga"/>
    <d v="2023-08-18T00:00:00"/>
    <n v="336"/>
    <b v="0"/>
    <n v="961"/>
    <s v="RTX 3070"/>
    <x v="6"/>
    <x v="1"/>
  </r>
  <r>
    <n v="32440"/>
    <s v="Roots of Pacha"/>
    <d v="2009-11-12T00:00:00"/>
    <n v="334"/>
    <b v="0"/>
    <n v="962"/>
    <s v="Radeon Graphics"/>
    <x v="0"/>
    <x v="1"/>
  </r>
  <r>
    <n v="32440"/>
    <s v="Roots of Pacha"/>
    <d v="2009-11-12T00:00:00"/>
    <n v="334"/>
    <b v="0"/>
    <n v="962"/>
    <s v="Radeon Graphics"/>
    <x v="1"/>
    <x v="1"/>
  </r>
  <r>
    <n v="32440"/>
    <s v="Roots of Pacha"/>
    <d v="2009-11-12T00:00:00"/>
    <n v="334"/>
    <b v="0"/>
    <n v="962"/>
    <s v="Radeon Graphics"/>
    <x v="2"/>
    <x v="0"/>
  </r>
  <r>
    <n v="32440"/>
    <s v="Roots of Pacha"/>
    <d v="2009-11-12T00:00:00"/>
    <n v="334"/>
    <b v="0"/>
    <n v="962"/>
    <s v="Radeon Graphics"/>
    <x v="3"/>
    <x v="1"/>
  </r>
  <r>
    <n v="32440"/>
    <s v="Roots of Pacha"/>
    <d v="2009-11-12T00:00:00"/>
    <n v="334"/>
    <b v="0"/>
    <n v="962"/>
    <s v="Radeon Graphics"/>
    <x v="4"/>
    <x v="1"/>
  </r>
  <r>
    <n v="32440"/>
    <s v="Roots of Pacha"/>
    <d v="2009-11-12T00:00:00"/>
    <n v="334"/>
    <b v="0"/>
    <n v="962"/>
    <s v="Radeon Graphics"/>
    <x v="5"/>
    <x v="1"/>
  </r>
  <r>
    <n v="32440"/>
    <s v="Roots of Pacha"/>
    <d v="2009-11-12T00:00:00"/>
    <n v="334"/>
    <b v="0"/>
    <n v="962"/>
    <s v="Radeon Graphics"/>
    <x v="6"/>
    <x v="1"/>
  </r>
  <r>
    <n v="1245560"/>
    <s v="Supremacy: 1914"/>
    <d v="2023-04-25T00:00:00"/>
    <n v="334"/>
    <b v="1"/>
    <n v="962"/>
    <s v="Radeon Vega 11"/>
    <x v="0"/>
    <x v="1"/>
  </r>
  <r>
    <n v="1245560"/>
    <s v="Supremacy: 1914"/>
    <d v="2023-04-25T00:00:00"/>
    <n v="334"/>
    <b v="1"/>
    <n v="962"/>
    <s v="Radeon Vega 11"/>
    <x v="1"/>
    <x v="0"/>
  </r>
  <r>
    <n v="1245560"/>
    <s v="Supremacy: 1914"/>
    <d v="2023-04-25T00:00:00"/>
    <n v="334"/>
    <b v="1"/>
    <n v="962"/>
    <s v="Radeon Vega 11"/>
    <x v="2"/>
    <x v="1"/>
  </r>
  <r>
    <n v="1245560"/>
    <s v="Supremacy: 1914"/>
    <d v="2023-04-25T00:00:00"/>
    <n v="334"/>
    <b v="1"/>
    <n v="962"/>
    <s v="Radeon Vega 11"/>
    <x v="3"/>
    <x v="0"/>
  </r>
  <r>
    <n v="1245560"/>
    <s v="Supremacy: 1914"/>
    <d v="2023-04-25T00:00:00"/>
    <n v="334"/>
    <b v="1"/>
    <n v="962"/>
    <s v="Radeon Vega 11"/>
    <x v="4"/>
    <x v="0"/>
  </r>
  <r>
    <n v="1245560"/>
    <s v="Supremacy: 1914"/>
    <d v="2023-04-25T00:00:00"/>
    <n v="334"/>
    <b v="1"/>
    <n v="962"/>
    <s v="Radeon Vega 11"/>
    <x v="5"/>
    <x v="1"/>
  </r>
  <r>
    <n v="1245560"/>
    <s v="Supremacy: 1914"/>
    <d v="2023-04-25T00:00:00"/>
    <n v="334"/>
    <b v="1"/>
    <n v="962"/>
    <s v="Radeon Vega 11"/>
    <x v="6"/>
    <x v="1"/>
  </r>
  <r>
    <n v="979920"/>
    <s v="EVERSPACE 2"/>
    <d v="2019-07-16T00:00:00"/>
    <n v="334"/>
    <b v="1"/>
    <n v="962"/>
    <s v="RTX 2070"/>
    <x v="0"/>
    <x v="1"/>
  </r>
  <r>
    <n v="979920"/>
    <s v="EVERSPACE 2"/>
    <d v="2019-07-16T00:00:00"/>
    <n v="334"/>
    <b v="1"/>
    <n v="962"/>
    <s v="RTX 2070"/>
    <x v="1"/>
    <x v="1"/>
  </r>
  <r>
    <n v="979920"/>
    <s v="EVERSPACE 2"/>
    <d v="2019-07-16T00:00:00"/>
    <n v="334"/>
    <b v="1"/>
    <n v="962"/>
    <s v="RTX 2070"/>
    <x v="2"/>
    <x v="1"/>
  </r>
  <r>
    <n v="979920"/>
    <s v="EVERSPACE 2"/>
    <d v="2019-07-16T00:00:00"/>
    <n v="334"/>
    <b v="1"/>
    <n v="962"/>
    <s v="RTX 2070"/>
    <x v="3"/>
    <x v="0"/>
  </r>
  <r>
    <n v="979920"/>
    <s v="EVERSPACE 2"/>
    <d v="2019-07-16T00:00:00"/>
    <n v="334"/>
    <b v="1"/>
    <n v="962"/>
    <s v="RTX 2070"/>
    <x v="4"/>
    <x v="1"/>
  </r>
  <r>
    <n v="979920"/>
    <s v="EVERSPACE 2"/>
    <d v="2019-07-16T00:00:00"/>
    <n v="334"/>
    <b v="1"/>
    <n v="962"/>
    <s v="RTX 2070"/>
    <x v="5"/>
    <x v="0"/>
  </r>
  <r>
    <n v="979920"/>
    <s v="EVERSPACE 2"/>
    <d v="2019-07-16T00:00:00"/>
    <n v="334"/>
    <b v="1"/>
    <n v="962"/>
    <s v="RTX 2070"/>
    <x v="6"/>
    <x v="0"/>
  </r>
  <r>
    <n v="1128920"/>
    <s v="SimCity 4 Deluxe Edition"/>
    <d v="2023-04-06T00:00:00"/>
    <n v="331"/>
    <b v="1"/>
    <n v="965"/>
    <s v="RTX 2070"/>
    <x v="0"/>
    <x v="0"/>
  </r>
  <r>
    <n v="1128920"/>
    <s v="SimCity 4 Deluxe Edition"/>
    <d v="2023-04-06T00:00:00"/>
    <n v="331"/>
    <b v="1"/>
    <n v="965"/>
    <s v="RTX 2070"/>
    <x v="1"/>
    <x v="1"/>
  </r>
  <r>
    <n v="1128920"/>
    <s v="SimCity 4 Deluxe Edition"/>
    <d v="2023-04-06T00:00:00"/>
    <n v="331"/>
    <b v="1"/>
    <n v="965"/>
    <s v="RTX 2070"/>
    <x v="2"/>
    <x v="0"/>
  </r>
  <r>
    <n v="1128920"/>
    <s v="SimCity 4 Deluxe Edition"/>
    <d v="2023-04-06T00:00:00"/>
    <n v="331"/>
    <b v="1"/>
    <n v="965"/>
    <s v="RTX 2070"/>
    <x v="3"/>
    <x v="0"/>
  </r>
  <r>
    <n v="1128920"/>
    <s v="SimCity 4 Deluxe Edition"/>
    <d v="2023-04-06T00:00:00"/>
    <n v="331"/>
    <b v="1"/>
    <n v="965"/>
    <s v="RTX 2070"/>
    <x v="4"/>
    <x v="0"/>
  </r>
  <r>
    <n v="1128920"/>
    <s v="SimCity 4 Deluxe Edition"/>
    <d v="2023-04-06T00:00:00"/>
    <n v="331"/>
    <b v="1"/>
    <n v="965"/>
    <s v="RTX 2070"/>
    <x v="5"/>
    <x v="1"/>
  </r>
  <r>
    <n v="1128920"/>
    <s v="SimCity 4 Deluxe Edition"/>
    <d v="2023-04-06T00:00:00"/>
    <n v="331"/>
    <b v="1"/>
    <n v="965"/>
    <s v="RTX 2070"/>
    <x v="6"/>
    <x v="1"/>
  </r>
  <r>
    <n v="24780"/>
    <s v="Grand Theft Auto: San Andreas ' The Definitive Edition"/>
    <d v="2010-07-20T00:00:00"/>
    <n v="331"/>
    <b v="1"/>
    <n v="965"/>
    <s v="GTX 970"/>
    <x v="0"/>
    <x v="1"/>
  </r>
  <r>
    <n v="24780"/>
    <s v="Grand Theft Auto: San Andreas ' The Definitive Edition"/>
    <d v="2010-07-20T00:00:00"/>
    <n v="331"/>
    <b v="1"/>
    <n v="965"/>
    <s v="GTX 970"/>
    <x v="1"/>
    <x v="1"/>
  </r>
  <r>
    <n v="24780"/>
    <s v="Grand Theft Auto: San Andreas ' The Definitive Edition"/>
    <d v="2010-07-20T00:00:00"/>
    <n v="331"/>
    <b v="1"/>
    <n v="965"/>
    <s v="GTX 970"/>
    <x v="2"/>
    <x v="1"/>
  </r>
  <r>
    <n v="24780"/>
    <s v="Grand Theft Auto: San Andreas ' The Definitive Edition"/>
    <d v="2010-07-20T00:00:00"/>
    <n v="331"/>
    <b v="1"/>
    <n v="965"/>
    <s v="GTX 970"/>
    <x v="3"/>
    <x v="0"/>
  </r>
  <r>
    <n v="24780"/>
    <s v="Grand Theft Auto: San Andreas ' The Definitive Edition"/>
    <d v="2010-07-20T00:00:00"/>
    <n v="331"/>
    <b v="1"/>
    <n v="965"/>
    <s v="GTX 970"/>
    <x v="4"/>
    <x v="1"/>
  </r>
  <r>
    <n v="24780"/>
    <s v="Grand Theft Auto: San Andreas ' The Definitive Edition"/>
    <d v="2010-07-20T00:00:00"/>
    <n v="331"/>
    <b v="1"/>
    <n v="965"/>
    <s v="GTX 970"/>
    <x v="5"/>
    <x v="0"/>
  </r>
  <r>
    <n v="24780"/>
    <s v="Grand Theft Auto: San Andreas ' The Definitive Edition"/>
    <d v="2010-07-20T00:00:00"/>
    <n v="331"/>
    <b v="1"/>
    <n v="965"/>
    <s v="GTX 970"/>
    <x v="6"/>
    <x v="1"/>
  </r>
  <r>
    <n v="1547000"/>
    <s v="Galactic Civilizations IV"/>
    <d v="2023-01-19T00:00:00"/>
    <n v="330"/>
    <b v="0"/>
    <n v="967"/>
    <s v="GTX 970"/>
    <x v="0"/>
    <x v="0"/>
  </r>
  <r>
    <n v="1547000"/>
    <s v="Galactic Civilizations IV"/>
    <d v="2023-01-19T00:00:00"/>
    <n v="330"/>
    <b v="0"/>
    <n v="967"/>
    <s v="GTX 970"/>
    <x v="1"/>
    <x v="1"/>
  </r>
  <r>
    <n v="1547000"/>
    <s v="Galactic Civilizations IV"/>
    <d v="2023-01-19T00:00:00"/>
    <n v="330"/>
    <b v="0"/>
    <n v="967"/>
    <s v="GTX 970"/>
    <x v="2"/>
    <x v="0"/>
  </r>
  <r>
    <n v="1547000"/>
    <s v="Galactic Civilizations IV"/>
    <d v="2023-01-19T00:00:00"/>
    <n v="330"/>
    <b v="0"/>
    <n v="967"/>
    <s v="GTX 970"/>
    <x v="3"/>
    <x v="1"/>
  </r>
  <r>
    <n v="1547000"/>
    <s v="Galactic Civilizations IV"/>
    <d v="2023-01-19T00:00:00"/>
    <n v="330"/>
    <b v="0"/>
    <n v="967"/>
    <s v="GTX 970"/>
    <x v="4"/>
    <x v="1"/>
  </r>
  <r>
    <n v="1547000"/>
    <s v="Galactic Civilizations IV"/>
    <d v="2023-01-19T00:00:00"/>
    <n v="330"/>
    <b v="0"/>
    <n v="967"/>
    <s v="GTX 970"/>
    <x v="5"/>
    <x v="1"/>
  </r>
  <r>
    <n v="1547000"/>
    <s v="Galactic Civilizations IV"/>
    <d v="2023-01-19T00:00:00"/>
    <n v="330"/>
    <b v="0"/>
    <n v="967"/>
    <s v="GTX 970"/>
    <x v="6"/>
    <x v="1"/>
  </r>
  <r>
    <n v="1357210"/>
    <s v="Aloft"/>
    <d v="2023-10-19T00:00:00"/>
    <n v="330"/>
    <b v="0"/>
    <n v="967"/>
    <s v="Arc A770"/>
    <x v="0"/>
    <x v="1"/>
  </r>
  <r>
    <n v="1357210"/>
    <s v="Aloft"/>
    <d v="2023-10-19T00:00:00"/>
    <n v="330"/>
    <b v="0"/>
    <n v="967"/>
    <s v="Arc A770"/>
    <x v="1"/>
    <x v="1"/>
  </r>
  <r>
    <n v="1357210"/>
    <s v="Aloft"/>
    <d v="2023-10-19T00:00:00"/>
    <n v="330"/>
    <b v="0"/>
    <n v="967"/>
    <s v="Arc A770"/>
    <x v="2"/>
    <x v="1"/>
  </r>
  <r>
    <n v="1357210"/>
    <s v="Aloft"/>
    <d v="2023-10-19T00:00:00"/>
    <n v="330"/>
    <b v="0"/>
    <n v="967"/>
    <s v="Arc A770"/>
    <x v="3"/>
    <x v="0"/>
  </r>
  <r>
    <n v="1357210"/>
    <s v="Aloft"/>
    <d v="2023-10-19T00:00:00"/>
    <n v="330"/>
    <b v="0"/>
    <n v="967"/>
    <s v="Arc A770"/>
    <x v="4"/>
    <x v="1"/>
  </r>
  <r>
    <n v="1357210"/>
    <s v="Aloft"/>
    <d v="2023-10-19T00:00:00"/>
    <n v="330"/>
    <b v="0"/>
    <n v="967"/>
    <s v="Arc A770"/>
    <x v="5"/>
    <x v="0"/>
  </r>
  <r>
    <n v="1357210"/>
    <s v="Aloft"/>
    <d v="2023-10-19T00:00:00"/>
    <n v="330"/>
    <b v="0"/>
    <n v="967"/>
    <s v="Arc A770"/>
    <x v="6"/>
    <x v="1"/>
  </r>
  <r>
    <n v="1660080"/>
    <s v="Dragon's Dogma: Dark Arisen"/>
    <d v="2025-01-15T00:00:00"/>
    <n v="329"/>
    <b v="0"/>
    <n v="969"/>
    <s v="RX 6700 XT"/>
    <x v="0"/>
    <x v="1"/>
  </r>
  <r>
    <n v="1660080"/>
    <s v="Dragon's Dogma: Dark Arisen"/>
    <d v="2025-01-15T00:00:00"/>
    <n v="329"/>
    <b v="0"/>
    <n v="969"/>
    <s v="RX 6700 XT"/>
    <x v="1"/>
    <x v="0"/>
  </r>
  <r>
    <n v="1660080"/>
    <s v="Dragon's Dogma: Dark Arisen"/>
    <d v="2025-01-15T00:00:00"/>
    <n v="329"/>
    <b v="0"/>
    <n v="969"/>
    <s v="RX 6700 XT"/>
    <x v="2"/>
    <x v="0"/>
  </r>
  <r>
    <n v="1660080"/>
    <s v="Dragon's Dogma: Dark Arisen"/>
    <d v="2025-01-15T00:00:00"/>
    <n v="329"/>
    <b v="0"/>
    <n v="969"/>
    <s v="RX 6700 XT"/>
    <x v="3"/>
    <x v="0"/>
  </r>
  <r>
    <n v="1660080"/>
    <s v="Dragon's Dogma: Dark Arisen"/>
    <d v="2025-01-15T00:00:00"/>
    <n v="329"/>
    <b v="0"/>
    <n v="969"/>
    <s v="RX 6700 XT"/>
    <x v="4"/>
    <x v="1"/>
  </r>
  <r>
    <n v="1660080"/>
    <s v="Dragon's Dogma: Dark Arisen"/>
    <d v="2025-01-15T00:00:00"/>
    <n v="329"/>
    <b v="0"/>
    <n v="969"/>
    <s v="RX 6700 XT"/>
    <x v="5"/>
    <x v="1"/>
  </r>
  <r>
    <n v="1660080"/>
    <s v="Dragon's Dogma: Dark Arisen"/>
    <d v="2025-01-15T00:00:00"/>
    <n v="329"/>
    <b v="0"/>
    <n v="969"/>
    <s v="RX 6700 XT"/>
    <x v="6"/>
    <x v="1"/>
  </r>
  <r>
    <n v="367500"/>
    <s v="Mini Motorways"/>
    <d v="2016-01-15T00:00:00"/>
    <n v="329"/>
    <b v="0"/>
    <n v="969"/>
    <s v="GTX 950"/>
    <x v="0"/>
    <x v="0"/>
  </r>
  <r>
    <n v="367500"/>
    <s v="Mini Motorways"/>
    <d v="2016-01-15T00:00:00"/>
    <n v="329"/>
    <b v="0"/>
    <n v="969"/>
    <s v="GTX 950"/>
    <x v="1"/>
    <x v="1"/>
  </r>
  <r>
    <n v="367500"/>
    <s v="Mini Motorways"/>
    <d v="2016-01-15T00:00:00"/>
    <n v="329"/>
    <b v="0"/>
    <n v="969"/>
    <s v="GTX 950"/>
    <x v="2"/>
    <x v="0"/>
  </r>
  <r>
    <n v="367500"/>
    <s v="Mini Motorways"/>
    <d v="2016-01-15T00:00:00"/>
    <n v="329"/>
    <b v="0"/>
    <n v="969"/>
    <s v="GTX 950"/>
    <x v="3"/>
    <x v="1"/>
  </r>
  <r>
    <n v="367500"/>
    <s v="Mini Motorways"/>
    <d v="2016-01-15T00:00:00"/>
    <n v="329"/>
    <b v="0"/>
    <n v="969"/>
    <s v="GTX 950"/>
    <x v="4"/>
    <x v="0"/>
  </r>
  <r>
    <n v="367500"/>
    <s v="Mini Motorways"/>
    <d v="2016-01-15T00:00:00"/>
    <n v="329"/>
    <b v="0"/>
    <n v="969"/>
    <s v="GTX 950"/>
    <x v="5"/>
    <x v="1"/>
  </r>
  <r>
    <n v="367500"/>
    <s v="Mini Motorways"/>
    <d v="2016-01-15T00:00:00"/>
    <n v="329"/>
    <b v="0"/>
    <n v="969"/>
    <s v="GTX 950"/>
    <x v="6"/>
    <x v="1"/>
  </r>
  <r>
    <n v="1127500"/>
    <s v="Derail Valley"/>
    <d v="2021-07-20T00:00:00"/>
    <n v="328"/>
    <b v="1"/>
    <n v="971"/>
    <s v="GTX 970"/>
    <x v="0"/>
    <x v="1"/>
  </r>
  <r>
    <n v="1127500"/>
    <s v="Derail Valley"/>
    <d v="2021-07-20T00:00:00"/>
    <n v="328"/>
    <b v="1"/>
    <n v="971"/>
    <s v="GTX 970"/>
    <x v="1"/>
    <x v="1"/>
  </r>
  <r>
    <n v="1127500"/>
    <s v="Derail Valley"/>
    <d v="2021-07-20T00:00:00"/>
    <n v="328"/>
    <b v="1"/>
    <n v="971"/>
    <s v="GTX 970"/>
    <x v="2"/>
    <x v="1"/>
  </r>
  <r>
    <n v="1127500"/>
    <s v="Derail Valley"/>
    <d v="2021-07-20T00:00:00"/>
    <n v="328"/>
    <b v="1"/>
    <n v="971"/>
    <s v="GTX 970"/>
    <x v="3"/>
    <x v="0"/>
  </r>
  <r>
    <n v="1127500"/>
    <s v="Derail Valley"/>
    <d v="2021-07-20T00:00:00"/>
    <n v="328"/>
    <b v="1"/>
    <n v="971"/>
    <s v="GTX 970"/>
    <x v="4"/>
    <x v="1"/>
  </r>
  <r>
    <n v="1127500"/>
    <s v="Derail Valley"/>
    <d v="2021-07-20T00:00:00"/>
    <n v="328"/>
    <b v="1"/>
    <n v="971"/>
    <s v="GTX 970"/>
    <x v="5"/>
    <x v="0"/>
  </r>
  <r>
    <n v="1127500"/>
    <s v="Derail Valley"/>
    <d v="2021-07-20T00:00:00"/>
    <n v="328"/>
    <b v="1"/>
    <n v="971"/>
    <s v="GTX 970"/>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A803A-2930-4C0A-959C-0B14492457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8" firstHeaderRow="0" firstDataRow="1" firstDataCol="1"/>
  <pivotFields count="21">
    <pivotField showAll="0"/>
    <pivotField showAll="0"/>
    <pivotField axis="axisRow" numFmtId="14" showAll="0">
      <items count="783">
        <item x="553"/>
        <item x="117"/>
        <item x="130"/>
        <item x="326"/>
        <item x="714"/>
        <item x="539"/>
        <item x="463"/>
        <item x="356"/>
        <item x="222"/>
        <item x="51"/>
        <item x="352"/>
        <item x="768"/>
        <item x="606"/>
        <item x="20"/>
        <item x="532"/>
        <item x="566"/>
        <item x="493"/>
        <item x="689"/>
        <item x="578"/>
        <item x="749"/>
        <item x="275"/>
        <item x="230"/>
        <item x="399"/>
        <item x="700"/>
        <item x="597"/>
        <item x="717"/>
        <item x="773"/>
        <item x="766"/>
        <item x="39"/>
        <item x="448"/>
        <item x="574"/>
        <item x="211"/>
        <item x="221"/>
        <item x="776"/>
        <item x="653"/>
        <item x="83"/>
        <item x="179"/>
        <item x="720"/>
        <item x="616"/>
        <item x="723"/>
        <item x="186"/>
        <item x="384"/>
        <item x="281"/>
        <item x="42"/>
        <item x="522"/>
        <item x="612"/>
        <item x="753"/>
        <item x="340"/>
        <item x="413"/>
        <item x="359"/>
        <item x="285"/>
        <item x="662"/>
        <item x="569"/>
        <item x="486"/>
        <item x="416"/>
        <item x="110"/>
        <item x="0"/>
        <item x="607"/>
        <item x="543"/>
        <item x="323"/>
        <item x="103"/>
        <item x="683"/>
        <item x="586"/>
        <item x="54"/>
        <item x="713"/>
        <item x="564"/>
        <item x="646"/>
        <item x="655"/>
        <item x="599"/>
        <item x="675"/>
        <item x="732"/>
        <item x="692"/>
        <item x="602"/>
        <item x="626"/>
        <item x="25"/>
        <item x="256"/>
        <item x="337"/>
        <item x="712"/>
        <item x="254"/>
        <item x="726"/>
        <item x="1"/>
        <item x="550"/>
        <item x="706"/>
        <item x="36"/>
        <item x="17"/>
        <item x="178"/>
        <item x="119"/>
        <item x="504"/>
        <item x="160"/>
        <item x="567"/>
        <item x="666"/>
        <item x="571"/>
        <item x="43"/>
        <item x="536"/>
        <item x="588"/>
        <item x="740"/>
        <item x="48"/>
        <item x="533"/>
        <item x="688"/>
        <item x="483"/>
        <item x="515"/>
        <item x="705"/>
        <item x="722"/>
        <item x="704"/>
        <item x="579"/>
        <item x="621"/>
        <item x="715"/>
        <item x="648"/>
        <item x="392"/>
        <item x="741"/>
        <item x="620"/>
        <item x="687"/>
        <item x="68"/>
        <item x="739"/>
        <item x="502"/>
        <item x="601"/>
        <item x="278"/>
        <item x="657"/>
        <item x="99"/>
        <item x="34"/>
        <item x="684"/>
        <item x="754"/>
        <item x="153"/>
        <item x="391"/>
        <item x="379"/>
        <item x="347"/>
        <item x="100"/>
        <item x="603"/>
        <item x="716"/>
        <item x="407"/>
        <item x="312"/>
        <item x="155"/>
        <item x="10"/>
        <item x="287"/>
        <item x="277"/>
        <item x="61"/>
        <item x="62"/>
        <item x="149"/>
        <item x="319"/>
        <item x="47"/>
        <item x="501"/>
        <item x="219"/>
        <item x="594"/>
        <item x="752"/>
        <item x="363"/>
        <item x="286"/>
        <item x="200"/>
        <item x="641"/>
        <item x="491"/>
        <item x="541"/>
        <item x="725"/>
        <item x="140"/>
        <item x="87"/>
        <item x="549"/>
        <item x="15"/>
        <item x="721"/>
        <item x="780"/>
        <item x="182"/>
        <item x="348"/>
        <item x="642"/>
        <item x="124"/>
        <item x="208"/>
        <item x="492"/>
        <item x="332"/>
        <item x="420"/>
        <item x="354"/>
        <item x="251"/>
        <item x="16"/>
        <item x="760"/>
        <item x="494"/>
        <item x="395"/>
        <item x="170"/>
        <item x="758"/>
        <item x="29"/>
        <item x="75"/>
        <item x="317"/>
        <item x="690"/>
        <item x="398"/>
        <item x="710"/>
        <item x="495"/>
        <item x="28"/>
        <item x="19"/>
        <item x="444"/>
        <item x="82"/>
        <item x="577"/>
        <item x="745"/>
        <item x="681"/>
        <item x="457"/>
        <item x="37"/>
        <item x="40"/>
        <item x="659"/>
        <item x="134"/>
        <item x="526"/>
        <item x="162"/>
        <item x="464"/>
        <item x="487"/>
        <item x="26"/>
        <item x="203"/>
        <item x="263"/>
        <item x="154"/>
        <item x="342"/>
        <item x="524"/>
        <item x="411"/>
        <item x="474"/>
        <item x="427"/>
        <item x="728"/>
        <item x="729"/>
        <item x="469"/>
        <item x="565"/>
        <item x="60"/>
        <item x="72"/>
        <item x="678"/>
        <item x="576"/>
        <item x="584"/>
        <item x="756"/>
        <item x="91"/>
        <item x="647"/>
        <item x="262"/>
        <item x="479"/>
        <item x="234"/>
        <item x="46"/>
        <item x="224"/>
        <item x="194"/>
        <item x="658"/>
        <item x="339"/>
        <item x="272"/>
        <item x="63"/>
        <item x="697"/>
        <item x="350"/>
        <item x="368"/>
        <item x="74"/>
        <item x="315"/>
        <item x="605"/>
        <item x="733"/>
        <item x="105"/>
        <item x="284"/>
        <item x="306"/>
        <item x="471"/>
        <item x="736"/>
        <item x="2"/>
        <item x="159"/>
        <item x="453"/>
        <item x="403"/>
        <item x="228"/>
        <item x="394"/>
        <item x="630"/>
        <item x="521"/>
        <item x="5"/>
        <item x="241"/>
        <item x="424"/>
        <item x="772"/>
        <item x="396"/>
        <item x="269"/>
        <item x="531"/>
        <item x="313"/>
        <item x="635"/>
        <item x="376"/>
        <item x="503"/>
        <item x="299"/>
        <item x="381"/>
        <item x="613"/>
        <item x="329"/>
        <item x="707"/>
        <item x="696"/>
        <item x="301"/>
        <item x="217"/>
        <item x="135"/>
        <item x="107"/>
        <item x="369"/>
        <item x="218"/>
        <item x="590"/>
        <item x="461"/>
        <item x="365"/>
        <item x="610"/>
        <item x="236"/>
        <item x="271"/>
        <item x="85"/>
        <item x="761"/>
        <item x="446"/>
        <item x="638"/>
        <item x="623"/>
        <item x="514"/>
        <item x="701"/>
        <item x="589"/>
        <item x="410"/>
        <item x="587"/>
        <item x="232"/>
        <item x="50"/>
        <item x="724"/>
        <item x="477"/>
        <item x="591"/>
        <item x="8"/>
        <item x="434"/>
        <item x="629"/>
        <item x="268"/>
        <item x="141"/>
        <item x="380"/>
        <item x="370"/>
        <item x="290"/>
        <item x="24"/>
        <item x="115"/>
        <item x="402"/>
        <item x="671"/>
        <item x="585"/>
        <item x="64"/>
        <item x="283"/>
        <item x="770"/>
        <item x="433"/>
        <item x="556"/>
        <item x="174"/>
        <item x="261"/>
        <item x="123"/>
        <item x="592"/>
        <item x="478"/>
        <item x="223"/>
        <item x="419"/>
        <item x="611"/>
        <item x="497"/>
        <item x="702"/>
        <item x="163"/>
        <item x="336"/>
        <item x="412"/>
        <item x="609"/>
        <item x="227"/>
        <item x="534"/>
        <item x="425"/>
        <item x="266"/>
        <item x="546"/>
        <item x="774"/>
        <item x="164"/>
        <item x="656"/>
        <item x="113"/>
        <item x="600"/>
        <item x="128"/>
        <item x="757"/>
        <item x="307"/>
        <item x="663"/>
        <item x="456"/>
        <item x="735"/>
        <item x="538"/>
        <item x="41"/>
        <item x="188"/>
        <item x="634"/>
        <item x="450"/>
        <item x="439"/>
        <item x="762"/>
        <item x="242"/>
        <item x="76"/>
        <item x="422"/>
        <item x="430"/>
        <item x="199"/>
        <item x="30"/>
        <item x="698"/>
        <item x="195"/>
        <item x="289"/>
        <item x="505"/>
        <item x="353"/>
        <item x="267"/>
        <item x="438"/>
        <item x="455"/>
        <item x="563"/>
        <item x="519"/>
        <item x="466"/>
        <item x="206"/>
        <item x="258"/>
        <item x="270"/>
        <item x="213"/>
        <item x="748"/>
        <item x="102"/>
        <item x="156"/>
        <item x="106"/>
        <item x="202"/>
        <item x="737"/>
        <item x="145"/>
        <item x="436"/>
        <item x="583"/>
        <item x="138"/>
        <item x="355"/>
        <item x="598"/>
        <item x="97"/>
        <item x="442"/>
        <item x="320"/>
        <item x="38"/>
        <item x="573"/>
        <item x="125"/>
        <item x="432"/>
        <item x="537"/>
        <item x="351"/>
        <item x="517"/>
        <item x="111"/>
        <item x="59"/>
        <item x="22"/>
        <item x="516"/>
        <item x="489"/>
        <item x="73"/>
        <item x="209"/>
        <item x="260"/>
        <item x="94"/>
        <item x="98"/>
        <item x="528"/>
        <item x="451"/>
        <item x="431"/>
        <item x="243"/>
        <item x="214"/>
        <item x="127"/>
        <item x="530"/>
        <item x="6"/>
        <item x="661"/>
        <item x="669"/>
        <item x="404"/>
        <item x="264"/>
        <item x="310"/>
        <item x="45"/>
        <item x="372"/>
        <item x="636"/>
        <item x="406"/>
        <item x="229"/>
        <item x="680"/>
        <item x="70"/>
        <item x="343"/>
        <item x="691"/>
        <item x="415"/>
        <item x="763"/>
        <item x="92"/>
        <item x="507"/>
        <item x="150"/>
        <item x="542"/>
        <item x="374"/>
        <item x="201"/>
        <item x="181"/>
        <item x="496"/>
        <item x="378"/>
        <item x="518"/>
        <item x="246"/>
        <item x="207"/>
        <item x="551"/>
        <item x="719"/>
        <item x="513"/>
        <item x="245"/>
        <item x="781"/>
        <item x="731"/>
        <item x="197"/>
        <item x="375"/>
        <item x="12"/>
        <item x="708"/>
        <item x="746"/>
        <item x="95"/>
        <item x="282"/>
        <item x="180"/>
        <item x="679"/>
        <item x="304"/>
        <item x="360"/>
        <item x="136"/>
        <item x="78"/>
        <item x="366"/>
        <item x="215"/>
        <item x="377"/>
        <item x="649"/>
        <item x="371"/>
        <item x="694"/>
        <item x="120"/>
        <item x="216"/>
        <item x="212"/>
        <item x="93"/>
        <item x="298"/>
        <item x="66"/>
        <item x="257"/>
        <item x="693"/>
        <item x="345"/>
        <item x="161"/>
        <item x="225"/>
        <item x="139"/>
        <item x="250"/>
        <item x="318"/>
        <item x="333"/>
        <item x="472"/>
        <item x="767"/>
        <item x="187"/>
        <item x="357"/>
        <item x="625"/>
        <item x="231"/>
        <item x="685"/>
        <item x="173"/>
        <item x="53"/>
        <item x="57"/>
        <item x="31"/>
        <item x="314"/>
        <item x="512"/>
        <item x="764"/>
        <item x="608"/>
        <item x="279"/>
        <item x="747"/>
        <item x="743"/>
        <item x="738"/>
        <item x="465"/>
        <item x="670"/>
        <item x="664"/>
        <item x="327"/>
        <item x="255"/>
        <item x="561"/>
        <item x="168"/>
        <item x="711"/>
        <item x="324"/>
        <item x="500"/>
        <item x="158"/>
        <item x="462"/>
        <item x="147"/>
        <item x="237"/>
        <item x="644"/>
        <item x="437"/>
        <item x="545"/>
        <item x="475"/>
        <item x="328"/>
        <item x="393"/>
        <item x="615"/>
        <item x="204"/>
        <item x="751"/>
        <item x="520"/>
        <item x="249"/>
        <item x="220"/>
        <item x="382"/>
        <item x="506"/>
        <item x="593"/>
        <item x="672"/>
        <item x="151"/>
        <item x="660"/>
        <item x="69"/>
        <item x="11"/>
        <item x="650"/>
        <item x="175"/>
        <item x="734"/>
        <item x="118"/>
        <item x="562"/>
        <item x="358"/>
        <item x="447"/>
        <item x="654"/>
        <item x="467"/>
        <item x="96"/>
        <item x="777"/>
        <item x="344"/>
        <item x="622"/>
        <item x="742"/>
        <item x="570"/>
        <item x="133"/>
        <item x="771"/>
        <item x="673"/>
        <item x="265"/>
        <item x="718"/>
        <item x="470"/>
        <item x="699"/>
        <item x="544"/>
        <item x="252"/>
        <item x="183"/>
        <item x="176"/>
        <item x="624"/>
        <item x="484"/>
        <item x="775"/>
        <item x="308"/>
        <item x="604"/>
        <item x="614"/>
        <item x="253"/>
        <item x="300"/>
        <item x="414"/>
        <item x="557"/>
        <item x="177"/>
        <item x="67"/>
        <item x="677"/>
        <item x="595"/>
        <item x="144"/>
        <item x="126"/>
        <item x="198"/>
        <item x="668"/>
        <item x="435"/>
        <item x="81"/>
        <item x="631"/>
        <item x="321"/>
        <item x="13"/>
        <item x="547"/>
        <item x="755"/>
        <item x="423"/>
        <item x="667"/>
        <item x="632"/>
        <item x="560"/>
        <item x="185"/>
        <item x="397"/>
        <item x="303"/>
        <item x="361"/>
        <item x="401"/>
        <item x="210"/>
        <item x="548"/>
        <item x="148"/>
        <item x="682"/>
        <item x="637"/>
        <item x="476"/>
        <item x="686"/>
        <item x="101"/>
        <item x="778"/>
        <item x="129"/>
        <item x="142"/>
        <item x="84"/>
        <item x="331"/>
        <item x="335"/>
        <item x="18"/>
        <item x="695"/>
        <item x="364"/>
        <item x="441"/>
        <item x="86"/>
        <item x="596"/>
        <item x="190"/>
        <item x="191"/>
        <item x="443"/>
        <item x="172"/>
        <item x="238"/>
        <item x="488"/>
        <item x="52"/>
        <item x="499"/>
        <item x="90"/>
        <item x="166"/>
        <item x="429"/>
        <item x="302"/>
        <item x="14"/>
        <item x="409"/>
        <item x="665"/>
        <item x="55"/>
        <item x="132"/>
        <item x="165"/>
        <item x="205"/>
        <item x="184"/>
        <item x="509"/>
        <item x="426"/>
        <item x="146"/>
        <item x="294"/>
        <item x="485"/>
        <item x="297"/>
        <item x="116"/>
        <item x="481"/>
        <item x="445"/>
        <item x="421"/>
        <item x="389"/>
        <item x="280"/>
        <item x="114"/>
        <item x="449"/>
        <item x="89"/>
        <item x="580"/>
        <item x="676"/>
        <item x="276"/>
        <item x="460"/>
        <item x="558"/>
        <item x="226"/>
        <item x="273"/>
        <item x="490"/>
        <item x="703"/>
        <item x="458"/>
        <item x="540"/>
        <item x="400"/>
        <item x="233"/>
        <item x="235"/>
        <item x="385"/>
        <item x="405"/>
        <item x="56"/>
        <item x="554"/>
        <item x="311"/>
        <item x="157"/>
        <item x="582"/>
        <item x="248"/>
        <item x="65"/>
        <item x="292"/>
        <item x="152"/>
        <item x="643"/>
        <item x="349"/>
        <item x="325"/>
        <item x="122"/>
        <item x="79"/>
        <item x="305"/>
        <item x="192"/>
        <item x="508"/>
        <item x="316"/>
        <item x="618"/>
        <item x="338"/>
        <item x="730"/>
        <item x="21"/>
        <item x="572"/>
        <item x="674"/>
        <item x="769"/>
        <item x="628"/>
        <item x="640"/>
        <item x="296"/>
        <item x="527"/>
        <item x="581"/>
        <item x="35"/>
        <item x="639"/>
        <item x="482"/>
        <item x="383"/>
        <item x="390"/>
        <item x="77"/>
        <item x="617"/>
        <item x="189"/>
        <item x="568"/>
        <item x="309"/>
        <item x="247"/>
        <item x="744"/>
        <item x="627"/>
        <item x="32"/>
        <item x="7"/>
        <item x="58"/>
        <item x="387"/>
        <item x="555"/>
        <item x="459"/>
        <item x="529"/>
        <item x="418"/>
        <item x="779"/>
        <item x="367"/>
        <item x="291"/>
        <item x="535"/>
        <item x="454"/>
        <item x="362"/>
        <item x="473"/>
        <item x="121"/>
        <item x="131"/>
        <item x="452"/>
        <item x="498"/>
        <item x="259"/>
        <item x="27"/>
        <item x="80"/>
        <item x="23"/>
        <item x="3"/>
        <item x="137"/>
        <item x="510"/>
        <item x="727"/>
        <item x="511"/>
        <item x="440"/>
        <item x="417"/>
        <item x="765"/>
        <item x="44"/>
        <item x="239"/>
        <item x="552"/>
        <item x="388"/>
        <item x="112"/>
        <item x="750"/>
        <item x="167"/>
        <item x="575"/>
        <item x="169"/>
        <item x="645"/>
        <item x="468"/>
        <item x="408"/>
        <item x="71"/>
        <item x="330"/>
        <item x="33"/>
        <item x="525"/>
        <item x="346"/>
        <item x="240"/>
        <item x="274"/>
        <item x="193"/>
        <item x="652"/>
        <item x="759"/>
        <item x="196"/>
        <item x="109"/>
        <item x="49"/>
        <item x="428"/>
        <item x="108"/>
        <item x="480"/>
        <item x="4"/>
        <item x="143"/>
        <item x="171"/>
        <item x="322"/>
        <item x="9"/>
        <item x="293"/>
        <item x="104"/>
        <item x="244"/>
        <item x="341"/>
        <item x="386"/>
        <item x="334"/>
        <item x="373"/>
        <item x="559"/>
        <item x="619"/>
        <item x="288"/>
        <item x="633"/>
        <item x="295"/>
        <item x="88"/>
        <item x="709"/>
        <item x="651"/>
        <item x="523"/>
        <item t="default"/>
      </items>
    </pivotField>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sd="0" x="15"/>
        <item sd="0" x="16"/>
        <item sd="0" x="17"/>
        <item sd="0" x="18"/>
        <item sd="0" x="19"/>
        <item sd="0" x="20"/>
        <item sd="0" x="21"/>
        <item sd="0" x="22"/>
        <item sd="0" x="23"/>
        <item sd="0" x="24"/>
        <item sd="0" x="25"/>
        <item sd="0" x="26"/>
        <item sd="0" x="27"/>
        <item sd="0" x="28"/>
        <item sd="0" x="29"/>
        <item t="default"/>
      </items>
    </pivotField>
  </pivotFields>
  <rowFields count="4">
    <field x="20"/>
    <field x="19"/>
    <field x="18"/>
    <field x="2"/>
  </rowFields>
  <rowItems count="15">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Max of Peak_CCU" fld="3" subtotal="max" baseField="20" baseItem="20"/>
    <dataField name="Average of Peak_CCU" fld="3" subtotal="average" baseField="0" baseItem="0"/>
    <dataField name="Average of CCU Rank" fld="7" subtotal="average" baseField="0" baseItem="1"/>
    <dataField name="Min of CCU Rank" fld="7" subtotal="min" baseField="20" baseItem="19"/>
  </dataFields>
  <formats count="14">
    <format dxfId="33">
      <pivotArea collapsedLevelsAreSubtotals="1" fieldPosition="0">
        <references count="2">
          <reference field="4294967294" count="2" selected="0">
            <x v="1"/>
            <x v="2"/>
          </reference>
          <reference field="20" count="1">
            <x v="19"/>
          </reference>
        </references>
      </pivotArea>
    </format>
    <format dxfId="32">
      <pivotArea collapsedLevelsAreSubtotals="1" fieldPosition="0">
        <references count="2">
          <reference field="4294967294" count="2" selected="0">
            <x v="1"/>
            <x v="2"/>
          </reference>
          <reference field="20" count="1">
            <x v="20"/>
          </reference>
        </references>
      </pivotArea>
    </format>
    <format dxfId="31">
      <pivotArea collapsedLevelsAreSubtotals="1" fieldPosition="0">
        <references count="2">
          <reference field="4294967294" count="2" selected="0">
            <x v="1"/>
            <x v="2"/>
          </reference>
          <reference field="20" count="1">
            <x v="21"/>
          </reference>
        </references>
      </pivotArea>
    </format>
    <format dxfId="30">
      <pivotArea collapsedLevelsAreSubtotals="1" fieldPosition="0">
        <references count="2">
          <reference field="4294967294" count="2" selected="0">
            <x v="1"/>
            <x v="2"/>
          </reference>
          <reference field="20" count="1">
            <x v="22"/>
          </reference>
        </references>
      </pivotArea>
    </format>
    <format dxfId="29">
      <pivotArea collapsedLevelsAreSubtotals="1" fieldPosition="0">
        <references count="2">
          <reference field="4294967294" count="2" selected="0">
            <x v="1"/>
            <x v="2"/>
          </reference>
          <reference field="20" count="1">
            <x v="23"/>
          </reference>
        </references>
      </pivotArea>
    </format>
    <format dxfId="28">
      <pivotArea collapsedLevelsAreSubtotals="1" fieldPosition="0">
        <references count="2">
          <reference field="4294967294" count="2" selected="0">
            <x v="1"/>
            <x v="2"/>
          </reference>
          <reference field="20" count="1">
            <x v="24"/>
          </reference>
        </references>
      </pivotArea>
    </format>
    <format dxfId="27">
      <pivotArea collapsedLevelsAreSubtotals="1" fieldPosition="0">
        <references count="2">
          <reference field="4294967294" count="2" selected="0">
            <x v="1"/>
            <x v="2"/>
          </reference>
          <reference field="20" count="1">
            <x v="25"/>
          </reference>
        </references>
      </pivotArea>
    </format>
    <format dxfId="26">
      <pivotArea collapsedLevelsAreSubtotals="1" fieldPosition="0">
        <references count="2">
          <reference field="4294967294" count="2" selected="0">
            <x v="1"/>
            <x v="2"/>
          </reference>
          <reference field="20" count="1">
            <x v="26"/>
          </reference>
        </references>
      </pivotArea>
    </format>
    <format dxfId="25">
      <pivotArea collapsedLevelsAreSubtotals="1" fieldPosition="0">
        <references count="2">
          <reference field="4294967294" count="2" selected="0">
            <x v="1"/>
            <x v="2"/>
          </reference>
          <reference field="20" count="1">
            <x v="27"/>
          </reference>
        </references>
      </pivotArea>
    </format>
    <format dxfId="24">
      <pivotArea collapsedLevelsAreSubtotals="1" fieldPosition="0">
        <references count="2">
          <reference field="4294967294" count="2" selected="0">
            <x v="1"/>
            <x v="2"/>
          </reference>
          <reference field="20" count="1">
            <x v="28"/>
          </reference>
        </references>
      </pivotArea>
    </format>
    <format dxfId="23">
      <pivotArea collapsedLevelsAreSubtotals="1" fieldPosition="0">
        <references count="2">
          <reference field="4294967294" count="2" selected="0">
            <x v="1"/>
            <x v="2"/>
          </reference>
          <reference field="20" count="1">
            <x v="15"/>
          </reference>
        </references>
      </pivotArea>
    </format>
    <format dxfId="22">
      <pivotArea collapsedLevelsAreSubtotals="1" fieldPosition="0">
        <references count="2">
          <reference field="4294967294" count="2" selected="0">
            <x v="1"/>
            <x v="2"/>
          </reference>
          <reference field="20" count="1">
            <x v="16"/>
          </reference>
        </references>
      </pivotArea>
    </format>
    <format dxfId="21">
      <pivotArea collapsedLevelsAreSubtotals="1" fieldPosition="0">
        <references count="2">
          <reference field="4294967294" count="2" selected="0">
            <x v="1"/>
            <x v="2"/>
          </reference>
          <reference field="20" count="1">
            <x v="17"/>
          </reference>
        </references>
      </pivotArea>
    </format>
    <format dxfId="20">
      <pivotArea field="20" grandRow="1" outline="0" collapsedLevelsAreSubtotals="1" axis="axisRow" fieldPosition="0">
        <references count="1">
          <reference field="4294967294" count="2" selected="0">
            <x v="1"/>
            <x v="2"/>
          </reference>
        </references>
      </pivotArea>
    </format>
  </formats>
  <conditionalFormats count="8">
    <conditionalFormat priority="7">
      <pivotAreas count="10">
        <pivotArea type="data" collapsedLevelsAreSubtotals="1" fieldPosition="0">
          <references count="2">
            <reference field="4294967294" count="1" selected="0">
              <x v="0"/>
            </reference>
            <reference field="20" count="1">
              <x v="19"/>
            </reference>
          </references>
        </pivotArea>
        <pivotArea type="data" collapsedLevelsAreSubtotals="1" fieldPosition="0">
          <references count="2">
            <reference field="4294967294" count="1" selected="0">
              <x v="0"/>
            </reference>
            <reference field="20" count="1">
              <x v="20"/>
            </reference>
          </references>
        </pivotArea>
        <pivotArea type="data" collapsedLevelsAreSubtotals="1" fieldPosition="0">
          <references count="2">
            <reference field="4294967294" count="1" selected="0">
              <x v="0"/>
            </reference>
            <reference field="20" count="1">
              <x v="21"/>
            </reference>
          </references>
        </pivotArea>
        <pivotArea type="data" collapsedLevelsAreSubtotals="1" fieldPosition="0">
          <references count="2">
            <reference field="4294967294" count="1" selected="0">
              <x v="0"/>
            </reference>
            <reference field="20" count="1">
              <x v="22"/>
            </reference>
          </references>
        </pivotArea>
        <pivotArea type="data" collapsedLevelsAreSubtotals="1" fieldPosition="0">
          <references count="2">
            <reference field="4294967294" count="1" selected="0">
              <x v="0"/>
            </reference>
            <reference field="20" count="1">
              <x v="23"/>
            </reference>
          </references>
        </pivotArea>
        <pivotArea type="data" collapsedLevelsAreSubtotals="1" fieldPosition="0">
          <references count="2">
            <reference field="4294967294" count="1" selected="0">
              <x v="0"/>
            </reference>
            <reference field="20" count="1">
              <x v="24"/>
            </reference>
          </references>
        </pivotArea>
        <pivotArea type="data" collapsedLevelsAreSubtotals="1" fieldPosition="0">
          <references count="2">
            <reference field="4294967294" count="1" selected="0">
              <x v="0"/>
            </reference>
            <reference field="20" count="1">
              <x v="25"/>
            </reference>
          </references>
        </pivotArea>
        <pivotArea type="data" collapsedLevelsAreSubtotals="1" fieldPosition="0">
          <references count="2">
            <reference field="4294967294" count="1" selected="0">
              <x v="0"/>
            </reference>
            <reference field="20" count="1">
              <x v="26"/>
            </reference>
          </references>
        </pivotArea>
        <pivotArea type="data" collapsedLevelsAreSubtotals="1" fieldPosition="0">
          <references count="2">
            <reference field="4294967294" count="1" selected="0">
              <x v="0"/>
            </reference>
            <reference field="20" count="1">
              <x v="27"/>
            </reference>
          </references>
        </pivotArea>
        <pivotArea type="data" collapsedLevelsAreSubtotals="1" fieldPosition="0">
          <references count="2">
            <reference field="4294967294" count="1" selected="0">
              <x v="0"/>
            </reference>
            <reference field="20" count="1">
              <x v="28"/>
            </reference>
          </references>
        </pivotArea>
      </pivotAreas>
    </conditionalFormat>
    <conditionalFormat priority="10">
      <pivotAreas count="10">
        <pivotArea type="data" collapsedLevelsAreSubtotals="1" fieldPosition="0">
          <references count="2">
            <reference field="4294967294" count="1" selected="0">
              <x v="1"/>
            </reference>
            <reference field="20" count="1">
              <x v="19"/>
            </reference>
          </references>
        </pivotArea>
        <pivotArea type="data" collapsedLevelsAreSubtotals="1" fieldPosition="0">
          <references count="2">
            <reference field="4294967294" count="1" selected="0">
              <x v="1"/>
            </reference>
            <reference field="20" count="1">
              <x v="20"/>
            </reference>
          </references>
        </pivotArea>
        <pivotArea type="data" collapsedLevelsAreSubtotals="1" fieldPosition="0">
          <references count="2">
            <reference field="4294967294" count="1" selected="0">
              <x v="1"/>
            </reference>
            <reference field="20" count="1">
              <x v="21"/>
            </reference>
          </references>
        </pivotArea>
        <pivotArea type="data" collapsedLevelsAreSubtotals="1" fieldPosition="0">
          <references count="2">
            <reference field="4294967294" count="1" selected="0">
              <x v="1"/>
            </reference>
            <reference field="20" count="1">
              <x v="22"/>
            </reference>
          </references>
        </pivotArea>
        <pivotArea type="data" collapsedLevelsAreSubtotals="1" fieldPosition="0">
          <references count="2">
            <reference field="4294967294" count="1" selected="0">
              <x v="1"/>
            </reference>
            <reference field="20" count="1">
              <x v="23"/>
            </reference>
          </references>
        </pivotArea>
        <pivotArea type="data" collapsedLevelsAreSubtotals="1" fieldPosition="0">
          <references count="2">
            <reference field="4294967294" count="1" selected="0">
              <x v="1"/>
            </reference>
            <reference field="20" count="1">
              <x v="24"/>
            </reference>
          </references>
        </pivotArea>
        <pivotArea type="data" collapsedLevelsAreSubtotals="1" fieldPosition="0">
          <references count="2">
            <reference field="4294967294" count="1" selected="0">
              <x v="1"/>
            </reference>
            <reference field="20" count="1">
              <x v="25"/>
            </reference>
          </references>
        </pivotArea>
        <pivotArea type="data" collapsedLevelsAreSubtotals="1" fieldPosition="0">
          <references count="2">
            <reference field="4294967294" count="1" selected="0">
              <x v="1"/>
            </reference>
            <reference field="20" count="1">
              <x v="26"/>
            </reference>
          </references>
        </pivotArea>
        <pivotArea type="data" collapsedLevelsAreSubtotals="1" fieldPosition="0">
          <references count="2">
            <reference field="4294967294" count="1" selected="0">
              <x v="1"/>
            </reference>
            <reference field="20" count="1">
              <x v="27"/>
            </reference>
          </references>
        </pivotArea>
        <pivotArea type="data" collapsedLevelsAreSubtotals="1" fieldPosition="0">
          <references count="2">
            <reference field="4294967294" count="1" selected="0">
              <x v="1"/>
            </reference>
            <reference field="20" count="1">
              <x v="28"/>
            </reference>
          </references>
        </pivotArea>
      </pivotAreas>
    </conditionalFormat>
    <conditionalFormat priority="9">
      <pivotAreas count="10">
        <pivotArea type="data" collapsedLevelsAreSubtotals="1" fieldPosition="0">
          <references count="2">
            <reference field="4294967294" count="1" selected="0">
              <x v="2"/>
            </reference>
            <reference field="20" count="1">
              <x v="19"/>
            </reference>
          </references>
        </pivotArea>
        <pivotArea type="data" collapsedLevelsAreSubtotals="1" fieldPosition="0">
          <references count="2">
            <reference field="4294967294" count="1" selected="0">
              <x v="2"/>
            </reference>
            <reference field="20" count="1">
              <x v="20"/>
            </reference>
          </references>
        </pivotArea>
        <pivotArea type="data" collapsedLevelsAreSubtotals="1" fieldPosition="0">
          <references count="2">
            <reference field="4294967294" count="1" selected="0">
              <x v="2"/>
            </reference>
            <reference field="20" count="1">
              <x v="21"/>
            </reference>
          </references>
        </pivotArea>
        <pivotArea type="data" collapsedLevelsAreSubtotals="1" fieldPosition="0">
          <references count="2">
            <reference field="4294967294" count="1" selected="0">
              <x v="2"/>
            </reference>
            <reference field="20" count="1">
              <x v="22"/>
            </reference>
          </references>
        </pivotArea>
        <pivotArea type="data" collapsedLevelsAreSubtotals="1" fieldPosition="0">
          <references count="2">
            <reference field="4294967294" count="1" selected="0">
              <x v="2"/>
            </reference>
            <reference field="20" count="1">
              <x v="23"/>
            </reference>
          </references>
        </pivotArea>
        <pivotArea type="data" collapsedLevelsAreSubtotals="1" fieldPosition="0">
          <references count="2">
            <reference field="4294967294" count="1" selected="0">
              <x v="2"/>
            </reference>
            <reference field="20" count="1">
              <x v="24"/>
            </reference>
          </references>
        </pivotArea>
        <pivotArea type="data" collapsedLevelsAreSubtotals="1" fieldPosition="0">
          <references count="2">
            <reference field="4294967294" count="1" selected="0">
              <x v="2"/>
            </reference>
            <reference field="20" count="1">
              <x v="25"/>
            </reference>
          </references>
        </pivotArea>
        <pivotArea type="data" collapsedLevelsAreSubtotals="1" fieldPosition="0">
          <references count="2">
            <reference field="4294967294" count="1" selected="0">
              <x v="2"/>
            </reference>
            <reference field="20" count="1">
              <x v="26"/>
            </reference>
          </references>
        </pivotArea>
        <pivotArea type="data" collapsedLevelsAreSubtotals="1" fieldPosition="0">
          <references count="2">
            <reference field="4294967294" count="1" selected="0">
              <x v="2"/>
            </reference>
            <reference field="20" count="1">
              <x v="27"/>
            </reference>
          </references>
        </pivotArea>
        <pivotArea type="data" collapsedLevelsAreSubtotals="1" fieldPosition="0">
          <references count="2">
            <reference field="4294967294" count="1" selected="0">
              <x v="2"/>
            </reference>
            <reference field="20" count="1">
              <x v="28"/>
            </reference>
          </references>
        </pivotArea>
      </pivotAreas>
    </conditionalFormat>
    <conditionalFormat priority="8">
      <pivotAreas count="10">
        <pivotArea type="data" collapsedLevelsAreSubtotals="1" fieldPosition="0">
          <references count="2">
            <reference field="4294967294" count="1" selected="0">
              <x v="3"/>
            </reference>
            <reference field="20" count="1">
              <x v="19"/>
            </reference>
          </references>
        </pivotArea>
        <pivotArea type="data" collapsedLevelsAreSubtotals="1" fieldPosition="0">
          <references count="2">
            <reference field="4294967294" count="1" selected="0">
              <x v="3"/>
            </reference>
            <reference field="20" count="1">
              <x v="20"/>
            </reference>
          </references>
        </pivotArea>
        <pivotArea type="data" collapsedLevelsAreSubtotals="1" fieldPosition="0">
          <references count="2">
            <reference field="4294967294" count="1" selected="0">
              <x v="3"/>
            </reference>
            <reference field="20" count="1">
              <x v="21"/>
            </reference>
          </references>
        </pivotArea>
        <pivotArea type="data" collapsedLevelsAreSubtotals="1" fieldPosition="0">
          <references count="2">
            <reference field="4294967294" count="1" selected="0">
              <x v="3"/>
            </reference>
            <reference field="20" count="1">
              <x v="22"/>
            </reference>
          </references>
        </pivotArea>
        <pivotArea type="data" collapsedLevelsAreSubtotals="1" fieldPosition="0">
          <references count="2">
            <reference field="4294967294" count="1" selected="0">
              <x v="3"/>
            </reference>
            <reference field="20" count="1">
              <x v="23"/>
            </reference>
          </references>
        </pivotArea>
        <pivotArea type="data" collapsedLevelsAreSubtotals="1" fieldPosition="0">
          <references count="2">
            <reference field="4294967294" count="1" selected="0">
              <x v="3"/>
            </reference>
            <reference field="20" count="1">
              <x v="24"/>
            </reference>
          </references>
        </pivotArea>
        <pivotArea type="data" collapsedLevelsAreSubtotals="1" fieldPosition="0">
          <references count="2">
            <reference field="4294967294" count="1" selected="0">
              <x v="3"/>
            </reference>
            <reference field="20" count="1">
              <x v="25"/>
            </reference>
          </references>
        </pivotArea>
        <pivotArea type="data" collapsedLevelsAreSubtotals="1" fieldPosition="0">
          <references count="2">
            <reference field="4294967294" count="1" selected="0">
              <x v="3"/>
            </reference>
            <reference field="20" count="1">
              <x v="26"/>
            </reference>
          </references>
        </pivotArea>
        <pivotArea type="data" collapsedLevelsAreSubtotals="1" fieldPosition="0">
          <references count="2">
            <reference field="4294967294" count="1" selected="0">
              <x v="3"/>
            </reference>
            <reference field="20" count="1">
              <x v="27"/>
            </reference>
          </references>
        </pivotArea>
        <pivotArea type="data" collapsedLevelsAreSubtotals="1" fieldPosition="0">
          <references count="2">
            <reference field="4294967294" count="1" selected="0">
              <x v="3"/>
            </reference>
            <reference field="20" count="1">
              <x v="28"/>
            </reference>
          </references>
        </pivotArea>
      </pivotAreas>
    </conditionalFormat>
    <conditionalFormat priority="6">
      <pivotAreas count="14">
        <pivotArea type="data" collapsedLevelsAreSubtotals="1" fieldPosition="0">
          <references count="2">
            <reference field="4294967294" count="1" selected="0">
              <x v="1"/>
            </reference>
            <reference field="20" count="1">
              <x v="15"/>
            </reference>
          </references>
        </pivotArea>
        <pivotArea type="data" collapsedLevelsAreSubtotals="1" fieldPosition="0">
          <references count="2">
            <reference field="4294967294" count="1" selected="0">
              <x v="1"/>
            </reference>
            <reference field="20" count="1">
              <x v="16"/>
            </reference>
          </references>
        </pivotArea>
        <pivotArea type="data" collapsedLevelsAreSubtotals="1" fieldPosition="0">
          <references count="2">
            <reference field="4294967294" count="1" selected="0">
              <x v="1"/>
            </reference>
            <reference field="20" count="1">
              <x v="17"/>
            </reference>
          </references>
        </pivotArea>
        <pivotArea type="data" collapsedLevelsAreSubtotals="1" fieldPosition="0">
          <references count="2">
            <reference field="4294967294" count="1" selected="0">
              <x v="1"/>
            </reference>
            <reference field="20" count="1">
              <x v="18"/>
            </reference>
          </references>
        </pivotArea>
        <pivotArea type="data" collapsedLevelsAreSubtotals="1" fieldPosition="0">
          <references count="2">
            <reference field="4294967294" count="1" selected="0">
              <x v="1"/>
            </reference>
            <reference field="20" count="1">
              <x v="19"/>
            </reference>
          </references>
        </pivotArea>
        <pivotArea type="data" collapsedLevelsAreSubtotals="1" fieldPosition="0">
          <references count="2">
            <reference field="4294967294" count="1" selected="0">
              <x v="1"/>
            </reference>
            <reference field="20" count="1">
              <x v="20"/>
            </reference>
          </references>
        </pivotArea>
        <pivotArea type="data" collapsedLevelsAreSubtotals="1" fieldPosition="0">
          <references count="2">
            <reference field="4294967294" count="1" selected="0">
              <x v="1"/>
            </reference>
            <reference field="20" count="1">
              <x v="21"/>
            </reference>
          </references>
        </pivotArea>
        <pivotArea type="data" collapsedLevelsAreSubtotals="1" fieldPosition="0">
          <references count="2">
            <reference field="4294967294" count="1" selected="0">
              <x v="1"/>
            </reference>
            <reference field="20" count="1">
              <x v="22"/>
            </reference>
          </references>
        </pivotArea>
        <pivotArea type="data" collapsedLevelsAreSubtotals="1" fieldPosition="0">
          <references count="2">
            <reference field="4294967294" count="1" selected="0">
              <x v="1"/>
            </reference>
            <reference field="20" count="1">
              <x v="23"/>
            </reference>
          </references>
        </pivotArea>
        <pivotArea type="data" collapsedLevelsAreSubtotals="1" fieldPosition="0">
          <references count="2">
            <reference field="4294967294" count="1" selected="0">
              <x v="1"/>
            </reference>
            <reference field="20" count="1">
              <x v="24"/>
            </reference>
          </references>
        </pivotArea>
        <pivotArea type="data" collapsedLevelsAreSubtotals="1" fieldPosition="0">
          <references count="2">
            <reference field="4294967294" count="1" selected="0">
              <x v="1"/>
            </reference>
            <reference field="20" count="1">
              <x v="25"/>
            </reference>
          </references>
        </pivotArea>
        <pivotArea type="data" collapsedLevelsAreSubtotals="1" fieldPosition="0">
          <references count="2">
            <reference field="4294967294" count="1" selected="0">
              <x v="1"/>
            </reference>
            <reference field="20" count="1">
              <x v="26"/>
            </reference>
          </references>
        </pivotArea>
        <pivotArea type="data" collapsedLevelsAreSubtotals="1" fieldPosition="0">
          <references count="2">
            <reference field="4294967294" count="1" selected="0">
              <x v="1"/>
            </reference>
            <reference field="20" count="1">
              <x v="27"/>
            </reference>
          </references>
        </pivotArea>
        <pivotArea type="data" collapsedLevelsAreSubtotals="1" fieldPosition="0">
          <references count="2">
            <reference field="4294967294" count="1" selected="0">
              <x v="1"/>
            </reference>
            <reference field="20" count="1">
              <x v="28"/>
            </reference>
          </references>
        </pivotArea>
      </pivotAreas>
    </conditionalFormat>
    <conditionalFormat priority="5">
      <pivotAreas count="14">
        <pivotArea type="data" collapsedLevelsAreSubtotals="1" fieldPosition="0">
          <references count="2">
            <reference field="4294967294" count="1" selected="0">
              <x v="0"/>
            </reference>
            <reference field="20" count="1">
              <x v="15"/>
            </reference>
          </references>
        </pivotArea>
        <pivotArea type="data" collapsedLevelsAreSubtotals="1" fieldPosition="0">
          <references count="2">
            <reference field="4294967294" count="1" selected="0">
              <x v="0"/>
            </reference>
            <reference field="20" count="1">
              <x v="16"/>
            </reference>
          </references>
        </pivotArea>
        <pivotArea type="data" collapsedLevelsAreSubtotals="1" fieldPosition="0">
          <references count="2">
            <reference field="4294967294" count="1" selected="0">
              <x v="0"/>
            </reference>
            <reference field="20" count="1">
              <x v="17"/>
            </reference>
          </references>
        </pivotArea>
        <pivotArea type="data" collapsedLevelsAreSubtotals="1" fieldPosition="0">
          <references count="2">
            <reference field="4294967294" count="1" selected="0">
              <x v="0"/>
            </reference>
            <reference field="20" count="1">
              <x v="18"/>
            </reference>
          </references>
        </pivotArea>
        <pivotArea type="data" collapsedLevelsAreSubtotals="1" fieldPosition="0">
          <references count="2">
            <reference field="4294967294" count="1" selected="0">
              <x v="0"/>
            </reference>
            <reference field="20" count="1">
              <x v="19"/>
            </reference>
          </references>
        </pivotArea>
        <pivotArea type="data" collapsedLevelsAreSubtotals="1" fieldPosition="0">
          <references count="2">
            <reference field="4294967294" count="1" selected="0">
              <x v="0"/>
            </reference>
            <reference field="20" count="1">
              <x v="20"/>
            </reference>
          </references>
        </pivotArea>
        <pivotArea type="data" collapsedLevelsAreSubtotals="1" fieldPosition="0">
          <references count="2">
            <reference field="4294967294" count="1" selected="0">
              <x v="0"/>
            </reference>
            <reference field="20" count="1">
              <x v="21"/>
            </reference>
          </references>
        </pivotArea>
        <pivotArea type="data" collapsedLevelsAreSubtotals="1" fieldPosition="0">
          <references count="2">
            <reference field="4294967294" count="1" selected="0">
              <x v="0"/>
            </reference>
            <reference field="20" count="1">
              <x v="22"/>
            </reference>
          </references>
        </pivotArea>
        <pivotArea type="data" collapsedLevelsAreSubtotals="1" fieldPosition="0">
          <references count="2">
            <reference field="4294967294" count="1" selected="0">
              <x v="0"/>
            </reference>
            <reference field="20" count="1">
              <x v="23"/>
            </reference>
          </references>
        </pivotArea>
        <pivotArea type="data" collapsedLevelsAreSubtotals="1" fieldPosition="0">
          <references count="2">
            <reference field="4294967294" count="1" selected="0">
              <x v="0"/>
            </reference>
            <reference field="20" count="1">
              <x v="24"/>
            </reference>
          </references>
        </pivotArea>
        <pivotArea type="data" collapsedLevelsAreSubtotals="1" fieldPosition="0">
          <references count="2">
            <reference field="4294967294" count="1" selected="0">
              <x v="0"/>
            </reference>
            <reference field="20" count="1">
              <x v="25"/>
            </reference>
          </references>
        </pivotArea>
        <pivotArea type="data" collapsedLevelsAreSubtotals="1" fieldPosition="0">
          <references count="2">
            <reference field="4294967294" count="1" selected="0">
              <x v="0"/>
            </reference>
            <reference field="20" count="1">
              <x v="26"/>
            </reference>
          </references>
        </pivotArea>
        <pivotArea type="data" collapsedLevelsAreSubtotals="1" fieldPosition="0">
          <references count="2">
            <reference field="4294967294" count="1" selected="0">
              <x v="0"/>
            </reference>
            <reference field="20" count="1">
              <x v="27"/>
            </reference>
          </references>
        </pivotArea>
        <pivotArea type="data" collapsedLevelsAreSubtotals="1" fieldPosition="0">
          <references count="2">
            <reference field="4294967294" count="1" selected="0">
              <x v="0"/>
            </reference>
            <reference field="20" count="1">
              <x v="28"/>
            </reference>
          </references>
        </pivotArea>
      </pivotAreas>
    </conditionalFormat>
    <conditionalFormat priority="4">
      <pivotAreas count="14">
        <pivotArea type="data" collapsedLevelsAreSubtotals="1" fieldPosition="0">
          <references count="2">
            <reference field="4294967294" count="1" selected="0">
              <x v="2"/>
            </reference>
            <reference field="20" count="1">
              <x v="15"/>
            </reference>
          </references>
        </pivotArea>
        <pivotArea type="data" collapsedLevelsAreSubtotals="1" fieldPosition="0">
          <references count="2">
            <reference field="4294967294" count="1" selected="0">
              <x v="2"/>
            </reference>
            <reference field="20" count="1">
              <x v="16"/>
            </reference>
          </references>
        </pivotArea>
        <pivotArea type="data" collapsedLevelsAreSubtotals="1" fieldPosition="0">
          <references count="2">
            <reference field="4294967294" count="1" selected="0">
              <x v="2"/>
            </reference>
            <reference field="20" count="1">
              <x v="17"/>
            </reference>
          </references>
        </pivotArea>
        <pivotArea type="data" collapsedLevelsAreSubtotals="1" fieldPosition="0">
          <references count="2">
            <reference field="4294967294" count="1" selected="0">
              <x v="2"/>
            </reference>
            <reference field="20" count="1">
              <x v="18"/>
            </reference>
          </references>
        </pivotArea>
        <pivotArea type="data" collapsedLevelsAreSubtotals="1" fieldPosition="0">
          <references count="2">
            <reference field="4294967294" count="1" selected="0">
              <x v="2"/>
            </reference>
            <reference field="20" count="1">
              <x v="19"/>
            </reference>
          </references>
        </pivotArea>
        <pivotArea type="data" collapsedLevelsAreSubtotals="1" fieldPosition="0">
          <references count="2">
            <reference field="4294967294" count="1" selected="0">
              <x v="2"/>
            </reference>
            <reference field="20" count="1">
              <x v="20"/>
            </reference>
          </references>
        </pivotArea>
        <pivotArea type="data" collapsedLevelsAreSubtotals="1" fieldPosition="0">
          <references count="2">
            <reference field="4294967294" count="1" selected="0">
              <x v="2"/>
            </reference>
            <reference field="20" count="1">
              <x v="21"/>
            </reference>
          </references>
        </pivotArea>
        <pivotArea type="data" collapsedLevelsAreSubtotals="1" fieldPosition="0">
          <references count="2">
            <reference field="4294967294" count="1" selected="0">
              <x v="2"/>
            </reference>
            <reference field="20" count="1">
              <x v="22"/>
            </reference>
          </references>
        </pivotArea>
        <pivotArea type="data" collapsedLevelsAreSubtotals="1" fieldPosition="0">
          <references count="2">
            <reference field="4294967294" count="1" selected="0">
              <x v="2"/>
            </reference>
            <reference field="20" count="1">
              <x v="23"/>
            </reference>
          </references>
        </pivotArea>
        <pivotArea type="data" collapsedLevelsAreSubtotals="1" fieldPosition="0">
          <references count="2">
            <reference field="4294967294" count="1" selected="0">
              <x v="2"/>
            </reference>
            <reference field="20" count="1">
              <x v="24"/>
            </reference>
          </references>
        </pivotArea>
        <pivotArea type="data" collapsedLevelsAreSubtotals="1" fieldPosition="0">
          <references count="2">
            <reference field="4294967294" count="1" selected="0">
              <x v="2"/>
            </reference>
            <reference field="20" count="1">
              <x v="25"/>
            </reference>
          </references>
        </pivotArea>
        <pivotArea type="data" collapsedLevelsAreSubtotals="1" fieldPosition="0">
          <references count="2">
            <reference field="4294967294" count="1" selected="0">
              <x v="2"/>
            </reference>
            <reference field="20" count="1">
              <x v="26"/>
            </reference>
          </references>
        </pivotArea>
        <pivotArea type="data" collapsedLevelsAreSubtotals="1" fieldPosition="0">
          <references count="2">
            <reference field="4294967294" count="1" selected="0">
              <x v="2"/>
            </reference>
            <reference field="20" count="1">
              <x v="27"/>
            </reference>
          </references>
        </pivotArea>
        <pivotArea type="data" collapsedLevelsAreSubtotals="1" fieldPosition="0">
          <references count="2">
            <reference field="4294967294" count="1" selected="0">
              <x v="2"/>
            </reference>
            <reference field="20" count="1">
              <x v="28"/>
            </reference>
          </references>
        </pivotArea>
      </pivotAreas>
    </conditionalFormat>
    <conditionalFormat priority="3">
      <pivotAreas count="14">
        <pivotArea type="data" collapsedLevelsAreSubtotals="1" fieldPosition="0">
          <references count="2">
            <reference field="4294967294" count="1" selected="0">
              <x v="3"/>
            </reference>
            <reference field="20" count="1">
              <x v="15"/>
            </reference>
          </references>
        </pivotArea>
        <pivotArea type="data" collapsedLevelsAreSubtotals="1" fieldPosition="0">
          <references count="2">
            <reference field="4294967294" count="1" selected="0">
              <x v="3"/>
            </reference>
            <reference field="20" count="1">
              <x v="16"/>
            </reference>
          </references>
        </pivotArea>
        <pivotArea type="data" collapsedLevelsAreSubtotals="1" fieldPosition="0">
          <references count="2">
            <reference field="4294967294" count="1" selected="0">
              <x v="3"/>
            </reference>
            <reference field="20" count="1">
              <x v="17"/>
            </reference>
          </references>
        </pivotArea>
        <pivotArea type="data" collapsedLevelsAreSubtotals="1" fieldPosition="0">
          <references count="2">
            <reference field="4294967294" count="1" selected="0">
              <x v="3"/>
            </reference>
            <reference field="20" count="1">
              <x v="18"/>
            </reference>
          </references>
        </pivotArea>
        <pivotArea type="data" collapsedLevelsAreSubtotals="1" fieldPosition="0">
          <references count="2">
            <reference field="4294967294" count="1" selected="0">
              <x v="3"/>
            </reference>
            <reference field="20" count="1">
              <x v="19"/>
            </reference>
          </references>
        </pivotArea>
        <pivotArea type="data" collapsedLevelsAreSubtotals="1" fieldPosition="0">
          <references count="2">
            <reference field="4294967294" count="1" selected="0">
              <x v="3"/>
            </reference>
            <reference field="20" count="1">
              <x v="20"/>
            </reference>
          </references>
        </pivotArea>
        <pivotArea type="data" collapsedLevelsAreSubtotals="1" fieldPosition="0">
          <references count="2">
            <reference field="4294967294" count="1" selected="0">
              <x v="3"/>
            </reference>
            <reference field="20" count="1">
              <x v="21"/>
            </reference>
          </references>
        </pivotArea>
        <pivotArea type="data" collapsedLevelsAreSubtotals="1" fieldPosition="0">
          <references count="2">
            <reference field="4294967294" count="1" selected="0">
              <x v="3"/>
            </reference>
            <reference field="20" count="1">
              <x v="22"/>
            </reference>
          </references>
        </pivotArea>
        <pivotArea type="data" collapsedLevelsAreSubtotals="1" fieldPosition="0">
          <references count="2">
            <reference field="4294967294" count="1" selected="0">
              <x v="3"/>
            </reference>
            <reference field="20" count="1">
              <x v="23"/>
            </reference>
          </references>
        </pivotArea>
        <pivotArea type="data" collapsedLevelsAreSubtotals="1" fieldPosition="0">
          <references count="2">
            <reference field="4294967294" count="1" selected="0">
              <x v="3"/>
            </reference>
            <reference field="20" count="1">
              <x v="24"/>
            </reference>
          </references>
        </pivotArea>
        <pivotArea type="data" collapsedLevelsAreSubtotals="1" fieldPosition="0">
          <references count="2">
            <reference field="4294967294" count="1" selected="0">
              <x v="3"/>
            </reference>
            <reference field="20" count="1">
              <x v="25"/>
            </reference>
          </references>
        </pivotArea>
        <pivotArea type="data" collapsedLevelsAreSubtotals="1" fieldPosition="0">
          <references count="2">
            <reference field="4294967294" count="1" selected="0">
              <x v="3"/>
            </reference>
            <reference field="20" count="1">
              <x v="26"/>
            </reference>
          </references>
        </pivotArea>
        <pivotArea type="data" collapsedLevelsAreSubtotals="1" fieldPosition="0">
          <references count="2">
            <reference field="4294967294" count="1" selected="0">
              <x v="3"/>
            </reference>
            <reference field="20" count="1">
              <x v="27"/>
            </reference>
          </references>
        </pivotArea>
        <pivotArea type="data" collapsedLevelsAreSubtotals="1" fieldPosition="0">
          <references count="2">
            <reference field="4294967294" count="1" selected="0">
              <x v="3"/>
            </reference>
            <reference field="20" count="1">
              <x v="2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50FCE1-3E42-4614-B0B8-94843CB9A18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1" firstHeaderRow="1" firstDataRow="1" firstDataCol="1" rowPageCount="1" colPageCount="1"/>
  <pivotFields count="9">
    <pivotField showAll="0"/>
    <pivotField showAll="0"/>
    <pivotField numFmtId="14" showAll="0"/>
    <pivotField showAll="0"/>
    <pivotField showAll="0"/>
    <pivotField dataField="1" showAll="0"/>
    <pivotField showAll="0"/>
    <pivotField axis="axisRow" showAll="0" sortType="ascending">
      <items count="8">
        <item x="0"/>
        <item x="2"/>
        <item x="6"/>
        <item x="1"/>
        <item x="4"/>
        <item x="3"/>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h="1" x="1"/>
        <item x="0"/>
        <item t="default"/>
      </items>
    </pivotField>
  </pivotFields>
  <rowFields count="1">
    <field x="7"/>
  </rowFields>
  <rowItems count="8">
    <i>
      <x v="2"/>
    </i>
    <i>
      <x/>
    </i>
    <i>
      <x v="4"/>
    </i>
    <i>
      <x v="1"/>
    </i>
    <i>
      <x v="5"/>
    </i>
    <i>
      <x v="3"/>
    </i>
    <i>
      <x v="6"/>
    </i>
    <i t="grand">
      <x/>
    </i>
  </rowItems>
  <colItems count="1">
    <i/>
  </colItems>
  <pageFields count="1">
    <pageField fld="8" hier="-1"/>
  </pageFields>
  <dataFields count="1">
    <dataField name="Average of CCU Rank" fld="5" subtotal="average" baseField="7" baseItem="0"/>
  </dataFields>
  <conditionalFormats count="1">
    <conditionalFormat priority="1">
      <pivotAreas count="1">
        <pivotArea type="data" collapsedLevelsAreSubtotals="1" fieldPosition="0">
          <references count="2">
            <reference field="4294967294" count="1" selected="0">
              <x v="0"/>
            </reference>
            <reference field="7"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8CEA6-E9A4-4055-8D66-9AA26C60518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rowPageCount="1" colPageCount="1"/>
  <pivotFields count="9">
    <pivotField dataField="1" showAll="0"/>
    <pivotField showAll="0"/>
    <pivotField numFmtId="14" showAll="0"/>
    <pivotField showAll="0"/>
    <pivotField showAll="0"/>
    <pivotField showAll="0"/>
    <pivotField showAll="0"/>
    <pivotField axis="axisRow" showAll="0" sortType="ascending">
      <items count="8">
        <item x="0"/>
        <item x="2"/>
        <item x="6"/>
        <item x="1"/>
        <item x="4"/>
        <item x="3"/>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x="1"/>
        <item h="1" x="0"/>
        <item t="default"/>
      </items>
    </pivotField>
  </pivotFields>
  <rowFields count="1">
    <field x="7"/>
  </rowFields>
  <rowItems count="8">
    <i>
      <x/>
    </i>
    <i>
      <x v="3"/>
    </i>
    <i>
      <x v="1"/>
    </i>
    <i>
      <x v="5"/>
    </i>
    <i>
      <x v="4"/>
    </i>
    <i>
      <x v="6"/>
    </i>
    <i>
      <x v="2"/>
    </i>
    <i t="grand">
      <x/>
    </i>
  </rowItems>
  <colItems count="1">
    <i/>
  </colItems>
  <pageFields count="1">
    <pageField fld="8" hier="-1"/>
  </pageFields>
  <dataFields count="1">
    <dataField name="Count of AppID" fld="0" subtotal="count" baseField="7" baseItem="1"/>
  </dataFields>
  <conditionalFormats count="1">
    <conditionalFormat priority="2">
      <pivotAreas count="1">
        <pivotArea type="data" collapsedLevelsAreSubtotals="1" fieldPosition="0">
          <references count="2">
            <reference field="4294967294" count="1" selected="0">
              <x v="0"/>
            </reference>
            <reference field="7"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7041FC6-ED97-47BB-97DD-E224451857FC}" autoFormatId="16" applyNumberFormats="0" applyBorderFormats="0" applyFontFormats="0" applyPatternFormats="0" applyAlignmentFormats="0" applyWidthHeightFormats="0">
  <queryTableRefresh nextId="10">
    <queryTableFields count="9">
      <queryTableField id="1" name="AppID" tableColumnId="1"/>
      <queryTableField id="2" name="Name" tableColumnId="2"/>
      <queryTableField id="3" name="Release_Date" tableColumnId="3"/>
      <queryTableField id="4" name="Peak_CCU" tableColumnId="4"/>
      <queryTableField id="5" name="Linux" tableColumnId="5"/>
      <queryTableField id="6" name="CCU Rank" tableColumnId="6"/>
      <queryTableField id="7" name="Rec_GPU" tableColumnId="7"/>
      <queryTableField id="8" name="Attribute" tableColumnId="8"/>
      <queryTableField id="9" name="Valu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BEA6988-1FBF-492D-A86D-E9E7A64F873C}" autoFormatId="16" applyNumberFormats="0" applyBorderFormats="0" applyFontFormats="0" applyPatternFormats="0" applyAlignmentFormats="0" applyWidthHeightFormats="0">
  <queryTableRefresh nextId="21" unboundColumnsRight="7">
    <queryTableFields count="16">
      <queryTableField id="1" name="AppID" tableColumnId="1"/>
      <queryTableField id="2" name="Name" tableColumnId="2"/>
      <queryTableField id="3" name="Release_Date" tableColumnId="3"/>
      <queryTableField id="4" name="Peak_CCU" tableColumnId="4"/>
      <queryTableField id="5" name="Linux" tableColumnId="5"/>
      <queryTableField id="6" name="Genres" tableColumnId="6"/>
      <queryTableField id="7" name="Tags" tableColumnId="7"/>
      <queryTableField id="8" name="CCU Rank" tableColumnId="8"/>
      <queryTableField id="9" name="Rec_GPU" tableColumnId="9"/>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432F9C-AC75-4C42-ADA6-B14C4E76CC57}" name="TableMainPivot" displayName="TableMainPivot" ref="A1:I6784" tableType="queryTable" totalsRowShown="0">
  <autoFilter ref="A1:I6784" xr:uid="{93432F9C-AC75-4C42-ADA6-B14C4E76CC57}"/>
  <tableColumns count="9">
    <tableColumn id="1" xr3:uid="{4C72D846-2316-4739-A4CC-D9F5BFB3EA4F}" uniqueName="1" name="AppID" queryTableFieldId="1"/>
    <tableColumn id="2" xr3:uid="{8ED3E899-95C5-455D-8701-5BF5C5E2F678}" uniqueName="2" name="Name" queryTableFieldId="2" dataDxfId="19"/>
    <tableColumn id="3" xr3:uid="{F2655102-7AC7-4983-99A3-B7BB15189000}" uniqueName="3" name="Release_Date" queryTableFieldId="3" dataDxfId="18"/>
    <tableColumn id="4" xr3:uid="{7C2E9353-4780-4B33-B198-74945C14FC8F}" uniqueName="4" name="Peak_CCU" queryTableFieldId="4"/>
    <tableColumn id="5" xr3:uid="{0120A40B-A651-4EB1-950A-68E0547ACC24}" uniqueName="5" name="Linux" queryTableFieldId="5"/>
    <tableColumn id="6" xr3:uid="{7F4C48EF-166C-4059-B6FF-4E5B2365B2D7}" uniqueName="6" name="CCU Rank" queryTableFieldId="6"/>
    <tableColumn id="7" xr3:uid="{12206636-104C-42D7-8915-0DC40769AB4B}" uniqueName="7" name="Rec_GPU" queryTableFieldId="7" dataDxfId="17"/>
    <tableColumn id="8" xr3:uid="{E2FDF004-8061-4437-A0C4-FCAA3D81BB85}" uniqueName="8" name="Genre" queryTableFieldId="8" dataDxfId="16"/>
    <tableColumn id="9" xr3:uid="{D1DC77AC-A691-4D05-A86C-4B7C71117BB3}" uniqueName="9" name="Genre_Flag" queryTableFieldId="9"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E32C3-3E6C-4450-9C2B-E8DA4822BD79}" name="TableMain" displayName="TableMain" ref="A1:P970" tableType="queryTable" totalsRowShown="0" headerRowDxfId="14">
  <autoFilter ref="A1:P970" xr:uid="{3B0E32C3-3E6C-4450-9C2B-E8DA4822BD79}"/>
  <tableColumns count="16">
    <tableColumn id="1" xr3:uid="{31452A9F-1DB5-4C80-BC6A-421F576A20A3}" uniqueName="1" name="AppID" queryTableFieldId="1"/>
    <tableColumn id="2" xr3:uid="{0C5FA0AF-312A-47D6-9375-0B77C5CF1480}" uniqueName="2" name="Name" queryTableFieldId="2" dataDxfId="13"/>
    <tableColumn id="3" xr3:uid="{EFB6526C-5E07-45FF-88EC-B72F1ABC54F7}" uniqueName="3" name="Release_Date" queryTableFieldId="3" dataDxfId="12"/>
    <tableColumn id="4" xr3:uid="{DEF62C04-06B6-4882-A56C-6954599BED75}" uniqueName="4" name="Peak_CCU" queryTableFieldId="4"/>
    <tableColumn id="5" xr3:uid="{115B35B9-902A-4667-AB9E-87F9A93B6529}" uniqueName="5" name="Linux" queryTableFieldId="5"/>
    <tableColumn id="6" xr3:uid="{92EE7125-AB11-43E6-A0D4-4FD39CE90B0F}" uniqueName="6" name="Genres" queryTableFieldId="6" dataDxfId="11"/>
    <tableColumn id="7" xr3:uid="{5504C9EB-818C-4415-8DA4-7C1C1BEC027F}" uniqueName="7" name="Tags" queryTableFieldId="7" dataDxfId="10"/>
    <tableColumn id="8" xr3:uid="{51FC0713-8E7F-4392-AB59-97FCAD698FCF}" uniqueName="8" name="CCU Rank" queryTableFieldId="8"/>
    <tableColumn id="9" xr3:uid="{1E60F346-0222-4A0F-B219-92EF2DAADCA0}" uniqueName="9" name="Rec_GPU" queryTableFieldId="9" dataDxfId="9"/>
    <tableColumn id="14" xr3:uid="{52281321-57D7-4587-8CAC-E2C5987432DD}" uniqueName="14" name="Action" queryTableFieldId="14" dataDxfId="8">
      <calculatedColumnFormula>IF(ISNUMBER(SEARCH(",Action,",","&amp;SUBSTITUTE(TableMain[[#This Row],[Tags]],", ",",")&amp;",")),"Y","N")</calculatedColumnFormula>
    </tableColumn>
    <tableColumn id="15" xr3:uid="{617E95D9-01F0-4A1F-95E3-4D096DF0512B}" uniqueName="15" name="Indie" queryTableFieldId="15" dataDxfId="7">
      <calculatedColumnFormula>IF(ISNUMBER(SEARCH(",Indie,",","&amp;SUBSTITUTE(TableMain[[#This Row],[Tags]],", ",",")&amp;",")),"Y","N")</calculatedColumnFormula>
    </tableColumn>
    <tableColumn id="16" xr3:uid="{B84288FF-0628-4851-8904-2FBBF5B02C16}" uniqueName="16" name="Adventure" queryTableFieldId="16" dataDxfId="6">
      <calculatedColumnFormula>IF(ISNUMBER(SEARCH(",Adventure,",","&amp;SUBSTITUTE(TableMain[[#This Row],[Tags]],", ",",")&amp;",")),"Y","N")</calculatedColumnFormula>
    </tableColumn>
    <tableColumn id="17" xr3:uid="{23FBD1B5-C2DD-442E-97F9-8B3C126A3C4D}" uniqueName="17" name="Simulation" queryTableFieldId="17" dataDxfId="5">
      <calculatedColumnFormula>IF(ISNUMBER(SEARCH(",Simulation,",","&amp;SUBSTITUTE(TableMain[[#This Row],[Tags]],", ",",")&amp;",")),"Y","N")</calculatedColumnFormula>
    </tableColumn>
    <tableColumn id="18" xr3:uid="{EC77F0E1-E894-4B2F-841B-2905B1D3DC7C}" uniqueName="18" name="RPG" queryTableFieldId="18" dataDxfId="4">
      <calculatedColumnFormula>IF(ISNUMBER(SEARCH(",RPG,",","&amp;SUBSTITUTE(TableMain[[#This Row],[Tags]],", ",",")&amp;",")),"Y","N")</calculatedColumnFormula>
    </tableColumn>
    <tableColumn id="19" xr3:uid="{887836D5-F626-4EC0-97CF-032A5871695D}" uniqueName="19" name="Strategy" queryTableFieldId="19" dataDxfId="3">
      <calculatedColumnFormula>IF(ISNUMBER(SEARCH(",Strategy,",","&amp;SUBSTITUTE(TableMain[[#This Row],[Tags]],", ",",")&amp;",")),"Y","N")</calculatedColumnFormula>
    </tableColumn>
    <tableColumn id="20" xr3:uid="{AF10EDA0-3B1E-44C1-AEC8-D73BA58A5583}" uniqueName="20" name="Free To Play" queryTableFieldId="20" dataDxfId="2">
      <calculatedColumnFormula>IF(ISNUMBER(SEARCH(",Free To Play,",","&amp;SUBSTITUTE(TableMain[[#This Row],[Tags]],", ",",")&amp;",")),"Y","N")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05B3-2E25-44CF-B1AE-B03DB522074A}">
  <dimension ref="A1:K18"/>
  <sheetViews>
    <sheetView workbookViewId="0">
      <selection activeCell="I14" sqref="I14"/>
    </sheetView>
  </sheetViews>
  <sheetFormatPr defaultRowHeight="14.5" x14ac:dyDescent="0.35"/>
  <cols>
    <col min="1" max="1" width="12.36328125" bestFit="1" customWidth="1"/>
    <col min="2" max="2" width="15.7265625" bestFit="1" customWidth="1"/>
    <col min="3" max="3" width="18.90625" bestFit="1" customWidth="1"/>
    <col min="4" max="4" width="18.453125" bestFit="1" customWidth="1"/>
    <col min="5" max="5" width="14.90625" bestFit="1" customWidth="1"/>
    <col min="7" max="7" width="12.36328125" bestFit="1" customWidth="1"/>
    <col min="8" max="8" width="13.81640625" bestFit="1" customWidth="1"/>
    <col min="9" max="9" width="10.81640625" bestFit="1" customWidth="1"/>
    <col min="10" max="10" width="12.36328125" bestFit="1" customWidth="1"/>
    <col min="11" max="11" width="18.453125" bestFit="1" customWidth="1"/>
    <col min="12" max="15" width="10.81640625" bestFit="1" customWidth="1"/>
  </cols>
  <sheetData>
    <row r="1" spans="1:11" x14ac:dyDescent="0.35">
      <c r="G1" s="5" t="s">
        <v>2119</v>
      </c>
      <c r="H1" t="s">
        <v>2117</v>
      </c>
      <c r="J1" s="5" t="s">
        <v>2119</v>
      </c>
      <c r="K1" t="s">
        <v>2116</v>
      </c>
    </row>
    <row r="3" spans="1:11" x14ac:dyDescent="0.35">
      <c r="A3" s="5" t="s">
        <v>2098</v>
      </c>
      <c r="B3" t="s">
        <v>2114</v>
      </c>
      <c r="C3" t="s">
        <v>2096</v>
      </c>
      <c r="D3" t="s">
        <v>2097</v>
      </c>
      <c r="E3" t="s">
        <v>2115</v>
      </c>
      <c r="G3" s="5" t="s">
        <v>2098</v>
      </c>
      <c r="H3" t="s">
        <v>2120</v>
      </c>
      <c r="J3" s="5" t="s">
        <v>2098</v>
      </c>
      <c r="K3" t="s">
        <v>2097</v>
      </c>
    </row>
    <row r="4" spans="1:11" x14ac:dyDescent="0.35">
      <c r="A4" s="6" t="s">
        <v>2100</v>
      </c>
      <c r="B4">
        <v>1013936</v>
      </c>
      <c r="C4" s="7">
        <v>48268.272727272728</v>
      </c>
      <c r="D4" s="7">
        <v>535.90909090909088</v>
      </c>
      <c r="E4">
        <v>1</v>
      </c>
      <c r="G4" s="6" t="s">
        <v>49</v>
      </c>
      <c r="H4">
        <v>470</v>
      </c>
      <c r="J4" s="6" t="s">
        <v>1510</v>
      </c>
      <c r="K4">
        <v>424.97916666666669</v>
      </c>
    </row>
    <row r="5" spans="1:11" x14ac:dyDescent="0.35">
      <c r="A5" s="6" t="s">
        <v>2101</v>
      </c>
      <c r="B5">
        <v>623941</v>
      </c>
      <c r="C5" s="7">
        <v>30863.615384615383</v>
      </c>
      <c r="D5" s="7">
        <v>466.34615384615387</v>
      </c>
      <c r="E5">
        <v>2</v>
      </c>
      <c r="G5" s="6" t="s">
        <v>792</v>
      </c>
      <c r="H5">
        <v>595</v>
      </c>
      <c r="J5" s="6" t="s">
        <v>49</v>
      </c>
      <c r="K5">
        <v>469.82164328657313</v>
      </c>
    </row>
    <row r="6" spans="1:11" x14ac:dyDescent="0.35">
      <c r="A6" s="6" t="s">
        <v>2102</v>
      </c>
      <c r="B6">
        <v>27850</v>
      </c>
      <c r="C6" s="7">
        <v>3162.8888888888887</v>
      </c>
      <c r="D6" s="7">
        <v>641.2962962962963</v>
      </c>
      <c r="E6">
        <v>35</v>
      </c>
      <c r="G6" s="6" t="s">
        <v>346</v>
      </c>
      <c r="H6">
        <v>606</v>
      </c>
      <c r="J6" s="6" t="s">
        <v>132</v>
      </c>
      <c r="K6">
        <v>472.7697160883281</v>
      </c>
    </row>
    <row r="7" spans="1:11" x14ac:dyDescent="0.35">
      <c r="A7" s="6" t="s">
        <v>2103</v>
      </c>
      <c r="B7">
        <v>67851</v>
      </c>
      <c r="C7">
        <v>6209.9</v>
      </c>
      <c r="D7">
        <v>444.1</v>
      </c>
      <c r="E7">
        <v>11</v>
      </c>
      <c r="G7" s="6" t="s">
        <v>239</v>
      </c>
      <c r="H7">
        <v>626</v>
      </c>
      <c r="J7" s="6" t="s">
        <v>346</v>
      </c>
      <c r="K7">
        <v>472.80991735537191</v>
      </c>
    </row>
    <row r="8" spans="1:11" x14ac:dyDescent="0.35">
      <c r="A8" s="6" t="s">
        <v>2104</v>
      </c>
      <c r="B8">
        <v>50662</v>
      </c>
      <c r="C8" s="7">
        <v>6298.630434782609</v>
      </c>
      <c r="D8" s="7">
        <v>467.26086956521738</v>
      </c>
      <c r="E8">
        <v>17</v>
      </c>
      <c r="G8" s="6" t="s">
        <v>132</v>
      </c>
      <c r="H8">
        <v>652</v>
      </c>
      <c r="J8" s="6" t="s">
        <v>239</v>
      </c>
      <c r="K8">
        <v>490.801749271137</v>
      </c>
    </row>
    <row r="9" spans="1:11" x14ac:dyDescent="0.35">
      <c r="A9" s="6" t="s">
        <v>2105</v>
      </c>
      <c r="B9">
        <v>314682</v>
      </c>
      <c r="C9" s="7">
        <v>9766.2692307692305</v>
      </c>
      <c r="D9" s="7">
        <v>458.30769230769232</v>
      </c>
      <c r="E9">
        <v>3</v>
      </c>
      <c r="G9" s="6" t="s">
        <v>124</v>
      </c>
      <c r="H9">
        <v>687</v>
      </c>
      <c r="J9" s="6" t="s">
        <v>792</v>
      </c>
      <c r="K9">
        <v>498.06417112299465</v>
      </c>
    </row>
    <row r="10" spans="1:11" x14ac:dyDescent="0.35">
      <c r="A10" s="6" t="s">
        <v>2106</v>
      </c>
      <c r="B10">
        <v>143870</v>
      </c>
      <c r="C10" s="7">
        <v>5959.5223880597014</v>
      </c>
      <c r="D10" s="7">
        <v>472.94029850746267</v>
      </c>
      <c r="E10">
        <v>6</v>
      </c>
      <c r="G10" s="6" t="s">
        <v>1510</v>
      </c>
      <c r="H10">
        <v>825</v>
      </c>
      <c r="J10" s="6" t="s">
        <v>124</v>
      </c>
      <c r="K10">
        <v>501.13475177304963</v>
      </c>
    </row>
    <row r="11" spans="1:11" x14ac:dyDescent="0.35">
      <c r="A11" s="6" t="s">
        <v>2107</v>
      </c>
      <c r="B11">
        <v>29885</v>
      </c>
      <c r="C11" s="7">
        <v>2974.5344827586205</v>
      </c>
      <c r="D11" s="7">
        <v>494.56896551724139</v>
      </c>
      <c r="E11">
        <v>31</v>
      </c>
      <c r="G11" s="6" t="s">
        <v>2099</v>
      </c>
      <c r="H11">
        <v>4461</v>
      </c>
      <c r="J11" s="6" t="s">
        <v>2099</v>
      </c>
      <c r="K11">
        <v>479.3613264427218</v>
      </c>
    </row>
    <row r="12" spans="1:11" x14ac:dyDescent="0.35">
      <c r="A12" s="6" t="s">
        <v>2108</v>
      </c>
      <c r="B12">
        <v>124262</v>
      </c>
      <c r="C12" s="7">
        <v>4934.8823529411766</v>
      </c>
      <c r="D12" s="7">
        <v>416.2823529411765</v>
      </c>
      <c r="E12">
        <v>7</v>
      </c>
    </row>
    <row r="13" spans="1:11" x14ac:dyDescent="0.35">
      <c r="A13" s="6" t="s">
        <v>2109</v>
      </c>
      <c r="B13">
        <v>66954</v>
      </c>
      <c r="C13" s="7">
        <v>3295.5384615384614</v>
      </c>
      <c r="D13" s="7">
        <v>454.67948717948718</v>
      </c>
      <c r="E13">
        <v>13</v>
      </c>
    </row>
    <row r="14" spans="1:11" x14ac:dyDescent="0.35">
      <c r="A14" s="6" t="s">
        <v>2110</v>
      </c>
      <c r="B14">
        <v>67419</v>
      </c>
      <c r="C14" s="7">
        <v>3409.9722222222222</v>
      </c>
      <c r="D14" s="7">
        <v>530.08333333333337</v>
      </c>
      <c r="E14">
        <v>12</v>
      </c>
    </row>
    <row r="15" spans="1:11" x14ac:dyDescent="0.35">
      <c r="A15" s="6" t="s">
        <v>2111</v>
      </c>
      <c r="B15">
        <v>54771</v>
      </c>
      <c r="C15" s="7">
        <v>3162.6489361702129</v>
      </c>
      <c r="D15" s="7">
        <v>532.44680851063833</v>
      </c>
      <c r="E15">
        <v>14</v>
      </c>
    </row>
    <row r="16" spans="1:11" x14ac:dyDescent="0.35">
      <c r="A16" s="6" t="s">
        <v>2112</v>
      </c>
      <c r="B16">
        <v>106611</v>
      </c>
      <c r="C16" s="7">
        <v>4178.1940298507461</v>
      </c>
      <c r="D16" s="7">
        <v>496.3805970149254</v>
      </c>
      <c r="E16">
        <v>8</v>
      </c>
    </row>
    <row r="17" spans="1:5" x14ac:dyDescent="0.35">
      <c r="A17" s="6" t="s">
        <v>2113</v>
      </c>
      <c r="B17">
        <v>164168</v>
      </c>
      <c r="C17" s="7">
        <v>6717.3504273504277</v>
      </c>
      <c r="D17" s="7">
        <v>454.69230769230768</v>
      </c>
      <c r="E17">
        <v>4</v>
      </c>
    </row>
    <row r="18" spans="1:5" x14ac:dyDescent="0.35">
      <c r="A18" s="6" t="s">
        <v>2099</v>
      </c>
      <c r="B18">
        <v>1013936</v>
      </c>
      <c r="C18" s="7">
        <v>6680.4749455337687</v>
      </c>
      <c r="D18" s="7">
        <v>483.08387799564269</v>
      </c>
      <c r="E18">
        <v>1</v>
      </c>
    </row>
  </sheetData>
  <conditionalFormatting pivot="1" sqref="B9 B8 B10 B11 B12 B13 B14 B15 B16 B17">
    <cfRule type="colorScale" priority="7">
      <colorScale>
        <cfvo type="min"/>
        <cfvo type="percentile" val="50"/>
        <cfvo type="max"/>
        <color rgb="FFF8696B"/>
        <color rgb="FFFFEB84"/>
        <color rgb="FF63BE7B"/>
      </colorScale>
    </cfRule>
  </conditionalFormatting>
  <conditionalFormatting pivot="1" sqref="C8 C9 C10 C11 C12 C13 C14 C15 C16 C17">
    <cfRule type="colorScale" priority="10">
      <colorScale>
        <cfvo type="min"/>
        <cfvo type="percentile" val="50"/>
        <cfvo type="max"/>
        <color rgb="FFF8696B"/>
        <color rgb="FFFFEB84"/>
        <color rgb="FF63BE7B"/>
      </colorScale>
    </cfRule>
  </conditionalFormatting>
  <conditionalFormatting pivot="1" sqref="D8 D9 D10 D11 D12 D13 D14 D15 D16 D17">
    <cfRule type="colorScale" priority="9">
      <colorScale>
        <cfvo type="min"/>
        <cfvo type="percentile" val="50"/>
        <cfvo type="max"/>
        <color rgb="FFF8696B"/>
        <color rgb="FFFFEB84"/>
        <color rgb="FF63BE7B"/>
      </colorScale>
    </cfRule>
  </conditionalFormatting>
  <conditionalFormatting pivot="1" sqref="E8 E9 E10 E11 E12 E13 E14 E15 E16 E17">
    <cfRule type="colorScale" priority="8">
      <colorScale>
        <cfvo type="min"/>
        <cfvo type="percentile" val="50"/>
        <cfvo type="max"/>
        <color rgb="FFF8696B"/>
        <color rgb="FFFFEB84"/>
        <color rgb="FF63BE7B"/>
      </colorScale>
    </cfRule>
  </conditionalFormatting>
  <conditionalFormatting pivot="1" sqref="C5 C4 C6 C7 C8 C9 C10 C11 C12 C13 C14 C15 C16 C17">
    <cfRule type="colorScale" priority="6">
      <colorScale>
        <cfvo type="min"/>
        <cfvo type="percentile" val="50"/>
        <cfvo type="max"/>
        <color rgb="FFF8696B"/>
        <color rgb="FFFFEB84"/>
        <color rgb="FF63BE7B"/>
      </colorScale>
    </cfRule>
  </conditionalFormatting>
  <conditionalFormatting pivot="1" sqref="B5 B4 B6 B7 B8 B9 B10 B11 B12 B13 B14 B15 B16 B17">
    <cfRule type="colorScale" priority="5">
      <colorScale>
        <cfvo type="min"/>
        <cfvo type="percentile" val="50"/>
        <cfvo type="max"/>
        <color rgb="FFF8696B"/>
        <color rgb="FFFFEB84"/>
        <color rgb="FF63BE7B"/>
      </colorScale>
    </cfRule>
  </conditionalFormatting>
  <conditionalFormatting pivot="1" sqref="D5 D4 D6 D7 D8 D9 D10 D11 D12 D13 D14 D15 D16 D17">
    <cfRule type="colorScale" priority="4">
      <colorScale>
        <cfvo type="min"/>
        <cfvo type="percentile" val="50"/>
        <cfvo type="max"/>
        <color rgb="FFF8696B"/>
        <color rgb="FFFFEB84"/>
        <color rgb="FF63BE7B"/>
      </colorScale>
    </cfRule>
  </conditionalFormatting>
  <conditionalFormatting pivot="1" sqref="E5 E4 E6 E7 E8 E9 E10 E11 E12 E13 E14 E15 E16 E17">
    <cfRule type="colorScale" priority="3">
      <colorScale>
        <cfvo type="min"/>
        <cfvo type="percentile" val="50"/>
        <cfvo type="max"/>
        <color rgb="FFF8696B"/>
        <color rgb="FFFFEB84"/>
        <color rgb="FF63BE7B"/>
      </colorScale>
    </cfRule>
  </conditionalFormatting>
  <conditionalFormatting pivot="1" sqref="H4:H10">
    <cfRule type="colorScale" priority="2">
      <colorScale>
        <cfvo type="min"/>
        <cfvo type="percentile" val="50"/>
        <cfvo type="max"/>
        <color rgb="FFF8696B"/>
        <color rgb="FFFFEB84"/>
        <color rgb="FF63BE7B"/>
      </colorScale>
    </cfRule>
  </conditionalFormatting>
  <conditionalFormatting pivot="1" sqref="K4:K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8C2F-8741-4CA7-ADDA-14D5DECF04F4}">
  <dimension ref="A1:I6784"/>
  <sheetViews>
    <sheetView workbookViewId="0">
      <selection activeCell="B3" sqref="B3"/>
    </sheetView>
  </sheetViews>
  <sheetFormatPr defaultRowHeight="14.5" x14ac:dyDescent="0.35"/>
  <cols>
    <col min="1" max="1" width="8.26953125" bestFit="1" customWidth="1"/>
    <col min="2" max="2" width="55.6328125" bestFit="1" customWidth="1"/>
    <col min="3" max="3" width="15.54296875" style="1" bestFit="1" customWidth="1"/>
    <col min="4" max="4" width="11.6328125" bestFit="1" customWidth="1"/>
    <col min="5" max="5" width="7.453125" bestFit="1" customWidth="1"/>
    <col min="6" max="6" width="11.1796875" bestFit="1" customWidth="1"/>
    <col min="7" max="7" width="16.6328125" bestFit="1" customWidth="1"/>
    <col min="8" max="8" width="10.81640625" bestFit="1" customWidth="1"/>
    <col min="9" max="9" width="12.1796875" bestFit="1" customWidth="1"/>
  </cols>
  <sheetData>
    <row r="1" spans="1:9" x14ac:dyDescent="0.35">
      <c r="A1" t="s">
        <v>0</v>
      </c>
      <c r="B1" t="s">
        <v>1</v>
      </c>
      <c r="C1" s="1" t="s">
        <v>2</v>
      </c>
      <c r="D1" t="s">
        <v>3</v>
      </c>
      <c r="E1" t="s">
        <v>4</v>
      </c>
      <c r="F1" t="s">
        <v>7</v>
      </c>
      <c r="G1" t="s">
        <v>8</v>
      </c>
      <c r="H1" t="s">
        <v>2118</v>
      </c>
      <c r="I1" t="s">
        <v>2119</v>
      </c>
    </row>
    <row r="2" spans="1:9" x14ac:dyDescent="0.35">
      <c r="A2">
        <v>730</v>
      </c>
      <c r="B2" t="s">
        <v>2086</v>
      </c>
      <c r="C2" s="1">
        <v>41142</v>
      </c>
      <c r="D2">
        <v>1013936</v>
      </c>
      <c r="E2" t="b">
        <v>0</v>
      </c>
      <c r="F2">
        <v>1</v>
      </c>
      <c r="G2" t="s">
        <v>33</v>
      </c>
      <c r="H2" t="s">
        <v>49</v>
      </c>
      <c r="I2" t="s">
        <v>2116</v>
      </c>
    </row>
    <row r="3" spans="1:9" x14ac:dyDescent="0.35">
      <c r="A3">
        <v>730</v>
      </c>
      <c r="B3" t="s">
        <v>2086</v>
      </c>
      <c r="C3" s="1">
        <v>41142</v>
      </c>
      <c r="D3">
        <v>1013936</v>
      </c>
      <c r="E3" t="b">
        <v>0</v>
      </c>
      <c r="F3">
        <v>1</v>
      </c>
      <c r="G3" t="s">
        <v>33</v>
      </c>
      <c r="H3" t="s">
        <v>792</v>
      </c>
      <c r="I3" t="s">
        <v>2117</v>
      </c>
    </row>
    <row r="4" spans="1:9" x14ac:dyDescent="0.35">
      <c r="A4">
        <v>730</v>
      </c>
      <c r="B4" t="s">
        <v>2086</v>
      </c>
      <c r="C4" s="1">
        <v>41142</v>
      </c>
      <c r="D4">
        <v>1013936</v>
      </c>
      <c r="E4" t="b">
        <v>0</v>
      </c>
      <c r="F4">
        <v>1</v>
      </c>
      <c r="G4" t="s">
        <v>33</v>
      </c>
      <c r="H4" t="s">
        <v>346</v>
      </c>
      <c r="I4" t="s">
        <v>2117</v>
      </c>
    </row>
    <row r="5" spans="1:9" x14ac:dyDescent="0.35">
      <c r="A5">
        <v>730</v>
      </c>
      <c r="B5" t="s">
        <v>2086</v>
      </c>
      <c r="C5" s="1">
        <v>41142</v>
      </c>
      <c r="D5">
        <v>1013936</v>
      </c>
      <c r="E5" t="b">
        <v>0</v>
      </c>
      <c r="F5">
        <v>1</v>
      </c>
      <c r="G5" t="s">
        <v>33</v>
      </c>
      <c r="H5" t="s">
        <v>239</v>
      </c>
      <c r="I5" t="s">
        <v>2117</v>
      </c>
    </row>
    <row r="6" spans="1:9" x14ac:dyDescent="0.35">
      <c r="A6">
        <v>730</v>
      </c>
      <c r="B6" t="s">
        <v>2086</v>
      </c>
      <c r="C6" s="1">
        <v>41142</v>
      </c>
      <c r="D6">
        <v>1013936</v>
      </c>
      <c r="E6" t="b">
        <v>0</v>
      </c>
      <c r="F6">
        <v>1</v>
      </c>
      <c r="G6" t="s">
        <v>33</v>
      </c>
      <c r="H6" t="s">
        <v>132</v>
      </c>
      <c r="I6" t="s">
        <v>2117</v>
      </c>
    </row>
    <row r="7" spans="1:9" x14ac:dyDescent="0.35">
      <c r="A7">
        <v>730</v>
      </c>
      <c r="B7" t="s">
        <v>2086</v>
      </c>
      <c r="C7" s="1">
        <v>41142</v>
      </c>
      <c r="D7">
        <v>1013936</v>
      </c>
      <c r="E7" t="b">
        <v>0</v>
      </c>
      <c r="F7">
        <v>1</v>
      </c>
      <c r="G7" t="s">
        <v>33</v>
      </c>
      <c r="H7" t="s">
        <v>124</v>
      </c>
      <c r="I7" t="s">
        <v>2117</v>
      </c>
    </row>
    <row r="8" spans="1:9" x14ac:dyDescent="0.35">
      <c r="A8">
        <v>730</v>
      </c>
      <c r="B8" t="s">
        <v>2086</v>
      </c>
      <c r="C8" s="1">
        <v>41142</v>
      </c>
      <c r="D8">
        <v>1013936</v>
      </c>
      <c r="E8" t="b">
        <v>0</v>
      </c>
      <c r="F8">
        <v>1</v>
      </c>
      <c r="G8" t="s">
        <v>33</v>
      </c>
      <c r="H8" t="s">
        <v>1510</v>
      </c>
      <c r="I8" t="s">
        <v>2116</v>
      </c>
    </row>
    <row r="9" spans="1:9" x14ac:dyDescent="0.35">
      <c r="A9">
        <v>570</v>
      </c>
      <c r="B9" t="s">
        <v>11</v>
      </c>
      <c r="C9" s="1">
        <v>41464</v>
      </c>
      <c r="D9">
        <v>623941</v>
      </c>
      <c r="E9" t="b">
        <v>1</v>
      </c>
      <c r="F9">
        <v>2</v>
      </c>
      <c r="G9" t="s">
        <v>2092</v>
      </c>
      <c r="H9" t="s">
        <v>49</v>
      </c>
      <c r="I9" t="s">
        <v>2116</v>
      </c>
    </row>
    <row r="10" spans="1:9" x14ac:dyDescent="0.35">
      <c r="A10">
        <v>570</v>
      </c>
      <c r="B10" t="s">
        <v>11</v>
      </c>
      <c r="C10" s="1">
        <v>41464</v>
      </c>
      <c r="D10">
        <v>623941</v>
      </c>
      <c r="E10" t="b">
        <v>1</v>
      </c>
      <c r="F10">
        <v>2</v>
      </c>
      <c r="G10" t="s">
        <v>2092</v>
      </c>
      <c r="H10" t="s">
        <v>792</v>
      </c>
      <c r="I10" t="s">
        <v>2117</v>
      </c>
    </row>
    <row r="11" spans="1:9" x14ac:dyDescent="0.35">
      <c r="A11">
        <v>570</v>
      </c>
      <c r="B11" t="s">
        <v>11</v>
      </c>
      <c r="C11" s="1">
        <v>41464</v>
      </c>
      <c r="D11">
        <v>623941</v>
      </c>
      <c r="E11" t="b">
        <v>1</v>
      </c>
      <c r="F11">
        <v>2</v>
      </c>
      <c r="G11" t="s">
        <v>2092</v>
      </c>
      <c r="H11" t="s">
        <v>346</v>
      </c>
      <c r="I11" t="s">
        <v>2117</v>
      </c>
    </row>
    <row r="12" spans="1:9" x14ac:dyDescent="0.35">
      <c r="A12">
        <v>570</v>
      </c>
      <c r="B12" t="s">
        <v>11</v>
      </c>
      <c r="C12" s="1">
        <v>41464</v>
      </c>
      <c r="D12">
        <v>623941</v>
      </c>
      <c r="E12" t="b">
        <v>1</v>
      </c>
      <c r="F12">
        <v>2</v>
      </c>
      <c r="G12" t="s">
        <v>2092</v>
      </c>
      <c r="H12" t="s">
        <v>239</v>
      </c>
      <c r="I12" t="s">
        <v>2117</v>
      </c>
    </row>
    <row r="13" spans="1:9" x14ac:dyDescent="0.35">
      <c r="A13">
        <v>570</v>
      </c>
      <c r="B13" t="s">
        <v>11</v>
      </c>
      <c r="C13" s="1">
        <v>41464</v>
      </c>
      <c r="D13">
        <v>623941</v>
      </c>
      <c r="E13" t="b">
        <v>1</v>
      </c>
      <c r="F13">
        <v>2</v>
      </c>
      <c r="G13" t="s">
        <v>2092</v>
      </c>
      <c r="H13" t="s">
        <v>132</v>
      </c>
      <c r="I13" t="s">
        <v>2117</v>
      </c>
    </row>
    <row r="14" spans="1:9" x14ac:dyDescent="0.35">
      <c r="A14">
        <v>570</v>
      </c>
      <c r="B14" t="s">
        <v>11</v>
      </c>
      <c r="C14" s="1">
        <v>41464</v>
      </c>
      <c r="D14">
        <v>623941</v>
      </c>
      <c r="E14" t="b">
        <v>1</v>
      </c>
      <c r="F14">
        <v>2</v>
      </c>
      <c r="G14" t="s">
        <v>2092</v>
      </c>
      <c r="H14" t="s">
        <v>124</v>
      </c>
      <c r="I14" t="s">
        <v>2116</v>
      </c>
    </row>
    <row r="15" spans="1:9" x14ac:dyDescent="0.35">
      <c r="A15">
        <v>570</v>
      </c>
      <c r="B15" t="s">
        <v>11</v>
      </c>
      <c r="C15" s="1">
        <v>41464</v>
      </c>
      <c r="D15">
        <v>623941</v>
      </c>
      <c r="E15" t="b">
        <v>1</v>
      </c>
      <c r="F15">
        <v>2</v>
      </c>
      <c r="G15" t="s">
        <v>2092</v>
      </c>
      <c r="H15" t="s">
        <v>1510</v>
      </c>
      <c r="I15" t="s">
        <v>2116</v>
      </c>
    </row>
    <row r="16" spans="1:9" x14ac:dyDescent="0.35">
      <c r="A16">
        <v>578080</v>
      </c>
      <c r="B16" t="s">
        <v>15</v>
      </c>
      <c r="C16" s="1">
        <v>43090</v>
      </c>
      <c r="D16">
        <v>314682</v>
      </c>
      <c r="E16" t="b">
        <v>0</v>
      </c>
      <c r="F16">
        <v>3</v>
      </c>
      <c r="G16" t="s">
        <v>18</v>
      </c>
      <c r="H16" t="s">
        <v>49</v>
      </c>
      <c r="I16" t="s">
        <v>2116</v>
      </c>
    </row>
    <row r="17" spans="1:9" x14ac:dyDescent="0.35">
      <c r="A17">
        <v>578080</v>
      </c>
      <c r="B17" t="s">
        <v>15</v>
      </c>
      <c r="C17" s="1">
        <v>43090</v>
      </c>
      <c r="D17">
        <v>314682</v>
      </c>
      <c r="E17" t="b">
        <v>0</v>
      </c>
      <c r="F17">
        <v>3</v>
      </c>
      <c r="G17" t="s">
        <v>18</v>
      </c>
      <c r="H17" t="s">
        <v>792</v>
      </c>
      <c r="I17" t="s">
        <v>2117</v>
      </c>
    </row>
    <row r="18" spans="1:9" x14ac:dyDescent="0.35">
      <c r="A18">
        <v>578080</v>
      </c>
      <c r="B18" t="s">
        <v>15</v>
      </c>
      <c r="C18" s="1">
        <v>43090</v>
      </c>
      <c r="D18">
        <v>314682</v>
      </c>
      <c r="E18" t="b">
        <v>0</v>
      </c>
      <c r="F18">
        <v>3</v>
      </c>
      <c r="G18" t="s">
        <v>18</v>
      </c>
      <c r="H18" t="s">
        <v>346</v>
      </c>
      <c r="I18" t="s">
        <v>2116</v>
      </c>
    </row>
    <row r="19" spans="1:9" x14ac:dyDescent="0.35">
      <c r="A19">
        <v>578080</v>
      </c>
      <c r="B19" t="s">
        <v>15</v>
      </c>
      <c r="C19" s="1">
        <v>43090</v>
      </c>
      <c r="D19">
        <v>314682</v>
      </c>
      <c r="E19" t="b">
        <v>0</v>
      </c>
      <c r="F19">
        <v>3</v>
      </c>
      <c r="G19" t="s">
        <v>18</v>
      </c>
      <c r="H19" t="s">
        <v>239</v>
      </c>
      <c r="I19" t="s">
        <v>2117</v>
      </c>
    </row>
    <row r="20" spans="1:9" x14ac:dyDescent="0.35">
      <c r="A20">
        <v>578080</v>
      </c>
      <c r="B20" t="s">
        <v>15</v>
      </c>
      <c r="C20" s="1">
        <v>43090</v>
      </c>
      <c r="D20">
        <v>314682</v>
      </c>
      <c r="E20" t="b">
        <v>0</v>
      </c>
      <c r="F20">
        <v>3</v>
      </c>
      <c r="G20" t="s">
        <v>18</v>
      </c>
      <c r="H20" t="s">
        <v>132</v>
      </c>
      <c r="I20" t="s">
        <v>2117</v>
      </c>
    </row>
    <row r="21" spans="1:9" x14ac:dyDescent="0.35">
      <c r="A21">
        <v>578080</v>
      </c>
      <c r="B21" t="s">
        <v>15</v>
      </c>
      <c r="C21" s="1">
        <v>43090</v>
      </c>
      <c r="D21">
        <v>314682</v>
      </c>
      <c r="E21" t="b">
        <v>0</v>
      </c>
      <c r="F21">
        <v>3</v>
      </c>
      <c r="G21" t="s">
        <v>18</v>
      </c>
      <c r="H21" t="s">
        <v>124</v>
      </c>
      <c r="I21" t="s">
        <v>2117</v>
      </c>
    </row>
    <row r="22" spans="1:9" x14ac:dyDescent="0.35">
      <c r="A22">
        <v>578080</v>
      </c>
      <c r="B22" t="s">
        <v>15</v>
      </c>
      <c r="C22" s="1">
        <v>43090</v>
      </c>
      <c r="D22">
        <v>314682</v>
      </c>
      <c r="E22" t="b">
        <v>0</v>
      </c>
      <c r="F22">
        <v>3</v>
      </c>
      <c r="G22" t="s">
        <v>18</v>
      </c>
      <c r="H22" t="s">
        <v>1510</v>
      </c>
      <c r="I22" t="s">
        <v>2116</v>
      </c>
    </row>
    <row r="23" spans="1:9" x14ac:dyDescent="0.35">
      <c r="A23">
        <v>3419430</v>
      </c>
      <c r="B23" t="s">
        <v>19</v>
      </c>
      <c r="C23" s="1">
        <v>45721</v>
      </c>
      <c r="D23">
        <v>164168</v>
      </c>
      <c r="E23" t="b">
        <v>0</v>
      </c>
      <c r="F23">
        <v>4</v>
      </c>
      <c r="G23" t="s">
        <v>14</v>
      </c>
      <c r="H23" t="s">
        <v>49</v>
      </c>
      <c r="I23" t="s">
        <v>2117</v>
      </c>
    </row>
    <row r="24" spans="1:9" x14ac:dyDescent="0.35">
      <c r="A24">
        <v>3419430</v>
      </c>
      <c r="B24" t="s">
        <v>19</v>
      </c>
      <c r="C24" s="1">
        <v>45721</v>
      </c>
      <c r="D24">
        <v>164168</v>
      </c>
      <c r="E24" t="b">
        <v>0</v>
      </c>
      <c r="F24">
        <v>4</v>
      </c>
      <c r="G24" t="s">
        <v>14</v>
      </c>
      <c r="H24" t="s">
        <v>792</v>
      </c>
      <c r="I24" t="s">
        <v>2116</v>
      </c>
    </row>
    <row r="25" spans="1:9" x14ac:dyDescent="0.35">
      <c r="A25">
        <v>3419430</v>
      </c>
      <c r="B25" t="s">
        <v>19</v>
      </c>
      <c r="C25" s="1">
        <v>45721</v>
      </c>
      <c r="D25">
        <v>164168</v>
      </c>
      <c r="E25" t="b">
        <v>0</v>
      </c>
      <c r="F25">
        <v>4</v>
      </c>
      <c r="G25" t="s">
        <v>14</v>
      </c>
      <c r="H25" t="s">
        <v>346</v>
      </c>
      <c r="I25" t="s">
        <v>2117</v>
      </c>
    </row>
    <row r="26" spans="1:9" x14ac:dyDescent="0.35">
      <c r="A26">
        <v>3419430</v>
      </c>
      <c r="B26" t="s">
        <v>19</v>
      </c>
      <c r="C26" s="1">
        <v>45721</v>
      </c>
      <c r="D26">
        <v>164168</v>
      </c>
      <c r="E26" t="b">
        <v>0</v>
      </c>
      <c r="F26">
        <v>4</v>
      </c>
      <c r="G26" t="s">
        <v>14</v>
      </c>
      <c r="H26" t="s">
        <v>239</v>
      </c>
      <c r="I26" t="s">
        <v>2116</v>
      </c>
    </row>
    <row r="27" spans="1:9" x14ac:dyDescent="0.35">
      <c r="A27">
        <v>3419430</v>
      </c>
      <c r="B27" t="s">
        <v>19</v>
      </c>
      <c r="C27" s="1">
        <v>45721</v>
      </c>
      <c r="D27">
        <v>164168</v>
      </c>
      <c r="E27" t="b">
        <v>0</v>
      </c>
      <c r="F27">
        <v>4</v>
      </c>
      <c r="G27" t="s">
        <v>14</v>
      </c>
      <c r="H27" t="s">
        <v>132</v>
      </c>
      <c r="I27" t="s">
        <v>2117</v>
      </c>
    </row>
    <row r="28" spans="1:9" x14ac:dyDescent="0.35">
      <c r="A28">
        <v>3419430</v>
      </c>
      <c r="B28" t="s">
        <v>19</v>
      </c>
      <c r="C28" s="1">
        <v>45721</v>
      </c>
      <c r="D28">
        <v>164168</v>
      </c>
      <c r="E28" t="b">
        <v>0</v>
      </c>
      <c r="F28">
        <v>4</v>
      </c>
      <c r="G28" t="s">
        <v>14</v>
      </c>
      <c r="H28" t="s">
        <v>124</v>
      </c>
      <c r="I28" t="s">
        <v>2117</v>
      </c>
    </row>
    <row r="29" spans="1:9" x14ac:dyDescent="0.35">
      <c r="A29">
        <v>3419430</v>
      </c>
      <c r="B29" t="s">
        <v>19</v>
      </c>
      <c r="C29" s="1">
        <v>45721</v>
      </c>
      <c r="D29">
        <v>164168</v>
      </c>
      <c r="E29" t="b">
        <v>0</v>
      </c>
      <c r="F29">
        <v>4</v>
      </c>
      <c r="G29" t="s">
        <v>14</v>
      </c>
      <c r="H29" t="s">
        <v>1510</v>
      </c>
      <c r="I29" t="s">
        <v>2116</v>
      </c>
    </row>
    <row r="30" spans="1:9" x14ac:dyDescent="0.35">
      <c r="A30">
        <v>2622380</v>
      </c>
      <c r="B30" t="s">
        <v>22</v>
      </c>
      <c r="C30" s="1">
        <v>45806</v>
      </c>
      <c r="D30">
        <v>163599</v>
      </c>
      <c r="E30" t="b">
        <v>0</v>
      </c>
      <c r="F30">
        <v>5</v>
      </c>
      <c r="G30" t="s">
        <v>25</v>
      </c>
      <c r="H30" t="s">
        <v>49</v>
      </c>
      <c r="I30" t="s">
        <v>2116</v>
      </c>
    </row>
    <row r="31" spans="1:9" x14ac:dyDescent="0.35">
      <c r="A31">
        <v>2622380</v>
      </c>
      <c r="B31" t="s">
        <v>22</v>
      </c>
      <c r="C31" s="1">
        <v>45806</v>
      </c>
      <c r="D31">
        <v>163599</v>
      </c>
      <c r="E31" t="b">
        <v>0</v>
      </c>
      <c r="F31">
        <v>5</v>
      </c>
      <c r="G31" t="s">
        <v>25</v>
      </c>
      <c r="H31" t="s">
        <v>792</v>
      </c>
      <c r="I31" t="s">
        <v>2117</v>
      </c>
    </row>
    <row r="32" spans="1:9" x14ac:dyDescent="0.35">
      <c r="A32">
        <v>2622380</v>
      </c>
      <c r="B32" t="s">
        <v>22</v>
      </c>
      <c r="C32" s="1">
        <v>45806</v>
      </c>
      <c r="D32">
        <v>163599</v>
      </c>
      <c r="E32" t="b">
        <v>0</v>
      </c>
      <c r="F32">
        <v>5</v>
      </c>
      <c r="G32" t="s">
        <v>25</v>
      </c>
      <c r="H32" t="s">
        <v>346</v>
      </c>
      <c r="I32" t="s">
        <v>2117</v>
      </c>
    </row>
    <row r="33" spans="1:9" x14ac:dyDescent="0.35">
      <c r="A33">
        <v>2622380</v>
      </c>
      <c r="B33" t="s">
        <v>22</v>
      </c>
      <c r="C33" s="1">
        <v>45806</v>
      </c>
      <c r="D33">
        <v>163599</v>
      </c>
      <c r="E33" t="b">
        <v>0</v>
      </c>
      <c r="F33">
        <v>5</v>
      </c>
      <c r="G33" t="s">
        <v>25</v>
      </c>
      <c r="H33" t="s">
        <v>239</v>
      </c>
      <c r="I33" t="s">
        <v>2117</v>
      </c>
    </row>
    <row r="34" spans="1:9" x14ac:dyDescent="0.35">
      <c r="A34">
        <v>2622380</v>
      </c>
      <c r="B34" t="s">
        <v>22</v>
      </c>
      <c r="C34" s="1">
        <v>45806</v>
      </c>
      <c r="D34">
        <v>163599</v>
      </c>
      <c r="E34" t="b">
        <v>0</v>
      </c>
      <c r="F34">
        <v>5</v>
      </c>
      <c r="G34" t="s">
        <v>25</v>
      </c>
      <c r="H34" t="s">
        <v>132</v>
      </c>
      <c r="I34" t="s">
        <v>2116</v>
      </c>
    </row>
    <row r="35" spans="1:9" x14ac:dyDescent="0.35">
      <c r="A35">
        <v>2622380</v>
      </c>
      <c r="B35" t="s">
        <v>22</v>
      </c>
      <c r="C35" s="1">
        <v>45806</v>
      </c>
      <c r="D35">
        <v>163599</v>
      </c>
      <c r="E35" t="b">
        <v>0</v>
      </c>
      <c r="F35">
        <v>5</v>
      </c>
      <c r="G35" t="s">
        <v>25</v>
      </c>
      <c r="H35" t="s">
        <v>124</v>
      </c>
      <c r="I35" t="s">
        <v>2117</v>
      </c>
    </row>
    <row r="36" spans="1:9" x14ac:dyDescent="0.35">
      <c r="A36">
        <v>2622380</v>
      </c>
      <c r="B36" t="s">
        <v>22</v>
      </c>
      <c r="C36" s="1">
        <v>45806</v>
      </c>
      <c r="D36">
        <v>163599</v>
      </c>
      <c r="E36" t="b">
        <v>0</v>
      </c>
      <c r="F36">
        <v>5</v>
      </c>
      <c r="G36" t="s">
        <v>25</v>
      </c>
      <c r="H36" t="s">
        <v>1510</v>
      </c>
      <c r="I36" t="s">
        <v>2117</v>
      </c>
    </row>
    <row r="37" spans="1:9" x14ac:dyDescent="0.35">
      <c r="A37">
        <v>252490</v>
      </c>
      <c r="B37" t="s">
        <v>26</v>
      </c>
      <c r="C37" s="1">
        <v>43139</v>
      </c>
      <c r="D37">
        <v>143870</v>
      </c>
      <c r="E37" t="b">
        <v>1</v>
      </c>
      <c r="F37">
        <v>6</v>
      </c>
      <c r="G37" t="s">
        <v>29</v>
      </c>
      <c r="H37" t="s">
        <v>49</v>
      </c>
      <c r="I37" t="s">
        <v>2116</v>
      </c>
    </row>
    <row r="38" spans="1:9" x14ac:dyDescent="0.35">
      <c r="A38">
        <v>252490</v>
      </c>
      <c r="B38" t="s">
        <v>26</v>
      </c>
      <c r="C38" s="1">
        <v>43139</v>
      </c>
      <c r="D38">
        <v>143870</v>
      </c>
      <c r="E38" t="b">
        <v>1</v>
      </c>
      <c r="F38">
        <v>6</v>
      </c>
      <c r="G38" t="s">
        <v>29</v>
      </c>
      <c r="H38" t="s">
        <v>792</v>
      </c>
      <c r="I38" t="s">
        <v>2116</v>
      </c>
    </row>
    <row r="39" spans="1:9" x14ac:dyDescent="0.35">
      <c r="A39">
        <v>252490</v>
      </c>
      <c r="B39" t="s">
        <v>26</v>
      </c>
      <c r="C39" s="1">
        <v>43139</v>
      </c>
      <c r="D39">
        <v>143870</v>
      </c>
      <c r="E39" t="b">
        <v>1</v>
      </c>
      <c r="F39">
        <v>6</v>
      </c>
      <c r="G39" t="s">
        <v>29</v>
      </c>
      <c r="H39" t="s">
        <v>346</v>
      </c>
      <c r="I39" t="s">
        <v>2116</v>
      </c>
    </row>
    <row r="40" spans="1:9" x14ac:dyDescent="0.35">
      <c r="A40">
        <v>252490</v>
      </c>
      <c r="B40" t="s">
        <v>26</v>
      </c>
      <c r="C40" s="1">
        <v>43139</v>
      </c>
      <c r="D40">
        <v>143870</v>
      </c>
      <c r="E40" t="b">
        <v>1</v>
      </c>
      <c r="F40">
        <v>6</v>
      </c>
      <c r="G40" t="s">
        <v>29</v>
      </c>
      <c r="H40" t="s">
        <v>239</v>
      </c>
      <c r="I40" t="s">
        <v>2117</v>
      </c>
    </row>
    <row r="41" spans="1:9" x14ac:dyDescent="0.35">
      <c r="A41">
        <v>252490</v>
      </c>
      <c r="B41" t="s">
        <v>26</v>
      </c>
      <c r="C41" s="1">
        <v>43139</v>
      </c>
      <c r="D41">
        <v>143870</v>
      </c>
      <c r="E41" t="b">
        <v>1</v>
      </c>
      <c r="F41">
        <v>6</v>
      </c>
      <c r="G41" t="s">
        <v>29</v>
      </c>
      <c r="H41" t="s">
        <v>132</v>
      </c>
      <c r="I41" t="s">
        <v>2116</v>
      </c>
    </row>
    <row r="42" spans="1:9" x14ac:dyDescent="0.35">
      <c r="A42">
        <v>252490</v>
      </c>
      <c r="B42" t="s">
        <v>26</v>
      </c>
      <c r="C42" s="1">
        <v>43139</v>
      </c>
      <c r="D42">
        <v>143870</v>
      </c>
      <c r="E42" t="b">
        <v>1</v>
      </c>
      <c r="F42">
        <v>6</v>
      </c>
      <c r="G42" t="s">
        <v>29</v>
      </c>
      <c r="H42" t="s">
        <v>124</v>
      </c>
      <c r="I42" t="s">
        <v>2117</v>
      </c>
    </row>
    <row r="43" spans="1:9" x14ac:dyDescent="0.35">
      <c r="A43">
        <v>252490</v>
      </c>
      <c r="B43" t="s">
        <v>26</v>
      </c>
      <c r="C43" s="1">
        <v>43139</v>
      </c>
      <c r="D43">
        <v>143870</v>
      </c>
      <c r="E43" t="b">
        <v>1</v>
      </c>
      <c r="F43">
        <v>6</v>
      </c>
      <c r="G43" t="s">
        <v>29</v>
      </c>
      <c r="H43" t="s">
        <v>1510</v>
      </c>
      <c r="I43" t="s">
        <v>2117</v>
      </c>
    </row>
    <row r="44" spans="1:9" x14ac:dyDescent="0.35">
      <c r="A44">
        <v>1172470</v>
      </c>
      <c r="B44" t="s">
        <v>30</v>
      </c>
      <c r="C44" s="1">
        <v>44139</v>
      </c>
      <c r="D44">
        <v>124262</v>
      </c>
      <c r="E44" t="b">
        <v>0</v>
      </c>
      <c r="F44">
        <v>7</v>
      </c>
      <c r="G44" t="s">
        <v>33</v>
      </c>
      <c r="H44" t="s">
        <v>49</v>
      </c>
      <c r="I44" t="s">
        <v>2116</v>
      </c>
    </row>
    <row r="45" spans="1:9" x14ac:dyDescent="0.35">
      <c r="A45">
        <v>1172470</v>
      </c>
      <c r="B45" t="s">
        <v>30</v>
      </c>
      <c r="C45" s="1">
        <v>44139</v>
      </c>
      <c r="D45">
        <v>124262</v>
      </c>
      <c r="E45" t="b">
        <v>0</v>
      </c>
      <c r="F45">
        <v>7</v>
      </c>
      <c r="G45" t="s">
        <v>33</v>
      </c>
      <c r="H45" t="s">
        <v>792</v>
      </c>
      <c r="I45" t="s">
        <v>2117</v>
      </c>
    </row>
    <row r="46" spans="1:9" x14ac:dyDescent="0.35">
      <c r="A46">
        <v>1172470</v>
      </c>
      <c r="B46" t="s">
        <v>30</v>
      </c>
      <c r="C46" s="1">
        <v>44139</v>
      </c>
      <c r="D46">
        <v>124262</v>
      </c>
      <c r="E46" t="b">
        <v>0</v>
      </c>
      <c r="F46">
        <v>7</v>
      </c>
      <c r="G46" t="s">
        <v>33</v>
      </c>
      <c r="H46" t="s">
        <v>346</v>
      </c>
      <c r="I46" t="s">
        <v>2116</v>
      </c>
    </row>
    <row r="47" spans="1:9" x14ac:dyDescent="0.35">
      <c r="A47">
        <v>1172470</v>
      </c>
      <c r="B47" t="s">
        <v>30</v>
      </c>
      <c r="C47" s="1">
        <v>44139</v>
      </c>
      <c r="D47">
        <v>124262</v>
      </c>
      <c r="E47" t="b">
        <v>0</v>
      </c>
      <c r="F47">
        <v>7</v>
      </c>
      <c r="G47" t="s">
        <v>33</v>
      </c>
      <c r="H47" t="s">
        <v>239</v>
      </c>
      <c r="I47" t="s">
        <v>2117</v>
      </c>
    </row>
    <row r="48" spans="1:9" x14ac:dyDescent="0.35">
      <c r="A48">
        <v>1172470</v>
      </c>
      <c r="B48" t="s">
        <v>30</v>
      </c>
      <c r="C48" s="1">
        <v>44139</v>
      </c>
      <c r="D48">
        <v>124262</v>
      </c>
      <c r="E48" t="b">
        <v>0</v>
      </c>
      <c r="F48">
        <v>7</v>
      </c>
      <c r="G48" t="s">
        <v>33</v>
      </c>
      <c r="H48" t="s">
        <v>132</v>
      </c>
      <c r="I48" t="s">
        <v>2117</v>
      </c>
    </row>
    <row r="49" spans="1:9" x14ac:dyDescent="0.35">
      <c r="A49">
        <v>1172470</v>
      </c>
      <c r="B49" t="s">
        <v>30</v>
      </c>
      <c r="C49" s="1">
        <v>44139</v>
      </c>
      <c r="D49">
        <v>124262</v>
      </c>
      <c r="E49" t="b">
        <v>0</v>
      </c>
      <c r="F49">
        <v>7</v>
      </c>
      <c r="G49" t="s">
        <v>33</v>
      </c>
      <c r="H49" t="s">
        <v>124</v>
      </c>
      <c r="I49" t="s">
        <v>2117</v>
      </c>
    </row>
    <row r="50" spans="1:9" x14ac:dyDescent="0.35">
      <c r="A50">
        <v>1172470</v>
      </c>
      <c r="B50" t="s">
        <v>30</v>
      </c>
      <c r="C50" s="1">
        <v>44139</v>
      </c>
      <c r="D50">
        <v>124262</v>
      </c>
      <c r="E50" t="b">
        <v>0</v>
      </c>
      <c r="F50">
        <v>7</v>
      </c>
      <c r="G50" t="s">
        <v>33</v>
      </c>
      <c r="H50" t="s">
        <v>1510</v>
      </c>
      <c r="I50" t="s">
        <v>2116</v>
      </c>
    </row>
    <row r="51" spans="1:9" x14ac:dyDescent="0.35">
      <c r="A51">
        <v>2767030</v>
      </c>
      <c r="B51" t="s">
        <v>34</v>
      </c>
      <c r="C51" s="1">
        <v>45631</v>
      </c>
      <c r="D51">
        <v>106611</v>
      </c>
      <c r="E51" t="b">
        <v>0</v>
      </c>
      <c r="F51">
        <v>8</v>
      </c>
      <c r="G51" t="s">
        <v>36</v>
      </c>
      <c r="H51" t="s">
        <v>49</v>
      </c>
      <c r="I51" t="s">
        <v>2116</v>
      </c>
    </row>
    <row r="52" spans="1:9" x14ac:dyDescent="0.35">
      <c r="A52">
        <v>2767030</v>
      </c>
      <c r="B52" t="s">
        <v>34</v>
      </c>
      <c r="C52" s="1">
        <v>45631</v>
      </c>
      <c r="D52">
        <v>106611</v>
      </c>
      <c r="E52" t="b">
        <v>0</v>
      </c>
      <c r="F52">
        <v>8</v>
      </c>
      <c r="G52" t="s">
        <v>36</v>
      </c>
      <c r="H52" t="s">
        <v>792</v>
      </c>
      <c r="I52" t="s">
        <v>2117</v>
      </c>
    </row>
    <row r="53" spans="1:9" x14ac:dyDescent="0.35">
      <c r="A53">
        <v>2767030</v>
      </c>
      <c r="B53" t="s">
        <v>34</v>
      </c>
      <c r="C53" s="1">
        <v>45631</v>
      </c>
      <c r="D53">
        <v>106611</v>
      </c>
      <c r="E53" t="b">
        <v>0</v>
      </c>
      <c r="F53">
        <v>8</v>
      </c>
      <c r="G53" t="s">
        <v>36</v>
      </c>
      <c r="H53" t="s">
        <v>346</v>
      </c>
      <c r="I53" t="s">
        <v>2117</v>
      </c>
    </row>
    <row r="54" spans="1:9" x14ac:dyDescent="0.35">
      <c r="A54">
        <v>2767030</v>
      </c>
      <c r="B54" t="s">
        <v>34</v>
      </c>
      <c r="C54" s="1">
        <v>45631</v>
      </c>
      <c r="D54">
        <v>106611</v>
      </c>
      <c r="E54" t="b">
        <v>0</v>
      </c>
      <c r="F54">
        <v>8</v>
      </c>
      <c r="G54" t="s">
        <v>36</v>
      </c>
      <c r="H54" t="s">
        <v>239</v>
      </c>
      <c r="I54" t="s">
        <v>2117</v>
      </c>
    </row>
    <row r="55" spans="1:9" x14ac:dyDescent="0.35">
      <c r="A55">
        <v>2767030</v>
      </c>
      <c r="B55" t="s">
        <v>34</v>
      </c>
      <c r="C55" s="1">
        <v>45631</v>
      </c>
      <c r="D55">
        <v>106611</v>
      </c>
      <c r="E55" t="b">
        <v>0</v>
      </c>
      <c r="F55">
        <v>8</v>
      </c>
      <c r="G55" t="s">
        <v>36</v>
      </c>
      <c r="H55" t="s">
        <v>132</v>
      </c>
      <c r="I55" t="s">
        <v>2117</v>
      </c>
    </row>
    <row r="56" spans="1:9" x14ac:dyDescent="0.35">
      <c r="A56">
        <v>2767030</v>
      </c>
      <c r="B56" t="s">
        <v>34</v>
      </c>
      <c r="C56" s="1">
        <v>45631</v>
      </c>
      <c r="D56">
        <v>106611</v>
      </c>
      <c r="E56" t="b">
        <v>0</v>
      </c>
      <c r="F56">
        <v>8</v>
      </c>
      <c r="G56" t="s">
        <v>36</v>
      </c>
      <c r="H56" t="s">
        <v>124</v>
      </c>
      <c r="I56" t="s">
        <v>2117</v>
      </c>
    </row>
    <row r="57" spans="1:9" x14ac:dyDescent="0.35">
      <c r="A57">
        <v>2767030</v>
      </c>
      <c r="B57" t="s">
        <v>34</v>
      </c>
      <c r="C57" s="1">
        <v>45631</v>
      </c>
      <c r="D57">
        <v>106611</v>
      </c>
      <c r="E57" t="b">
        <v>0</v>
      </c>
      <c r="F57">
        <v>8</v>
      </c>
      <c r="G57" t="s">
        <v>36</v>
      </c>
      <c r="H57" t="s">
        <v>1510</v>
      </c>
      <c r="I57" t="s">
        <v>2116</v>
      </c>
    </row>
    <row r="58" spans="1:9" x14ac:dyDescent="0.35">
      <c r="A58">
        <v>431960</v>
      </c>
      <c r="B58" t="s">
        <v>37</v>
      </c>
      <c r="C58" s="1">
        <v>43420</v>
      </c>
      <c r="D58">
        <v>91184</v>
      </c>
      <c r="E58" t="b">
        <v>0</v>
      </c>
      <c r="F58">
        <v>9</v>
      </c>
      <c r="G58" t="s">
        <v>40</v>
      </c>
      <c r="H58" t="s">
        <v>49</v>
      </c>
      <c r="I58" t="s">
        <v>2117</v>
      </c>
    </row>
    <row r="59" spans="1:9" x14ac:dyDescent="0.35">
      <c r="A59">
        <v>431960</v>
      </c>
      <c r="B59" t="s">
        <v>37</v>
      </c>
      <c r="C59" s="1">
        <v>43420</v>
      </c>
      <c r="D59">
        <v>91184</v>
      </c>
      <c r="E59" t="b">
        <v>0</v>
      </c>
      <c r="F59">
        <v>9</v>
      </c>
      <c r="G59" t="s">
        <v>40</v>
      </c>
      <c r="H59" t="s">
        <v>792</v>
      </c>
      <c r="I59" t="s">
        <v>2116</v>
      </c>
    </row>
    <row r="60" spans="1:9" x14ac:dyDescent="0.35">
      <c r="A60">
        <v>431960</v>
      </c>
      <c r="B60" t="s">
        <v>37</v>
      </c>
      <c r="C60" s="1">
        <v>43420</v>
      </c>
      <c r="D60">
        <v>91184</v>
      </c>
      <c r="E60" t="b">
        <v>0</v>
      </c>
      <c r="F60">
        <v>9</v>
      </c>
      <c r="G60" t="s">
        <v>40</v>
      </c>
      <c r="H60" t="s">
        <v>346</v>
      </c>
      <c r="I60" t="s">
        <v>2117</v>
      </c>
    </row>
    <row r="61" spans="1:9" x14ac:dyDescent="0.35">
      <c r="A61">
        <v>431960</v>
      </c>
      <c r="B61" t="s">
        <v>37</v>
      </c>
      <c r="C61" s="1">
        <v>43420</v>
      </c>
      <c r="D61">
        <v>91184</v>
      </c>
      <c r="E61" t="b">
        <v>0</v>
      </c>
      <c r="F61">
        <v>9</v>
      </c>
      <c r="G61" t="s">
        <v>40</v>
      </c>
      <c r="H61" t="s">
        <v>239</v>
      </c>
      <c r="I61" t="s">
        <v>2117</v>
      </c>
    </row>
    <row r="62" spans="1:9" x14ac:dyDescent="0.35">
      <c r="A62">
        <v>431960</v>
      </c>
      <c r="B62" t="s">
        <v>37</v>
      </c>
      <c r="C62" s="1">
        <v>43420</v>
      </c>
      <c r="D62">
        <v>91184</v>
      </c>
      <c r="E62" t="b">
        <v>0</v>
      </c>
      <c r="F62">
        <v>9</v>
      </c>
      <c r="G62" t="s">
        <v>40</v>
      </c>
      <c r="H62" t="s">
        <v>132</v>
      </c>
      <c r="I62" t="s">
        <v>2117</v>
      </c>
    </row>
    <row r="63" spans="1:9" x14ac:dyDescent="0.35">
      <c r="A63">
        <v>431960</v>
      </c>
      <c r="B63" t="s">
        <v>37</v>
      </c>
      <c r="C63" s="1">
        <v>43420</v>
      </c>
      <c r="D63">
        <v>91184</v>
      </c>
      <c r="E63" t="b">
        <v>0</v>
      </c>
      <c r="F63">
        <v>9</v>
      </c>
      <c r="G63" t="s">
        <v>40</v>
      </c>
      <c r="H63" t="s">
        <v>124</v>
      </c>
      <c r="I63" t="s">
        <v>2117</v>
      </c>
    </row>
    <row r="64" spans="1:9" x14ac:dyDescent="0.35">
      <c r="A64">
        <v>431960</v>
      </c>
      <c r="B64" t="s">
        <v>37</v>
      </c>
      <c r="C64" s="1">
        <v>43420</v>
      </c>
      <c r="D64">
        <v>91184</v>
      </c>
      <c r="E64" t="b">
        <v>0</v>
      </c>
      <c r="F64">
        <v>9</v>
      </c>
      <c r="G64" t="s">
        <v>40</v>
      </c>
      <c r="H64" t="s">
        <v>1510</v>
      </c>
      <c r="I64" t="s">
        <v>2117</v>
      </c>
    </row>
    <row r="65" spans="1:9" x14ac:dyDescent="0.35">
      <c r="A65">
        <v>1671210</v>
      </c>
      <c r="B65" t="s">
        <v>41</v>
      </c>
      <c r="C65" s="1">
        <v>45812</v>
      </c>
      <c r="D65">
        <v>83936</v>
      </c>
      <c r="E65" t="b">
        <v>1</v>
      </c>
      <c r="F65">
        <v>10</v>
      </c>
      <c r="G65" t="s">
        <v>14</v>
      </c>
      <c r="H65" t="s">
        <v>49</v>
      </c>
      <c r="I65" t="s">
        <v>2117</v>
      </c>
    </row>
    <row r="66" spans="1:9" x14ac:dyDescent="0.35">
      <c r="A66">
        <v>1671210</v>
      </c>
      <c r="B66" t="s">
        <v>41</v>
      </c>
      <c r="C66" s="1">
        <v>45812</v>
      </c>
      <c r="D66">
        <v>83936</v>
      </c>
      <c r="E66" t="b">
        <v>1</v>
      </c>
      <c r="F66">
        <v>10</v>
      </c>
      <c r="G66" t="s">
        <v>14</v>
      </c>
      <c r="H66" t="s">
        <v>792</v>
      </c>
      <c r="I66" t="s">
        <v>2116</v>
      </c>
    </row>
    <row r="67" spans="1:9" x14ac:dyDescent="0.35">
      <c r="A67">
        <v>1671210</v>
      </c>
      <c r="B67" t="s">
        <v>41</v>
      </c>
      <c r="C67" s="1">
        <v>45812</v>
      </c>
      <c r="D67">
        <v>83936</v>
      </c>
      <c r="E67" t="b">
        <v>1</v>
      </c>
      <c r="F67">
        <v>10</v>
      </c>
      <c r="G67" t="s">
        <v>14</v>
      </c>
      <c r="H67" t="s">
        <v>346</v>
      </c>
      <c r="I67" t="s">
        <v>2117</v>
      </c>
    </row>
    <row r="68" spans="1:9" x14ac:dyDescent="0.35">
      <c r="A68">
        <v>1671210</v>
      </c>
      <c r="B68" t="s">
        <v>41</v>
      </c>
      <c r="C68" s="1">
        <v>45812</v>
      </c>
      <c r="D68">
        <v>83936</v>
      </c>
      <c r="E68" t="b">
        <v>1</v>
      </c>
      <c r="F68">
        <v>10</v>
      </c>
      <c r="G68" t="s">
        <v>14</v>
      </c>
      <c r="H68" t="s">
        <v>239</v>
      </c>
      <c r="I68" t="s">
        <v>2117</v>
      </c>
    </row>
    <row r="69" spans="1:9" x14ac:dyDescent="0.35">
      <c r="A69">
        <v>1671210</v>
      </c>
      <c r="B69" t="s">
        <v>41</v>
      </c>
      <c r="C69" s="1">
        <v>45812</v>
      </c>
      <c r="D69">
        <v>83936</v>
      </c>
      <c r="E69" t="b">
        <v>1</v>
      </c>
      <c r="F69">
        <v>10</v>
      </c>
      <c r="G69" t="s">
        <v>14</v>
      </c>
      <c r="H69" t="s">
        <v>132</v>
      </c>
      <c r="I69" t="s">
        <v>2116</v>
      </c>
    </row>
    <row r="70" spans="1:9" x14ac:dyDescent="0.35">
      <c r="A70">
        <v>1671210</v>
      </c>
      <c r="B70" t="s">
        <v>41</v>
      </c>
      <c r="C70" s="1">
        <v>45812</v>
      </c>
      <c r="D70">
        <v>83936</v>
      </c>
      <c r="E70" t="b">
        <v>1</v>
      </c>
      <c r="F70">
        <v>10</v>
      </c>
      <c r="G70" t="s">
        <v>14</v>
      </c>
      <c r="H70" t="s">
        <v>124</v>
      </c>
      <c r="I70" t="s">
        <v>2117</v>
      </c>
    </row>
    <row r="71" spans="1:9" x14ac:dyDescent="0.35">
      <c r="A71">
        <v>1671210</v>
      </c>
      <c r="B71" t="s">
        <v>41</v>
      </c>
      <c r="C71" s="1">
        <v>45812</v>
      </c>
      <c r="D71">
        <v>83936</v>
      </c>
      <c r="E71" t="b">
        <v>1</v>
      </c>
      <c r="F71">
        <v>10</v>
      </c>
      <c r="G71" t="s">
        <v>14</v>
      </c>
      <c r="H71" t="s">
        <v>1510</v>
      </c>
      <c r="I71" t="s">
        <v>2117</v>
      </c>
    </row>
    <row r="72" spans="1:9" x14ac:dyDescent="0.35">
      <c r="A72">
        <v>271590</v>
      </c>
      <c r="B72" t="s">
        <v>44</v>
      </c>
      <c r="C72" s="1">
        <v>42107</v>
      </c>
      <c r="D72">
        <v>67851</v>
      </c>
      <c r="E72" t="b">
        <v>0</v>
      </c>
      <c r="F72">
        <v>11</v>
      </c>
      <c r="G72" t="s">
        <v>2091</v>
      </c>
      <c r="H72" t="s">
        <v>49</v>
      </c>
      <c r="I72" t="s">
        <v>2116</v>
      </c>
    </row>
    <row r="73" spans="1:9" x14ac:dyDescent="0.35">
      <c r="A73">
        <v>271590</v>
      </c>
      <c r="B73" t="s">
        <v>44</v>
      </c>
      <c r="C73" s="1">
        <v>42107</v>
      </c>
      <c r="D73">
        <v>67851</v>
      </c>
      <c r="E73" t="b">
        <v>0</v>
      </c>
      <c r="F73">
        <v>11</v>
      </c>
      <c r="G73" t="s">
        <v>2091</v>
      </c>
      <c r="H73" t="s">
        <v>792</v>
      </c>
      <c r="I73" t="s">
        <v>2117</v>
      </c>
    </row>
    <row r="74" spans="1:9" x14ac:dyDescent="0.35">
      <c r="A74">
        <v>271590</v>
      </c>
      <c r="B74" t="s">
        <v>44</v>
      </c>
      <c r="C74" s="1">
        <v>42107</v>
      </c>
      <c r="D74">
        <v>67851</v>
      </c>
      <c r="E74" t="b">
        <v>0</v>
      </c>
      <c r="F74">
        <v>11</v>
      </c>
      <c r="G74" t="s">
        <v>2091</v>
      </c>
      <c r="H74" t="s">
        <v>346</v>
      </c>
      <c r="I74" t="s">
        <v>2116</v>
      </c>
    </row>
    <row r="75" spans="1:9" x14ac:dyDescent="0.35">
      <c r="A75">
        <v>271590</v>
      </c>
      <c r="B75" t="s">
        <v>44</v>
      </c>
      <c r="C75" s="1">
        <v>42107</v>
      </c>
      <c r="D75">
        <v>67851</v>
      </c>
      <c r="E75" t="b">
        <v>0</v>
      </c>
      <c r="F75">
        <v>11</v>
      </c>
      <c r="G75" t="s">
        <v>2091</v>
      </c>
      <c r="H75" t="s">
        <v>239</v>
      </c>
      <c r="I75" t="s">
        <v>2117</v>
      </c>
    </row>
    <row r="76" spans="1:9" x14ac:dyDescent="0.35">
      <c r="A76">
        <v>271590</v>
      </c>
      <c r="B76" t="s">
        <v>44</v>
      </c>
      <c r="C76" s="1">
        <v>42107</v>
      </c>
      <c r="D76">
        <v>67851</v>
      </c>
      <c r="E76" t="b">
        <v>0</v>
      </c>
      <c r="F76">
        <v>11</v>
      </c>
      <c r="G76" t="s">
        <v>2091</v>
      </c>
      <c r="H76" t="s">
        <v>132</v>
      </c>
      <c r="I76" t="s">
        <v>2117</v>
      </c>
    </row>
    <row r="77" spans="1:9" x14ac:dyDescent="0.35">
      <c r="A77">
        <v>271590</v>
      </c>
      <c r="B77" t="s">
        <v>44</v>
      </c>
      <c r="C77" s="1">
        <v>42107</v>
      </c>
      <c r="D77">
        <v>67851</v>
      </c>
      <c r="E77" t="b">
        <v>0</v>
      </c>
      <c r="F77">
        <v>11</v>
      </c>
      <c r="G77" t="s">
        <v>2091</v>
      </c>
      <c r="H77" t="s">
        <v>124</v>
      </c>
      <c r="I77" t="s">
        <v>2117</v>
      </c>
    </row>
    <row r="78" spans="1:9" x14ac:dyDescent="0.35">
      <c r="A78">
        <v>271590</v>
      </c>
      <c r="B78" t="s">
        <v>44</v>
      </c>
      <c r="C78" s="1">
        <v>42107</v>
      </c>
      <c r="D78">
        <v>67851</v>
      </c>
      <c r="E78" t="b">
        <v>0</v>
      </c>
      <c r="F78">
        <v>11</v>
      </c>
      <c r="G78" t="s">
        <v>2091</v>
      </c>
      <c r="H78" t="s">
        <v>1510</v>
      </c>
      <c r="I78" t="s">
        <v>2117</v>
      </c>
    </row>
    <row r="79" spans="1:9" x14ac:dyDescent="0.35">
      <c r="A79">
        <v>1938090</v>
      </c>
      <c r="B79" t="s">
        <v>47</v>
      </c>
      <c r="C79" s="1">
        <v>44861</v>
      </c>
      <c r="D79">
        <v>67419</v>
      </c>
      <c r="E79" t="b">
        <v>0</v>
      </c>
      <c r="F79">
        <v>12</v>
      </c>
      <c r="G79" t="s">
        <v>50</v>
      </c>
      <c r="H79" t="s">
        <v>49</v>
      </c>
      <c r="I79" t="s">
        <v>2116</v>
      </c>
    </row>
    <row r="80" spans="1:9" x14ac:dyDescent="0.35">
      <c r="A80">
        <v>1938090</v>
      </c>
      <c r="B80" t="s">
        <v>47</v>
      </c>
      <c r="C80" s="1">
        <v>44861</v>
      </c>
      <c r="D80">
        <v>67419</v>
      </c>
      <c r="E80" t="b">
        <v>0</v>
      </c>
      <c r="F80">
        <v>12</v>
      </c>
      <c r="G80" t="s">
        <v>50</v>
      </c>
      <c r="H80" t="s">
        <v>792</v>
      </c>
      <c r="I80" t="s">
        <v>2117</v>
      </c>
    </row>
    <row r="81" spans="1:9" x14ac:dyDescent="0.35">
      <c r="A81">
        <v>1938090</v>
      </c>
      <c r="B81" t="s">
        <v>47</v>
      </c>
      <c r="C81" s="1">
        <v>44861</v>
      </c>
      <c r="D81">
        <v>67419</v>
      </c>
      <c r="E81" t="b">
        <v>0</v>
      </c>
      <c r="F81">
        <v>12</v>
      </c>
      <c r="G81" t="s">
        <v>50</v>
      </c>
      <c r="H81" t="s">
        <v>346</v>
      </c>
      <c r="I81" t="s">
        <v>2117</v>
      </c>
    </row>
    <row r="82" spans="1:9" x14ac:dyDescent="0.35">
      <c r="A82">
        <v>1938090</v>
      </c>
      <c r="B82" t="s">
        <v>47</v>
      </c>
      <c r="C82" s="1">
        <v>44861</v>
      </c>
      <c r="D82">
        <v>67419</v>
      </c>
      <c r="E82" t="b">
        <v>0</v>
      </c>
      <c r="F82">
        <v>12</v>
      </c>
      <c r="G82" t="s">
        <v>50</v>
      </c>
      <c r="H82" t="s">
        <v>239</v>
      </c>
      <c r="I82" t="s">
        <v>2117</v>
      </c>
    </row>
    <row r="83" spans="1:9" x14ac:dyDescent="0.35">
      <c r="A83">
        <v>1938090</v>
      </c>
      <c r="B83" t="s">
        <v>47</v>
      </c>
      <c r="C83" s="1">
        <v>44861</v>
      </c>
      <c r="D83">
        <v>67419</v>
      </c>
      <c r="E83" t="b">
        <v>0</v>
      </c>
      <c r="F83">
        <v>12</v>
      </c>
      <c r="G83" t="s">
        <v>50</v>
      </c>
      <c r="H83" t="s">
        <v>132</v>
      </c>
      <c r="I83" t="s">
        <v>2117</v>
      </c>
    </row>
    <row r="84" spans="1:9" x14ac:dyDescent="0.35">
      <c r="A84">
        <v>1938090</v>
      </c>
      <c r="B84" t="s">
        <v>47</v>
      </c>
      <c r="C84" s="1">
        <v>44861</v>
      </c>
      <c r="D84">
        <v>67419</v>
      </c>
      <c r="E84" t="b">
        <v>0</v>
      </c>
      <c r="F84">
        <v>12</v>
      </c>
      <c r="G84" t="s">
        <v>50</v>
      </c>
      <c r="H84" t="s">
        <v>124</v>
      </c>
      <c r="I84" t="s">
        <v>2117</v>
      </c>
    </row>
    <row r="85" spans="1:9" x14ac:dyDescent="0.35">
      <c r="A85">
        <v>1938090</v>
      </c>
      <c r="B85" t="s">
        <v>47</v>
      </c>
      <c r="C85" s="1">
        <v>44861</v>
      </c>
      <c r="D85">
        <v>67419</v>
      </c>
      <c r="E85" t="b">
        <v>0</v>
      </c>
      <c r="F85">
        <v>12</v>
      </c>
      <c r="G85" t="s">
        <v>50</v>
      </c>
      <c r="H85" t="s">
        <v>1510</v>
      </c>
      <c r="I85" t="s">
        <v>2117</v>
      </c>
    </row>
    <row r="86" spans="1:9" x14ac:dyDescent="0.35">
      <c r="A86">
        <v>1203220</v>
      </c>
      <c r="B86" t="s">
        <v>51</v>
      </c>
      <c r="C86" s="1">
        <v>44419</v>
      </c>
      <c r="D86">
        <v>66954</v>
      </c>
      <c r="E86" t="b">
        <v>0</v>
      </c>
      <c r="F86">
        <v>13</v>
      </c>
      <c r="G86" t="s">
        <v>53</v>
      </c>
      <c r="H86" t="s">
        <v>49</v>
      </c>
      <c r="I86" t="s">
        <v>2116</v>
      </c>
    </row>
    <row r="87" spans="1:9" x14ac:dyDescent="0.35">
      <c r="A87">
        <v>1203220</v>
      </c>
      <c r="B87" t="s">
        <v>51</v>
      </c>
      <c r="C87" s="1">
        <v>44419</v>
      </c>
      <c r="D87">
        <v>66954</v>
      </c>
      <c r="E87" t="b">
        <v>0</v>
      </c>
      <c r="F87">
        <v>13</v>
      </c>
      <c r="G87" t="s">
        <v>53</v>
      </c>
      <c r="H87" t="s">
        <v>792</v>
      </c>
      <c r="I87" t="s">
        <v>2117</v>
      </c>
    </row>
    <row r="88" spans="1:9" x14ac:dyDescent="0.35">
      <c r="A88">
        <v>1203220</v>
      </c>
      <c r="B88" t="s">
        <v>51</v>
      </c>
      <c r="C88" s="1">
        <v>44419</v>
      </c>
      <c r="D88">
        <v>66954</v>
      </c>
      <c r="E88" t="b">
        <v>0</v>
      </c>
      <c r="F88">
        <v>13</v>
      </c>
      <c r="G88" t="s">
        <v>53</v>
      </c>
      <c r="H88" t="s">
        <v>346</v>
      </c>
      <c r="I88" t="s">
        <v>2116</v>
      </c>
    </row>
    <row r="89" spans="1:9" x14ac:dyDescent="0.35">
      <c r="A89">
        <v>1203220</v>
      </c>
      <c r="B89" t="s">
        <v>51</v>
      </c>
      <c r="C89" s="1">
        <v>44419</v>
      </c>
      <c r="D89">
        <v>66954</v>
      </c>
      <c r="E89" t="b">
        <v>0</v>
      </c>
      <c r="F89">
        <v>13</v>
      </c>
      <c r="G89" t="s">
        <v>53</v>
      </c>
      <c r="H89" t="s">
        <v>239</v>
      </c>
      <c r="I89" t="s">
        <v>2117</v>
      </c>
    </row>
    <row r="90" spans="1:9" x14ac:dyDescent="0.35">
      <c r="A90">
        <v>1203220</v>
      </c>
      <c r="B90" t="s">
        <v>51</v>
      </c>
      <c r="C90" s="1">
        <v>44419</v>
      </c>
      <c r="D90">
        <v>66954</v>
      </c>
      <c r="E90" t="b">
        <v>0</v>
      </c>
      <c r="F90">
        <v>13</v>
      </c>
      <c r="G90" t="s">
        <v>53</v>
      </c>
      <c r="H90" t="s">
        <v>132</v>
      </c>
      <c r="I90" t="s">
        <v>2117</v>
      </c>
    </row>
    <row r="91" spans="1:9" x14ac:dyDescent="0.35">
      <c r="A91">
        <v>1203220</v>
      </c>
      <c r="B91" t="s">
        <v>51</v>
      </c>
      <c r="C91" s="1">
        <v>44419</v>
      </c>
      <c r="D91">
        <v>66954</v>
      </c>
      <c r="E91" t="b">
        <v>0</v>
      </c>
      <c r="F91">
        <v>13</v>
      </c>
      <c r="G91" t="s">
        <v>53</v>
      </c>
      <c r="H91" t="s">
        <v>124</v>
      </c>
      <c r="I91" t="s">
        <v>2117</v>
      </c>
    </row>
    <row r="92" spans="1:9" x14ac:dyDescent="0.35">
      <c r="A92">
        <v>1203220</v>
      </c>
      <c r="B92" t="s">
        <v>51</v>
      </c>
      <c r="C92" s="1">
        <v>44419</v>
      </c>
      <c r="D92">
        <v>66954</v>
      </c>
      <c r="E92" t="b">
        <v>0</v>
      </c>
      <c r="F92">
        <v>13</v>
      </c>
      <c r="G92" t="s">
        <v>53</v>
      </c>
      <c r="H92" t="s">
        <v>1510</v>
      </c>
      <c r="I92" t="s">
        <v>2116</v>
      </c>
    </row>
    <row r="93" spans="1:9" x14ac:dyDescent="0.35">
      <c r="A93">
        <v>1086940</v>
      </c>
      <c r="B93" t="s">
        <v>54</v>
      </c>
      <c r="C93" s="1">
        <v>45141</v>
      </c>
      <c r="D93">
        <v>54771</v>
      </c>
      <c r="E93" t="b">
        <v>1</v>
      </c>
      <c r="F93">
        <v>14</v>
      </c>
      <c r="G93" t="s">
        <v>57</v>
      </c>
      <c r="H93" t="s">
        <v>49</v>
      </c>
      <c r="I93" t="s">
        <v>2117</v>
      </c>
    </row>
    <row r="94" spans="1:9" x14ac:dyDescent="0.35">
      <c r="A94">
        <v>1086940</v>
      </c>
      <c r="B94" t="s">
        <v>54</v>
      </c>
      <c r="C94" s="1">
        <v>45141</v>
      </c>
      <c r="D94">
        <v>54771</v>
      </c>
      <c r="E94" t="b">
        <v>1</v>
      </c>
      <c r="F94">
        <v>14</v>
      </c>
      <c r="G94" t="s">
        <v>57</v>
      </c>
      <c r="H94" t="s">
        <v>792</v>
      </c>
      <c r="I94" t="s">
        <v>2117</v>
      </c>
    </row>
    <row r="95" spans="1:9" x14ac:dyDescent="0.35">
      <c r="A95">
        <v>1086940</v>
      </c>
      <c r="B95" t="s">
        <v>54</v>
      </c>
      <c r="C95" s="1">
        <v>45141</v>
      </c>
      <c r="D95">
        <v>54771</v>
      </c>
      <c r="E95" t="b">
        <v>1</v>
      </c>
      <c r="F95">
        <v>14</v>
      </c>
      <c r="G95" t="s">
        <v>57</v>
      </c>
      <c r="H95" t="s">
        <v>346</v>
      </c>
      <c r="I95" t="s">
        <v>2116</v>
      </c>
    </row>
    <row r="96" spans="1:9" x14ac:dyDescent="0.35">
      <c r="A96">
        <v>1086940</v>
      </c>
      <c r="B96" t="s">
        <v>54</v>
      </c>
      <c r="C96" s="1">
        <v>45141</v>
      </c>
      <c r="D96">
        <v>54771</v>
      </c>
      <c r="E96" t="b">
        <v>1</v>
      </c>
      <c r="F96">
        <v>14</v>
      </c>
      <c r="G96" t="s">
        <v>57</v>
      </c>
      <c r="H96" t="s">
        <v>239</v>
      </c>
      <c r="I96" t="s">
        <v>2117</v>
      </c>
    </row>
    <row r="97" spans="1:9" x14ac:dyDescent="0.35">
      <c r="A97">
        <v>1086940</v>
      </c>
      <c r="B97" t="s">
        <v>54</v>
      </c>
      <c r="C97" s="1">
        <v>45141</v>
      </c>
      <c r="D97">
        <v>54771</v>
      </c>
      <c r="E97" t="b">
        <v>1</v>
      </c>
      <c r="F97">
        <v>14</v>
      </c>
      <c r="G97" t="s">
        <v>57</v>
      </c>
      <c r="H97" t="s">
        <v>132</v>
      </c>
      <c r="I97" t="s">
        <v>2116</v>
      </c>
    </row>
    <row r="98" spans="1:9" x14ac:dyDescent="0.35">
      <c r="A98">
        <v>1086940</v>
      </c>
      <c r="B98" t="s">
        <v>54</v>
      </c>
      <c r="C98" s="1">
        <v>45141</v>
      </c>
      <c r="D98">
        <v>54771</v>
      </c>
      <c r="E98" t="b">
        <v>1</v>
      </c>
      <c r="F98">
        <v>14</v>
      </c>
      <c r="G98" t="s">
        <v>57</v>
      </c>
      <c r="H98" t="s">
        <v>124</v>
      </c>
      <c r="I98" t="s">
        <v>2116</v>
      </c>
    </row>
    <row r="99" spans="1:9" x14ac:dyDescent="0.35">
      <c r="A99">
        <v>1086940</v>
      </c>
      <c r="B99" t="s">
        <v>54</v>
      </c>
      <c r="C99" s="1">
        <v>45141</v>
      </c>
      <c r="D99">
        <v>54771</v>
      </c>
      <c r="E99" t="b">
        <v>1</v>
      </c>
      <c r="F99">
        <v>14</v>
      </c>
      <c r="G99" t="s">
        <v>57</v>
      </c>
      <c r="H99" t="s">
        <v>1510</v>
      </c>
      <c r="I99" t="s">
        <v>2117</v>
      </c>
    </row>
    <row r="100" spans="1:9" x14ac:dyDescent="0.35">
      <c r="A100">
        <v>553850</v>
      </c>
      <c r="B100" t="s">
        <v>58</v>
      </c>
      <c r="C100" s="1">
        <v>45330</v>
      </c>
      <c r="D100">
        <v>53399</v>
      </c>
      <c r="E100" t="b">
        <v>0</v>
      </c>
      <c r="F100">
        <v>15</v>
      </c>
      <c r="G100" t="s">
        <v>36</v>
      </c>
      <c r="H100" t="s">
        <v>49</v>
      </c>
      <c r="I100" t="s">
        <v>2116</v>
      </c>
    </row>
    <row r="101" spans="1:9" x14ac:dyDescent="0.35">
      <c r="A101">
        <v>553850</v>
      </c>
      <c r="B101" t="s">
        <v>58</v>
      </c>
      <c r="C101" s="1">
        <v>45330</v>
      </c>
      <c r="D101">
        <v>53399</v>
      </c>
      <c r="E101" t="b">
        <v>0</v>
      </c>
      <c r="F101">
        <v>15</v>
      </c>
      <c r="G101" t="s">
        <v>36</v>
      </c>
      <c r="H101" t="s">
        <v>792</v>
      </c>
      <c r="I101" t="s">
        <v>2117</v>
      </c>
    </row>
    <row r="102" spans="1:9" x14ac:dyDescent="0.35">
      <c r="A102">
        <v>553850</v>
      </c>
      <c r="B102" t="s">
        <v>58</v>
      </c>
      <c r="C102" s="1">
        <v>45330</v>
      </c>
      <c r="D102">
        <v>53399</v>
      </c>
      <c r="E102" t="b">
        <v>0</v>
      </c>
      <c r="F102">
        <v>15</v>
      </c>
      <c r="G102" t="s">
        <v>36</v>
      </c>
      <c r="H102" t="s">
        <v>346</v>
      </c>
      <c r="I102" t="s">
        <v>2117</v>
      </c>
    </row>
    <row r="103" spans="1:9" x14ac:dyDescent="0.35">
      <c r="A103">
        <v>553850</v>
      </c>
      <c r="B103" t="s">
        <v>58</v>
      </c>
      <c r="C103" s="1">
        <v>45330</v>
      </c>
      <c r="D103">
        <v>53399</v>
      </c>
      <c r="E103" t="b">
        <v>0</v>
      </c>
      <c r="F103">
        <v>15</v>
      </c>
      <c r="G103" t="s">
        <v>36</v>
      </c>
      <c r="H103" t="s">
        <v>239</v>
      </c>
      <c r="I103" t="s">
        <v>2117</v>
      </c>
    </row>
    <row r="104" spans="1:9" x14ac:dyDescent="0.35">
      <c r="A104">
        <v>553850</v>
      </c>
      <c r="B104" t="s">
        <v>58</v>
      </c>
      <c r="C104" s="1">
        <v>45330</v>
      </c>
      <c r="D104">
        <v>53399</v>
      </c>
      <c r="E104" t="b">
        <v>0</v>
      </c>
      <c r="F104">
        <v>15</v>
      </c>
      <c r="G104" t="s">
        <v>36</v>
      </c>
      <c r="H104" t="s">
        <v>132</v>
      </c>
      <c r="I104" t="s">
        <v>2117</v>
      </c>
    </row>
    <row r="105" spans="1:9" x14ac:dyDescent="0.35">
      <c r="A105">
        <v>553850</v>
      </c>
      <c r="B105" t="s">
        <v>58</v>
      </c>
      <c r="C105" s="1">
        <v>45330</v>
      </c>
      <c r="D105">
        <v>53399</v>
      </c>
      <c r="E105" t="b">
        <v>0</v>
      </c>
      <c r="F105">
        <v>15</v>
      </c>
      <c r="G105" t="s">
        <v>36</v>
      </c>
      <c r="H105" t="s">
        <v>124</v>
      </c>
      <c r="I105" t="s">
        <v>2117</v>
      </c>
    </row>
    <row r="106" spans="1:9" x14ac:dyDescent="0.35">
      <c r="A106">
        <v>553850</v>
      </c>
      <c r="B106" t="s">
        <v>58</v>
      </c>
      <c r="C106" s="1">
        <v>45330</v>
      </c>
      <c r="D106">
        <v>53399</v>
      </c>
      <c r="E106" t="b">
        <v>0</v>
      </c>
      <c r="F106">
        <v>15</v>
      </c>
      <c r="G106" t="s">
        <v>36</v>
      </c>
      <c r="H106" t="s">
        <v>1510</v>
      </c>
      <c r="I106" t="s">
        <v>2117</v>
      </c>
    </row>
    <row r="107" spans="1:9" x14ac:dyDescent="0.35">
      <c r="A107">
        <v>359550</v>
      </c>
      <c r="B107" t="s">
        <v>60</v>
      </c>
      <c r="C107" s="1">
        <v>42339</v>
      </c>
      <c r="D107">
        <v>51847</v>
      </c>
      <c r="E107" t="b">
        <v>0</v>
      </c>
      <c r="F107">
        <v>16</v>
      </c>
      <c r="G107" t="s">
        <v>36</v>
      </c>
      <c r="H107" t="s">
        <v>49</v>
      </c>
      <c r="I107" t="s">
        <v>2116</v>
      </c>
    </row>
    <row r="108" spans="1:9" x14ac:dyDescent="0.35">
      <c r="A108">
        <v>359550</v>
      </c>
      <c r="B108" t="s">
        <v>60</v>
      </c>
      <c r="C108" s="1">
        <v>42339</v>
      </c>
      <c r="D108">
        <v>51847</v>
      </c>
      <c r="E108" t="b">
        <v>0</v>
      </c>
      <c r="F108">
        <v>16</v>
      </c>
      <c r="G108" t="s">
        <v>36</v>
      </c>
      <c r="H108" t="s">
        <v>792</v>
      </c>
      <c r="I108" t="s">
        <v>2117</v>
      </c>
    </row>
    <row r="109" spans="1:9" x14ac:dyDescent="0.35">
      <c r="A109">
        <v>359550</v>
      </c>
      <c r="B109" t="s">
        <v>60</v>
      </c>
      <c r="C109" s="1">
        <v>42339</v>
      </c>
      <c r="D109">
        <v>51847</v>
      </c>
      <c r="E109" t="b">
        <v>0</v>
      </c>
      <c r="F109">
        <v>16</v>
      </c>
      <c r="G109" t="s">
        <v>36</v>
      </c>
      <c r="H109" t="s">
        <v>346</v>
      </c>
      <c r="I109" t="s">
        <v>2117</v>
      </c>
    </row>
    <row r="110" spans="1:9" x14ac:dyDescent="0.35">
      <c r="A110">
        <v>359550</v>
      </c>
      <c r="B110" t="s">
        <v>60</v>
      </c>
      <c r="C110" s="1">
        <v>42339</v>
      </c>
      <c r="D110">
        <v>51847</v>
      </c>
      <c r="E110" t="b">
        <v>0</v>
      </c>
      <c r="F110">
        <v>16</v>
      </c>
      <c r="G110" t="s">
        <v>36</v>
      </c>
      <c r="H110" t="s">
        <v>239</v>
      </c>
      <c r="I110" t="s">
        <v>2117</v>
      </c>
    </row>
    <row r="111" spans="1:9" x14ac:dyDescent="0.35">
      <c r="A111">
        <v>359550</v>
      </c>
      <c r="B111" t="s">
        <v>60</v>
      </c>
      <c r="C111" s="1">
        <v>42339</v>
      </c>
      <c r="D111">
        <v>51847</v>
      </c>
      <c r="E111" t="b">
        <v>0</v>
      </c>
      <c r="F111">
        <v>16</v>
      </c>
      <c r="G111" t="s">
        <v>36</v>
      </c>
      <c r="H111" t="s">
        <v>132</v>
      </c>
      <c r="I111" t="s">
        <v>2117</v>
      </c>
    </row>
    <row r="112" spans="1:9" x14ac:dyDescent="0.35">
      <c r="A112">
        <v>359550</v>
      </c>
      <c r="B112" t="s">
        <v>60</v>
      </c>
      <c r="C112" s="1">
        <v>42339</v>
      </c>
      <c r="D112">
        <v>51847</v>
      </c>
      <c r="E112" t="b">
        <v>0</v>
      </c>
      <c r="F112">
        <v>16</v>
      </c>
      <c r="G112" t="s">
        <v>36</v>
      </c>
      <c r="H112" t="s">
        <v>124</v>
      </c>
      <c r="I112" t="s">
        <v>2117</v>
      </c>
    </row>
    <row r="113" spans="1:9" x14ac:dyDescent="0.35">
      <c r="A113">
        <v>359550</v>
      </c>
      <c r="B113" t="s">
        <v>60</v>
      </c>
      <c r="C113" s="1">
        <v>42339</v>
      </c>
      <c r="D113">
        <v>51847</v>
      </c>
      <c r="E113" t="b">
        <v>0</v>
      </c>
      <c r="F113">
        <v>16</v>
      </c>
      <c r="G113" t="s">
        <v>36</v>
      </c>
      <c r="H113" t="s">
        <v>1510</v>
      </c>
      <c r="I113" t="s">
        <v>2116</v>
      </c>
    </row>
    <row r="114" spans="1:9" x14ac:dyDescent="0.35">
      <c r="A114">
        <v>413150</v>
      </c>
      <c r="B114" t="s">
        <v>62</v>
      </c>
      <c r="C114" s="1">
        <v>42426</v>
      </c>
      <c r="D114">
        <v>50662</v>
      </c>
      <c r="E114" t="b">
        <v>1</v>
      </c>
      <c r="F114">
        <v>17</v>
      </c>
      <c r="G114" t="s">
        <v>2083</v>
      </c>
      <c r="H114" t="s">
        <v>49</v>
      </c>
      <c r="I114" t="s">
        <v>2117</v>
      </c>
    </row>
    <row r="115" spans="1:9" x14ac:dyDescent="0.35">
      <c r="A115">
        <v>413150</v>
      </c>
      <c r="B115" t="s">
        <v>62</v>
      </c>
      <c r="C115" s="1">
        <v>42426</v>
      </c>
      <c r="D115">
        <v>50662</v>
      </c>
      <c r="E115" t="b">
        <v>1</v>
      </c>
      <c r="F115">
        <v>17</v>
      </c>
      <c r="G115" t="s">
        <v>2083</v>
      </c>
      <c r="H115" t="s">
        <v>792</v>
      </c>
      <c r="I115" t="s">
        <v>2116</v>
      </c>
    </row>
    <row r="116" spans="1:9" x14ac:dyDescent="0.35">
      <c r="A116">
        <v>413150</v>
      </c>
      <c r="B116" t="s">
        <v>62</v>
      </c>
      <c r="C116" s="1">
        <v>42426</v>
      </c>
      <c r="D116">
        <v>50662</v>
      </c>
      <c r="E116" t="b">
        <v>1</v>
      </c>
      <c r="F116">
        <v>17</v>
      </c>
      <c r="G116" t="s">
        <v>2083</v>
      </c>
      <c r="H116" t="s">
        <v>346</v>
      </c>
      <c r="I116" t="s">
        <v>2117</v>
      </c>
    </row>
    <row r="117" spans="1:9" x14ac:dyDescent="0.35">
      <c r="A117">
        <v>413150</v>
      </c>
      <c r="B117" t="s">
        <v>62</v>
      </c>
      <c r="C117" s="1">
        <v>42426</v>
      </c>
      <c r="D117">
        <v>50662</v>
      </c>
      <c r="E117" t="b">
        <v>1</v>
      </c>
      <c r="F117">
        <v>17</v>
      </c>
      <c r="G117" t="s">
        <v>2083</v>
      </c>
      <c r="H117" t="s">
        <v>239</v>
      </c>
      <c r="I117" t="s">
        <v>2116</v>
      </c>
    </row>
    <row r="118" spans="1:9" x14ac:dyDescent="0.35">
      <c r="A118">
        <v>413150</v>
      </c>
      <c r="B118" t="s">
        <v>62</v>
      </c>
      <c r="C118" s="1">
        <v>42426</v>
      </c>
      <c r="D118">
        <v>50662</v>
      </c>
      <c r="E118" t="b">
        <v>1</v>
      </c>
      <c r="F118">
        <v>17</v>
      </c>
      <c r="G118" t="s">
        <v>2083</v>
      </c>
      <c r="H118" t="s">
        <v>132</v>
      </c>
      <c r="I118" t="s">
        <v>2116</v>
      </c>
    </row>
    <row r="119" spans="1:9" x14ac:dyDescent="0.35">
      <c r="A119">
        <v>413150</v>
      </c>
      <c r="B119" t="s">
        <v>62</v>
      </c>
      <c r="C119" s="1">
        <v>42426</v>
      </c>
      <c r="D119">
        <v>50662</v>
      </c>
      <c r="E119" t="b">
        <v>1</v>
      </c>
      <c r="F119">
        <v>17</v>
      </c>
      <c r="G119" t="s">
        <v>2083</v>
      </c>
      <c r="H119" t="s">
        <v>124</v>
      </c>
      <c r="I119" t="s">
        <v>2117</v>
      </c>
    </row>
    <row r="120" spans="1:9" x14ac:dyDescent="0.35">
      <c r="A120">
        <v>413150</v>
      </c>
      <c r="B120" t="s">
        <v>62</v>
      </c>
      <c r="C120" s="1">
        <v>42426</v>
      </c>
      <c r="D120">
        <v>50662</v>
      </c>
      <c r="E120" t="b">
        <v>1</v>
      </c>
      <c r="F120">
        <v>17</v>
      </c>
      <c r="G120" t="s">
        <v>2083</v>
      </c>
      <c r="H120" t="s">
        <v>1510</v>
      </c>
      <c r="I120" t="s">
        <v>2117</v>
      </c>
    </row>
    <row r="121" spans="1:9" x14ac:dyDescent="0.35">
      <c r="A121">
        <v>236390</v>
      </c>
      <c r="B121" t="s">
        <v>65</v>
      </c>
      <c r="C121" s="1">
        <v>41501</v>
      </c>
      <c r="D121">
        <v>50478</v>
      </c>
      <c r="E121" t="b">
        <v>1</v>
      </c>
      <c r="F121">
        <v>18</v>
      </c>
      <c r="G121" t="s">
        <v>2094</v>
      </c>
      <c r="H121" t="s">
        <v>49</v>
      </c>
      <c r="I121" t="s">
        <v>2116</v>
      </c>
    </row>
    <row r="122" spans="1:9" x14ac:dyDescent="0.35">
      <c r="A122">
        <v>236390</v>
      </c>
      <c r="B122" t="s">
        <v>65</v>
      </c>
      <c r="C122" s="1">
        <v>41501</v>
      </c>
      <c r="D122">
        <v>50478</v>
      </c>
      <c r="E122" t="b">
        <v>1</v>
      </c>
      <c r="F122">
        <v>18</v>
      </c>
      <c r="G122" t="s">
        <v>2094</v>
      </c>
      <c r="H122" t="s">
        <v>792</v>
      </c>
      <c r="I122" t="s">
        <v>2117</v>
      </c>
    </row>
    <row r="123" spans="1:9" x14ac:dyDescent="0.35">
      <c r="A123">
        <v>236390</v>
      </c>
      <c r="B123" t="s">
        <v>65</v>
      </c>
      <c r="C123" s="1">
        <v>41501</v>
      </c>
      <c r="D123">
        <v>50478</v>
      </c>
      <c r="E123" t="b">
        <v>1</v>
      </c>
      <c r="F123">
        <v>18</v>
      </c>
      <c r="G123" t="s">
        <v>2094</v>
      </c>
      <c r="H123" t="s">
        <v>346</v>
      </c>
      <c r="I123" t="s">
        <v>2117</v>
      </c>
    </row>
    <row r="124" spans="1:9" x14ac:dyDescent="0.35">
      <c r="A124">
        <v>236390</v>
      </c>
      <c r="B124" t="s">
        <v>65</v>
      </c>
      <c r="C124" s="1">
        <v>41501</v>
      </c>
      <c r="D124">
        <v>50478</v>
      </c>
      <c r="E124" t="b">
        <v>1</v>
      </c>
      <c r="F124">
        <v>18</v>
      </c>
      <c r="G124" t="s">
        <v>2094</v>
      </c>
      <c r="H124" t="s">
        <v>239</v>
      </c>
      <c r="I124" t="s">
        <v>2116</v>
      </c>
    </row>
    <row r="125" spans="1:9" x14ac:dyDescent="0.35">
      <c r="A125">
        <v>236390</v>
      </c>
      <c r="B125" t="s">
        <v>65</v>
      </c>
      <c r="C125" s="1">
        <v>41501</v>
      </c>
      <c r="D125">
        <v>50478</v>
      </c>
      <c r="E125" t="b">
        <v>1</v>
      </c>
      <c r="F125">
        <v>18</v>
      </c>
      <c r="G125" t="s">
        <v>2094</v>
      </c>
      <c r="H125" t="s">
        <v>132</v>
      </c>
      <c r="I125" t="s">
        <v>2117</v>
      </c>
    </row>
    <row r="126" spans="1:9" x14ac:dyDescent="0.35">
      <c r="A126">
        <v>236390</v>
      </c>
      <c r="B126" t="s">
        <v>65</v>
      </c>
      <c r="C126" s="1">
        <v>41501</v>
      </c>
      <c r="D126">
        <v>50478</v>
      </c>
      <c r="E126" t="b">
        <v>1</v>
      </c>
      <c r="F126">
        <v>18</v>
      </c>
      <c r="G126" t="s">
        <v>2094</v>
      </c>
      <c r="H126" t="s">
        <v>124</v>
      </c>
      <c r="I126" t="s">
        <v>2117</v>
      </c>
    </row>
    <row r="127" spans="1:9" x14ac:dyDescent="0.35">
      <c r="A127">
        <v>236390</v>
      </c>
      <c r="B127" t="s">
        <v>65</v>
      </c>
      <c r="C127" s="1">
        <v>41501</v>
      </c>
      <c r="D127">
        <v>50478</v>
      </c>
      <c r="E127" t="b">
        <v>1</v>
      </c>
      <c r="F127">
        <v>18</v>
      </c>
      <c r="G127" t="s">
        <v>2094</v>
      </c>
      <c r="H127" t="s">
        <v>1510</v>
      </c>
      <c r="I127" t="s">
        <v>2116</v>
      </c>
    </row>
    <row r="128" spans="1:9" x14ac:dyDescent="0.35">
      <c r="A128">
        <v>2252570</v>
      </c>
      <c r="B128" t="s">
        <v>69</v>
      </c>
      <c r="C128" s="1">
        <v>45236</v>
      </c>
      <c r="D128">
        <v>47931</v>
      </c>
      <c r="E128" t="b">
        <v>1</v>
      </c>
      <c r="F128">
        <v>19</v>
      </c>
      <c r="G128" t="s">
        <v>14</v>
      </c>
      <c r="H128" t="s">
        <v>49</v>
      </c>
      <c r="I128" t="s">
        <v>2117</v>
      </c>
    </row>
    <row r="129" spans="1:9" x14ac:dyDescent="0.35">
      <c r="A129">
        <v>2252570</v>
      </c>
      <c r="B129" t="s">
        <v>69</v>
      </c>
      <c r="C129" s="1">
        <v>45236</v>
      </c>
      <c r="D129">
        <v>47931</v>
      </c>
      <c r="E129" t="b">
        <v>1</v>
      </c>
      <c r="F129">
        <v>19</v>
      </c>
      <c r="G129" t="s">
        <v>14</v>
      </c>
      <c r="H129" t="s">
        <v>792</v>
      </c>
      <c r="I129" t="s">
        <v>2117</v>
      </c>
    </row>
    <row r="130" spans="1:9" x14ac:dyDescent="0.35">
      <c r="A130">
        <v>2252570</v>
      </c>
      <c r="B130" t="s">
        <v>69</v>
      </c>
      <c r="C130" s="1">
        <v>45236</v>
      </c>
      <c r="D130">
        <v>47931</v>
      </c>
      <c r="E130" t="b">
        <v>1</v>
      </c>
      <c r="F130">
        <v>19</v>
      </c>
      <c r="G130" t="s">
        <v>14</v>
      </c>
      <c r="H130" t="s">
        <v>346</v>
      </c>
      <c r="I130" t="s">
        <v>2117</v>
      </c>
    </row>
    <row r="131" spans="1:9" x14ac:dyDescent="0.35">
      <c r="A131">
        <v>2252570</v>
      </c>
      <c r="B131" t="s">
        <v>69</v>
      </c>
      <c r="C131" s="1">
        <v>45236</v>
      </c>
      <c r="D131">
        <v>47931</v>
      </c>
      <c r="E131" t="b">
        <v>1</v>
      </c>
      <c r="F131">
        <v>19</v>
      </c>
      <c r="G131" t="s">
        <v>14</v>
      </c>
      <c r="H131" t="s">
        <v>239</v>
      </c>
      <c r="I131" t="s">
        <v>2116</v>
      </c>
    </row>
    <row r="132" spans="1:9" x14ac:dyDescent="0.35">
      <c r="A132">
        <v>2252570</v>
      </c>
      <c r="B132" t="s">
        <v>69</v>
      </c>
      <c r="C132" s="1">
        <v>45236</v>
      </c>
      <c r="D132">
        <v>47931</v>
      </c>
      <c r="E132" t="b">
        <v>1</v>
      </c>
      <c r="F132">
        <v>19</v>
      </c>
      <c r="G132" t="s">
        <v>14</v>
      </c>
      <c r="H132" t="s">
        <v>132</v>
      </c>
      <c r="I132" t="s">
        <v>2117</v>
      </c>
    </row>
    <row r="133" spans="1:9" x14ac:dyDescent="0.35">
      <c r="A133">
        <v>2252570</v>
      </c>
      <c r="B133" t="s">
        <v>69</v>
      </c>
      <c r="C133" s="1">
        <v>45236</v>
      </c>
      <c r="D133">
        <v>47931</v>
      </c>
      <c r="E133" t="b">
        <v>1</v>
      </c>
      <c r="F133">
        <v>19</v>
      </c>
      <c r="G133" t="s">
        <v>14</v>
      </c>
      <c r="H133" t="s">
        <v>124</v>
      </c>
      <c r="I133" t="s">
        <v>2116</v>
      </c>
    </row>
    <row r="134" spans="1:9" x14ac:dyDescent="0.35">
      <c r="A134">
        <v>2252570</v>
      </c>
      <c r="B134" t="s">
        <v>69</v>
      </c>
      <c r="C134" s="1">
        <v>45236</v>
      </c>
      <c r="D134">
        <v>47931</v>
      </c>
      <c r="E134" t="b">
        <v>1</v>
      </c>
      <c r="F134">
        <v>19</v>
      </c>
      <c r="G134" t="s">
        <v>14</v>
      </c>
      <c r="H134" t="s">
        <v>1510</v>
      </c>
      <c r="I134" t="s">
        <v>2117</v>
      </c>
    </row>
    <row r="135" spans="1:9" x14ac:dyDescent="0.35">
      <c r="A135">
        <v>381210</v>
      </c>
      <c r="B135" t="s">
        <v>72</v>
      </c>
      <c r="C135" s="1">
        <v>42535</v>
      </c>
      <c r="D135">
        <v>44886</v>
      </c>
      <c r="E135" t="b">
        <v>0</v>
      </c>
      <c r="F135">
        <v>20</v>
      </c>
      <c r="G135" t="s">
        <v>33</v>
      </c>
      <c r="H135" t="s">
        <v>49</v>
      </c>
      <c r="I135" t="s">
        <v>2116</v>
      </c>
    </row>
    <row r="136" spans="1:9" x14ac:dyDescent="0.35">
      <c r="A136">
        <v>381210</v>
      </c>
      <c r="B136" t="s">
        <v>72</v>
      </c>
      <c r="C136" s="1">
        <v>42535</v>
      </c>
      <c r="D136">
        <v>44886</v>
      </c>
      <c r="E136" t="b">
        <v>0</v>
      </c>
      <c r="F136">
        <v>20</v>
      </c>
      <c r="G136" t="s">
        <v>33</v>
      </c>
      <c r="H136" t="s">
        <v>792</v>
      </c>
      <c r="I136" t="s">
        <v>2117</v>
      </c>
    </row>
    <row r="137" spans="1:9" x14ac:dyDescent="0.35">
      <c r="A137">
        <v>381210</v>
      </c>
      <c r="B137" t="s">
        <v>72</v>
      </c>
      <c r="C137" s="1">
        <v>42535</v>
      </c>
      <c r="D137">
        <v>44886</v>
      </c>
      <c r="E137" t="b">
        <v>0</v>
      </c>
      <c r="F137">
        <v>20</v>
      </c>
      <c r="G137" t="s">
        <v>33</v>
      </c>
      <c r="H137" t="s">
        <v>346</v>
      </c>
      <c r="I137" t="s">
        <v>2117</v>
      </c>
    </row>
    <row r="138" spans="1:9" x14ac:dyDescent="0.35">
      <c r="A138">
        <v>381210</v>
      </c>
      <c r="B138" t="s">
        <v>72</v>
      </c>
      <c r="C138" s="1">
        <v>42535</v>
      </c>
      <c r="D138">
        <v>44886</v>
      </c>
      <c r="E138" t="b">
        <v>0</v>
      </c>
      <c r="F138">
        <v>20</v>
      </c>
      <c r="G138" t="s">
        <v>33</v>
      </c>
      <c r="H138" t="s">
        <v>239</v>
      </c>
      <c r="I138" t="s">
        <v>2117</v>
      </c>
    </row>
    <row r="139" spans="1:9" x14ac:dyDescent="0.35">
      <c r="A139">
        <v>381210</v>
      </c>
      <c r="B139" t="s">
        <v>72</v>
      </c>
      <c r="C139" s="1">
        <v>42535</v>
      </c>
      <c r="D139">
        <v>44886</v>
      </c>
      <c r="E139" t="b">
        <v>0</v>
      </c>
      <c r="F139">
        <v>20</v>
      </c>
      <c r="G139" t="s">
        <v>33</v>
      </c>
      <c r="H139" t="s">
        <v>132</v>
      </c>
      <c r="I139" t="s">
        <v>2117</v>
      </c>
    </row>
    <row r="140" spans="1:9" x14ac:dyDescent="0.35">
      <c r="A140">
        <v>381210</v>
      </c>
      <c r="B140" t="s">
        <v>72</v>
      </c>
      <c r="C140" s="1">
        <v>42535</v>
      </c>
      <c r="D140">
        <v>44886</v>
      </c>
      <c r="E140" t="b">
        <v>0</v>
      </c>
      <c r="F140">
        <v>20</v>
      </c>
      <c r="G140" t="s">
        <v>33</v>
      </c>
      <c r="H140" t="s">
        <v>124</v>
      </c>
      <c r="I140" t="s">
        <v>2117</v>
      </c>
    </row>
    <row r="141" spans="1:9" x14ac:dyDescent="0.35">
      <c r="A141">
        <v>381210</v>
      </c>
      <c r="B141" t="s">
        <v>72</v>
      </c>
      <c r="C141" s="1">
        <v>42535</v>
      </c>
      <c r="D141">
        <v>44886</v>
      </c>
      <c r="E141" t="b">
        <v>0</v>
      </c>
      <c r="F141">
        <v>20</v>
      </c>
      <c r="G141" t="s">
        <v>33</v>
      </c>
      <c r="H141" t="s">
        <v>1510</v>
      </c>
      <c r="I141" t="s">
        <v>2117</v>
      </c>
    </row>
    <row r="142" spans="1:9" x14ac:dyDescent="0.35">
      <c r="A142">
        <v>440</v>
      </c>
      <c r="B142" t="s">
        <v>74</v>
      </c>
      <c r="C142" s="1">
        <v>39365</v>
      </c>
      <c r="D142">
        <v>43819</v>
      </c>
      <c r="E142" t="b">
        <v>0</v>
      </c>
      <c r="F142">
        <v>21</v>
      </c>
      <c r="G142" t="s">
        <v>2084</v>
      </c>
      <c r="H142" t="s">
        <v>49</v>
      </c>
      <c r="I142" t="s">
        <v>2116</v>
      </c>
    </row>
    <row r="143" spans="1:9" x14ac:dyDescent="0.35">
      <c r="A143">
        <v>440</v>
      </c>
      <c r="B143" t="s">
        <v>74</v>
      </c>
      <c r="C143" s="1">
        <v>39365</v>
      </c>
      <c r="D143">
        <v>43819</v>
      </c>
      <c r="E143" t="b">
        <v>0</v>
      </c>
      <c r="F143">
        <v>21</v>
      </c>
      <c r="G143" t="s">
        <v>2084</v>
      </c>
      <c r="H143" t="s">
        <v>792</v>
      </c>
      <c r="I143" t="s">
        <v>2117</v>
      </c>
    </row>
    <row r="144" spans="1:9" x14ac:dyDescent="0.35">
      <c r="A144">
        <v>440</v>
      </c>
      <c r="B144" t="s">
        <v>74</v>
      </c>
      <c r="C144" s="1">
        <v>39365</v>
      </c>
      <c r="D144">
        <v>43819</v>
      </c>
      <c r="E144" t="b">
        <v>0</v>
      </c>
      <c r="F144">
        <v>21</v>
      </c>
      <c r="G144" t="s">
        <v>2084</v>
      </c>
      <c r="H144" t="s">
        <v>346</v>
      </c>
      <c r="I144" t="s">
        <v>2117</v>
      </c>
    </row>
    <row r="145" spans="1:9" x14ac:dyDescent="0.35">
      <c r="A145">
        <v>440</v>
      </c>
      <c r="B145" t="s">
        <v>74</v>
      </c>
      <c r="C145" s="1">
        <v>39365</v>
      </c>
      <c r="D145">
        <v>43819</v>
      </c>
      <c r="E145" t="b">
        <v>0</v>
      </c>
      <c r="F145">
        <v>21</v>
      </c>
      <c r="G145" t="s">
        <v>2084</v>
      </c>
      <c r="H145" t="s">
        <v>239</v>
      </c>
      <c r="I145" t="s">
        <v>2117</v>
      </c>
    </row>
    <row r="146" spans="1:9" x14ac:dyDescent="0.35">
      <c r="A146">
        <v>440</v>
      </c>
      <c r="B146" t="s">
        <v>74</v>
      </c>
      <c r="C146" s="1">
        <v>39365</v>
      </c>
      <c r="D146">
        <v>43819</v>
      </c>
      <c r="E146" t="b">
        <v>0</v>
      </c>
      <c r="F146">
        <v>21</v>
      </c>
      <c r="G146" t="s">
        <v>2084</v>
      </c>
      <c r="H146" t="s">
        <v>132</v>
      </c>
      <c r="I146" t="s">
        <v>2117</v>
      </c>
    </row>
    <row r="147" spans="1:9" x14ac:dyDescent="0.35">
      <c r="A147">
        <v>440</v>
      </c>
      <c r="B147" t="s">
        <v>74</v>
      </c>
      <c r="C147" s="1">
        <v>39365</v>
      </c>
      <c r="D147">
        <v>43819</v>
      </c>
      <c r="E147" t="b">
        <v>0</v>
      </c>
      <c r="F147">
        <v>21</v>
      </c>
      <c r="G147" t="s">
        <v>2084</v>
      </c>
      <c r="H147" t="s">
        <v>124</v>
      </c>
      <c r="I147" t="s">
        <v>2117</v>
      </c>
    </row>
    <row r="148" spans="1:9" x14ac:dyDescent="0.35">
      <c r="A148">
        <v>440</v>
      </c>
      <c r="B148" t="s">
        <v>74</v>
      </c>
      <c r="C148" s="1">
        <v>39365</v>
      </c>
      <c r="D148">
        <v>43819</v>
      </c>
      <c r="E148" t="b">
        <v>0</v>
      </c>
      <c r="F148">
        <v>21</v>
      </c>
      <c r="G148" t="s">
        <v>2084</v>
      </c>
      <c r="H148" t="s">
        <v>1510</v>
      </c>
      <c r="I148" t="s">
        <v>2116</v>
      </c>
    </row>
    <row r="149" spans="1:9" x14ac:dyDescent="0.35">
      <c r="A149">
        <v>2669320</v>
      </c>
      <c r="B149" t="s">
        <v>76</v>
      </c>
      <c r="C149" s="1">
        <v>45561</v>
      </c>
      <c r="D149">
        <v>42032</v>
      </c>
      <c r="E149" t="b">
        <v>0</v>
      </c>
      <c r="F149">
        <v>22</v>
      </c>
      <c r="G149" t="s">
        <v>79</v>
      </c>
      <c r="H149" t="s">
        <v>49</v>
      </c>
      <c r="I149" t="s">
        <v>2117</v>
      </c>
    </row>
    <row r="150" spans="1:9" x14ac:dyDescent="0.35">
      <c r="A150">
        <v>2669320</v>
      </c>
      <c r="B150" t="s">
        <v>76</v>
      </c>
      <c r="C150" s="1">
        <v>45561</v>
      </c>
      <c r="D150">
        <v>42032</v>
      </c>
      <c r="E150" t="b">
        <v>0</v>
      </c>
      <c r="F150">
        <v>22</v>
      </c>
      <c r="G150" t="s">
        <v>79</v>
      </c>
      <c r="H150" t="s">
        <v>792</v>
      </c>
      <c r="I150" t="s">
        <v>2117</v>
      </c>
    </row>
    <row r="151" spans="1:9" x14ac:dyDescent="0.35">
      <c r="A151">
        <v>2669320</v>
      </c>
      <c r="B151" t="s">
        <v>76</v>
      </c>
      <c r="C151" s="1">
        <v>45561</v>
      </c>
      <c r="D151">
        <v>42032</v>
      </c>
      <c r="E151" t="b">
        <v>0</v>
      </c>
      <c r="F151">
        <v>22</v>
      </c>
      <c r="G151" t="s">
        <v>79</v>
      </c>
      <c r="H151" t="s">
        <v>346</v>
      </c>
      <c r="I151" t="s">
        <v>2117</v>
      </c>
    </row>
    <row r="152" spans="1:9" x14ac:dyDescent="0.35">
      <c r="A152">
        <v>2669320</v>
      </c>
      <c r="B152" t="s">
        <v>76</v>
      </c>
      <c r="C152" s="1">
        <v>45561</v>
      </c>
      <c r="D152">
        <v>42032</v>
      </c>
      <c r="E152" t="b">
        <v>0</v>
      </c>
      <c r="F152">
        <v>22</v>
      </c>
      <c r="G152" t="s">
        <v>79</v>
      </c>
      <c r="H152" t="s">
        <v>239</v>
      </c>
      <c r="I152" t="s">
        <v>2116</v>
      </c>
    </row>
    <row r="153" spans="1:9" x14ac:dyDescent="0.35">
      <c r="A153">
        <v>2669320</v>
      </c>
      <c r="B153" t="s">
        <v>76</v>
      </c>
      <c r="C153" s="1">
        <v>45561</v>
      </c>
      <c r="D153">
        <v>42032</v>
      </c>
      <c r="E153" t="b">
        <v>0</v>
      </c>
      <c r="F153">
        <v>22</v>
      </c>
      <c r="G153" t="s">
        <v>79</v>
      </c>
      <c r="H153" t="s">
        <v>132</v>
      </c>
      <c r="I153" t="s">
        <v>2117</v>
      </c>
    </row>
    <row r="154" spans="1:9" x14ac:dyDescent="0.35">
      <c r="A154">
        <v>2669320</v>
      </c>
      <c r="B154" t="s">
        <v>76</v>
      </c>
      <c r="C154" s="1">
        <v>45561</v>
      </c>
      <c r="D154">
        <v>42032</v>
      </c>
      <c r="E154" t="b">
        <v>0</v>
      </c>
      <c r="F154">
        <v>22</v>
      </c>
      <c r="G154" t="s">
        <v>79</v>
      </c>
      <c r="H154" t="s">
        <v>124</v>
      </c>
      <c r="I154" t="s">
        <v>2117</v>
      </c>
    </row>
    <row r="155" spans="1:9" x14ac:dyDescent="0.35">
      <c r="A155">
        <v>2669320</v>
      </c>
      <c r="B155" t="s">
        <v>76</v>
      </c>
      <c r="C155" s="1">
        <v>45561</v>
      </c>
      <c r="D155">
        <v>42032</v>
      </c>
      <c r="E155" t="b">
        <v>0</v>
      </c>
      <c r="F155">
        <v>22</v>
      </c>
      <c r="G155" t="s">
        <v>79</v>
      </c>
      <c r="H155" t="s">
        <v>1510</v>
      </c>
      <c r="I155" t="s">
        <v>2117</v>
      </c>
    </row>
    <row r="156" spans="1:9" x14ac:dyDescent="0.35">
      <c r="A156">
        <v>1366800</v>
      </c>
      <c r="B156" t="s">
        <v>80</v>
      </c>
      <c r="C156" s="1">
        <v>44060</v>
      </c>
      <c r="D156">
        <v>41428</v>
      </c>
      <c r="E156" t="b">
        <v>0</v>
      </c>
      <c r="F156">
        <v>23</v>
      </c>
      <c r="G156" t="s">
        <v>304</v>
      </c>
      <c r="H156" t="s">
        <v>49</v>
      </c>
      <c r="I156" t="s">
        <v>2116</v>
      </c>
    </row>
    <row r="157" spans="1:9" x14ac:dyDescent="0.35">
      <c r="A157">
        <v>1366800</v>
      </c>
      <c r="B157" t="s">
        <v>80</v>
      </c>
      <c r="C157" s="1">
        <v>44060</v>
      </c>
      <c r="D157">
        <v>41428</v>
      </c>
      <c r="E157" t="b">
        <v>0</v>
      </c>
      <c r="F157">
        <v>23</v>
      </c>
      <c r="G157" t="s">
        <v>304</v>
      </c>
      <c r="H157" t="s">
        <v>792</v>
      </c>
      <c r="I157" t="s">
        <v>2116</v>
      </c>
    </row>
    <row r="158" spans="1:9" x14ac:dyDescent="0.35">
      <c r="A158">
        <v>1366800</v>
      </c>
      <c r="B158" t="s">
        <v>80</v>
      </c>
      <c r="C158" s="1">
        <v>44060</v>
      </c>
      <c r="D158">
        <v>41428</v>
      </c>
      <c r="E158" t="b">
        <v>0</v>
      </c>
      <c r="F158">
        <v>23</v>
      </c>
      <c r="G158" t="s">
        <v>304</v>
      </c>
      <c r="H158" t="s">
        <v>346</v>
      </c>
      <c r="I158" t="s">
        <v>2116</v>
      </c>
    </row>
    <row r="159" spans="1:9" x14ac:dyDescent="0.35">
      <c r="A159">
        <v>1366800</v>
      </c>
      <c r="B159" t="s">
        <v>80</v>
      </c>
      <c r="C159" s="1">
        <v>44060</v>
      </c>
      <c r="D159">
        <v>41428</v>
      </c>
      <c r="E159" t="b">
        <v>0</v>
      </c>
      <c r="F159">
        <v>23</v>
      </c>
      <c r="G159" t="s">
        <v>304</v>
      </c>
      <c r="H159" t="s">
        <v>239</v>
      </c>
      <c r="I159" t="s">
        <v>2117</v>
      </c>
    </row>
    <row r="160" spans="1:9" x14ac:dyDescent="0.35">
      <c r="A160">
        <v>1366800</v>
      </c>
      <c r="B160" t="s">
        <v>80</v>
      </c>
      <c r="C160" s="1">
        <v>44060</v>
      </c>
      <c r="D160">
        <v>41428</v>
      </c>
      <c r="E160" t="b">
        <v>0</v>
      </c>
      <c r="F160">
        <v>23</v>
      </c>
      <c r="G160" t="s">
        <v>304</v>
      </c>
      <c r="H160" t="s">
        <v>132</v>
      </c>
      <c r="I160" t="s">
        <v>2117</v>
      </c>
    </row>
    <row r="161" spans="1:9" x14ac:dyDescent="0.35">
      <c r="A161">
        <v>1366800</v>
      </c>
      <c r="B161" t="s">
        <v>80</v>
      </c>
      <c r="C161" s="1">
        <v>44060</v>
      </c>
      <c r="D161">
        <v>41428</v>
      </c>
      <c r="E161" t="b">
        <v>0</v>
      </c>
      <c r="F161">
        <v>23</v>
      </c>
      <c r="G161" t="s">
        <v>304</v>
      </c>
      <c r="H161" t="s">
        <v>124</v>
      </c>
      <c r="I161" t="s">
        <v>2117</v>
      </c>
    </row>
    <row r="162" spans="1:9" x14ac:dyDescent="0.35">
      <c r="A162">
        <v>1366800</v>
      </c>
      <c r="B162" t="s">
        <v>80</v>
      </c>
      <c r="C162" s="1">
        <v>44060</v>
      </c>
      <c r="D162">
        <v>41428</v>
      </c>
      <c r="E162" t="b">
        <v>0</v>
      </c>
      <c r="F162">
        <v>23</v>
      </c>
      <c r="G162" t="s">
        <v>304</v>
      </c>
      <c r="H162" t="s">
        <v>1510</v>
      </c>
      <c r="I162" t="s">
        <v>2117</v>
      </c>
    </row>
    <row r="163" spans="1:9" x14ac:dyDescent="0.35">
      <c r="A163">
        <v>3240220</v>
      </c>
      <c r="B163" t="s">
        <v>83</v>
      </c>
      <c r="C163" s="1">
        <v>45720</v>
      </c>
      <c r="D163">
        <v>39502</v>
      </c>
      <c r="E163" t="b">
        <v>0</v>
      </c>
      <c r="F163">
        <v>24</v>
      </c>
      <c r="G163" t="s">
        <v>29</v>
      </c>
      <c r="H163" t="s">
        <v>49</v>
      </c>
      <c r="I163" t="s">
        <v>2116</v>
      </c>
    </row>
    <row r="164" spans="1:9" x14ac:dyDescent="0.35">
      <c r="A164">
        <v>3240220</v>
      </c>
      <c r="B164" t="s">
        <v>83</v>
      </c>
      <c r="C164" s="1">
        <v>45720</v>
      </c>
      <c r="D164">
        <v>39502</v>
      </c>
      <c r="E164" t="b">
        <v>0</v>
      </c>
      <c r="F164">
        <v>24</v>
      </c>
      <c r="G164" t="s">
        <v>29</v>
      </c>
      <c r="H164" t="s">
        <v>792</v>
      </c>
      <c r="I164" t="s">
        <v>2117</v>
      </c>
    </row>
    <row r="165" spans="1:9" x14ac:dyDescent="0.35">
      <c r="A165">
        <v>3240220</v>
      </c>
      <c r="B165" t="s">
        <v>83</v>
      </c>
      <c r="C165" s="1">
        <v>45720</v>
      </c>
      <c r="D165">
        <v>39502</v>
      </c>
      <c r="E165" t="b">
        <v>0</v>
      </c>
      <c r="F165">
        <v>24</v>
      </c>
      <c r="G165" t="s">
        <v>29</v>
      </c>
      <c r="H165" t="s">
        <v>346</v>
      </c>
      <c r="I165" t="s">
        <v>2116</v>
      </c>
    </row>
    <row r="166" spans="1:9" x14ac:dyDescent="0.35">
      <c r="A166">
        <v>3240220</v>
      </c>
      <c r="B166" t="s">
        <v>83</v>
      </c>
      <c r="C166" s="1">
        <v>45720</v>
      </c>
      <c r="D166">
        <v>39502</v>
      </c>
      <c r="E166" t="b">
        <v>0</v>
      </c>
      <c r="F166">
        <v>24</v>
      </c>
      <c r="G166" t="s">
        <v>29</v>
      </c>
      <c r="H166" t="s">
        <v>239</v>
      </c>
      <c r="I166" t="s">
        <v>2117</v>
      </c>
    </row>
    <row r="167" spans="1:9" x14ac:dyDescent="0.35">
      <c r="A167">
        <v>3240220</v>
      </c>
      <c r="B167" t="s">
        <v>83</v>
      </c>
      <c r="C167" s="1">
        <v>45720</v>
      </c>
      <c r="D167">
        <v>39502</v>
      </c>
      <c r="E167" t="b">
        <v>0</v>
      </c>
      <c r="F167">
        <v>24</v>
      </c>
      <c r="G167" t="s">
        <v>29</v>
      </c>
      <c r="H167" t="s">
        <v>132</v>
      </c>
      <c r="I167" t="s">
        <v>2117</v>
      </c>
    </row>
    <row r="168" spans="1:9" x14ac:dyDescent="0.35">
      <c r="A168">
        <v>3240220</v>
      </c>
      <c r="B168" t="s">
        <v>83</v>
      </c>
      <c r="C168" s="1">
        <v>45720</v>
      </c>
      <c r="D168">
        <v>39502</v>
      </c>
      <c r="E168" t="b">
        <v>0</v>
      </c>
      <c r="F168">
        <v>24</v>
      </c>
      <c r="G168" t="s">
        <v>29</v>
      </c>
      <c r="H168" t="s">
        <v>124</v>
      </c>
      <c r="I168" t="s">
        <v>2117</v>
      </c>
    </row>
    <row r="169" spans="1:9" x14ac:dyDescent="0.35">
      <c r="A169">
        <v>3240220</v>
      </c>
      <c r="B169" t="s">
        <v>83</v>
      </c>
      <c r="C169" s="1">
        <v>45720</v>
      </c>
      <c r="D169">
        <v>39502</v>
      </c>
      <c r="E169" t="b">
        <v>0</v>
      </c>
      <c r="F169">
        <v>24</v>
      </c>
      <c r="G169" t="s">
        <v>29</v>
      </c>
      <c r="H169" t="s">
        <v>1510</v>
      </c>
      <c r="I169" t="s">
        <v>2117</v>
      </c>
    </row>
    <row r="170" spans="1:9" x14ac:dyDescent="0.35">
      <c r="A170">
        <v>221100</v>
      </c>
      <c r="B170" t="s">
        <v>86</v>
      </c>
      <c r="C170" s="1">
        <v>43447</v>
      </c>
      <c r="D170">
        <v>37066</v>
      </c>
      <c r="E170" t="b">
        <v>0</v>
      </c>
      <c r="F170">
        <v>25</v>
      </c>
      <c r="G170" t="s">
        <v>53</v>
      </c>
      <c r="H170" t="s">
        <v>49</v>
      </c>
      <c r="I170" t="s">
        <v>2116</v>
      </c>
    </row>
    <row r="171" spans="1:9" x14ac:dyDescent="0.35">
      <c r="A171">
        <v>221100</v>
      </c>
      <c r="B171" t="s">
        <v>86</v>
      </c>
      <c r="C171" s="1">
        <v>43447</v>
      </c>
      <c r="D171">
        <v>37066</v>
      </c>
      <c r="E171" t="b">
        <v>0</v>
      </c>
      <c r="F171">
        <v>25</v>
      </c>
      <c r="G171" t="s">
        <v>53</v>
      </c>
      <c r="H171" t="s">
        <v>792</v>
      </c>
      <c r="I171" t="s">
        <v>2117</v>
      </c>
    </row>
    <row r="172" spans="1:9" x14ac:dyDescent="0.35">
      <c r="A172">
        <v>221100</v>
      </c>
      <c r="B172" t="s">
        <v>86</v>
      </c>
      <c r="C172" s="1">
        <v>43447</v>
      </c>
      <c r="D172">
        <v>37066</v>
      </c>
      <c r="E172" t="b">
        <v>0</v>
      </c>
      <c r="F172">
        <v>25</v>
      </c>
      <c r="G172" t="s">
        <v>53</v>
      </c>
      <c r="H172" t="s">
        <v>346</v>
      </c>
      <c r="I172" t="s">
        <v>2116</v>
      </c>
    </row>
    <row r="173" spans="1:9" x14ac:dyDescent="0.35">
      <c r="A173">
        <v>221100</v>
      </c>
      <c r="B173" t="s">
        <v>86</v>
      </c>
      <c r="C173" s="1">
        <v>43447</v>
      </c>
      <c r="D173">
        <v>37066</v>
      </c>
      <c r="E173" t="b">
        <v>0</v>
      </c>
      <c r="F173">
        <v>25</v>
      </c>
      <c r="G173" t="s">
        <v>53</v>
      </c>
      <c r="H173" t="s">
        <v>239</v>
      </c>
      <c r="I173" t="s">
        <v>2117</v>
      </c>
    </row>
    <row r="174" spans="1:9" x14ac:dyDescent="0.35">
      <c r="A174">
        <v>221100</v>
      </c>
      <c r="B174" t="s">
        <v>86</v>
      </c>
      <c r="C174" s="1">
        <v>43447</v>
      </c>
      <c r="D174">
        <v>37066</v>
      </c>
      <c r="E174" t="b">
        <v>0</v>
      </c>
      <c r="F174">
        <v>25</v>
      </c>
      <c r="G174" t="s">
        <v>53</v>
      </c>
      <c r="H174" t="s">
        <v>132</v>
      </c>
      <c r="I174" t="s">
        <v>2117</v>
      </c>
    </row>
    <row r="175" spans="1:9" x14ac:dyDescent="0.35">
      <c r="A175">
        <v>221100</v>
      </c>
      <c r="B175" t="s">
        <v>86</v>
      </c>
      <c r="C175" s="1">
        <v>43447</v>
      </c>
      <c r="D175">
        <v>37066</v>
      </c>
      <c r="E175" t="b">
        <v>0</v>
      </c>
      <c r="F175">
        <v>25</v>
      </c>
      <c r="G175" t="s">
        <v>53</v>
      </c>
      <c r="H175" t="s">
        <v>124</v>
      </c>
      <c r="I175" t="s">
        <v>2117</v>
      </c>
    </row>
    <row r="176" spans="1:9" x14ac:dyDescent="0.35">
      <c r="A176">
        <v>221100</v>
      </c>
      <c r="B176" t="s">
        <v>86</v>
      </c>
      <c r="C176" s="1">
        <v>43447</v>
      </c>
      <c r="D176">
        <v>37066</v>
      </c>
      <c r="E176" t="b">
        <v>0</v>
      </c>
      <c r="F176">
        <v>25</v>
      </c>
      <c r="G176" t="s">
        <v>53</v>
      </c>
      <c r="H176" t="s">
        <v>1510</v>
      </c>
      <c r="I176" t="s">
        <v>2117</v>
      </c>
    </row>
    <row r="177" spans="1:9" x14ac:dyDescent="0.35">
      <c r="A177">
        <v>230410</v>
      </c>
      <c r="B177" t="s">
        <v>89</v>
      </c>
      <c r="C177" s="1">
        <v>41358</v>
      </c>
      <c r="D177">
        <v>36195</v>
      </c>
      <c r="E177" t="b">
        <v>0</v>
      </c>
      <c r="F177">
        <v>26</v>
      </c>
      <c r="G177" t="s">
        <v>2092</v>
      </c>
      <c r="H177" t="s">
        <v>49</v>
      </c>
      <c r="I177" t="s">
        <v>2116</v>
      </c>
    </row>
    <row r="178" spans="1:9" x14ac:dyDescent="0.35">
      <c r="A178">
        <v>230410</v>
      </c>
      <c r="B178" t="s">
        <v>89</v>
      </c>
      <c r="C178" s="1">
        <v>41358</v>
      </c>
      <c r="D178">
        <v>36195</v>
      </c>
      <c r="E178" t="b">
        <v>0</v>
      </c>
      <c r="F178">
        <v>26</v>
      </c>
      <c r="G178" t="s">
        <v>2092</v>
      </c>
      <c r="H178" t="s">
        <v>792</v>
      </c>
      <c r="I178" t="s">
        <v>2117</v>
      </c>
    </row>
    <row r="179" spans="1:9" x14ac:dyDescent="0.35">
      <c r="A179">
        <v>230410</v>
      </c>
      <c r="B179" t="s">
        <v>89</v>
      </c>
      <c r="C179" s="1">
        <v>41358</v>
      </c>
      <c r="D179">
        <v>36195</v>
      </c>
      <c r="E179" t="b">
        <v>0</v>
      </c>
      <c r="F179">
        <v>26</v>
      </c>
      <c r="G179" t="s">
        <v>2092</v>
      </c>
      <c r="H179" t="s">
        <v>346</v>
      </c>
      <c r="I179" t="s">
        <v>2117</v>
      </c>
    </row>
    <row r="180" spans="1:9" x14ac:dyDescent="0.35">
      <c r="A180">
        <v>230410</v>
      </c>
      <c r="B180" t="s">
        <v>89</v>
      </c>
      <c r="C180" s="1">
        <v>41358</v>
      </c>
      <c r="D180">
        <v>36195</v>
      </c>
      <c r="E180" t="b">
        <v>0</v>
      </c>
      <c r="F180">
        <v>26</v>
      </c>
      <c r="G180" t="s">
        <v>2092</v>
      </c>
      <c r="H180" t="s">
        <v>239</v>
      </c>
      <c r="I180" t="s">
        <v>2117</v>
      </c>
    </row>
    <row r="181" spans="1:9" x14ac:dyDescent="0.35">
      <c r="A181">
        <v>230410</v>
      </c>
      <c r="B181" t="s">
        <v>89</v>
      </c>
      <c r="C181" s="1">
        <v>41358</v>
      </c>
      <c r="D181">
        <v>36195</v>
      </c>
      <c r="E181" t="b">
        <v>0</v>
      </c>
      <c r="F181">
        <v>26</v>
      </c>
      <c r="G181" t="s">
        <v>2092</v>
      </c>
      <c r="H181" t="s">
        <v>132</v>
      </c>
      <c r="I181" t="s">
        <v>2116</v>
      </c>
    </row>
    <row r="182" spans="1:9" x14ac:dyDescent="0.35">
      <c r="A182">
        <v>230410</v>
      </c>
      <c r="B182" t="s">
        <v>89</v>
      </c>
      <c r="C182" s="1">
        <v>41358</v>
      </c>
      <c r="D182">
        <v>36195</v>
      </c>
      <c r="E182" t="b">
        <v>0</v>
      </c>
      <c r="F182">
        <v>26</v>
      </c>
      <c r="G182" t="s">
        <v>2092</v>
      </c>
      <c r="H182" t="s">
        <v>124</v>
      </c>
      <c r="I182" t="s">
        <v>2117</v>
      </c>
    </row>
    <row r="183" spans="1:9" x14ac:dyDescent="0.35">
      <c r="A183">
        <v>230410</v>
      </c>
      <c r="B183" t="s">
        <v>89</v>
      </c>
      <c r="C183" s="1">
        <v>41358</v>
      </c>
      <c r="D183">
        <v>36195</v>
      </c>
      <c r="E183" t="b">
        <v>0</v>
      </c>
      <c r="F183">
        <v>26</v>
      </c>
      <c r="G183" t="s">
        <v>2092</v>
      </c>
      <c r="H183" t="s">
        <v>1510</v>
      </c>
      <c r="I183" t="s">
        <v>2116</v>
      </c>
    </row>
    <row r="184" spans="1:9" x14ac:dyDescent="0.35">
      <c r="A184">
        <v>438100</v>
      </c>
      <c r="B184" t="s">
        <v>92</v>
      </c>
      <c r="C184" s="1">
        <v>42767</v>
      </c>
      <c r="D184">
        <v>34699</v>
      </c>
      <c r="E184" t="b">
        <v>0</v>
      </c>
      <c r="F184">
        <v>27</v>
      </c>
      <c r="G184" t="s">
        <v>33</v>
      </c>
      <c r="H184" t="s">
        <v>49</v>
      </c>
      <c r="I184" t="s">
        <v>2117</v>
      </c>
    </row>
    <row r="185" spans="1:9" x14ac:dyDescent="0.35">
      <c r="A185">
        <v>438100</v>
      </c>
      <c r="B185" t="s">
        <v>92</v>
      </c>
      <c r="C185" s="1">
        <v>42767</v>
      </c>
      <c r="D185">
        <v>34699</v>
      </c>
      <c r="E185" t="b">
        <v>0</v>
      </c>
      <c r="F185">
        <v>27</v>
      </c>
      <c r="G185" t="s">
        <v>33</v>
      </c>
      <c r="H185" t="s">
        <v>792</v>
      </c>
      <c r="I185" t="s">
        <v>2117</v>
      </c>
    </row>
    <row r="186" spans="1:9" x14ac:dyDescent="0.35">
      <c r="A186">
        <v>438100</v>
      </c>
      <c r="B186" t="s">
        <v>92</v>
      </c>
      <c r="C186" s="1">
        <v>42767</v>
      </c>
      <c r="D186">
        <v>34699</v>
      </c>
      <c r="E186" t="b">
        <v>0</v>
      </c>
      <c r="F186">
        <v>27</v>
      </c>
      <c r="G186" t="s">
        <v>33</v>
      </c>
      <c r="H186" t="s">
        <v>346</v>
      </c>
      <c r="I186" t="s">
        <v>2116</v>
      </c>
    </row>
    <row r="187" spans="1:9" x14ac:dyDescent="0.35">
      <c r="A187">
        <v>438100</v>
      </c>
      <c r="B187" t="s">
        <v>92</v>
      </c>
      <c r="C187" s="1">
        <v>42767</v>
      </c>
      <c r="D187">
        <v>34699</v>
      </c>
      <c r="E187" t="b">
        <v>0</v>
      </c>
      <c r="F187">
        <v>27</v>
      </c>
      <c r="G187" t="s">
        <v>33</v>
      </c>
      <c r="H187" t="s">
        <v>239</v>
      </c>
      <c r="I187" t="s">
        <v>2116</v>
      </c>
    </row>
    <row r="188" spans="1:9" x14ac:dyDescent="0.35">
      <c r="A188">
        <v>438100</v>
      </c>
      <c r="B188" t="s">
        <v>92</v>
      </c>
      <c r="C188" s="1">
        <v>42767</v>
      </c>
      <c r="D188">
        <v>34699</v>
      </c>
      <c r="E188" t="b">
        <v>0</v>
      </c>
      <c r="F188">
        <v>27</v>
      </c>
      <c r="G188" t="s">
        <v>33</v>
      </c>
      <c r="H188" t="s">
        <v>132</v>
      </c>
      <c r="I188" t="s">
        <v>2117</v>
      </c>
    </row>
    <row r="189" spans="1:9" x14ac:dyDescent="0.35">
      <c r="A189">
        <v>438100</v>
      </c>
      <c r="B189" t="s">
        <v>92</v>
      </c>
      <c r="C189" s="1">
        <v>42767</v>
      </c>
      <c r="D189">
        <v>34699</v>
      </c>
      <c r="E189" t="b">
        <v>0</v>
      </c>
      <c r="F189">
        <v>27</v>
      </c>
      <c r="G189" t="s">
        <v>33</v>
      </c>
      <c r="H189" t="s">
        <v>124</v>
      </c>
      <c r="I189" t="s">
        <v>2117</v>
      </c>
    </row>
    <row r="190" spans="1:9" x14ac:dyDescent="0.35">
      <c r="A190">
        <v>438100</v>
      </c>
      <c r="B190" t="s">
        <v>92</v>
      </c>
      <c r="C190" s="1">
        <v>42767</v>
      </c>
      <c r="D190">
        <v>34699</v>
      </c>
      <c r="E190" t="b">
        <v>0</v>
      </c>
      <c r="F190">
        <v>27</v>
      </c>
      <c r="G190" t="s">
        <v>33</v>
      </c>
      <c r="H190" t="s">
        <v>1510</v>
      </c>
      <c r="I190" t="s">
        <v>2116</v>
      </c>
    </row>
    <row r="191" spans="1:9" x14ac:dyDescent="0.35">
      <c r="A191">
        <v>3241660</v>
      </c>
      <c r="B191" t="s">
        <v>95</v>
      </c>
      <c r="C191" s="1">
        <v>45714</v>
      </c>
      <c r="D191">
        <v>32349</v>
      </c>
      <c r="E191" t="b">
        <v>0</v>
      </c>
      <c r="F191">
        <v>28</v>
      </c>
      <c r="G191" t="s">
        <v>25</v>
      </c>
      <c r="H191" t="s">
        <v>49</v>
      </c>
      <c r="I191" t="s">
        <v>2116</v>
      </c>
    </row>
    <row r="192" spans="1:9" x14ac:dyDescent="0.35">
      <c r="A192">
        <v>3241660</v>
      </c>
      <c r="B192" t="s">
        <v>95</v>
      </c>
      <c r="C192" s="1">
        <v>45714</v>
      </c>
      <c r="D192">
        <v>32349</v>
      </c>
      <c r="E192" t="b">
        <v>0</v>
      </c>
      <c r="F192">
        <v>28</v>
      </c>
      <c r="G192" t="s">
        <v>25</v>
      </c>
      <c r="H192" t="s">
        <v>792</v>
      </c>
      <c r="I192" t="s">
        <v>2117</v>
      </c>
    </row>
    <row r="193" spans="1:9" x14ac:dyDescent="0.35">
      <c r="A193">
        <v>3241660</v>
      </c>
      <c r="B193" t="s">
        <v>95</v>
      </c>
      <c r="C193" s="1">
        <v>45714</v>
      </c>
      <c r="D193">
        <v>32349</v>
      </c>
      <c r="E193" t="b">
        <v>0</v>
      </c>
      <c r="F193">
        <v>28</v>
      </c>
      <c r="G193" t="s">
        <v>25</v>
      </c>
      <c r="H193" t="s">
        <v>346</v>
      </c>
      <c r="I193" t="s">
        <v>2117</v>
      </c>
    </row>
    <row r="194" spans="1:9" x14ac:dyDescent="0.35">
      <c r="A194">
        <v>3241660</v>
      </c>
      <c r="B194" t="s">
        <v>95</v>
      </c>
      <c r="C194" s="1">
        <v>45714</v>
      </c>
      <c r="D194">
        <v>32349</v>
      </c>
      <c r="E194" t="b">
        <v>0</v>
      </c>
      <c r="F194">
        <v>28</v>
      </c>
      <c r="G194" t="s">
        <v>25</v>
      </c>
      <c r="H194" t="s">
        <v>239</v>
      </c>
      <c r="I194" t="s">
        <v>2117</v>
      </c>
    </row>
    <row r="195" spans="1:9" x14ac:dyDescent="0.35">
      <c r="A195">
        <v>3241660</v>
      </c>
      <c r="B195" t="s">
        <v>95</v>
      </c>
      <c r="C195" s="1">
        <v>45714</v>
      </c>
      <c r="D195">
        <v>32349</v>
      </c>
      <c r="E195" t="b">
        <v>0</v>
      </c>
      <c r="F195">
        <v>28</v>
      </c>
      <c r="G195" t="s">
        <v>25</v>
      </c>
      <c r="H195" t="s">
        <v>132</v>
      </c>
      <c r="I195" t="s">
        <v>2117</v>
      </c>
    </row>
    <row r="196" spans="1:9" x14ac:dyDescent="0.35">
      <c r="A196">
        <v>3241660</v>
      </c>
      <c r="B196" t="s">
        <v>95</v>
      </c>
      <c r="C196" s="1">
        <v>45714</v>
      </c>
      <c r="D196">
        <v>32349</v>
      </c>
      <c r="E196" t="b">
        <v>0</v>
      </c>
      <c r="F196">
        <v>28</v>
      </c>
      <c r="G196" t="s">
        <v>25</v>
      </c>
      <c r="H196" t="s">
        <v>124</v>
      </c>
      <c r="I196" t="s">
        <v>2117</v>
      </c>
    </row>
    <row r="197" spans="1:9" x14ac:dyDescent="0.35">
      <c r="A197">
        <v>3241660</v>
      </c>
      <c r="B197" t="s">
        <v>95</v>
      </c>
      <c r="C197" s="1">
        <v>45714</v>
      </c>
      <c r="D197">
        <v>32349</v>
      </c>
      <c r="E197" t="b">
        <v>0</v>
      </c>
      <c r="F197">
        <v>28</v>
      </c>
      <c r="G197" t="s">
        <v>25</v>
      </c>
      <c r="H197" t="s">
        <v>1510</v>
      </c>
      <c r="I197" t="s">
        <v>2117</v>
      </c>
    </row>
    <row r="198" spans="1:9" x14ac:dyDescent="0.35">
      <c r="A198">
        <v>394360</v>
      </c>
      <c r="B198" t="s">
        <v>98</v>
      </c>
      <c r="C198" s="1">
        <v>42527</v>
      </c>
      <c r="D198">
        <v>32112</v>
      </c>
      <c r="E198" t="b">
        <v>1</v>
      </c>
      <c r="F198">
        <v>29</v>
      </c>
      <c r="G198" t="s">
        <v>2093</v>
      </c>
      <c r="H198" t="s">
        <v>49</v>
      </c>
      <c r="I198" t="s">
        <v>2117</v>
      </c>
    </row>
    <row r="199" spans="1:9" x14ac:dyDescent="0.35">
      <c r="A199">
        <v>394360</v>
      </c>
      <c r="B199" t="s">
        <v>98</v>
      </c>
      <c r="C199" s="1">
        <v>42527</v>
      </c>
      <c r="D199">
        <v>32112</v>
      </c>
      <c r="E199" t="b">
        <v>1</v>
      </c>
      <c r="F199">
        <v>29</v>
      </c>
      <c r="G199" t="s">
        <v>2093</v>
      </c>
      <c r="H199" t="s">
        <v>792</v>
      </c>
      <c r="I199" t="s">
        <v>2117</v>
      </c>
    </row>
    <row r="200" spans="1:9" x14ac:dyDescent="0.35">
      <c r="A200">
        <v>394360</v>
      </c>
      <c r="B200" t="s">
        <v>98</v>
      </c>
      <c r="C200" s="1">
        <v>42527</v>
      </c>
      <c r="D200">
        <v>32112</v>
      </c>
      <c r="E200" t="b">
        <v>1</v>
      </c>
      <c r="F200">
        <v>29</v>
      </c>
      <c r="G200" t="s">
        <v>2093</v>
      </c>
      <c r="H200" t="s">
        <v>346</v>
      </c>
      <c r="I200" t="s">
        <v>2117</v>
      </c>
    </row>
    <row r="201" spans="1:9" x14ac:dyDescent="0.35">
      <c r="A201">
        <v>394360</v>
      </c>
      <c r="B201" t="s">
        <v>98</v>
      </c>
      <c r="C201" s="1">
        <v>42527</v>
      </c>
      <c r="D201">
        <v>32112</v>
      </c>
      <c r="E201" t="b">
        <v>1</v>
      </c>
      <c r="F201">
        <v>29</v>
      </c>
      <c r="G201" t="s">
        <v>2093</v>
      </c>
      <c r="H201" t="s">
        <v>239</v>
      </c>
      <c r="I201" t="s">
        <v>2116</v>
      </c>
    </row>
    <row r="202" spans="1:9" x14ac:dyDescent="0.35">
      <c r="A202">
        <v>394360</v>
      </c>
      <c r="B202" t="s">
        <v>98</v>
      </c>
      <c r="C202" s="1">
        <v>42527</v>
      </c>
      <c r="D202">
        <v>32112</v>
      </c>
      <c r="E202" t="b">
        <v>1</v>
      </c>
      <c r="F202">
        <v>29</v>
      </c>
      <c r="G202" t="s">
        <v>2093</v>
      </c>
      <c r="H202" t="s">
        <v>132</v>
      </c>
      <c r="I202" t="s">
        <v>2117</v>
      </c>
    </row>
    <row r="203" spans="1:9" x14ac:dyDescent="0.35">
      <c r="A203">
        <v>394360</v>
      </c>
      <c r="B203" t="s">
        <v>98</v>
      </c>
      <c r="C203" s="1">
        <v>42527</v>
      </c>
      <c r="D203">
        <v>32112</v>
      </c>
      <c r="E203" t="b">
        <v>1</v>
      </c>
      <c r="F203">
        <v>29</v>
      </c>
      <c r="G203" t="s">
        <v>2093</v>
      </c>
      <c r="H203" t="s">
        <v>124</v>
      </c>
      <c r="I203" t="s">
        <v>2116</v>
      </c>
    </row>
    <row r="204" spans="1:9" x14ac:dyDescent="0.35">
      <c r="A204">
        <v>394360</v>
      </c>
      <c r="B204" t="s">
        <v>98</v>
      </c>
      <c r="C204" s="1">
        <v>42527</v>
      </c>
      <c r="D204">
        <v>32112</v>
      </c>
      <c r="E204" t="b">
        <v>1</v>
      </c>
      <c r="F204">
        <v>29</v>
      </c>
      <c r="G204" t="s">
        <v>2093</v>
      </c>
      <c r="H204" t="s">
        <v>1510</v>
      </c>
      <c r="I204" t="s">
        <v>2117</v>
      </c>
    </row>
    <row r="205" spans="1:9" x14ac:dyDescent="0.35">
      <c r="A205">
        <v>322330</v>
      </c>
      <c r="B205" t="s">
        <v>101</v>
      </c>
      <c r="C205" s="1">
        <v>42481</v>
      </c>
      <c r="D205">
        <v>30542</v>
      </c>
      <c r="E205" t="b">
        <v>1</v>
      </c>
      <c r="F205">
        <v>30</v>
      </c>
      <c r="G205" t="s">
        <v>110</v>
      </c>
      <c r="H205" t="s">
        <v>49</v>
      </c>
      <c r="I205" t="s">
        <v>2116</v>
      </c>
    </row>
    <row r="206" spans="1:9" x14ac:dyDescent="0.35">
      <c r="A206">
        <v>322330</v>
      </c>
      <c r="B206" t="s">
        <v>101</v>
      </c>
      <c r="C206" s="1">
        <v>42481</v>
      </c>
      <c r="D206">
        <v>30542</v>
      </c>
      <c r="E206" t="b">
        <v>1</v>
      </c>
      <c r="F206">
        <v>30</v>
      </c>
      <c r="G206" t="s">
        <v>110</v>
      </c>
      <c r="H206" t="s">
        <v>792</v>
      </c>
      <c r="I206" t="s">
        <v>2116</v>
      </c>
    </row>
    <row r="207" spans="1:9" x14ac:dyDescent="0.35">
      <c r="A207">
        <v>322330</v>
      </c>
      <c r="B207" t="s">
        <v>101</v>
      </c>
      <c r="C207" s="1">
        <v>42481</v>
      </c>
      <c r="D207">
        <v>30542</v>
      </c>
      <c r="E207" t="b">
        <v>1</v>
      </c>
      <c r="F207">
        <v>30</v>
      </c>
      <c r="G207" t="s">
        <v>110</v>
      </c>
      <c r="H207" t="s">
        <v>346</v>
      </c>
      <c r="I207" t="s">
        <v>2116</v>
      </c>
    </row>
    <row r="208" spans="1:9" x14ac:dyDescent="0.35">
      <c r="A208">
        <v>322330</v>
      </c>
      <c r="B208" t="s">
        <v>101</v>
      </c>
      <c r="C208" s="1">
        <v>42481</v>
      </c>
      <c r="D208">
        <v>30542</v>
      </c>
      <c r="E208" t="b">
        <v>1</v>
      </c>
      <c r="F208">
        <v>30</v>
      </c>
      <c r="G208" t="s">
        <v>110</v>
      </c>
      <c r="H208" t="s">
        <v>239</v>
      </c>
      <c r="I208" t="s">
        <v>2116</v>
      </c>
    </row>
    <row r="209" spans="1:9" x14ac:dyDescent="0.35">
      <c r="A209">
        <v>322330</v>
      </c>
      <c r="B209" t="s">
        <v>101</v>
      </c>
      <c r="C209" s="1">
        <v>42481</v>
      </c>
      <c r="D209">
        <v>30542</v>
      </c>
      <c r="E209" t="b">
        <v>1</v>
      </c>
      <c r="F209">
        <v>30</v>
      </c>
      <c r="G209" t="s">
        <v>110</v>
      </c>
      <c r="H209" t="s">
        <v>132</v>
      </c>
      <c r="I209" t="s">
        <v>2116</v>
      </c>
    </row>
    <row r="210" spans="1:9" x14ac:dyDescent="0.35">
      <c r="A210">
        <v>322330</v>
      </c>
      <c r="B210" t="s">
        <v>101</v>
      </c>
      <c r="C210" s="1">
        <v>42481</v>
      </c>
      <c r="D210">
        <v>30542</v>
      </c>
      <c r="E210" t="b">
        <v>1</v>
      </c>
      <c r="F210">
        <v>30</v>
      </c>
      <c r="G210" t="s">
        <v>110</v>
      </c>
      <c r="H210" t="s">
        <v>124</v>
      </c>
      <c r="I210" t="s">
        <v>2116</v>
      </c>
    </row>
    <row r="211" spans="1:9" x14ac:dyDescent="0.35">
      <c r="A211">
        <v>322330</v>
      </c>
      <c r="B211" t="s">
        <v>101</v>
      </c>
      <c r="C211" s="1">
        <v>42481</v>
      </c>
      <c r="D211">
        <v>30542</v>
      </c>
      <c r="E211" t="b">
        <v>1</v>
      </c>
      <c r="F211">
        <v>30</v>
      </c>
      <c r="G211" t="s">
        <v>110</v>
      </c>
      <c r="H211" t="s">
        <v>1510</v>
      </c>
      <c r="I211" t="s">
        <v>2117</v>
      </c>
    </row>
    <row r="212" spans="1:9" x14ac:dyDescent="0.35">
      <c r="A212">
        <v>1174180</v>
      </c>
      <c r="B212" t="s">
        <v>104</v>
      </c>
      <c r="C212" s="1">
        <v>43804</v>
      </c>
      <c r="D212">
        <v>29885</v>
      </c>
      <c r="E212" t="b">
        <v>0</v>
      </c>
      <c r="F212">
        <v>31</v>
      </c>
      <c r="G212" t="s">
        <v>53</v>
      </c>
      <c r="H212" t="s">
        <v>49</v>
      </c>
      <c r="I212" t="s">
        <v>2116</v>
      </c>
    </row>
    <row r="213" spans="1:9" x14ac:dyDescent="0.35">
      <c r="A213">
        <v>1174180</v>
      </c>
      <c r="B213" t="s">
        <v>104</v>
      </c>
      <c r="C213" s="1">
        <v>43804</v>
      </c>
      <c r="D213">
        <v>29885</v>
      </c>
      <c r="E213" t="b">
        <v>0</v>
      </c>
      <c r="F213">
        <v>31</v>
      </c>
      <c r="G213" t="s">
        <v>53</v>
      </c>
      <c r="H213" t="s">
        <v>792</v>
      </c>
      <c r="I213" t="s">
        <v>2117</v>
      </c>
    </row>
    <row r="214" spans="1:9" x14ac:dyDescent="0.35">
      <c r="A214">
        <v>1174180</v>
      </c>
      <c r="B214" t="s">
        <v>104</v>
      </c>
      <c r="C214" s="1">
        <v>43804</v>
      </c>
      <c r="D214">
        <v>29885</v>
      </c>
      <c r="E214" t="b">
        <v>0</v>
      </c>
      <c r="F214">
        <v>31</v>
      </c>
      <c r="G214" t="s">
        <v>53</v>
      </c>
      <c r="H214" t="s">
        <v>346</v>
      </c>
      <c r="I214" t="s">
        <v>2116</v>
      </c>
    </row>
    <row r="215" spans="1:9" x14ac:dyDescent="0.35">
      <c r="A215">
        <v>1174180</v>
      </c>
      <c r="B215" t="s">
        <v>104</v>
      </c>
      <c r="C215" s="1">
        <v>43804</v>
      </c>
      <c r="D215">
        <v>29885</v>
      </c>
      <c r="E215" t="b">
        <v>0</v>
      </c>
      <c r="F215">
        <v>31</v>
      </c>
      <c r="G215" t="s">
        <v>53</v>
      </c>
      <c r="H215" t="s">
        <v>239</v>
      </c>
      <c r="I215" t="s">
        <v>2117</v>
      </c>
    </row>
    <row r="216" spans="1:9" x14ac:dyDescent="0.35">
      <c r="A216">
        <v>1174180</v>
      </c>
      <c r="B216" t="s">
        <v>104</v>
      </c>
      <c r="C216" s="1">
        <v>43804</v>
      </c>
      <c r="D216">
        <v>29885</v>
      </c>
      <c r="E216" t="b">
        <v>0</v>
      </c>
      <c r="F216">
        <v>31</v>
      </c>
      <c r="G216" t="s">
        <v>53</v>
      </c>
      <c r="H216" t="s">
        <v>132</v>
      </c>
      <c r="I216" t="s">
        <v>2117</v>
      </c>
    </row>
    <row r="217" spans="1:9" x14ac:dyDescent="0.35">
      <c r="A217">
        <v>1174180</v>
      </c>
      <c r="B217" t="s">
        <v>104</v>
      </c>
      <c r="C217" s="1">
        <v>43804</v>
      </c>
      <c r="D217">
        <v>29885</v>
      </c>
      <c r="E217" t="b">
        <v>0</v>
      </c>
      <c r="F217">
        <v>31</v>
      </c>
      <c r="G217" t="s">
        <v>53</v>
      </c>
      <c r="H217" t="s">
        <v>124</v>
      </c>
      <c r="I217" t="s">
        <v>2117</v>
      </c>
    </row>
    <row r="218" spans="1:9" x14ac:dyDescent="0.35">
      <c r="A218">
        <v>1174180</v>
      </c>
      <c r="B218" t="s">
        <v>104</v>
      </c>
      <c r="C218" s="1">
        <v>43804</v>
      </c>
      <c r="D218">
        <v>29885</v>
      </c>
      <c r="E218" t="b">
        <v>0</v>
      </c>
      <c r="F218">
        <v>31</v>
      </c>
      <c r="G218" t="s">
        <v>53</v>
      </c>
      <c r="H218" t="s">
        <v>1510</v>
      </c>
      <c r="I218" t="s">
        <v>2117</v>
      </c>
    </row>
    <row r="219" spans="1:9" x14ac:dyDescent="0.35">
      <c r="A219">
        <v>1245620</v>
      </c>
      <c r="B219" t="s">
        <v>105</v>
      </c>
      <c r="C219" s="1">
        <v>44616</v>
      </c>
      <c r="D219">
        <v>29529</v>
      </c>
      <c r="E219" t="b">
        <v>0</v>
      </c>
      <c r="F219">
        <v>32</v>
      </c>
      <c r="G219" t="s">
        <v>25</v>
      </c>
      <c r="H219" t="s">
        <v>49</v>
      </c>
      <c r="I219" t="s">
        <v>2116</v>
      </c>
    </row>
    <row r="220" spans="1:9" x14ac:dyDescent="0.35">
      <c r="A220">
        <v>1245620</v>
      </c>
      <c r="B220" t="s">
        <v>105</v>
      </c>
      <c r="C220" s="1">
        <v>44616</v>
      </c>
      <c r="D220">
        <v>29529</v>
      </c>
      <c r="E220" t="b">
        <v>0</v>
      </c>
      <c r="F220">
        <v>32</v>
      </c>
      <c r="G220" t="s">
        <v>25</v>
      </c>
      <c r="H220" t="s">
        <v>792</v>
      </c>
      <c r="I220" t="s">
        <v>2117</v>
      </c>
    </row>
    <row r="221" spans="1:9" x14ac:dyDescent="0.35">
      <c r="A221">
        <v>1245620</v>
      </c>
      <c r="B221" t="s">
        <v>105</v>
      </c>
      <c r="C221" s="1">
        <v>44616</v>
      </c>
      <c r="D221">
        <v>29529</v>
      </c>
      <c r="E221" t="b">
        <v>0</v>
      </c>
      <c r="F221">
        <v>32</v>
      </c>
      <c r="G221" t="s">
        <v>25</v>
      </c>
      <c r="H221" t="s">
        <v>346</v>
      </c>
      <c r="I221" t="s">
        <v>2117</v>
      </c>
    </row>
    <row r="222" spans="1:9" x14ac:dyDescent="0.35">
      <c r="A222">
        <v>1245620</v>
      </c>
      <c r="B222" t="s">
        <v>105</v>
      </c>
      <c r="C222" s="1">
        <v>44616</v>
      </c>
      <c r="D222">
        <v>29529</v>
      </c>
      <c r="E222" t="b">
        <v>0</v>
      </c>
      <c r="F222">
        <v>32</v>
      </c>
      <c r="G222" t="s">
        <v>25</v>
      </c>
      <c r="H222" t="s">
        <v>239</v>
      </c>
      <c r="I222" t="s">
        <v>2117</v>
      </c>
    </row>
    <row r="223" spans="1:9" x14ac:dyDescent="0.35">
      <c r="A223">
        <v>1245620</v>
      </c>
      <c r="B223" t="s">
        <v>105</v>
      </c>
      <c r="C223" s="1">
        <v>44616</v>
      </c>
      <c r="D223">
        <v>29529</v>
      </c>
      <c r="E223" t="b">
        <v>0</v>
      </c>
      <c r="F223">
        <v>32</v>
      </c>
      <c r="G223" t="s">
        <v>25</v>
      </c>
      <c r="H223" t="s">
        <v>132</v>
      </c>
      <c r="I223" t="s">
        <v>2116</v>
      </c>
    </row>
    <row r="224" spans="1:9" x14ac:dyDescent="0.35">
      <c r="A224">
        <v>1245620</v>
      </c>
      <c r="B224" t="s">
        <v>105</v>
      </c>
      <c r="C224" s="1">
        <v>44616</v>
      </c>
      <c r="D224">
        <v>29529</v>
      </c>
      <c r="E224" t="b">
        <v>0</v>
      </c>
      <c r="F224">
        <v>32</v>
      </c>
      <c r="G224" t="s">
        <v>25</v>
      </c>
      <c r="H224" t="s">
        <v>124</v>
      </c>
      <c r="I224" t="s">
        <v>2117</v>
      </c>
    </row>
    <row r="225" spans="1:9" x14ac:dyDescent="0.35">
      <c r="A225">
        <v>1245620</v>
      </c>
      <c r="B225" t="s">
        <v>105</v>
      </c>
      <c r="C225" s="1">
        <v>44616</v>
      </c>
      <c r="D225">
        <v>29529</v>
      </c>
      <c r="E225" t="b">
        <v>0</v>
      </c>
      <c r="F225">
        <v>32</v>
      </c>
      <c r="G225" t="s">
        <v>25</v>
      </c>
      <c r="H225" t="s">
        <v>1510</v>
      </c>
      <c r="I225" t="s">
        <v>2117</v>
      </c>
    </row>
    <row r="226" spans="1:9" x14ac:dyDescent="0.35">
      <c r="A226">
        <v>3188910</v>
      </c>
      <c r="B226" t="s">
        <v>107</v>
      </c>
      <c r="C226" s="1">
        <v>45629</v>
      </c>
      <c r="D226">
        <v>28258</v>
      </c>
      <c r="E226" t="b">
        <v>1</v>
      </c>
      <c r="F226">
        <v>33</v>
      </c>
      <c r="G226" t="s">
        <v>110</v>
      </c>
      <c r="H226" t="s">
        <v>49</v>
      </c>
      <c r="I226" t="s">
        <v>2117</v>
      </c>
    </row>
    <row r="227" spans="1:9" x14ac:dyDescent="0.35">
      <c r="A227">
        <v>3188910</v>
      </c>
      <c r="B227" t="s">
        <v>107</v>
      </c>
      <c r="C227" s="1">
        <v>45629</v>
      </c>
      <c r="D227">
        <v>28258</v>
      </c>
      <c r="E227" t="b">
        <v>1</v>
      </c>
      <c r="F227">
        <v>33</v>
      </c>
      <c r="G227" t="s">
        <v>110</v>
      </c>
      <c r="H227" t="s">
        <v>792</v>
      </c>
      <c r="I227" t="s">
        <v>2116</v>
      </c>
    </row>
    <row r="228" spans="1:9" x14ac:dyDescent="0.35">
      <c r="A228">
        <v>3188910</v>
      </c>
      <c r="B228" t="s">
        <v>107</v>
      </c>
      <c r="C228" s="1">
        <v>45629</v>
      </c>
      <c r="D228">
        <v>28258</v>
      </c>
      <c r="E228" t="b">
        <v>1</v>
      </c>
      <c r="F228">
        <v>33</v>
      </c>
      <c r="G228" t="s">
        <v>110</v>
      </c>
      <c r="H228" t="s">
        <v>346</v>
      </c>
      <c r="I228" t="s">
        <v>2117</v>
      </c>
    </row>
    <row r="229" spans="1:9" x14ac:dyDescent="0.35">
      <c r="A229">
        <v>3188910</v>
      </c>
      <c r="B229" t="s">
        <v>107</v>
      </c>
      <c r="C229" s="1">
        <v>45629</v>
      </c>
      <c r="D229">
        <v>28258</v>
      </c>
      <c r="E229" t="b">
        <v>1</v>
      </c>
      <c r="F229">
        <v>33</v>
      </c>
      <c r="G229" t="s">
        <v>110</v>
      </c>
      <c r="H229" t="s">
        <v>239</v>
      </c>
      <c r="I229" t="s">
        <v>2116</v>
      </c>
    </row>
    <row r="230" spans="1:9" x14ac:dyDescent="0.35">
      <c r="A230">
        <v>3188910</v>
      </c>
      <c r="B230" t="s">
        <v>107</v>
      </c>
      <c r="C230" s="1">
        <v>45629</v>
      </c>
      <c r="D230">
        <v>28258</v>
      </c>
      <c r="E230" t="b">
        <v>1</v>
      </c>
      <c r="F230">
        <v>33</v>
      </c>
      <c r="G230" t="s">
        <v>110</v>
      </c>
      <c r="H230" t="s">
        <v>132</v>
      </c>
      <c r="I230" t="s">
        <v>2116</v>
      </c>
    </row>
    <row r="231" spans="1:9" x14ac:dyDescent="0.35">
      <c r="A231">
        <v>3188910</v>
      </c>
      <c r="B231" t="s">
        <v>107</v>
      </c>
      <c r="C231" s="1">
        <v>45629</v>
      </c>
      <c r="D231">
        <v>28258</v>
      </c>
      <c r="E231" t="b">
        <v>1</v>
      </c>
      <c r="F231">
        <v>33</v>
      </c>
      <c r="G231" t="s">
        <v>110</v>
      </c>
      <c r="H231" t="s">
        <v>124</v>
      </c>
      <c r="I231" t="s">
        <v>2117</v>
      </c>
    </row>
    <row r="232" spans="1:9" x14ac:dyDescent="0.35">
      <c r="A232">
        <v>3188910</v>
      </c>
      <c r="B232" t="s">
        <v>107</v>
      </c>
      <c r="C232" s="1">
        <v>45629</v>
      </c>
      <c r="D232">
        <v>28258</v>
      </c>
      <c r="E232" t="b">
        <v>1</v>
      </c>
      <c r="F232">
        <v>33</v>
      </c>
      <c r="G232" t="s">
        <v>110</v>
      </c>
      <c r="H232" t="s">
        <v>1510</v>
      </c>
      <c r="I232" t="s">
        <v>2116</v>
      </c>
    </row>
    <row r="233" spans="1:9" x14ac:dyDescent="0.35">
      <c r="A233">
        <v>1903340</v>
      </c>
      <c r="B233" t="s">
        <v>111</v>
      </c>
      <c r="C233" s="1">
        <v>45771</v>
      </c>
      <c r="D233">
        <v>27880</v>
      </c>
      <c r="E233" t="b">
        <v>0</v>
      </c>
      <c r="F233">
        <v>34</v>
      </c>
      <c r="G233" t="s">
        <v>113</v>
      </c>
      <c r="H233" t="s">
        <v>49</v>
      </c>
      <c r="I233" t="s">
        <v>2116</v>
      </c>
    </row>
    <row r="234" spans="1:9" x14ac:dyDescent="0.35">
      <c r="A234">
        <v>1903340</v>
      </c>
      <c r="B234" t="s">
        <v>111</v>
      </c>
      <c r="C234" s="1">
        <v>45771</v>
      </c>
      <c r="D234">
        <v>27880</v>
      </c>
      <c r="E234" t="b">
        <v>0</v>
      </c>
      <c r="F234">
        <v>34</v>
      </c>
      <c r="G234" t="s">
        <v>113</v>
      </c>
      <c r="H234" t="s">
        <v>792</v>
      </c>
      <c r="I234" t="s">
        <v>2117</v>
      </c>
    </row>
    <row r="235" spans="1:9" x14ac:dyDescent="0.35">
      <c r="A235">
        <v>1903340</v>
      </c>
      <c r="B235" t="s">
        <v>111</v>
      </c>
      <c r="C235" s="1">
        <v>45771</v>
      </c>
      <c r="D235">
        <v>27880</v>
      </c>
      <c r="E235" t="b">
        <v>0</v>
      </c>
      <c r="F235">
        <v>34</v>
      </c>
      <c r="G235" t="s">
        <v>113</v>
      </c>
      <c r="H235" t="s">
        <v>346</v>
      </c>
      <c r="I235" t="s">
        <v>2117</v>
      </c>
    </row>
    <row r="236" spans="1:9" x14ac:dyDescent="0.35">
      <c r="A236">
        <v>1903340</v>
      </c>
      <c r="B236" t="s">
        <v>111</v>
      </c>
      <c r="C236" s="1">
        <v>45771</v>
      </c>
      <c r="D236">
        <v>27880</v>
      </c>
      <c r="E236" t="b">
        <v>0</v>
      </c>
      <c r="F236">
        <v>34</v>
      </c>
      <c r="G236" t="s">
        <v>113</v>
      </c>
      <c r="H236" t="s">
        <v>239</v>
      </c>
      <c r="I236" t="s">
        <v>2117</v>
      </c>
    </row>
    <row r="237" spans="1:9" x14ac:dyDescent="0.35">
      <c r="A237">
        <v>1903340</v>
      </c>
      <c r="B237" t="s">
        <v>111</v>
      </c>
      <c r="C237" s="1">
        <v>45771</v>
      </c>
      <c r="D237">
        <v>27880</v>
      </c>
      <c r="E237" t="b">
        <v>0</v>
      </c>
      <c r="F237">
        <v>34</v>
      </c>
      <c r="G237" t="s">
        <v>113</v>
      </c>
      <c r="H237" t="s">
        <v>132</v>
      </c>
      <c r="I237" t="s">
        <v>2116</v>
      </c>
    </row>
    <row r="238" spans="1:9" x14ac:dyDescent="0.35">
      <c r="A238">
        <v>1903340</v>
      </c>
      <c r="B238" t="s">
        <v>111</v>
      </c>
      <c r="C238" s="1">
        <v>45771</v>
      </c>
      <c r="D238">
        <v>27880</v>
      </c>
      <c r="E238" t="b">
        <v>0</v>
      </c>
      <c r="F238">
        <v>34</v>
      </c>
      <c r="G238" t="s">
        <v>113</v>
      </c>
      <c r="H238" t="s">
        <v>124</v>
      </c>
      <c r="I238" t="s">
        <v>2117</v>
      </c>
    </row>
    <row r="239" spans="1:9" x14ac:dyDescent="0.35">
      <c r="A239">
        <v>1903340</v>
      </c>
      <c r="B239" t="s">
        <v>111</v>
      </c>
      <c r="C239" s="1">
        <v>45771</v>
      </c>
      <c r="D239">
        <v>27880</v>
      </c>
      <c r="E239" t="b">
        <v>0</v>
      </c>
      <c r="F239">
        <v>34</v>
      </c>
      <c r="G239" t="s">
        <v>113</v>
      </c>
      <c r="H239" t="s">
        <v>1510</v>
      </c>
      <c r="I239" t="s">
        <v>2117</v>
      </c>
    </row>
    <row r="240" spans="1:9" x14ac:dyDescent="0.35">
      <c r="A240">
        <v>322170</v>
      </c>
      <c r="B240" t="s">
        <v>114</v>
      </c>
      <c r="C240" s="1">
        <v>41995</v>
      </c>
      <c r="D240">
        <v>27850</v>
      </c>
      <c r="E240" t="b">
        <v>1</v>
      </c>
      <c r="F240">
        <v>35</v>
      </c>
      <c r="G240" t="s">
        <v>2082</v>
      </c>
      <c r="H240" t="s">
        <v>49</v>
      </c>
      <c r="I240" t="s">
        <v>2116</v>
      </c>
    </row>
    <row r="241" spans="1:9" x14ac:dyDescent="0.35">
      <c r="A241">
        <v>322170</v>
      </c>
      <c r="B241" t="s">
        <v>114</v>
      </c>
      <c r="C241" s="1">
        <v>41995</v>
      </c>
      <c r="D241">
        <v>27850</v>
      </c>
      <c r="E241" t="b">
        <v>1</v>
      </c>
      <c r="F241">
        <v>35</v>
      </c>
      <c r="G241" t="s">
        <v>2082</v>
      </c>
      <c r="H241" t="s">
        <v>792</v>
      </c>
      <c r="I241" t="s">
        <v>2116</v>
      </c>
    </row>
    <row r="242" spans="1:9" x14ac:dyDescent="0.35">
      <c r="A242">
        <v>322170</v>
      </c>
      <c r="B242" t="s">
        <v>114</v>
      </c>
      <c r="C242" s="1">
        <v>41995</v>
      </c>
      <c r="D242">
        <v>27850</v>
      </c>
      <c r="E242" t="b">
        <v>1</v>
      </c>
      <c r="F242">
        <v>35</v>
      </c>
      <c r="G242" t="s">
        <v>2082</v>
      </c>
      <c r="H242" t="s">
        <v>346</v>
      </c>
      <c r="I242" t="s">
        <v>2117</v>
      </c>
    </row>
    <row r="243" spans="1:9" x14ac:dyDescent="0.35">
      <c r="A243">
        <v>322170</v>
      </c>
      <c r="B243" t="s">
        <v>114</v>
      </c>
      <c r="C243" s="1">
        <v>41995</v>
      </c>
      <c r="D243">
        <v>27850</v>
      </c>
      <c r="E243" t="b">
        <v>1</v>
      </c>
      <c r="F243">
        <v>35</v>
      </c>
      <c r="G243" t="s">
        <v>2082</v>
      </c>
      <c r="H243" t="s">
        <v>239</v>
      </c>
      <c r="I243" t="s">
        <v>2117</v>
      </c>
    </row>
    <row r="244" spans="1:9" x14ac:dyDescent="0.35">
      <c r="A244">
        <v>322170</v>
      </c>
      <c r="B244" t="s">
        <v>114</v>
      </c>
      <c r="C244" s="1">
        <v>41995</v>
      </c>
      <c r="D244">
        <v>27850</v>
      </c>
      <c r="E244" t="b">
        <v>1</v>
      </c>
      <c r="F244">
        <v>35</v>
      </c>
      <c r="G244" t="s">
        <v>2082</v>
      </c>
      <c r="H244" t="s">
        <v>132</v>
      </c>
      <c r="I244" t="s">
        <v>2117</v>
      </c>
    </row>
    <row r="245" spans="1:9" x14ac:dyDescent="0.35">
      <c r="A245">
        <v>322170</v>
      </c>
      <c r="B245" t="s">
        <v>114</v>
      </c>
      <c r="C245" s="1">
        <v>41995</v>
      </c>
      <c r="D245">
        <v>27850</v>
      </c>
      <c r="E245" t="b">
        <v>1</v>
      </c>
      <c r="F245">
        <v>35</v>
      </c>
      <c r="G245" t="s">
        <v>2082</v>
      </c>
      <c r="H245" t="s">
        <v>124</v>
      </c>
      <c r="I245" t="s">
        <v>2117</v>
      </c>
    </row>
    <row r="246" spans="1:9" x14ac:dyDescent="0.35">
      <c r="A246">
        <v>322170</v>
      </c>
      <c r="B246" t="s">
        <v>114</v>
      </c>
      <c r="C246" s="1">
        <v>41995</v>
      </c>
      <c r="D246">
        <v>27850</v>
      </c>
      <c r="E246" t="b">
        <v>1</v>
      </c>
      <c r="F246">
        <v>35</v>
      </c>
      <c r="G246" t="s">
        <v>2082</v>
      </c>
      <c r="H246" t="s">
        <v>1510</v>
      </c>
      <c r="I246" t="s">
        <v>2117</v>
      </c>
    </row>
    <row r="247" spans="1:9" x14ac:dyDescent="0.35">
      <c r="A247">
        <v>2878980</v>
      </c>
      <c r="B247" t="s">
        <v>117</v>
      </c>
      <c r="C247" s="1">
        <v>45593</v>
      </c>
      <c r="D247">
        <v>27486</v>
      </c>
      <c r="E247" t="b">
        <v>0</v>
      </c>
      <c r="F247">
        <v>36</v>
      </c>
      <c r="G247" t="s">
        <v>119</v>
      </c>
      <c r="H247" t="s">
        <v>49</v>
      </c>
      <c r="I247" t="s">
        <v>2117</v>
      </c>
    </row>
    <row r="248" spans="1:9" x14ac:dyDescent="0.35">
      <c r="A248">
        <v>2878980</v>
      </c>
      <c r="B248" t="s">
        <v>117</v>
      </c>
      <c r="C248" s="1">
        <v>45593</v>
      </c>
      <c r="D248">
        <v>27486</v>
      </c>
      <c r="E248" t="b">
        <v>0</v>
      </c>
      <c r="F248">
        <v>36</v>
      </c>
      <c r="G248" t="s">
        <v>119</v>
      </c>
      <c r="H248" t="s">
        <v>792</v>
      </c>
      <c r="I248" t="s">
        <v>2117</v>
      </c>
    </row>
    <row r="249" spans="1:9" x14ac:dyDescent="0.35">
      <c r="A249">
        <v>2878980</v>
      </c>
      <c r="B249" t="s">
        <v>117</v>
      </c>
      <c r="C249" s="1">
        <v>45593</v>
      </c>
      <c r="D249">
        <v>27486</v>
      </c>
      <c r="E249" t="b">
        <v>0</v>
      </c>
      <c r="F249">
        <v>36</v>
      </c>
      <c r="G249" t="s">
        <v>119</v>
      </c>
      <c r="H249" t="s">
        <v>346</v>
      </c>
      <c r="I249" t="s">
        <v>2117</v>
      </c>
    </row>
    <row r="250" spans="1:9" x14ac:dyDescent="0.35">
      <c r="A250">
        <v>2878980</v>
      </c>
      <c r="B250" t="s">
        <v>117</v>
      </c>
      <c r="C250" s="1">
        <v>45593</v>
      </c>
      <c r="D250">
        <v>27486</v>
      </c>
      <c r="E250" t="b">
        <v>0</v>
      </c>
      <c r="F250">
        <v>36</v>
      </c>
      <c r="G250" t="s">
        <v>119</v>
      </c>
      <c r="H250" t="s">
        <v>239</v>
      </c>
      <c r="I250" t="s">
        <v>2116</v>
      </c>
    </row>
    <row r="251" spans="1:9" x14ac:dyDescent="0.35">
      <c r="A251">
        <v>2878980</v>
      </c>
      <c r="B251" t="s">
        <v>117</v>
      </c>
      <c r="C251" s="1">
        <v>45593</v>
      </c>
      <c r="D251">
        <v>27486</v>
      </c>
      <c r="E251" t="b">
        <v>0</v>
      </c>
      <c r="F251">
        <v>36</v>
      </c>
      <c r="G251" t="s">
        <v>119</v>
      </c>
      <c r="H251" t="s">
        <v>132</v>
      </c>
      <c r="I251" t="s">
        <v>2117</v>
      </c>
    </row>
    <row r="252" spans="1:9" x14ac:dyDescent="0.35">
      <c r="A252">
        <v>2878980</v>
      </c>
      <c r="B252" t="s">
        <v>117</v>
      </c>
      <c r="C252" s="1">
        <v>45593</v>
      </c>
      <c r="D252">
        <v>27486</v>
      </c>
      <c r="E252" t="b">
        <v>0</v>
      </c>
      <c r="F252">
        <v>36</v>
      </c>
      <c r="G252" t="s">
        <v>119</v>
      </c>
      <c r="H252" t="s">
        <v>124</v>
      </c>
      <c r="I252" t="s">
        <v>2117</v>
      </c>
    </row>
    <row r="253" spans="1:9" x14ac:dyDescent="0.35">
      <c r="A253">
        <v>2878980</v>
      </c>
      <c r="B253" t="s">
        <v>117</v>
      </c>
      <c r="C253" s="1">
        <v>45593</v>
      </c>
      <c r="D253">
        <v>27486</v>
      </c>
      <c r="E253" t="b">
        <v>0</v>
      </c>
      <c r="F253">
        <v>36</v>
      </c>
      <c r="G253" t="s">
        <v>119</v>
      </c>
      <c r="H253" t="s">
        <v>1510</v>
      </c>
      <c r="I253" t="s">
        <v>2117</v>
      </c>
    </row>
    <row r="254" spans="1:9" x14ac:dyDescent="0.35">
      <c r="A254">
        <v>218620</v>
      </c>
      <c r="B254" t="s">
        <v>120</v>
      </c>
      <c r="C254" s="1">
        <v>41499</v>
      </c>
      <c r="D254">
        <v>27254</v>
      </c>
      <c r="E254" t="b">
        <v>0</v>
      </c>
      <c r="F254">
        <v>37</v>
      </c>
      <c r="G254" t="s">
        <v>2082</v>
      </c>
      <c r="H254" t="s">
        <v>49</v>
      </c>
      <c r="I254" t="s">
        <v>2116</v>
      </c>
    </row>
    <row r="255" spans="1:9" x14ac:dyDescent="0.35">
      <c r="A255">
        <v>218620</v>
      </c>
      <c r="B255" t="s">
        <v>120</v>
      </c>
      <c r="C255" s="1">
        <v>41499</v>
      </c>
      <c r="D255">
        <v>27254</v>
      </c>
      <c r="E255" t="b">
        <v>0</v>
      </c>
      <c r="F255">
        <v>37</v>
      </c>
      <c r="G255" t="s">
        <v>2082</v>
      </c>
      <c r="H255" t="s">
        <v>792</v>
      </c>
      <c r="I255" t="s">
        <v>2117</v>
      </c>
    </row>
    <row r="256" spans="1:9" x14ac:dyDescent="0.35">
      <c r="A256">
        <v>218620</v>
      </c>
      <c r="B256" t="s">
        <v>120</v>
      </c>
      <c r="C256" s="1">
        <v>41499</v>
      </c>
      <c r="D256">
        <v>27254</v>
      </c>
      <c r="E256" t="b">
        <v>0</v>
      </c>
      <c r="F256">
        <v>37</v>
      </c>
      <c r="G256" t="s">
        <v>2082</v>
      </c>
      <c r="H256" t="s">
        <v>346</v>
      </c>
      <c r="I256" t="s">
        <v>2117</v>
      </c>
    </row>
    <row r="257" spans="1:9" x14ac:dyDescent="0.35">
      <c r="A257">
        <v>218620</v>
      </c>
      <c r="B257" t="s">
        <v>120</v>
      </c>
      <c r="C257" s="1">
        <v>41499</v>
      </c>
      <c r="D257">
        <v>27254</v>
      </c>
      <c r="E257" t="b">
        <v>0</v>
      </c>
      <c r="F257">
        <v>37</v>
      </c>
      <c r="G257" t="s">
        <v>2082</v>
      </c>
      <c r="H257" t="s">
        <v>239</v>
      </c>
      <c r="I257" t="s">
        <v>2117</v>
      </c>
    </row>
    <row r="258" spans="1:9" x14ac:dyDescent="0.35">
      <c r="A258">
        <v>218620</v>
      </c>
      <c r="B258" t="s">
        <v>120</v>
      </c>
      <c r="C258" s="1">
        <v>41499</v>
      </c>
      <c r="D258">
        <v>27254</v>
      </c>
      <c r="E258" t="b">
        <v>0</v>
      </c>
      <c r="F258">
        <v>37</v>
      </c>
      <c r="G258" t="s">
        <v>2082</v>
      </c>
      <c r="H258" t="s">
        <v>132</v>
      </c>
      <c r="I258" t="s">
        <v>2116</v>
      </c>
    </row>
    <row r="259" spans="1:9" x14ac:dyDescent="0.35">
      <c r="A259">
        <v>218620</v>
      </c>
      <c r="B259" t="s">
        <v>120</v>
      </c>
      <c r="C259" s="1">
        <v>41499</v>
      </c>
      <c r="D259">
        <v>27254</v>
      </c>
      <c r="E259" t="b">
        <v>0</v>
      </c>
      <c r="F259">
        <v>37</v>
      </c>
      <c r="G259" t="s">
        <v>2082</v>
      </c>
      <c r="H259" t="s">
        <v>124</v>
      </c>
      <c r="I259" t="s">
        <v>2117</v>
      </c>
    </row>
    <row r="260" spans="1:9" x14ac:dyDescent="0.35">
      <c r="A260">
        <v>218620</v>
      </c>
      <c r="B260" t="s">
        <v>120</v>
      </c>
      <c r="C260" s="1">
        <v>41499</v>
      </c>
      <c r="D260">
        <v>27254</v>
      </c>
      <c r="E260" t="b">
        <v>0</v>
      </c>
      <c r="F260">
        <v>37</v>
      </c>
      <c r="G260" t="s">
        <v>2082</v>
      </c>
      <c r="H260" t="s">
        <v>1510</v>
      </c>
      <c r="I260" t="s">
        <v>2117</v>
      </c>
    </row>
    <row r="261" spans="1:9" x14ac:dyDescent="0.35">
      <c r="A261">
        <v>289070</v>
      </c>
      <c r="B261" t="s">
        <v>122</v>
      </c>
      <c r="C261" s="1">
        <v>42663</v>
      </c>
      <c r="D261">
        <v>25420</v>
      </c>
      <c r="E261" t="b">
        <v>1</v>
      </c>
      <c r="F261">
        <v>38</v>
      </c>
      <c r="G261" t="s">
        <v>304</v>
      </c>
      <c r="H261" t="s">
        <v>49</v>
      </c>
      <c r="I261" t="s">
        <v>2117</v>
      </c>
    </row>
    <row r="262" spans="1:9" x14ac:dyDescent="0.35">
      <c r="A262">
        <v>289070</v>
      </c>
      <c r="B262" t="s">
        <v>122</v>
      </c>
      <c r="C262" s="1">
        <v>42663</v>
      </c>
      <c r="D262">
        <v>25420</v>
      </c>
      <c r="E262" t="b">
        <v>1</v>
      </c>
      <c r="F262">
        <v>38</v>
      </c>
      <c r="G262" t="s">
        <v>304</v>
      </c>
      <c r="H262" t="s">
        <v>792</v>
      </c>
      <c r="I262" t="s">
        <v>2117</v>
      </c>
    </row>
    <row r="263" spans="1:9" x14ac:dyDescent="0.35">
      <c r="A263">
        <v>289070</v>
      </c>
      <c r="B263" t="s">
        <v>122</v>
      </c>
      <c r="C263" s="1">
        <v>42663</v>
      </c>
      <c r="D263">
        <v>25420</v>
      </c>
      <c r="E263" t="b">
        <v>1</v>
      </c>
      <c r="F263">
        <v>38</v>
      </c>
      <c r="G263" t="s">
        <v>304</v>
      </c>
      <c r="H263" t="s">
        <v>346</v>
      </c>
      <c r="I263" t="s">
        <v>2117</v>
      </c>
    </row>
    <row r="264" spans="1:9" x14ac:dyDescent="0.35">
      <c r="A264">
        <v>289070</v>
      </c>
      <c r="B264" t="s">
        <v>122</v>
      </c>
      <c r="C264" s="1">
        <v>42663</v>
      </c>
      <c r="D264">
        <v>25420</v>
      </c>
      <c r="E264" t="b">
        <v>1</v>
      </c>
      <c r="F264">
        <v>38</v>
      </c>
      <c r="G264" t="s">
        <v>304</v>
      </c>
      <c r="H264" t="s">
        <v>239</v>
      </c>
      <c r="I264" t="s">
        <v>2117</v>
      </c>
    </row>
    <row r="265" spans="1:9" x14ac:dyDescent="0.35">
      <c r="A265">
        <v>289070</v>
      </c>
      <c r="B265" t="s">
        <v>122</v>
      </c>
      <c r="C265" s="1">
        <v>42663</v>
      </c>
      <c r="D265">
        <v>25420</v>
      </c>
      <c r="E265" t="b">
        <v>1</v>
      </c>
      <c r="F265">
        <v>38</v>
      </c>
      <c r="G265" t="s">
        <v>304</v>
      </c>
      <c r="H265" t="s">
        <v>132</v>
      </c>
      <c r="I265" t="s">
        <v>2117</v>
      </c>
    </row>
    <row r="266" spans="1:9" x14ac:dyDescent="0.35">
      <c r="A266">
        <v>289070</v>
      </c>
      <c r="B266" t="s">
        <v>122</v>
      </c>
      <c r="C266" s="1">
        <v>42663</v>
      </c>
      <c r="D266">
        <v>25420</v>
      </c>
      <c r="E266" t="b">
        <v>1</v>
      </c>
      <c r="F266">
        <v>38</v>
      </c>
      <c r="G266" t="s">
        <v>304</v>
      </c>
      <c r="H266" t="s">
        <v>124</v>
      </c>
      <c r="I266" t="s">
        <v>2116</v>
      </c>
    </row>
    <row r="267" spans="1:9" x14ac:dyDescent="0.35">
      <c r="A267">
        <v>289070</v>
      </c>
      <c r="B267" t="s">
        <v>122</v>
      </c>
      <c r="C267" s="1">
        <v>42663</v>
      </c>
      <c r="D267">
        <v>25420</v>
      </c>
      <c r="E267" t="b">
        <v>1</v>
      </c>
      <c r="F267">
        <v>38</v>
      </c>
      <c r="G267" t="s">
        <v>304</v>
      </c>
      <c r="H267" t="s">
        <v>1510</v>
      </c>
      <c r="I267" t="s">
        <v>2117</v>
      </c>
    </row>
    <row r="268" spans="1:9" x14ac:dyDescent="0.35">
      <c r="A268">
        <v>1222670</v>
      </c>
      <c r="B268" t="s">
        <v>125</v>
      </c>
      <c r="C268" s="1">
        <v>44000</v>
      </c>
      <c r="D268">
        <v>25276</v>
      </c>
      <c r="E268" t="b">
        <v>0</v>
      </c>
      <c r="F268">
        <v>39</v>
      </c>
      <c r="G268" t="s">
        <v>110</v>
      </c>
      <c r="H268" t="s">
        <v>49</v>
      </c>
      <c r="I268" t="s">
        <v>2117</v>
      </c>
    </row>
    <row r="269" spans="1:9" x14ac:dyDescent="0.35">
      <c r="A269">
        <v>1222670</v>
      </c>
      <c r="B269" t="s">
        <v>125</v>
      </c>
      <c r="C269" s="1">
        <v>44000</v>
      </c>
      <c r="D269">
        <v>25276</v>
      </c>
      <c r="E269" t="b">
        <v>0</v>
      </c>
      <c r="F269">
        <v>39</v>
      </c>
      <c r="G269" t="s">
        <v>110</v>
      </c>
      <c r="H269" t="s">
        <v>792</v>
      </c>
      <c r="I269" t="s">
        <v>2117</v>
      </c>
    </row>
    <row r="270" spans="1:9" x14ac:dyDescent="0.35">
      <c r="A270">
        <v>1222670</v>
      </c>
      <c r="B270" t="s">
        <v>125</v>
      </c>
      <c r="C270" s="1">
        <v>44000</v>
      </c>
      <c r="D270">
        <v>25276</v>
      </c>
      <c r="E270" t="b">
        <v>0</v>
      </c>
      <c r="F270">
        <v>39</v>
      </c>
      <c r="G270" t="s">
        <v>110</v>
      </c>
      <c r="H270" t="s">
        <v>346</v>
      </c>
      <c r="I270" t="s">
        <v>2116</v>
      </c>
    </row>
    <row r="271" spans="1:9" x14ac:dyDescent="0.35">
      <c r="A271">
        <v>1222670</v>
      </c>
      <c r="B271" t="s">
        <v>125</v>
      </c>
      <c r="C271" s="1">
        <v>44000</v>
      </c>
      <c r="D271">
        <v>25276</v>
      </c>
      <c r="E271" t="b">
        <v>0</v>
      </c>
      <c r="F271">
        <v>39</v>
      </c>
      <c r="G271" t="s">
        <v>110</v>
      </c>
      <c r="H271" t="s">
        <v>239</v>
      </c>
      <c r="I271" t="s">
        <v>2116</v>
      </c>
    </row>
    <row r="272" spans="1:9" x14ac:dyDescent="0.35">
      <c r="A272">
        <v>1222670</v>
      </c>
      <c r="B272" t="s">
        <v>125</v>
      </c>
      <c r="C272" s="1">
        <v>44000</v>
      </c>
      <c r="D272">
        <v>25276</v>
      </c>
      <c r="E272" t="b">
        <v>0</v>
      </c>
      <c r="F272">
        <v>39</v>
      </c>
      <c r="G272" t="s">
        <v>110</v>
      </c>
      <c r="H272" t="s">
        <v>132</v>
      </c>
      <c r="I272" t="s">
        <v>2117</v>
      </c>
    </row>
    <row r="273" spans="1:9" x14ac:dyDescent="0.35">
      <c r="A273">
        <v>1222670</v>
      </c>
      <c r="B273" t="s">
        <v>125</v>
      </c>
      <c r="C273" s="1">
        <v>44000</v>
      </c>
      <c r="D273">
        <v>25276</v>
      </c>
      <c r="E273" t="b">
        <v>0</v>
      </c>
      <c r="F273">
        <v>39</v>
      </c>
      <c r="G273" t="s">
        <v>110</v>
      </c>
      <c r="H273" t="s">
        <v>124</v>
      </c>
      <c r="I273" t="s">
        <v>2117</v>
      </c>
    </row>
    <row r="274" spans="1:9" x14ac:dyDescent="0.35">
      <c r="A274">
        <v>1222670</v>
      </c>
      <c r="B274" t="s">
        <v>125</v>
      </c>
      <c r="C274" s="1">
        <v>44000</v>
      </c>
      <c r="D274">
        <v>25276</v>
      </c>
      <c r="E274" t="b">
        <v>0</v>
      </c>
      <c r="F274">
        <v>39</v>
      </c>
      <c r="G274" t="s">
        <v>110</v>
      </c>
      <c r="H274" t="s">
        <v>1510</v>
      </c>
      <c r="I274" t="s">
        <v>2116</v>
      </c>
    </row>
    <row r="275" spans="1:9" x14ac:dyDescent="0.35">
      <c r="A275">
        <v>550</v>
      </c>
      <c r="B275" t="s">
        <v>128</v>
      </c>
      <c r="C275" s="1">
        <v>40133</v>
      </c>
      <c r="D275">
        <v>25122</v>
      </c>
      <c r="E275" t="b">
        <v>0</v>
      </c>
      <c r="F275">
        <v>40</v>
      </c>
      <c r="G275" t="s">
        <v>2084</v>
      </c>
      <c r="H275" t="s">
        <v>49</v>
      </c>
      <c r="I275" t="s">
        <v>2116</v>
      </c>
    </row>
    <row r="276" spans="1:9" x14ac:dyDescent="0.35">
      <c r="A276">
        <v>550</v>
      </c>
      <c r="B276" t="s">
        <v>128</v>
      </c>
      <c r="C276" s="1">
        <v>40133</v>
      </c>
      <c r="D276">
        <v>25122</v>
      </c>
      <c r="E276" t="b">
        <v>0</v>
      </c>
      <c r="F276">
        <v>40</v>
      </c>
      <c r="G276" t="s">
        <v>2084</v>
      </c>
      <c r="H276" t="s">
        <v>792</v>
      </c>
      <c r="I276" t="s">
        <v>2117</v>
      </c>
    </row>
    <row r="277" spans="1:9" x14ac:dyDescent="0.35">
      <c r="A277">
        <v>550</v>
      </c>
      <c r="B277" t="s">
        <v>128</v>
      </c>
      <c r="C277" s="1">
        <v>40133</v>
      </c>
      <c r="D277">
        <v>25122</v>
      </c>
      <c r="E277" t="b">
        <v>0</v>
      </c>
      <c r="F277">
        <v>40</v>
      </c>
      <c r="G277" t="s">
        <v>2084</v>
      </c>
      <c r="H277" t="s">
        <v>346</v>
      </c>
      <c r="I277" t="s">
        <v>2117</v>
      </c>
    </row>
    <row r="278" spans="1:9" x14ac:dyDescent="0.35">
      <c r="A278">
        <v>550</v>
      </c>
      <c r="B278" t="s">
        <v>128</v>
      </c>
      <c r="C278" s="1">
        <v>40133</v>
      </c>
      <c r="D278">
        <v>25122</v>
      </c>
      <c r="E278" t="b">
        <v>0</v>
      </c>
      <c r="F278">
        <v>40</v>
      </c>
      <c r="G278" t="s">
        <v>2084</v>
      </c>
      <c r="H278" t="s">
        <v>239</v>
      </c>
      <c r="I278" t="s">
        <v>2117</v>
      </c>
    </row>
    <row r="279" spans="1:9" x14ac:dyDescent="0.35">
      <c r="A279">
        <v>550</v>
      </c>
      <c r="B279" t="s">
        <v>128</v>
      </c>
      <c r="C279" s="1">
        <v>40133</v>
      </c>
      <c r="D279">
        <v>25122</v>
      </c>
      <c r="E279" t="b">
        <v>0</v>
      </c>
      <c r="F279">
        <v>40</v>
      </c>
      <c r="G279" t="s">
        <v>2084</v>
      </c>
      <c r="H279" t="s">
        <v>132</v>
      </c>
      <c r="I279" t="s">
        <v>2117</v>
      </c>
    </row>
    <row r="280" spans="1:9" x14ac:dyDescent="0.35">
      <c r="A280">
        <v>550</v>
      </c>
      <c r="B280" t="s">
        <v>128</v>
      </c>
      <c r="C280" s="1">
        <v>40133</v>
      </c>
      <c r="D280">
        <v>25122</v>
      </c>
      <c r="E280" t="b">
        <v>0</v>
      </c>
      <c r="F280">
        <v>40</v>
      </c>
      <c r="G280" t="s">
        <v>2084</v>
      </c>
      <c r="H280" t="s">
        <v>124</v>
      </c>
      <c r="I280" t="s">
        <v>2117</v>
      </c>
    </row>
    <row r="281" spans="1:9" x14ac:dyDescent="0.35">
      <c r="A281">
        <v>550</v>
      </c>
      <c r="B281" t="s">
        <v>128</v>
      </c>
      <c r="C281" s="1">
        <v>40133</v>
      </c>
      <c r="D281">
        <v>25122</v>
      </c>
      <c r="E281" t="b">
        <v>0</v>
      </c>
      <c r="F281">
        <v>40</v>
      </c>
      <c r="G281" t="s">
        <v>2084</v>
      </c>
      <c r="H281" t="s">
        <v>1510</v>
      </c>
      <c r="I281" t="s">
        <v>2117</v>
      </c>
    </row>
    <row r="282" spans="1:9" x14ac:dyDescent="0.35">
      <c r="A282">
        <v>489830</v>
      </c>
      <c r="B282" t="s">
        <v>130</v>
      </c>
      <c r="C282" s="1">
        <v>42670</v>
      </c>
      <c r="D282">
        <v>25085</v>
      </c>
      <c r="E282" t="b">
        <v>0</v>
      </c>
      <c r="F282">
        <v>41</v>
      </c>
      <c r="G282" t="s">
        <v>133</v>
      </c>
      <c r="H282" t="s">
        <v>49</v>
      </c>
      <c r="I282" t="s">
        <v>2117</v>
      </c>
    </row>
    <row r="283" spans="1:9" x14ac:dyDescent="0.35">
      <c r="A283">
        <v>489830</v>
      </c>
      <c r="B283" t="s">
        <v>130</v>
      </c>
      <c r="C283" s="1">
        <v>42670</v>
      </c>
      <c r="D283">
        <v>25085</v>
      </c>
      <c r="E283" t="b">
        <v>0</v>
      </c>
      <c r="F283">
        <v>41</v>
      </c>
      <c r="G283" t="s">
        <v>133</v>
      </c>
      <c r="H283" t="s">
        <v>792</v>
      </c>
      <c r="I283" t="s">
        <v>2117</v>
      </c>
    </row>
    <row r="284" spans="1:9" x14ac:dyDescent="0.35">
      <c r="A284">
        <v>489830</v>
      </c>
      <c r="B284" t="s">
        <v>130</v>
      </c>
      <c r="C284" s="1">
        <v>42670</v>
      </c>
      <c r="D284">
        <v>25085</v>
      </c>
      <c r="E284" t="b">
        <v>0</v>
      </c>
      <c r="F284">
        <v>41</v>
      </c>
      <c r="G284" t="s">
        <v>133</v>
      </c>
      <c r="H284" t="s">
        <v>346</v>
      </c>
      <c r="I284" t="s">
        <v>2117</v>
      </c>
    </row>
    <row r="285" spans="1:9" x14ac:dyDescent="0.35">
      <c r="A285">
        <v>489830</v>
      </c>
      <c r="B285" t="s">
        <v>130</v>
      </c>
      <c r="C285" s="1">
        <v>42670</v>
      </c>
      <c r="D285">
        <v>25085</v>
      </c>
      <c r="E285" t="b">
        <v>0</v>
      </c>
      <c r="F285">
        <v>41</v>
      </c>
      <c r="G285" t="s">
        <v>133</v>
      </c>
      <c r="H285" t="s">
        <v>239</v>
      </c>
      <c r="I285" t="s">
        <v>2117</v>
      </c>
    </row>
    <row r="286" spans="1:9" x14ac:dyDescent="0.35">
      <c r="A286">
        <v>489830</v>
      </c>
      <c r="B286" t="s">
        <v>130</v>
      </c>
      <c r="C286" s="1">
        <v>42670</v>
      </c>
      <c r="D286">
        <v>25085</v>
      </c>
      <c r="E286" t="b">
        <v>0</v>
      </c>
      <c r="F286">
        <v>41</v>
      </c>
      <c r="G286" t="s">
        <v>133</v>
      </c>
      <c r="H286" t="s">
        <v>132</v>
      </c>
      <c r="I286" t="s">
        <v>2116</v>
      </c>
    </row>
    <row r="287" spans="1:9" x14ac:dyDescent="0.35">
      <c r="A287">
        <v>489830</v>
      </c>
      <c r="B287" t="s">
        <v>130</v>
      </c>
      <c r="C287" s="1">
        <v>42670</v>
      </c>
      <c r="D287">
        <v>25085</v>
      </c>
      <c r="E287" t="b">
        <v>0</v>
      </c>
      <c r="F287">
        <v>41</v>
      </c>
      <c r="G287" t="s">
        <v>133</v>
      </c>
      <c r="H287" t="s">
        <v>124</v>
      </c>
      <c r="I287" t="s">
        <v>2117</v>
      </c>
    </row>
    <row r="288" spans="1:9" x14ac:dyDescent="0.35">
      <c r="A288">
        <v>489830</v>
      </c>
      <c r="B288" t="s">
        <v>130</v>
      </c>
      <c r="C288" s="1">
        <v>42670</v>
      </c>
      <c r="D288">
        <v>25085</v>
      </c>
      <c r="E288" t="b">
        <v>0</v>
      </c>
      <c r="F288">
        <v>41</v>
      </c>
      <c r="G288" t="s">
        <v>133</v>
      </c>
      <c r="H288" t="s">
        <v>1510</v>
      </c>
      <c r="I288" t="s">
        <v>2117</v>
      </c>
    </row>
    <row r="289" spans="1:9" x14ac:dyDescent="0.35">
      <c r="A289">
        <v>1085660</v>
      </c>
      <c r="B289" t="s">
        <v>134</v>
      </c>
      <c r="C289" s="1">
        <v>43739</v>
      </c>
      <c r="D289">
        <v>24619</v>
      </c>
      <c r="E289" t="b">
        <v>0</v>
      </c>
      <c r="F289">
        <v>42</v>
      </c>
      <c r="G289" t="s">
        <v>33</v>
      </c>
      <c r="H289" t="s">
        <v>49</v>
      </c>
      <c r="I289" t="s">
        <v>2116</v>
      </c>
    </row>
    <row r="290" spans="1:9" x14ac:dyDescent="0.35">
      <c r="A290">
        <v>1085660</v>
      </c>
      <c r="B290" t="s">
        <v>134</v>
      </c>
      <c r="C290" s="1">
        <v>43739</v>
      </c>
      <c r="D290">
        <v>24619</v>
      </c>
      <c r="E290" t="b">
        <v>0</v>
      </c>
      <c r="F290">
        <v>42</v>
      </c>
      <c r="G290" t="s">
        <v>33</v>
      </c>
      <c r="H290" t="s">
        <v>792</v>
      </c>
      <c r="I290" t="s">
        <v>2117</v>
      </c>
    </row>
    <row r="291" spans="1:9" x14ac:dyDescent="0.35">
      <c r="A291">
        <v>1085660</v>
      </c>
      <c r="B291" t="s">
        <v>134</v>
      </c>
      <c r="C291" s="1">
        <v>43739</v>
      </c>
      <c r="D291">
        <v>24619</v>
      </c>
      <c r="E291" t="b">
        <v>0</v>
      </c>
      <c r="F291">
        <v>42</v>
      </c>
      <c r="G291" t="s">
        <v>33</v>
      </c>
      <c r="H291" t="s">
        <v>346</v>
      </c>
      <c r="I291" t="s">
        <v>2116</v>
      </c>
    </row>
    <row r="292" spans="1:9" x14ac:dyDescent="0.35">
      <c r="A292">
        <v>1085660</v>
      </c>
      <c r="B292" t="s">
        <v>134</v>
      </c>
      <c r="C292" s="1">
        <v>43739</v>
      </c>
      <c r="D292">
        <v>24619</v>
      </c>
      <c r="E292" t="b">
        <v>0</v>
      </c>
      <c r="F292">
        <v>42</v>
      </c>
      <c r="G292" t="s">
        <v>33</v>
      </c>
      <c r="H292" t="s">
        <v>239</v>
      </c>
      <c r="I292" t="s">
        <v>2117</v>
      </c>
    </row>
    <row r="293" spans="1:9" x14ac:dyDescent="0.35">
      <c r="A293">
        <v>1085660</v>
      </c>
      <c r="B293" t="s">
        <v>134</v>
      </c>
      <c r="C293" s="1">
        <v>43739</v>
      </c>
      <c r="D293">
        <v>24619</v>
      </c>
      <c r="E293" t="b">
        <v>0</v>
      </c>
      <c r="F293">
        <v>42</v>
      </c>
      <c r="G293" t="s">
        <v>33</v>
      </c>
      <c r="H293" t="s">
        <v>132</v>
      </c>
      <c r="I293" t="s">
        <v>2117</v>
      </c>
    </row>
    <row r="294" spans="1:9" x14ac:dyDescent="0.35">
      <c r="A294">
        <v>1085660</v>
      </c>
      <c r="B294" t="s">
        <v>134</v>
      </c>
      <c r="C294" s="1">
        <v>43739</v>
      </c>
      <c r="D294">
        <v>24619</v>
      </c>
      <c r="E294" t="b">
        <v>0</v>
      </c>
      <c r="F294">
        <v>42</v>
      </c>
      <c r="G294" t="s">
        <v>33</v>
      </c>
      <c r="H294" t="s">
        <v>124</v>
      </c>
      <c r="I294" t="s">
        <v>2117</v>
      </c>
    </row>
    <row r="295" spans="1:9" x14ac:dyDescent="0.35">
      <c r="A295">
        <v>1085660</v>
      </c>
      <c r="B295" t="s">
        <v>134</v>
      </c>
      <c r="C295" s="1">
        <v>43739</v>
      </c>
      <c r="D295">
        <v>24619</v>
      </c>
      <c r="E295" t="b">
        <v>0</v>
      </c>
      <c r="F295">
        <v>42</v>
      </c>
      <c r="G295" t="s">
        <v>33</v>
      </c>
      <c r="H295" t="s">
        <v>1510</v>
      </c>
      <c r="I295" t="s">
        <v>2116</v>
      </c>
    </row>
    <row r="296" spans="1:9" x14ac:dyDescent="0.35">
      <c r="A296">
        <v>105600</v>
      </c>
      <c r="B296" t="s">
        <v>136</v>
      </c>
      <c r="C296" s="1">
        <v>40679</v>
      </c>
      <c r="D296">
        <v>24580</v>
      </c>
      <c r="E296" t="b">
        <v>1</v>
      </c>
      <c r="F296">
        <v>43</v>
      </c>
      <c r="G296" t="s">
        <v>2084</v>
      </c>
      <c r="H296" t="s">
        <v>49</v>
      </c>
      <c r="I296" t="s">
        <v>2116</v>
      </c>
    </row>
    <row r="297" spans="1:9" x14ac:dyDescent="0.35">
      <c r="A297">
        <v>105600</v>
      </c>
      <c r="B297" t="s">
        <v>136</v>
      </c>
      <c r="C297" s="1">
        <v>40679</v>
      </c>
      <c r="D297">
        <v>24580</v>
      </c>
      <c r="E297" t="b">
        <v>1</v>
      </c>
      <c r="F297">
        <v>43</v>
      </c>
      <c r="G297" t="s">
        <v>2084</v>
      </c>
      <c r="H297" t="s">
        <v>792</v>
      </c>
      <c r="I297" t="s">
        <v>2116</v>
      </c>
    </row>
    <row r="298" spans="1:9" x14ac:dyDescent="0.35">
      <c r="A298">
        <v>105600</v>
      </c>
      <c r="B298" t="s">
        <v>136</v>
      </c>
      <c r="C298" s="1">
        <v>40679</v>
      </c>
      <c r="D298">
        <v>24580</v>
      </c>
      <c r="E298" t="b">
        <v>1</v>
      </c>
      <c r="F298">
        <v>43</v>
      </c>
      <c r="G298" t="s">
        <v>2084</v>
      </c>
      <c r="H298" t="s">
        <v>346</v>
      </c>
      <c r="I298" t="s">
        <v>2116</v>
      </c>
    </row>
    <row r="299" spans="1:9" x14ac:dyDescent="0.35">
      <c r="A299">
        <v>105600</v>
      </c>
      <c r="B299" t="s">
        <v>136</v>
      </c>
      <c r="C299" s="1">
        <v>40679</v>
      </c>
      <c r="D299">
        <v>24580</v>
      </c>
      <c r="E299" t="b">
        <v>1</v>
      </c>
      <c r="F299">
        <v>43</v>
      </c>
      <c r="G299" t="s">
        <v>2084</v>
      </c>
      <c r="H299" t="s">
        <v>239</v>
      </c>
      <c r="I299" t="s">
        <v>2117</v>
      </c>
    </row>
    <row r="300" spans="1:9" x14ac:dyDescent="0.35">
      <c r="A300">
        <v>105600</v>
      </c>
      <c r="B300" t="s">
        <v>136</v>
      </c>
      <c r="C300" s="1">
        <v>40679</v>
      </c>
      <c r="D300">
        <v>24580</v>
      </c>
      <c r="E300" t="b">
        <v>1</v>
      </c>
      <c r="F300">
        <v>43</v>
      </c>
      <c r="G300" t="s">
        <v>2084</v>
      </c>
      <c r="H300" t="s">
        <v>132</v>
      </c>
      <c r="I300" t="s">
        <v>2116</v>
      </c>
    </row>
    <row r="301" spans="1:9" x14ac:dyDescent="0.35">
      <c r="A301">
        <v>105600</v>
      </c>
      <c r="B301" t="s">
        <v>136</v>
      </c>
      <c r="C301" s="1">
        <v>40679</v>
      </c>
      <c r="D301">
        <v>24580</v>
      </c>
      <c r="E301" t="b">
        <v>1</v>
      </c>
      <c r="F301">
        <v>43</v>
      </c>
      <c r="G301" t="s">
        <v>2084</v>
      </c>
      <c r="H301" t="s">
        <v>124</v>
      </c>
      <c r="I301" t="s">
        <v>2117</v>
      </c>
    </row>
    <row r="302" spans="1:9" x14ac:dyDescent="0.35">
      <c r="A302">
        <v>105600</v>
      </c>
      <c r="B302" t="s">
        <v>136</v>
      </c>
      <c r="C302" s="1">
        <v>40679</v>
      </c>
      <c r="D302">
        <v>24580</v>
      </c>
      <c r="E302" t="b">
        <v>1</v>
      </c>
      <c r="F302">
        <v>43</v>
      </c>
      <c r="G302" t="s">
        <v>2084</v>
      </c>
      <c r="H302" t="s">
        <v>1510</v>
      </c>
      <c r="I302" t="s">
        <v>2117</v>
      </c>
    </row>
    <row r="303" spans="1:9" x14ac:dyDescent="0.35">
      <c r="A303">
        <v>108600</v>
      </c>
      <c r="B303" t="s">
        <v>139</v>
      </c>
      <c r="C303" s="1">
        <v>41586</v>
      </c>
      <c r="D303">
        <v>22864</v>
      </c>
      <c r="E303" t="b">
        <v>1</v>
      </c>
      <c r="F303">
        <v>44</v>
      </c>
      <c r="G303" t="s">
        <v>2084</v>
      </c>
      <c r="H303" t="s">
        <v>49</v>
      </c>
      <c r="I303" t="s">
        <v>2117</v>
      </c>
    </row>
    <row r="304" spans="1:9" x14ac:dyDescent="0.35">
      <c r="A304">
        <v>108600</v>
      </c>
      <c r="B304" t="s">
        <v>139</v>
      </c>
      <c r="C304" s="1">
        <v>41586</v>
      </c>
      <c r="D304">
        <v>22864</v>
      </c>
      <c r="E304" t="b">
        <v>1</v>
      </c>
      <c r="F304">
        <v>44</v>
      </c>
      <c r="G304" t="s">
        <v>2084</v>
      </c>
      <c r="H304" t="s">
        <v>792</v>
      </c>
      <c r="I304" t="s">
        <v>2116</v>
      </c>
    </row>
    <row r="305" spans="1:9" x14ac:dyDescent="0.35">
      <c r="A305">
        <v>108600</v>
      </c>
      <c r="B305" t="s">
        <v>139</v>
      </c>
      <c r="C305" s="1">
        <v>41586</v>
      </c>
      <c r="D305">
        <v>22864</v>
      </c>
      <c r="E305" t="b">
        <v>1</v>
      </c>
      <c r="F305">
        <v>44</v>
      </c>
      <c r="G305" t="s">
        <v>2084</v>
      </c>
      <c r="H305" t="s">
        <v>346</v>
      </c>
      <c r="I305" t="s">
        <v>2117</v>
      </c>
    </row>
    <row r="306" spans="1:9" x14ac:dyDescent="0.35">
      <c r="A306">
        <v>108600</v>
      </c>
      <c r="B306" t="s">
        <v>139</v>
      </c>
      <c r="C306" s="1">
        <v>41586</v>
      </c>
      <c r="D306">
        <v>22864</v>
      </c>
      <c r="E306" t="b">
        <v>1</v>
      </c>
      <c r="F306">
        <v>44</v>
      </c>
      <c r="G306" t="s">
        <v>2084</v>
      </c>
      <c r="H306" t="s">
        <v>239</v>
      </c>
      <c r="I306" t="s">
        <v>2116</v>
      </c>
    </row>
    <row r="307" spans="1:9" x14ac:dyDescent="0.35">
      <c r="A307">
        <v>108600</v>
      </c>
      <c r="B307" t="s">
        <v>139</v>
      </c>
      <c r="C307" s="1">
        <v>41586</v>
      </c>
      <c r="D307">
        <v>22864</v>
      </c>
      <c r="E307" t="b">
        <v>1</v>
      </c>
      <c r="F307">
        <v>44</v>
      </c>
      <c r="G307" t="s">
        <v>2084</v>
      </c>
      <c r="H307" t="s">
        <v>132</v>
      </c>
      <c r="I307" t="s">
        <v>2116</v>
      </c>
    </row>
    <row r="308" spans="1:9" x14ac:dyDescent="0.35">
      <c r="A308">
        <v>108600</v>
      </c>
      <c r="B308" t="s">
        <v>139</v>
      </c>
      <c r="C308" s="1">
        <v>41586</v>
      </c>
      <c r="D308">
        <v>22864</v>
      </c>
      <c r="E308" t="b">
        <v>1</v>
      </c>
      <c r="F308">
        <v>44</v>
      </c>
      <c r="G308" t="s">
        <v>2084</v>
      </c>
      <c r="H308" t="s">
        <v>124</v>
      </c>
      <c r="I308" t="s">
        <v>2117</v>
      </c>
    </row>
    <row r="309" spans="1:9" x14ac:dyDescent="0.35">
      <c r="A309">
        <v>108600</v>
      </c>
      <c r="B309" t="s">
        <v>139</v>
      </c>
      <c r="C309" s="1">
        <v>41586</v>
      </c>
      <c r="D309">
        <v>22864</v>
      </c>
      <c r="E309" t="b">
        <v>1</v>
      </c>
      <c r="F309">
        <v>44</v>
      </c>
      <c r="G309" t="s">
        <v>2084</v>
      </c>
      <c r="H309" t="s">
        <v>1510</v>
      </c>
      <c r="I309" t="s">
        <v>2117</v>
      </c>
    </row>
    <row r="310" spans="1:9" x14ac:dyDescent="0.35">
      <c r="A310">
        <v>3164500</v>
      </c>
      <c r="B310" t="s">
        <v>142</v>
      </c>
      <c r="C310" s="1">
        <v>45740</v>
      </c>
      <c r="D310">
        <v>22757</v>
      </c>
      <c r="E310" t="b">
        <v>0</v>
      </c>
      <c r="F310">
        <v>45</v>
      </c>
      <c r="G310" t="s">
        <v>29</v>
      </c>
      <c r="H310" t="s">
        <v>49</v>
      </c>
      <c r="I310" t="s">
        <v>2116</v>
      </c>
    </row>
    <row r="311" spans="1:9" x14ac:dyDescent="0.35">
      <c r="A311">
        <v>3164500</v>
      </c>
      <c r="B311" t="s">
        <v>142</v>
      </c>
      <c r="C311" s="1">
        <v>45740</v>
      </c>
      <c r="D311">
        <v>22757</v>
      </c>
      <c r="E311" t="b">
        <v>0</v>
      </c>
      <c r="F311">
        <v>45</v>
      </c>
      <c r="G311" t="s">
        <v>29</v>
      </c>
      <c r="H311" t="s">
        <v>792</v>
      </c>
      <c r="I311" t="s">
        <v>2116</v>
      </c>
    </row>
    <row r="312" spans="1:9" x14ac:dyDescent="0.35">
      <c r="A312">
        <v>3164500</v>
      </c>
      <c r="B312" t="s">
        <v>142</v>
      </c>
      <c r="C312" s="1">
        <v>45740</v>
      </c>
      <c r="D312">
        <v>22757</v>
      </c>
      <c r="E312" t="b">
        <v>0</v>
      </c>
      <c r="F312">
        <v>45</v>
      </c>
      <c r="G312" t="s">
        <v>29</v>
      </c>
      <c r="H312" t="s">
        <v>346</v>
      </c>
      <c r="I312" t="s">
        <v>2117</v>
      </c>
    </row>
    <row r="313" spans="1:9" x14ac:dyDescent="0.35">
      <c r="A313">
        <v>3164500</v>
      </c>
      <c r="B313" t="s">
        <v>142</v>
      </c>
      <c r="C313" s="1">
        <v>45740</v>
      </c>
      <c r="D313">
        <v>22757</v>
      </c>
      <c r="E313" t="b">
        <v>0</v>
      </c>
      <c r="F313">
        <v>45</v>
      </c>
      <c r="G313" t="s">
        <v>29</v>
      </c>
      <c r="H313" t="s">
        <v>239</v>
      </c>
      <c r="I313" t="s">
        <v>2116</v>
      </c>
    </row>
    <row r="314" spans="1:9" x14ac:dyDescent="0.35">
      <c r="A314">
        <v>3164500</v>
      </c>
      <c r="B314" t="s">
        <v>142</v>
      </c>
      <c r="C314" s="1">
        <v>45740</v>
      </c>
      <c r="D314">
        <v>22757</v>
      </c>
      <c r="E314" t="b">
        <v>0</v>
      </c>
      <c r="F314">
        <v>45</v>
      </c>
      <c r="G314" t="s">
        <v>29</v>
      </c>
      <c r="H314" t="s">
        <v>132</v>
      </c>
      <c r="I314" t="s">
        <v>2117</v>
      </c>
    </row>
    <row r="315" spans="1:9" x14ac:dyDescent="0.35">
      <c r="A315">
        <v>3164500</v>
      </c>
      <c r="B315" t="s">
        <v>142</v>
      </c>
      <c r="C315" s="1">
        <v>45740</v>
      </c>
      <c r="D315">
        <v>22757</v>
      </c>
      <c r="E315" t="b">
        <v>0</v>
      </c>
      <c r="F315">
        <v>45</v>
      </c>
      <c r="G315" t="s">
        <v>29</v>
      </c>
      <c r="H315" t="s">
        <v>124</v>
      </c>
      <c r="I315" t="s">
        <v>2116</v>
      </c>
    </row>
    <row r="316" spans="1:9" x14ac:dyDescent="0.35">
      <c r="A316">
        <v>3164500</v>
      </c>
      <c r="B316" t="s">
        <v>142</v>
      </c>
      <c r="C316" s="1">
        <v>45740</v>
      </c>
      <c r="D316">
        <v>22757</v>
      </c>
      <c r="E316" t="b">
        <v>0</v>
      </c>
      <c r="F316">
        <v>45</v>
      </c>
      <c r="G316" t="s">
        <v>29</v>
      </c>
      <c r="H316" t="s">
        <v>1510</v>
      </c>
      <c r="I316" t="s">
        <v>2117</v>
      </c>
    </row>
    <row r="317" spans="1:9" x14ac:dyDescent="0.35">
      <c r="A317">
        <v>1091500</v>
      </c>
      <c r="B317" t="s">
        <v>145</v>
      </c>
      <c r="C317" s="1">
        <v>44174</v>
      </c>
      <c r="D317">
        <v>22265</v>
      </c>
      <c r="E317" t="b">
        <v>1</v>
      </c>
      <c r="F317">
        <v>46</v>
      </c>
      <c r="G317" t="s">
        <v>147</v>
      </c>
      <c r="H317" t="s">
        <v>49</v>
      </c>
      <c r="I317" t="s">
        <v>2117</v>
      </c>
    </row>
    <row r="318" spans="1:9" x14ac:dyDescent="0.35">
      <c r="A318">
        <v>1091500</v>
      </c>
      <c r="B318" t="s">
        <v>145</v>
      </c>
      <c r="C318" s="1">
        <v>44174</v>
      </c>
      <c r="D318">
        <v>22265</v>
      </c>
      <c r="E318" t="b">
        <v>1</v>
      </c>
      <c r="F318">
        <v>46</v>
      </c>
      <c r="G318" t="s">
        <v>147</v>
      </c>
      <c r="H318" t="s">
        <v>792</v>
      </c>
      <c r="I318" t="s">
        <v>2117</v>
      </c>
    </row>
    <row r="319" spans="1:9" x14ac:dyDescent="0.35">
      <c r="A319">
        <v>1091500</v>
      </c>
      <c r="B319" t="s">
        <v>145</v>
      </c>
      <c r="C319" s="1">
        <v>44174</v>
      </c>
      <c r="D319">
        <v>22265</v>
      </c>
      <c r="E319" t="b">
        <v>1</v>
      </c>
      <c r="F319">
        <v>46</v>
      </c>
      <c r="G319" t="s">
        <v>147</v>
      </c>
      <c r="H319" t="s">
        <v>346</v>
      </c>
      <c r="I319" t="s">
        <v>2117</v>
      </c>
    </row>
    <row r="320" spans="1:9" x14ac:dyDescent="0.35">
      <c r="A320">
        <v>1091500</v>
      </c>
      <c r="B320" t="s">
        <v>145</v>
      </c>
      <c r="C320" s="1">
        <v>44174</v>
      </c>
      <c r="D320">
        <v>22265</v>
      </c>
      <c r="E320" t="b">
        <v>1</v>
      </c>
      <c r="F320">
        <v>46</v>
      </c>
      <c r="G320" t="s">
        <v>147</v>
      </c>
      <c r="H320" t="s">
        <v>239</v>
      </c>
      <c r="I320" t="s">
        <v>2117</v>
      </c>
    </row>
    <row r="321" spans="1:9" x14ac:dyDescent="0.35">
      <c r="A321">
        <v>1091500</v>
      </c>
      <c r="B321" t="s">
        <v>145</v>
      </c>
      <c r="C321" s="1">
        <v>44174</v>
      </c>
      <c r="D321">
        <v>22265</v>
      </c>
      <c r="E321" t="b">
        <v>1</v>
      </c>
      <c r="F321">
        <v>46</v>
      </c>
      <c r="G321" t="s">
        <v>147</v>
      </c>
      <c r="H321" t="s">
        <v>132</v>
      </c>
      <c r="I321" t="s">
        <v>2116</v>
      </c>
    </row>
    <row r="322" spans="1:9" x14ac:dyDescent="0.35">
      <c r="A322">
        <v>1091500</v>
      </c>
      <c r="B322" t="s">
        <v>145</v>
      </c>
      <c r="C322" s="1">
        <v>44174</v>
      </c>
      <c r="D322">
        <v>22265</v>
      </c>
      <c r="E322" t="b">
        <v>1</v>
      </c>
      <c r="F322">
        <v>46</v>
      </c>
      <c r="G322" t="s">
        <v>147</v>
      </c>
      <c r="H322" t="s">
        <v>124</v>
      </c>
      <c r="I322" t="s">
        <v>2117</v>
      </c>
    </row>
    <row r="323" spans="1:9" x14ac:dyDescent="0.35">
      <c r="A323">
        <v>1091500</v>
      </c>
      <c r="B323" t="s">
        <v>145</v>
      </c>
      <c r="C323" s="1">
        <v>44174</v>
      </c>
      <c r="D323">
        <v>22265</v>
      </c>
      <c r="E323" t="b">
        <v>1</v>
      </c>
      <c r="F323">
        <v>46</v>
      </c>
      <c r="G323" t="s">
        <v>147</v>
      </c>
      <c r="H323" t="s">
        <v>1510</v>
      </c>
      <c r="I323" t="s">
        <v>2117</v>
      </c>
    </row>
    <row r="324" spans="1:9" x14ac:dyDescent="0.35">
      <c r="A324">
        <v>346110</v>
      </c>
      <c r="B324" t="s">
        <v>148</v>
      </c>
      <c r="C324" s="1">
        <v>42974</v>
      </c>
      <c r="D324">
        <v>22170</v>
      </c>
      <c r="E324" t="b">
        <v>1</v>
      </c>
      <c r="F324">
        <v>47</v>
      </c>
      <c r="G324" t="s">
        <v>304</v>
      </c>
      <c r="H324" t="s">
        <v>49</v>
      </c>
      <c r="I324" t="s">
        <v>2116</v>
      </c>
    </row>
    <row r="325" spans="1:9" x14ac:dyDescent="0.35">
      <c r="A325">
        <v>346110</v>
      </c>
      <c r="B325" t="s">
        <v>148</v>
      </c>
      <c r="C325" s="1">
        <v>42974</v>
      </c>
      <c r="D325">
        <v>22170</v>
      </c>
      <c r="E325" t="b">
        <v>1</v>
      </c>
      <c r="F325">
        <v>47</v>
      </c>
      <c r="G325" t="s">
        <v>304</v>
      </c>
      <c r="H325" t="s">
        <v>792</v>
      </c>
      <c r="I325" t="s">
        <v>2116</v>
      </c>
    </row>
    <row r="326" spans="1:9" x14ac:dyDescent="0.35">
      <c r="A326">
        <v>346110</v>
      </c>
      <c r="B326" t="s">
        <v>148</v>
      </c>
      <c r="C326" s="1">
        <v>42974</v>
      </c>
      <c r="D326">
        <v>22170</v>
      </c>
      <c r="E326" t="b">
        <v>1</v>
      </c>
      <c r="F326">
        <v>47</v>
      </c>
      <c r="G326" t="s">
        <v>304</v>
      </c>
      <c r="H326" t="s">
        <v>346</v>
      </c>
      <c r="I326" t="s">
        <v>2116</v>
      </c>
    </row>
    <row r="327" spans="1:9" x14ac:dyDescent="0.35">
      <c r="A327">
        <v>346110</v>
      </c>
      <c r="B327" t="s">
        <v>148</v>
      </c>
      <c r="C327" s="1">
        <v>42974</v>
      </c>
      <c r="D327">
        <v>22170</v>
      </c>
      <c r="E327" t="b">
        <v>1</v>
      </c>
      <c r="F327">
        <v>47</v>
      </c>
      <c r="G327" t="s">
        <v>304</v>
      </c>
      <c r="H327" t="s">
        <v>239</v>
      </c>
      <c r="I327" t="s">
        <v>2117</v>
      </c>
    </row>
    <row r="328" spans="1:9" x14ac:dyDescent="0.35">
      <c r="A328">
        <v>346110</v>
      </c>
      <c r="B328" t="s">
        <v>148</v>
      </c>
      <c r="C328" s="1">
        <v>42974</v>
      </c>
      <c r="D328">
        <v>22170</v>
      </c>
      <c r="E328" t="b">
        <v>1</v>
      </c>
      <c r="F328">
        <v>47</v>
      </c>
      <c r="G328" t="s">
        <v>304</v>
      </c>
      <c r="H328" t="s">
        <v>132</v>
      </c>
      <c r="I328" t="s">
        <v>2116</v>
      </c>
    </row>
    <row r="329" spans="1:9" x14ac:dyDescent="0.35">
      <c r="A329">
        <v>346110</v>
      </c>
      <c r="B329" t="s">
        <v>148</v>
      </c>
      <c r="C329" s="1">
        <v>42974</v>
      </c>
      <c r="D329">
        <v>22170</v>
      </c>
      <c r="E329" t="b">
        <v>1</v>
      </c>
      <c r="F329">
        <v>47</v>
      </c>
      <c r="G329" t="s">
        <v>304</v>
      </c>
      <c r="H329" t="s">
        <v>124</v>
      </c>
      <c r="I329" t="s">
        <v>2117</v>
      </c>
    </row>
    <row r="330" spans="1:9" x14ac:dyDescent="0.35">
      <c r="A330">
        <v>346110</v>
      </c>
      <c r="B330" t="s">
        <v>148</v>
      </c>
      <c r="C330" s="1">
        <v>42974</v>
      </c>
      <c r="D330">
        <v>22170</v>
      </c>
      <c r="E330" t="b">
        <v>1</v>
      </c>
      <c r="F330">
        <v>47</v>
      </c>
      <c r="G330" t="s">
        <v>304</v>
      </c>
      <c r="H330" t="s">
        <v>1510</v>
      </c>
      <c r="I330" t="s">
        <v>2117</v>
      </c>
    </row>
    <row r="331" spans="1:9" x14ac:dyDescent="0.35">
      <c r="A331">
        <v>252950</v>
      </c>
      <c r="B331" t="s">
        <v>150</v>
      </c>
      <c r="C331" s="1">
        <v>42191</v>
      </c>
      <c r="D331">
        <v>21106</v>
      </c>
      <c r="E331" t="b">
        <v>0</v>
      </c>
      <c r="F331">
        <v>48</v>
      </c>
      <c r="G331" t="s">
        <v>438</v>
      </c>
      <c r="H331" t="s">
        <v>49</v>
      </c>
      <c r="I331" t="s">
        <v>2116</v>
      </c>
    </row>
    <row r="332" spans="1:9" x14ac:dyDescent="0.35">
      <c r="A332">
        <v>252950</v>
      </c>
      <c r="B332" t="s">
        <v>150</v>
      </c>
      <c r="C332" s="1">
        <v>42191</v>
      </c>
      <c r="D332">
        <v>21106</v>
      </c>
      <c r="E332" t="b">
        <v>0</v>
      </c>
      <c r="F332">
        <v>48</v>
      </c>
      <c r="G332" t="s">
        <v>438</v>
      </c>
      <c r="H332" t="s">
        <v>792</v>
      </c>
      <c r="I332" t="s">
        <v>2116</v>
      </c>
    </row>
    <row r="333" spans="1:9" x14ac:dyDescent="0.35">
      <c r="A333">
        <v>252950</v>
      </c>
      <c r="B333" t="s">
        <v>150</v>
      </c>
      <c r="C333" s="1">
        <v>42191</v>
      </c>
      <c r="D333">
        <v>21106</v>
      </c>
      <c r="E333" t="b">
        <v>0</v>
      </c>
      <c r="F333">
        <v>48</v>
      </c>
      <c r="G333" t="s">
        <v>438</v>
      </c>
      <c r="H333" t="s">
        <v>346</v>
      </c>
      <c r="I333" t="s">
        <v>2117</v>
      </c>
    </row>
    <row r="334" spans="1:9" x14ac:dyDescent="0.35">
      <c r="A334">
        <v>252950</v>
      </c>
      <c r="B334" t="s">
        <v>150</v>
      </c>
      <c r="C334" s="1">
        <v>42191</v>
      </c>
      <c r="D334">
        <v>21106</v>
      </c>
      <c r="E334" t="b">
        <v>0</v>
      </c>
      <c r="F334">
        <v>48</v>
      </c>
      <c r="G334" t="s">
        <v>438</v>
      </c>
      <c r="H334" t="s">
        <v>239</v>
      </c>
      <c r="I334" t="s">
        <v>2117</v>
      </c>
    </row>
    <row r="335" spans="1:9" x14ac:dyDescent="0.35">
      <c r="A335">
        <v>252950</v>
      </c>
      <c r="B335" t="s">
        <v>150</v>
      </c>
      <c r="C335" s="1">
        <v>42191</v>
      </c>
      <c r="D335">
        <v>21106</v>
      </c>
      <c r="E335" t="b">
        <v>0</v>
      </c>
      <c r="F335">
        <v>48</v>
      </c>
      <c r="G335" t="s">
        <v>438</v>
      </c>
      <c r="H335" t="s">
        <v>132</v>
      </c>
      <c r="I335" t="s">
        <v>2117</v>
      </c>
    </row>
    <row r="336" spans="1:9" x14ac:dyDescent="0.35">
      <c r="A336">
        <v>252950</v>
      </c>
      <c r="B336" t="s">
        <v>150</v>
      </c>
      <c r="C336" s="1">
        <v>42191</v>
      </c>
      <c r="D336">
        <v>21106</v>
      </c>
      <c r="E336" t="b">
        <v>0</v>
      </c>
      <c r="F336">
        <v>48</v>
      </c>
      <c r="G336" t="s">
        <v>438</v>
      </c>
      <c r="H336" t="s">
        <v>124</v>
      </c>
      <c r="I336" t="s">
        <v>2117</v>
      </c>
    </row>
    <row r="337" spans="1:9" x14ac:dyDescent="0.35">
      <c r="A337">
        <v>252950</v>
      </c>
      <c r="B337" t="s">
        <v>150</v>
      </c>
      <c r="C337" s="1">
        <v>42191</v>
      </c>
      <c r="D337">
        <v>21106</v>
      </c>
      <c r="E337" t="b">
        <v>0</v>
      </c>
      <c r="F337">
        <v>48</v>
      </c>
      <c r="G337" t="s">
        <v>438</v>
      </c>
      <c r="H337" t="s">
        <v>1510</v>
      </c>
      <c r="I337" t="s">
        <v>2117</v>
      </c>
    </row>
    <row r="338" spans="1:9" x14ac:dyDescent="0.35">
      <c r="A338">
        <v>39210</v>
      </c>
      <c r="B338" t="s">
        <v>153</v>
      </c>
      <c r="C338" s="1">
        <v>41688</v>
      </c>
      <c r="D338">
        <v>19824</v>
      </c>
      <c r="E338" t="b">
        <v>0</v>
      </c>
      <c r="F338">
        <v>49</v>
      </c>
      <c r="G338" t="s">
        <v>36</v>
      </c>
      <c r="H338" t="s">
        <v>49</v>
      </c>
      <c r="I338" t="s">
        <v>2117</v>
      </c>
    </row>
    <row r="339" spans="1:9" x14ac:dyDescent="0.35">
      <c r="A339">
        <v>39210</v>
      </c>
      <c r="B339" t="s">
        <v>153</v>
      </c>
      <c r="C339" s="1">
        <v>41688</v>
      </c>
      <c r="D339">
        <v>19824</v>
      </c>
      <c r="E339" t="b">
        <v>0</v>
      </c>
      <c r="F339">
        <v>49</v>
      </c>
      <c r="G339" t="s">
        <v>36</v>
      </c>
      <c r="H339" t="s">
        <v>792</v>
      </c>
      <c r="I339" t="s">
        <v>2117</v>
      </c>
    </row>
    <row r="340" spans="1:9" x14ac:dyDescent="0.35">
      <c r="A340">
        <v>39210</v>
      </c>
      <c r="B340" t="s">
        <v>153</v>
      </c>
      <c r="C340" s="1">
        <v>41688</v>
      </c>
      <c r="D340">
        <v>19824</v>
      </c>
      <c r="E340" t="b">
        <v>0</v>
      </c>
      <c r="F340">
        <v>49</v>
      </c>
      <c r="G340" t="s">
        <v>36</v>
      </c>
      <c r="H340" t="s">
        <v>346</v>
      </c>
      <c r="I340" t="s">
        <v>2117</v>
      </c>
    </row>
    <row r="341" spans="1:9" x14ac:dyDescent="0.35">
      <c r="A341">
        <v>39210</v>
      </c>
      <c r="B341" t="s">
        <v>153</v>
      </c>
      <c r="C341" s="1">
        <v>41688</v>
      </c>
      <c r="D341">
        <v>19824</v>
      </c>
      <c r="E341" t="b">
        <v>0</v>
      </c>
      <c r="F341">
        <v>49</v>
      </c>
      <c r="G341" t="s">
        <v>36</v>
      </c>
      <c r="H341" t="s">
        <v>239</v>
      </c>
      <c r="I341" t="s">
        <v>2117</v>
      </c>
    </row>
    <row r="342" spans="1:9" x14ac:dyDescent="0.35">
      <c r="A342">
        <v>39210</v>
      </c>
      <c r="B342" t="s">
        <v>153</v>
      </c>
      <c r="C342" s="1">
        <v>41688</v>
      </c>
      <c r="D342">
        <v>19824</v>
      </c>
      <c r="E342" t="b">
        <v>0</v>
      </c>
      <c r="F342">
        <v>49</v>
      </c>
      <c r="G342" t="s">
        <v>36</v>
      </c>
      <c r="H342" t="s">
        <v>132</v>
      </c>
      <c r="I342" t="s">
        <v>2116</v>
      </c>
    </row>
    <row r="343" spans="1:9" x14ac:dyDescent="0.35">
      <c r="A343">
        <v>39210</v>
      </c>
      <c r="B343" t="s">
        <v>153</v>
      </c>
      <c r="C343" s="1">
        <v>41688</v>
      </c>
      <c r="D343">
        <v>19824</v>
      </c>
      <c r="E343" t="b">
        <v>0</v>
      </c>
      <c r="F343">
        <v>49</v>
      </c>
      <c r="G343" t="s">
        <v>36</v>
      </c>
      <c r="H343" t="s">
        <v>124</v>
      </c>
      <c r="I343" t="s">
        <v>2117</v>
      </c>
    </row>
    <row r="344" spans="1:9" x14ac:dyDescent="0.35">
      <c r="A344">
        <v>39210</v>
      </c>
      <c r="B344" t="s">
        <v>153</v>
      </c>
      <c r="C344" s="1">
        <v>41688</v>
      </c>
      <c r="D344">
        <v>19824</v>
      </c>
      <c r="E344" t="b">
        <v>0</v>
      </c>
      <c r="F344">
        <v>49</v>
      </c>
      <c r="G344" t="s">
        <v>36</v>
      </c>
      <c r="H344" t="s">
        <v>1510</v>
      </c>
      <c r="I344" t="s">
        <v>2117</v>
      </c>
    </row>
    <row r="345" spans="1:9" x14ac:dyDescent="0.35">
      <c r="A345">
        <v>2993780</v>
      </c>
      <c r="B345" t="s">
        <v>156</v>
      </c>
      <c r="C345" s="1">
        <v>45798</v>
      </c>
      <c r="D345">
        <v>19498</v>
      </c>
      <c r="E345" t="b">
        <v>0</v>
      </c>
      <c r="F345">
        <v>50</v>
      </c>
      <c r="G345" t="s">
        <v>53</v>
      </c>
      <c r="H345" t="s">
        <v>49</v>
      </c>
      <c r="I345" t="s">
        <v>2117</v>
      </c>
    </row>
    <row r="346" spans="1:9" x14ac:dyDescent="0.35">
      <c r="A346">
        <v>2993780</v>
      </c>
      <c r="B346" t="s">
        <v>156</v>
      </c>
      <c r="C346" s="1">
        <v>45798</v>
      </c>
      <c r="D346">
        <v>19498</v>
      </c>
      <c r="E346" t="b">
        <v>0</v>
      </c>
      <c r="F346">
        <v>50</v>
      </c>
      <c r="G346" t="s">
        <v>53</v>
      </c>
      <c r="H346" t="s">
        <v>792</v>
      </c>
      <c r="I346" t="s">
        <v>2117</v>
      </c>
    </row>
    <row r="347" spans="1:9" x14ac:dyDescent="0.35">
      <c r="A347">
        <v>2993780</v>
      </c>
      <c r="B347" t="s">
        <v>156</v>
      </c>
      <c r="C347" s="1">
        <v>45798</v>
      </c>
      <c r="D347">
        <v>19498</v>
      </c>
      <c r="E347" t="b">
        <v>0</v>
      </c>
      <c r="F347">
        <v>50</v>
      </c>
      <c r="G347" t="s">
        <v>53</v>
      </c>
      <c r="H347" t="s">
        <v>346</v>
      </c>
      <c r="I347" t="s">
        <v>2117</v>
      </c>
    </row>
    <row r="348" spans="1:9" x14ac:dyDescent="0.35">
      <c r="A348">
        <v>2993780</v>
      </c>
      <c r="B348" t="s">
        <v>156</v>
      </c>
      <c r="C348" s="1">
        <v>45798</v>
      </c>
      <c r="D348">
        <v>19498</v>
      </c>
      <c r="E348" t="b">
        <v>0</v>
      </c>
      <c r="F348">
        <v>50</v>
      </c>
      <c r="G348" t="s">
        <v>53</v>
      </c>
      <c r="H348" t="s">
        <v>239</v>
      </c>
      <c r="I348" t="s">
        <v>2117</v>
      </c>
    </row>
    <row r="349" spans="1:9" x14ac:dyDescent="0.35">
      <c r="A349">
        <v>2993780</v>
      </c>
      <c r="B349" t="s">
        <v>156</v>
      </c>
      <c r="C349" s="1">
        <v>45798</v>
      </c>
      <c r="D349">
        <v>19498</v>
      </c>
      <c r="E349" t="b">
        <v>0</v>
      </c>
      <c r="F349">
        <v>50</v>
      </c>
      <c r="G349" t="s">
        <v>53</v>
      </c>
      <c r="H349" t="s">
        <v>132</v>
      </c>
      <c r="I349" t="s">
        <v>2116</v>
      </c>
    </row>
    <row r="350" spans="1:9" x14ac:dyDescent="0.35">
      <c r="A350">
        <v>2993780</v>
      </c>
      <c r="B350" t="s">
        <v>156</v>
      </c>
      <c r="C350" s="1">
        <v>45798</v>
      </c>
      <c r="D350">
        <v>19498</v>
      </c>
      <c r="E350" t="b">
        <v>0</v>
      </c>
      <c r="F350">
        <v>50</v>
      </c>
      <c r="G350" t="s">
        <v>53</v>
      </c>
      <c r="H350" t="s">
        <v>124</v>
      </c>
      <c r="I350" t="s">
        <v>2117</v>
      </c>
    </row>
    <row r="351" spans="1:9" x14ac:dyDescent="0.35">
      <c r="A351">
        <v>2993780</v>
      </c>
      <c r="B351" t="s">
        <v>156</v>
      </c>
      <c r="C351" s="1">
        <v>45798</v>
      </c>
      <c r="D351">
        <v>19498</v>
      </c>
      <c r="E351" t="b">
        <v>0</v>
      </c>
      <c r="F351">
        <v>50</v>
      </c>
      <c r="G351" t="s">
        <v>53</v>
      </c>
      <c r="H351" t="s">
        <v>1510</v>
      </c>
      <c r="I351" t="s">
        <v>2117</v>
      </c>
    </row>
    <row r="352" spans="1:9" x14ac:dyDescent="0.35">
      <c r="A352">
        <v>294100</v>
      </c>
      <c r="B352" t="s">
        <v>158</v>
      </c>
      <c r="C352" s="1">
        <v>43390</v>
      </c>
      <c r="D352">
        <v>19211</v>
      </c>
      <c r="E352" t="b">
        <v>1</v>
      </c>
      <c r="F352">
        <v>51</v>
      </c>
      <c r="G352" t="s">
        <v>161</v>
      </c>
      <c r="H352" t="s">
        <v>49</v>
      </c>
      <c r="I352" t="s">
        <v>2117</v>
      </c>
    </row>
    <row r="353" spans="1:9" x14ac:dyDescent="0.35">
      <c r="A353">
        <v>294100</v>
      </c>
      <c r="B353" t="s">
        <v>158</v>
      </c>
      <c r="C353" s="1">
        <v>43390</v>
      </c>
      <c r="D353">
        <v>19211</v>
      </c>
      <c r="E353" t="b">
        <v>1</v>
      </c>
      <c r="F353">
        <v>51</v>
      </c>
      <c r="G353" t="s">
        <v>161</v>
      </c>
      <c r="H353" t="s">
        <v>792</v>
      </c>
      <c r="I353" t="s">
        <v>2116</v>
      </c>
    </row>
    <row r="354" spans="1:9" x14ac:dyDescent="0.35">
      <c r="A354">
        <v>294100</v>
      </c>
      <c r="B354" t="s">
        <v>158</v>
      </c>
      <c r="C354" s="1">
        <v>43390</v>
      </c>
      <c r="D354">
        <v>19211</v>
      </c>
      <c r="E354" t="b">
        <v>1</v>
      </c>
      <c r="F354">
        <v>51</v>
      </c>
      <c r="G354" t="s">
        <v>161</v>
      </c>
      <c r="H354" t="s">
        <v>346</v>
      </c>
      <c r="I354" t="s">
        <v>2117</v>
      </c>
    </row>
    <row r="355" spans="1:9" x14ac:dyDescent="0.35">
      <c r="A355">
        <v>294100</v>
      </c>
      <c r="B355" t="s">
        <v>158</v>
      </c>
      <c r="C355" s="1">
        <v>43390</v>
      </c>
      <c r="D355">
        <v>19211</v>
      </c>
      <c r="E355" t="b">
        <v>1</v>
      </c>
      <c r="F355">
        <v>51</v>
      </c>
      <c r="G355" t="s">
        <v>161</v>
      </c>
      <c r="H355" t="s">
        <v>239</v>
      </c>
      <c r="I355" t="s">
        <v>2116</v>
      </c>
    </row>
    <row r="356" spans="1:9" x14ac:dyDescent="0.35">
      <c r="A356">
        <v>294100</v>
      </c>
      <c r="B356" t="s">
        <v>158</v>
      </c>
      <c r="C356" s="1">
        <v>43390</v>
      </c>
      <c r="D356">
        <v>19211</v>
      </c>
      <c r="E356" t="b">
        <v>1</v>
      </c>
      <c r="F356">
        <v>51</v>
      </c>
      <c r="G356" t="s">
        <v>161</v>
      </c>
      <c r="H356" t="s">
        <v>132</v>
      </c>
      <c r="I356" t="s">
        <v>2117</v>
      </c>
    </row>
    <row r="357" spans="1:9" x14ac:dyDescent="0.35">
      <c r="A357">
        <v>294100</v>
      </c>
      <c r="B357" t="s">
        <v>158</v>
      </c>
      <c r="C357" s="1">
        <v>43390</v>
      </c>
      <c r="D357">
        <v>19211</v>
      </c>
      <c r="E357" t="b">
        <v>1</v>
      </c>
      <c r="F357">
        <v>51</v>
      </c>
      <c r="G357" t="s">
        <v>161</v>
      </c>
      <c r="H357" t="s">
        <v>124</v>
      </c>
      <c r="I357" t="s">
        <v>2116</v>
      </c>
    </row>
    <row r="358" spans="1:9" x14ac:dyDescent="0.35">
      <c r="A358">
        <v>294100</v>
      </c>
      <c r="B358" t="s">
        <v>158</v>
      </c>
      <c r="C358" s="1">
        <v>43390</v>
      </c>
      <c r="D358">
        <v>19211</v>
      </c>
      <c r="E358" t="b">
        <v>1</v>
      </c>
      <c r="F358">
        <v>51</v>
      </c>
      <c r="G358" t="s">
        <v>161</v>
      </c>
      <c r="H358" t="s">
        <v>1510</v>
      </c>
      <c r="I358" t="s">
        <v>2117</v>
      </c>
    </row>
    <row r="359" spans="1:9" x14ac:dyDescent="0.35">
      <c r="A359">
        <v>4000</v>
      </c>
      <c r="B359" t="s">
        <v>162</v>
      </c>
      <c r="C359" s="1">
        <v>39050</v>
      </c>
      <c r="D359">
        <v>18400</v>
      </c>
      <c r="E359" t="b">
        <v>1</v>
      </c>
      <c r="F359">
        <v>52</v>
      </c>
      <c r="G359" t="s">
        <v>2083</v>
      </c>
      <c r="H359" t="s">
        <v>49</v>
      </c>
      <c r="I359" t="s">
        <v>2117</v>
      </c>
    </row>
    <row r="360" spans="1:9" x14ac:dyDescent="0.35">
      <c r="A360">
        <v>4000</v>
      </c>
      <c r="B360" t="s">
        <v>162</v>
      </c>
      <c r="C360" s="1">
        <v>39050</v>
      </c>
      <c r="D360">
        <v>18400</v>
      </c>
      <c r="E360" t="b">
        <v>1</v>
      </c>
      <c r="F360">
        <v>52</v>
      </c>
      <c r="G360" t="s">
        <v>2083</v>
      </c>
      <c r="H360" t="s">
        <v>792</v>
      </c>
      <c r="I360" t="s">
        <v>2116</v>
      </c>
    </row>
    <row r="361" spans="1:9" x14ac:dyDescent="0.35">
      <c r="A361">
        <v>4000</v>
      </c>
      <c r="B361" t="s">
        <v>162</v>
      </c>
      <c r="C361" s="1">
        <v>39050</v>
      </c>
      <c r="D361">
        <v>18400</v>
      </c>
      <c r="E361" t="b">
        <v>1</v>
      </c>
      <c r="F361">
        <v>52</v>
      </c>
      <c r="G361" t="s">
        <v>2083</v>
      </c>
      <c r="H361" t="s">
        <v>346</v>
      </c>
      <c r="I361" t="s">
        <v>2117</v>
      </c>
    </row>
    <row r="362" spans="1:9" x14ac:dyDescent="0.35">
      <c r="A362">
        <v>4000</v>
      </c>
      <c r="B362" t="s">
        <v>162</v>
      </c>
      <c r="C362" s="1">
        <v>39050</v>
      </c>
      <c r="D362">
        <v>18400</v>
      </c>
      <c r="E362" t="b">
        <v>1</v>
      </c>
      <c r="F362">
        <v>52</v>
      </c>
      <c r="G362" t="s">
        <v>2083</v>
      </c>
      <c r="H362" t="s">
        <v>239</v>
      </c>
      <c r="I362" t="s">
        <v>2116</v>
      </c>
    </row>
    <row r="363" spans="1:9" x14ac:dyDescent="0.35">
      <c r="A363">
        <v>4000</v>
      </c>
      <c r="B363" t="s">
        <v>162</v>
      </c>
      <c r="C363" s="1">
        <v>39050</v>
      </c>
      <c r="D363">
        <v>18400</v>
      </c>
      <c r="E363" t="b">
        <v>1</v>
      </c>
      <c r="F363">
        <v>52</v>
      </c>
      <c r="G363" t="s">
        <v>2083</v>
      </c>
      <c r="H363" t="s">
        <v>132</v>
      </c>
      <c r="I363" t="s">
        <v>2117</v>
      </c>
    </row>
    <row r="364" spans="1:9" x14ac:dyDescent="0.35">
      <c r="A364">
        <v>4000</v>
      </c>
      <c r="B364" t="s">
        <v>162</v>
      </c>
      <c r="C364" s="1">
        <v>39050</v>
      </c>
      <c r="D364">
        <v>18400</v>
      </c>
      <c r="E364" t="b">
        <v>1</v>
      </c>
      <c r="F364">
        <v>52</v>
      </c>
      <c r="G364" t="s">
        <v>2083</v>
      </c>
      <c r="H364" t="s">
        <v>124</v>
      </c>
      <c r="I364" t="s">
        <v>2117</v>
      </c>
    </row>
    <row r="365" spans="1:9" x14ac:dyDescent="0.35">
      <c r="A365">
        <v>4000</v>
      </c>
      <c r="B365" t="s">
        <v>162</v>
      </c>
      <c r="C365" s="1">
        <v>39050</v>
      </c>
      <c r="D365">
        <v>18400</v>
      </c>
      <c r="E365" t="b">
        <v>1</v>
      </c>
      <c r="F365">
        <v>52</v>
      </c>
      <c r="G365" t="s">
        <v>2083</v>
      </c>
      <c r="H365" t="s">
        <v>1510</v>
      </c>
      <c r="I365" t="s">
        <v>2117</v>
      </c>
    </row>
    <row r="366" spans="1:9" x14ac:dyDescent="0.35">
      <c r="A366">
        <v>1623730</v>
      </c>
      <c r="B366" t="s">
        <v>165</v>
      </c>
      <c r="C366" s="1">
        <v>45309</v>
      </c>
      <c r="D366">
        <v>18028</v>
      </c>
      <c r="E366" t="b">
        <v>0</v>
      </c>
      <c r="F366">
        <v>53</v>
      </c>
      <c r="G366" t="s">
        <v>113</v>
      </c>
      <c r="H366" t="s">
        <v>49</v>
      </c>
      <c r="I366" t="s">
        <v>2116</v>
      </c>
    </row>
    <row r="367" spans="1:9" x14ac:dyDescent="0.35">
      <c r="A367">
        <v>1623730</v>
      </c>
      <c r="B367" t="s">
        <v>165</v>
      </c>
      <c r="C367" s="1">
        <v>45309</v>
      </c>
      <c r="D367">
        <v>18028</v>
      </c>
      <c r="E367" t="b">
        <v>0</v>
      </c>
      <c r="F367">
        <v>53</v>
      </c>
      <c r="G367" t="s">
        <v>113</v>
      </c>
      <c r="H367" t="s">
        <v>792</v>
      </c>
      <c r="I367" t="s">
        <v>2116</v>
      </c>
    </row>
    <row r="368" spans="1:9" x14ac:dyDescent="0.35">
      <c r="A368">
        <v>1623730</v>
      </c>
      <c r="B368" t="s">
        <v>165</v>
      </c>
      <c r="C368" s="1">
        <v>45309</v>
      </c>
      <c r="D368">
        <v>18028</v>
      </c>
      <c r="E368" t="b">
        <v>0</v>
      </c>
      <c r="F368">
        <v>53</v>
      </c>
      <c r="G368" t="s">
        <v>113</v>
      </c>
      <c r="H368" t="s">
        <v>346</v>
      </c>
      <c r="I368" t="s">
        <v>2116</v>
      </c>
    </row>
    <row r="369" spans="1:9" x14ac:dyDescent="0.35">
      <c r="A369">
        <v>1623730</v>
      </c>
      <c r="B369" t="s">
        <v>165</v>
      </c>
      <c r="C369" s="1">
        <v>45309</v>
      </c>
      <c r="D369">
        <v>18028</v>
      </c>
      <c r="E369" t="b">
        <v>0</v>
      </c>
      <c r="F369">
        <v>53</v>
      </c>
      <c r="G369" t="s">
        <v>113</v>
      </c>
      <c r="H369" t="s">
        <v>239</v>
      </c>
      <c r="I369" t="s">
        <v>2117</v>
      </c>
    </row>
    <row r="370" spans="1:9" x14ac:dyDescent="0.35">
      <c r="A370">
        <v>1623730</v>
      </c>
      <c r="B370" t="s">
        <v>165</v>
      </c>
      <c r="C370" s="1">
        <v>45309</v>
      </c>
      <c r="D370">
        <v>18028</v>
      </c>
      <c r="E370" t="b">
        <v>0</v>
      </c>
      <c r="F370">
        <v>53</v>
      </c>
      <c r="G370" t="s">
        <v>113</v>
      </c>
      <c r="H370" t="s">
        <v>132</v>
      </c>
      <c r="I370" t="s">
        <v>2116</v>
      </c>
    </row>
    <row r="371" spans="1:9" x14ac:dyDescent="0.35">
      <c r="A371">
        <v>1623730</v>
      </c>
      <c r="B371" t="s">
        <v>165</v>
      </c>
      <c r="C371" s="1">
        <v>45309</v>
      </c>
      <c r="D371">
        <v>18028</v>
      </c>
      <c r="E371" t="b">
        <v>0</v>
      </c>
      <c r="F371">
        <v>53</v>
      </c>
      <c r="G371" t="s">
        <v>113</v>
      </c>
      <c r="H371" t="s">
        <v>124</v>
      </c>
      <c r="I371" t="s">
        <v>2117</v>
      </c>
    </row>
    <row r="372" spans="1:9" x14ac:dyDescent="0.35">
      <c r="A372">
        <v>1623730</v>
      </c>
      <c r="B372" t="s">
        <v>165</v>
      </c>
      <c r="C372" s="1">
        <v>45309</v>
      </c>
      <c r="D372">
        <v>18028</v>
      </c>
      <c r="E372" t="b">
        <v>0</v>
      </c>
      <c r="F372">
        <v>53</v>
      </c>
      <c r="G372" t="s">
        <v>113</v>
      </c>
      <c r="H372" t="s">
        <v>1510</v>
      </c>
      <c r="I372" t="s">
        <v>2117</v>
      </c>
    </row>
    <row r="373" spans="1:9" x14ac:dyDescent="0.35">
      <c r="A373">
        <v>1599340</v>
      </c>
      <c r="B373" t="s">
        <v>168</v>
      </c>
      <c r="C373" s="1">
        <v>44603</v>
      </c>
      <c r="D373">
        <v>17355</v>
      </c>
      <c r="E373" t="b">
        <v>0</v>
      </c>
      <c r="F373">
        <v>54</v>
      </c>
      <c r="G373" t="s">
        <v>171</v>
      </c>
      <c r="H373" t="s">
        <v>49</v>
      </c>
      <c r="I373" t="s">
        <v>2116</v>
      </c>
    </row>
    <row r="374" spans="1:9" x14ac:dyDescent="0.35">
      <c r="A374">
        <v>1599340</v>
      </c>
      <c r="B374" t="s">
        <v>168</v>
      </c>
      <c r="C374" s="1">
        <v>44603</v>
      </c>
      <c r="D374">
        <v>17355</v>
      </c>
      <c r="E374" t="b">
        <v>0</v>
      </c>
      <c r="F374">
        <v>54</v>
      </c>
      <c r="G374" t="s">
        <v>171</v>
      </c>
      <c r="H374" t="s">
        <v>792</v>
      </c>
      <c r="I374" t="s">
        <v>2117</v>
      </c>
    </row>
    <row r="375" spans="1:9" x14ac:dyDescent="0.35">
      <c r="A375">
        <v>1599340</v>
      </c>
      <c r="B375" t="s">
        <v>168</v>
      </c>
      <c r="C375" s="1">
        <v>44603</v>
      </c>
      <c r="D375">
        <v>17355</v>
      </c>
      <c r="E375" t="b">
        <v>0</v>
      </c>
      <c r="F375">
        <v>54</v>
      </c>
      <c r="G375" t="s">
        <v>171</v>
      </c>
      <c r="H375" t="s">
        <v>346</v>
      </c>
      <c r="I375" t="s">
        <v>2116</v>
      </c>
    </row>
    <row r="376" spans="1:9" x14ac:dyDescent="0.35">
      <c r="A376">
        <v>1599340</v>
      </c>
      <c r="B376" t="s">
        <v>168</v>
      </c>
      <c r="C376" s="1">
        <v>44603</v>
      </c>
      <c r="D376">
        <v>17355</v>
      </c>
      <c r="E376" t="b">
        <v>0</v>
      </c>
      <c r="F376">
        <v>54</v>
      </c>
      <c r="G376" t="s">
        <v>171</v>
      </c>
      <c r="H376" t="s">
        <v>239</v>
      </c>
      <c r="I376" t="s">
        <v>2117</v>
      </c>
    </row>
    <row r="377" spans="1:9" x14ac:dyDescent="0.35">
      <c r="A377">
        <v>1599340</v>
      </c>
      <c r="B377" t="s">
        <v>168</v>
      </c>
      <c r="C377" s="1">
        <v>44603</v>
      </c>
      <c r="D377">
        <v>17355</v>
      </c>
      <c r="E377" t="b">
        <v>0</v>
      </c>
      <c r="F377">
        <v>54</v>
      </c>
      <c r="G377" t="s">
        <v>171</v>
      </c>
      <c r="H377" t="s">
        <v>132</v>
      </c>
      <c r="I377" t="s">
        <v>2116</v>
      </c>
    </row>
    <row r="378" spans="1:9" x14ac:dyDescent="0.35">
      <c r="A378">
        <v>1599340</v>
      </c>
      <c r="B378" t="s">
        <v>168</v>
      </c>
      <c r="C378" s="1">
        <v>44603</v>
      </c>
      <c r="D378">
        <v>17355</v>
      </c>
      <c r="E378" t="b">
        <v>0</v>
      </c>
      <c r="F378">
        <v>54</v>
      </c>
      <c r="G378" t="s">
        <v>171</v>
      </c>
      <c r="H378" t="s">
        <v>124</v>
      </c>
      <c r="I378" t="s">
        <v>2117</v>
      </c>
    </row>
    <row r="379" spans="1:9" x14ac:dyDescent="0.35">
      <c r="A379">
        <v>1599340</v>
      </c>
      <c r="B379" t="s">
        <v>168</v>
      </c>
      <c r="C379" s="1">
        <v>44603</v>
      </c>
      <c r="D379">
        <v>17355</v>
      </c>
      <c r="E379" t="b">
        <v>0</v>
      </c>
      <c r="F379">
        <v>54</v>
      </c>
      <c r="G379" t="s">
        <v>171</v>
      </c>
      <c r="H379" t="s">
        <v>1510</v>
      </c>
      <c r="I379" t="s">
        <v>2116</v>
      </c>
    </row>
    <row r="380" spans="1:9" x14ac:dyDescent="0.35">
      <c r="A380">
        <v>227300</v>
      </c>
      <c r="B380" t="s">
        <v>172</v>
      </c>
      <c r="C380" s="1">
        <v>41194</v>
      </c>
      <c r="D380">
        <v>17281</v>
      </c>
      <c r="E380" t="b">
        <v>1</v>
      </c>
      <c r="F380">
        <v>55</v>
      </c>
      <c r="G380" t="s">
        <v>967</v>
      </c>
      <c r="H380" t="s">
        <v>49</v>
      </c>
      <c r="I380" t="s">
        <v>2117</v>
      </c>
    </row>
    <row r="381" spans="1:9" x14ac:dyDescent="0.35">
      <c r="A381">
        <v>227300</v>
      </c>
      <c r="B381" t="s">
        <v>172</v>
      </c>
      <c r="C381" s="1">
        <v>41194</v>
      </c>
      <c r="D381">
        <v>17281</v>
      </c>
      <c r="E381" t="b">
        <v>1</v>
      </c>
      <c r="F381">
        <v>55</v>
      </c>
      <c r="G381" t="s">
        <v>967</v>
      </c>
      <c r="H381" t="s">
        <v>792</v>
      </c>
      <c r="I381" t="s">
        <v>2116</v>
      </c>
    </row>
    <row r="382" spans="1:9" x14ac:dyDescent="0.35">
      <c r="A382">
        <v>227300</v>
      </c>
      <c r="B382" t="s">
        <v>172</v>
      </c>
      <c r="C382" s="1">
        <v>41194</v>
      </c>
      <c r="D382">
        <v>17281</v>
      </c>
      <c r="E382" t="b">
        <v>1</v>
      </c>
      <c r="F382">
        <v>55</v>
      </c>
      <c r="G382" t="s">
        <v>967</v>
      </c>
      <c r="H382" t="s">
        <v>346</v>
      </c>
      <c r="I382" t="s">
        <v>2117</v>
      </c>
    </row>
    <row r="383" spans="1:9" x14ac:dyDescent="0.35">
      <c r="A383">
        <v>227300</v>
      </c>
      <c r="B383" t="s">
        <v>172</v>
      </c>
      <c r="C383" s="1">
        <v>41194</v>
      </c>
      <c r="D383">
        <v>17281</v>
      </c>
      <c r="E383" t="b">
        <v>1</v>
      </c>
      <c r="F383">
        <v>55</v>
      </c>
      <c r="G383" t="s">
        <v>967</v>
      </c>
      <c r="H383" t="s">
        <v>239</v>
      </c>
      <c r="I383" t="s">
        <v>2116</v>
      </c>
    </row>
    <row r="384" spans="1:9" x14ac:dyDescent="0.35">
      <c r="A384">
        <v>227300</v>
      </c>
      <c r="B384" t="s">
        <v>172</v>
      </c>
      <c r="C384" s="1">
        <v>41194</v>
      </c>
      <c r="D384">
        <v>17281</v>
      </c>
      <c r="E384" t="b">
        <v>1</v>
      </c>
      <c r="F384">
        <v>55</v>
      </c>
      <c r="G384" t="s">
        <v>967</v>
      </c>
      <c r="H384" t="s">
        <v>132</v>
      </c>
      <c r="I384" t="s">
        <v>2117</v>
      </c>
    </row>
    <row r="385" spans="1:9" x14ac:dyDescent="0.35">
      <c r="A385">
        <v>227300</v>
      </c>
      <c r="B385" t="s">
        <v>172</v>
      </c>
      <c r="C385" s="1">
        <v>41194</v>
      </c>
      <c r="D385">
        <v>17281</v>
      </c>
      <c r="E385" t="b">
        <v>1</v>
      </c>
      <c r="F385">
        <v>55</v>
      </c>
      <c r="G385" t="s">
        <v>967</v>
      </c>
      <c r="H385" t="s">
        <v>124</v>
      </c>
      <c r="I385" t="s">
        <v>2117</v>
      </c>
    </row>
    <row r="386" spans="1:9" x14ac:dyDescent="0.35">
      <c r="A386">
        <v>227300</v>
      </c>
      <c r="B386" t="s">
        <v>172</v>
      </c>
      <c r="C386" s="1">
        <v>41194</v>
      </c>
      <c r="D386">
        <v>17281</v>
      </c>
      <c r="E386" t="b">
        <v>1</v>
      </c>
      <c r="F386">
        <v>55</v>
      </c>
      <c r="G386" t="s">
        <v>967</v>
      </c>
      <c r="H386" t="s">
        <v>1510</v>
      </c>
      <c r="I386" t="s">
        <v>2117</v>
      </c>
    </row>
    <row r="387" spans="1:9" x14ac:dyDescent="0.35">
      <c r="A387">
        <v>2379780</v>
      </c>
      <c r="B387" t="s">
        <v>176</v>
      </c>
      <c r="C387" s="1">
        <v>45342</v>
      </c>
      <c r="D387">
        <v>17123</v>
      </c>
      <c r="E387" t="b">
        <v>1</v>
      </c>
      <c r="F387">
        <v>56</v>
      </c>
      <c r="G387" t="s">
        <v>14</v>
      </c>
      <c r="H387" t="s">
        <v>49</v>
      </c>
      <c r="I387" t="s">
        <v>2117</v>
      </c>
    </row>
    <row r="388" spans="1:9" x14ac:dyDescent="0.35">
      <c r="A388">
        <v>2379780</v>
      </c>
      <c r="B388" t="s">
        <v>176</v>
      </c>
      <c r="C388" s="1">
        <v>45342</v>
      </c>
      <c r="D388">
        <v>17123</v>
      </c>
      <c r="E388" t="b">
        <v>1</v>
      </c>
      <c r="F388">
        <v>56</v>
      </c>
      <c r="G388" t="s">
        <v>14</v>
      </c>
      <c r="H388" t="s">
        <v>792</v>
      </c>
      <c r="I388" t="s">
        <v>2116</v>
      </c>
    </row>
    <row r="389" spans="1:9" x14ac:dyDescent="0.35">
      <c r="A389">
        <v>2379780</v>
      </c>
      <c r="B389" t="s">
        <v>176</v>
      </c>
      <c r="C389" s="1">
        <v>45342</v>
      </c>
      <c r="D389">
        <v>17123</v>
      </c>
      <c r="E389" t="b">
        <v>1</v>
      </c>
      <c r="F389">
        <v>56</v>
      </c>
      <c r="G389" t="s">
        <v>14</v>
      </c>
      <c r="H389" t="s">
        <v>346</v>
      </c>
      <c r="I389" t="s">
        <v>2117</v>
      </c>
    </row>
    <row r="390" spans="1:9" x14ac:dyDescent="0.35">
      <c r="A390">
        <v>2379780</v>
      </c>
      <c r="B390" t="s">
        <v>176</v>
      </c>
      <c r="C390" s="1">
        <v>45342</v>
      </c>
      <c r="D390">
        <v>17123</v>
      </c>
      <c r="E390" t="b">
        <v>1</v>
      </c>
      <c r="F390">
        <v>56</v>
      </c>
      <c r="G390" t="s">
        <v>14</v>
      </c>
      <c r="H390" t="s">
        <v>239</v>
      </c>
      <c r="I390" t="s">
        <v>2117</v>
      </c>
    </row>
    <row r="391" spans="1:9" x14ac:dyDescent="0.35">
      <c r="A391">
        <v>2379780</v>
      </c>
      <c r="B391" t="s">
        <v>176</v>
      </c>
      <c r="C391" s="1">
        <v>45342</v>
      </c>
      <c r="D391">
        <v>17123</v>
      </c>
      <c r="E391" t="b">
        <v>1</v>
      </c>
      <c r="F391">
        <v>56</v>
      </c>
      <c r="G391" t="s">
        <v>14</v>
      </c>
      <c r="H391" t="s">
        <v>132</v>
      </c>
      <c r="I391" t="s">
        <v>2117</v>
      </c>
    </row>
    <row r="392" spans="1:9" x14ac:dyDescent="0.35">
      <c r="A392">
        <v>2379780</v>
      </c>
      <c r="B392" t="s">
        <v>176</v>
      </c>
      <c r="C392" s="1">
        <v>45342</v>
      </c>
      <c r="D392">
        <v>17123</v>
      </c>
      <c r="E392" t="b">
        <v>1</v>
      </c>
      <c r="F392">
        <v>56</v>
      </c>
      <c r="G392" t="s">
        <v>14</v>
      </c>
      <c r="H392" t="s">
        <v>124</v>
      </c>
      <c r="I392" t="s">
        <v>2116</v>
      </c>
    </row>
    <row r="393" spans="1:9" x14ac:dyDescent="0.35">
      <c r="A393">
        <v>2379780</v>
      </c>
      <c r="B393" t="s">
        <v>176</v>
      </c>
      <c r="C393" s="1">
        <v>45342</v>
      </c>
      <c r="D393">
        <v>17123</v>
      </c>
      <c r="E393" t="b">
        <v>1</v>
      </c>
      <c r="F393">
        <v>56</v>
      </c>
      <c r="G393" t="s">
        <v>14</v>
      </c>
      <c r="H393" t="s">
        <v>1510</v>
      </c>
      <c r="I393" t="s">
        <v>2117</v>
      </c>
    </row>
    <row r="394" spans="1:9" x14ac:dyDescent="0.35">
      <c r="A394">
        <v>251570</v>
      </c>
      <c r="B394" t="s">
        <v>179</v>
      </c>
      <c r="C394" s="1">
        <v>45498</v>
      </c>
      <c r="D394">
        <v>17045</v>
      </c>
      <c r="E394" t="b">
        <v>1</v>
      </c>
      <c r="F394">
        <v>57</v>
      </c>
      <c r="G394" t="s">
        <v>304</v>
      </c>
      <c r="H394" t="s">
        <v>49</v>
      </c>
      <c r="I394" t="s">
        <v>2116</v>
      </c>
    </row>
    <row r="395" spans="1:9" x14ac:dyDescent="0.35">
      <c r="A395">
        <v>251570</v>
      </c>
      <c r="B395" t="s">
        <v>179</v>
      </c>
      <c r="C395" s="1">
        <v>45498</v>
      </c>
      <c r="D395">
        <v>17045</v>
      </c>
      <c r="E395" t="b">
        <v>1</v>
      </c>
      <c r="F395">
        <v>57</v>
      </c>
      <c r="G395" t="s">
        <v>304</v>
      </c>
      <c r="H395" t="s">
        <v>792</v>
      </c>
      <c r="I395" t="s">
        <v>2116</v>
      </c>
    </row>
    <row r="396" spans="1:9" x14ac:dyDescent="0.35">
      <c r="A396">
        <v>251570</v>
      </c>
      <c r="B396" t="s">
        <v>179</v>
      </c>
      <c r="C396" s="1">
        <v>45498</v>
      </c>
      <c r="D396">
        <v>17045</v>
      </c>
      <c r="E396" t="b">
        <v>1</v>
      </c>
      <c r="F396">
        <v>57</v>
      </c>
      <c r="G396" t="s">
        <v>304</v>
      </c>
      <c r="H396" t="s">
        <v>346</v>
      </c>
      <c r="I396" t="s">
        <v>2116</v>
      </c>
    </row>
    <row r="397" spans="1:9" x14ac:dyDescent="0.35">
      <c r="A397">
        <v>251570</v>
      </c>
      <c r="B397" t="s">
        <v>179</v>
      </c>
      <c r="C397" s="1">
        <v>45498</v>
      </c>
      <c r="D397">
        <v>17045</v>
      </c>
      <c r="E397" t="b">
        <v>1</v>
      </c>
      <c r="F397">
        <v>57</v>
      </c>
      <c r="G397" t="s">
        <v>304</v>
      </c>
      <c r="H397" t="s">
        <v>239</v>
      </c>
      <c r="I397" t="s">
        <v>2116</v>
      </c>
    </row>
    <row r="398" spans="1:9" x14ac:dyDescent="0.35">
      <c r="A398">
        <v>251570</v>
      </c>
      <c r="B398" t="s">
        <v>179</v>
      </c>
      <c r="C398" s="1">
        <v>45498</v>
      </c>
      <c r="D398">
        <v>17045</v>
      </c>
      <c r="E398" t="b">
        <v>1</v>
      </c>
      <c r="F398">
        <v>57</v>
      </c>
      <c r="G398" t="s">
        <v>304</v>
      </c>
      <c r="H398" t="s">
        <v>132</v>
      </c>
      <c r="I398" t="s">
        <v>2116</v>
      </c>
    </row>
    <row r="399" spans="1:9" x14ac:dyDescent="0.35">
      <c r="A399">
        <v>251570</v>
      </c>
      <c r="B399" t="s">
        <v>179</v>
      </c>
      <c r="C399" s="1">
        <v>45498</v>
      </c>
      <c r="D399">
        <v>17045</v>
      </c>
      <c r="E399" t="b">
        <v>1</v>
      </c>
      <c r="F399">
        <v>57</v>
      </c>
      <c r="G399" t="s">
        <v>304</v>
      </c>
      <c r="H399" t="s">
        <v>124</v>
      </c>
      <c r="I399" t="s">
        <v>2116</v>
      </c>
    </row>
    <row r="400" spans="1:9" x14ac:dyDescent="0.35">
      <c r="A400">
        <v>251570</v>
      </c>
      <c r="B400" t="s">
        <v>179</v>
      </c>
      <c r="C400" s="1">
        <v>45498</v>
      </c>
      <c r="D400">
        <v>17045</v>
      </c>
      <c r="E400" t="b">
        <v>1</v>
      </c>
      <c r="F400">
        <v>57</v>
      </c>
      <c r="G400" t="s">
        <v>304</v>
      </c>
      <c r="H400" t="s">
        <v>1510</v>
      </c>
      <c r="I400" t="s">
        <v>2117</v>
      </c>
    </row>
    <row r="401" spans="1:9" x14ac:dyDescent="0.35">
      <c r="A401">
        <v>1142710</v>
      </c>
      <c r="B401" t="s">
        <v>181</v>
      </c>
      <c r="C401" s="1">
        <v>44608</v>
      </c>
      <c r="D401">
        <v>16842</v>
      </c>
      <c r="E401" t="b">
        <v>1</v>
      </c>
      <c r="F401">
        <v>58</v>
      </c>
      <c r="G401" t="s">
        <v>184</v>
      </c>
      <c r="H401" t="s">
        <v>49</v>
      </c>
      <c r="I401" t="s">
        <v>2116</v>
      </c>
    </row>
    <row r="402" spans="1:9" x14ac:dyDescent="0.35">
      <c r="A402">
        <v>1142710</v>
      </c>
      <c r="B402" t="s">
        <v>181</v>
      </c>
      <c r="C402" s="1">
        <v>44608</v>
      </c>
      <c r="D402">
        <v>16842</v>
      </c>
      <c r="E402" t="b">
        <v>1</v>
      </c>
      <c r="F402">
        <v>58</v>
      </c>
      <c r="G402" t="s">
        <v>184</v>
      </c>
      <c r="H402" t="s">
        <v>792</v>
      </c>
      <c r="I402" t="s">
        <v>2117</v>
      </c>
    </row>
    <row r="403" spans="1:9" x14ac:dyDescent="0.35">
      <c r="A403">
        <v>1142710</v>
      </c>
      <c r="B403" t="s">
        <v>181</v>
      </c>
      <c r="C403" s="1">
        <v>44608</v>
      </c>
      <c r="D403">
        <v>16842</v>
      </c>
      <c r="E403" t="b">
        <v>1</v>
      </c>
      <c r="F403">
        <v>58</v>
      </c>
      <c r="G403" t="s">
        <v>184</v>
      </c>
      <c r="H403" t="s">
        <v>346</v>
      </c>
      <c r="I403" t="s">
        <v>2117</v>
      </c>
    </row>
    <row r="404" spans="1:9" x14ac:dyDescent="0.35">
      <c r="A404">
        <v>1142710</v>
      </c>
      <c r="B404" t="s">
        <v>181</v>
      </c>
      <c r="C404" s="1">
        <v>44608</v>
      </c>
      <c r="D404">
        <v>16842</v>
      </c>
      <c r="E404" t="b">
        <v>1</v>
      </c>
      <c r="F404">
        <v>58</v>
      </c>
      <c r="G404" t="s">
        <v>184</v>
      </c>
      <c r="H404" t="s">
        <v>239</v>
      </c>
      <c r="I404" t="s">
        <v>2117</v>
      </c>
    </row>
    <row r="405" spans="1:9" x14ac:dyDescent="0.35">
      <c r="A405">
        <v>1142710</v>
      </c>
      <c r="B405" t="s">
        <v>181</v>
      </c>
      <c r="C405" s="1">
        <v>44608</v>
      </c>
      <c r="D405">
        <v>16842</v>
      </c>
      <c r="E405" t="b">
        <v>1</v>
      </c>
      <c r="F405">
        <v>58</v>
      </c>
      <c r="G405" t="s">
        <v>184</v>
      </c>
      <c r="H405" t="s">
        <v>132</v>
      </c>
      <c r="I405" t="s">
        <v>2117</v>
      </c>
    </row>
    <row r="406" spans="1:9" x14ac:dyDescent="0.35">
      <c r="A406">
        <v>1142710</v>
      </c>
      <c r="B406" t="s">
        <v>181</v>
      </c>
      <c r="C406" s="1">
        <v>44608</v>
      </c>
      <c r="D406">
        <v>16842</v>
      </c>
      <c r="E406" t="b">
        <v>1</v>
      </c>
      <c r="F406">
        <v>58</v>
      </c>
      <c r="G406" t="s">
        <v>184</v>
      </c>
      <c r="H406" t="s">
        <v>124</v>
      </c>
      <c r="I406" t="s">
        <v>2116</v>
      </c>
    </row>
    <row r="407" spans="1:9" x14ac:dyDescent="0.35">
      <c r="A407">
        <v>1142710</v>
      </c>
      <c r="B407" t="s">
        <v>181</v>
      </c>
      <c r="C407" s="1">
        <v>44608</v>
      </c>
      <c r="D407">
        <v>16842</v>
      </c>
      <c r="E407" t="b">
        <v>1</v>
      </c>
      <c r="F407">
        <v>58</v>
      </c>
      <c r="G407" t="s">
        <v>184</v>
      </c>
      <c r="H407" t="s">
        <v>1510</v>
      </c>
      <c r="I407" t="s">
        <v>2117</v>
      </c>
    </row>
    <row r="408" spans="1:9" x14ac:dyDescent="0.35">
      <c r="A408">
        <v>2694490</v>
      </c>
      <c r="B408" t="s">
        <v>185</v>
      </c>
      <c r="C408" s="1">
        <v>45632</v>
      </c>
      <c r="D408">
        <v>16727</v>
      </c>
      <c r="E408" t="b">
        <v>0</v>
      </c>
      <c r="F408">
        <v>59</v>
      </c>
      <c r="G408" t="s">
        <v>36</v>
      </c>
      <c r="H408" t="s">
        <v>49</v>
      </c>
      <c r="I408" t="s">
        <v>2116</v>
      </c>
    </row>
    <row r="409" spans="1:9" x14ac:dyDescent="0.35">
      <c r="A409">
        <v>2694490</v>
      </c>
      <c r="B409" t="s">
        <v>185</v>
      </c>
      <c r="C409" s="1">
        <v>45632</v>
      </c>
      <c r="D409">
        <v>16727</v>
      </c>
      <c r="E409" t="b">
        <v>0</v>
      </c>
      <c r="F409">
        <v>59</v>
      </c>
      <c r="G409" t="s">
        <v>36</v>
      </c>
      <c r="H409" t="s">
        <v>792</v>
      </c>
      <c r="I409" t="s">
        <v>2117</v>
      </c>
    </row>
    <row r="410" spans="1:9" x14ac:dyDescent="0.35">
      <c r="A410">
        <v>2694490</v>
      </c>
      <c r="B410" t="s">
        <v>185</v>
      </c>
      <c r="C410" s="1">
        <v>45632</v>
      </c>
      <c r="D410">
        <v>16727</v>
      </c>
      <c r="E410" t="b">
        <v>0</v>
      </c>
      <c r="F410">
        <v>59</v>
      </c>
      <c r="G410" t="s">
        <v>36</v>
      </c>
      <c r="H410" t="s">
        <v>346</v>
      </c>
      <c r="I410" t="s">
        <v>2116</v>
      </c>
    </row>
    <row r="411" spans="1:9" x14ac:dyDescent="0.35">
      <c r="A411">
        <v>2694490</v>
      </c>
      <c r="B411" t="s">
        <v>185</v>
      </c>
      <c r="C411" s="1">
        <v>45632</v>
      </c>
      <c r="D411">
        <v>16727</v>
      </c>
      <c r="E411" t="b">
        <v>0</v>
      </c>
      <c r="F411">
        <v>59</v>
      </c>
      <c r="G411" t="s">
        <v>36</v>
      </c>
      <c r="H411" t="s">
        <v>239</v>
      </c>
      <c r="I411" t="s">
        <v>2117</v>
      </c>
    </row>
    <row r="412" spans="1:9" x14ac:dyDescent="0.35">
      <c r="A412">
        <v>2694490</v>
      </c>
      <c r="B412" t="s">
        <v>185</v>
      </c>
      <c r="C412" s="1">
        <v>45632</v>
      </c>
      <c r="D412">
        <v>16727</v>
      </c>
      <c r="E412" t="b">
        <v>0</v>
      </c>
      <c r="F412">
        <v>59</v>
      </c>
      <c r="G412" t="s">
        <v>36</v>
      </c>
      <c r="H412" t="s">
        <v>132</v>
      </c>
      <c r="I412" t="s">
        <v>2116</v>
      </c>
    </row>
    <row r="413" spans="1:9" x14ac:dyDescent="0.35">
      <c r="A413">
        <v>2694490</v>
      </c>
      <c r="B413" t="s">
        <v>185</v>
      </c>
      <c r="C413" s="1">
        <v>45632</v>
      </c>
      <c r="D413">
        <v>16727</v>
      </c>
      <c r="E413" t="b">
        <v>0</v>
      </c>
      <c r="F413">
        <v>59</v>
      </c>
      <c r="G413" t="s">
        <v>36</v>
      </c>
      <c r="H413" t="s">
        <v>124</v>
      </c>
      <c r="I413" t="s">
        <v>2117</v>
      </c>
    </row>
    <row r="414" spans="1:9" x14ac:dyDescent="0.35">
      <c r="A414">
        <v>2694490</v>
      </c>
      <c r="B414" t="s">
        <v>185</v>
      </c>
      <c r="C414" s="1">
        <v>45632</v>
      </c>
      <c r="D414">
        <v>16727</v>
      </c>
      <c r="E414" t="b">
        <v>0</v>
      </c>
      <c r="F414">
        <v>59</v>
      </c>
      <c r="G414" t="s">
        <v>36</v>
      </c>
      <c r="H414" t="s">
        <v>1510</v>
      </c>
      <c r="I414" t="s">
        <v>2117</v>
      </c>
    </row>
    <row r="415" spans="1:9" x14ac:dyDescent="0.35">
      <c r="A415">
        <v>427520</v>
      </c>
      <c r="B415" t="s">
        <v>188</v>
      </c>
      <c r="C415" s="1">
        <v>44057</v>
      </c>
      <c r="D415">
        <v>16426</v>
      </c>
      <c r="E415" t="b">
        <v>1</v>
      </c>
      <c r="F415">
        <v>60</v>
      </c>
      <c r="G415" t="s">
        <v>133</v>
      </c>
      <c r="H415" t="s">
        <v>49</v>
      </c>
      <c r="I415" t="s">
        <v>2117</v>
      </c>
    </row>
    <row r="416" spans="1:9" x14ac:dyDescent="0.35">
      <c r="A416">
        <v>427520</v>
      </c>
      <c r="B416" t="s">
        <v>188</v>
      </c>
      <c r="C416" s="1">
        <v>44057</v>
      </c>
      <c r="D416">
        <v>16426</v>
      </c>
      <c r="E416" t="b">
        <v>1</v>
      </c>
      <c r="F416">
        <v>60</v>
      </c>
      <c r="G416" t="s">
        <v>133</v>
      </c>
      <c r="H416" t="s">
        <v>792</v>
      </c>
      <c r="I416" t="s">
        <v>2116</v>
      </c>
    </row>
    <row r="417" spans="1:9" x14ac:dyDescent="0.35">
      <c r="A417">
        <v>427520</v>
      </c>
      <c r="B417" t="s">
        <v>188</v>
      </c>
      <c r="C417" s="1">
        <v>44057</v>
      </c>
      <c r="D417">
        <v>16426</v>
      </c>
      <c r="E417" t="b">
        <v>1</v>
      </c>
      <c r="F417">
        <v>60</v>
      </c>
      <c r="G417" t="s">
        <v>133</v>
      </c>
      <c r="H417" t="s">
        <v>346</v>
      </c>
      <c r="I417" t="s">
        <v>2117</v>
      </c>
    </row>
    <row r="418" spans="1:9" x14ac:dyDescent="0.35">
      <c r="A418">
        <v>427520</v>
      </c>
      <c r="B418" t="s">
        <v>188</v>
      </c>
      <c r="C418" s="1">
        <v>44057</v>
      </c>
      <c r="D418">
        <v>16426</v>
      </c>
      <c r="E418" t="b">
        <v>1</v>
      </c>
      <c r="F418">
        <v>60</v>
      </c>
      <c r="G418" t="s">
        <v>133</v>
      </c>
      <c r="H418" t="s">
        <v>239</v>
      </c>
      <c r="I418" t="s">
        <v>2116</v>
      </c>
    </row>
    <row r="419" spans="1:9" x14ac:dyDescent="0.35">
      <c r="A419">
        <v>427520</v>
      </c>
      <c r="B419" t="s">
        <v>188</v>
      </c>
      <c r="C419" s="1">
        <v>44057</v>
      </c>
      <c r="D419">
        <v>16426</v>
      </c>
      <c r="E419" t="b">
        <v>1</v>
      </c>
      <c r="F419">
        <v>60</v>
      </c>
      <c r="G419" t="s">
        <v>133</v>
      </c>
      <c r="H419" t="s">
        <v>132</v>
      </c>
      <c r="I419" t="s">
        <v>2117</v>
      </c>
    </row>
    <row r="420" spans="1:9" x14ac:dyDescent="0.35">
      <c r="A420">
        <v>427520</v>
      </c>
      <c r="B420" t="s">
        <v>188</v>
      </c>
      <c r="C420" s="1">
        <v>44057</v>
      </c>
      <c r="D420">
        <v>16426</v>
      </c>
      <c r="E420" t="b">
        <v>1</v>
      </c>
      <c r="F420">
        <v>60</v>
      </c>
      <c r="G420" t="s">
        <v>133</v>
      </c>
      <c r="H420" t="s">
        <v>124</v>
      </c>
      <c r="I420" t="s">
        <v>2116</v>
      </c>
    </row>
    <row r="421" spans="1:9" x14ac:dyDescent="0.35">
      <c r="A421">
        <v>427520</v>
      </c>
      <c r="B421" t="s">
        <v>188</v>
      </c>
      <c r="C421" s="1">
        <v>44057</v>
      </c>
      <c r="D421">
        <v>16426</v>
      </c>
      <c r="E421" t="b">
        <v>1</v>
      </c>
      <c r="F421">
        <v>60</v>
      </c>
      <c r="G421" t="s">
        <v>133</v>
      </c>
      <c r="H421" t="s">
        <v>1510</v>
      </c>
      <c r="I421" t="s">
        <v>2117</v>
      </c>
    </row>
    <row r="422" spans="1:9" x14ac:dyDescent="0.35">
      <c r="A422">
        <v>306130</v>
      </c>
      <c r="B422" t="s">
        <v>191</v>
      </c>
      <c r="C422" s="1">
        <v>42877</v>
      </c>
      <c r="D422">
        <v>15987</v>
      </c>
      <c r="E422" t="b">
        <v>1</v>
      </c>
      <c r="F422">
        <v>61</v>
      </c>
      <c r="G422" t="s">
        <v>33</v>
      </c>
      <c r="H422" t="s">
        <v>49</v>
      </c>
      <c r="I422" t="s">
        <v>2116</v>
      </c>
    </row>
    <row r="423" spans="1:9" x14ac:dyDescent="0.35">
      <c r="A423">
        <v>306130</v>
      </c>
      <c r="B423" t="s">
        <v>191</v>
      </c>
      <c r="C423" s="1">
        <v>42877</v>
      </c>
      <c r="D423">
        <v>15987</v>
      </c>
      <c r="E423" t="b">
        <v>1</v>
      </c>
      <c r="F423">
        <v>61</v>
      </c>
      <c r="G423" t="s">
        <v>33</v>
      </c>
      <c r="H423" t="s">
        <v>792</v>
      </c>
      <c r="I423" t="s">
        <v>2117</v>
      </c>
    </row>
    <row r="424" spans="1:9" x14ac:dyDescent="0.35">
      <c r="A424">
        <v>306130</v>
      </c>
      <c r="B424" t="s">
        <v>191</v>
      </c>
      <c r="C424" s="1">
        <v>42877</v>
      </c>
      <c r="D424">
        <v>15987</v>
      </c>
      <c r="E424" t="b">
        <v>1</v>
      </c>
      <c r="F424">
        <v>61</v>
      </c>
      <c r="G424" t="s">
        <v>33</v>
      </c>
      <c r="H424" t="s">
        <v>346</v>
      </c>
      <c r="I424" t="s">
        <v>2116</v>
      </c>
    </row>
    <row r="425" spans="1:9" x14ac:dyDescent="0.35">
      <c r="A425">
        <v>306130</v>
      </c>
      <c r="B425" t="s">
        <v>191</v>
      </c>
      <c r="C425" s="1">
        <v>42877</v>
      </c>
      <c r="D425">
        <v>15987</v>
      </c>
      <c r="E425" t="b">
        <v>1</v>
      </c>
      <c r="F425">
        <v>61</v>
      </c>
      <c r="G425" t="s">
        <v>33</v>
      </c>
      <c r="H425" t="s">
        <v>239</v>
      </c>
      <c r="I425" t="s">
        <v>2117</v>
      </c>
    </row>
    <row r="426" spans="1:9" x14ac:dyDescent="0.35">
      <c r="A426">
        <v>306130</v>
      </c>
      <c r="B426" t="s">
        <v>191</v>
      </c>
      <c r="C426" s="1">
        <v>42877</v>
      </c>
      <c r="D426">
        <v>15987</v>
      </c>
      <c r="E426" t="b">
        <v>1</v>
      </c>
      <c r="F426">
        <v>61</v>
      </c>
      <c r="G426" t="s">
        <v>33</v>
      </c>
      <c r="H426" t="s">
        <v>132</v>
      </c>
      <c r="I426" t="s">
        <v>2116</v>
      </c>
    </row>
    <row r="427" spans="1:9" x14ac:dyDescent="0.35">
      <c r="A427">
        <v>306130</v>
      </c>
      <c r="B427" t="s">
        <v>191</v>
      </c>
      <c r="C427" s="1">
        <v>42877</v>
      </c>
      <c r="D427">
        <v>15987</v>
      </c>
      <c r="E427" t="b">
        <v>1</v>
      </c>
      <c r="F427">
        <v>61</v>
      </c>
      <c r="G427" t="s">
        <v>33</v>
      </c>
      <c r="H427" t="s">
        <v>124</v>
      </c>
      <c r="I427" t="s">
        <v>2117</v>
      </c>
    </row>
    <row r="428" spans="1:9" x14ac:dyDescent="0.35">
      <c r="A428">
        <v>306130</v>
      </c>
      <c r="B428" t="s">
        <v>191</v>
      </c>
      <c r="C428" s="1">
        <v>42877</v>
      </c>
      <c r="D428">
        <v>15987</v>
      </c>
      <c r="E428" t="b">
        <v>1</v>
      </c>
      <c r="F428">
        <v>61</v>
      </c>
      <c r="G428" t="s">
        <v>33</v>
      </c>
      <c r="H428" t="s">
        <v>1510</v>
      </c>
      <c r="I428" t="s">
        <v>2117</v>
      </c>
    </row>
    <row r="429" spans="1:9" x14ac:dyDescent="0.35">
      <c r="A429">
        <v>292030</v>
      </c>
      <c r="B429" t="s">
        <v>194</v>
      </c>
      <c r="C429" s="1">
        <v>42142</v>
      </c>
      <c r="D429">
        <v>15893</v>
      </c>
      <c r="E429" t="b">
        <v>0</v>
      </c>
      <c r="F429">
        <v>62</v>
      </c>
      <c r="G429" t="s">
        <v>967</v>
      </c>
      <c r="H429" t="s">
        <v>49</v>
      </c>
      <c r="I429" t="s">
        <v>2117</v>
      </c>
    </row>
    <row r="430" spans="1:9" x14ac:dyDescent="0.35">
      <c r="A430">
        <v>292030</v>
      </c>
      <c r="B430" t="s">
        <v>194</v>
      </c>
      <c r="C430" s="1">
        <v>42142</v>
      </c>
      <c r="D430">
        <v>15893</v>
      </c>
      <c r="E430" t="b">
        <v>0</v>
      </c>
      <c r="F430">
        <v>62</v>
      </c>
      <c r="G430" t="s">
        <v>967</v>
      </c>
      <c r="H430" t="s">
        <v>792</v>
      </c>
      <c r="I430" t="s">
        <v>2117</v>
      </c>
    </row>
    <row r="431" spans="1:9" x14ac:dyDescent="0.35">
      <c r="A431">
        <v>292030</v>
      </c>
      <c r="B431" t="s">
        <v>194</v>
      </c>
      <c r="C431" s="1">
        <v>42142</v>
      </c>
      <c r="D431">
        <v>15893</v>
      </c>
      <c r="E431" t="b">
        <v>0</v>
      </c>
      <c r="F431">
        <v>62</v>
      </c>
      <c r="G431" t="s">
        <v>967</v>
      </c>
      <c r="H431" t="s">
        <v>346</v>
      </c>
      <c r="I431" t="s">
        <v>2117</v>
      </c>
    </row>
    <row r="432" spans="1:9" x14ac:dyDescent="0.35">
      <c r="A432">
        <v>292030</v>
      </c>
      <c r="B432" t="s">
        <v>194</v>
      </c>
      <c r="C432" s="1">
        <v>42142</v>
      </c>
      <c r="D432">
        <v>15893</v>
      </c>
      <c r="E432" t="b">
        <v>0</v>
      </c>
      <c r="F432">
        <v>62</v>
      </c>
      <c r="G432" t="s">
        <v>967</v>
      </c>
      <c r="H432" t="s">
        <v>239</v>
      </c>
      <c r="I432" t="s">
        <v>2117</v>
      </c>
    </row>
    <row r="433" spans="1:9" x14ac:dyDescent="0.35">
      <c r="A433">
        <v>292030</v>
      </c>
      <c r="B433" t="s">
        <v>194</v>
      </c>
      <c r="C433" s="1">
        <v>42142</v>
      </c>
      <c r="D433">
        <v>15893</v>
      </c>
      <c r="E433" t="b">
        <v>0</v>
      </c>
      <c r="F433">
        <v>62</v>
      </c>
      <c r="G433" t="s">
        <v>967</v>
      </c>
      <c r="H433" t="s">
        <v>132</v>
      </c>
      <c r="I433" t="s">
        <v>2116</v>
      </c>
    </row>
    <row r="434" spans="1:9" x14ac:dyDescent="0.35">
      <c r="A434">
        <v>292030</v>
      </c>
      <c r="B434" t="s">
        <v>194</v>
      </c>
      <c r="C434" s="1">
        <v>42142</v>
      </c>
      <c r="D434">
        <v>15893</v>
      </c>
      <c r="E434" t="b">
        <v>0</v>
      </c>
      <c r="F434">
        <v>62</v>
      </c>
      <c r="G434" t="s">
        <v>967</v>
      </c>
      <c r="H434" t="s">
        <v>124</v>
      </c>
      <c r="I434" t="s">
        <v>2117</v>
      </c>
    </row>
    <row r="435" spans="1:9" x14ac:dyDescent="0.35">
      <c r="A435">
        <v>292030</v>
      </c>
      <c r="B435" t="s">
        <v>194</v>
      </c>
      <c r="C435" s="1">
        <v>42142</v>
      </c>
      <c r="D435">
        <v>15893</v>
      </c>
      <c r="E435" t="b">
        <v>0</v>
      </c>
      <c r="F435">
        <v>62</v>
      </c>
      <c r="G435" t="s">
        <v>967</v>
      </c>
      <c r="H435" t="s">
        <v>1510</v>
      </c>
      <c r="I435" t="s">
        <v>2117</v>
      </c>
    </row>
    <row r="436" spans="1:9" x14ac:dyDescent="0.35">
      <c r="A436">
        <v>284160</v>
      </c>
      <c r="B436" t="s">
        <v>196</v>
      </c>
      <c r="C436" s="1">
        <v>42153</v>
      </c>
      <c r="D436">
        <v>15863</v>
      </c>
      <c r="E436" t="b">
        <v>0</v>
      </c>
      <c r="F436">
        <v>63</v>
      </c>
      <c r="G436" t="s">
        <v>199</v>
      </c>
      <c r="H436" t="s">
        <v>49</v>
      </c>
      <c r="I436" t="s">
        <v>2117</v>
      </c>
    </row>
    <row r="437" spans="1:9" x14ac:dyDescent="0.35">
      <c r="A437">
        <v>284160</v>
      </c>
      <c r="B437" t="s">
        <v>196</v>
      </c>
      <c r="C437" s="1">
        <v>42153</v>
      </c>
      <c r="D437">
        <v>15863</v>
      </c>
      <c r="E437" t="b">
        <v>0</v>
      </c>
      <c r="F437">
        <v>63</v>
      </c>
      <c r="G437" t="s">
        <v>199</v>
      </c>
      <c r="H437" t="s">
        <v>792</v>
      </c>
      <c r="I437" t="s">
        <v>2117</v>
      </c>
    </row>
    <row r="438" spans="1:9" x14ac:dyDescent="0.35">
      <c r="A438">
        <v>284160</v>
      </c>
      <c r="B438" t="s">
        <v>196</v>
      </c>
      <c r="C438" s="1">
        <v>42153</v>
      </c>
      <c r="D438">
        <v>15863</v>
      </c>
      <c r="E438" t="b">
        <v>0</v>
      </c>
      <c r="F438">
        <v>63</v>
      </c>
      <c r="G438" t="s">
        <v>199</v>
      </c>
      <c r="H438" t="s">
        <v>346</v>
      </c>
      <c r="I438" t="s">
        <v>2117</v>
      </c>
    </row>
    <row r="439" spans="1:9" x14ac:dyDescent="0.35">
      <c r="A439">
        <v>284160</v>
      </c>
      <c r="B439" t="s">
        <v>196</v>
      </c>
      <c r="C439" s="1">
        <v>42153</v>
      </c>
      <c r="D439">
        <v>15863</v>
      </c>
      <c r="E439" t="b">
        <v>0</v>
      </c>
      <c r="F439">
        <v>63</v>
      </c>
      <c r="G439" t="s">
        <v>199</v>
      </c>
      <c r="H439" t="s">
        <v>239</v>
      </c>
      <c r="I439" t="s">
        <v>2116</v>
      </c>
    </row>
    <row r="440" spans="1:9" x14ac:dyDescent="0.35">
      <c r="A440">
        <v>284160</v>
      </c>
      <c r="B440" t="s">
        <v>196</v>
      </c>
      <c r="C440" s="1">
        <v>42153</v>
      </c>
      <c r="D440">
        <v>15863</v>
      </c>
      <c r="E440" t="b">
        <v>0</v>
      </c>
      <c r="F440">
        <v>63</v>
      </c>
      <c r="G440" t="s">
        <v>199</v>
      </c>
      <c r="H440" t="s">
        <v>132</v>
      </c>
      <c r="I440" t="s">
        <v>2117</v>
      </c>
    </row>
    <row r="441" spans="1:9" x14ac:dyDescent="0.35">
      <c r="A441">
        <v>284160</v>
      </c>
      <c r="B441" t="s">
        <v>196</v>
      </c>
      <c r="C441" s="1">
        <v>42153</v>
      </c>
      <c r="D441">
        <v>15863</v>
      </c>
      <c r="E441" t="b">
        <v>0</v>
      </c>
      <c r="F441">
        <v>63</v>
      </c>
      <c r="G441" t="s">
        <v>199</v>
      </c>
      <c r="H441" t="s">
        <v>124</v>
      </c>
      <c r="I441" t="s">
        <v>2117</v>
      </c>
    </row>
    <row r="442" spans="1:9" x14ac:dyDescent="0.35">
      <c r="A442">
        <v>284160</v>
      </c>
      <c r="B442" t="s">
        <v>196</v>
      </c>
      <c r="C442" s="1">
        <v>42153</v>
      </c>
      <c r="D442">
        <v>15863</v>
      </c>
      <c r="E442" t="b">
        <v>0</v>
      </c>
      <c r="F442">
        <v>63</v>
      </c>
      <c r="G442" t="s">
        <v>199</v>
      </c>
      <c r="H442" t="s">
        <v>1510</v>
      </c>
      <c r="I442" t="s">
        <v>2117</v>
      </c>
    </row>
    <row r="443" spans="1:9" x14ac:dyDescent="0.35">
      <c r="A443">
        <v>629520</v>
      </c>
      <c r="B443" t="s">
        <v>200</v>
      </c>
      <c r="C443" s="1">
        <v>43008</v>
      </c>
      <c r="D443">
        <v>15279</v>
      </c>
      <c r="E443" t="b">
        <v>0</v>
      </c>
      <c r="F443">
        <v>64</v>
      </c>
      <c r="G443" t="s">
        <v>110</v>
      </c>
      <c r="H443" t="s">
        <v>49</v>
      </c>
      <c r="I443" t="s">
        <v>2117</v>
      </c>
    </row>
    <row r="444" spans="1:9" x14ac:dyDescent="0.35">
      <c r="A444">
        <v>629520</v>
      </c>
      <c r="B444" t="s">
        <v>200</v>
      </c>
      <c r="C444" s="1">
        <v>43008</v>
      </c>
      <c r="D444">
        <v>15279</v>
      </c>
      <c r="E444" t="b">
        <v>0</v>
      </c>
      <c r="F444">
        <v>64</v>
      </c>
      <c r="G444" t="s">
        <v>110</v>
      </c>
      <c r="H444" t="s">
        <v>792</v>
      </c>
      <c r="I444" t="s">
        <v>2117</v>
      </c>
    </row>
    <row r="445" spans="1:9" x14ac:dyDescent="0.35">
      <c r="A445">
        <v>629520</v>
      </c>
      <c r="B445" t="s">
        <v>200</v>
      </c>
      <c r="C445" s="1">
        <v>43008</v>
      </c>
      <c r="D445">
        <v>15279</v>
      </c>
      <c r="E445" t="b">
        <v>0</v>
      </c>
      <c r="F445">
        <v>64</v>
      </c>
      <c r="G445" t="s">
        <v>110</v>
      </c>
      <c r="H445" t="s">
        <v>346</v>
      </c>
      <c r="I445" t="s">
        <v>2117</v>
      </c>
    </row>
    <row r="446" spans="1:9" x14ac:dyDescent="0.35">
      <c r="A446">
        <v>629520</v>
      </c>
      <c r="B446" t="s">
        <v>200</v>
      </c>
      <c r="C446" s="1">
        <v>43008</v>
      </c>
      <c r="D446">
        <v>15279</v>
      </c>
      <c r="E446" t="b">
        <v>0</v>
      </c>
      <c r="F446">
        <v>64</v>
      </c>
      <c r="G446" t="s">
        <v>110</v>
      </c>
      <c r="H446" t="s">
        <v>239</v>
      </c>
      <c r="I446" t="s">
        <v>2117</v>
      </c>
    </row>
    <row r="447" spans="1:9" x14ac:dyDescent="0.35">
      <c r="A447">
        <v>629520</v>
      </c>
      <c r="B447" t="s">
        <v>200</v>
      </c>
      <c r="C447" s="1">
        <v>43008</v>
      </c>
      <c r="D447">
        <v>15279</v>
      </c>
      <c r="E447" t="b">
        <v>0</v>
      </c>
      <c r="F447">
        <v>64</v>
      </c>
      <c r="G447" t="s">
        <v>110</v>
      </c>
      <c r="H447" t="s">
        <v>132</v>
      </c>
      <c r="I447" t="s">
        <v>2117</v>
      </c>
    </row>
    <row r="448" spans="1:9" x14ac:dyDescent="0.35">
      <c r="A448">
        <v>629520</v>
      </c>
      <c r="B448" t="s">
        <v>200</v>
      </c>
      <c r="C448" s="1">
        <v>43008</v>
      </c>
      <c r="D448">
        <v>15279</v>
      </c>
      <c r="E448" t="b">
        <v>0</v>
      </c>
      <c r="F448">
        <v>64</v>
      </c>
      <c r="G448" t="s">
        <v>110</v>
      </c>
      <c r="H448" t="s">
        <v>124</v>
      </c>
      <c r="I448" t="s">
        <v>2117</v>
      </c>
    </row>
    <row r="449" spans="1:9" x14ac:dyDescent="0.35">
      <c r="A449">
        <v>629520</v>
      </c>
      <c r="B449" t="s">
        <v>200</v>
      </c>
      <c r="C449" s="1">
        <v>43008</v>
      </c>
      <c r="D449">
        <v>15279</v>
      </c>
      <c r="E449" t="b">
        <v>0</v>
      </c>
      <c r="F449">
        <v>64</v>
      </c>
      <c r="G449" t="s">
        <v>110</v>
      </c>
      <c r="H449" t="s">
        <v>1510</v>
      </c>
      <c r="I449" t="s">
        <v>2117</v>
      </c>
    </row>
    <row r="450" spans="1:9" x14ac:dyDescent="0.35">
      <c r="A450">
        <v>646570</v>
      </c>
      <c r="B450" t="s">
        <v>203</v>
      </c>
      <c r="C450" s="1">
        <v>43488</v>
      </c>
      <c r="D450">
        <v>15038</v>
      </c>
      <c r="E450" t="b">
        <v>1</v>
      </c>
      <c r="F450">
        <v>65</v>
      </c>
      <c r="G450" t="s">
        <v>2082</v>
      </c>
      <c r="H450" t="s">
        <v>49</v>
      </c>
      <c r="I450" t="s">
        <v>2117</v>
      </c>
    </row>
    <row r="451" spans="1:9" x14ac:dyDescent="0.35">
      <c r="A451">
        <v>646570</v>
      </c>
      <c r="B451" t="s">
        <v>203</v>
      </c>
      <c r="C451" s="1">
        <v>43488</v>
      </c>
      <c r="D451">
        <v>15038</v>
      </c>
      <c r="E451" t="b">
        <v>1</v>
      </c>
      <c r="F451">
        <v>65</v>
      </c>
      <c r="G451" t="s">
        <v>2082</v>
      </c>
      <c r="H451" t="s">
        <v>792</v>
      </c>
      <c r="I451" t="s">
        <v>2116</v>
      </c>
    </row>
    <row r="452" spans="1:9" x14ac:dyDescent="0.35">
      <c r="A452">
        <v>646570</v>
      </c>
      <c r="B452" t="s">
        <v>203</v>
      </c>
      <c r="C452" s="1">
        <v>43488</v>
      </c>
      <c r="D452">
        <v>15038</v>
      </c>
      <c r="E452" t="b">
        <v>1</v>
      </c>
      <c r="F452">
        <v>65</v>
      </c>
      <c r="G452" t="s">
        <v>2082</v>
      </c>
      <c r="H452" t="s">
        <v>346</v>
      </c>
      <c r="I452" t="s">
        <v>2117</v>
      </c>
    </row>
    <row r="453" spans="1:9" x14ac:dyDescent="0.35">
      <c r="A453">
        <v>646570</v>
      </c>
      <c r="B453" t="s">
        <v>203</v>
      </c>
      <c r="C453" s="1">
        <v>43488</v>
      </c>
      <c r="D453">
        <v>15038</v>
      </c>
      <c r="E453" t="b">
        <v>1</v>
      </c>
      <c r="F453">
        <v>65</v>
      </c>
      <c r="G453" t="s">
        <v>2082</v>
      </c>
      <c r="H453" t="s">
        <v>239</v>
      </c>
      <c r="I453" t="s">
        <v>2117</v>
      </c>
    </row>
    <row r="454" spans="1:9" x14ac:dyDescent="0.35">
      <c r="A454">
        <v>646570</v>
      </c>
      <c r="B454" t="s">
        <v>203</v>
      </c>
      <c r="C454" s="1">
        <v>43488</v>
      </c>
      <c r="D454">
        <v>15038</v>
      </c>
      <c r="E454" t="b">
        <v>1</v>
      </c>
      <c r="F454">
        <v>65</v>
      </c>
      <c r="G454" t="s">
        <v>2082</v>
      </c>
      <c r="H454" t="s">
        <v>132</v>
      </c>
      <c r="I454" t="s">
        <v>2117</v>
      </c>
    </row>
    <row r="455" spans="1:9" x14ac:dyDescent="0.35">
      <c r="A455">
        <v>646570</v>
      </c>
      <c r="B455" t="s">
        <v>203</v>
      </c>
      <c r="C455" s="1">
        <v>43488</v>
      </c>
      <c r="D455">
        <v>15038</v>
      </c>
      <c r="E455" t="b">
        <v>1</v>
      </c>
      <c r="F455">
        <v>65</v>
      </c>
      <c r="G455" t="s">
        <v>2082</v>
      </c>
      <c r="H455" t="s">
        <v>124</v>
      </c>
      <c r="I455" t="s">
        <v>2116</v>
      </c>
    </row>
    <row r="456" spans="1:9" x14ac:dyDescent="0.35">
      <c r="A456">
        <v>646570</v>
      </c>
      <c r="B456" t="s">
        <v>203</v>
      </c>
      <c r="C456" s="1">
        <v>43488</v>
      </c>
      <c r="D456">
        <v>15038</v>
      </c>
      <c r="E456" t="b">
        <v>1</v>
      </c>
      <c r="F456">
        <v>65</v>
      </c>
      <c r="G456" t="s">
        <v>2082</v>
      </c>
      <c r="H456" t="s">
        <v>1510</v>
      </c>
      <c r="I456" t="s">
        <v>2117</v>
      </c>
    </row>
    <row r="457" spans="1:9" x14ac:dyDescent="0.35">
      <c r="A457">
        <v>2358720</v>
      </c>
      <c r="B457" t="s">
        <v>206</v>
      </c>
      <c r="C457" s="1">
        <v>45523</v>
      </c>
      <c r="D457">
        <v>15004</v>
      </c>
      <c r="E457" t="b">
        <v>0</v>
      </c>
      <c r="F457">
        <v>66</v>
      </c>
      <c r="G457" t="s">
        <v>36</v>
      </c>
      <c r="H457" t="s">
        <v>49</v>
      </c>
      <c r="I457" t="s">
        <v>2116</v>
      </c>
    </row>
    <row r="458" spans="1:9" x14ac:dyDescent="0.35">
      <c r="A458">
        <v>2358720</v>
      </c>
      <c r="B458" t="s">
        <v>206</v>
      </c>
      <c r="C458" s="1">
        <v>45523</v>
      </c>
      <c r="D458">
        <v>15004</v>
      </c>
      <c r="E458" t="b">
        <v>0</v>
      </c>
      <c r="F458">
        <v>66</v>
      </c>
      <c r="G458" t="s">
        <v>36</v>
      </c>
      <c r="H458" t="s">
        <v>792</v>
      </c>
      <c r="I458" t="s">
        <v>2117</v>
      </c>
    </row>
    <row r="459" spans="1:9" x14ac:dyDescent="0.35">
      <c r="A459">
        <v>2358720</v>
      </c>
      <c r="B459" t="s">
        <v>206</v>
      </c>
      <c r="C459" s="1">
        <v>45523</v>
      </c>
      <c r="D459">
        <v>15004</v>
      </c>
      <c r="E459" t="b">
        <v>0</v>
      </c>
      <c r="F459">
        <v>66</v>
      </c>
      <c r="G459" t="s">
        <v>36</v>
      </c>
      <c r="H459" t="s">
        <v>346</v>
      </c>
      <c r="I459" t="s">
        <v>2116</v>
      </c>
    </row>
    <row r="460" spans="1:9" x14ac:dyDescent="0.35">
      <c r="A460">
        <v>2358720</v>
      </c>
      <c r="B460" t="s">
        <v>206</v>
      </c>
      <c r="C460" s="1">
        <v>45523</v>
      </c>
      <c r="D460">
        <v>15004</v>
      </c>
      <c r="E460" t="b">
        <v>0</v>
      </c>
      <c r="F460">
        <v>66</v>
      </c>
      <c r="G460" t="s">
        <v>36</v>
      </c>
      <c r="H460" t="s">
        <v>239</v>
      </c>
      <c r="I460" t="s">
        <v>2117</v>
      </c>
    </row>
    <row r="461" spans="1:9" x14ac:dyDescent="0.35">
      <c r="A461">
        <v>2358720</v>
      </c>
      <c r="B461" t="s">
        <v>206</v>
      </c>
      <c r="C461" s="1">
        <v>45523</v>
      </c>
      <c r="D461">
        <v>15004</v>
      </c>
      <c r="E461" t="b">
        <v>0</v>
      </c>
      <c r="F461">
        <v>66</v>
      </c>
      <c r="G461" t="s">
        <v>36</v>
      </c>
      <c r="H461" t="s">
        <v>132</v>
      </c>
      <c r="I461" t="s">
        <v>2116</v>
      </c>
    </row>
    <row r="462" spans="1:9" x14ac:dyDescent="0.35">
      <c r="A462">
        <v>2358720</v>
      </c>
      <c r="B462" t="s">
        <v>206</v>
      </c>
      <c r="C462" s="1">
        <v>45523</v>
      </c>
      <c r="D462">
        <v>15004</v>
      </c>
      <c r="E462" t="b">
        <v>0</v>
      </c>
      <c r="F462">
        <v>66</v>
      </c>
      <c r="G462" t="s">
        <v>36</v>
      </c>
      <c r="H462" t="s">
        <v>124</v>
      </c>
      <c r="I462" t="s">
        <v>2117</v>
      </c>
    </row>
    <row r="463" spans="1:9" x14ac:dyDescent="0.35">
      <c r="A463">
        <v>2358720</v>
      </c>
      <c r="B463" t="s">
        <v>206</v>
      </c>
      <c r="C463" s="1">
        <v>45523</v>
      </c>
      <c r="D463">
        <v>15004</v>
      </c>
      <c r="E463" t="b">
        <v>0</v>
      </c>
      <c r="F463">
        <v>66</v>
      </c>
      <c r="G463" t="s">
        <v>36</v>
      </c>
      <c r="H463" t="s">
        <v>1510</v>
      </c>
      <c r="I463" t="s">
        <v>2117</v>
      </c>
    </row>
    <row r="464" spans="1:9" x14ac:dyDescent="0.35">
      <c r="A464">
        <v>766570</v>
      </c>
      <c r="B464" t="s">
        <v>209</v>
      </c>
      <c r="C464" s="1">
        <v>44510</v>
      </c>
      <c r="D464">
        <v>14950</v>
      </c>
      <c r="E464" t="b">
        <v>0</v>
      </c>
      <c r="F464">
        <v>67</v>
      </c>
      <c r="G464" t="s">
        <v>53</v>
      </c>
      <c r="H464" t="s">
        <v>49</v>
      </c>
      <c r="I464" t="s">
        <v>2117</v>
      </c>
    </row>
    <row r="465" spans="1:9" x14ac:dyDescent="0.35">
      <c r="A465">
        <v>766570</v>
      </c>
      <c r="B465" t="s">
        <v>209</v>
      </c>
      <c r="C465" s="1">
        <v>44510</v>
      </c>
      <c r="D465">
        <v>14950</v>
      </c>
      <c r="E465" t="b">
        <v>0</v>
      </c>
      <c r="F465">
        <v>67</v>
      </c>
      <c r="G465" t="s">
        <v>53</v>
      </c>
      <c r="H465" t="s">
        <v>792</v>
      </c>
      <c r="I465" t="s">
        <v>2117</v>
      </c>
    </row>
    <row r="466" spans="1:9" x14ac:dyDescent="0.35">
      <c r="A466">
        <v>766570</v>
      </c>
      <c r="B466" t="s">
        <v>209</v>
      </c>
      <c r="C466" s="1">
        <v>44510</v>
      </c>
      <c r="D466">
        <v>14950</v>
      </c>
      <c r="E466" t="b">
        <v>0</v>
      </c>
      <c r="F466">
        <v>67</v>
      </c>
      <c r="G466" t="s">
        <v>53</v>
      </c>
      <c r="H466" t="s">
        <v>346</v>
      </c>
      <c r="I466" t="s">
        <v>2116</v>
      </c>
    </row>
    <row r="467" spans="1:9" x14ac:dyDescent="0.35">
      <c r="A467">
        <v>766570</v>
      </c>
      <c r="B467" t="s">
        <v>209</v>
      </c>
      <c r="C467" s="1">
        <v>44510</v>
      </c>
      <c r="D467">
        <v>14950</v>
      </c>
      <c r="E467" t="b">
        <v>0</v>
      </c>
      <c r="F467">
        <v>67</v>
      </c>
      <c r="G467" t="s">
        <v>53</v>
      </c>
      <c r="H467" t="s">
        <v>239</v>
      </c>
      <c r="I467" t="s">
        <v>2116</v>
      </c>
    </row>
    <row r="468" spans="1:9" x14ac:dyDescent="0.35">
      <c r="A468">
        <v>766570</v>
      </c>
      <c r="B468" t="s">
        <v>209</v>
      </c>
      <c r="C468" s="1">
        <v>44510</v>
      </c>
      <c r="D468">
        <v>14950</v>
      </c>
      <c r="E468" t="b">
        <v>0</v>
      </c>
      <c r="F468">
        <v>67</v>
      </c>
      <c r="G468" t="s">
        <v>53</v>
      </c>
      <c r="H468" t="s">
        <v>132</v>
      </c>
      <c r="I468" t="s">
        <v>2116</v>
      </c>
    </row>
    <row r="469" spans="1:9" x14ac:dyDescent="0.35">
      <c r="A469">
        <v>766570</v>
      </c>
      <c r="B469" t="s">
        <v>209</v>
      </c>
      <c r="C469" s="1">
        <v>44510</v>
      </c>
      <c r="D469">
        <v>14950</v>
      </c>
      <c r="E469" t="b">
        <v>0</v>
      </c>
      <c r="F469">
        <v>67</v>
      </c>
      <c r="G469" t="s">
        <v>53</v>
      </c>
      <c r="H469" t="s">
        <v>124</v>
      </c>
      <c r="I469" t="s">
        <v>2117</v>
      </c>
    </row>
    <row r="470" spans="1:9" x14ac:dyDescent="0.35">
      <c r="A470">
        <v>766570</v>
      </c>
      <c r="B470" t="s">
        <v>209</v>
      </c>
      <c r="C470" s="1">
        <v>44510</v>
      </c>
      <c r="D470">
        <v>14950</v>
      </c>
      <c r="E470" t="b">
        <v>0</v>
      </c>
      <c r="F470">
        <v>67</v>
      </c>
      <c r="G470" t="s">
        <v>53</v>
      </c>
      <c r="H470" t="s">
        <v>1510</v>
      </c>
      <c r="I470" t="s">
        <v>2116</v>
      </c>
    </row>
    <row r="471" spans="1:9" x14ac:dyDescent="0.35">
      <c r="A471">
        <v>1364780</v>
      </c>
      <c r="B471" t="s">
        <v>212</v>
      </c>
      <c r="C471" s="1">
        <v>45078</v>
      </c>
      <c r="D471">
        <v>14920</v>
      </c>
      <c r="E471" t="b">
        <v>0</v>
      </c>
      <c r="F471">
        <v>68</v>
      </c>
      <c r="G471" t="s">
        <v>119</v>
      </c>
      <c r="H471" t="s">
        <v>49</v>
      </c>
      <c r="I471" t="s">
        <v>2116</v>
      </c>
    </row>
    <row r="472" spans="1:9" x14ac:dyDescent="0.35">
      <c r="A472">
        <v>1364780</v>
      </c>
      <c r="B472" t="s">
        <v>212</v>
      </c>
      <c r="C472" s="1">
        <v>45078</v>
      </c>
      <c r="D472">
        <v>14920</v>
      </c>
      <c r="E472" t="b">
        <v>0</v>
      </c>
      <c r="F472">
        <v>68</v>
      </c>
      <c r="G472" t="s">
        <v>119</v>
      </c>
      <c r="H472" t="s">
        <v>792</v>
      </c>
      <c r="I472" t="s">
        <v>2117</v>
      </c>
    </row>
    <row r="473" spans="1:9" x14ac:dyDescent="0.35">
      <c r="A473">
        <v>1364780</v>
      </c>
      <c r="B473" t="s">
        <v>212</v>
      </c>
      <c r="C473" s="1">
        <v>45078</v>
      </c>
      <c r="D473">
        <v>14920</v>
      </c>
      <c r="E473" t="b">
        <v>0</v>
      </c>
      <c r="F473">
        <v>68</v>
      </c>
      <c r="G473" t="s">
        <v>119</v>
      </c>
      <c r="H473" t="s">
        <v>346</v>
      </c>
      <c r="I473" t="s">
        <v>2116</v>
      </c>
    </row>
    <row r="474" spans="1:9" x14ac:dyDescent="0.35">
      <c r="A474">
        <v>1364780</v>
      </c>
      <c r="B474" t="s">
        <v>212</v>
      </c>
      <c r="C474" s="1">
        <v>45078</v>
      </c>
      <c r="D474">
        <v>14920</v>
      </c>
      <c r="E474" t="b">
        <v>0</v>
      </c>
      <c r="F474">
        <v>68</v>
      </c>
      <c r="G474" t="s">
        <v>119</v>
      </c>
      <c r="H474" t="s">
        <v>239</v>
      </c>
      <c r="I474" t="s">
        <v>2117</v>
      </c>
    </row>
    <row r="475" spans="1:9" x14ac:dyDescent="0.35">
      <c r="A475">
        <v>1364780</v>
      </c>
      <c r="B475" t="s">
        <v>212</v>
      </c>
      <c r="C475" s="1">
        <v>45078</v>
      </c>
      <c r="D475">
        <v>14920</v>
      </c>
      <c r="E475" t="b">
        <v>0</v>
      </c>
      <c r="F475">
        <v>68</v>
      </c>
      <c r="G475" t="s">
        <v>119</v>
      </c>
      <c r="H475" t="s">
        <v>132</v>
      </c>
      <c r="I475" t="s">
        <v>2117</v>
      </c>
    </row>
    <row r="476" spans="1:9" x14ac:dyDescent="0.35">
      <c r="A476">
        <v>1364780</v>
      </c>
      <c r="B476" t="s">
        <v>212</v>
      </c>
      <c r="C476" s="1">
        <v>45078</v>
      </c>
      <c r="D476">
        <v>14920</v>
      </c>
      <c r="E476" t="b">
        <v>0</v>
      </c>
      <c r="F476">
        <v>68</v>
      </c>
      <c r="G476" t="s">
        <v>119</v>
      </c>
      <c r="H476" t="s">
        <v>124</v>
      </c>
      <c r="I476" t="s">
        <v>2117</v>
      </c>
    </row>
    <row r="477" spans="1:9" x14ac:dyDescent="0.35">
      <c r="A477">
        <v>1364780</v>
      </c>
      <c r="B477" t="s">
        <v>212</v>
      </c>
      <c r="C477" s="1">
        <v>45078</v>
      </c>
      <c r="D477">
        <v>14920</v>
      </c>
      <c r="E477" t="b">
        <v>0</v>
      </c>
      <c r="F477">
        <v>68</v>
      </c>
      <c r="G477" t="s">
        <v>119</v>
      </c>
      <c r="H477" t="s">
        <v>1510</v>
      </c>
      <c r="I477" t="s">
        <v>2117</v>
      </c>
    </row>
    <row r="478" spans="1:9" x14ac:dyDescent="0.35">
      <c r="A478">
        <v>250900</v>
      </c>
      <c r="B478" t="s">
        <v>214</v>
      </c>
      <c r="C478" s="1">
        <v>41947</v>
      </c>
      <c r="D478">
        <v>14904</v>
      </c>
      <c r="E478" t="b">
        <v>1</v>
      </c>
      <c r="F478">
        <v>69</v>
      </c>
      <c r="G478" t="s">
        <v>2083</v>
      </c>
      <c r="H478" t="s">
        <v>49</v>
      </c>
      <c r="I478" t="s">
        <v>2116</v>
      </c>
    </row>
    <row r="479" spans="1:9" x14ac:dyDescent="0.35">
      <c r="A479">
        <v>250900</v>
      </c>
      <c r="B479" t="s">
        <v>214</v>
      </c>
      <c r="C479" s="1">
        <v>41947</v>
      </c>
      <c r="D479">
        <v>14904</v>
      </c>
      <c r="E479" t="b">
        <v>1</v>
      </c>
      <c r="F479">
        <v>69</v>
      </c>
      <c r="G479" t="s">
        <v>2083</v>
      </c>
      <c r="H479" t="s">
        <v>792</v>
      </c>
      <c r="I479" t="s">
        <v>2117</v>
      </c>
    </row>
    <row r="480" spans="1:9" x14ac:dyDescent="0.35">
      <c r="A480">
        <v>250900</v>
      </c>
      <c r="B480" t="s">
        <v>214</v>
      </c>
      <c r="C480" s="1">
        <v>41947</v>
      </c>
      <c r="D480">
        <v>14904</v>
      </c>
      <c r="E480" t="b">
        <v>1</v>
      </c>
      <c r="F480">
        <v>69</v>
      </c>
      <c r="G480" t="s">
        <v>2083</v>
      </c>
      <c r="H480" t="s">
        <v>346</v>
      </c>
      <c r="I480" t="s">
        <v>2117</v>
      </c>
    </row>
    <row r="481" spans="1:9" x14ac:dyDescent="0.35">
      <c r="A481">
        <v>250900</v>
      </c>
      <c r="B481" t="s">
        <v>214</v>
      </c>
      <c r="C481" s="1">
        <v>41947</v>
      </c>
      <c r="D481">
        <v>14904</v>
      </c>
      <c r="E481" t="b">
        <v>1</v>
      </c>
      <c r="F481">
        <v>69</v>
      </c>
      <c r="G481" t="s">
        <v>2083</v>
      </c>
      <c r="H481" t="s">
        <v>239</v>
      </c>
      <c r="I481" t="s">
        <v>2117</v>
      </c>
    </row>
    <row r="482" spans="1:9" x14ac:dyDescent="0.35">
      <c r="A482">
        <v>250900</v>
      </c>
      <c r="B482" t="s">
        <v>214</v>
      </c>
      <c r="C482" s="1">
        <v>41947</v>
      </c>
      <c r="D482">
        <v>14904</v>
      </c>
      <c r="E482" t="b">
        <v>1</v>
      </c>
      <c r="F482">
        <v>69</v>
      </c>
      <c r="G482" t="s">
        <v>2083</v>
      </c>
      <c r="H482" t="s">
        <v>132</v>
      </c>
      <c r="I482" t="s">
        <v>2117</v>
      </c>
    </row>
    <row r="483" spans="1:9" x14ac:dyDescent="0.35">
      <c r="A483">
        <v>250900</v>
      </c>
      <c r="B483" t="s">
        <v>214</v>
      </c>
      <c r="C483" s="1">
        <v>41947</v>
      </c>
      <c r="D483">
        <v>14904</v>
      </c>
      <c r="E483" t="b">
        <v>1</v>
      </c>
      <c r="F483">
        <v>69</v>
      </c>
      <c r="G483" t="s">
        <v>2083</v>
      </c>
      <c r="H483" t="s">
        <v>124</v>
      </c>
      <c r="I483" t="s">
        <v>2117</v>
      </c>
    </row>
    <row r="484" spans="1:9" x14ac:dyDescent="0.35">
      <c r="A484">
        <v>250900</v>
      </c>
      <c r="B484" t="s">
        <v>214</v>
      </c>
      <c r="C484" s="1">
        <v>41947</v>
      </c>
      <c r="D484">
        <v>14904</v>
      </c>
      <c r="E484" t="b">
        <v>1</v>
      </c>
      <c r="F484">
        <v>69</v>
      </c>
      <c r="G484" t="s">
        <v>2083</v>
      </c>
      <c r="H484" t="s">
        <v>1510</v>
      </c>
      <c r="I484" t="s">
        <v>2117</v>
      </c>
    </row>
    <row r="485" spans="1:9" x14ac:dyDescent="0.35">
      <c r="A485">
        <v>261550</v>
      </c>
      <c r="B485" t="s">
        <v>216</v>
      </c>
      <c r="C485" s="1">
        <v>44859</v>
      </c>
      <c r="D485">
        <v>14477</v>
      </c>
      <c r="E485" t="b">
        <v>0</v>
      </c>
      <c r="F485">
        <v>70</v>
      </c>
      <c r="G485" t="s">
        <v>53</v>
      </c>
      <c r="H485" t="s">
        <v>49</v>
      </c>
      <c r="I485" t="s">
        <v>2116</v>
      </c>
    </row>
    <row r="486" spans="1:9" x14ac:dyDescent="0.35">
      <c r="A486">
        <v>261550</v>
      </c>
      <c r="B486" t="s">
        <v>216</v>
      </c>
      <c r="C486" s="1">
        <v>44859</v>
      </c>
      <c r="D486">
        <v>14477</v>
      </c>
      <c r="E486" t="b">
        <v>0</v>
      </c>
      <c r="F486">
        <v>70</v>
      </c>
      <c r="G486" t="s">
        <v>53</v>
      </c>
      <c r="H486" t="s">
        <v>792</v>
      </c>
      <c r="I486" t="s">
        <v>2116</v>
      </c>
    </row>
    <row r="487" spans="1:9" x14ac:dyDescent="0.35">
      <c r="A487">
        <v>261550</v>
      </c>
      <c r="B487" t="s">
        <v>216</v>
      </c>
      <c r="C487" s="1">
        <v>44859</v>
      </c>
      <c r="D487">
        <v>14477</v>
      </c>
      <c r="E487" t="b">
        <v>0</v>
      </c>
      <c r="F487">
        <v>70</v>
      </c>
      <c r="G487" t="s">
        <v>53</v>
      </c>
      <c r="H487" t="s">
        <v>346</v>
      </c>
      <c r="I487" t="s">
        <v>2117</v>
      </c>
    </row>
    <row r="488" spans="1:9" x14ac:dyDescent="0.35">
      <c r="A488">
        <v>261550</v>
      </c>
      <c r="B488" t="s">
        <v>216</v>
      </c>
      <c r="C488" s="1">
        <v>44859</v>
      </c>
      <c r="D488">
        <v>14477</v>
      </c>
      <c r="E488" t="b">
        <v>0</v>
      </c>
      <c r="F488">
        <v>70</v>
      </c>
      <c r="G488" t="s">
        <v>53</v>
      </c>
      <c r="H488" t="s">
        <v>239</v>
      </c>
      <c r="I488" t="s">
        <v>2116</v>
      </c>
    </row>
    <row r="489" spans="1:9" x14ac:dyDescent="0.35">
      <c r="A489">
        <v>261550</v>
      </c>
      <c r="B489" t="s">
        <v>216</v>
      </c>
      <c r="C489" s="1">
        <v>44859</v>
      </c>
      <c r="D489">
        <v>14477</v>
      </c>
      <c r="E489" t="b">
        <v>0</v>
      </c>
      <c r="F489">
        <v>70</v>
      </c>
      <c r="G489" t="s">
        <v>53</v>
      </c>
      <c r="H489" t="s">
        <v>132</v>
      </c>
      <c r="I489" t="s">
        <v>2116</v>
      </c>
    </row>
    <row r="490" spans="1:9" x14ac:dyDescent="0.35">
      <c r="A490">
        <v>261550</v>
      </c>
      <c r="B490" t="s">
        <v>216</v>
      </c>
      <c r="C490" s="1">
        <v>44859</v>
      </c>
      <c r="D490">
        <v>14477</v>
      </c>
      <c r="E490" t="b">
        <v>0</v>
      </c>
      <c r="F490">
        <v>70</v>
      </c>
      <c r="G490" t="s">
        <v>53</v>
      </c>
      <c r="H490" t="s">
        <v>124</v>
      </c>
      <c r="I490" t="s">
        <v>2116</v>
      </c>
    </row>
    <row r="491" spans="1:9" x14ac:dyDescent="0.35">
      <c r="A491">
        <v>261550</v>
      </c>
      <c r="B491" t="s">
        <v>216</v>
      </c>
      <c r="C491" s="1">
        <v>44859</v>
      </c>
      <c r="D491">
        <v>14477</v>
      </c>
      <c r="E491" t="b">
        <v>0</v>
      </c>
      <c r="F491">
        <v>70</v>
      </c>
      <c r="G491" t="s">
        <v>53</v>
      </c>
      <c r="H491" t="s">
        <v>1510</v>
      </c>
      <c r="I491" t="s">
        <v>2117</v>
      </c>
    </row>
    <row r="492" spans="1:9" x14ac:dyDescent="0.35">
      <c r="A492">
        <v>892970</v>
      </c>
      <c r="B492" t="s">
        <v>219</v>
      </c>
      <c r="C492" s="1">
        <v>44229</v>
      </c>
      <c r="D492">
        <v>14439</v>
      </c>
      <c r="E492" t="b">
        <v>1</v>
      </c>
      <c r="F492">
        <v>71</v>
      </c>
      <c r="G492" t="s">
        <v>18</v>
      </c>
      <c r="H492" t="s">
        <v>49</v>
      </c>
      <c r="I492" t="s">
        <v>2116</v>
      </c>
    </row>
    <row r="493" spans="1:9" x14ac:dyDescent="0.35">
      <c r="A493">
        <v>892970</v>
      </c>
      <c r="B493" t="s">
        <v>219</v>
      </c>
      <c r="C493" s="1">
        <v>44229</v>
      </c>
      <c r="D493">
        <v>14439</v>
      </c>
      <c r="E493" t="b">
        <v>1</v>
      </c>
      <c r="F493">
        <v>71</v>
      </c>
      <c r="G493" t="s">
        <v>18</v>
      </c>
      <c r="H493" t="s">
        <v>792</v>
      </c>
      <c r="I493" t="s">
        <v>2116</v>
      </c>
    </row>
    <row r="494" spans="1:9" x14ac:dyDescent="0.35">
      <c r="A494">
        <v>892970</v>
      </c>
      <c r="B494" t="s">
        <v>219</v>
      </c>
      <c r="C494" s="1">
        <v>44229</v>
      </c>
      <c r="D494">
        <v>14439</v>
      </c>
      <c r="E494" t="b">
        <v>1</v>
      </c>
      <c r="F494">
        <v>71</v>
      </c>
      <c r="G494" t="s">
        <v>18</v>
      </c>
      <c r="H494" t="s">
        <v>346</v>
      </c>
      <c r="I494" t="s">
        <v>2116</v>
      </c>
    </row>
    <row r="495" spans="1:9" x14ac:dyDescent="0.35">
      <c r="A495">
        <v>892970</v>
      </c>
      <c r="B495" t="s">
        <v>219</v>
      </c>
      <c r="C495" s="1">
        <v>44229</v>
      </c>
      <c r="D495">
        <v>14439</v>
      </c>
      <c r="E495" t="b">
        <v>1</v>
      </c>
      <c r="F495">
        <v>71</v>
      </c>
      <c r="G495" t="s">
        <v>18</v>
      </c>
      <c r="H495" t="s">
        <v>239</v>
      </c>
      <c r="I495" t="s">
        <v>2117</v>
      </c>
    </row>
    <row r="496" spans="1:9" x14ac:dyDescent="0.35">
      <c r="A496">
        <v>892970</v>
      </c>
      <c r="B496" t="s">
        <v>219</v>
      </c>
      <c r="C496" s="1">
        <v>44229</v>
      </c>
      <c r="D496">
        <v>14439</v>
      </c>
      <c r="E496" t="b">
        <v>1</v>
      </c>
      <c r="F496">
        <v>71</v>
      </c>
      <c r="G496" t="s">
        <v>18</v>
      </c>
      <c r="H496" t="s">
        <v>132</v>
      </c>
      <c r="I496" t="s">
        <v>2116</v>
      </c>
    </row>
    <row r="497" spans="1:9" x14ac:dyDescent="0.35">
      <c r="A497">
        <v>892970</v>
      </c>
      <c r="B497" t="s">
        <v>219</v>
      </c>
      <c r="C497" s="1">
        <v>44229</v>
      </c>
      <c r="D497">
        <v>14439</v>
      </c>
      <c r="E497" t="b">
        <v>1</v>
      </c>
      <c r="F497">
        <v>71</v>
      </c>
      <c r="G497" t="s">
        <v>18</v>
      </c>
      <c r="H497" t="s">
        <v>124</v>
      </c>
      <c r="I497" t="s">
        <v>2117</v>
      </c>
    </row>
    <row r="498" spans="1:9" x14ac:dyDescent="0.35">
      <c r="A498">
        <v>892970</v>
      </c>
      <c r="B498" t="s">
        <v>219</v>
      </c>
      <c r="C498" s="1">
        <v>44229</v>
      </c>
      <c r="D498">
        <v>14439</v>
      </c>
      <c r="E498" t="b">
        <v>1</v>
      </c>
      <c r="F498">
        <v>71</v>
      </c>
      <c r="G498" t="s">
        <v>18</v>
      </c>
      <c r="H498" t="s">
        <v>1510</v>
      </c>
      <c r="I498" t="s">
        <v>2117</v>
      </c>
    </row>
    <row r="499" spans="1:9" x14ac:dyDescent="0.35">
      <c r="A499">
        <v>2623190</v>
      </c>
      <c r="B499" t="s">
        <v>221</v>
      </c>
      <c r="C499" s="1">
        <v>45769</v>
      </c>
      <c r="D499">
        <v>14420</v>
      </c>
      <c r="E499" t="b">
        <v>0</v>
      </c>
      <c r="F499">
        <v>72</v>
      </c>
      <c r="G499" t="s">
        <v>223</v>
      </c>
      <c r="H499" t="s">
        <v>49</v>
      </c>
      <c r="I499" t="s">
        <v>2117</v>
      </c>
    </row>
    <row r="500" spans="1:9" x14ac:dyDescent="0.35">
      <c r="A500">
        <v>2623190</v>
      </c>
      <c r="B500" t="s">
        <v>221</v>
      </c>
      <c r="C500" s="1">
        <v>45769</v>
      </c>
      <c r="D500">
        <v>14420</v>
      </c>
      <c r="E500" t="b">
        <v>0</v>
      </c>
      <c r="F500">
        <v>72</v>
      </c>
      <c r="G500" t="s">
        <v>223</v>
      </c>
      <c r="H500" t="s">
        <v>792</v>
      </c>
      <c r="I500" t="s">
        <v>2117</v>
      </c>
    </row>
    <row r="501" spans="1:9" x14ac:dyDescent="0.35">
      <c r="A501">
        <v>2623190</v>
      </c>
      <c r="B501" t="s">
        <v>221</v>
      </c>
      <c r="C501" s="1">
        <v>45769</v>
      </c>
      <c r="D501">
        <v>14420</v>
      </c>
      <c r="E501" t="b">
        <v>0</v>
      </c>
      <c r="F501">
        <v>72</v>
      </c>
      <c r="G501" t="s">
        <v>223</v>
      </c>
      <c r="H501" t="s">
        <v>346</v>
      </c>
      <c r="I501" t="s">
        <v>2117</v>
      </c>
    </row>
    <row r="502" spans="1:9" x14ac:dyDescent="0.35">
      <c r="A502">
        <v>2623190</v>
      </c>
      <c r="B502" t="s">
        <v>221</v>
      </c>
      <c r="C502" s="1">
        <v>45769</v>
      </c>
      <c r="D502">
        <v>14420</v>
      </c>
      <c r="E502" t="b">
        <v>0</v>
      </c>
      <c r="F502">
        <v>72</v>
      </c>
      <c r="G502" t="s">
        <v>223</v>
      </c>
      <c r="H502" t="s">
        <v>239</v>
      </c>
      <c r="I502" t="s">
        <v>2117</v>
      </c>
    </row>
    <row r="503" spans="1:9" x14ac:dyDescent="0.35">
      <c r="A503">
        <v>2623190</v>
      </c>
      <c r="B503" t="s">
        <v>221</v>
      </c>
      <c r="C503" s="1">
        <v>45769</v>
      </c>
      <c r="D503">
        <v>14420</v>
      </c>
      <c r="E503" t="b">
        <v>0</v>
      </c>
      <c r="F503">
        <v>72</v>
      </c>
      <c r="G503" t="s">
        <v>223</v>
      </c>
      <c r="H503" t="s">
        <v>132</v>
      </c>
      <c r="I503" t="s">
        <v>2116</v>
      </c>
    </row>
    <row r="504" spans="1:9" x14ac:dyDescent="0.35">
      <c r="A504">
        <v>2623190</v>
      </c>
      <c r="B504" t="s">
        <v>221</v>
      </c>
      <c r="C504" s="1">
        <v>45769</v>
      </c>
      <c r="D504">
        <v>14420</v>
      </c>
      <c r="E504" t="b">
        <v>0</v>
      </c>
      <c r="F504">
        <v>72</v>
      </c>
      <c r="G504" t="s">
        <v>223</v>
      </c>
      <c r="H504" t="s">
        <v>124</v>
      </c>
      <c r="I504" t="s">
        <v>2117</v>
      </c>
    </row>
    <row r="505" spans="1:9" x14ac:dyDescent="0.35">
      <c r="A505">
        <v>2623190</v>
      </c>
      <c r="B505" t="s">
        <v>221</v>
      </c>
      <c r="C505" s="1">
        <v>45769</v>
      </c>
      <c r="D505">
        <v>14420</v>
      </c>
      <c r="E505" t="b">
        <v>0</v>
      </c>
      <c r="F505">
        <v>72</v>
      </c>
      <c r="G505" t="s">
        <v>223</v>
      </c>
      <c r="H505" t="s">
        <v>1510</v>
      </c>
      <c r="I505" t="s">
        <v>2117</v>
      </c>
    </row>
    <row r="506" spans="1:9" x14ac:dyDescent="0.35">
      <c r="A506">
        <v>582660</v>
      </c>
      <c r="B506" t="s">
        <v>224</v>
      </c>
      <c r="C506" s="1">
        <v>42879</v>
      </c>
      <c r="D506">
        <v>14345</v>
      </c>
      <c r="E506" t="b">
        <v>0</v>
      </c>
      <c r="F506">
        <v>73</v>
      </c>
      <c r="G506" t="s">
        <v>68</v>
      </c>
      <c r="H506" t="s">
        <v>49</v>
      </c>
      <c r="I506" t="s">
        <v>2116</v>
      </c>
    </row>
    <row r="507" spans="1:9" x14ac:dyDescent="0.35">
      <c r="A507">
        <v>582660</v>
      </c>
      <c r="B507" t="s">
        <v>224</v>
      </c>
      <c r="C507" s="1">
        <v>42879</v>
      </c>
      <c r="D507">
        <v>14345</v>
      </c>
      <c r="E507" t="b">
        <v>0</v>
      </c>
      <c r="F507">
        <v>73</v>
      </c>
      <c r="G507" t="s">
        <v>68</v>
      </c>
      <c r="H507" t="s">
        <v>792</v>
      </c>
      <c r="I507" t="s">
        <v>2117</v>
      </c>
    </row>
    <row r="508" spans="1:9" x14ac:dyDescent="0.35">
      <c r="A508">
        <v>582660</v>
      </c>
      <c r="B508" t="s">
        <v>224</v>
      </c>
      <c r="C508" s="1">
        <v>42879</v>
      </c>
      <c r="D508">
        <v>14345</v>
      </c>
      <c r="E508" t="b">
        <v>0</v>
      </c>
      <c r="F508">
        <v>73</v>
      </c>
      <c r="G508" t="s">
        <v>68</v>
      </c>
      <c r="H508" t="s">
        <v>346</v>
      </c>
      <c r="I508" t="s">
        <v>2116</v>
      </c>
    </row>
    <row r="509" spans="1:9" x14ac:dyDescent="0.35">
      <c r="A509">
        <v>582660</v>
      </c>
      <c r="B509" t="s">
        <v>224</v>
      </c>
      <c r="C509" s="1">
        <v>42879</v>
      </c>
      <c r="D509">
        <v>14345</v>
      </c>
      <c r="E509" t="b">
        <v>0</v>
      </c>
      <c r="F509">
        <v>73</v>
      </c>
      <c r="G509" t="s">
        <v>68</v>
      </c>
      <c r="H509" t="s">
        <v>239</v>
      </c>
      <c r="I509" t="s">
        <v>2117</v>
      </c>
    </row>
    <row r="510" spans="1:9" x14ac:dyDescent="0.35">
      <c r="A510">
        <v>582660</v>
      </c>
      <c r="B510" t="s">
        <v>224</v>
      </c>
      <c r="C510" s="1">
        <v>42879</v>
      </c>
      <c r="D510">
        <v>14345</v>
      </c>
      <c r="E510" t="b">
        <v>0</v>
      </c>
      <c r="F510">
        <v>73</v>
      </c>
      <c r="G510" t="s">
        <v>68</v>
      </c>
      <c r="H510" t="s">
        <v>132</v>
      </c>
      <c r="I510" t="s">
        <v>2116</v>
      </c>
    </row>
    <row r="511" spans="1:9" x14ac:dyDescent="0.35">
      <c r="A511">
        <v>582660</v>
      </c>
      <c r="B511" t="s">
        <v>224</v>
      </c>
      <c r="C511" s="1">
        <v>42879</v>
      </c>
      <c r="D511">
        <v>14345</v>
      </c>
      <c r="E511" t="b">
        <v>0</v>
      </c>
      <c r="F511">
        <v>73</v>
      </c>
      <c r="G511" t="s">
        <v>68</v>
      </c>
      <c r="H511" t="s">
        <v>124</v>
      </c>
      <c r="I511" t="s">
        <v>2116</v>
      </c>
    </row>
    <row r="512" spans="1:9" x14ac:dyDescent="0.35">
      <c r="A512">
        <v>582660</v>
      </c>
      <c r="B512" t="s">
        <v>224</v>
      </c>
      <c r="C512" s="1">
        <v>42879</v>
      </c>
      <c r="D512">
        <v>14345</v>
      </c>
      <c r="E512" t="b">
        <v>0</v>
      </c>
      <c r="F512">
        <v>73</v>
      </c>
      <c r="G512" t="s">
        <v>68</v>
      </c>
      <c r="H512" t="s">
        <v>1510</v>
      </c>
      <c r="I512" t="s">
        <v>2117</v>
      </c>
    </row>
    <row r="513" spans="1:9" x14ac:dyDescent="0.35">
      <c r="A513">
        <v>1158310</v>
      </c>
      <c r="B513" t="s">
        <v>227</v>
      </c>
      <c r="C513" s="1">
        <v>44075</v>
      </c>
      <c r="D513">
        <v>14302</v>
      </c>
      <c r="E513" t="b">
        <v>1</v>
      </c>
      <c r="F513">
        <v>74</v>
      </c>
      <c r="G513" t="s">
        <v>33</v>
      </c>
      <c r="H513" t="s">
        <v>49</v>
      </c>
      <c r="I513" t="s">
        <v>2117</v>
      </c>
    </row>
    <row r="514" spans="1:9" x14ac:dyDescent="0.35">
      <c r="A514">
        <v>1158310</v>
      </c>
      <c r="B514" t="s">
        <v>227</v>
      </c>
      <c r="C514" s="1">
        <v>44075</v>
      </c>
      <c r="D514">
        <v>14302</v>
      </c>
      <c r="E514" t="b">
        <v>1</v>
      </c>
      <c r="F514">
        <v>74</v>
      </c>
      <c r="G514" t="s">
        <v>33</v>
      </c>
      <c r="H514" t="s">
        <v>792</v>
      </c>
      <c r="I514" t="s">
        <v>2117</v>
      </c>
    </row>
    <row r="515" spans="1:9" x14ac:dyDescent="0.35">
      <c r="A515">
        <v>1158310</v>
      </c>
      <c r="B515" t="s">
        <v>227</v>
      </c>
      <c r="C515" s="1">
        <v>44075</v>
      </c>
      <c r="D515">
        <v>14302</v>
      </c>
      <c r="E515" t="b">
        <v>1</v>
      </c>
      <c r="F515">
        <v>74</v>
      </c>
      <c r="G515" t="s">
        <v>33</v>
      </c>
      <c r="H515" t="s">
        <v>346</v>
      </c>
      <c r="I515" t="s">
        <v>2117</v>
      </c>
    </row>
    <row r="516" spans="1:9" x14ac:dyDescent="0.35">
      <c r="A516">
        <v>1158310</v>
      </c>
      <c r="B516" t="s">
        <v>227</v>
      </c>
      <c r="C516" s="1">
        <v>44075</v>
      </c>
      <c r="D516">
        <v>14302</v>
      </c>
      <c r="E516" t="b">
        <v>1</v>
      </c>
      <c r="F516">
        <v>74</v>
      </c>
      <c r="G516" t="s">
        <v>33</v>
      </c>
      <c r="H516" t="s">
        <v>239</v>
      </c>
      <c r="I516" t="s">
        <v>2116</v>
      </c>
    </row>
    <row r="517" spans="1:9" x14ac:dyDescent="0.35">
      <c r="A517">
        <v>1158310</v>
      </c>
      <c r="B517" t="s">
        <v>227</v>
      </c>
      <c r="C517" s="1">
        <v>44075</v>
      </c>
      <c r="D517">
        <v>14302</v>
      </c>
      <c r="E517" t="b">
        <v>1</v>
      </c>
      <c r="F517">
        <v>74</v>
      </c>
      <c r="G517" t="s">
        <v>33</v>
      </c>
      <c r="H517" t="s">
        <v>132</v>
      </c>
      <c r="I517" t="s">
        <v>2116</v>
      </c>
    </row>
    <row r="518" spans="1:9" x14ac:dyDescent="0.35">
      <c r="A518">
        <v>1158310</v>
      </c>
      <c r="B518" t="s">
        <v>227</v>
      </c>
      <c r="C518" s="1">
        <v>44075</v>
      </c>
      <c r="D518">
        <v>14302</v>
      </c>
      <c r="E518" t="b">
        <v>1</v>
      </c>
      <c r="F518">
        <v>74</v>
      </c>
      <c r="G518" t="s">
        <v>33</v>
      </c>
      <c r="H518" t="s">
        <v>124</v>
      </c>
      <c r="I518" t="s">
        <v>2116</v>
      </c>
    </row>
    <row r="519" spans="1:9" x14ac:dyDescent="0.35">
      <c r="A519">
        <v>1158310</v>
      </c>
      <c r="B519" t="s">
        <v>227</v>
      </c>
      <c r="C519" s="1">
        <v>44075</v>
      </c>
      <c r="D519">
        <v>14302</v>
      </c>
      <c r="E519" t="b">
        <v>1</v>
      </c>
      <c r="F519">
        <v>74</v>
      </c>
      <c r="G519" t="s">
        <v>33</v>
      </c>
      <c r="H519" t="s">
        <v>1510</v>
      </c>
      <c r="I519" t="s">
        <v>2117</v>
      </c>
    </row>
    <row r="520" spans="1:9" x14ac:dyDescent="0.35">
      <c r="A520">
        <v>291550</v>
      </c>
      <c r="B520" t="s">
        <v>230</v>
      </c>
      <c r="C520" s="1">
        <v>43025</v>
      </c>
      <c r="D520">
        <v>14169</v>
      </c>
      <c r="E520" t="b">
        <v>1</v>
      </c>
      <c r="F520">
        <v>75</v>
      </c>
      <c r="G520" t="s">
        <v>110</v>
      </c>
      <c r="H520" t="s">
        <v>49</v>
      </c>
      <c r="I520" t="s">
        <v>2116</v>
      </c>
    </row>
    <row r="521" spans="1:9" x14ac:dyDescent="0.35">
      <c r="A521">
        <v>291550</v>
      </c>
      <c r="B521" t="s">
        <v>230</v>
      </c>
      <c r="C521" s="1">
        <v>43025</v>
      </c>
      <c r="D521">
        <v>14169</v>
      </c>
      <c r="E521" t="b">
        <v>1</v>
      </c>
      <c r="F521">
        <v>75</v>
      </c>
      <c r="G521" t="s">
        <v>110</v>
      </c>
      <c r="H521" t="s">
        <v>792</v>
      </c>
      <c r="I521" t="s">
        <v>2116</v>
      </c>
    </row>
    <row r="522" spans="1:9" x14ac:dyDescent="0.35">
      <c r="A522">
        <v>291550</v>
      </c>
      <c r="B522" t="s">
        <v>230</v>
      </c>
      <c r="C522" s="1">
        <v>43025</v>
      </c>
      <c r="D522">
        <v>14169</v>
      </c>
      <c r="E522" t="b">
        <v>1</v>
      </c>
      <c r="F522">
        <v>75</v>
      </c>
      <c r="G522" t="s">
        <v>110</v>
      </c>
      <c r="H522" t="s">
        <v>346</v>
      </c>
      <c r="I522" t="s">
        <v>2117</v>
      </c>
    </row>
    <row r="523" spans="1:9" x14ac:dyDescent="0.35">
      <c r="A523">
        <v>291550</v>
      </c>
      <c r="B523" t="s">
        <v>230</v>
      </c>
      <c r="C523" s="1">
        <v>43025</v>
      </c>
      <c r="D523">
        <v>14169</v>
      </c>
      <c r="E523" t="b">
        <v>1</v>
      </c>
      <c r="F523">
        <v>75</v>
      </c>
      <c r="G523" t="s">
        <v>110</v>
      </c>
      <c r="H523" t="s">
        <v>239</v>
      </c>
      <c r="I523" t="s">
        <v>2117</v>
      </c>
    </row>
    <row r="524" spans="1:9" x14ac:dyDescent="0.35">
      <c r="A524">
        <v>291550</v>
      </c>
      <c r="B524" t="s">
        <v>230</v>
      </c>
      <c r="C524" s="1">
        <v>43025</v>
      </c>
      <c r="D524">
        <v>14169</v>
      </c>
      <c r="E524" t="b">
        <v>1</v>
      </c>
      <c r="F524">
        <v>75</v>
      </c>
      <c r="G524" t="s">
        <v>110</v>
      </c>
      <c r="H524" t="s">
        <v>132</v>
      </c>
      <c r="I524" t="s">
        <v>2117</v>
      </c>
    </row>
    <row r="525" spans="1:9" x14ac:dyDescent="0.35">
      <c r="A525">
        <v>291550</v>
      </c>
      <c r="B525" t="s">
        <v>230</v>
      </c>
      <c r="C525" s="1">
        <v>43025</v>
      </c>
      <c r="D525">
        <v>14169</v>
      </c>
      <c r="E525" t="b">
        <v>1</v>
      </c>
      <c r="F525">
        <v>75</v>
      </c>
      <c r="G525" t="s">
        <v>110</v>
      </c>
      <c r="H525" t="s">
        <v>124</v>
      </c>
      <c r="I525" t="s">
        <v>2117</v>
      </c>
    </row>
    <row r="526" spans="1:9" x14ac:dyDescent="0.35">
      <c r="A526">
        <v>291550</v>
      </c>
      <c r="B526" t="s">
        <v>230</v>
      </c>
      <c r="C526" s="1">
        <v>43025</v>
      </c>
      <c r="D526">
        <v>14169</v>
      </c>
      <c r="E526" t="b">
        <v>1</v>
      </c>
      <c r="F526">
        <v>75</v>
      </c>
      <c r="G526" t="s">
        <v>110</v>
      </c>
      <c r="H526" t="s">
        <v>1510</v>
      </c>
      <c r="I526" t="s">
        <v>2116</v>
      </c>
    </row>
    <row r="527" spans="1:9" x14ac:dyDescent="0.35">
      <c r="A527">
        <v>281990</v>
      </c>
      <c r="B527" t="s">
        <v>233</v>
      </c>
      <c r="C527" s="1">
        <v>42499</v>
      </c>
      <c r="D527">
        <v>13727</v>
      </c>
      <c r="E527" t="b">
        <v>1</v>
      </c>
      <c r="F527">
        <v>76</v>
      </c>
      <c r="G527" t="s">
        <v>2093</v>
      </c>
      <c r="H527" t="s">
        <v>49</v>
      </c>
      <c r="I527" t="s">
        <v>2117</v>
      </c>
    </row>
    <row r="528" spans="1:9" x14ac:dyDescent="0.35">
      <c r="A528">
        <v>281990</v>
      </c>
      <c r="B528" t="s">
        <v>233</v>
      </c>
      <c r="C528" s="1">
        <v>42499</v>
      </c>
      <c r="D528">
        <v>13727</v>
      </c>
      <c r="E528" t="b">
        <v>1</v>
      </c>
      <c r="F528">
        <v>76</v>
      </c>
      <c r="G528" t="s">
        <v>2093</v>
      </c>
      <c r="H528" t="s">
        <v>792</v>
      </c>
      <c r="I528" t="s">
        <v>2117</v>
      </c>
    </row>
    <row r="529" spans="1:9" x14ac:dyDescent="0.35">
      <c r="A529">
        <v>281990</v>
      </c>
      <c r="B529" t="s">
        <v>233</v>
      </c>
      <c r="C529" s="1">
        <v>42499</v>
      </c>
      <c r="D529">
        <v>13727</v>
      </c>
      <c r="E529" t="b">
        <v>1</v>
      </c>
      <c r="F529">
        <v>76</v>
      </c>
      <c r="G529" t="s">
        <v>2093</v>
      </c>
      <c r="H529" t="s">
        <v>346</v>
      </c>
      <c r="I529" t="s">
        <v>2117</v>
      </c>
    </row>
    <row r="530" spans="1:9" x14ac:dyDescent="0.35">
      <c r="A530">
        <v>281990</v>
      </c>
      <c r="B530" t="s">
        <v>233</v>
      </c>
      <c r="C530" s="1">
        <v>42499</v>
      </c>
      <c r="D530">
        <v>13727</v>
      </c>
      <c r="E530" t="b">
        <v>1</v>
      </c>
      <c r="F530">
        <v>76</v>
      </c>
      <c r="G530" t="s">
        <v>2093</v>
      </c>
      <c r="H530" t="s">
        <v>239</v>
      </c>
      <c r="I530" t="s">
        <v>2116</v>
      </c>
    </row>
    <row r="531" spans="1:9" x14ac:dyDescent="0.35">
      <c r="A531">
        <v>281990</v>
      </c>
      <c r="B531" t="s">
        <v>233</v>
      </c>
      <c r="C531" s="1">
        <v>42499</v>
      </c>
      <c r="D531">
        <v>13727</v>
      </c>
      <c r="E531" t="b">
        <v>1</v>
      </c>
      <c r="F531">
        <v>76</v>
      </c>
      <c r="G531" t="s">
        <v>2093</v>
      </c>
      <c r="H531" t="s">
        <v>132</v>
      </c>
      <c r="I531" t="s">
        <v>2117</v>
      </c>
    </row>
    <row r="532" spans="1:9" x14ac:dyDescent="0.35">
      <c r="A532">
        <v>281990</v>
      </c>
      <c r="B532" t="s">
        <v>233</v>
      </c>
      <c r="C532" s="1">
        <v>42499</v>
      </c>
      <c r="D532">
        <v>13727</v>
      </c>
      <c r="E532" t="b">
        <v>1</v>
      </c>
      <c r="F532">
        <v>76</v>
      </c>
      <c r="G532" t="s">
        <v>2093</v>
      </c>
      <c r="H532" t="s">
        <v>124</v>
      </c>
      <c r="I532" t="s">
        <v>2116</v>
      </c>
    </row>
    <row r="533" spans="1:9" x14ac:dyDescent="0.35">
      <c r="A533">
        <v>281990</v>
      </c>
      <c r="B533" t="s">
        <v>233</v>
      </c>
      <c r="C533" s="1">
        <v>42499</v>
      </c>
      <c r="D533">
        <v>13727</v>
      </c>
      <c r="E533" t="b">
        <v>1</v>
      </c>
      <c r="F533">
        <v>76</v>
      </c>
      <c r="G533" t="s">
        <v>2093</v>
      </c>
      <c r="H533" t="s">
        <v>1510</v>
      </c>
      <c r="I533" t="s">
        <v>2117</v>
      </c>
    </row>
    <row r="534" spans="1:9" x14ac:dyDescent="0.35">
      <c r="A534">
        <v>813780</v>
      </c>
      <c r="B534" t="s">
        <v>235</v>
      </c>
      <c r="C534" s="1">
        <v>43783</v>
      </c>
      <c r="D534">
        <v>13465</v>
      </c>
      <c r="E534" t="b">
        <v>0</v>
      </c>
      <c r="F534">
        <v>77</v>
      </c>
      <c r="G534" t="s">
        <v>110</v>
      </c>
      <c r="H534" t="s">
        <v>49</v>
      </c>
      <c r="I534" t="s">
        <v>2117</v>
      </c>
    </row>
    <row r="535" spans="1:9" x14ac:dyDescent="0.35">
      <c r="A535">
        <v>813780</v>
      </c>
      <c r="B535" t="s">
        <v>235</v>
      </c>
      <c r="C535" s="1">
        <v>43783</v>
      </c>
      <c r="D535">
        <v>13465</v>
      </c>
      <c r="E535" t="b">
        <v>0</v>
      </c>
      <c r="F535">
        <v>77</v>
      </c>
      <c r="G535" t="s">
        <v>110</v>
      </c>
      <c r="H535" t="s">
        <v>792</v>
      </c>
      <c r="I535" t="s">
        <v>2117</v>
      </c>
    </row>
    <row r="536" spans="1:9" x14ac:dyDescent="0.35">
      <c r="A536">
        <v>813780</v>
      </c>
      <c r="B536" t="s">
        <v>235</v>
      </c>
      <c r="C536" s="1">
        <v>43783</v>
      </c>
      <c r="D536">
        <v>13465</v>
      </c>
      <c r="E536" t="b">
        <v>0</v>
      </c>
      <c r="F536">
        <v>77</v>
      </c>
      <c r="G536" t="s">
        <v>110</v>
      </c>
      <c r="H536" t="s">
        <v>346</v>
      </c>
      <c r="I536" t="s">
        <v>2117</v>
      </c>
    </row>
    <row r="537" spans="1:9" x14ac:dyDescent="0.35">
      <c r="A537">
        <v>813780</v>
      </c>
      <c r="B537" t="s">
        <v>235</v>
      </c>
      <c r="C537" s="1">
        <v>43783</v>
      </c>
      <c r="D537">
        <v>13465</v>
      </c>
      <c r="E537" t="b">
        <v>0</v>
      </c>
      <c r="F537">
        <v>77</v>
      </c>
      <c r="G537" t="s">
        <v>110</v>
      </c>
      <c r="H537" t="s">
        <v>239</v>
      </c>
      <c r="I537" t="s">
        <v>2117</v>
      </c>
    </row>
    <row r="538" spans="1:9" x14ac:dyDescent="0.35">
      <c r="A538">
        <v>813780</v>
      </c>
      <c r="B538" t="s">
        <v>235</v>
      </c>
      <c r="C538" s="1">
        <v>43783</v>
      </c>
      <c r="D538">
        <v>13465</v>
      </c>
      <c r="E538" t="b">
        <v>0</v>
      </c>
      <c r="F538">
        <v>77</v>
      </c>
      <c r="G538" t="s">
        <v>110</v>
      </c>
      <c r="H538" t="s">
        <v>132</v>
      </c>
      <c r="I538" t="s">
        <v>2117</v>
      </c>
    </row>
    <row r="539" spans="1:9" x14ac:dyDescent="0.35">
      <c r="A539">
        <v>813780</v>
      </c>
      <c r="B539" t="s">
        <v>235</v>
      </c>
      <c r="C539" s="1">
        <v>43783</v>
      </c>
      <c r="D539">
        <v>13465</v>
      </c>
      <c r="E539" t="b">
        <v>0</v>
      </c>
      <c r="F539">
        <v>77</v>
      </c>
      <c r="G539" t="s">
        <v>110</v>
      </c>
      <c r="H539" t="s">
        <v>124</v>
      </c>
      <c r="I539" t="s">
        <v>2116</v>
      </c>
    </row>
    <row r="540" spans="1:9" x14ac:dyDescent="0.35">
      <c r="A540">
        <v>813780</v>
      </c>
      <c r="B540" t="s">
        <v>235</v>
      </c>
      <c r="C540" s="1">
        <v>43783</v>
      </c>
      <c r="D540">
        <v>13465</v>
      </c>
      <c r="E540" t="b">
        <v>0</v>
      </c>
      <c r="F540">
        <v>77</v>
      </c>
      <c r="G540" t="s">
        <v>110</v>
      </c>
      <c r="H540" t="s">
        <v>1510</v>
      </c>
      <c r="I540" t="s">
        <v>2117</v>
      </c>
    </row>
    <row r="541" spans="1:9" x14ac:dyDescent="0.35">
      <c r="A541">
        <v>2300320</v>
      </c>
      <c r="B541" t="s">
        <v>237</v>
      </c>
      <c r="C541" s="1">
        <v>45608</v>
      </c>
      <c r="D541">
        <v>13431</v>
      </c>
      <c r="E541" t="b">
        <v>1</v>
      </c>
      <c r="F541">
        <v>78</v>
      </c>
      <c r="G541" t="s">
        <v>119</v>
      </c>
      <c r="H541" t="s">
        <v>49</v>
      </c>
      <c r="I541" t="s">
        <v>2117</v>
      </c>
    </row>
    <row r="542" spans="1:9" x14ac:dyDescent="0.35">
      <c r="A542">
        <v>2300320</v>
      </c>
      <c r="B542" t="s">
        <v>237</v>
      </c>
      <c r="C542" s="1">
        <v>45608</v>
      </c>
      <c r="D542">
        <v>13431</v>
      </c>
      <c r="E542" t="b">
        <v>1</v>
      </c>
      <c r="F542">
        <v>78</v>
      </c>
      <c r="G542" t="s">
        <v>119</v>
      </c>
      <c r="H542" t="s">
        <v>792</v>
      </c>
      <c r="I542" t="s">
        <v>2117</v>
      </c>
    </row>
    <row r="543" spans="1:9" x14ac:dyDescent="0.35">
      <c r="A543">
        <v>2300320</v>
      </c>
      <c r="B543" t="s">
        <v>237</v>
      </c>
      <c r="C543" s="1">
        <v>45608</v>
      </c>
      <c r="D543">
        <v>13431</v>
      </c>
      <c r="E543" t="b">
        <v>1</v>
      </c>
      <c r="F543">
        <v>78</v>
      </c>
      <c r="G543" t="s">
        <v>119</v>
      </c>
      <c r="H543" t="s">
        <v>346</v>
      </c>
      <c r="I543" t="s">
        <v>2117</v>
      </c>
    </row>
    <row r="544" spans="1:9" x14ac:dyDescent="0.35">
      <c r="A544">
        <v>2300320</v>
      </c>
      <c r="B544" t="s">
        <v>237</v>
      </c>
      <c r="C544" s="1">
        <v>45608</v>
      </c>
      <c r="D544">
        <v>13431</v>
      </c>
      <c r="E544" t="b">
        <v>1</v>
      </c>
      <c r="F544">
        <v>78</v>
      </c>
      <c r="G544" t="s">
        <v>119</v>
      </c>
      <c r="H544" t="s">
        <v>239</v>
      </c>
      <c r="I544" t="s">
        <v>2116</v>
      </c>
    </row>
    <row r="545" spans="1:9" x14ac:dyDescent="0.35">
      <c r="A545">
        <v>2300320</v>
      </c>
      <c r="B545" t="s">
        <v>237</v>
      </c>
      <c r="C545" s="1">
        <v>45608</v>
      </c>
      <c r="D545">
        <v>13431</v>
      </c>
      <c r="E545" t="b">
        <v>1</v>
      </c>
      <c r="F545">
        <v>78</v>
      </c>
      <c r="G545" t="s">
        <v>119</v>
      </c>
      <c r="H545" t="s">
        <v>132</v>
      </c>
      <c r="I545" t="s">
        <v>2117</v>
      </c>
    </row>
    <row r="546" spans="1:9" x14ac:dyDescent="0.35">
      <c r="A546">
        <v>2300320</v>
      </c>
      <c r="B546" t="s">
        <v>237</v>
      </c>
      <c r="C546" s="1">
        <v>45608</v>
      </c>
      <c r="D546">
        <v>13431</v>
      </c>
      <c r="E546" t="b">
        <v>1</v>
      </c>
      <c r="F546">
        <v>78</v>
      </c>
      <c r="G546" t="s">
        <v>119</v>
      </c>
      <c r="H546" t="s">
        <v>124</v>
      </c>
      <c r="I546" t="s">
        <v>2117</v>
      </c>
    </row>
    <row r="547" spans="1:9" x14ac:dyDescent="0.35">
      <c r="A547">
        <v>2300320</v>
      </c>
      <c r="B547" t="s">
        <v>237</v>
      </c>
      <c r="C547" s="1">
        <v>45608</v>
      </c>
      <c r="D547">
        <v>13431</v>
      </c>
      <c r="E547" t="b">
        <v>1</v>
      </c>
      <c r="F547">
        <v>78</v>
      </c>
      <c r="G547" t="s">
        <v>119</v>
      </c>
      <c r="H547" t="s">
        <v>1510</v>
      </c>
      <c r="I547" t="s">
        <v>2117</v>
      </c>
    </row>
    <row r="548" spans="1:9" x14ac:dyDescent="0.35">
      <c r="A548">
        <v>1665460</v>
      </c>
      <c r="B548" t="s">
        <v>240</v>
      </c>
      <c r="C548" s="1">
        <v>44468</v>
      </c>
      <c r="D548">
        <v>13404</v>
      </c>
      <c r="E548" t="b">
        <v>0</v>
      </c>
      <c r="F548">
        <v>79</v>
      </c>
      <c r="G548" t="s">
        <v>53</v>
      </c>
      <c r="H548" t="s">
        <v>49</v>
      </c>
      <c r="I548" t="s">
        <v>2117</v>
      </c>
    </row>
    <row r="549" spans="1:9" x14ac:dyDescent="0.35">
      <c r="A549">
        <v>1665460</v>
      </c>
      <c r="B549" t="s">
        <v>240</v>
      </c>
      <c r="C549" s="1">
        <v>44468</v>
      </c>
      <c r="D549">
        <v>13404</v>
      </c>
      <c r="E549" t="b">
        <v>0</v>
      </c>
      <c r="F549">
        <v>79</v>
      </c>
      <c r="G549" t="s">
        <v>53</v>
      </c>
      <c r="H549" t="s">
        <v>792</v>
      </c>
      <c r="I549" t="s">
        <v>2117</v>
      </c>
    </row>
    <row r="550" spans="1:9" x14ac:dyDescent="0.35">
      <c r="A550">
        <v>1665460</v>
      </c>
      <c r="B550" t="s">
        <v>240</v>
      </c>
      <c r="C550" s="1">
        <v>44468</v>
      </c>
      <c r="D550">
        <v>13404</v>
      </c>
      <c r="E550" t="b">
        <v>0</v>
      </c>
      <c r="F550">
        <v>79</v>
      </c>
      <c r="G550" t="s">
        <v>53</v>
      </c>
      <c r="H550" t="s">
        <v>346</v>
      </c>
      <c r="I550" t="s">
        <v>2117</v>
      </c>
    </row>
    <row r="551" spans="1:9" x14ac:dyDescent="0.35">
      <c r="A551">
        <v>1665460</v>
      </c>
      <c r="B551" t="s">
        <v>240</v>
      </c>
      <c r="C551" s="1">
        <v>44468</v>
      </c>
      <c r="D551">
        <v>13404</v>
      </c>
      <c r="E551" t="b">
        <v>0</v>
      </c>
      <c r="F551">
        <v>79</v>
      </c>
      <c r="G551" t="s">
        <v>53</v>
      </c>
      <c r="H551" t="s">
        <v>239</v>
      </c>
      <c r="I551" t="s">
        <v>2116</v>
      </c>
    </row>
    <row r="552" spans="1:9" x14ac:dyDescent="0.35">
      <c r="A552">
        <v>1665460</v>
      </c>
      <c r="B552" t="s">
        <v>240</v>
      </c>
      <c r="C552" s="1">
        <v>44468</v>
      </c>
      <c r="D552">
        <v>13404</v>
      </c>
      <c r="E552" t="b">
        <v>0</v>
      </c>
      <c r="F552">
        <v>79</v>
      </c>
      <c r="G552" t="s">
        <v>53</v>
      </c>
      <c r="H552" t="s">
        <v>132</v>
      </c>
      <c r="I552" t="s">
        <v>2117</v>
      </c>
    </row>
    <row r="553" spans="1:9" x14ac:dyDescent="0.35">
      <c r="A553">
        <v>1665460</v>
      </c>
      <c r="B553" t="s">
        <v>240</v>
      </c>
      <c r="C553" s="1">
        <v>44468</v>
      </c>
      <c r="D553">
        <v>13404</v>
      </c>
      <c r="E553" t="b">
        <v>0</v>
      </c>
      <c r="F553">
        <v>79</v>
      </c>
      <c r="G553" t="s">
        <v>53</v>
      </c>
      <c r="H553" t="s">
        <v>124</v>
      </c>
      <c r="I553" t="s">
        <v>2117</v>
      </c>
    </row>
    <row r="554" spans="1:9" x14ac:dyDescent="0.35">
      <c r="A554">
        <v>1665460</v>
      </c>
      <c r="B554" t="s">
        <v>240</v>
      </c>
      <c r="C554" s="1">
        <v>44468</v>
      </c>
      <c r="D554">
        <v>13404</v>
      </c>
      <c r="E554" t="b">
        <v>0</v>
      </c>
      <c r="F554">
        <v>79</v>
      </c>
      <c r="G554" t="s">
        <v>53</v>
      </c>
      <c r="H554" t="s">
        <v>1510</v>
      </c>
      <c r="I554" t="s">
        <v>2116</v>
      </c>
    </row>
    <row r="555" spans="1:9" x14ac:dyDescent="0.35">
      <c r="A555">
        <v>526870</v>
      </c>
      <c r="B555" t="s">
        <v>243</v>
      </c>
      <c r="C555" s="1">
        <v>45545</v>
      </c>
      <c r="D555">
        <v>12596</v>
      </c>
      <c r="E555" t="b">
        <v>0</v>
      </c>
      <c r="F555">
        <v>80</v>
      </c>
      <c r="G555" t="s">
        <v>119</v>
      </c>
      <c r="H555" t="s">
        <v>49</v>
      </c>
      <c r="I555" t="s">
        <v>2117</v>
      </c>
    </row>
    <row r="556" spans="1:9" x14ac:dyDescent="0.35">
      <c r="A556">
        <v>526870</v>
      </c>
      <c r="B556" t="s">
        <v>243</v>
      </c>
      <c r="C556" s="1">
        <v>45545</v>
      </c>
      <c r="D556">
        <v>12596</v>
      </c>
      <c r="E556" t="b">
        <v>0</v>
      </c>
      <c r="F556">
        <v>80</v>
      </c>
      <c r="G556" t="s">
        <v>119</v>
      </c>
      <c r="H556" t="s">
        <v>792</v>
      </c>
      <c r="I556" t="s">
        <v>2116</v>
      </c>
    </row>
    <row r="557" spans="1:9" x14ac:dyDescent="0.35">
      <c r="A557">
        <v>526870</v>
      </c>
      <c r="B557" t="s">
        <v>243</v>
      </c>
      <c r="C557" s="1">
        <v>45545</v>
      </c>
      <c r="D557">
        <v>12596</v>
      </c>
      <c r="E557" t="b">
        <v>0</v>
      </c>
      <c r="F557">
        <v>80</v>
      </c>
      <c r="G557" t="s">
        <v>119</v>
      </c>
      <c r="H557" t="s">
        <v>346</v>
      </c>
      <c r="I557" t="s">
        <v>2116</v>
      </c>
    </row>
    <row r="558" spans="1:9" x14ac:dyDescent="0.35">
      <c r="A558">
        <v>526870</v>
      </c>
      <c r="B558" t="s">
        <v>243</v>
      </c>
      <c r="C558" s="1">
        <v>45545</v>
      </c>
      <c r="D558">
        <v>12596</v>
      </c>
      <c r="E558" t="b">
        <v>0</v>
      </c>
      <c r="F558">
        <v>80</v>
      </c>
      <c r="G558" t="s">
        <v>119</v>
      </c>
      <c r="H558" t="s">
        <v>239</v>
      </c>
      <c r="I558" t="s">
        <v>2116</v>
      </c>
    </row>
    <row r="559" spans="1:9" x14ac:dyDescent="0.35">
      <c r="A559">
        <v>526870</v>
      </c>
      <c r="B559" t="s">
        <v>243</v>
      </c>
      <c r="C559" s="1">
        <v>45545</v>
      </c>
      <c r="D559">
        <v>12596</v>
      </c>
      <c r="E559" t="b">
        <v>0</v>
      </c>
      <c r="F559">
        <v>80</v>
      </c>
      <c r="G559" t="s">
        <v>119</v>
      </c>
      <c r="H559" t="s">
        <v>132</v>
      </c>
      <c r="I559" t="s">
        <v>2117</v>
      </c>
    </row>
    <row r="560" spans="1:9" x14ac:dyDescent="0.35">
      <c r="A560">
        <v>526870</v>
      </c>
      <c r="B560" t="s">
        <v>243</v>
      </c>
      <c r="C560" s="1">
        <v>45545</v>
      </c>
      <c r="D560">
        <v>12596</v>
      </c>
      <c r="E560" t="b">
        <v>0</v>
      </c>
      <c r="F560">
        <v>80</v>
      </c>
      <c r="G560" t="s">
        <v>119</v>
      </c>
      <c r="H560" t="s">
        <v>124</v>
      </c>
      <c r="I560" t="s">
        <v>2116</v>
      </c>
    </row>
    <row r="561" spans="1:9" x14ac:dyDescent="0.35">
      <c r="A561">
        <v>526870</v>
      </c>
      <c r="B561" t="s">
        <v>243</v>
      </c>
      <c r="C561" s="1">
        <v>45545</v>
      </c>
      <c r="D561">
        <v>12596</v>
      </c>
      <c r="E561" t="b">
        <v>0</v>
      </c>
      <c r="F561">
        <v>80</v>
      </c>
      <c r="G561" t="s">
        <v>119</v>
      </c>
      <c r="H561" t="s">
        <v>1510</v>
      </c>
      <c r="I561" t="s">
        <v>2117</v>
      </c>
    </row>
    <row r="562" spans="1:9" x14ac:dyDescent="0.35">
      <c r="A562">
        <v>2246340</v>
      </c>
      <c r="B562" t="s">
        <v>246</v>
      </c>
      <c r="C562" s="1">
        <v>45715</v>
      </c>
      <c r="D562">
        <v>12494</v>
      </c>
      <c r="E562" t="b">
        <v>0</v>
      </c>
      <c r="F562">
        <v>81</v>
      </c>
      <c r="G562" t="s">
        <v>147</v>
      </c>
      <c r="H562" t="s">
        <v>49</v>
      </c>
      <c r="I562" t="s">
        <v>2116</v>
      </c>
    </row>
    <row r="563" spans="1:9" x14ac:dyDescent="0.35">
      <c r="A563">
        <v>2246340</v>
      </c>
      <c r="B563" t="s">
        <v>246</v>
      </c>
      <c r="C563" s="1">
        <v>45715</v>
      </c>
      <c r="D563">
        <v>12494</v>
      </c>
      <c r="E563" t="b">
        <v>0</v>
      </c>
      <c r="F563">
        <v>81</v>
      </c>
      <c r="G563" t="s">
        <v>147</v>
      </c>
      <c r="H563" t="s">
        <v>792</v>
      </c>
      <c r="I563" t="s">
        <v>2117</v>
      </c>
    </row>
    <row r="564" spans="1:9" x14ac:dyDescent="0.35">
      <c r="A564">
        <v>2246340</v>
      </c>
      <c r="B564" t="s">
        <v>246</v>
      </c>
      <c r="C564" s="1">
        <v>45715</v>
      </c>
      <c r="D564">
        <v>12494</v>
      </c>
      <c r="E564" t="b">
        <v>0</v>
      </c>
      <c r="F564">
        <v>81</v>
      </c>
      <c r="G564" t="s">
        <v>147</v>
      </c>
      <c r="H564" t="s">
        <v>346</v>
      </c>
      <c r="I564" t="s">
        <v>2116</v>
      </c>
    </row>
    <row r="565" spans="1:9" x14ac:dyDescent="0.35">
      <c r="A565">
        <v>2246340</v>
      </c>
      <c r="B565" t="s">
        <v>246</v>
      </c>
      <c r="C565" s="1">
        <v>45715</v>
      </c>
      <c r="D565">
        <v>12494</v>
      </c>
      <c r="E565" t="b">
        <v>0</v>
      </c>
      <c r="F565">
        <v>81</v>
      </c>
      <c r="G565" t="s">
        <v>147</v>
      </c>
      <c r="H565" t="s">
        <v>239</v>
      </c>
      <c r="I565" t="s">
        <v>2117</v>
      </c>
    </row>
    <row r="566" spans="1:9" x14ac:dyDescent="0.35">
      <c r="A566">
        <v>2246340</v>
      </c>
      <c r="B566" t="s">
        <v>246</v>
      </c>
      <c r="C566" s="1">
        <v>45715</v>
      </c>
      <c r="D566">
        <v>12494</v>
      </c>
      <c r="E566" t="b">
        <v>0</v>
      </c>
      <c r="F566">
        <v>81</v>
      </c>
      <c r="G566" t="s">
        <v>147</v>
      </c>
      <c r="H566" t="s">
        <v>132</v>
      </c>
      <c r="I566" t="s">
        <v>2116</v>
      </c>
    </row>
    <row r="567" spans="1:9" x14ac:dyDescent="0.35">
      <c r="A567">
        <v>2246340</v>
      </c>
      <c r="B567" t="s">
        <v>246</v>
      </c>
      <c r="C567" s="1">
        <v>45715</v>
      </c>
      <c r="D567">
        <v>12494</v>
      </c>
      <c r="E567" t="b">
        <v>0</v>
      </c>
      <c r="F567">
        <v>81</v>
      </c>
      <c r="G567" t="s">
        <v>147</v>
      </c>
      <c r="H567" t="s">
        <v>124</v>
      </c>
      <c r="I567" t="s">
        <v>2117</v>
      </c>
    </row>
    <row r="568" spans="1:9" x14ac:dyDescent="0.35">
      <c r="A568">
        <v>2246340</v>
      </c>
      <c r="B568" t="s">
        <v>246</v>
      </c>
      <c r="C568" s="1">
        <v>45715</v>
      </c>
      <c r="D568">
        <v>12494</v>
      </c>
      <c r="E568" t="b">
        <v>0</v>
      </c>
      <c r="F568">
        <v>81</v>
      </c>
      <c r="G568" t="s">
        <v>147</v>
      </c>
      <c r="H568" t="s">
        <v>1510</v>
      </c>
      <c r="I568" t="s">
        <v>2117</v>
      </c>
    </row>
    <row r="569" spans="1:9" x14ac:dyDescent="0.35">
      <c r="A569">
        <v>236850</v>
      </c>
      <c r="B569" t="s">
        <v>248</v>
      </c>
      <c r="C569" s="1">
        <v>41499</v>
      </c>
      <c r="D569">
        <v>12445</v>
      </c>
      <c r="E569" t="b">
        <v>1</v>
      </c>
      <c r="F569">
        <v>82</v>
      </c>
      <c r="G569" t="s">
        <v>2094</v>
      </c>
      <c r="H569" t="s">
        <v>49</v>
      </c>
      <c r="I569" t="s">
        <v>2117</v>
      </c>
    </row>
    <row r="570" spans="1:9" x14ac:dyDescent="0.35">
      <c r="A570">
        <v>236850</v>
      </c>
      <c r="B570" t="s">
        <v>248</v>
      </c>
      <c r="C570" s="1">
        <v>41499</v>
      </c>
      <c r="D570">
        <v>12445</v>
      </c>
      <c r="E570" t="b">
        <v>1</v>
      </c>
      <c r="F570">
        <v>82</v>
      </c>
      <c r="G570" t="s">
        <v>2094</v>
      </c>
      <c r="H570" t="s">
        <v>792</v>
      </c>
      <c r="I570" t="s">
        <v>2117</v>
      </c>
    </row>
    <row r="571" spans="1:9" x14ac:dyDescent="0.35">
      <c r="A571">
        <v>236850</v>
      </c>
      <c r="B571" t="s">
        <v>248</v>
      </c>
      <c r="C571" s="1">
        <v>41499</v>
      </c>
      <c r="D571">
        <v>12445</v>
      </c>
      <c r="E571" t="b">
        <v>1</v>
      </c>
      <c r="F571">
        <v>82</v>
      </c>
      <c r="G571" t="s">
        <v>2094</v>
      </c>
      <c r="H571" t="s">
        <v>346</v>
      </c>
      <c r="I571" t="s">
        <v>2117</v>
      </c>
    </row>
    <row r="572" spans="1:9" x14ac:dyDescent="0.35">
      <c r="A572">
        <v>236850</v>
      </c>
      <c r="B572" t="s">
        <v>248</v>
      </c>
      <c r="C572" s="1">
        <v>41499</v>
      </c>
      <c r="D572">
        <v>12445</v>
      </c>
      <c r="E572" t="b">
        <v>1</v>
      </c>
      <c r="F572">
        <v>82</v>
      </c>
      <c r="G572" t="s">
        <v>2094</v>
      </c>
      <c r="H572" t="s">
        <v>239</v>
      </c>
      <c r="I572" t="s">
        <v>2116</v>
      </c>
    </row>
    <row r="573" spans="1:9" x14ac:dyDescent="0.35">
      <c r="A573">
        <v>236850</v>
      </c>
      <c r="B573" t="s">
        <v>248</v>
      </c>
      <c r="C573" s="1">
        <v>41499</v>
      </c>
      <c r="D573">
        <v>12445</v>
      </c>
      <c r="E573" t="b">
        <v>1</v>
      </c>
      <c r="F573">
        <v>82</v>
      </c>
      <c r="G573" t="s">
        <v>2094</v>
      </c>
      <c r="H573" t="s">
        <v>132</v>
      </c>
      <c r="I573" t="s">
        <v>2117</v>
      </c>
    </row>
    <row r="574" spans="1:9" x14ac:dyDescent="0.35">
      <c r="A574">
        <v>236850</v>
      </c>
      <c r="B574" t="s">
        <v>248</v>
      </c>
      <c r="C574" s="1">
        <v>41499</v>
      </c>
      <c r="D574">
        <v>12445</v>
      </c>
      <c r="E574" t="b">
        <v>1</v>
      </c>
      <c r="F574">
        <v>82</v>
      </c>
      <c r="G574" t="s">
        <v>2094</v>
      </c>
      <c r="H574" t="s">
        <v>124</v>
      </c>
      <c r="I574" t="s">
        <v>2116</v>
      </c>
    </row>
    <row r="575" spans="1:9" x14ac:dyDescent="0.35">
      <c r="A575">
        <v>236850</v>
      </c>
      <c r="B575" t="s">
        <v>248</v>
      </c>
      <c r="C575" s="1">
        <v>41499</v>
      </c>
      <c r="D575">
        <v>12445</v>
      </c>
      <c r="E575" t="b">
        <v>1</v>
      </c>
      <c r="F575">
        <v>82</v>
      </c>
      <c r="G575" t="s">
        <v>2094</v>
      </c>
      <c r="H575" t="s">
        <v>1510</v>
      </c>
      <c r="I575" t="s">
        <v>2117</v>
      </c>
    </row>
    <row r="576" spans="1:9" x14ac:dyDescent="0.35">
      <c r="A576">
        <v>1049590</v>
      </c>
      <c r="B576" t="s">
        <v>250</v>
      </c>
      <c r="C576" s="1">
        <v>45126</v>
      </c>
      <c r="D576">
        <v>12341</v>
      </c>
      <c r="E576" t="b">
        <v>0</v>
      </c>
      <c r="F576">
        <v>83</v>
      </c>
      <c r="G576" t="s">
        <v>18</v>
      </c>
      <c r="H576" t="s">
        <v>49</v>
      </c>
      <c r="I576" t="s">
        <v>2117</v>
      </c>
    </row>
    <row r="577" spans="1:9" x14ac:dyDescent="0.35">
      <c r="A577">
        <v>1049590</v>
      </c>
      <c r="B577" t="s">
        <v>250</v>
      </c>
      <c r="C577" s="1">
        <v>45126</v>
      </c>
      <c r="D577">
        <v>12341</v>
      </c>
      <c r="E577" t="b">
        <v>0</v>
      </c>
      <c r="F577">
        <v>83</v>
      </c>
      <c r="G577" t="s">
        <v>18</v>
      </c>
      <c r="H577" t="s">
        <v>792</v>
      </c>
      <c r="I577" t="s">
        <v>2116</v>
      </c>
    </row>
    <row r="578" spans="1:9" x14ac:dyDescent="0.35">
      <c r="A578">
        <v>1049590</v>
      </c>
      <c r="B578" t="s">
        <v>250</v>
      </c>
      <c r="C578" s="1">
        <v>45126</v>
      </c>
      <c r="D578">
        <v>12341</v>
      </c>
      <c r="E578" t="b">
        <v>0</v>
      </c>
      <c r="F578">
        <v>83</v>
      </c>
      <c r="G578" t="s">
        <v>18</v>
      </c>
      <c r="H578" t="s">
        <v>346</v>
      </c>
      <c r="I578" t="s">
        <v>2117</v>
      </c>
    </row>
    <row r="579" spans="1:9" x14ac:dyDescent="0.35">
      <c r="A579">
        <v>1049590</v>
      </c>
      <c r="B579" t="s">
        <v>250</v>
      </c>
      <c r="C579" s="1">
        <v>45126</v>
      </c>
      <c r="D579">
        <v>12341</v>
      </c>
      <c r="E579" t="b">
        <v>0</v>
      </c>
      <c r="F579">
        <v>83</v>
      </c>
      <c r="G579" t="s">
        <v>18</v>
      </c>
      <c r="H579" t="s">
        <v>239</v>
      </c>
      <c r="I579" t="s">
        <v>2117</v>
      </c>
    </row>
    <row r="580" spans="1:9" x14ac:dyDescent="0.35">
      <c r="A580">
        <v>1049590</v>
      </c>
      <c r="B580" t="s">
        <v>250</v>
      </c>
      <c r="C580" s="1">
        <v>45126</v>
      </c>
      <c r="D580">
        <v>12341</v>
      </c>
      <c r="E580" t="b">
        <v>0</v>
      </c>
      <c r="F580">
        <v>83</v>
      </c>
      <c r="G580" t="s">
        <v>18</v>
      </c>
      <c r="H580" t="s">
        <v>132</v>
      </c>
      <c r="I580" t="s">
        <v>2117</v>
      </c>
    </row>
    <row r="581" spans="1:9" x14ac:dyDescent="0.35">
      <c r="A581">
        <v>1049590</v>
      </c>
      <c r="B581" t="s">
        <v>250</v>
      </c>
      <c r="C581" s="1">
        <v>45126</v>
      </c>
      <c r="D581">
        <v>12341</v>
      </c>
      <c r="E581" t="b">
        <v>0</v>
      </c>
      <c r="F581">
        <v>83</v>
      </c>
      <c r="G581" t="s">
        <v>18</v>
      </c>
      <c r="H581" t="s">
        <v>124</v>
      </c>
      <c r="I581" t="s">
        <v>2116</v>
      </c>
    </row>
    <row r="582" spans="1:9" x14ac:dyDescent="0.35">
      <c r="A582">
        <v>1049590</v>
      </c>
      <c r="B582" t="s">
        <v>250</v>
      </c>
      <c r="C582" s="1">
        <v>45126</v>
      </c>
      <c r="D582">
        <v>12341</v>
      </c>
      <c r="E582" t="b">
        <v>0</v>
      </c>
      <c r="F582">
        <v>83</v>
      </c>
      <c r="G582" t="s">
        <v>18</v>
      </c>
      <c r="H582" t="s">
        <v>1510</v>
      </c>
      <c r="I582" t="s">
        <v>2116</v>
      </c>
    </row>
    <row r="583" spans="1:9" x14ac:dyDescent="0.35">
      <c r="A583">
        <v>275850</v>
      </c>
      <c r="B583" t="s">
        <v>253</v>
      </c>
      <c r="C583" s="1">
        <v>42594</v>
      </c>
      <c r="D583">
        <v>12291</v>
      </c>
      <c r="E583" t="b">
        <v>1</v>
      </c>
      <c r="F583">
        <v>84</v>
      </c>
      <c r="G583" t="s">
        <v>438</v>
      </c>
      <c r="H583" t="s">
        <v>49</v>
      </c>
      <c r="I583" t="s">
        <v>2116</v>
      </c>
    </row>
    <row r="584" spans="1:9" x14ac:dyDescent="0.35">
      <c r="A584">
        <v>275850</v>
      </c>
      <c r="B584" t="s">
        <v>253</v>
      </c>
      <c r="C584" s="1">
        <v>42594</v>
      </c>
      <c r="D584">
        <v>12291</v>
      </c>
      <c r="E584" t="b">
        <v>1</v>
      </c>
      <c r="F584">
        <v>84</v>
      </c>
      <c r="G584" t="s">
        <v>438</v>
      </c>
      <c r="H584" t="s">
        <v>792</v>
      </c>
      <c r="I584" t="s">
        <v>2117</v>
      </c>
    </row>
    <row r="585" spans="1:9" x14ac:dyDescent="0.35">
      <c r="A585">
        <v>275850</v>
      </c>
      <c r="B585" t="s">
        <v>253</v>
      </c>
      <c r="C585" s="1">
        <v>42594</v>
      </c>
      <c r="D585">
        <v>12291</v>
      </c>
      <c r="E585" t="b">
        <v>1</v>
      </c>
      <c r="F585">
        <v>84</v>
      </c>
      <c r="G585" t="s">
        <v>438</v>
      </c>
      <c r="H585" t="s">
        <v>346</v>
      </c>
      <c r="I585" t="s">
        <v>2116</v>
      </c>
    </row>
    <row r="586" spans="1:9" x14ac:dyDescent="0.35">
      <c r="A586">
        <v>275850</v>
      </c>
      <c r="B586" t="s">
        <v>253</v>
      </c>
      <c r="C586" s="1">
        <v>42594</v>
      </c>
      <c r="D586">
        <v>12291</v>
      </c>
      <c r="E586" t="b">
        <v>1</v>
      </c>
      <c r="F586">
        <v>84</v>
      </c>
      <c r="G586" t="s">
        <v>438</v>
      </c>
      <c r="H586" t="s">
        <v>239</v>
      </c>
      <c r="I586" t="s">
        <v>2117</v>
      </c>
    </row>
    <row r="587" spans="1:9" x14ac:dyDescent="0.35">
      <c r="A587">
        <v>275850</v>
      </c>
      <c r="B587" t="s">
        <v>253</v>
      </c>
      <c r="C587" s="1">
        <v>42594</v>
      </c>
      <c r="D587">
        <v>12291</v>
      </c>
      <c r="E587" t="b">
        <v>1</v>
      </c>
      <c r="F587">
        <v>84</v>
      </c>
      <c r="G587" t="s">
        <v>438</v>
      </c>
      <c r="H587" t="s">
        <v>132</v>
      </c>
      <c r="I587" t="s">
        <v>2117</v>
      </c>
    </row>
    <row r="588" spans="1:9" x14ac:dyDescent="0.35">
      <c r="A588">
        <v>275850</v>
      </c>
      <c r="B588" t="s">
        <v>253</v>
      </c>
      <c r="C588" s="1">
        <v>42594</v>
      </c>
      <c r="D588">
        <v>12291</v>
      </c>
      <c r="E588" t="b">
        <v>1</v>
      </c>
      <c r="F588">
        <v>84</v>
      </c>
      <c r="G588" t="s">
        <v>438</v>
      </c>
      <c r="H588" t="s">
        <v>124</v>
      </c>
      <c r="I588" t="s">
        <v>2117</v>
      </c>
    </row>
    <row r="589" spans="1:9" x14ac:dyDescent="0.35">
      <c r="A589">
        <v>275850</v>
      </c>
      <c r="B589" t="s">
        <v>253</v>
      </c>
      <c r="C589" s="1">
        <v>42594</v>
      </c>
      <c r="D589">
        <v>12291</v>
      </c>
      <c r="E589" t="b">
        <v>1</v>
      </c>
      <c r="F589">
        <v>84</v>
      </c>
      <c r="G589" t="s">
        <v>438</v>
      </c>
      <c r="H589" t="s">
        <v>1510</v>
      </c>
      <c r="I589" t="s">
        <v>2117</v>
      </c>
    </row>
    <row r="590" spans="1:9" x14ac:dyDescent="0.35">
      <c r="A590">
        <v>8930</v>
      </c>
      <c r="B590" t="s">
        <v>255</v>
      </c>
      <c r="C590" s="1">
        <v>40442</v>
      </c>
      <c r="D590">
        <v>12206</v>
      </c>
      <c r="E590" t="b">
        <v>1</v>
      </c>
      <c r="F590">
        <v>85</v>
      </c>
      <c r="G590" t="s">
        <v>2084</v>
      </c>
      <c r="H590" t="s">
        <v>49</v>
      </c>
      <c r="I590" t="s">
        <v>2117</v>
      </c>
    </row>
    <row r="591" spans="1:9" x14ac:dyDescent="0.35">
      <c r="A591">
        <v>8930</v>
      </c>
      <c r="B591" t="s">
        <v>255</v>
      </c>
      <c r="C591" s="1">
        <v>40442</v>
      </c>
      <c r="D591">
        <v>12206</v>
      </c>
      <c r="E591" t="b">
        <v>1</v>
      </c>
      <c r="F591">
        <v>85</v>
      </c>
      <c r="G591" t="s">
        <v>2084</v>
      </c>
      <c r="H591" t="s">
        <v>792</v>
      </c>
      <c r="I591" t="s">
        <v>2117</v>
      </c>
    </row>
    <row r="592" spans="1:9" x14ac:dyDescent="0.35">
      <c r="A592">
        <v>8930</v>
      </c>
      <c r="B592" t="s">
        <v>255</v>
      </c>
      <c r="C592" s="1">
        <v>40442</v>
      </c>
      <c r="D592">
        <v>12206</v>
      </c>
      <c r="E592" t="b">
        <v>1</v>
      </c>
      <c r="F592">
        <v>85</v>
      </c>
      <c r="G592" t="s">
        <v>2084</v>
      </c>
      <c r="H592" t="s">
        <v>346</v>
      </c>
      <c r="I592" t="s">
        <v>2117</v>
      </c>
    </row>
    <row r="593" spans="1:9" x14ac:dyDescent="0.35">
      <c r="A593">
        <v>8930</v>
      </c>
      <c r="B593" t="s">
        <v>255</v>
      </c>
      <c r="C593" s="1">
        <v>40442</v>
      </c>
      <c r="D593">
        <v>12206</v>
      </c>
      <c r="E593" t="b">
        <v>1</v>
      </c>
      <c r="F593">
        <v>85</v>
      </c>
      <c r="G593" t="s">
        <v>2084</v>
      </c>
      <c r="H593" t="s">
        <v>239</v>
      </c>
      <c r="I593" t="s">
        <v>2117</v>
      </c>
    </row>
    <row r="594" spans="1:9" x14ac:dyDescent="0.35">
      <c r="A594">
        <v>8930</v>
      </c>
      <c r="B594" t="s">
        <v>255</v>
      </c>
      <c r="C594" s="1">
        <v>40442</v>
      </c>
      <c r="D594">
        <v>12206</v>
      </c>
      <c r="E594" t="b">
        <v>1</v>
      </c>
      <c r="F594">
        <v>85</v>
      </c>
      <c r="G594" t="s">
        <v>2084</v>
      </c>
      <c r="H594" t="s">
        <v>132</v>
      </c>
      <c r="I594" t="s">
        <v>2117</v>
      </c>
    </row>
    <row r="595" spans="1:9" x14ac:dyDescent="0.35">
      <c r="A595">
        <v>8930</v>
      </c>
      <c r="B595" t="s">
        <v>255</v>
      </c>
      <c r="C595" s="1">
        <v>40442</v>
      </c>
      <c r="D595">
        <v>12206</v>
      </c>
      <c r="E595" t="b">
        <v>1</v>
      </c>
      <c r="F595">
        <v>85</v>
      </c>
      <c r="G595" t="s">
        <v>2084</v>
      </c>
      <c r="H595" t="s">
        <v>124</v>
      </c>
      <c r="I595" t="s">
        <v>2116</v>
      </c>
    </row>
    <row r="596" spans="1:9" x14ac:dyDescent="0.35">
      <c r="A596">
        <v>8930</v>
      </c>
      <c r="B596" t="s">
        <v>255</v>
      </c>
      <c r="C596" s="1">
        <v>40442</v>
      </c>
      <c r="D596">
        <v>12206</v>
      </c>
      <c r="E596" t="b">
        <v>1</v>
      </c>
      <c r="F596">
        <v>85</v>
      </c>
      <c r="G596" t="s">
        <v>2084</v>
      </c>
      <c r="H596" t="s">
        <v>1510</v>
      </c>
      <c r="I596" t="s">
        <v>2117</v>
      </c>
    </row>
    <row r="597" spans="1:9" x14ac:dyDescent="0.35">
      <c r="A597">
        <v>2399830</v>
      </c>
      <c r="B597" t="s">
        <v>257</v>
      </c>
      <c r="C597" s="1">
        <v>45224</v>
      </c>
      <c r="D597">
        <v>12007</v>
      </c>
      <c r="E597" t="b">
        <v>0</v>
      </c>
      <c r="F597">
        <v>86</v>
      </c>
      <c r="G597" t="s">
        <v>260</v>
      </c>
      <c r="H597" t="s">
        <v>49</v>
      </c>
      <c r="I597" t="s">
        <v>2116</v>
      </c>
    </row>
    <row r="598" spans="1:9" x14ac:dyDescent="0.35">
      <c r="A598">
        <v>2399830</v>
      </c>
      <c r="B598" t="s">
        <v>257</v>
      </c>
      <c r="C598" s="1">
        <v>45224</v>
      </c>
      <c r="D598">
        <v>12007</v>
      </c>
      <c r="E598" t="b">
        <v>0</v>
      </c>
      <c r="F598">
        <v>86</v>
      </c>
      <c r="G598" t="s">
        <v>260</v>
      </c>
      <c r="H598" t="s">
        <v>792</v>
      </c>
      <c r="I598" t="s">
        <v>2116</v>
      </c>
    </row>
    <row r="599" spans="1:9" x14ac:dyDescent="0.35">
      <c r="A599">
        <v>2399830</v>
      </c>
      <c r="B599" t="s">
        <v>257</v>
      </c>
      <c r="C599" s="1">
        <v>45224</v>
      </c>
      <c r="D599">
        <v>12007</v>
      </c>
      <c r="E599" t="b">
        <v>0</v>
      </c>
      <c r="F599">
        <v>86</v>
      </c>
      <c r="G599" t="s">
        <v>260</v>
      </c>
      <c r="H599" t="s">
        <v>346</v>
      </c>
      <c r="I599" t="s">
        <v>2116</v>
      </c>
    </row>
    <row r="600" spans="1:9" x14ac:dyDescent="0.35">
      <c r="A600">
        <v>2399830</v>
      </c>
      <c r="B600" t="s">
        <v>257</v>
      </c>
      <c r="C600" s="1">
        <v>45224</v>
      </c>
      <c r="D600">
        <v>12007</v>
      </c>
      <c r="E600" t="b">
        <v>0</v>
      </c>
      <c r="F600">
        <v>86</v>
      </c>
      <c r="G600" t="s">
        <v>260</v>
      </c>
      <c r="H600" t="s">
        <v>239</v>
      </c>
      <c r="I600" t="s">
        <v>2117</v>
      </c>
    </row>
    <row r="601" spans="1:9" x14ac:dyDescent="0.35">
      <c r="A601">
        <v>2399830</v>
      </c>
      <c r="B601" t="s">
        <v>257</v>
      </c>
      <c r="C601" s="1">
        <v>45224</v>
      </c>
      <c r="D601">
        <v>12007</v>
      </c>
      <c r="E601" t="b">
        <v>0</v>
      </c>
      <c r="F601">
        <v>86</v>
      </c>
      <c r="G601" t="s">
        <v>260</v>
      </c>
      <c r="H601" t="s">
        <v>132</v>
      </c>
      <c r="I601" t="s">
        <v>2116</v>
      </c>
    </row>
    <row r="602" spans="1:9" x14ac:dyDescent="0.35">
      <c r="A602">
        <v>2399830</v>
      </c>
      <c r="B602" t="s">
        <v>257</v>
      </c>
      <c r="C602" s="1">
        <v>45224</v>
      </c>
      <c r="D602">
        <v>12007</v>
      </c>
      <c r="E602" t="b">
        <v>0</v>
      </c>
      <c r="F602">
        <v>86</v>
      </c>
      <c r="G602" t="s">
        <v>260</v>
      </c>
      <c r="H602" t="s">
        <v>124</v>
      </c>
      <c r="I602" t="s">
        <v>2117</v>
      </c>
    </row>
    <row r="603" spans="1:9" x14ac:dyDescent="0.35">
      <c r="A603">
        <v>2399830</v>
      </c>
      <c r="B603" t="s">
        <v>257</v>
      </c>
      <c r="C603" s="1">
        <v>45224</v>
      </c>
      <c r="D603">
        <v>12007</v>
      </c>
      <c r="E603" t="b">
        <v>0</v>
      </c>
      <c r="F603">
        <v>86</v>
      </c>
      <c r="G603" t="s">
        <v>260</v>
      </c>
      <c r="H603" t="s">
        <v>1510</v>
      </c>
      <c r="I603" t="s">
        <v>2117</v>
      </c>
    </row>
    <row r="604" spans="1:9" x14ac:dyDescent="0.35">
      <c r="A604">
        <v>582010</v>
      </c>
      <c r="B604" t="s">
        <v>261</v>
      </c>
      <c r="C604" s="1">
        <v>43320</v>
      </c>
      <c r="D604">
        <v>11923</v>
      </c>
      <c r="E604" t="b">
        <v>0</v>
      </c>
      <c r="F604">
        <v>87</v>
      </c>
      <c r="G604" t="s">
        <v>53</v>
      </c>
      <c r="H604" t="s">
        <v>49</v>
      </c>
      <c r="I604" t="s">
        <v>2116</v>
      </c>
    </row>
    <row r="605" spans="1:9" x14ac:dyDescent="0.35">
      <c r="A605">
        <v>582010</v>
      </c>
      <c r="B605" t="s">
        <v>261</v>
      </c>
      <c r="C605" s="1">
        <v>43320</v>
      </c>
      <c r="D605">
        <v>11923</v>
      </c>
      <c r="E605" t="b">
        <v>0</v>
      </c>
      <c r="F605">
        <v>87</v>
      </c>
      <c r="G605" t="s">
        <v>53</v>
      </c>
      <c r="H605" t="s">
        <v>792</v>
      </c>
      <c r="I605" t="s">
        <v>2117</v>
      </c>
    </row>
    <row r="606" spans="1:9" x14ac:dyDescent="0.35">
      <c r="A606">
        <v>582010</v>
      </c>
      <c r="B606" t="s">
        <v>261</v>
      </c>
      <c r="C606" s="1">
        <v>43320</v>
      </c>
      <c r="D606">
        <v>11923</v>
      </c>
      <c r="E606" t="b">
        <v>0</v>
      </c>
      <c r="F606">
        <v>87</v>
      </c>
      <c r="G606" t="s">
        <v>53</v>
      </c>
      <c r="H606" t="s">
        <v>346</v>
      </c>
      <c r="I606" t="s">
        <v>2117</v>
      </c>
    </row>
    <row r="607" spans="1:9" x14ac:dyDescent="0.35">
      <c r="A607">
        <v>582010</v>
      </c>
      <c r="B607" t="s">
        <v>261</v>
      </c>
      <c r="C607" s="1">
        <v>43320</v>
      </c>
      <c r="D607">
        <v>11923</v>
      </c>
      <c r="E607" t="b">
        <v>0</v>
      </c>
      <c r="F607">
        <v>87</v>
      </c>
      <c r="G607" t="s">
        <v>53</v>
      </c>
      <c r="H607" t="s">
        <v>239</v>
      </c>
      <c r="I607" t="s">
        <v>2117</v>
      </c>
    </row>
    <row r="608" spans="1:9" x14ac:dyDescent="0.35">
      <c r="A608">
        <v>582010</v>
      </c>
      <c r="B608" t="s">
        <v>261</v>
      </c>
      <c r="C608" s="1">
        <v>43320</v>
      </c>
      <c r="D608">
        <v>11923</v>
      </c>
      <c r="E608" t="b">
        <v>0</v>
      </c>
      <c r="F608">
        <v>87</v>
      </c>
      <c r="G608" t="s">
        <v>53</v>
      </c>
      <c r="H608" t="s">
        <v>132</v>
      </c>
      <c r="I608" t="s">
        <v>2117</v>
      </c>
    </row>
    <row r="609" spans="1:9" x14ac:dyDescent="0.35">
      <c r="A609">
        <v>582010</v>
      </c>
      <c r="B609" t="s">
        <v>261</v>
      </c>
      <c r="C609" s="1">
        <v>43320</v>
      </c>
      <c r="D609">
        <v>11923</v>
      </c>
      <c r="E609" t="b">
        <v>0</v>
      </c>
      <c r="F609">
        <v>87</v>
      </c>
      <c r="G609" t="s">
        <v>53</v>
      </c>
      <c r="H609" t="s">
        <v>124</v>
      </c>
      <c r="I609" t="s">
        <v>2117</v>
      </c>
    </row>
    <row r="610" spans="1:9" x14ac:dyDescent="0.35">
      <c r="A610">
        <v>582010</v>
      </c>
      <c r="B610" t="s">
        <v>261</v>
      </c>
      <c r="C610" s="1">
        <v>43320</v>
      </c>
      <c r="D610">
        <v>11923</v>
      </c>
      <c r="E610" t="b">
        <v>0</v>
      </c>
      <c r="F610">
        <v>87</v>
      </c>
      <c r="G610" t="s">
        <v>53</v>
      </c>
      <c r="H610" t="s">
        <v>1510</v>
      </c>
      <c r="I610" t="s">
        <v>2117</v>
      </c>
    </row>
    <row r="611" spans="1:9" x14ac:dyDescent="0.35">
      <c r="A611">
        <v>1874880</v>
      </c>
      <c r="B611" t="s">
        <v>263</v>
      </c>
      <c r="C611" s="1">
        <v>45246</v>
      </c>
      <c r="D611">
        <v>11466</v>
      </c>
      <c r="E611" t="b">
        <v>0</v>
      </c>
      <c r="F611">
        <v>88</v>
      </c>
      <c r="G611" t="s">
        <v>266</v>
      </c>
      <c r="H611" t="s">
        <v>49</v>
      </c>
      <c r="I611" t="s">
        <v>2116</v>
      </c>
    </row>
    <row r="612" spans="1:9" x14ac:dyDescent="0.35">
      <c r="A612">
        <v>1874880</v>
      </c>
      <c r="B612" t="s">
        <v>263</v>
      </c>
      <c r="C612" s="1">
        <v>45246</v>
      </c>
      <c r="D612">
        <v>11466</v>
      </c>
      <c r="E612" t="b">
        <v>0</v>
      </c>
      <c r="F612">
        <v>88</v>
      </c>
      <c r="G612" t="s">
        <v>266</v>
      </c>
      <c r="H612" t="s">
        <v>792</v>
      </c>
      <c r="I612" t="s">
        <v>2117</v>
      </c>
    </row>
    <row r="613" spans="1:9" x14ac:dyDescent="0.35">
      <c r="A613">
        <v>1874880</v>
      </c>
      <c r="B613" t="s">
        <v>263</v>
      </c>
      <c r="C613" s="1">
        <v>45246</v>
      </c>
      <c r="D613">
        <v>11466</v>
      </c>
      <c r="E613" t="b">
        <v>0</v>
      </c>
      <c r="F613">
        <v>88</v>
      </c>
      <c r="G613" t="s">
        <v>266</v>
      </c>
      <c r="H613" t="s">
        <v>346</v>
      </c>
      <c r="I613" t="s">
        <v>2117</v>
      </c>
    </row>
    <row r="614" spans="1:9" x14ac:dyDescent="0.35">
      <c r="A614">
        <v>1874880</v>
      </c>
      <c r="B614" t="s">
        <v>263</v>
      </c>
      <c r="C614" s="1">
        <v>45246</v>
      </c>
      <c r="D614">
        <v>11466</v>
      </c>
      <c r="E614" t="b">
        <v>0</v>
      </c>
      <c r="F614">
        <v>88</v>
      </c>
      <c r="G614" t="s">
        <v>266</v>
      </c>
      <c r="H614" t="s">
        <v>239</v>
      </c>
      <c r="I614" t="s">
        <v>2116</v>
      </c>
    </row>
    <row r="615" spans="1:9" x14ac:dyDescent="0.35">
      <c r="A615">
        <v>1874880</v>
      </c>
      <c r="B615" t="s">
        <v>263</v>
      </c>
      <c r="C615" s="1">
        <v>45246</v>
      </c>
      <c r="D615">
        <v>11466</v>
      </c>
      <c r="E615" t="b">
        <v>0</v>
      </c>
      <c r="F615">
        <v>88</v>
      </c>
      <c r="G615" t="s">
        <v>266</v>
      </c>
      <c r="H615" t="s">
        <v>132</v>
      </c>
      <c r="I615" t="s">
        <v>2117</v>
      </c>
    </row>
    <row r="616" spans="1:9" x14ac:dyDescent="0.35">
      <c r="A616">
        <v>1874880</v>
      </c>
      <c r="B616" t="s">
        <v>263</v>
      </c>
      <c r="C616" s="1">
        <v>45246</v>
      </c>
      <c r="D616">
        <v>11466</v>
      </c>
      <c r="E616" t="b">
        <v>0</v>
      </c>
      <c r="F616">
        <v>88</v>
      </c>
      <c r="G616" t="s">
        <v>266</v>
      </c>
      <c r="H616" t="s">
        <v>124</v>
      </c>
      <c r="I616" t="s">
        <v>2116</v>
      </c>
    </row>
    <row r="617" spans="1:9" x14ac:dyDescent="0.35">
      <c r="A617">
        <v>1874880</v>
      </c>
      <c r="B617" t="s">
        <v>263</v>
      </c>
      <c r="C617" s="1">
        <v>45246</v>
      </c>
      <c r="D617">
        <v>11466</v>
      </c>
      <c r="E617" t="b">
        <v>0</v>
      </c>
      <c r="F617">
        <v>88</v>
      </c>
      <c r="G617" t="s">
        <v>266</v>
      </c>
      <c r="H617" t="s">
        <v>1510</v>
      </c>
      <c r="I617" t="s">
        <v>2117</v>
      </c>
    </row>
    <row r="618" spans="1:9" x14ac:dyDescent="0.35">
      <c r="A618">
        <v>377160</v>
      </c>
      <c r="B618" t="s">
        <v>267</v>
      </c>
      <c r="C618" s="1">
        <v>42317</v>
      </c>
      <c r="D618">
        <v>11179</v>
      </c>
      <c r="E618" t="b">
        <v>0</v>
      </c>
      <c r="F618">
        <v>89</v>
      </c>
      <c r="G618" t="s">
        <v>2091</v>
      </c>
      <c r="H618" t="s">
        <v>49</v>
      </c>
      <c r="I618" t="s">
        <v>2117</v>
      </c>
    </row>
    <row r="619" spans="1:9" x14ac:dyDescent="0.35">
      <c r="A619">
        <v>377160</v>
      </c>
      <c r="B619" t="s">
        <v>267</v>
      </c>
      <c r="C619" s="1">
        <v>42317</v>
      </c>
      <c r="D619">
        <v>11179</v>
      </c>
      <c r="E619" t="b">
        <v>0</v>
      </c>
      <c r="F619">
        <v>89</v>
      </c>
      <c r="G619" t="s">
        <v>2091</v>
      </c>
      <c r="H619" t="s">
        <v>792</v>
      </c>
      <c r="I619" t="s">
        <v>2117</v>
      </c>
    </row>
    <row r="620" spans="1:9" x14ac:dyDescent="0.35">
      <c r="A620">
        <v>377160</v>
      </c>
      <c r="B620" t="s">
        <v>267</v>
      </c>
      <c r="C620" s="1">
        <v>42317</v>
      </c>
      <c r="D620">
        <v>11179</v>
      </c>
      <c r="E620" t="b">
        <v>0</v>
      </c>
      <c r="F620">
        <v>89</v>
      </c>
      <c r="G620" t="s">
        <v>2091</v>
      </c>
      <c r="H620" t="s">
        <v>346</v>
      </c>
      <c r="I620" t="s">
        <v>2117</v>
      </c>
    </row>
    <row r="621" spans="1:9" x14ac:dyDescent="0.35">
      <c r="A621">
        <v>377160</v>
      </c>
      <c r="B621" t="s">
        <v>267</v>
      </c>
      <c r="C621" s="1">
        <v>42317</v>
      </c>
      <c r="D621">
        <v>11179</v>
      </c>
      <c r="E621" t="b">
        <v>0</v>
      </c>
      <c r="F621">
        <v>89</v>
      </c>
      <c r="G621" t="s">
        <v>2091</v>
      </c>
      <c r="H621" t="s">
        <v>239</v>
      </c>
      <c r="I621" t="s">
        <v>2117</v>
      </c>
    </row>
    <row r="622" spans="1:9" x14ac:dyDescent="0.35">
      <c r="A622">
        <v>377160</v>
      </c>
      <c r="B622" t="s">
        <v>267</v>
      </c>
      <c r="C622" s="1">
        <v>42317</v>
      </c>
      <c r="D622">
        <v>11179</v>
      </c>
      <c r="E622" t="b">
        <v>0</v>
      </c>
      <c r="F622">
        <v>89</v>
      </c>
      <c r="G622" t="s">
        <v>2091</v>
      </c>
      <c r="H622" t="s">
        <v>132</v>
      </c>
      <c r="I622" t="s">
        <v>2116</v>
      </c>
    </row>
    <row r="623" spans="1:9" x14ac:dyDescent="0.35">
      <c r="A623">
        <v>377160</v>
      </c>
      <c r="B623" t="s">
        <v>267</v>
      </c>
      <c r="C623" s="1">
        <v>42317</v>
      </c>
      <c r="D623">
        <v>11179</v>
      </c>
      <c r="E623" t="b">
        <v>0</v>
      </c>
      <c r="F623">
        <v>89</v>
      </c>
      <c r="G623" t="s">
        <v>2091</v>
      </c>
      <c r="H623" t="s">
        <v>124</v>
      </c>
      <c r="I623" t="s">
        <v>2117</v>
      </c>
    </row>
    <row r="624" spans="1:9" x14ac:dyDescent="0.35">
      <c r="A624">
        <v>377160</v>
      </c>
      <c r="B624" t="s">
        <v>267</v>
      </c>
      <c r="C624" s="1">
        <v>42317</v>
      </c>
      <c r="D624">
        <v>11179</v>
      </c>
      <c r="E624" t="b">
        <v>0</v>
      </c>
      <c r="F624">
        <v>89</v>
      </c>
      <c r="G624" t="s">
        <v>2091</v>
      </c>
      <c r="H624" t="s">
        <v>1510</v>
      </c>
      <c r="I624" t="s">
        <v>2117</v>
      </c>
    </row>
    <row r="625" spans="1:9" x14ac:dyDescent="0.35">
      <c r="A625">
        <v>1476970</v>
      </c>
      <c r="B625" t="s">
        <v>269</v>
      </c>
      <c r="C625" s="1">
        <v>45967</v>
      </c>
      <c r="D625">
        <v>11081</v>
      </c>
      <c r="E625" t="b">
        <v>0</v>
      </c>
      <c r="F625">
        <v>90</v>
      </c>
      <c r="G625" t="s">
        <v>304</v>
      </c>
      <c r="H625" t="s">
        <v>49</v>
      </c>
      <c r="I625" t="s">
        <v>2117</v>
      </c>
    </row>
    <row r="626" spans="1:9" x14ac:dyDescent="0.35">
      <c r="A626">
        <v>1476970</v>
      </c>
      <c r="B626" t="s">
        <v>269</v>
      </c>
      <c r="C626" s="1">
        <v>45967</v>
      </c>
      <c r="D626">
        <v>11081</v>
      </c>
      <c r="E626" t="b">
        <v>0</v>
      </c>
      <c r="F626">
        <v>90</v>
      </c>
      <c r="G626" t="s">
        <v>304</v>
      </c>
      <c r="H626" t="s">
        <v>792</v>
      </c>
      <c r="I626" t="s">
        <v>2116</v>
      </c>
    </row>
    <row r="627" spans="1:9" x14ac:dyDescent="0.35">
      <c r="A627">
        <v>1476970</v>
      </c>
      <c r="B627" t="s">
        <v>269</v>
      </c>
      <c r="C627" s="1">
        <v>45967</v>
      </c>
      <c r="D627">
        <v>11081</v>
      </c>
      <c r="E627" t="b">
        <v>0</v>
      </c>
      <c r="F627">
        <v>90</v>
      </c>
      <c r="G627" t="s">
        <v>304</v>
      </c>
      <c r="H627" t="s">
        <v>346</v>
      </c>
      <c r="I627" t="s">
        <v>2117</v>
      </c>
    </row>
    <row r="628" spans="1:9" x14ac:dyDescent="0.35">
      <c r="A628">
        <v>1476970</v>
      </c>
      <c r="B628" t="s">
        <v>269</v>
      </c>
      <c r="C628" s="1">
        <v>45967</v>
      </c>
      <c r="D628">
        <v>11081</v>
      </c>
      <c r="E628" t="b">
        <v>0</v>
      </c>
      <c r="F628">
        <v>90</v>
      </c>
      <c r="G628" t="s">
        <v>304</v>
      </c>
      <c r="H628" t="s">
        <v>239</v>
      </c>
      <c r="I628" t="s">
        <v>2116</v>
      </c>
    </row>
    <row r="629" spans="1:9" x14ac:dyDescent="0.35">
      <c r="A629">
        <v>1476970</v>
      </c>
      <c r="B629" t="s">
        <v>269</v>
      </c>
      <c r="C629" s="1">
        <v>45967</v>
      </c>
      <c r="D629">
        <v>11081</v>
      </c>
      <c r="E629" t="b">
        <v>0</v>
      </c>
      <c r="F629">
        <v>90</v>
      </c>
      <c r="G629" t="s">
        <v>304</v>
      </c>
      <c r="H629" t="s">
        <v>132</v>
      </c>
      <c r="I629" t="s">
        <v>2116</v>
      </c>
    </row>
    <row r="630" spans="1:9" x14ac:dyDescent="0.35">
      <c r="A630">
        <v>1476970</v>
      </c>
      <c r="B630" t="s">
        <v>269</v>
      </c>
      <c r="C630" s="1">
        <v>45967</v>
      </c>
      <c r="D630">
        <v>11081</v>
      </c>
      <c r="E630" t="b">
        <v>0</v>
      </c>
      <c r="F630">
        <v>90</v>
      </c>
      <c r="G630" t="s">
        <v>304</v>
      </c>
      <c r="H630" t="s">
        <v>124</v>
      </c>
      <c r="I630" t="s">
        <v>2117</v>
      </c>
    </row>
    <row r="631" spans="1:9" x14ac:dyDescent="0.35">
      <c r="A631">
        <v>1476970</v>
      </c>
      <c r="B631" t="s">
        <v>269</v>
      </c>
      <c r="C631" s="1">
        <v>45967</v>
      </c>
      <c r="D631">
        <v>11081</v>
      </c>
      <c r="E631" t="b">
        <v>0</v>
      </c>
      <c r="F631">
        <v>90</v>
      </c>
      <c r="G631" t="s">
        <v>304</v>
      </c>
      <c r="H631" t="s">
        <v>1510</v>
      </c>
      <c r="I631" t="s">
        <v>2116</v>
      </c>
    </row>
    <row r="632" spans="1:9" x14ac:dyDescent="0.35">
      <c r="A632">
        <v>1604030</v>
      </c>
      <c r="B632" t="s">
        <v>272</v>
      </c>
      <c r="C632" s="1">
        <v>45420</v>
      </c>
      <c r="D632">
        <v>10961</v>
      </c>
      <c r="E632" t="b">
        <v>0</v>
      </c>
      <c r="F632">
        <v>91</v>
      </c>
      <c r="G632" t="s">
        <v>25</v>
      </c>
      <c r="H632" t="s">
        <v>49</v>
      </c>
      <c r="I632" t="s">
        <v>2116</v>
      </c>
    </row>
    <row r="633" spans="1:9" x14ac:dyDescent="0.35">
      <c r="A633">
        <v>1604030</v>
      </c>
      <c r="B633" t="s">
        <v>272</v>
      </c>
      <c r="C633" s="1">
        <v>45420</v>
      </c>
      <c r="D633">
        <v>10961</v>
      </c>
      <c r="E633" t="b">
        <v>0</v>
      </c>
      <c r="F633">
        <v>91</v>
      </c>
      <c r="G633" t="s">
        <v>25</v>
      </c>
      <c r="H633" t="s">
        <v>792</v>
      </c>
      <c r="I633" t="s">
        <v>2117</v>
      </c>
    </row>
    <row r="634" spans="1:9" x14ac:dyDescent="0.35">
      <c r="A634">
        <v>1604030</v>
      </c>
      <c r="B634" t="s">
        <v>272</v>
      </c>
      <c r="C634" s="1">
        <v>45420</v>
      </c>
      <c r="D634">
        <v>10961</v>
      </c>
      <c r="E634" t="b">
        <v>0</v>
      </c>
      <c r="F634">
        <v>91</v>
      </c>
      <c r="G634" t="s">
        <v>25</v>
      </c>
      <c r="H634" t="s">
        <v>346</v>
      </c>
      <c r="I634" t="s">
        <v>2116</v>
      </c>
    </row>
    <row r="635" spans="1:9" x14ac:dyDescent="0.35">
      <c r="A635">
        <v>1604030</v>
      </c>
      <c r="B635" t="s">
        <v>272</v>
      </c>
      <c r="C635" s="1">
        <v>45420</v>
      </c>
      <c r="D635">
        <v>10961</v>
      </c>
      <c r="E635" t="b">
        <v>0</v>
      </c>
      <c r="F635">
        <v>91</v>
      </c>
      <c r="G635" t="s">
        <v>25</v>
      </c>
      <c r="H635" t="s">
        <v>239</v>
      </c>
      <c r="I635" t="s">
        <v>2117</v>
      </c>
    </row>
    <row r="636" spans="1:9" x14ac:dyDescent="0.35">
      <c r="A636">
        <v>1604030</v>
      </c>
      <c r="B636" t="s">
        <v>272</v>
      </c>
      <c r="C636" s="1">
        <v>45420</v>
      </c>
      <c r="D636">
        <v>10961</v>
      </c>
      <c r="E636" t="b">
        <v>0</v>
      </c>
      <c r="F636">
        <v>91</v>
      </c>
      <c r="G636" t="s">
        <v>25</v>
      </c>
      <c r="H636" t="s">
        <v>132</v>
      </c>
      <c r="I636" t="s">
        <v>2117</v>
      </c>
    </row>
    <row r="637" spans="1:9" x14ac:dyDescent="0.35">
      <c r="A637">
        <v>1604030</v>
      </c>
      <c r="B637" t="s">
        <v>272</v>
      </c>
      <c r="C637" s="1">
        <v>45420</v>
      </c>
      <c r="D637">
        <v>10961</v>
      </c>
      <c r="E637" t="b">
        <v>0</v>
      </c>
      <c r="F637">
        <v>91</v>
      </c>
      <c r="G637" t="s">
        <v>25</v>
      </c>
      <c r="H637" t="s">
        <v>124</v>
      </c>
      <c r="I637" t="s">
        <v>2117</v>
      </c>
    </row>
    <row r="638" spans="1:9" x14ac:dyDescent="0.35">
      <c r="A638">
        <v>1604030</v>
      </c>
      <c r="B638" t="s">
        <v>272</v>
      </c>
      <c r="C638" s="1">
        <v>45420</v>
      </c>
      <c r="D638">
        <v>10961</v>
      </c>
      <c r="E638" t="b">
        <v>0</v>
      </c>
      <c r="F638">
        <v>91</v>
      </c>
      <c r="G638" t="s">
        <v>25</v>
      </c>
      <c r="H638" t="s">
        <v>1510</v>
      </c>
      <c r="I638" t="s">
        <v>2117</v>
      </c>
    </row>
    <row r="639" spans="1:9" x14ac:dyDescent="0.35">
      <c r="A639">
        <v>1203620</v>
      </c>
      <c r="B639" t="s">
        <v>274</v>
      </c>
      <c r="C639" s="1">
        <v>45315</v>
      </c>
      <c r="D639">
        <v>10654</v>
      </c>
      <c r="E639" t="b">
        <v>0</v>
      </c>
      <c r="F639">
        <v>92</v>
      </c>
      <c r="G639" t="s">
        <v>276</v>
      </c>
      <c r="H639" t="s">
        <v>49</v>
      </c>
      <c r="I639" t="s">
        <v>2116</v>
      </c>
    </row>
    <row r="640" spans="1:9" x14ac:dyDescent="0.35">
      <c r="A640">
        <v>1203620</v>
      </c>
      <c r="B640" t="s">
        <v>274</v>
      </c>
      <c r="C640" s="1">
        <v>45315</v>
      </c>
      <c r="D640">
        <v>10654</v>
      </c>
      <c r="E640" t="b">
        <v>0</v>
      </c>
      <c r="F640">
        <v>92</v>
      </c>
      <c r="G640" t="s">
        <v>276</v>
      </c>
      <c r="H640" t="s">
        <v>792</v>
      </c>
      <c r="I640" t="s">
        <v>2116</v>
      </c>
    </row>
    <row r="641" spans="1:9" x14ac:dyDescent="0.35">
      <c r="A641">
        <v>1203620</v>
      </c>
      <c r="B641" t="s">
        <v>274</v>
      </c>
      <c r="C641" s="1">
        <v>45315</v>
      </c>
      <c r="D641">
        <v>10654</v>
      </c>
      <c r="E641" t="b">
        <v>0</v>
      </c>
      <c r="F641">
        <v>92</v>
      </c>
      <c r="G641" t="s">
        <v>276</v>
      </c>
      <c r="H641" t="s">
        <v>346</v>
      </c>
      <c r="I641" t="s">
        <v>2116</v>
      </c>
    </row>
    <row r="642" spans="1:9" x14ac:dyDescent="0.35">
      <c r="A642">
        <v>1203620</v>
      </c>
      <c r="B642" t="s">
        <v>274</v>
      </c>
      <c r="C642" s="1">
        <v>45315</v>
      </c>
      <c r="D642">
        <v>10654</v>
      </c>
      <c r="E642" t="b">
        <v>0</v>
      </c>
      <c r="F642">
        <v>92</v>
      </c>
      <c r="G642" t="s">
        <v>276</v>
      </c>
      <c r="H642" t="s">
        <v>239</v>
      </c>
      <c r="I642" t="s">
        <v>2117</v>
      </c>
    </row>
    <row r="643" spans="1:9" x14ac:dyDescent="0.35">
      <c r="A643">
        <v>1203620</v>
      </c>
      <c r="B643" t="s">
        <v>274</v>
      </c>
      <c r="C643" s="1">
        <v>45315</v>
      </c>
      <c r="D643">
        <v>10654</v>
      </c>
      <c r="E643" t="b">
        <v>0</v>
      </c>
      <c r="F643">
        <v>92</v>
      </c>
      <c r="G643" t="s">
        <v>276</v>
      </c>
      <c r="H643" t="s">
        <v>132</v>
      </c>
      <c r="I643" t="s">
        <v>2116</v>
      </c>
    </row>
    <row r="644" spans="1:9" x14ac:dyDescent="0.35">
      <c r="A644">
        <v>1203620</v>
      </c>
      <c r="B644" t="s">
        <v>274</v>
      </c>
      <c r="C644" s="1">
        <v>45315</v>
      </c>
      <c r="D644">
        <v>10654</v>
      </c>
      <c r="E644" t="b">
        <v>0</v>
      </c>
      <c r="F644">
        <v>92</v>
      </c>
      <c r="G644" t="s">
        <v>276</v>
      </c>
      <c r="H644" t="s">
        <v>124</v>
      </c>
      <c r="I644" t="s">
        <v>2117</v>
      </c>
    </row>
    <row r="645" spans="1:9" x14ac:dyDescent="0.35">
      <c r="A645">
        <v>1203620</v>
      </c>
      <c r="B645" t="s">
        <v>274</v>
      </c>
      <c r="C645" s="1">
        <v>45315</v>
      </c>
      <c r="D645">
        <v>10654</v>
      </c>
      <c r="E645" t="b">
        <v>0</v>
      </c>
      <c r="F645">
        <v>92</v>
      </c>
      <c r="G645" t="s">
        <v>276</v>
      </c>
      <c r="H645" t="s">
        <v>1510</v>
      </c>
      <c r="I645" t="s">
        <v>2117</v>
      </c>
    </row>
    <row r="646" spans="1:9" x14ac:dyDescent="0.35">
      <c r="A646">
        <v>304930</v>
      </c>
      <c r="B646" t="s">
        <v>277</v>
      </c>
      <c r="C646" s="1">
        <v>42923</v>
      </c>
      <c r="D646">
        <v>10408</v>
      </c>
      <c r="E646" t="b">
        <v>1</v>
      </c>
      <c r="F646">
        <v>93</v>
      </c>
      <c r="G646" t="s">
        <v>40</v>
      </c>
      <c r="H646" t="s">
        <v>49</v>
      </c>
      <c r="I646" t="s">
        <v>2116</v>
      </c>
    </row>
    <row r="647" spans="1:9" x14ac:dyDescent="0.35">
      <c r="A647">
        <v>304930</v>
      </c>
      <c r="B647" t="s">
        <v>277</v>
      </c>
      <c r="C647" s="1">
        <v>42923</v>
      </c>
      <c r="D647">
        <v>10408</v>
      </c>
      <c r="E647" t="b">
        <v>1</v>
      </c>
      <c r="F647">
        <v>93</v>
      </c>
      <c r="G647" t="s">
        <v>40</v>
      </c>
      <c r="H647" t="s">
        <v>792</v>
      </c>
      <c r="I647" t="s">
        <v>2116</v>
      </c>
    </row>
    <row r="648" spans="1:9" x14ac:dyDescent="0.35">
      <c r="A648">
        <v>304930</v>
      </c>
      <c r="B648" t="s">
        <v>277</v>
      </c>
      <c r="C648" s="1">
        <v>42923</v>
      </c>
      <c r="D648">
        <v>10408</v>
      </c>
      <c r="E648" t="b">
        <v>1</v>
      </c>
      <c r="F648">
        <v>93</v>
      </c>
      <c r="G648" t="s">
        <v>40</v>
      </c>
      <c r="H648" t="s">
        <v>346</v>
      </c>
      <c r="I648" t="s">
        <v>2116</v>
      </c>
    </row>
    <row r="649" spans="1:9" x14ac:dyDescent="0.35">
      <c r="A649">
        <v>304930</v>
      </c>
      <c r="B649" t="s">
        <v>277</v>
      </c>
      <c r="C649" s="1">
        <v>42923</v>
      </c>
      <c r="D649">
        <v>10408</v>
      </c>
      <c r="E649" t="b">
        <v>1</v>
      </c>
      <c r="F649">
        <v>93</v>
      </c>
      <c r="G649" t="s">
        <v>40</v>
      </c>
      <c r="H649" t="s">
        <v>239</v>
      </c>
      <c r="I649" t="s">
        <v>2117</v>
      </c>
    </row>
    <row r="650" spans="1:9" x14ac:dyDescent="0.35">
      <c r="A650">
        <v>304930</v>
      </c>
      <c r="B650" t="s">
        <v>277</v>
      </c>
      <c r="C650" s="1">
        <v>42923</v>
      </c>
      <c r="D650">
        <v>10408</v>
      </c>
      <c r="E650" t="b">
        <v>1</v>
      </c>
      <c r="F650">
        <v>93</v>
      </c>
      <c r="G650" t="s">
        <v>40</v>
      </c>
      <c r="H650" t="s">
        <v>132</v>
      </c>
      <c r="I650" t="s">
        <v>2117</v>
      </c>
    </row>
    <row r="651" spans="1:9" x14ac:dyDescent="0.35">
      <c r="A651">
        <v>304930</v>
      </c>
      <c r="B651" t="s">
        <v>277</v>
      </c>
      <c r="C651" s="1">
        <v>42923</v>
      </c>
      <c r="D651">
        <v>10408</v>
      </c>
      <c r="E651" t="b">
        <v>1</v>
      </c>
      <c r="F651">
        <v>93</v>
      </c>
      <c r="G651" t="s">
        <v>40</v>
      </c>
      <c r="H651" t="s">
        <v>124</v>
      </c>
      <c r="I651" t="s">
        <v>2117</v>
      </c>
    </row>
    <row r="652" spans="1:9" x14ac:dyDescent="0.35">
      <c r="A652">
        <v>304930</v>
      </c>
      <c r="B652" t="s">
        <v>277</v>
      </c>
      <c r="C652" s="1">
        <v>42923</v>
      </c>
      <c r="D652">
        <v>10408</v>
      </c>
      <c r="E652" t="b">
        <v>1</v>
      </c>
      <c r="F652">
        <v>93</v>
      </c>
      <c r="G652" t="s">
        <v>40</v>
      </c>
      <c r="H652" t="s">
        <v>1510</v>
      </c>
      <c r="I652" t="s">
        <v>2116</v>
      </c>
    </row>
    <row r="653" spans="1:9" x14ac:dyDescent="0.35">
      <c r="A653">
        <v>1325860</v>
      </c>
      <c r="B653" t="s">
        <v>280</v>
      </c>
      <c r="C653" s="1">
        <v>44267</v>
      </c>
      <c r="D653">
        <v>10139</v>
      </c>
      <c r="E653" t="b">
        <v>1</v>
      </c>
      <c r="F653">
        <v>94</v>
      </c>
      <c r="G653" t="s">
        <v>53</v>
      </c>
      <c r="H653" t="s">
        <v>49</v>
      </c>
      <c r="I653" t="s">
        <v>2117</v>
      </c>
    </row>
    <row r="654" spans="1:9" x14ac:dyDescent="0.35">
      <c r="A654">
        <v>1325860</v>
      </c>
      <c r="B654" t="s">
        <v>280</v>
      </c>
      <c r="C654" s="1">
        <v>44267</v>
      </c>
      <c r="D654">
        <v>10139</v>
      </c>
      <c r="E654" t="b">
        <v>1</v>
      </c>
      <c r="F654">
        <v>94</v>
      </c>
      <c r="G654" t="s">
        <v>53</v>
      </c>
      <c r="H654" t="s">
        <v>792</v>
      </c>
      <c r="I654" t="s">
        <v>2116</v>
      </c>
    </row>
    <row r="655" spans="1:9" x14ac:dyDescent="0.35">
      <c r="A655">
        <v>1325860</v>
      </c>
      <c r="B655" t="s">
        <v>280</v>
      </c>
      <c r="C655" s="1">
        <v>44267</v>
      </c>
      <c r="D655">
        <v>10139</v>
      </c>
      <c r="E655" t="b">
        <v>1</v>
      </c>
      <c r="F655">
        <v>94</v>
      </c>
      <c r="G655" t="s">
        <v>53</v>
      </c>
      <c r="H655" t="s">
        <v>346</v>
      </c>
      <c r="I655" t="s">
        <v>2117</v>
      </c>
    </row>
    <row r="656" spans="1:9" x14ac:dyDescent="0.35">
      <c r="A656">
        <v>1325860</v>
      </c>
      <c r="B656" t="s">
        <v>280</v>
      </c>
      <c r="C656" s="1">
        <v>44267</v>
      </c>
      <c r="D656">
        <v>10139</v>
      </c>
      <c r="E656" t="b">
        <v>1</v>
      </c>
      <c r="F656">
        <v>94</v>
      </c>
      <c r="G656" t="s">
        <v>53</v>
      </c>
      <c r="H656" t="s">
        <v>239</v>
      </c>
      <c r="I656" t="s">
        <v>2117</v>
      </c>
    </row>
    <row r="657" spans="1:9" x14ac:dyDescent="0.35">
      <c r="A657">
        <v>1325860</v>
      </c>
      <c r="B657" t="s">
        <v>280</v>
      </c>
      <c r="C657" s="1">
        <v>44267</v>
      </c>
      <c r="D657">
        <v>10139</v>
      </c>
      <c r="E657" t="b">
        <v>1</v>
      </c>
      <c r="F657">
        <v>94</v>
      </c>
      <c r="G657" t="s">
        <v>53</v>
      </c>
      <c r="H657" t="s">
        <v>132</v>
      </c>
      <c r="I657" t="s">
        <v>2117</v>
      </c>
    </row>
    <row r="658" spans="1:9" x14ac:dyDescent="0.35">
      <c r="A658">
        <v>1325860</v>
      </c>
      <c r="B658" t="s">
        <v>280</v>
      </c>
      <c r="C658" s="1">
        <v>44267</v>
      </c>
      <c r="D658">
        <v>10139</v>
      </c>
      <c r="E658" t="b">
        <v>1</v>
      </c>
      <c r="F658">
        <v>94</v>
      </c>
      <c r="G658" t="s">
        <v>53</v>
      </c>
      <c r="H658" t="s">
        <v>124</v>
      </c>
      <c r="I658" t="s">
        <v>2117</v>
      </c>
    </row>
    <row r="659" spans="1:9" x14ac:dyDescent="0.35">
      <c r="A659">
        <v>1325860</v>
      </c>
      <c r="B659" t="s">
        <v>280</v>
      </c>
      <c r="C659" s="1">
        <v>44267</v>
      </c>
      <c r="D659">
        <v>10139</v>
      </c>
      <c r="E659" t="b">
        <v>1</v>
      </c>
      <c r="F659">
        <v>94</v>
      </c>
      <c r="G659" t="s">
        <v>53</v>
      </c>
      <c r="H659" t="s">
        <v>1510</v>
      </c>
      <c r="I659" t="s">
        <v>2117</v>
      </c>
    </row>
    <row r="660" spans="1:9" x14ac:dyDescent="0.35">
      <c r="A660">
        <v>1551360</v>
      </c>
      <c r="B660" t="s">
        <v>283</v>
      </c>
      <c r="C660" s="1">
        <v>44508</v>
      </c>
      <c r="D660">
        <v>10009</v>
      </c>
      <c r="E660" t="b">
        <v>0</v>
      </c>
      <c r="F660">
        <v>95</v>
      </c>
      <c r="G660" t="s">
        <v>25</v>
      </c>
      <c r="H660" t="s">
        <v>49</v>
      </c>
      <c r="I660" t="s">
        <v>2116</v>
      </c>
    </row>
    <row r="661" spans="1:9" x14ac:dyDescent="0.35">
      <c r="A661">
        <v>1551360</v>
      </c>
      <c r="B661" t="s">
        <v>283</v>
      </c>
      <c r="C661" s="1">
        <v>44508</v>
      </c>
      <c r="D661">
        <v>10009</v>
      </c>
      <c r="E661" t="b">
        <v>0</v>
      </c>
      <c r="F661">
        <v>95</v>
      </c>
      <c r="G661" t="s">
        <v>25</v>
      </c>
      <c r="H661" t="s">
        <v>792</v>
      </c>
      <c r="I661" t="s">
        <v>2117</v>
      </c>
    </row>
    <row r="662" spans="1:9" x14ac:dyDescent="0.35">
      <c r="A662">
        <v>1551360</v>
      </c>
      <c r="B662" t="s">
        <v>283</v>
      </c>
      <c r="C662" s="1">
        <v>44508</v>
      </c>
      <c r="D662">
        <v>10009</v>
      </c>
      <c r="E662" t="b">
        <v>0</v>
      </c>
      <c r="F662">
        <v>95</v>
      </c>
      <c r="G662" t="s">
        <v>25</v>
      </c>
      <c r="H662" t="s">
        <v>346</v>
      </c>
      <c r="I662" t="s">
        <v>2116</v>
      </c>
    </row>
    <row r="663" spans="1:9" x14ac:dyDescent="0.35">
      <c r="A663">
        <v>1551360</v>
      </c>
      <c r="B663" t="s">
        <v>283</v>
      </c>
      <c r="C663" s="1">
        <v>44508</v>
      </c>
      <c r="D663">
        <v>10009</v>
      </c>
      <c r="E663" t="b">
        <v>0</v>
      </c>
      <c r="F663">
        <v>95</v>
      </c>
      <c r="G663" t="s">
        <v>25</v>
      </c>
      <c r="H663" t="s">
        <v>239</v>
      </c>
      <c r="I663" t="s">
        <v>2116</v>
      </c>
    </row>
    <row r="664" spans="1:9" x14ac:dyDescent="0.35">
      <c r="A664">
        <v>1551360</v>
      </c>
      <c r="B664" t="s">
        <v>283</v>
      </c>
      <c r="C664" s="1">
        <v>44508</v>
      </c>
      <c r="D664">
        <v>10009</v>
      </c>
      <c r="E664" t="b">
        <v>0</v>
      </c>
      <c r="F664">
        <v>95</v>
      </c>
      <c r="G664" t="s">
        <v>25</v>
      </c>
      <c r="H664" t="s">
        <v>132</v>
      </c>
      <c r="I664" t="s">
        <v>2117</v>
      </c>
    </row>
    <row r="665" spans="1:9" x14ac:dyDescent="0.35">
      <c r="A665">
        <v>1551360</v>
      </c>
      <c r="B665" t="s">
        <v>283</v>
      </c>
      <c r="C665" s="1">
        <v>44508</v>
      </c>
      <c r="D665">
        <v>10009</v>
      </c>
      <c r="E665" t="b">
        <v>0</v>
      </c>
      <c r="F665">
        <v>95</v>
      </c>
      <c r="G665" t="s">
        <v>25</v>
      </c>
      <c r="H665" t="s">
        <v>124</v>
      </c>
      <c r="I665" t="s">
        <v>2117</v>
      </c>
    </row>
    <row r="666" spans="1:9" x14ac:dyDescent="0.35">
      <c r="A666">
        <v>1551360</v>
      </c>
      <c r="B666" t="s">
        <v>283</v>
      </c>
      <c r="C666" s="1">
        <v>44508</v>
      </c>
      <c r="D666">
        <v>10009</v>
      </c>
      <c r="E666" t="b">
        <v>0</v>
      </c>
      <c r="F666">
        <v>95</v>
      </c>
      <c r="G666" t="s">
        <v>25</v>
      </c>
      <c r="H666" t="s">
        <v>1510</v>
      </c>
      <c r="I666" t="s">
        <v>2117</v>
      </c>
    </row>
    <row r="667" spans="1:9" x14ac:dyDescent="0.35">
      <c r="A667">
        <v>739630</v>
      </c>
      <c r="B667" t="s">
        <v>286</v>
      </c>
      <c r="C667" s="1">
        <v>44092</v>
      </c>
      <c r="D667">
        <v>9978</v>
      </c>
      <c r="E667" t="b">
        <v>0</v>
      </c>
      <c r="F667">
        <v>96</v>
      </c>
      <c r="G667" t="s">
        <v>36</v>
      </c>
      <c r="H667" t="s">
        <v>49</v>
      </c>
      <c r="I667" t="s">
        <v>2116</v>
      </c>
    </row>
    <row r="668" spans="1:9" x14ac:dyDescent="0.35">
      <c r="A668">
        <v>739630</v>
      </c>
      <c r="B668" t="s">
        <v>286</v>
      </c>
      <c r="C668" s="1">
        <v>44092</v>
      </c>
      <c r="D668">
        <v>9978</v>
      </c>
      <c r="E668" t="b">
        <v>0</v>
      </c>
      <c r="F668">
        <v>96</v>
      </c>
      <c r="G668" t="s">
        <v>36</v>
      </c>
      <c r="H668" t="s">
        <v>792</v>
      </c>
      <c r="I668" t="s">
        <v>2116</v>
      </c>
    </row>
    <row r="669" spans="1:9" x14ac:dyDescent="0.35">
      <c r="A669">
        <v>739630</v>
      </c>
      <c r="B669" t="s">
        <v>286</v>
      </c>
      <c r="C669" s="1">
        <v>44092</v>
      </c>
      <c r="D669">
        <v>9978</v>
      </c>
      <c r="E669" t="b">
        <v>0</v>
      </c>
      <c r="F669">
        <v>96</v>
      </c>
      <c r="G669" t="s">
        <v>36</v>
      </c>
      <c r="H669" t="s">
        <v>346</v>
      </c>
      <c r="I669" t="s">
        <v>2117</v>
      </c>
    </row>
    <row r="670" spans="1:9" x14ac:dyDescent="0.35">
      <c r="A670">
        <v>739630</v>
      </c>
      <c r="B670" t="s">
        <v>286</v>
      </c>
      <c r="C670" s="1">
        <v>44092</v>
      </c>
      <c r="D670">
        <v>9978</v>
      </c>
      <c r="E670" t="b">
        <v>0</v>
      </c>
      <c r="F670">
        <v>96</v>
      </c>
      <c r="G670" t="s">
        <v>36</v>
      </c>
      <c r="H670" t="s">
        <v>239</v>
      </c>
      <c r="I670" t="s">
        <v>2117</v>
      </c>
    </row>
    <row r="671" spans="1:9" x14ac:dyDescent="0.35">
      <c r="A671">
        <v>739630</v>
      </c>
      <c r="B671" t="s">
        <v>286</v>
      </c>
      <c r="C671" s="1">
        <v>44092</v>
      </c>
      <c r="D671">
        <v>9978</v>
      </c>
      <c r="E671" t="b">
        <v>0</v>
      </c>
      <c r="F671">
        <v>96</v>
      </c>
      <c r="G671" t="s">
        <v>36</v>
      </c>
      <c r="H671" t="s">
        <v>132</v>
      </c>
      <c r="I671" t="s">
        <v>2117</v>
      </c>
    </row>
    <row r="672" spans="1:9" x14ac:dyDescent="0.35">
      <c r="A672">
        <v>739630</v>
      </c>
      <c r="B672" t="s">
        <v>286</v>
      </c>
      <c r="C672" s="1">
        <v>44092</v>
      </c>
      <c r="D672">
        <v>9978</v>
      </c>
      <c r="E672" t="b">
        <v>0</v>
      </c>
      <c r="F672">
        <v>96</v>
      </c>
      <c r="G672" t="s">
        <v>36</v>
      </c>
      <c r="H672" t="s">
        <v>124</v>
      </c>
      <c r="I672" t="s">
        <v>2117</v>
      </c>
    </row>
    <row r="673" spans="1:9" x14ac:dyDescent="0.35">
      <c r="A673">
        <v>739630</v>
      </c>
      <c r="B673" t="s">
        <v>286</v>
      </c>
      <c r="C673" s="1">
        <v>44092</v>
      </c>
      <c r="D673">
        <v>9978</v>
      </c>
      <c r="E673" t="b">
        <v>0</v>
      </c>
      <c r="F673">
        <v>96</v>
      </c>
      <c r="G673" t="s">
        <v>36</v>
      </c>
      <c r="H673" t="s">
        <v>1510</v>
      </c>
      <c r="I673" t="s">
        <v>2117</v>
      </c>
    </row>
    <row r="674" spans="1:9" x14ac:dyDescent="0.35">
      <c r="A674">
        <v>1454400</v>
      </c>
      <c r="B674" t="s">
        <v>289</v>
      </c>
      <c r="C674" s="1">
        <v>44440</v>
      </c>
      <c r="D674">
        <v>9583</v>
      </c>
      <c r="E674" t="b">
        <v>1</v>
      </c>
      <c r="F674">
        <v>97</v>
      </c>
      <c r="G674" t="s">
        <v>14</v>
      </c>
      <c r="H674" t="s">
        <v>49</v>
      </c>
      <c r="I674" t="s">
        <v>2117</v>
      </c>
    </row>
    <row r="675" spans="1:9" x14ac:dyDescent="0.35">
      <c r="A675">
        <v>1454400</v>
      </c>
      <c r="B675" t="s">
        <v>289</v>
      </c>
      <c r="C675" s="1">
        <v>44440</v>
      </c>
      <c r="D675">
        <v>9583</v>
      </c>
      <c r="E675" t="b">
        <v>1</v>
      </c>
      <c r="F675">
        <v>97</v>
      </c>
      <c r="G675" t="s">
        <v>14</v>
      </c>
      <c r="H675" t="s">
        <v>792</v>
      </c>
      <c r="I675" t="s">
        <v>2116</v>
      </c>
    </row>
    <row r="676" spans="1:9" x14ac:dyDescent="0.35">
      <c r="A676">
        <v>1454400</v>
      </c>
      <c r="B676" t="s">
        <v>289</v>
      </c>
      <c r="C676" s="1">
        <v>44440</v>
      </c>
      <c r="D676">
        <v>9583</v>
      </c>
      <c r="E676" t="b">
        <v>1</v>
      </c>
      <c r="F676">
        <v>97</v>
      </c>
      <c r="G676" t="s">
        <v>14</v>
      </c>
      <c r="H676" t="s">
        <v>346</v>
      </c>
      <c r="I676" t="s">
        <v>2117</v>
      </c>
    </row>
    <row r="677" spans="1:9" x14ac:dyDescent="0.35">
      <c r="A677">
        <v>1454400</v>
      </c>
      <c r="B677" t="s">
        <v>289</v>
      </c>
      <c r="C677" s="1">
        <v>44440</v>
      </c>
      <c r="D677">
        <v>9583</v>
      </c>
      <c r="E677" t="b">
        <v>1</v>
      </c>
      <c r="F677">
        <v>97</v>
      </c>
      <c r="G677" t="s">
        <v>14</v>
      </c>
      <c r="H677" t="s">
        <v>239</v>
      </c>
      <c r="I677" t="s">
        <v>2116</v>
      </c>
    </row>
    <row r="678" spans="1:9" x14ac:dyDescent="0.35">
      <c r="A678">
        <v>1454400</v>
      </c>
      <c r="B678" t="s">
        <v>289</v>
      </c>
      <c r="C678" s="1">
        <v>44440</v>
      </c>
      <c r="D678">
        <v>9583</v>
      </c>
      <c r="E678" t="b">
        <v>1</v>
      </c>
      <c r="F678">
        <v>97</v>
      </c>
      <c r="G678" t="s">
        <v>14</v>
      </c>
      <c r="H678" t="s">
        <v>132</v>
      </c>
      <c r="I678" t="s">
        <v>2117</v>
      </c>
    </row>
    <row r="679" spans="1:9" x14ac:dyDescent="0.35">
      <c r="A679">
        <v>1454400</v>
      </c>
      <c r="B679" t="s">
        <v>289</v>
      </c>
      <c r="C679" s="1">
        <v>44440</v>
      </c>
      <c r="D679">
        <v>9583</v>
      </c>
      <c r="E679" t="b">
        <v>1</v>
      </c>
      <c r="F679">
        <v>97</v>
      </c>
      <c r="G679" t="s">
        <v>14</v>
      </c>
      <c r="H679" t="s">
        <v>124</v>
      </c>
      <c r="I679" t="s">
        <v>2116</v>
      </c>
    </row>
    <row r="680" spans="1:9" x14ac:dyDescent="0.35">
      <c r="A680">
        <v>1454400</v>
      </c>
      <c r="B680" t="s">
        <v>289</v>
      </c>
      <c r="C680" s="1">
        <v>44440</v>
      </c>
      <c r="D680">
        <v>9583</v>
      </c>
      <c r="E680" t="b">
        <v>1</v>
      </c>
      <c r="F680">
        <v>97</v>
      </c>
      <c r="G680" t="s">
        <v>14</v>
      </c>
      <c r="H680" t="s">
        <v>1510</v>
      </c>
      <c r="I680" t="s">
        <v>2117</v>
      </c>
    </row>
    <row r="681" spans="1:9" x14ac:dyDescent="0.35">
      <c r="A681">
        <v>2221490</v>
      </c>
      <c r="B681" t="s">
        <v>291</v>
      </c>
      <c r="C681" s="1">
        <v>44938</v>
      </c>
      <c r="D681">
        <v>9481</v>
      </c>
      <c r="E681" t="b">
        <v>0</v>
      </c>
      <c r="F681">
        <v>98</v>
      </c>
      <c r="G681" t="s">
        <v>293</v>
      </c>
      <c r="H681" t="s">
        <v>49</v>
      </c>
      <c r="I681" t="s">
        <v>2116</v>
      </c>
    </row>
    <row r="682" spans="1:9" x14ac:dyDescent="0.35">
      <c r="A682">
        <v>2221490</v>
      </c>
      <c r="B682" t="s">
        <v>291</v>
      </c>
      <c r="C682" s="1">
        <v>44938</v>
      </c>
      <c r="D682">
        <v>9481</v>
      </c>
      <c r="E682" t="b">
        <v>0</v>
      </c>
      <c r="F682">
        <v>98</v>
      </c>
      <c r="G682" t="s">
        <v>293</v>
      </c>
      <c r="H682" t="s">
        <v>792</v>
      </c>
      <c r="I682" t="s">
        <v>2117</v>
      </c>
    </row>
    <row r="683" spans="1:9" x14ac:dyDescent="0.35">
      <c r="A683">
        <v>2221490</v>
      </c>
      <c r="B683" t="s">
        <v>291</v>
      </c>
      <c r="C683" s="1">
        <v>44938</v>
      </c>
      <c r="D683">
        <v>9481</v>
      </c>
      <c r="E683" t="b">
        <v>0</v>
      </c>
      <c r="F683">
        <v>98</v>
      </c>
      <c r="G683" t="s">
        <v>293</v>
      </c>
      <c r="H683" t="s">
        <v>346</v>
      </c>
      <c r="I683" t="s">
        <v>2116</v>
      </c>
    </row>
    <row r="684" spans="1:9" x14ac:dyDescent="0.35">
      <c r="A684">
        <v>2221490</v>
      </c>
      <c r="B684" t="s">
        <v>291</v>
      </c>
      <c r="C684" s="1">
        <v>44938</v>
      </c>
      <c r="D684">
        <v>9481</v>
      </c>
      <c r="E684" t="b">
        <v>0</v>
      </c>
      <c r="F684">
        <v>98</v>
      </c>
      <c r="G684" t="s">
        <v>293</v>
      </c>
      <c r="H684" t="s">
        <v>239</v>
      </c>
      <c r="I684" t="s">
        <v>2117</v>
      </c>
    </row>
    <row r="685" spans="1:9" x14ac:dyDescent="0.35">
      <c r="A685">
        <v>2221490</v>
      </c>
      <c r="B685" t="s">
        <v>291</v>
      </c>
      <c r="C685" s="1">
        <v>44938</v>
      </c>
      <c r="D685">
        <v>9481</v>
      </c>
      <c r="E685" t="b">
        <v>0</v>
      </c>
      <c r="F685">
        <v>98</v>
      </c>
      <c r="G685" t="s">
        <v>293</v>
      </c>
      <c r="H685" t="s">
        <v>132</v>
      </c>
      <c r="I685" t="s">
        <v>2116</v>
      </c>
    </row>
    <row r="686" spans="1:9" x14ac:dyDescent="0.35">
      <c r="A686">
        <v>2221490</v>
      </c>
      <c r="B686" t="s">
        <v>291</v>
      </c>
      <c r="C686" s="1">
        <v>44938</v>
      </c>
      <c r="D686">
        <v>9481</v>
      </c>
      <c r="E686" t="b">
        <v>0</v>
      </c>
      <c r="F686">
        <v>98</v>
      </c>
      <c r="G686" t="s">
        <v>293</v>
      </c>
      <c r="H686" t="s">
        <v>124</v>
      </c>
      <c r="I686" t="s">
        <v>2117</v>
      </c>
    </row>
    <row r="687" spans="1:9" x14ac:dyDescent="0.35">
      <c r="A687">
        <v>2221490</v>
      </c>
      <c r="B687" t="s">
        <v>291</v>
      </c>
      <c r="C687" s="1">
        <v>44938</v>
      </c>
      <c r="D687">
        <v>9481</v>
      </c>
      <c r="E687" t="b">
        <v>0</v>
      </c>
      <c r="F687">
        <v>98</v>
      </c>
      <c r="G687" t="s">
        <v>293</v>
      </c>
      <c r="H687" t="s">
        <v>1510</v>
      </c>
      <c r="I687" t="s">
        <v>2117</v>
      </c>
    </row>
    <row r="688" spans="1:9" x14ac:dyDescent="0.35">
      <c r="A688">
        <v>1237950</v>
      </c>
      <c r="B688" t="s">
        <v>294</v>
      </c>
      <c r="C688" s="1">
        <v>43993</v>
      </c>
      <c r="D688">
        <v>9213</v>
      </c>
      <c r="E688" t="b">
        <v>0</v>
      </c>
      <c r="F688">
        <v>99</v>
      </c>
      <c r="G688" t="s">
        <v>293</v>
      </c>
      <c r="H688" t="s">
        <v>49</v>
      </c>
      <c r="I688" t="s">
        <v>2116</v>
      </c>
    </row>
    <row r="689" spans="1:9" x14ac:dyDescent="0.35">
      <c r="A689">
        <v>1237950</v>
      </c>
      <c r="B689" t="s">
        <v>294</v>
      </c>
      <c r="C689" s="1">
        <v>43993</v>
      </c>
      <c r="D689">
        <v>9213</v>
      </c>
      <c r="E689" t="b">
        <v>0</v>
      </c>
      <c r="F689">
        <v>99</v>
      </c>
      <c r="G689" t="s">
        <v>293</v>
      </c>
      <c r="H689" t="s">
        <v>792</v>
      </c>
      <c r="I689" t="s">
        <v>2117</v>
      </c>
    </row>
    <row r="690" spans="1:9" x14ac:dyDescent="0.35">
      <c r="A690">
        <v>1237950</v>
      </c>
      <c r="B690" t="s">
        <v>294</v>
      </c>
      <c r="C690" s="1">
        <v>43993</v>
      </c>
      <c r="D690">
        <v>9213</v>
      </c>
      <c r="E690" t="b">
        <v>0</v>
      </c>
      <c r="F690">
        <v>99</v>
      </c>
      <c r="G690" t="s">
        <v>293</v>
      </c>
      <c r="H690" t="s">
        <v>346</v>
      </c>
      <c r="I690" t="s">
        <v>2116</v>
      </c>
    </row>
    <row r="691" spans="1:9" x14ac:dyDescent="0.35">
      <c r="A691">
        <v>1237950</v>
      </c>
      <c r="B691" t="s">
        <v>294</v>
      </c>
      <c r="C691" s="1">
        <v>43993</v>
      </c>
      <c r="D691">
        <v>9213</v>
      </c>
      <c r="E691" t="b">
        <v>0</v>
      </c>
      <c r="F691">
        <v>99</v>
      </c>
      <c r="G691" t="s">
        <v>293</v>
      </c>
      <c r="H691" t="s">
        <v>239</v>
      </c>
      <c r="I691" t="s">
        <v>2117</v>
      </c>
    </row>
    <row r="692" spans="1:9" x14ac:dyDescent="0.35">
      <c r="A692">
        <v>1237950</v>
      </c>
      <c r="B692" t="s">
        <v>294</v>
      </c>
      <c r="C692" s="1">
        <v>43993</v>
      </c>
      <c r="D692">
        <v>9213</v>
      </c>
      <c r="E692" t="b">
        <v>0</v>
      </c>
      <c r="F692">
        <v>99</v>
      </c>
      <c r="G692" t="s">
        <v>293</v>
      </c>
      <c r="H692" t="s">
        <v>132</v>
      </c>
      <c r="I692" t="s">
        <v>2117</v>
      </c>
    </row>
    <row r="693" spans="1:9" x14ac:dyDescent="0.35">
      <c r="A693">
        <v>1237950</v>
      </c>
      <c r="B693" t="s">
        <v>294</v>
      </c>
      <c r="C693" s="1">
        <v>43993</v>
      </c>
      <c r="D693">
        <v>9213</v>
      </c>
      <c r="E693" t="b">
        <v>0</v>
      </c>
      <c r="F693">
        <v>99</v>
      </c>
      <c r="G693" t="s">
        <v>293</v>
      </c>
      <c r="H693" t="s">
        <v>124</v>
      </c>
      <c r="I693" t="s">
        <v>2117</v>
      </c>
    </row>
    <row r="694" spans="1:9" x14ac:dyDescent="0.35">
      <c r="A694">
        <v>1237950</v>
      </c>
      <c r="B694" t="s">
        <v>294</v>
      </c>
      <c r="C694" s="1">
        <v>43993</v>
      </c>
      <c r="D694">
        <v>9213</v>
      </c>
      <c r="E694" t="b">
        <v>0</v>
      </c>
      <c r="F694">
        <v>99</v>
      </c>
      <c r="G694" t="s">
        <v>293</v>
      </c>
      <c r="H694" t="s">
        <v>1510</v>
      </c>
      <c r="I694" t="s">
        <v>2117</v>
      </c>
    </row>
    <row r="695" spans="1:9" x14ac:dyDescent="0.35">
      <c r="A695">
        <v>393380</v>
      </c>
      <c r="B695" t="s">
        <v>296</v>
      </c>
      <c r="C695" s="1">
        <v>44097</v>
      </c>
      <c r="D695">
        <v>9116</v>
      </c>
      <c r="E695" t="b">
        <v>0</v>
      </c>
      <c r="F695">
        <v>100</v>
      </c>
      <c r="G695" t="s">
        <v>29</v>
      </c>
      <c r="H695" t="s">
        <v>49</v>
      </c>
      <c r="I695" t="s">
        <v>2116</v>
      </c>
    </row>
    <row r="696" spans="1:9" x14ac:dyDescent="0.35">
      <c r="A696">
        <v>393380</v>
      </c>
      <c r="B696" t="s">
        <v>296</v>
      </c>
      <c r="C696" s="1">
        <v>44097</v>
      </c>
      <c r="D696">
        <v>9116</v>
      </c>
      <c r="E696" t="b">
        <v>0</v>
      </c>
      <c r="F696">
        <v>100</v>
      </c>
      <c r="G696" t="s">
        <v>29</v>
      </c>
      <c r="H696" t="s">
        <v>792</v>
      </c>
      <c r="I696" t="s">
        <v>2116</v>
      </c>
    </row>
    <row r="697" spans="1:9" x14ac:dyDescent="0.35">
      <c r="A697">
        <v>393380</v>
      </c>
      <c r="B697" t="s">
        <v>296</v>
      </c>
      <c r="C697" s="1">
        <v>44097</v>
      </c>
      <c r="D697">
        <v>9116</v>
      </c>
      <c r="E697" t="b">
        <v>0</v>
      </c>
      <c r="F697">
        <v>100</v>
      </c>
      <c r="G697" t="s">
        <v>29</v>
      </c>
      <c r="H697" t="s">
        <v>346</v>
      </c>
      <c r="I697" t="s">
        <v>2117</v>
      </c>
    </row>
    <row r="698" spans="1:9" x14ac:dyDescent="0.35">
      <c r="A698">
        <v>393380</v>
      </c>
      <c r="B698" t="s">
        <v>296</v>
      </c>
      <c r="C698" s="1">
        <v>44097</v>
      </c>
      <c r="D698">
        <v>9116</v>
      </c>
      <c r="E698" t="b">
        <v>0</v>
      </c>
      <c r="F698">
        <v>100</v>
      </c>
      <c r="G698" t="s">
        <v>29</v>
      </c>
      <c r="H698" t="s">
        <v>239</v>
      </c>
      <c r="I698" t="s">
        <v>2117</v>
      </c>
    </row>
    <row r="699" spans="1:9" x14ac:dyDescent="0.35">
      <c r="A699">
        <v>393380</v>
      </c>
      <c r="B699" t="s">
        <v>296</v>
      </c>
      <c r="C699" s="1">
        <v>44097</v>
      </c>
      <c r="D699">
        <v>9116</v>
      </c>
      <c r="E699" t="b">
        <v>0</v>
      </c>
      <c r="F699">
        <v>100</v>
      </c>
      <c r="G699" t="s">
        <v>29</v>
      </c>
      <c r="H699" t="s">
        <v>132</v>
      </c>
      <c r="I699" t="s">
        <v>2117</v>
      </c>
    </row>
    <row r="700" spans="1:9" x14ac:dyDescent="0.35">
      <c r="A700">
        <v>393380</v>
      </c>
      <c r="B700" t="s">
        <v>296</v>
      </c>
      <c r="C700" s="1">
        <v>44097</v>
      </c>
      <c r="D700">
        <v>9116</v>
      </c>
      <c r="E700" t="b">
        <v>0</v>
      </c>
      <c r="F700">
        <v>100</v>
      </c>
      <c r="G700" t="s">
        <v>29</v>
      </c>
      <c r="H700" t="s">
        <v>124</v>
      </c>
      <c r="I700" t="s">
        <v>2116</v>
      </c>
    </row>
    <row r="701" spans="1:9" x14ac:dyDescent="0.35">
      <c r="A701">
        <v>393380</v>
      </c>
      <c r="B701" t="s">
        <v>296</v>
      </c>
      <c r="C701" s="1">
        <v>44097</v>
      </c>
      <c r="D701">
        <v>9116</v>
      </c>
      <c r="E701" t="b">
        <v>0</v>
      </c>
      <c r="F701">
        <v>100</v>
      </c>
      <c r="G701" t="s">
        <v>29</v>
      </c>
      <c r="H701" t="s">
        <v>1510</v>
      </c>
      <c r="I701" t="s">
        <v>2117</v>
      </c>
    </row>
    <row r="702" spans="1:9" x14ac:dyDescent="0.35">
      <c r="A702">
        <v>244210</v>
      </c>
      <c r="B702" t="s">
        <v>299</v>
      </c>
      <c r="C702" s="1">
        <v>41992</v>
      </c>
      <c r="D702">
        <v>8961</v>
      </c>
      <c r="E702" t="b">
        <v>0</v>
      </c>
      <c r="F702">
        <v>101</v>
      </c>
      <c r="G702" t="s">
        <v>967</v>
      </c>
      <c r="H702" t="s">
        <v>49</v>
      </c>
      <c r="I702" t="s">
        <v>2117</v>
      </c>
    </row>
    <row r="703" spans="1:9" x14ac:dyDescent="0.35">
      <c r="A703">
        <v>244210</v>
      </c>
      <c r="B703" t="s">
        <v>299</v>
      </c>
      <c r="C703" s="1">
        <v>41992</v>
      </c>
      <c r="D703">
        <v>8961</v>
      </c>
      <c r="E703" t="b">
        <v>0</v>
      </c>
      <c r="F703">
        <v>101</v>
      </c>
      <c r="G703" t="s">
        <v>967</v>
      </c>
      <c r="H703" t="s">
        <v>792</v>
      </c>
      <c r="I703" t="s">
        <v>2116</v>
      </c>
    </row>
    <row r="704" spans="1:9" x14ac:dyDescent="0.35">
      <c r="A704">
        <v>244210</v>
      </c>
      <c r="B704" t="s">
        <v>299</v>
      </c>
      <c r="C704" s="1">
        <v>41992</v>
      </c>
      <c r="D704">
        <v>8961</v>
      </c>
      <c r="E704" t="b">
        <v>0</v>
      </c>
      <c r="F704">
        <v>101</v>
      </c>
      <c r="G704" t="s">
        <v>967</v>
      </c>
      <c r="H704" t="s">
        <v>346</v>
      </c>
      <c r="I704" t="s">
        <v>2117</v>
      </c>
    </row>
    <row r="705" spans="1:9" x14ac:dyDescent="0.35">
      <c r="A705">
        <v>244210</v>
      </c>
      <c r="B705" t="s">
        <v>299</v>
      </c>
      <c r="C705" s="1">
        <v>41992</v>
      </c>
      <c r="D705">
        <v>8961</v>
      </c>
      <c r="E705" t="b">
        <v>0</v>
      </c>
      <c r="F705">
        <v>101</v>
      </c>
      <c r="G705" t="s">
        <v>967</v>
      </c>
      <c r="H705" t="s">
        <v>239</v>
      </c>
      <c r="I705" t="s">
        <v>2116</v>
      </c>
    </row>
    <row r="706" spans="1:9" x14ac:dyDescent="0.35">
      <c r="A706">
        <v>244210</v>
      </c>
      <c r="B706" t="s">
        <v>299</v>
      </c>
      <c r="C706" s="1">
        <v>41992</v>
      </c>
      <c r="D706">
        <v>8961</v>
      </c>
      <c r="E706" t="b">
        <v>0</v>
      </c>
      <c r="F706">
        <v>101</v>
      </c>
      <c r="G706" t="s">
        <v>967</v>
      </c>
      <c r="H706" t="s">
        <v>132</v>
      </c>
      <c r="I706" t="s">
        <v>2117</v>
      </c>
    </row>
    <row r="707" spans="1:9" x14ac:dyDescent="0.35">
      <c r="A707">
        <v>244210</v>
      </c>
      <c r="B707" t="s">
        <v>299</v>
      </c>
      <c r="C707" s="1">
        <v>41992</v>
      </c>
      <c r="D707">
        <v>8961</v>
      </c>
      <c r="E707" t="b">
        <v>0</v>
      </c>
      <c r="F707">
        <v>101</v>
      </c>
      <c r="G707" t="s">
        <v>967</v>
      </c>
      <c r="H707" t="s">
        <v>124</v>
      </c>
      <c r="I707" t="s">
        <v>2117</v>
      </c>
    </row>
    <row r="708" spans="1:9" x14ac:dyDescent="0.35">
      <c r="A708">
        <v>244210</v>
      </c>
      <c r="B708" t="s">
        <v>299</v>
      </c>
      <c r="C708" s="1">
        <v>41992</v>
      </c>
      <c r="D708">
        <v>8961</v>
      </c>
      <c r="E708" t="b">
        <v>0</v>
      </c>
      <c r="F708">
        <v>101</v>
      </c>
      <c r="G708" t="s">
        <v>967</v>
      </c>
      <c r="H708" t="s">
        <v>1510</v>
      </c>
      <c r="I708" t="s">
        <v>2117</v>
      </c>
    </row>
    <row r="709" spans="1:9" x14ac:dyDescent="0.35">
      <c r="A709">
        <v>255710</v>
      </c>
      <c r="B709" t="s">
        <v>302</v>
      </c>
      <c r="C709" s="1">
        <v>42073</v>
      </c>
      <c r="D709">
        <v>8842</v>
      </c>
      <c r="E709" t="b">
        <v>1</v>
      </c>
      <c r="F709">
        <v>102</v>
      </c>
      <c r="G709" t="s">
        <v>2087</v>
      </c>
      <c r="H709" t="s">
        <v>49</v>
      </c>
      <c r="I709" t="s">
        <v>2117</v>
      </c>
    </row>
    <row r="710" spans="1:9" x14ac:dyDescent="0.35">
      <c r="A710">
        <v>255710</v>
      </c>
      <c r="B710" t="s">
        <v>302</v>
      </c>
      <c r="C710" s="1">
        <v>42073</v>
      </c>
      <c r="D710">
        <v>8842</v>
      </c>
      <c r="E710" t="b">
        <v>1</v>
      </c>
      <c r="F710">
        <v>102</v>
      </c>
      <c r="G710" t="s">
        <v>2087</v>
      </c>
      <c r="H710" t="s">
        <v>792</v>
      </c>
      <c r="I710" t="s">
        <v>2117</v>
      </c>
    </row>
    <row r="711" spans="1:9" x14ac:dyDescent="0.35">
      <c r="A711">
        <v>255710</v>
      </c>
      <c r="B711" t="s">
        <v>302</v>
      </c>
      <c r="C711" s="1">
        <v>42073</v>
      </c>
      <c r="D711">
        <v>8842</v>
      </c>
      <c r="E711" t="b">
        <v>1</v>
      </c>
      <c r="F711">
        <v>102</v>
      </c>
      <c r="G711" t="s">
        <v>2087</v>
      </c>
      <c r="H711" t="s">
        <v>346</v>
      </c>
      <c r="I711" t="s">
        <v>2117</v>
      </c>
    </row>
    <row r="712" spans="1:9" x14ac:dyDescent="0.35">
      <c r="A712">
        <v>255710</v>
      </c>
      <c r="B712" t="s">
        <v>302</v>
      </c>
      <c r="C712" s="1">
        <v>42073</v>
      </c>
      <c r="D712">
        <v>8842</v>
      </c>
      <c r="E712" t="b">
        <v>1</v>
      </c>
      <c r="F712">
        <v>102</v>
      </c>
      <c r="G712" t="s">
        <v>2087</v>
      </c>
      <c r="H712" t="s">
        <v>239</v>
      </c>
      <c r="I712" t="s">
        <v>2116</v>
      </c>
    </row>
    <row r="713" spans="1:9" x14ac:dyDescent="0.35">
      <c r="A713">
        <v>255710</v>
      </c>
      <c r="B713" t="s">
        <v>302</v>
      </c>
      <c r="C713" s="1">
        <v>42073</v>
      </c>
      <c r="D713">
        <v>8842</v>
      </c>
      <c r="E713" t="b">
        <v>1</v>
      </c>
      <c r="F713">
        <v>102</v>
      </c>
      <c r="G713" t="s">
        <v>2087</v>
      </c>
      <c r="H713" t="s">
        <v>132</v>
      </c>
      <c r="I713" t="s">
        <v>2117</v>
      </c>
    </row>
    <row r="714" spans="1:9" x14ac:dyDescent="0.35">
      <c r="A714">
        <v>255710</v>
      </c>
      <c r="B714" t="s">
        <v>302</v>
      </c>
      <c r="C714" s="1">
        <v>42073</v>
      </c>
      <c r="D714">
        <v>8842</v>
      </c>
      <c r="E714" t="b">
        <v>1</v>
      </c>
      <c r="F714">
        <v>102</v>
      </c>
      <c r="G714" t="s">
        <v>2087</v>
      </c>
      <c r="H714" t="s">
        <v>124</v>
      </c>
      <c r="I714" t="s">
        <v>2116</v>
      </c>
    </row>
    <row r="715" spans="1:9" x14ac:dyDescent="0.35">
      <c r="A715">
        <v>255710</v>
      </c>
      <c r="B715" t="s">
        <v>302</v>
      </c>
      <c r="C715" s="1">
        <v>42073</v>
      </c>
      <c r="D715">
        <v>8842</v>
      </c>
      <c r="E715" t="b">
        <v>1</v>
      </c>
      <c r="F715">
        <v>102</v>
      </c>
      <c r="G715" t="s">
        <v>2087</v>
      </c>
      <c r="H715" t="s">
        <v>1510</v>
      </c>
      <c r="I715" t="s">
        <v>2117</v>
      </c>
    </row>
    <row r="716" spans="1:9" x14ac:dyDescent="0.35">
      <c r="A716">
        <v>2344520</v>
      </c>
      <c r="B716" t="s">
        <v>305</v>
      </c>
      <c r="C716" s="1">
        <v>45216</v>
      </c>
      <c r="D716">
        <v>8835</v>
      </c>
      <c r="E716" t="b">
        <v>0</v>
      </c>
      <c r="F716">
        <v>103</v>
      </c>
      <c r="G716" t="s">
        <v>33</v>
      </c>
      <c r="H716" t="s">
        <v>49</v>
      </c>
      <c r="I716" t="s">
        <v>2116</v>
      </c>
    </row>
    <row r="717" spans="1:9" x14ac:dyDescent="0.35">
      <c r="A717">
        <v>2344520</v>
      </c>
      <c r="B717" t="s">
        <v>305</v>
      </c>
      <c r="C717" s="1">
        <v>45216</v>
      </c>
      <c r="D717">
        <v>8835</v>
      </c>
      <c r="E717" t="b">
        <v>0</v>
      </c>
      <c r="F717">
        <v>103</v>
      </c>
      <c r="G717" t="s">
        <v>33</v>
      </c>
      <c r="H717" t="s">
        <v>792</v>
      </c>
      <c r="I717" t="s">
        <v>2117</v>
      </c>
    </row>
    <row r="718" spans="1:9" x14ac:dyDescent="0.35">
      <c r="A718">
        <v>2344520</v>
      </c>
      <c r="B718" t="s">
        <v>305</v>
      </c>
      <c r="C718" s="1">
        <v>45216</v>
      </c>
      <c r="D718">
        <v>8835</v>
      </c>
      <c r="E718" t="b">
        <v>0</v>
      </c>
      <c r="F718">
        <v>103</v>
      </c>
      <c r="G718" t="s">
        <v>33</v>
      </c>
      <c r="H718" t="s">
        <v>346</v>
      </c>
      <c r="I718" t="s">
        <v>2117</v>
      </c>
    </row>
    <row r="719" spans="1:9" x14ac:dyDescent="0.35">
      <c r="A719">
        <v>2344520</v>
      </c>
      <c r="B719" t="s">
        <v>305</v>
      </c>
      <c r="C719" s="1">
        <v>45216</v>
      </c>
      <c r="D719">
        <v>8835</v>
      </c>
      <c r="E719" t="b">
        <v>0</v>
      </c>
      <c r="F719">
        <v>103</v>
      </c>
      <c r="G719" t="s">
        <v>33</v>
      </c>
      <c r="H719" t="s">
        <v>239</v>
      </c>
      <c r="I719" t="s">
        <v>2117</v>
      </c>
    </row>
    <row r="720" spans="1:9" x14ac:dyDescent="0.35">
      <c r="A720">
        <v>2344520</v>
      </c>
      <c r="B720" t="s">
        <v>305</v>
      </c>
      <c r="C720" s="1">
        <v>45216</v>
      </c>
      <c r="D720">
        <v>8835</v>
      </c>
      <c r="E720" t="b">
        <v>0</v>
      </c>
      <c r="F720">
        <v>103</v>
      </c>
      <c r="G720" t="s">
        <v>33</v>
      </c>
      <c r="H720" t="s">
        <v>132</v>
      </c>
      <c r="I720" t="s">
        <v>2116</v>
      </c>
    </row>
    <row r="721" spans="1:9" x14ac:dyDescent="0.35">
      <c r="A721">
        <v>2344520</v>
      </c>
      <c r="B721" t="s">
        <v>305</v>
      </c>
      <c r="C721" s="1">
        <v>45216</v>
      </c>
      <c r="D721">
        <v>8835</v>
      </c>
      <c r="E721" t="b">
        <v>0</v>
      </c>
      <c r="F721">
        <v>103</v>
      </c>
      <c r="G721" t="s">
        <v>33</v>
      </c>
      <c r="H721" t="s">
        <v>124</v>
      </c>
      <c r="I721" t="s">
        <v>2117</v>
      </c>
    </row>
    <row r="722" spans="1:9" x14ac:dyDescent="0.35">
      <c r="A722">
        <v>2344520</v>
      </c>
      <c r="B722" t="s">
        <v>305</v>
      </c>
      <c r="C722" s="1">
        <v>45216</v>
      </c>
      <c r="D722">
        <v>8835</v>
      </c>
      <c r="E722" t="b">
        <v>0</v>
      </c>
      <c r="F722">
        <v>103</v>
      </c>
      <c r="G722" t="s">
        <v>33</v>
      </c>
      <c r="H722" t="s">
        <v>1510</v>
      </c>
      <c r="I722" t="s">
        <v>2117</v>
      </c>
    </row>
    <row r="723" spans="1:9" x14ac:dyDescent="0.35">
      <c r="A723">
        <v>1151340</v>
      </c>
      <c r="B723" t="s">
        <v>307</v>
      </c>
      <c r="C723" s="1">
        <v>43935</v>
      </c>
      <c r="D723">
        <v>8796</v>
      </c>
      <c r="E723" t="b">
        <v>0</v>
      </c>
      <c r="F723">
        <v>104</v>
      </c>
      <c r="G723" t="s">
        <v>33</v>
      </c>
      <c r="H723" t="s">
        <v>49</v>
      </c>
      <c r="I723" t="s">
        <v>2117</v>
      </c>
    </row>
    <row r="724" spans="1:9" x14ac:dyDescent="0.35">
      <c r="A724">
        <v>1151340</v>
      </c>
      <c r="B724" t="s">
        <v>307</v>
      </c>
      <c r="C724" s="1">
        <v>43935</v>
      </c>
      <c r="D724">
        <v>8796</v>
      </c>
      <c r="E724" t="b">
        <v>0</v>
      </c>
      <c r="F724">
        <v>104</v>
      </c>
      <c r="G724" t="s">
        <v>33</v>
      </c>
      <c r="H724" t="s">
        <v>792</v>
      </c>
      <c r="I724" t="s">
        <v>2117</v>
      </c>
    </row>
    <row r="725" spans="1:9" x14ac:dyDescent="0.35">
      <c r="A725">
        <v>1151340</v>
      </c>
      <c r="B725" t="s">
        <v>307</v>
      </c>
      <c r="C725" s="1">
        <v>43935</v>
      </c>
      <c r="D725">
        <v>8796</v>
      </c>
      <c r="E725" t="b">
        <v>0</v>
      </c>
      <c r="F725">
        <v>104</v>
      </c>
      <c r="G725" t="s">
        <v>33</v>
      </c>
      <c r="H725" t="s">
        <v>346</v>
      </c>
      <c r="I725" t="s">
        <v>2117</v>
      </c>
    </row>
    <row r="726" spans="1:9" x14ac:dyDescent="0.35">
      <c r="A726">
        <v>1151340</v>
      </c>
      <c r="B726" t="s">
        <v>307</v>
      </c>
      <c r="C726" s="1">
        <v>43935</v>
      </c>
      <c r="D726">
        <v>8796</v>
      </c>
      <c r="E726" t="b">
        <v>0</v>
      </c>
      <c r="F726">
        <v>104</v>
      </c>
      <c r="G726" t="s">
        <v>33</v>
      </c>
      <c r="H726" t="s">
        <v>239</v>
      </c>
      <c r="I726" t="s">
        <v>2117</v>
      </c>
    </row>
    <row r="727" spans="1:9" x14ac:dyDescent="0.35">
      <c r="A727">
        <v>1151340</v>
      </c>
      <c r="B727" t="s">
        <v>307</v>
      </c>
      <c r="C727" s="1">
        <v>43935</v>
      </c>
      <c r="D727">
        <v>8796</v>
      </c>
      <c r="E727" t="b">
        <v>0</v>
      </c>
      <c r="F727">
        <v>104</v>
      </c>
      <c r="G727" t="s">
        <v>33</v>
      </c>
      <c r="H727" t="s">
        <v>132</v>
      </c>
      <c r="I727" t="s">
        <v>2116</v>
      </c>
    </row>
    <row r="728" spans="1:9" x14ac:dyDescent="0.35">
      <c r="A728">
        <v>1151340</v>
      </c>
      <c r="B728" t="s">
        <v>307</v>
      </c>
      <c r="C728" s="1">
        <v>43935</v>
      </c>
      <c r="D728">
        <v>8796</v>
      </c>
      <c r="E728" t="b">
        <v>0</v>
      </c>
      <c r="F728">
        <v>104</v>
      </c>
      <c r="G728" t="s">
        <v>33</v>
      </c>
      <c r="H728" t="s">
        <v>124</v>
      </c>
      <c r="I728" t="s">
        <v>2117</v>
      </c>
    </row>
    <row r="729" spans="1:9" x14ac:dyDescent="0.35">
      <c r="A729">
        <v>1151340</v>
      </c>
      <c r="B729" t="s">
        <v>307</v>
      </c>
      <c r="C729" s="1">
        <v>43935</v>
      </c>
      <c r="D729">
        <v>8796</v>
      </c>
      <c r="E729" t="b">
        <v>0</v>
      </c>
      <c r="F729">
        <v>104</v>
      </c>
      <c r="G729" t="s">
        <v>33</v>
      </c>
      <c r="H729" t="s">
        <v>1510</v>
      </c>
      <c r="I729" t="s">
        <v>2117</v>
      </c>
    </row>
    <row r="730" spans="1:9" x14ac:dyDescent="0.35">
      <c r="A730">
        <v>49520</v>
      </c>
      <c r="B730" t="s">
        <v>309</v>
      </c>
      <c r="C730" s="1">
        <v>41169</v>
      </c>
      <c r="D730">
        <v>8551</v>
      </c>
      <c r="E730" t="b">
        <v>1</v>
      </c>
      <c r="F730">
        <v>105</v>
      </c>
      <c r="G730" t="s">
        <v>2082</v>
      </c>
      <c r="H730" t="s">
        <v>49</v>
      </c>
      <c r="I730" t="s">
        <v>2116</v>
      </c>
    </row>
    <row r="731" spans="1:9" x14ac:dyDescent="0.35">
      <c r="A731">
        <v>49520</v>
      </c>
      <c r="B731" t="s">
        <v>309</v>
      </c>
      <c r="C731" s="1">
        <v>41169</v>
      </c>
      <c r="D731">
        <v>8551</v>
      </c>
      <c r="E731" t="b">
        <v>1</v>
      </c>
      <c r="F731">
        <v>105</v>
      </c>
      <c r="G731" t="s">
        <v>2082</v>
      </c>
      <c r="H731" t="s">
        <v>792</v>
      </c>
      <c r="I731" t="s">
        <v>2117</v>
      </c>
    </row>
    <row r="732" spans="1:9" x14ac:dyDescent="0.35">
      <c r="A732">
        <v>49520</v>
      </c>
      <c r="B732" t="s">
        <v>309</v>
      </c>
      <c r="C732" s="1">
        <v>41169</v>
      </c>
      <c r="D732">
        <v>8551</v>
      </c>
      <c r="E732" t="b">
        <v>1</v>
      </c>
      <c r="F732">
        <v>105</v>
      </c>
      <c r="G732" t="s">
        <v>2082</v>
      </c>
      <c r="H732" t="s">
        <v>346</v>
      </c>
      <c r="I732" t="s">
        <v>2117</v>
      </c>
    </row>
    <row r="733" spans="1:9" x14ac:dyDescent="0.35">
      <c r="A733">
        <v>49520</v>
      </c>
      <c r="B733" t="s">
        <v>309</v>
      </c>
      <c r="C733" s="1">
        <v>41169</v>
      </c>
      <c r="D733">
        <v>8551</v>
      </c>
      <c r="E733" t="b">
        <v>1</v>
      </c>
      <c r="F733">
        <v>105</v>
      </c>
      <c r="G733" t="s">
        <v>2082</v>
      </c>
      <c r="H733" t="s">
        <v>239</v>
      </c>
      <c r="I733" t="s">
        <v>2117</v>
      </c>
    </row>
    <row r="734" spans="1:9" x14ac:dyDescent="0.35">
      <c r="A734">
        <v>49520</v>
      </c>
      <c r="B734" t="s">
        <v>309</v>
      </c>
      <c r="C734" s="1">
        <v>41169</v>
      </c>
      <c r="D734">
        <v>8551</v>
      </c>
      <c r="E734" t="b">
        <v>1</v>
      </c>
      <c r="F734">
        <v>105</v>
      </c>
      <c r="G734" t="s">
        <v>2082</v>
      </c>
      <c r="H734" t="s">
        <v>132</v>
      </c>
      <c r="I734" t="s">
        <v>2116</v>
      </c>
    </row>
    <row r="735" spans="1:9" x14ac:dyDescent="0.35">
      <c r="A735">
        <v>49520</v>
      </c>
      <c r="B735" t="s">
        <v>309</v>
      </c>
      <c r="C735" s="1">
        <v>41169</v>
      </c>
      <c r="D735">
        <v>8551</v>
      </c>
      <c r="E735" t="b">
        <v>1</v>
      </c>
      <c r="F735">
        <v>105</v>
      </c>
      <c r="G735" t="s">
        <v>2082</v>
      </c>
      <c r="H735" t="s">
        <v>124</v>
      </c>
      <c r="I735" t="s">
        <v>2117</v>
      </c>
    </row>
    <row r="736" spans="1:9" x14ac:dyDescent="0.35">
      <c r="A736">
        <v>49520</v>
      </c>
      <c r="B736" t="s">
        <v>309</v>
      </c>
      <c r="C736" s="1">
        <v>41169</v>
      </c>
      <c r="D736">
        <v>8551</v>
      </c>
      <c r="E736" t="b">
        <v>1</v>
      </c>
      <c r="F736">
        <v>105</v>
      </c>
      <c r="G736" t="s">
        <v>2082</v>
      </c>
      <c r="H736" t="s">
        <v>1510</v>
      </c>
      <c r="I736" t="s">
        <v>2117</v>
      </c>
    </row>
    <row r="737" spans="1:9" x14ac:dyDescent="0.35">
      <c r="A737">
        <v>513710</v>
      </c>
      <c r="B737" t="s">
        <v>311</v>
      </c>
      <c r="C737" s="1">
        <v>45825</v>
      </c>
      <c r="D737">
        <v>8535</v>
      </c>
      <c r="E737" t="b">
        <v>0</v>
      </c>
      <c r="F737">
        <v>106</v>
      </c>
      <c r="G737" t="s">
        <v>36</v>
      </c>
      <c r="H737" t="s">
        <v>49</v>
      </c>
      <c r="I737" t="s">
        <v>2116</v>
      </c>
    </row>
    <row r="738" spans="1:9" x14ac:dyDescent="0.35">
      <c r="A738">
        <v>513710</v>
      </c>
      <c r="B738" t="s">
        <v>311</v>
      </c>
      <c r="C738" s="1">
        <v>45825</v>
      </c>
      <c r="D738">
        <v>8535</v>
      </c>
      <c r="E738" t="b">
        <v>0</v>
      </c>
      <c r="F738">
        <v>106</v>
      </c>
      <c r="G738" t="s">
        <v>36</v>
      </c>
      <c r="H738" t="s">
        <v>792</v>
      </c>
      <c r="I738" t="s">
        <v>2116</v>
      </c>
    </row>
    <row r="739" spans="1:9" x14ac:dyDescent="0.35">
      <c r="A739">
        <v>513710</v>
      </c>
      <c r="B739" t="s">
        <v>311</v>
      </c>
      <c r="C739" s="1">
        <v>45825</v>
      </c>
      <c r="D739">
        <v>8535</v>
      </c>
      <c r="E739" t="b">
        <v>0</v>
      </c>
      <c r="F739">
        <v>106</v>
      </c>
      <c r="G739" t="s">
        <v>36</v>
      </c>
      <c r="H739" t="s">
        <v>346</v>
      </c>
      <c r="I739" t="s">
        <v>2116</v>
      </c>
    </row>
    <row r="740" spans="1:9" x14ac:dyDescent="0.35">
      <c r="A740">
        <v>513710</v>
      </c>
      <c r="B740" t="s">
        <v>311</v>
      </c>
      <c r="C740" s="1">
        <v>45825</v>
      </c>
      <c r="D740">
        <v>8535</v>
      </c>
      <c r="E740" t="b">
        <v>0</v>
      </c>
      <c r="F740">
        <v>106</v>
      </c>
      <c r="G740" t="s">
        <v>36</v>
      </c>
      <c r="H740" t="s">
        <v>239</v>
      </c>
      <c r="I740" t="s">
        <v>2117</v>
      </c>
    </row>
    <row r="741" spans="1:9" x14ac:dyDescent="0.35">
      <c r="A741">
        <v>513710</v>
      </c>
      <c r="B741" t="s">
        <v>311</v>
      </c>
      <c r="C741" s="1">
        <v>45825</v>
      </c>
      <c r="D741">
        <v>8535</v>
      </c>
      <c r="E741" t="b">
        <v>0</v>
      </c>
      <c r="F741">
        <v>106</v>
      </c>
      <c r="G741" t="s">
        <v>36</v>
      </c>
      <c r="H741" t="s">
        <v>132</v>
      </c>
      <c r="I741" t="s">
        <v>2117</v>
      </c>
    </row>
    <row r="742" spans="1:9" x14ac:dyDescent="0.35">
      <c r="A742">
        <v>513710</v>
      </c>
      <c r="B742" t="s">
        <v>311</v>
      </c>
      <c r="C742" s="1">
        <v>45825</v>
      </c>
      <c r="D742">
        <v>8535</v>
      </c>
      <c r="E742" t="b">
        <v>0</v>
      </c>
      <c r="F742">
        <v>106</v>
      </c>
      <c r="G742" t="s">
        <v>36</v>
      </c>
      <c r="H742" t="s">
        <v>124</v>
      </c>
      <c r="I742" t="s">
        <v>2117</v>
      </c>
    </row>
    <row r="743" spans="1:9" x14ac:dyDescent="0.35">
      <c r="A743">
        <v>513710</v>
      </c>
      <c r="B743" t="s">
        <v>311</v>
      </c>
      <c r="C743" s="1">
        <v>45825</v>
      </c>
      <c r="D743">
        <v>8535</v>
      </c>
      <c r="E743" t="b">
        <v>0</v>
      </c>
      <c r="F743">
        <v>106</v>
      </c>
      <c r="G743" t="s">
        <v>36</v>
      </c>
      <c r="H743" t="s">
        <v>1510</v>
      </c>
      <c r="I743" t="s">
        <v>2117</v>
      </c>
    </row>
    <row r="744" spans="1:9" x14ac:dyDescent="0.35">
      <c r="A744">
        <v>552990</v>
      </c>
      <c r="B744" t="s">
        <v>314</v>
      </c>
      <c r="C744" s="1">
        <v>43054</v>
      </c>
      <c r="D744">
        <v>8518</v>
      </c>
      <c r="E744" t="b">
        <v>0</v>
      </c>
      <c r="F744">
        <v>107</v>
      </c>
      <c r="G744" t="s">
        <v>133</v>
      </c>
      <c r="H744" t="s">
        <v>49</v>
      </c>
      <c r="I744" t="s">
        <v>2116</v>
      </c>
    </row>
    <row r="745" spans="1:9" x14ac:dyDescent="0.35">
      <c r="A745">
        <v>552990</v>
      </c>
      <c r="B745" t="s">
        <v>314</v>
      </c>
      <c r="C745" s="1">
        <v>43054</v>
      </c>
      <c r="D745">
        <v>8518</v>
      </c>
      <c r="E745" t="b">
        <v>0</v>
      </c>
      <c r="F745">
        <v>107</v>
      </c>
      <c r="G745" t="s">
        <v>133</v>
      </c>
      <c r="H745" t="s">
        <v>792</v>
      </c>
      <c r="I745" t="s">
        <v>2117</v>
      </c>
    </row>
    <row r="746" spans="1:9" x14ac:dyDescent="0.35">
      <c r="A746">
        <v>552990</v>
      </c>
      <c r="B746" t="s">
        <v>314</v>
      </c>
      <c r="C746" s="1">
        <v>43054</v>
      </c>
      <c r="D746">
        <v>8518</v>
      </c>
      <c r="E746" t="b">
        <v>0</v>
      </c>
      <c r="F746">
        <v>107</v>
      </c>
      <c r="G746" t="s">
        <v>133</v>
      </c>
      <c r="H746" t="s">
        <v>346</v>
      </c>
      <c r="I746" t="s">
        <v>2117</v>
      </c>
    </row>
    <row r="747" spans="1:9" x14ac:dyDescent="0.35">
      <c r="A747">
        <v>552990</v>
      </c>
      <c r="B747" t="s">
        <v>314</v>
      </c>
      <c r="C747" s="1">
        <v>43054</v>
      </c>
      <c r="D747">
        <v>8518</v>
      </c>
      <c r="E747" t="b">
        <v>0</v>
      </c>
      <c r="F747">
        <v>107</v>
      </c>
      <c r="G747" t="s">
        <v>133</v>
      </c>
      <c r="H747" t="s">
        <v>239</v>
      </c>
      <c r="I747" t="s">
        <v>2116</v>
      </c>
    </row>
    <row r="748" spans="1:9" x14ac:dyDescent="0.35">
      <c r="A748">
        <v>552990</v>
      </c>
      <c r="B748" t="s">
        <v>314</v>
      </c>
      <c r="C748" s="1">
        <v>43054</v>
      </c>
      <c r="D748">
        <v>8518</v>
      </c>
      <c r="E748" t="b">
        <v>0</v>
      </c>
      <c r="F748">
        <v>107</v>
      </c>
      <c r="G748" t="s">
        <v>133</v>
      </c>
      <c r="H748" t="s">
        <v>132</v>
      </c>
      <c r="I748" t="s">
        <v>2117</v>
      </c>
    </row>
    <row r="749" spans="1:9" x14ac:dyDescent="0.35">
      <c r="A749">
        <v>552990</v>
      </c>
      <c r="B749" t="s">
        <v>314</v>
      </c>
      <c r="C749" s="1">
        <v>43054</v>
      </c>
      <c r="D749">
        <v>8518</v>
      </c>
      <c r="E749" t="b">
        <v>0</v>
      </c>
      <c r="F749">
        <v>107</v>
      </c>
      <c r="G749" t="s">
        <v>133</v>
      </c>
      <c r="H749" t="s">
        <v>124</v>
      </c>
      <c r="I749" t="s">
        <v>2116</v>
      </c>
    </row>
    <row r="750" spans="1:9" x14ac:dyDescent="0.35">
      <c r="A750">
        <v>552990</v>
      </c>
      <c r="B750" t="s">
        <v>314</v>
      </c>
      <c r="C750" s="1">
        <v>43054</v>
      </c>
      <c r="D750">
        <v>8518</v>
      </c>
      <c r="E750" t="b">
        <v>0</v>
      </c>
      <c r="F750">
        <v>107</v>
      </c>
      <c r="G750" t="s">
        <v>133</v>
      </c>
      <c r="H750" t="s">
        <v>1510</v>
      </c>
      <c r="I750" t="s">
        <v>2116</v>
      </c>
    </row>
    <row r="751" spans="1:9" x14ac:dyDescent="0.35">
      <c r="A751">
        <v>1283970</v>
      </c>
      <c r="B751" t="s">
        <v>317</v>
      </c>
      <c r="C751" s="1">
        <v>43952</v>
      </c>
      <c r="D751">
        <v>8493</v>
      </c>
      <c r="E751" t="b">
        <v>0</v>
      </c>
      <c r="F751">
        <v>108</v>
      </c>
      <c r="G751" t="s">
        <v>14</v>
      </c>
      <c r="H751" t="s">
        <v>49</v>
      </c>
      <c r="I751" t="s">
        <v>2117</v>
      </c>
    </row>
    <row r="752" spans="1:9" x14ac:dyDescent="0.35">
      <c r="A752">
        <v>1283970</v>
      </c>
      <c r="B752" t="s">
        <v>317</v>
      </c>
      <c r="C752" s="1">
        <v>43952</v>
      </c>
      <c r="D752">
        <v>8493</v>
      </c>
      <c r="E752" t="b">
        <v>0</v>
      </c>
      <c r="F752">
        <v>108</v>
      </c>
      <c r="G752" t="s">
        <v>14</v>
      </c>
      <c r="H752" t="s">
        <v>792</v>
      </c>
      <c r="I752" t="s">
        <v>2117</v>
      </c>
    </row>
    <row r="753" spans="1:9" x14ac:dyDescent="0.35">
      <c r="A753">
        <v>1283970</v>
      </c>
      <c r="B753" t="s">
        <v>317</v>
      </c>
      <c r="C753" s="1">
        <v>43952</v>
      </c>
      <c r="D753">
        <v>8493</v>
      </c>
      <c r="E753" t="b">
        <v>0</v>
      </c>
      <c r="F753">
        <v>108</v>
      </c>
      <c r="G753" t="s">
        <v>14</v>
      </c>
      <c r="H753" t="s">
        <v>346</v>
      </c>
      <c r="I753" t="s">
        <v>2117</v>
      </c>
    </row>
    <row r="754" spans="1:9" x14ac:dyDescent="0.35">
      <c r="A754">
        <v>1283970</v>
      </c>
      <c r="B754" t="s">
        <v>317</v>
      </c>
      <c r="C754" s="1">
        <v>43952</v>
      </c>
      <c r="D754">
        <v>8493</v>
      </c>
      <c r="E754" t="b">
        <v>0</v>
      </c>
      <c r="F754">
        <v>108</v>
      </c>
      <c r="G754" t="s">
        <v>14</v>
      </c>
      <c r="H754" t="s">
        <v>239</v>
      </c>
      <c r="I754" t="s">
        <v>2117</v>
      </c>
    </row>
    <row r="755" spans="1:9" x14ac:dyDescent="0.35">
      <c r="A755">
        <v>1283970</v>
      </c>
      <c r="B755" t="s">
        <v>317</v>
      </c>
      <c r="C755" s="1">
        <v>43952</v>
      </c>
      <c r="D755">
        <v>8493</v>
      </c>
      <c r="E755" t="b">
        <v>0</v>
      </c>
      <c r="F755">
        <v>108</v>
      </c>
      <c r="G755" t="s">
        <v>14</v>
      </c>
      <c r="H755" t="s">
        <v>132</v>
      </c>
      <c r="I755" t="s">
        <v>2117</v>
      </c>
    </row>
    <row r="756" spans="1:9" x14ac:dyDescent="0.35">
      <c r="A756">
        <v>1283970</v>
      </c>
      <c r="B756" t="s">
        <v>317</v>
      </c>
      <c r="C756" s="1">
        <v>43952</v>
      </c>
      <c r="D756">
        <v>8493</v>
      </c>
      <c r="E756" t="b">
        <v>0</v>
      </c>
      <c r="F756">
        <v>108</v>
      </c>
      <c r="G756" t="s">
        <v>14</v>
      </c>
      <c r="H756" t="s">
        <v>124</v>
      </c>
      <c r="I756" t="s">
        <v>2117</v>
      </c>
    </row>
    <row r="757" spans="1:9" x14ac:dyDescent="0.35">
      <c r="A757">
        <v>1283970</v>
      </c>
      <c r="B757" t="s">
        <v>317</v>
      </c>
      <c r="C757" s="1">
        <v>43952</v>
      </c>
      <c r="D757">
        <v>8493</v>
      </c>
      <c r="E757" t="b">
        <v>0</v>
      </c>
      <c r="F757">
        <v>108</v>
      </c>
      <c r="G757" t="s">
        <v>14</v>
      </c>
      <c r="H757" t="s">
        <v>1510</v>
      </c>
      <c r="I757" t="s">
        <v>2117</v>
      </c>
    </row>
    <row r="758" spans="1:9" x14ac:dyDescent="0.35">
      <c r="A758">
        <v>761890</v>
      </c>
      <c r="B758" t="s">
        <v>320</v>
      </c>
      <c r="C758" s="1">
        <v>43236</v>
      </c>
      <c r="D758">
        <v>8184</v>
      </c>
      <c r="E758" t="b">
        <v>1</v>
      </c>
      <c r="F758">
        <v>109</v>
      </c>
      <c r="G758" t="s">
        <v>110</v>
      </c>
      <c r="H758" t="s">
        <v>49</v>
      </c>
      <c r="I758" t="s">
        <v>2117</v>
      </c>
    </row>
    <row r="759" spans="1:9" x14ac:dyDescent="0.35">
      <c r="A759">
        <v>761890</v>
      </c>
      <c r="B759" t="s">
        <v>320</v>
      </c>
      <c r="C759" s="1">
        <v>43236</v>
      </c>
      <c r="D759">
        <v>8184</v>
      </c>
      <c r="E759" t="b">
        <v>1</v>
      </c>
      <c r="F759">
        <v>109</v>
      </c>
      <c r="G759" t="s">
        <v>110</v>
      </c>
      <c r="H759" t="s">
        <v>792</v>
      </c>
      <c r="I759" t="s">
        <v>2117</v>
      </c>
    </row>
    <row r="760" spans="1:9" x14ac:dyDescent="0.35">
      <c r="A760">
        <v>761890</v>
      </c>
      <c r="B760" t="s">
        <v>320</v>
      </c>
      <c r="C760" s="1">
        <v>43236</v>
      </c>
      <c r="D760">
        <v>8184</v>
      </c>
      <c r="E760" t="b">
        <v>1</v>
      </c>
      <c r="F760">
        <v>109</v>
      </c>
      <c r="G760" t="s">
        <v>110</v>
      </c>
      <c r="H760" t="s">
        <v>346</v>
      </c>
      <c r="I760" t="s">
        <v>2117</v>
      </c>
    </row>
    <row r="761" spans="1:9" x14ac:dyDescent="0.35">
      <c r="A761">
        <v>761890</v>
      </c>
      <c r="B761" t="s">
        <v>320</v>
      </c>
      <c r="C761" s="1">
        <v>43236</v>
      </c>
      <c r="D761">
        <v>8184</v>
      </c>
      <c r="E761" t="b">
        <v>1</v>
      </c>
      <c r="F761">
        <v>109</v>
      </c>
      <c r="G761" t="s">
        <v>110</v>
      </c>
      <c r="H761" t="s">
        <v>239</v>
      </c>
      <c r="I761" t="s">
        <v>2117</v>
      </c>
    </row>
    <row r="762" spans="1:9" x14ac:dyDescent="0.35">
      <c r="A762">
        <v>761890</v>
      </c>
      <c r="B762" t="s">
        <v>320</v>
      </c>
      <c r="C762" s="1">
        <v>43236</v>
      </c>
      <c r="D762">
        <v>8184</v>
      </c>
      <c r="E762" t="b">
        <v>1</v>
      </c>
      <c r="F762">
        <v>109</v>
      </c>
      <c r="G762" t="s">
        <v>110</v>
      </c>
      <c r="H762" t="s">
        <v>132</v>
      </c>
      <c r="I762" t="s">
        <v>2116</v>
      </c>
    </row>
    <row r="763" spans="1:9" x14ac:dyDescent="0.35">
      <c r="A763">
        <v>761890</v>
      </c>
      <c r="B763" t="s">
        <v>320</v>
      </c>
      <c r="C763" s="1">
        <v>43236</v>
      </c>
      <c r="D763">
        <v>8184</v>
      </c>
      <c r="E763" t="b">
        <v>1</v>
      </c>
      <c r="F763">
        <v>109</v>
      </c>
      <c r="G763" t="s">
        <v>110</v>
      </c>
      <c r="H763" t="s">
        <v>124</v>
      </c>
      <c r="I763" t="s">
        <v>2117</v>
      </c>
    </row>
    <row r="764" spans="1:9" x14ac:dyDescent="0.35">
      <c r="A764">
        <v>761890</v>
      </c>
      <c r="B764" t="s">
        <v>320</v>
      </c>
      <c r="C764" s="1">
        <v>43236</v>
      </c>
      <c r="D764">
        <v>8184</v>
      </c>
      <c r="E764" t="b">
        <v>1</v>
      </c>
      <c r="F764">
        <v>109</v>
      </c>
      <c r="G764" t="s">
        <v>110</v>
      </c>
      <c r="H764" t="s">
        <v>1510</v>
      </c>
      <c r="I764" t="s">
        <v>2116</v>
      </c>
    </row>
    <row r="765" spans="1:9" x14ac:dyDescent="0.35">
      <c r="A765">
        <v>1466060</v>
      </c>
      <c r="B765" t="s">
        <v>323</v>
      </c>
      <c r="C765" s="1">
        <v>45800</v>
      </c>
      <c r="D765">
        <v>8175</v>
      </c>
      <c r="E765" t="b">
        <v>0</v>
      </c>
      <c r="F765">
        <v>110</v>
      </c>
      <c r="G765" t="s">
        <v>276</v>
      </c>
      <c r="H765" t="s">
        <v>49</v>
      </c>
      <c r="I765" t="s">
        <v>2116</v>
      </c>
    </row>
    <row r="766" spans="1:9" x14ac:dyDescent="0.35">
      <c r="A766">
        <v>1466060</v>
      </c>
      <c r="B766" t="s">
        <v>323</v>
      </c>
      <c r="C766" s="1">
        <v>45800</v>
      </c>
      <c r="D766">
        <v>8175</v>
      </c>
      <c r="E766" t="b">
        <v>0</v>
      </c>
      <c r="F766">
        <v>110</v>
      </c>
      <c r="G766" t="s">
        <v>276</v>
      </c>
      <c r="H766" t="s">
        <v>792</v>
      </c>
      <c r="I766" t="s">
        <v>2116</v>
      </c>
    </row>
    <row r="767" spans="1:9" x14ac:dyDescent="0.35">
      <c r="A767">
        <v>1466060</v>
      </c>
      <c r="B767" t="s">
        <v>323</v>
      </c>
      <c r="C767" s="1">
        <v>45800</v>
      </c>
      <c r="D767">
        <v>8175</v>
      </c>
      <c r="E767" t="b">
        <v>0</v>
      </c>
      <c r="F767">
        <v>110</v>
      </c>
      <c r="G767" t="s">
        <v>276</v>
      </c>
      <c r="H767" t="s">
        <v>346</v>
      </c>
      <c r="I767" t="s">
        <v>2116</v>
      </c>
    </row>
    <row r="768" spans="1:9" x14ac:dyDescent="0.35">
      <c r="A768">
        <v>1466060</v>
      </c>
      <c r="B768" t="s">
        <v>323</v>
      </c>
      <c r="C768" s="1">
        <v>45800</v>
      </c>
      <c r="D768">
        <v>8175</v>
      </c>
      <c r="E768" t="b">
        <v>0</v>
      </c>
      <c r="F768">
        <v>110</v>
      </c>
      <c r="G768" t="s">
        <v>276</v>
      </c>
      <c r="H768" t="s">
        <v>239</v>
      </c>
      <c r="I768" t="s">
        <v>2117</v>
      </c>
    </row>
    <row r="769" spans="1:9" x14ac:dyDescent="0.35">
      <c r="A769">
        <v>1466060</v>
      </c>
      <c r="B769" t="s">
        <v>323</v>
      </c>
      <c r="C769" s="1">
        <v>45800</v>
      </c>
      <c r="D769">
        <v>8175</v>
      </c>
      <c r="E769" t="b">
        <v>0</v>
      </c>
      <c r="F769">
        <v>110</v>
      </c>
      <c r="G769" t="s">
        <v>276</v>
      </c>
      <c r="H769" t="s">
        <v>132</v>
      </c>
      <c r="I769" t="s">
        <v>2116</v>
      </c>
    </row>
    <row r="770" spans="1:9" x14ac:dyDescent="0.35">
      <c r="A770">
        <v>1466060</v>
      </c>
      <c r="B770" t="s">
        <v>323</v>
      </c>
      <c r="C770" s="1">
        <v>45800</v>
      </c>
      <c r="D770">
        <v>8175</v>
      </c>
      <c r="E770" t="b">
        <v>0</v>
      </c>
      <c r="F770">
        <v>110</v>
      </c>
      <c r="G770" t="s">
        <v>276</v>
      </c>
      <c r="H770" t="s">
        <v>124</v>
      </c>
      <c r="I770" t="s">
        <v>2117</v>
      </c>
    </row>
    <row r="771" spans="1:9" x14ac:dyDescent="0.35">
      <c r="A771">
        <v>1466060</v>
      </c>
      <c r="B771" t="s">
        <v>323</v>
      </c>
      <c r="C771" s="1">
        <v>45800</v>
      </c>
      <c r="D771">
        <v>8175</v>
      </c>
      <c r="E771" t="b">
        <v>0</v>
      </c>
      <c r="F771">
        <v>110</v>
      </c>
      <c r="G771" t="s">
        <v>276</v>
      </c>
      <c r="H771" t="s">
        <v>1510</v>
      </c>
      <c r="I771" t="s">
        <v>2117</v>
      </c>
    </row>
    <row r="772" spans="1:9" x14ac:dyDescent="0.35">
      <c r="A772">
        <v>2104890</v>
      </c>
      <c r="B772" t="s">
        <v>325</v>
      </c>
      <c r="C772" s="1">
        <v>45797</v>
      </c>
      <c r="D772">
        <v>8156</v>
      </c>
      <c r="E772" t="b">
        <v>0</v>
      </c>
      <c r="F772">
        <v>111</v>
      </c>
      <c r="G772" t="s">
        <v>50</v>
      </c>
      <c r="H772" t="s">
        <v>49</v>
      </c>
      <c r="I772" t="s">
        <v>2117</v>
      </c>
    </row>
    <row r="773" spans="1:9" x14ac:dyDescent="0.35">
      <c r="A773">
        <v>2104890</v>
      </c>
      <c r="B773" t="s">
        <v>325</v>
      </c>
      <c r="C773" s="1">
        <v>45797</v>
      </c>
      <c r="D773">
        <v>8156</v>
      </c>
      <c r="E773" t="b">
        <v>0</v>
      </c>
      <c r="F773">
        <v>111</v>
      </c>
      <c r="G773" t="s">
        <v>50</v>
      </c>
      <c r="H773" t="s">
        <v>792</v>
      </c>
      <c r="I773" t="s">
        <v>2117</v>
      </c>
    </row>
    <row r="774" spans="1:9" x14ac:dyDescent="0.35">
      <c r="A774">
        <v>2104890</v>
      </c>
      <c r="B774" t="s">
        <v>325</v>
      </c>
      <c r="C774" s="1">
        <v>45797</v>
      </c>
      <c r="D774">
        <v>8156</v>
      </c>
      <c r="E774" t="b">
        <v>0</v>
      </c>
      <c r="F774">
        <v>111</v>
      </c>
      <c r="G774" t="s">
        <v>50</v>
      </c>
      <c r="H774" t="s">
        <v>346</v>
      </c>
      <c r="I774" t="s">
        <v>2116</v>
      </c>
    </row>
    <row r="775" spans="1:9" x14ac:dyDescent="0.35">
      <c r="A775">
        <v>2104890</v>
      </c>
      <c r="B775" t="s">
        <v>325</v>
      </c>
      <c r="C775" s="1">
        <v>45797</v>
      </c>
      <c r="D775">
        <v>8156</v>
      </c>
      <c r="E775" t="b">
        <v>0</v>
      </c>
      <c r="F775">
        <v>111</v>
      </c>
      <c r="G775" t="s">
        <v>50</v>
      </c>
      <c r="H775" t="s">
        <v>239</v>
      </c>
      <c r="I775" t="s">
        <v>2116</v>
      </c>
    </row>
    <row r="776" spans="1:9" x14ac:dyDescent="0.35">
      <c r="A776">
        <v>2104890</v>
      </c>
      <c r="B776" t="s">
        <v>325</v>
      </c>
      <c r="C776" s="1">
        <v>45797</v>
      </c>
      <c r="D776">
        <v>8156</v>
      </c>
      <c r="E776" t="b">
        <v>0</v>
      </c>
      <c r="F776">
        <v>111</v>
      </c>
      <c r="G776" t="s">
        <v>50</v>
      </c>
      <c r="H776" t="s">
        <v>132</v>
      </c>
      <c r="I776" t="s">
        <v>2117</v>
      </c>
    </row>
    <row r="777" spans="1:9" x14ac:dyDescent="0.35">
      <c r="A777">
        <v>2104890</v>
      </c>
      <c r="B777" t="s">
        <v>325</v>
      </c>
      <c r="C777" s="1">
        <v>45797</v>
      </c>
      <c r="D777">
        <v>8156</v>
      </c>
      <c r="E777" t="b">
        <v>0</v>
      </c>
      <c r="F777">
        <v>111</v>
      </c>
      <c r="G777" t="s">
        <v>50</v>
      </c>
      <c r="H777" t="s">
        <v>124</v>
      </c>
      <c r="I777" t="s">
        <v>2117</v>
      </c>
    </row>
    <row r="778" spans="1:9" x14ac:dyDescent="0.35">
      <c r="A778">
        <v>2104890</v>
      </c>
      <c r="B778" t="s">
        <v>325</v>
      </c>
      <c r="C778" s="1">
        <v>45797</v>
      </c>
      <c r="D778">
        <v>8156</v>
      </c>
      <c r="E778" t="b">
        <v>0</v>
      </c>
      <c r="F778">
        <v>111</v>
      </c>
      <c r="G778" t="s">
        <v>50</v>
      </c>
      <c r="H778" t="s">
        <v>1510</v>
      </c>
      <c r="I778" t="s">
        <v>2117</v>
      </c>
    </row>
    <row r="779" spans="1:9" x14ac:dyDescent="0.35">
      <c r="A779">
        <v>216150</v>
      </c>
      <c r="B779" t="s">
        <v>328</v>
      </c>
      <c r="C779" s="1">
        <v>41130</v>
      </c>
      <c r="D779">
        <v>8092</v>
      </c>
      <c r="E779" t="b">
        <v>0</v>
      </c>
      <c r="F779">
        <v>112</v>
      </c>
      <c r="G779" t="s">
        <v>2089</v>
      </c>
      <c r="H779" t="s">
        <v>49</v>
      </c>
      <c r="I779" t="s">
        <v>2116</v>
      </c>
    </row>
    <row r="780" spans="1:9" x14ac:dyDescent="0.35">
      <c r="A780">
        <v>216150</v>
      </c>
      <c r="B780" t="s">
        <v>328</v>
      </c>
      <c r="C780" s="1">
        <v>41130</v>
      </c>
      <c r="D780">
        <v>8092</v>
      </c>
      <c r="E780" t="b">
        <v>0</v>
      </c>
      <c r="F780">
        <v>112</v>
      </c>
      <c r="G780" t="s">
        <v>2089</v>
      </c>
      <c r="H780" t="s">
        <v>792</v>
      </c>
      <c r="I780" t="s">
        <v>2117</v>
      </c>
    </row>
    <row r="781" spans="1:9" x14ac:dyDescent="0.35">
      <c r="A781">
        <v>216150</v>
      </c>
      <c r="B781" t="s">
        <v>328</v>
      </c>
      <c r="C781" s="1">
        <v>41130</v>
      </c>
      <c r="D781">
        <v>8092</v>
      </c>
      <c r="E781" t="b">
        <v>0</v>
      </c>
      <c r="F781">
        <v>112</v>
      </c>
      <c r="G781" t="s">
        <v>2089</v>
      </c>
      <c r="H781" t="s">
        <v>346</v>
      </c>
      <c r="I781" t="s">
        <v>2116</v>
      </c>
    </row>
    <row r="782" spans="1:9" x14ac:dyDescent="0.35">
      <c r="A782">
        <v>216150</v>
      </c>
      <c r="B782" t="s">
        <v>328</v>
      </c>
      <c r="C782" s="1">
        <v>41130</v>
      </c>
      <c r="D782">
        <v>8092</v>
      </c>
      <c r="E782" t="b">
        <v>0</v>
      </c>
      <c r="F782">
        <v>112</v>
      </c>
      <c r="G782" t="s">
        <v>2089</v>
      </c>
      <c r="H782" t="s">
        <v>239</v>
      </c>
      <c r="I782" t="s">
        <v>2117</v>
      </c>
    </row>
    <row r="783" spans="1:9" x14ac:dyDescent="0.35">
      <c r="A783">
        <v>216150</v>
      </c>
      <c r="B783" t="s">
        <v>328</v>
      </c>
      <c r="C783" s="1">
        <v>41130</v>
      </c>
      <c r="D783">
        <v>8092</v>
      </c>
      <c r="E783" t="b">
        <v>0</v>
      </c>
      <c r="F783">
        <v>112</v>
      </c>
      <c r="G783" t="s">
        <v>2089</v>
      </c>
      <c r="H783" t="s">
        <v>132</v>
      </c>
      <c r="I783" t="s">
        <v>2116</v>
      </c>
    </row>
    <row r="784" spans="1:9" x14ac:dyDescent="0.35">
      <c r="A784">
        <v>216150</v>
      </c>
      <c r="B784" t="s">
        <v>328</v>
      </c>
      <c r="C784" s="1">
        <v>41130</v>
      </c>
      <c r="D784">
        <v>8092</v>
      </c>
      <c r="E784" t="b">
        <v>0</v>
      </c>
      <c r="F784">
        <v>112</v>
      </c>
      <c r="G784" t="s">
        <v>2089</v>
      </c>
      <c r="H784" t="s">
        <v>124</v>
      </c>
      <c r="I784" t="s">
        <v>2117</v>
      </c>
    </row>
    <row r="785" spans="1:9" x14ac:dyDescent="0.35">
      <c r="A785">
        <v>216150</v>
      </c>
      <c r="B785" t="s">
        <v>328</v>
      </c>
      <c r="C785" s="1">
        <v>41130</v>
      </c>
      <c r="D785">
        <v>8092</v>
      </c>
      <c r="E785" t="b">
        <v>0</v>
      </c>
      <c r="F785">
        <v>112</v>
      </c>
      <c r="G785" t="s">
        <v>2089</v>
      </c>
      <c r="H785" t="s">
        <v>1510</v>
      </c>
      <c r="I785" t="s">
        <v>2116</v>
      </c>
    </row>
    <row r="786" spans="1:9" x14ac:dyDescent="0.35">
      <c r="A786">
        <v>632360</v>
      </c>
      <c r="B786" t="s">
        <v>331</v>
      </c>
      <c r="C786" s="1">
        <v>44054</v>
      </c>
      <c r="D786">
        <v>7902</v>
      </c>
      <c r="E786" t="b">
        <v>0</v>
      </c>
      <c r="F786">
        <v>113</v>
      </c>
      <c r="G786" t="s">
        <v>133</v>
      </c>
      <c r="H786" t="s">
        <v>49</v>
      </c>
      <c r="I786" t="s">
        <v>2116</v>
      </c>
    </row>
    <row r="787" spans="1:9" x14ac:dyDescent="0.35">
      <c r="A787">
        <v>632360</v>
      </c>
      <c r="B787" t="s">
        <v>331</v>
      </c>
      <c r="C787" s="1">
        <v>44054</v>
      </c>
      <c r="D787">
        <v>7902</v>
      </c>
      <c r="E787" t="b">
        <v>0</v>
      </c>
      <c r="F787">
        <v>113</v>
      </c>
      <c r="G787" t="s">
        <v>133</v>
      </c>
      <c r="H787" t="s">
        <v>792</v>
      </c>
      <c r="I787" t="s">
        <v>2116</v>
      </c>
    </row>
    <row r="788" spans="1:9" x14ac:dyDescent="0.35">
      <c r="A788">
        <v>632360</v>
      </c>
      <c r="B788" t="s">
        <v>331</v>
      </c>
      <c r="C788" s="1">
        <v>44054</v>
      </c>
      <c r="D788">
        <v>7902</v>
      </c>
      <c r="E788" t="b">
        <v>0</v>
      </c>
      <c r="F788">
        <v>113</v>
      </c>
      <c r="G788" t="s">
        <v>133</v>
      </c>
      <c r="H788" t="s">
        <v>346</v>
      </c>
      <c r="I788" t="s">
        <v>2117</v>
      </c>
    </row>
    <row r="789" spans="1:9" x14ac:dyDescent="0.35">
      <c r="A789">
        <v>632360</v>
      </c>
      <c r="B789" t="s">
        <v>331</v>
      </c>
      <c r="C789" s="1">
        <v>44054</v>
      </c>
      <c r="D789">
        <v>7902</v>
      </c>
      <c r="E789" t="b">
        <v>0</v>
      </c>
      <c r="F789">
        <v>113</v>
      </c>
      <c r="G789" t="s">
        <v>133</v>
      </c>
      <c r="H789" t="s">
        <v>239</v>
      </c>
      <c r="I789" t="s">
        <v>2117</v>
      </c>
    </row>
    <row r="790" spans="1:9" x14ac:dyDescent="0.35">
      <c r="A790">
        <v>632360</v>
      </c>
      <c r="B790" t="s">
        <v>331</v>
      </c>
      <c r="C790" s="1">
        <v>44054</v>
      </c>
      <c r="D790">
        <v>7902</v>
      </c>
      <c r="E790" t="b">
        <v>0</v>
      </c>
      <c r="F790">
        <v>113</v>
      </c>
      <c r="G790" t="s">
        <v>133</v>
      </c>
      <c r="H790" t="s">
        <v>132</v>
      </c>
      <c r="I790" t="s">
        <v>2117</v>
      </c>
    </row>
    <row r="791" spans="1:9" x14ac:dyDescent="0.35">
      <c r="A791">
        <v>632360</v>
      </c>
      <c r="B791" t="s">
        <v>331</v>
      </c>
      <c r="C791" s="1">
        <v>44054</v>
      </c>
      <c r="D791">
        <v>7902</v>
      </c>
      <c r="E791" t="b">
        <v>0</v>
      </c>
      <c r="F791">
        <v>113</v>
      </c>
      <c r="G791" t="s">
        <v>133</v>
      </c>
      <c r="H791" t="s">
        <v>124</v>
      </c>
      <c r="I791" t="s">
        <v>2117</v>
      </c>
    </row>
    <row r="792" spans="1:9" x14ac:dyDescent="0.35">
      <c r="A792">
        <v>632360</v>
      </c>
      <c r="B792" t="s">
        <v>331</v>
      </c>
      <c r="C792" s="1">
        <v>44054</v>
      </c>
      <c r="D792">
        <v>7902</v>
      </c>
      <c r="E792" t="b">
        <v>0</v>
      </c>
      <c r="F792">
        <v>113</v>
      </c>
      <c r="G792" t="s">
        <v>133</v>
      </c>
      <c r="H792" t="s">
        <v>1510</v>
      </c>
      <c r="I792" t="s">
        <v>2117</v>
      </c>
    </row>
    <row r="793" spans="1:9" x14ac:dyDescent="0.35">
      <c r="A793">
        <v>3117820</v>
      </c>
      <c r="B793" t="s">
        <v>333</v>
      </c>
      <c r="C793" s="1">
        <v>45746</v>
      </c>
      <c r="D793">
        <v>7726</v>
      </c>
      <c r="E793" t="b">
        <v>1</v>
      </c>
      <c r="F793">
        <v>114</v>
      </c>
      <c r="G793" t="s">
        <v>25</v>
      </c>
      <c r="H793" t="s">
        <v>49</v>
      </c>
      <c r="I793" t="s">
        <v>2117</v>
      </c>
    </row>
    <row r="794" spans="1:9" x14ac:dyDescent="0.35">
      <c r="A794">
        <v>3117820</v>
      </c>
      <c r="B794" t="s">
        <v>333</v>
      </c>
      <c r="C794" s="1">
        <v>45746</v>
      </c>
      <c r="D794">
        <v>7726</v>
      </c>
      <c r="E794" t="b">
        <v>1</v>
      </c>
      <c r="F794">
        <v>114</v>
      </c>
      <c r="G794" t="s">
        <v>25</v>
      </c>
      <c r="H794" t="s">
        <v>792</v>
      </c>
      <c r="I794" t="s">
        <v>2116</v>
      </c>
    </row>
    <row r="795" spans="1:9" x14ac:dyDescent="0.35">
      <c r="A795">
        <v>3117820</v>
      </c>
      <c r="B795" t="s">
        <v>333</v>
      </c>
      <c r="C795" s="1">
        <v>45746</v>
      </c>
      <c r="D795">
        <v>7726</v>
      </c>
      <c r="E795" t="b">
        <v>1</v>
      </c>
      <c r="F795">
        <v>114</v>
      </c>
      <c r="G795" t="s">
        <v>25</v>
      </c>
      <c r="H795" t="s">
        <v>346</v>
      </c>
      <c r="I795" t="s">
        <v>2116</v>
      </c>
    </row>
    <row r="796" spans="1:9" x14ac:dyDescent="0.35">
      <c r="A796">
        <v>3117820</v>
      </c>
      <c r="B796" t="s">
        <v>333</v>
      </c>
      <c r="C796" s="1">
        <v>45746</v>
      </c>
      <c r="D796">
        <v>7726</v>
      </c>
      <c r="E796" t="b">
        <v>1</v>
      </c>
      <c r="F796">
        <v>114</v>
      </c>
      <c r="G796" t="s">
        <v>25</v>
      </c>
      <c r="H796" t="s">
        <v>239</v>
      </c>
      <c r="I796" t="s">
        <v>2116</v>
      </c>
    </row>
    <row r="797" spans="1:9" x14ac:dyDescent="0.35">
      <c r="A797">
        <v>3117820</v>
      </c>
      <c r="B797" t="s">
        <v>333</v>
      </c>
      <c r="C797" s="1">
        <v>45746</v>
      </c>
      <c r="D797">
        <v>7726</v>
      </c>
      <c r="E797" t="b">
        <v>1</v>
      </c>
      <c r="F797">
        <v>114</v>
      </c>
      <c r="G797" t="s">
        <v>25</v>
      </c>
      <c r="H797" t="s">
        <v>132</v>
      </c>
      <c r="I797" t="s">
        <v>2116</v>
      </c>
    </row>
    <row r="798" spans="1:9" x14ac:dyDescent="0.35">
      <c r="A798">
        <v>3117820</v>
      </c>
      <c r="B798" t="s">
        <v>333</v>
      </c>
      <c r="C798" s="1">
        <v>45746</v>
      </c>
      <c r="D798">
        <v>7726</v>
      </c>
      <c r="E798" t="b">
        <v>1</v>
      </c>
      <c r="F798">
        <v>114</v>
      </c>
      <c r="G798" t="s">
        <v>25</v>
      </c>
      <c r="H798" t="s">
        <v>124</v>
      </c>
      <c r="I798" t="s">
        <v>2116</v>
      </c>
    </row>
    <row r="799" spans="1:9" x14ac:dyDescent="0.35">
      <c r="A799">
        <v>3117820</v>
      </c>
      <c r="B799" t="s">
        <v>333</v>
      </c>
      <c r="C799" s="1">
        <v>45746</v>
      </c>
      <c r="D799">
        <v>7726</v>
      </c>
      <c r="E799" t="b">
        <v>1</v>
      </c>
      <c r="F799">
        <v>114</v>
      </c>
      <c r="G799" t="s">
        <v>25</v>
      </c>
      <c r="H799" t="s">
        <v>1510</v>
      </c>
      <c r="I799" t="s">
        <v>2117</v>
      </c>
    </row>
    <row r="800" spans="1:9" x14ac:dyDescent="0.35">
      <c r="A800">
        <v>457140</v>
      </c>
      <c r="B800" t="s">
        <v>336</v>
      </c>
      <c r="C800" s="1">
        <v>43676</v>
      </c>
      <c r="D800">
        <v>7545</v>
      </c>
      <c r="E800" t="b">
        <v>1</v>
      </c>
      <c r="F800">
        <v>115</v>
      </c>
      <c r="G800" t="s">
        <v>2082</v>
      </c>
      <c r="H800" t="s">
        <v>49</v>
      </c>
      <c r="I800" t="s">
        <v>2117</v>
      </c>
    </row>
    <row r="801" spans="1:9" x14ac:dyDescent="0.35">
      <c r="A801">
        <v>457140</v>
      </c>
      <c r="B801" t="s">
        <v>336</v>
      </c>
      <c r="C801" s="1">
        <v>43676</v>
      </c>
      <c r="D801">
        <v>7545</v>
      </c>
      <c r="E801" t="b">
        <v>1</v>
      </c>
      <c r="F801">
        <v>115</v>
      </c>
      <c r="G801" t="s">
        <v>2082</v>
      </c>
      <c r="H801" t="s">
        <v>792</v>
      </c>
      <c r="I801" t="s">
        <v>2116</v>
      </c>
    </row>
    <row r="802" spans="1:9" x14ac:dyDescent="0.35">
      <c r="A802">
        <v>457140</v>
      </c>
      <c r="B802" t="s">
        <v>336</v>
      </c>
      <c r="C802" s="1">
        <v>43676</v>
      </c>
      <c r="D802">
        <v>7545</v>
      </c>
      <c r="E802" t="b">
        <v>1</v>
      </c>
      <c r="F802">
        <v>115</v>
      </c>
      <c r="G802" t="s">
        <v>2082</v>
      </c>
      <c r="H802" t="s">
        <v>346</v>
      </c>
      <c r="I802" t="s">
        <v>2117</v>
      </c>
    </row>
    <row r="803" spans="1:9" x14ac:dyDescent="0.35">
      <c r="A803">
        <v>457140</v>
      </c>
      <c r="B803" t="s">
        <v>336</v>
      </c>
      <c r="C803" s="1">
        <v>43676</v>
      </c>
      <c r="D803">
        <v>7545</v>
      </c>
      <c r="E803" t="b">
        <v>1</v>
      </c>
      <c r="F803">
        <v>115</v>
      </c>
      <c r="G803" t="s">
        <v>2082</v>
      </c>
      <c r="H803" t="s">
        <v>239</v>
      </c>
      <c r="I803" t="s">
        <v>2116</v>
      </c>
    </row>
    <row r="804" spans="1:9" x14ac:dyDescent="0.35">
      <c r="A804">
        <v>457140</v>
      </c>
      <c r="B804" t="s">
        <v>336</v>
      </c>
      <c r="C804" s="1">
        <v>43676</v>
      </c>
      <c r="D804">
        <v>7545</v>
      </c>
      <c r="E804" t="b">
        <v>1</v>
      </c>
      <c r="F804">
        <v>115</v>
      </c>
      <c r="G804" t="s">
        <v>2082</v>
      </c>
      <c r="H804" t="s">
        <v>132</v>
      </c>
      <c r="I804" t="s">
        <v>2117</v>
      </c>
    </row>
    <row r="805" spans="1:9" x14ac:dyDescent="0.35">
      <c r="A805">
        <v>457140</v>
      </c>
      <c r="B805" t="s">
        <v>336</v>
      </c>
      <c r="C805" s="1">
        <v>43676</v>
      </c>
      <c r="D805">
        <v>7545</v>
      </c>
      <c r="E805" t="b">
        <v>1</v>
      </c>
      <c r="F805">
        <v>115</v>
      </c>
      <c r="G805" t="s">
        <v>2082</v>
      </c>
      <c r="H805" t="s">
        <v>124</v>
      </c>
      <c r="I805" t="s">
        <v>2117</v>
      </c>
    </row>
    <row r="806" spans="1:9" x14ac:dyDescent="0.35">
      <c r="A806">
        <v>457140</v>
      </c>
      <c r="B806" t="s">
        <v>336</v>
      </c>
      <c r="C806" s="1">
        <v>43676</v>
      </c>
      <c r="D806">
        <v>7545</v>
      </c>
      <c r="E806" t="b">
        <v>1</v>
      </c>
      <c r="F806">
        <v>115</v>
      </c>
      <c r="G806" t="s">
        <v>2082</v>
      </c>
      <c r="H806" t="s">
        <v>1510</v>
      </c>
      <c r="I806" t="s">
        <v>2117</v>
      </c>
    </row>
    <row r="807" spans="1:9" x14ac:dyDescent="0.35">
      <c r="A807">
        <v>2479810</v>
      </c>
      <c r="B807" t="s">
        <v>338</v>
      </c>
      <c r="C807" s="1">
        <v>45412</v>
      </c>
      <c r="D807">
        <v>7543</v>
      </c>
      <c r="E807" t="b">
        <v>0</v>
      </c>
      <c r="F807">
        <v>116</v>
      </c>
      <c r="G807" t="s">
        <v>341</v>
      </c>
      <c r="H807" t="s">
        <v>49</v>
      </c>
      <c r="I807" t="s">
        <v>2116</v>
      </c>
    </row>
    <row r="808" spans="1:9" x14ac:dyDescent="0.35">
      <c r="A808">
        <v>2479810</v>
      </c>
      <c r="B808" t="s">
        <v>338</v>
      </c>
      <c r="C808" s="1">
        <v>45412</v>
      </c>
      <c r="D808">
        <v>7543</v>
      </c>
      <c r="E808" t="b">
        <v>0</v>
      </c>
      <c r="F808">
        <v>116</v>
      </c>
      <c r="G808" t="s">
        <v>341</v>
      </c>
      <c r="H808" t="s">
        <v>792</v>
      </c>
      <c r="I808" t="s">
        <v>2117</v>
      </c>
    </row>
    <row r="809" spans="1:9" x14ac:dyDescent="0.35">
      <c r="A809">
        <v>2479810</v>
      </c>
      <c r="B809" t="s">
        <v>338</v>
      </c>
      <c r="C809" s="1">
        <v>45412</v>
      </c>
      <c r="D809">
        <v>7543</v>
      </c>
      <c r="E809" t="b">
        <v>0</v>
      </c>
      <c r="F809">
        <v>116</v>
      </c>
      <c r="G809" t="s">
        <v>341</v>
      </c>
      <c r="H809" t="s">
        <v>346</v>
      </c>
      <c r="I809" t="s">
        <v>2117</v>
      </c>
    </row>
    <row r="810" spans="1:9" x14ac:dyDescent="0.35">
      <c r="A810">
        <v>2479810</v>
      </c>
      <c r="B810" t="s">
        <v>338</v>
      </c>
      <c r="C810" s="1">
        <v>45412</v>
      </c>
      <c r="D810">
        <v>7543</v>
      </c>
      <c r="E810" t="b">
        <v>0</v>
      </c>
      <c r="F810">
        <v>116</v>
      </c>
      <c r="G810" t="s">
        <v>341</v>
      </c>
      <c r="H810" t="s">
        <v>239</v>
      </c>
      <c r="I810" t="s">
        <v>2116</v>
      </c>
    </row>
    <row r="811" spans="1:9" x14ac:dyDescent="0.35">
      <c r="A811">
        <v>2479810</v>
      </c>
      <c r="B811" t="s">
        <v>338</v>
      </c>
      <c r="C811" s="1">
        <v>45412</v>
      </c>
      <c r="D811">
        <v>7543</v>
      </c>
      <c r="E811" t="b">
        <v>0</v>
      </c>
      <c r="F811">
        <v>116</v>
      </c>
      <c r="G811" t="s">
        <v>341</v>
      </c>
      <c r="H811" t="s">
        <v>132</v>
      </c>
      <c r="I811" t="s">
        <v>2117</v>
      </c>
    </row>
    <row r="812" spans="1:9" x14ac:dyDescent="0.35">
      <c r="A812">
        <v>2479810</v>
      </c>
      <c r="B812" t="s">
        <v>338</v>
      </c>
      <c r="C812" s="1">
        <v>45412</v>
      </c>
      <c r="D812">
        <v>7543</v>
      </c>
      <c r="E812" t="b">
        <v>0</v>
      </c>
      <c r="F812">
        <v>116</v>
      </c>
      <c r="G812" t="s">
        <v>341</v>
      </c>
      <c r="H812" t="s">
        <v>124</v>
      </c>
      <c r="I812" t="s">
        <v>2117</v>
      </c>
    </row>
    <row r="813" spans="1:9" x14ac:dyDescent="0.35">
      <c r="A813">
        <v>2479810</v>
      </c>
      <c r="B813" t="s">
        <v>338</v>
      </c>
      <c r="C813" s="1">
        <v>45412</v>
      </c>
      <c r="D813">
        <v>7543</v>
      </c>
      <c r="E813" t="b">
        <v>0</v>
      </c>
      <c r="F813">
        <v>116</v>
      </c>
      <c r="G813" t="s">
        <v>341</v>
      </c>
      <c r="H813" t="s">
        <v>1510</v>
      </c>
      <c r="I813" t="s">
        <v>2117</v>
      </c>
    </row>
    <row r="814" spans="1:9" x14ac:dyDescent="0.35">
      <c r="A814">
        <v>960090</v>
      </c>
      <c r="B814" t="s">
        <v>342</v>
      </c>
      <c r="C814" s="1">
        <v>43451</v>
      </c>
      <c r="D814">
        <v>7489</v>
      </c>
      <c r="E814" t="b">
        <v>1</v>
      </c>
      <c r="F814">
        <v>117</v>
      </c>
      <c r="G814" t="s">
        <v>110</v>
      </c>
      <c r="H814" t="s">
        <v>49</v>
      </c>
      <c r="I814" t="s">
        <v>2117</v>
      </c>
    </row>
    <row r="815" spans="1:9" x14ac:dyDescent="0.35">
      <c r="A815">
        <v>960090</v>
      </c>
      <c r="B815" t="s">
        <v>342</v>
      </c>
      <c r="C815" s="1">
        <v>43451</v>
      </c>
      <c r="D815">
        <v>7489</v>
      </c>
      <c r="E815" t="b">
        <v>1</v>
      </c>
      <c r="F815">
        <v>117</v>
      </c>
      <c r="G815" t="s">
        <v>110</v>
      </c>
      <c r="H815" t="s">
        <v>792</v>
      </c>
      <c r="I815" t="s">
        <v>2117</v>
      </c>
    </row>
    <row r="816" spans="1:9" x14ac:dyDescent="0.35">
      <c r="A816">
        <v>960090</v>
      </c>
      <c r="B816" t="s">
        <v>342</v>
      </c>
      <c r="C816" s="1">
        <v>43451</v>
      </c>
      <c r="D816">
        <v>7489</v>
      </c>
      <c r="E816" t="b">
        <v>1</v>
      </c>
      <c r="F816">
        <v>117</v>
      </c>
      <c r="G816" t="s">
        <v>110</v>
      </c>
      <c r="H816" t="s">
        <v>346</v>
      </c>
      <c r="I816" t="s">
        <v>2117</v>
      </c>
    </row>
    <row r="817" spans="1:9" x14ac:dyDescent="0.35">
      <c r="A817">
        <v>960090</v>
      </c>
      <c r="B817" t="s">
        <v>342</v>
      </c>
      <c r="C817" s="1">
        <v>43451</v>
      </c>
      <c r="D817">
        <v>7489</v>
      </c>
      <c r="E817" t="b">
        <v>1</v>
      </c>
      <c r="F817">
        <v>117</v>
      </c>
      <c r="G817" t="s">
        <v>110</v>
      </c>
      <c r="H817" t="s">
        <v>239</v>
      </c>
      <c r="I817" t="s">
        <v>2117</v>
      </c>
    </row>
    <row r="818" spans="1:9" x14ac:dyDescent="0.35">
      <c r="A818">
        <v>960090</v>
      </c>
      <c r="B818" t="s">
        <v>342</v>
      </c>
      <c r="C818" s="1">
        <v>43451</v>
      </c>
      <c r="D818">
        <v>7489</v>
      </c>
      <c r="E818" t="b">
        <v>1</v>
      </c>
      <c r="F818">
        <v>117</v>
      </c>
      <c r="G818" t="s">
        <v>110</v>
      </c>
      <c r="H818" t="s">
        <v>132</v>
      </c>
      <c r="I818" t="s">
        <v>2117</v>
      </c>
    </row>
    <row r="819" spans="1:9" x14ac:dyDescent="0.35">
      <c r="A819">
        <v>960090</v>
      </c>
      <c r="B819" t="s">
        <v>342</v>
      </c>
      <c r="C819" s="1">
        <v>43451</v>
      </c>
      <c r="D819">
        <v>7489</v>
      </c>
      <c r="E819" t="b">
        <v>1</v>
      </c>
      <c r="F819">
        <v>117</v>
      </c>
      <c r="G819" t="s">
        <v>110</v>
      </c>
      <c r="H819" t="s">
        <v>124</v>
      </c>
      <c r="I819" t="s">
        <v>2116</v>
      </c>
    </row>
    <row r="820" spans="1:9" x14ac:dyDescent="0.35">
      <c r="A820">
        <v>960090</v>
      </c>
      <c r="B820" t="s">
        <v>342</v>
      </c>
      <c r="C820" s="1">
        <v>43451</v>
      </c>
      <c r="D820">
        <v>7489</v>
      </c>
      <c r="E820" t="b">
        <v>1</v>
      </c>
      <c r="F820">
        <v>117</v>
      </c>
      <c r="G820" t="s">
        <v>110</v>
      </c>
      <c r="H820" t="s">
        <v>1510</v>
      </c>
      <c r="I820" t="s">
        <v>2117</v>
      </c>
    </row>
    <row r="821" spans="1:9" x14ac:dyDescent="0.35">
      <c r="A821">
        <v>1284190</v>
      </c>
      <c r="B821" t="s">
        <v>344</v>
      </c>
      <c r="C821" s="1">
        <v>45392</v>
      </c>
      <c r="D821">
        <v>7330</v>
      </c>
      <c r="E821" t="b">
        <v>0</v>
      </c>
      <c r="F821">
        <v>118</v>
      </c>
      <c r="G821" t="s">
        <v>175</v>
      </c>
      <c r="H821" t="s">
        <v>49</v>
      </c>
      <c r="I821" t="s">
        <v>2117</v>
      </c>
    </row>
    <row r="822" spans="1:9" x14ac:dyDescent="0.35">
      <c r="A822">
        <v>1284190</v>
      </c>
      <c r="B822" t="s">
        <v>344</v>
      </c>
      <c r="C822" s="1">
        <v>45392</v>
      </c>
      <c r="D822">
        <v>7330</v>
      </c>
      <c r="E822" t="b">
        <v>0</v>
      </c>
      <c r="F822">
        <v>118</v>
      </c>
      <c r="G822" t="s">
        <v>175</v>
      </c>
      <c r="H822" t="s">
        <v>792</v>
      </c>
      <c r="I822" t="s">
        <v>2117</v>
      </c>
    </row>
    <row r="823" spans="1:9" x14ac:dyDescent="0.35">
      <c r="A823">
        <v>1284190</v>
      </c>
      <c r="B823" t="s">
        <v>344</v>
      </c>
      <c r="C823" s="1">
        <v>45392</v>
      </c>
      <c r="D823">
        <v>7330</v>
      </c>
      <c r="E823" t="b">
        <v>0</v>
      </c>
      <c r="F823">
        <v>118</v>
      </c>
      <c r="G823" t="s">
        <v>175</v>
      </c>
      <c r="H823" t="s">
        <v>346</v>
      </c>
      <c r="I823" t="s">
        <v>2116</v>
      </c>
    </row>
    <row r="824" spans="1:9" x14ac:dyDescent="0.35">
      <c r="A824">
        <v>1284190</v>
      </c>
      <c r="B824" t="s">
        <v>344</v>
      </c>
      <c r="C824" s="1">
        <v>45392</v>
      </c>
      <c r="D824">
        <v>7330</v>
      </c>
      <c r="E824" t="b">
        <v>0</v>
      </c>
      <c r="F824">
        <v>118</v>
      </c>
      <c r="G824" t="s">
        <v>175</v>
      </c>
      <c r="H824" t="s">
        <v>239</v>
      </c>
      <c r="I824" t="s">
        <v>2117</v>
      </c>
    </row>
    <row r="825" spans="1:9" x14ac:dyDescent="0.35">
      <c r="A825">
        <v>1284190</v>
      </c>
      <c r="B825" t="s">
        <v>344</v>
      </c>
      <c r="C825" s="1">
        <v>45392</v>
      </c>
      <c r="D825">
        <v>7330</v>
      </c>
      <c r="E825" t="b">
        <v>0</v>
      </c>
      <c r="F825">
        <v>118</v>
      </c>
      <c r="G825" t="s">
        <v>175</v>
      </c>
      <c r="H825" t="s">
        <v>132</v>
      </c>
      <c r="I825" t="s">
        <v>2117</v>
      </c>
    </row>
    <row r="826" spans="1:9" x14ac:dyDescent="0.35">
      <c r="A826">
        <v>1284190</v>
      </c>
      <c r="B826" t="s">
        <v>344</v>
      </c>
      <c r="C826" s="1">
        <v>45392</v>
      </c>
      <c r="D826">
        <v>7330</v>
      </c>
      <c r="E826" t="b">
        <v>0</v>
      </c>
      <c r="F826">
        <v>118</v>
      </c>
      <c r="G826" t="s">
        <v>175</v>
      </c>
      <c r="H826" t="s">
        <v>124</v>
      </c>
      <c r="I826" t="s">
        <v>2117</v>
      </c>
    </row>
    <row r="827" spans="1:9" x14ac:dyDescent="0.35">
      <c r="A827">
        <v>1284190</v>
      </c>
      <c r="B827" t="s">
        <v>344</v>
      </c>
      <c r="C827" s="1">
        <v>45392</v>
      </c>
      <c r="D827">
        <v>7330</v>
      </c>
      <c r="E827" t="b">
        <v>0</v>
      </c>
      <c r="F827">
        <v>118</v>
      </c>
      <c r="G827" t="s">
        <v>175</v>
      </c>
      <c r="H827" t="s">
        <v>1510</v>
      </c>
      <c r="I827" t="s">
        <v>2117</v>
      </c>
    </row>
    <row r="828" spans="1:9" x14ac:dyDescent="0.35">
      <c r="A828">
        <v>10</v>
      </c>
      <c r="B828" t="s">
        <v>347</v>
      </c>
      <c r="C828" s="1">
        <v>36831</v>
      </c>
      <c r="D828">
        <v>7323</v>
      </c>
      <c r="E828" t="b">
        <v>1</v>
      </c>
      <c r="F828">
        <v>119</v>
      </c>
      <c r="G828" t="s">
        <v>2083</v>
      </c>
      <c r="H828" t="s">
        <v>49</v>
      </c>
      <c r="I828" t="s">
        <v>2116</v>
      </c>
    </row>
    <row r="829" spans="1:9" x14ac:dyDescent="0.35">
      <c r="A829">
        <v>10</v>
      </c>
      <c r="B829" t="s">
        <v>347</v>
      </c>
      <c r="C829" s="1">
        <v>36831</v>
      </c>
      <c r="D829">
        <v>7323</v>
      </c>
      <c r="E829" t="b">
        <v>1</v>
      </c>
      <c r="F829">
        <v>119</v>
      </c>
      <c r="G829" t="s">
        <v>2083</v>
      </c>
      <c r="H829" t="s">
        <v>792</v>
      </c>
      <c r="I829" t="s">
        <v>2117</v>
      </c>
    </row>
    <row r="830" spans="1:9" x14ac:dyDescent="0.35">
      <c r="A830">
        <v>10</v>
      </c>
      <c r="B830" t="s">
        <v>347</v>
      </c>
      <c r="C830" s="1">
        <v>36831</v>
      </c>
      <c r="D830">
        <v>7323</v>
      </c>
      <c r="E830" t="b">
        <v>1</v>
      </c>
      <c r="F830">
        <v>119</v>
      </c>
      <c r="G830" t="s">
        <v>2083</v>
      </c>
      <c r="H830" t="s">
        <v>346</v>
      </c>
      <c r="I830" t="s">
        <v>2117</v>
      </c>
    </row>
    <row r="831" spans="1:9" x14ac:dyDescent="0.35">
      <c r="A831">
        <v>10</v>
      </c>
      <c r="B831" t="s">
        <v>347</v>
      </c>
      <c r="C831" s="1">
        <v>36831</v>
      </c>
      <c r="D831">
        <v>7323</v>
      </c>
      <c r="E831" t="b">
        <v>1</v>
      </c>
      <c r="F831">
        <v>119</v>
      </c>
      <c r="G831" t="s">
        <v>2083</v>
      </c>
      <c r="H831" t="s">
        <v>239</v>
      </c>
      <c r="I831" t="s">
        <v>2117</v>
      </c>
    </row>
    <row r="832" spans="1:9" x14ac:dyDescent="0.35">
      <c r="A832">
        <v>10</v>
      </c>
      <c r="B832" t="s">
        <v>347</v>
      </c>
      <c r="C832" s="1">
        <v>36831</v>
      </c>
      <c r="D832">
        <v>7323</v>
      </c>
      <c r="E832" t="b">
        <v>1</v>
      </c>
      <c r="F832">
        <v>119</v>
      </c>
      <c r="G832" t="s">
        <v>2083</v>
      </c>
      <c r="H832" t="s">
        <v>132</v>
      </c>
      <c r="I832" t="s">
        <v>2117</v>
      </c>
    </row>
    <row r="833" spans="1:9" x14ac:dyDescent="0.35">
      <c r="A833">
        <v>10</v>
      </c>
      <c r="B833" t="s">
        <v>347</v>
      </c>
      <c r="C833" s="1">
        <v>36831</v>
      </c>
      <c r="D833">
        <v>7323</v>
      </c>
      <c r="E833" t="b">
        <v>1</v>
      </c>
      <c r="F833">
        <v>119</v>
      </c>
      <c r="G833" t="s">
        <v>2083</v>
      </c>
      <c r="H833" t="s">
        <v>124</v>
      </c>
      <c r="I833" t="s">
        <v>2117</v>
      </c>
    </row>
    <row r="834" spans="1:9" x14ac:dyDescent="0.35">
      <c r="A834">
        <v>10</v>
      </c>
      <c r="B834" t="s">
        <v>347</v>
      </c>
      <c r="C834" s="1">
        <v>36831</v>
      </c>
      <c r="D834">
        <v>7323</v>
      </c>
      <c r="E834" t="b">
        <v>1</v>
      </c>
      <c r="F834">
        <v>119</v>
      </c>
      <c r="G834" t="s">
        <v>2083</v>
      </c>
      <c r="H834" t="s">
        <v>1510</v>
      </c>
      <c r="I834" t="s">
        <v>2117</v>
      </c>
    </row>
    <row r="835" spans="1:9" x14ac:dyDescent="0.35">
      <c r="A835">
        <v>1361210</v>
      </c>
      <c r="B835" t="s">
        <v>349</v>
      </c>
      <c r="C835" s="1">
        <v>44895</v>
      </c>
      <c r="D835">
        <v>7267</v>
      </c>
      <c r="E835" t="b">
        <v>0</v>
      </c>
      <c r="F835">
        <v>120</v>
      </c>
      <c r="G835" t="s">
        <v>29</v>
      </c>
      <c r="H835" t="s">
        <v>49</v>
      </c>
      <c r="I835" t="s">
        <v>2116</v>
      </c>
    </row>
    <row r="836" spans="1:9" x14ac:dyDescent="0.35">
      <c r="A836">
        <v>1361210</v>
      </c>
      <c r="B836" t="s">
        <v>349</v>
      </c>
      <c r="C836" s="1">
        <v>44895</v>
      </c>
      <c r="D836">
        <v>7267</v>
      </c>
      <c r="E836" t="b">
        <v>0</v>
      </c>
      <c r="F836">
        <v>120</v>
      </c>
      <c r="G836" t="s">
        <v>29</v>
      </c>
      <c r="H836" t="s">
        <v>792</v>
      </c>
      <c r="I836" t="s">
        <v>2117</v>
      </c>
    </row>
    <row r="837" spans="1:9" x14ac:dyDescent="0.35">
      <c r="A837">
        <v>1361210</v>
      </c>
      <c r="B837" t="s">
        <v>349</v>
      </c>
      <c r="C837" s="1">
        <v>44895</v>
      </c>
      <c r="D837">
        <v>7267</v>
      </c>
      <c r="E837" t="b">
        <v>0</v>
      </c>
      <c r="F837">
        <v>120</v>
      </c>
      <c r="G837" t="s">
        <v>29</v>
      </c>
      <c r="H837" t="s">
        <v>346</v>
      </c>
      <c r="I837" t="s">
        <v>2116</v>
      </c>
    </row>
    <row r="838" spans="1:9" x14ac:dyDescent="0.35">
      <c r="A838">
        <v>1361210</v>
      </c>
      <c r="B838" t="s">
        <v>349</v>
      </c>
      <c r="C838" s="1">
        <v>44895</v>
      </c>
      <c r="D838">
        <v>7267</v>
      </c>
      <c r="E838" t="b">
        <v>0</v>
      </c>
      <c r="F838">
        <v>120</v>
      </c>
      <c r="G838" t="s">
        <v>29</v>
      </c>
      <c r="H838" t="s">
        <v>239</v>
      </c>
      <c r="I838" t="s">
        <v>2117</v>
      </c>
    </row>
    <row r="839" spans="1:9" x14ac:dyDescent="0.35">
      <c r="A839">
        <v>1361210</v>
      </c>
      <c r="B839" t="s">
        <v>349</v>
      </c>
      <c r="C839" s="1">
        <v>44895</v>
      </c>
      <c r="D839">
        <v>7267</v>
      </c>
      <c r="E839" t="b">
        <v>0</v>
      </c>
      <c r="F839">
        <v>120</v>
      </c>
      <c r="G839" t="s">
        <v>29</v>
      </c>
      <c r="H839" t="s">
        <v>132</v>
      </c>
      <c r="I839" t="s">
        <v>2116</v>
      </c>
    </row>
    <row r="840" spans="1:9" x14ac:dyDescent="0.35">
      <c r="A840">
        <v>1361210</v>
      </c>
      <c r="B840" t="s">
        <v>349</v>
      </c>
      <c r="C840" s="1">
        <v>44895</v>
      </c>
      <c r="D840">
        <v>7267</v>
      </c>
      <c r="E840" t="b">
        <v>0</v>
      </c>
      <c r="F840">
        <v>120</v>
      </c>
      <c r="G840" t="s">
        <v>29</v>
      </c>
      <c r="H840" t="s">
        <v>124</v>
      </c>
      <c r="I840" t="s">
        <v>2117</v>
      </c>
    </row>
    <row r="841" spans="1:9" x14ac:dyDescent="0.35">
      <c r="A841">
        <v>1361210</v>
      </c>
      <c r="B841" t="s">
        <v>349</v>
      </c>
      <c r="C841" s="1">
        <v>44895</v>
      </c>
      <c r="D841">
        <v>7267</v>
      </c>
      <c r="E841" t="b">
        <v>0</v>
      </c>
      <c r="F841">
        <v>120</v>
      </c>
      <c r="G841" t="s">
        <v>29</v>
      </c>
      <c r="H841" t="s">
        <v>1510</v>
      </c>
      <c r="I841" t="s">
        <v>2117</v>
      </c>
    </row>
    <row r="842" spans="1:9" x14ac:dyDescent="0.35">
      <c r="A842">
        <v>107410</v>
      </c>
      <c r="B842" t="s">
        <v>351</v>
      </c>
      <c r="C842" s="1">
        <v>41529</v>
      </c>
      <c r="D842">
        <v>7181</v>
      </c>
      <c r="E842" t="b">
        <v>1</v>
      </c>
      <c r="F842">
        <v>121</v>
      </c>
      <c r="G842" t="s">
        <v>2094</v>
      </c>
      <c r="H842" t="s">
        <v>49</v>
      </c>
      <c r="I842" t="s">
        <v>2116</v>
      </c>
    </row>
    <row r="843" spans="1:9" x14ac:dyDescent="0.35">
      <c r="A843">
        <v>107410</v>
      </c>
      <c r="B843" t="s">
        <v>351</v>
      </c>
      <c r="C843" s="1">
        <v>41529</v>
      </c>
      <c r="D843">
        <v>7181</v>
      </c>
      <c r="E843" t="b">
        <v>1</v>
      </c>
      <c r="F843">
        <v>121</v>
      </c>
      <c r="G843" t="s">
        <v>2094</v>
      </c>
      <c r="H843" t="s">
        <v>792</v>
      </c>
      <c r="I843" t="s">
        <v>2117</v>
      </c>
    </row>
    <row r="844" spans="1:9" x14ac:dyDescent="0.35">
      <c r="A844">
        <v>107410</v>
      </c>
      <c r="B844" t="s">
        <v>351</v>
      </c>
      <c r="C844" s="1">
        <v>41529</v>
      </c>
      <c r="D844">
        <v>7181</v>
      </c>
      <c r="E844" t="b">
        <v>1</v>
      </c>
      <c r="F844">
        <v>121</v>
      </c>
      <c r="G844" t="s">
        <v>2094</v>
      </c>
      <c r="H844" t="s">
        <v>346</v>
      </c>
      <c r="I844" t="s">
        <v>2117</v>
      </c>
    </row>
    <row r="845" spans="1:9" x14ac:dyDescent="0.35">
      <c r="A845">
        <v>107410</v>
      </c>
      <c r="B845" t="s">
        <v>351</v>
      </c>
      <c r="C845" s="1">
        <v>41529</v>
      </c>
      <c r="D845">
        <v>7181</v>
      </c>
      <c r="E845" t="b">
        <v>1</v>
      </c>
      <c r="F845">
        <v>121</v>
      </c>
      <c r="G845" t="s">
        <v>2094</v>
      </c>
      <c r="H845" t="s">
        <v>239</v>
      </c>
      <c r="I845" t="s">
        <v>2116</v>
      </c>
    </row>
    <row r="846" spans="1:9" x14ac:dyDescent="0.35">
      <c r="A846">
        <v>107410</v>
      </c>
      <c r="B846" t="s">
        <v>351</v>
      </c>
      <c r="C846" s="1">
        <v>41529</v>
      </c>
      <c r="D846">
        <v>7181</v>
      </c>
      <c r="E846" t="b">
        <v>1</v>
      </c>
      <c r="F846">
        <v>121</v>
      </c>
      <c r="G846" t="s">
        <v>2094</v>
      </c>
      <c r="H846" t="s">
        <v>132</v>
      </c>
      <c r="I846" t="s">
        <v>2117</v>
      </c>
    </row>
    <row r="847" spans="1:9" x14ac:dyDescent="0.35">
      <c r="A847">
        <v>107410</v>
      </c>
      <c r="B847" t="s">
        <v>351</v>
      </c>
      <c r="C847" s="1">
        <v>41529</v>
      </c>
      <c r="D847">
        <v>7181</v>
      </c>
      <c r="E847" t="b">
        <v>1</v>
      </c>
      <c r="F847">
        <v>121</v>
      </c>
      <c r="G847" t="s">
        <v>2094</v>
      </c>
      <c r="H847" t="s">
        <v>124</v>
      </c>
      <c r="I847" t="s">
        <v>2116</v>
      </c>
    </row>
    <row r="848" spans="1:9" x14ac:dyDescent="0.35">
      <c r="A848">
        <v>107410</v>
      </c>
      <c r="B848" t="s">
        <v>351</v>
      </c>
      <c r="C848" s="1">
        <v>41529</v>
      </c>
      <c r="D848">
        <v>7181</v>
      </c>
      <c r="E848" t="b">
        <v>1</v>
      </c>
      <c r="F848">
        <v>121</v>
      </c>
      <c r="G848" t="s">
        <v>2094</v>
      </c>
      <c r="H848" t="s">
        <v>1510</v>
      </c>
      <c r="I848" t="s">
        <v>2117</v>
      </c>
    </row>
    <row r="849" spans="1:9" x14ac:dyDescent="0.35">
      <c r="A849">
        <v>1466860</v>
      </c>
      <c r="B849" t="s">
        <v>353</v>
      </c>
      <c r="C849" s="1">
        <v>44497</v>
      </c>
      <c r="D849">
        <v>7084</v>
      </c>
      <c r="E849" t="b">
        <v>0</v>
      </c>
      <c r="F849">
        <v>122</v>
      </c>
      <c r="G849" t="s">
        <v>68</v>
      </c>
      <c r="H849" t="s">
        <v>49</v>
      </c>
      <c r="I849" t="s">
        <v>2117</v>
      </c>
    </row>
    <row r="850" spans="1:9" x14ac:dyDescent="0.35">
      <c r="A850">
        <v>1466860</v>
      </c>
      <c r="B850" t="s">
        <v>353</v>
      </c>
      <c r="C850" s="1">
        <v>44497</v>
      </c>
      <c r="D850">
        <v>7084</v>
      </c>
      <c r="E850" t="b">
        <v>0</v>
      </c>
      <c r="F850">
        <v>122</v>
      </c>
      <c r="G850" t="s">
        <v>68</v>
      </c>
      <c r="H850" t="s">
        <v>792</v>
      </c>
      <c r="I850" t="s">
        <v>2117</v>
      </c>
    </row>
    <row r="851" spans="1:9" x14ac:dyDescent="0.35">
      <c r="A851">
        <v>1466860</v>
      </c>
      <c r="B851" t="s">
        <v>353</v>
      </c>
      <c r="C851" s="1">
        <v>44497</v>
      </c>
      <c r="D851">
        <v>7084</v>
      </c>
      <c r="E851" t="b">
        <v>0</v>
      </c>
      <c r="F851">
        <v>122</v>
      </c>
      <c r="G851" t="s">
        <v>68</v>
      </c>
      <c r="H851" t="s">
        <v>346</v>
      </c>
      <c r="I851" t="s">
        <v>2117</v>
      </c>
    </row>
    <row r="852" spans="1:9" x14ac:dyDescent="0.35">
      <c r="A852">
        <v>1466860</v>
      </c>
      <c r="B852" t="s">
        <v>353</v>
      </c>
      <c r="C852" s="1">
        <v>44497</v>
      </c>
      <c r="D852">
        <v>7084</v>
      </c>
      <c r="E852" t="b">
        <v>0</v>
      </c>
      <c r="F852">
        <v>122</v>
      </c>
      <c r="G852" t="s">
        <v>68</v>
      </c>
      <c r="H852" t="s">
        <v>239</v>
      </c>
      <c r="I852" t="s">
        <v>2117</v>
      </c>
    </row>
    <row r="853" spans="1:9" x14ac:dyDescent="0.35">
      <c r="A853">
        <v>1466860</v>
      </c>
      <c r="B853" t="s">
        <v>353</v>
      </c>
      <c r="C853" s="1">
        <v>44497</v>
      </c>
      <c r="D853">
        <v>7084</v>
      </c>
      <c r="E853" t="b">
        <v>0</v>
      </c>
      <c r="F853">
        <v>122</v>
      </c>
      <c r="G853" t="s">
        <v>68</v>
      </c>
      <c r="H853" t="s">
        <v>132</v>
      </c>
      <c r="I853" t="s">
        <v>2117</v>
      </c>
    </row>
    <row r="854" spans="1:9" x14ac:dyDescent="0.35">
      <c r="A854">
        <v>1466860</v>
      </c>
      <c r="B854" t="s">
        <v>353</v>
      </c>
      <c r="C854" s="1">
        <v>44497</v>
      </c>
      <c r="D854">
        <v>7084</v>
      </c>
      <c r="E854" t="b">
        <v>0</v>
      </c>
      <c r="F854">
        <v>122</v>
      </c>
      <c r="G854" t="s">
        <v>68</v>
      </c>
      <c r="H854" t="s">
        <v>124</v>
      </c>
      <c r="I854" t="s">
        <v>2116</v>
      </c>
    </row>
    <row r="855" spans="1:9" x14ac:dyDescent="0.35">
      <c r="A855">
        <v>1466860</v>
      </c>
      <c r="B855" t="s">
        <v>353</v>
      </c>
      <c r="C855" s="1">
        <v>44497</v>
      </c>
      <c r="D855">
        <v>7084</v>
      </c>
      <c r="E855" t="b">
        <v>0</v>
      </c>
      <c r="F855">
        <v>122</v>
      </c>
      <c r="G855" t="s">
        <v>68</v>
      </c>
      <c r="H855" t="s">
        <v>1510</v>
      </c>
      <c r="I855" t="s">
        <v>2117</v>
      </c>
    </row>
    <row r="856" spans="1:9" x14ac:dyDescent="0.35">
      <c r="A856">
        <v>1771300</v>
      </c>
      <c r="B856" t="s">
        <v>355</v>
      </c>
      <c r="C856" s="1">
        <v>45692</v>
      </c>
      <c r="D856">
        <v>7073</v>
      </c>
      <c r="E856" t="b">
        <v>0</v>
      </c>
      <c r="F856">
        <v>123</v>
      </c>
      <c r="G856" t="s">
        <v>357</v>
      </c>
      <c r="H856" t="s">
        <v>49</v>
      </c>
      <c r="I856" t="s">
        <v>2116</v>
      </c>
    </row>
    <row r="857" spans="1:9" x14ac:dyDescent="0.35">
      <c r="A857">
        <v>1771300</v>
      </c>
      <c r="B857" t="s">
        <v>355</v>
      </c>
      <c r="C857" s="1">
        <v>45692</v>
      </c>
      <c r="D857">
        <v>7073</v>
      </c>
      <c r="E857" t="b">
        <v>0</v>
      </c>
      <c r="F857">
        <v>123</v>
      </c>
      <c r="G857" t="s">
        <v>357</v>
      </c>
      <c r="H857" t="s">
        <v>792</v>
      </c>
      <c r="I857" t="s">
        <v>2117</v>
      </c>
    </row>
    <row r="858" spans="1:9" x14ac:dyDescent="0.35">
      <c r="A858">
        <v>1771300</v>
      </c>
      <c r="B858" t="s">
        <v>355</v>
      </c>
      <c r="C858" s="1">
        <v>45692</v>
      </c>
      <c r="D858">
        <v>7073</v>
      </c>
      <c r="E858" t="b">
        <v>0</v>
      </c>
      <c r="F858">
        <v>123</v>
      </c>
      <c r="G858" t="s">
        <v>357</v>
      </c>
      <c r="H858" t="s">
        <v>346</v>
      </c>
      <c r="I858" t="s">
        <v>2116</v>
      </c>
    </row>
    <row r="859" spans="1:9" x14ac:dyDescent="0.35">
      <c r="A859">
        <v>1771300</v>
      </c>
      <c r="B859" t="s">
        <v>355</v>
      </c>
      <c r="C859" s="1">
        <v>45692</v>
      </c>
      <c r="D859">
        <v>7073</v>
      </c>
      <c r="E859" t="b">
        <v>0</v>
      </c>
      <c r="F859">
        <v>123</v>
      </c>
      <c r="G859" t="s">
        <v>357</v>
      </c>
      <c r="H859" t="s">
        <v>239</v>
      </c>
      <c r="I859" t="s">
        <v>2117</v>
      </c>
    </row>
    <row r="860" spans="1:9" x14ac:dyDescent="0.35">
      <c r="A860">
        <v>1771300</v>
      </c>
      <c r="B860" t="s">
        <v>355</v>
      </c>
      <c r="C860" s="1">
        <v>45692</v>
      </c>
      <c r="D860">
        <v>7073</v>
      </c>
      <c r="E860" t="b">
        <v>0</v>
      </c>
      <c r="F860">
        <v>123</v>
      </c>
      <c r="G860" t="s">
        <v>357</v>
      </c>
      <c r="H860" t="s">
        <v>132</v>
      </c>
      <c r="I860" t="s">
        <v>2116</v>
      </c>
    </row>
    <row r="861" spans="1:9" x14ac:dyDescent="0.35">
      <c r="A861">
        <v>1771300</v>
      </c>
      <c r="B861" t="s">
        <v>355</v>
      </c>
      <c r="C861" s="1">
        <v>45692</v>
      </c>
      <c r="D861">
        <v>7073</v>
      </c>
      <c r="E861" t="b">
        <v>0</v>
      </c>
      <c r="F861">
        <v>123</v>
      </c>
      <c r="G861" t="s">
        <v>357</v>
      </c>
      <c r="H861" t="s">
        <v>124</v>
      </c>
      <c r="I861" t="s">
        <v>2117</v>
      </c>
    </row>
    <row r="862" spans="1:9" x14ac:dyDescent="0.35">
      <c r="A862">
        <v>1771300</v>
      </c>
      <c r="B862" t="s">
        <v>355</v>
      </c>
      <c r="C862" s="1">
        <v>45692</v>
      </c>
      <c r="D862">
        <v>7073</v>
      </c>
      <c r="E862" t="b">
        <v>0</v>
      </c>
      <c r="F862">
        <v>123</v>
      </c>
      <c r="G862" t="s">
        <v>357</v>
      </c>
      <c r="H862" t="s">
        <v>1510</v>
      </c>
      <c r="I862" t="s">
        <v>2117</v>
      </c>
    </row>
    <row r="863" spans="1:9" x14ac:dyDescent="0.35">
      <c r="A863">
        <v>2784470</v>
      </c>
      <c r="B863" t="s">
        <v>358</v>
      </c>
      <c r="C863" s="1">
        <v>45800</v>
      </c>
      <c r="D863">
        <v>6920</v>
      </c>
      <c r="E863" t="b">
        <v>1</v>
      </c>
      <c r="F863">
        <v>124</v>
      </c>
      <c r="G863" t="s">
        <v>110</v>
      </c>
      <c r="H863" t="s">
        <v>49</v>
      </c>
      <c r="I863" t="s">
        <v>2117</v>
      </c>
    </row>
    <row r="864" spans="1:9" x14ac:dyDescent="0.35">
      <c r="A864">
        <v>2784470</v>
      </c>
      <c r="B864" t="s">
        <v>358</v>
      </c>
      <c r="C864" s="1">
        <v>45800</v>
      </c>
      <c r="D864">
        <v>6920</v>
      </c>
      <c r="E864" t="b">
        <v>1</v>
      </c>
      <c r="F864">
        <v>124</v>
      </c>
      <c r="G864" t="s">
        <v>110</v>
      </c>
      <c r="H864" t="s">
        <v>792</v>
      </c>
      <c r="I864" t="s">
        <v>2117</v>
      </c>
    </row>
    <row r="865" spans="1:9" x14ac:dyDescent="0.35">
      <c r="A865">
        <v>2784470</v>
      </c>
      <c r="B865" t="s">
        <v>358</v>
      </c>
      <c r="C865" s="1">
        <v>45800</v>
      </c>
      <c r="D865">
        <v>6920</v>
      </c>
      <c r="E865" t="b">
        <v>1</v>
      </c>
      <c r="F865">
        <v>124</v>
      </c>
      <c r="G865" t="s">
        <v>110</v>
      </c>
      <c r="H865" t="s">
        <v>346</v>
      </c>
      <c r="I865" t="s">
        <v>2117</v>
      </c>
    </row>
    <row r="866" spans="1:9" x14ac:dyDescent="0.35">
      <c r="A866">
        <v>2784470</v>
      </c>
      <c r="B866" t="s">
        <v>358</v>
      </c>
      <c r="C866" s="1">
        <v>45800</v>
      </c>
      <c r="D866">
        <v>6920</v>
      </c>
      <c r="E866" t="b">
        <v>1</v>
      </c>
      <c r="F866">
        <v>124</v>
      </c>
      <c r="G866" t="s">
        <v>110</v>
      </c>
      <c r="H866" t="s">
        <v>239</v>
      </c>
      <c r="I866" t="s">
        <v>2117</v>
      </c>
    </row>
    <row r="867" spans="1:9" x14ac:dyDescent="0.35">
      <c r="A867">
        <v>2784470</v>
      </c>
      <c r="B867" t="s">
        <v>358</v>
      </c>
      <c r="C867" s="1">
        <v>45800</v>
      </c>
      <c r="D867">
        <v>6920</v>
      </c>
      <c r="E867" t="b">
        <v>1</v>
      </c>
      <c r="F867">
        <v>124</v>
      </c>
      <c r="G867" t="s">
        <v>110</v>
      </c>
      <c r="H867" t="s">
        <v>132</v>
      </c>
      <c r="I867" t="s">
        <v>2116</v>
      </c>
    </row>
    <row r="868" spans="1:9" x14ac:dyDescent="0.35">
      <c r="A868">
        <v>2784470</v>
      </c>
      <c r="B868" t="s">
        <v>358</v>
      </c>
      <c r="C868" s="1">
        <v>45800</v>
      </c>
      <c r="D868">
        <v>6920</v>
      </c>
      <c r="E868" t="b">
        <v>1</v>
      </c>
      <c r="F868">
        <v>124</v>
      </c>
      <c r="G868" t="s">
        <v>110</v>
      </c>
      <c r="H868" t="s">
        <v>124</v>
      </c>
      <c r="I868" t="s">
        <v>2116</v>
      </c>
    </row>
    <row r="869" spans="1:9" x14ac:dyDescent="0.35">
      <c r="A869">
        <v>2784470</v>
      </c>
      <c r="B869" t="s">
        <v>358</v>
      </c>
      <c r="C869" s="1">
        <v>45800</v>
      </c>
      <c r="D869">
        <v>6920</v>
      </c>
      <c r="E869" t="b">
        <v>1</v>
      </c>
      <c r="F869">
        <v>124</v>
      </c>
      <c r="G869" t="s">
        <v>110</v>
      </c>
      <c r="H869" t="s">
        <v>1510</v>
      </c>
      <c r="I869" t="s">
        <v>2117</v>
      </c>
    </row>
    <row r="870" spans="1:9" x14ac:dyDescent="0.35">
      <c r="A870">
        <v>2183900</v>
      </c>
      <c r="B870" t="s">
        <v>361</v>
      </c>
      <c r="C870" s="1">
        <v>45544</v>
      </c>
      <c r="D870">
        <v>6851</v>
      </c>
      <c r="E870" t="b">
        <v>0</v>
      </c>
      <c r="F870">
        <v>125</v>
      </c>
      <c r="G870" t="s">
        <v>223</v>
      </c>
      <c r="H870" t="s">
        <v>49</v>
      </c>
      <c r="I870" t="s">
        <v>2116</v>
      </c>
    </row>
    <row r="871" spans="1:9" x14ac:dyDescent="0.35">
      <c r="A871">
        <v>2183900</v>
      </c>
      <c r="B871" t="s">
        <v>361</v>
      </c>
      <c r="C871" s="1">
        <v>45544</v>
      </c>
      <c r="D871">
        <v>6851</v>
      </c>
      <c r="E871" t="b">
        <v>0</v>
      </c>
      <c r="F871">
        <v>125</v>
      </c>
      <c r="G871" t="s">
        <v>223</v>
      </c>
      <c r="H871" t="s">
        <v>792</v>
      </c>
      <c r="I871" t="s">
        <v>2117</v>
      </c>
    </row>
    <row r="872" spans="1:9" x14ac:dyDescent="0.35">
      <c r="A872">
        <v>2183900</v>
      </c>
      <c r="B872" t="s">
        <v>361</v>
      </c>
      <c r="C872" s="1">
        <v>45544</v>
      </c>
      <c r="D872">
        <v>6851</v>
      </c>
      <c r="E872" t="b">
        <v>0</v>
      </c>
      <c r="F872">
        <v>125</v>
      </c>
      <c r="G872" t="s">
        <v>223</v>
      </c>
      <c r="H872" t="s">
        <v>346</v>
      </c>
      <c r="I872" t="s">
        <v>2116</v>
      </c>
    </row>
    <row r="873" spans="1:9" x14ac:dyDescent="0.35">
      <c r="A873">
        <v>2183900</v>
      </c>
      <c r="B873" t="s">
        <v>361</v>
      </c>
      <c r="C873" s="1">
        <v>45544</v>
      </c>
      <c r="D873">
        <v>6851</v>
      </c>
      <c r="E873" t="b">
        <v>0</v>
      </c>
      <c r="F873">
        <v>125</v>
      </c>
      <c r="G873" t="s">
        <v>223</v>
      </c>
      <c r="H873" t="s">
        <v>239</v>
      </c>
      <c r="I873" t="s">
        <v>2117</v>
      </c>
    </row>
    <row r="874" spans="1:9" x14ac:dyDescent="0.35">
      <c r="A874">
        <v>2183900</v>
      </c>
      <c r="B874" t="s">
        <v>361</v>
      </c>
      <c r="C874" s="1">
        <v>45544</v>
      </c>
      <c r="D874">
        <v>6851</v>
      </c>
      <c r="E874" t="b">
        <v>0</v>
      </c>
      <c r="F874">
        <v>125</v>
      </c>
      <c r="G874" t="s">
        <v>223</v>
      </c>
      <c r="H874" t="s">
        <v>132</v>
      </c>
      <c r="I874" t="s">
        <v>2116</v>
      </c>
    </row>
    <row r="875" spans="1:9" x14ac:dyDescent="0.35">
      <c r="A875">
        <v>2183900</v>
      </c>
      <c r="B875" t="s">
        <v>361</v>
      </c>
      <c r="C875" s="1">
        <v>45544</v>
      </c>
      <c r="D875">
        <v>6851</v>
      </c>
      <c r="E875" t="b">
        <v>0</v>
      </c>
      <c r="F875">
        <v>125</v>
      </c>
      <c r="G875" t="s">
        <v>223</v>
      </c>
      <c r="H875" t="s">
        <v>124</v>
      </c>
      <c r="I875" t="s">
        <v>2117</v>
      </c>
    </row>
    <row r="876" spans="1:9" x14ac:dyDescent="0.35">
      <c r="A876">
        <v>2183900</v>
      </c>
      <c r="B876" t="s">
        <v>361</v>
      </c>
      <c r="C876" s="1">
        <v>45544</v>
      </c>
      <c r="D876">
        <v>6851</v>
      </c>
      <c r="E876" t="b">
        <v>0</v>
      </c>
      <c r="F876">
        <v>125</v>
      </c>
      <c r="G876" t="s">
        <v>223</v>
      </c>
      <c r="H876" t="s">
        <v>1510</v>
      </c>
      <c r="I876" t="s">
        <v>2117</v>
      </c>
    </row>
    <row r="877" spans="1:9" x14ac:dyDescent="0.35">
      <c r="A877">
        <v>814380</v>
      </c>
      <c r="B877" t="s">
        <v>363</v>
      </c>
      <c r="C877" s="1">
        <v>43545</v>
      </c>
      <c r="D877">
        <v>6767</v>
      </c>
      <c r="E877" t="b">
        <v>0</v>
      </c>
      <c r="F877">
        <v>126</v>
      </c>
      <c r="G877" t="s">
        <v>33</v>
      </c>
      <c r="H877" t="s">
        <v>49</v>
      </c>
      <c r="I877" t="s">
        <v>2116</v>
      </c>
    </row>
    <row r="878" spans="1:9" x14ac:dyDescent="0.35">
      <c r="A878">
        <v>814380</v>
      </c>
      <c r="B878" t="s">
        <v>363</v>
      </c>
      <c r="C878" s="1">
        <v>43545</v>
      </c>
      <c r="D878">
        <v>6767</v>
      </c>
      <c r="E878" t="b">
        <v>0</v>
      </c>
      <c r="F878">
        <v>126</v>
      </c>
      <c r="G878" t="s">
        <v>33</v>
      </c>
      <c r="H878" t="s">
        <v>792</v>
      </c>
      <c r="I878" t="s">
        <v>2117</v>
      </c>
    </row>
    <row r="879" spans="1:9" x14ac:dyDescent="0.35">
      <c r="A879">
        <v>814380</v>
      </c>
      <c r="B879" t="s">
        <v>363</v>
      </c>
      <c r="C879" s="1">
        <v>43545</v>
      </c>
      <c r="D879">
        <v>6767</v>
      </c>
      <c r="E879" t="b">
        <v>0</v>
      </c>
      <c r="F879">
        <v>126</v>
      </c>
      <c r="G879" t="s">
        <v>33</v>
      </c>
      <c r="H879" t="s">
        <v>346</v>
      </c>
      <c r="I879" t="s">
        <v>2116</v>
      </c>
    </row>
    <row r="880" spans="1:9" x14ac:dyDescent="0.35">
      <c r="A880">
        <v>814380</v>
      </c>
      <c r="B880" t="s">
        <v>363</v>
      </c>
      <c r="C880" s="1">
        <v>43545</v>
      </c>
      <c r="D880">
        <v>6767</v>
      </c>
      <c r="E880" t="b">
        <v>0</v>
      </c>
      <c r="F880">
        <v>126</v>
      </c>
      <c r="G880" t="s">
        <v>33</v>
      </c>
      <c r="H880" t="s">
        <v>239</v>
      </c>
      <c r="I880" t="s">
        <v>2117</v>
      </c>
    </row>
    <row r="881" spans="1:9" x14ac:dyDescent="0.35">
      <c r="A881">
        <v>814380</v>
      </c>
      <c r="B881" t="s">
        <v>363</v>
      </c>
      <c r="C881" s="1">
        <v>43545</v>
      </c>
      <c r="D881">
        <v>6767</v>
      </c>
      <c r="E881" t="b">
        <v>0</v>
      </c>
      <c r="F881">
        <v>126</v>
      </c>
      <c r="G881" t="s">
        <v>33</v>
      </c>
      <c r="H881" t="s">
        <v>132</v>
      </c>
      <c r="I881" t="s">
        <v>2117</v>
      </c>
    </row>
    <row r="882" spans="1:9" x14ac:dyDescent="0.35">
      <c r="A882">
        <v>814380</v>
      </c>
      <c r="B882" t="s">
        <v>363</v>
      </c>
      <c r="C882" s="1">
        <v>43545</v>
      </c>
      <c r="D882">
        <v>6767</v>
      </c>
      <c r="E882" t="b">
        <v>0</v>
      </c>
      <c r="F882">
        <v>126</v>
      </c>
      <c r="G882" t="s">
        <v>33</v>
      </c>
      <c r="H882" t="s">
        <v>124</v>
      </c>
      <c r="I882" t="s">
        <v>2117</v>
      </c>
    </row>
    <row r="883" spans="1:9" x14ac:dyDescent="0.35">
      <c r="A883">
        <v>814380</v>
      </c>
      <c r="B883" t="s">
        <v>363</v>
      </c>
      <c r="C883" s="1">
        <v>43545</v>
      </c>
      <c r="D883">
        <v>6767</v>
      </c>
      <c r="E883" t="b">
        <v>0</v>
      </c>
      <c r="F883">
        <v>126</v>
      </c>
      <c r="G883" t="s">
        <v>33</v>
      </c>
      <c r="H883" t="s">
        <v>1510</v>
      </c>
      <c r="I883" t="s">
        <v>2117</v>
      </c>
    </row>
    <row r="884" spans="1:9" x14ac:dyDescent="0.35">
      <c r="A884">
        <v>270880</v>
      </c>
      <c r="B884" t="s">
        <v>365</v>
      </c>
      <c r="C884" s="1">
        <v>42402</v>
      </c>
      <c r="D884">
        <v>6742</v>
      </c>
      <c r="E884" t="b">
        <v>1</v>
      </c>
      <c r="F884">
        <v>127</v>
      </c>
      <c r="G884" t="s">
        <v>967</v>
      </c>
      <c r="H884" t="s">
        <v>49</v>
      </c>
      <c r="I884" t="s">
        <v>2117</v>
      </c>
    </row>
    <row r="885" spans="1:9" x14ac:dyDescent="0.35">
      <c r="A885">
        <v>270880</v>
      </c>
      <c r="B885" t="s">
        <v>365</v>
      </c>
      <c r="C885" s="1">
        <v>42402</v>
      </c>
      <c r="D885">
        <v>6742</v>
      </c>
      <c r="E885" t="b">
        <v>1</v>
      </c>
      <c r="F885">
        <v>127</v>
      </c>
      <c r="G885" t="s">
        <v>967</v>
      </c>
      <c r="H885" t="s">
        <v>792</v>
      </c>
      <c r="I885" t="s">
        <v>2116</v>
      </c>
    </row>
    <row r="886" spans="1:9" x14ac:dyDescent="0.35">
      <c r="A886">
        <v>270880</v>
      </c>
      <c r="B886" t="s">
        <v>365</v>
      </c>
      <c r="C886" s="1">
        <v>42402</v>
      </c>
      <c r="D886">
        <v>6742</v>
      </c>
      <c r="E886" t="b">
        <v>1</v>
      </c>
      <c r="F886">
        <v>127</v>
      </c>
      <c r="G886" t="s">
        <v>967</v>
      </c>
      <c r="H886" t="s">
        <v>346</v>
      </c>
      <c r="I886" t="s">
        <v>2117</v>
      </c>
    </row>
    <row r="887" spans="1:9" x14ac:dyDescent="0.35">
      <c r="A887">
        <v>270880</v>
      </c>
      <c r="B887" t="s">
        <v>365</v>
      </c>
      <c r="C887" s="1">
        <v>42402</v>
      </c>
      <c r="D887">
        <v>6742</v>
      </c>
      <c r="E887" t="b">
        <v>1</v>
      </c>
      <c r="F887">
        <v>127</v>
      </c>
      <c r="G887" t="s">
        <v>967</v>
      </c>
      <c r="H887" t="s">
        <v>239</v>
      </c>
      <c r="I887" t="s">
        <v>2116</v>
      </c>
    </row>
    <row r="888" spans="1:9" x14ac:dyDescent="0.35">
      <c r="A888">
        <v>270880</v>
      </c>
      <c r="B888" t="s">
        <v>365</v>
      </c>
      <c r="C888" s="1">
        <v>42402</v>
      </c>
      <c r="D888">
        <v>6742</v>
      </c>
      <c r="E888" t="b">
        <v>1</v>
      </c>
      <c r="F888">
        <v>127</v>
      </c>
      <c r="G888" t="s">
        <v>967</v>
      </c>
      <c r="H888" t="s">
        <v>132</v>
      </c>
      <c r="I888" t="s">
        <v>2117</v>
      </c>
    </row>
    <row r="889" spans="1:9" x14ac:dyDescent="0.35">
      <c r="A889">
        <v>270880</v>
      </c>
      <c r="B889" t="s">
        <v>365</v>
      </c>
      <c r="C889" s="1">
        <v>42402</v>
      </c>
      <c r="D889">
        <v>6742</v>
      </c>
      <c r="E889" t="b">
        <v>1</v>
      </c>
      <c r="F889">
        <v>127</v>
      </c>
      <c r="G889" t="s">
        <v>967</v>
      </c>
      <c r="H889" t="s">
        <v>124</v>
      </c>
      <c r="I889" t="s">
        <v>2117</v>
      </c>
    </row>
    <row r="890" spans="1:9" x14ac:dyDescent="0.35">
      <c r="A890">
        <v>270880</v>
      </c>
      <c r="B890" t="s">
        <v>365</v>
      </c>
      <c r="C890" s="1">
        <v>42402</v>
      </c>
      <c r="D890">
        <v>6742</v>
      </c>
      <c r="E890" t="b">
        <v>1</v>
      </c>
      <c r="F890">
        <v>127</v>
      </c>
      <c r="G890" t="s">
        <v>967</v>
      </c>
      <c r="H890" t="s">
        <v>1510</v>
      </c>
      <c r="I890" t="s">
        <v>2117</v>
      </c>
    </row>
    <row r="891" spans="1:9" x14ac:dyDescent="0.35">
      <c r="A891">
        <v>1286830</v>
      </c>
      <c r="B891" t="s">
        <v>367</v>
      </c>
      <c r="C891" s="1">
        <v>44033</v>
      </c>
      <c r="D891">
        <v>6625</v>
      </c>
      <c r="E891" t="b">
        <v>0</v>
      </c>
      <c r="F891">
        <v>128</v>
      </c>
      <c r="G891" t="s">
        <v>513</v>
      </c>
      <c r="H891" t="s">
        <v>49</v>
      </c>
      <c r="I891" t="s">
        <v>2117</v>
      </c>
    </row>
    <row r="892" spans="1:9" x14ac:dyDescent="0.35">
      <c r="A892">
        <v>1286830</v>
      </c>
      <c r="B892" t="s">
        <v>367</v>
      </c>
      <c r="C892" s="1">
        <v>44033</v>
      </c>
      <c r="D892">
        <v>6625</v>
      </c>
      <c r="E892" t="b">
        <v>0</v>
      </c>
      <c r="F892">
        <v>128</v>
      </c>
      <c r="G892" t="s">
        <v>513</v>
      </c>
      <c r="H892" t="s">
        <v>792</v>
      </c>
      <c r="I892" t="s">
        <v>2117</v>
      </c>
    </row>
    <row r="893" spans="1:9" x14ac:dyDescent="0.35">
      <c r="A893">
        <v>1286830</v>
      </c>
      <c r="B893" t="s">
        <v>367</v>
      </c>
      <c r="C893" s="1">
        <v>44033</v>
      </c>
      <c r="D893">
        <v>6625</v>
      </c>
      <c r="E893" t="b">
        <v>0</v>
      </c>
      <c r="F893">
        <v>128</v>
      </c>
      <c r="G893" t="s">
        <v>513</v>
      </c>
      <c r="H893" t="s">
        <v>346</v>
      </c>
      <c r="I893" t="s">
        <v>2117</v>
      </c>
    </row>
    <row r="894" spans="1:9" x14ac:dyDescent="0.35">
      <c r="A894">
        <v>1286830</v>
      </c>
      <c r="B894" t="s">
        <v>367</v>
      </c>
      <c r="C894" s="1">
        <v>44033</v>
      </c>
      <c r="D894">
        <v>6625</v>
      </c>
      <c r="E894" t="b">
        <v>0</v>
      </c>
      <c r="F894">
        <v>128</v>
      </c>
      <c r="G894" t="s">
        <v>513</v>
      </c>
      <c r="H894" t="s">
        <v>239</v>
      </c>
      <c r="I894" t="s">
        <v>2117</v>
      </c>
    </row>
    <row r="895" spans="1:9" x14ac:dyDescent="0.35">
      <c r="A895">
        <v>1286830</v>
      </c>
      <c r="B895" t="s">
        <v>367</v>
      </c>
      <c r="C895" s="1">
        <v>44033</v>
      </c>
      <c r="D895">
        <v>6625</v>
      </c>
      <c r="E895" t="b">
        <v>0</v>
      </c>
      <c r="F895">
        <v>128</v>
      </c>
      <c r="G895" t="s">
        <v>513</v>
      </c>
      <c r="H895" t="s">
        <v>132</v>
      </c>
      <c r="I895" t="s">
        <v>2116</v>
      </c>
    </row>
    <row r="896" spans="1:9" x14ac:dyDescent="0.35">
      <c r="A896">
        <v>1286830</v>
      </c>
      <c r="B896" t="s">
        <v>367</v>
      </c>
      <c r="C896" s="1">
        <v>44033</v>
      </c>
      <c r="D896">
        <v>6625</v>
      </c>
      <c r="E896" t="b">
        <v>0</v>
      </c>
      <c r="F896">
        <v>128</v>
      </c>
      <c r="G896" t="s">
        <v>513</v>
      </c>
      <c r="H896" t="s">
        <v>124</v>
      </c>
      <c r="I896" t="s">
        <v>2117</v>
      </c>
    </row>
    <row r="897" spans="1:9" x14ac:dyDescent="0.35">
      <c r="A897">
        <v>1286830</v>
      </c>
      <c r="B897" t="s">
        <v>367</v>
      </c>
      <c r="C897" s="1">
        <v>44033</v>
      </c>
      <c r="D897">
        <v>6625</v>
      </c>
      <c r="E897" t="b">
        <v>0</v>
      </c>
      <c r="F897">
        <v>128</v>
      </c>
      <c r="G897" t="s">
        <v>513</v>
      </c>
      <c r="H897" t="s">
        <v>1510</v>
      </c>
      <c r="I897" t="s">
        <v>2116</v>
      </c>
    </row>
    <row r="898" spans="1:9" x14ac:dyDescent="0.35">
      <c r="A898">
        <v>2742830</v>
      </c>
      <c r="B898" t="s">
        <v>369</v>
      </c>
      <c r="C898" s="1">
        <v>45798</v>
      </c>
      <c r="D898">
        <v>6617</v>
      </c>
      <c r="E898" t="b">
        <v>1</v>
      </c>
      <c r="F898">
        <v>129</v>
      </c>
      <c r="G898" t="s">
        <v>371</v>
      </c>
      <c r="H898" t="s">
        <v>49</v>
      </c>
      <c r="I898" t="s">
        <v>2117</v>
      </c>
    </row>
    <row r="899" spans="1:9" x14ac:dyDescent="0.35">
      <c r="A899">
        <v>2742830</v>
      </c>
      <c r="B899" t="s">
        <v>369</v>
      </c>
      <c r="C899" s="1">
        <v>45798</v>
      </c>
      <c r="D899">
        <v>6617</v>
      </c>
      <c r="E899" t="b">
        <v>1</v>
      </c>
      <c r="F899">
        <v>129</v>
      </c>
      <c r="G899" t="s">
        <v>371</v>
      </c>
      <c r="H899" t="s">
        <v>792</v>
      </c>
      <c r="I899" t="s">
        <v>2116</v>
      </c>
    </row>
    <row r="900" spans="1:9" x14ac:dyDescent="0.35">
      <c r="A900">
        <v>2742830</v>
      </c>
      <c r="B900" t="s">
        <v>369</v>
      </c>
      <c r="C900" s="1">
        <v>45798</v>
      </c>
      <c r="D900">
        <v>6617</v>
      </c>
      <c r="E900" t="b">
        <v>1</v>
      </c>
      <c r="F900">
        <v>129</v>
      </c>
      <c r="G900" t="s">
        <v>371</v>
      </c>
      <c r="H900" t="s">
        <v>346</v>
      </c>
      <c r="I900" t="s">
        <v>2117</v>
      </c>
    </row>
    <row r="901" spans="1:9" x14ac:dyDescent="0.35">
      <c r="A901">
        <v>2742830</v>
      </c>
      <c r="B901" t="s">
        <v>369</v>
      </c>
      <c r="C901" s="1">
        <v>45798</v>
      </c>
      <c r="D901">
        <v>6617</v>
      </c>
      <c r="E901" t="b">
        <v>1</v>
      </c>
      <c r="F901">
        <v>129</v>
      </c>
      <c r="G901" t="s">
        <v>371</v>
      </c>
      <c r="H901" t="s">
        <v>239</v>
      </c>
      <c r="I901" t="s">
        <v>2117</v>
      </c>
    </row>
    <row r="902" spans="1:9" x14ac:dyDescent="0.35">
      <c r="A902">
        <v>2742830</v>
      </c>
      <c r="B902" t="s">
        <v>369</v>
      </c>
      <c r="C902" s="1">
        <v>45798</v>
      </c>
      <c r="D902">
        <v>6617</v>
      </c>
      <c r="E902" t="b">
        <v>1</v>
      </c>
      <c r="F902">
        <v>129</v>
      </c>
      <c r="G902" t="s">
        <v>371</v>
      </c>
      <c r="H902" t="s">
        <v>132</v>
      </c>
      <c r="I902" t="s">
        <v>2117</v>
      </c>
    </row>
    <row r="903" spans="1:9" x14ac:dyDescent="0.35">
      <c r="A903">
        <v>2742830</v>
      </c>
      <c r="B903" t="s">
        <v>369</v>
      </c>
      <c r="C903" s="1">
        <v>45798</v>
      </c>
      <c r="D903">
        <v>6617</v>
      </c>
      <c r="E903" t="b">
        <v>1</v>
      </c>
      <c r="F903">
        <v>129</v>
      </c>
      <c r="G903" t="s">
        <v>371</v>
      </c>
      <c r="H903" t="s">
        <v>124</v>
      </c>
      <c r="I903" t="s">
        <v>2116</v>
      </c>
    </row>
    <row r="904" spans="1:9" x14ac:dyDescent="0.35">
      <c r="A904">
        <v>2742830</v>
      </c>
      <c r="B904" t="s">
        <v>369</v>
      </c>
      <c r="C904" s="1">
        <v>45798</v>
      </c>
      <c r="D904">
        <v>6617</v>
      </c>
      <c r="E904" t="b">
        <v>1</v>
      </c>
      <c r="F904">
        <v>129</v>
      </c>
      <c r="G904" t="s">
        <v>371</v>
      </c>
      <c r="H904" t="s">
        <v>1510</v>
      </c>
      <c r="I904" t="s">
        <v>2117</v>
      </c>
    </row>
    <row r="905" spans="1:9" x14ac:dyDescent="0.35">
      <c r="A905">
        <v>1942280</v>
      </c>
      <c r="B905" t="s">
        <v>372</v>
      </c>
      <c r="C905" s="1">
        <v>45100</v>
      </c>
      <c r="D905">
        <v>6389</v>
      </c>
      <c r="E905" t="b">
        <v>1</v>
      </c>
      <c r="F905">
        <v>130</v>
      </c>
      <c r="G905" t="s">
        <v>14</v>
      </c>
      <c r="H905" t="s">
        <v>49</v>
      </c>
      <c r="I905" t="s">
        <v>2116</v>
      </c>
    </row>
    <row r="906" spans="1:9" x14ac:dyDescent="0.35">
      <c r="A906">
        <v>1942280</v>
      </c>
      <c r="B906" t="s">
        <v>372</v>
      </c>
      <c r="C906" s="1">
        <v>45100</v>
      </c>
      <c r="D906">
        <v>6389</v>
      </c>
      <c r="E906" t="b">
        <v>1</v>
      </c>
      <c r="F906">
        <v>130</v>
      </c>
      <c r="G906" t="s">
        <v>14</v>
      </c>
      <c r="H906" t="s">
        <v>792</v>
      </c>
      <c r="I906" t="s">
        <v>2116</v>
      </c>
    </row>
    <row r="907" spans="1:9" x14ac:dyDescent="0.35">
      <c r="A907">
        <v>1942280</v>
      </c>
      <c r="B907" t="s">
        <v>372</v>
      </c>
      <c r="C907" s="1">
        <v>45100</v>
      </c>
      <c r="D907">
        <v>6389</v>
      </c>
      <c r="E907" t="b">
        <v>1</v>
      </c>
      <c r="F907">
        <v>130</v>
      </c>
      <c r="G907" t="s">
        <v>14</v>
      </c>
      <c r="H907" t="s">
        <v>346</v>
      </c>
      <c r="I907" t="s">
        <v>2117</v>
      </c>
    </row>
    <row r="908" spans="1:9" x14ac:dyDescent="0.35">
      <c r="A908">
        <v>1942280</v>
      </c>
      <c r="B908" t="s">
        <v>372</v>
      </c>
      <c r="C908" s="1">
        <v>45100</v>
      </c>
      <c r="D908">
        <v>6389</v>
      </c>
      <c r="E908" t="b">
        <v>1</v>
      </c>
      <c r="F908">
        <v>130</v>
      </c>
      <c r="G908" t="s">
        <v>14</v>
      </c>
      <c r="H908" t="s">
        <v>239</v>
      </c>
      <c r="I908" t="s">
        <v>2117</v>
      </c>
    </row>
    <row r="909" spans="1:9" x14ac:dyDescent="0.35">
      <c r="A909">
        <v>1942280</v>
      </c>
      <c r="B909" t="s">
        <v>372</v>
      </c>
      <c r="C909" s="1">
        <v>45100</v>
      </c>
      <c r="D909">
        <v>6389</v>
      </c>
      <c r="E909" t="b">
        <v>1</v>
      </c>
      <c r="F909">
        <v>130</v>
      </c>
      <c r="G909" t="s">
        <v>14</v>
      </c>
      <c r="H909" t="s">
        <v>132</v>
      </c>
      <c r="I909" t="s">
        <v>2116</v>
      </c>
    </row>
    <row r="910" spans="1:9" x14ac:dyDescent="0.35">
      <c r="A910">
        <v>1942280</v>
      </c>
      <c r="B910" t="s">
        <v>372</v>
      </c>
      <c r="C910" s="1">
        <v>45100</v>
      </c>
      <c r="D910">
        <v>6389</v>
      </c>
      <c r="E910" t="b">
        <v>1</v>
      </c>
      <c r="F910">
        <v>130</v>
      </c>
      <c r="G910" t="s">
        <v>14</v>
      </c>
      <c r="H910" t="s">
        <v>124</v>
      </c>
      <c r="I910" t="s">
        <v>2117</v>
      </c>
    </row>
    <row r="911" spans="1:9" x14ac:dyDescent="0.35">
      <c r="A911">
        <v>1942280</v>
      </c>
      <c r="B911" t="s">
        <v>372</v>
      </c>
      <c r="C911" s="1">
        <v>45100</v>
      </c>
      <c r="D911">
        <v>6389</v>
      </c>
      <c r="E911" t="b">
        <v>1</v>
      </c>
      <c r="F911">
        <v>130</v>
      </c>
      <c r="G911" t="s">
        <v>14</v>
      </c>
      <c r="H911" t="s">
        <v>1510</v>
      </c>
      <c r="I911" t="s">
        <v>2117</v>
      </c>
    </row>
    <row r="912" spans="1:9" x14ac:dyDescent="0.35">
      <c r="A912">
        <v>1238810</v>
      </c>
      <c r="B912" t="s">
        <v>375</v>
      </c>
      <c r="C912" s="1">
        <v>44126</v>
      </c>
      <c r="D912">
        <v>6327</v>
      </c>
      <c r="E912" t="b">
        <v>0</v>
      </c>
      <c r="F912">
        <v>131</v>
      </c>
      <c r="G912" t="s">
        <v>53</v>
      </c>
      <c r="H912" t="s">
        <v>49</v>
      </c>
      <c r="I912" t="s">
        <v>2116</v>
      </c>
    </row>
    <row r="913" spans="1:9" x14ac:dyDescent="0.35">
      <c r="A913">
        <v>1238810</v>
      </c>
      <c r="B913" t="s">
        <v>375</v>
      </c>
      <c r="C913" s="1">
        <v>44126</v>
      </c>
      <c r="D913">
        <v>6327</v>
      </c>
      <c r="E913" t="b">
        <v>0</v>
      </c>
      <c r="F913">
        <v>131</v>
      </c>
      <c r="G913" t="s">
        <v>53</v>
      </c>
      <c r="H913" t="s">
        <v>792</v>
      </c>
      <c r="I913" t="s">
        <v>2117</v>
      </c>
    </row>
    <row r="914" spans="1:9" x14ac:dyDescent="0.35">
      <c r="A914">
        <v>1238810</v>
      </c>
      <c r="B914" t="s">
        <v>375</v>
      </c>
      <c r="C914" s="1">
        <v>44126</v>
      </c>
      <c r="D914">
        <v>6327</v>
      </c>
      <c r="E914" t="b">
        <v>0</v>
      </c>
      <c r="F914">
        <v>131</v>
      </c>
      <c r="G914" t="s">
        <v>53</v>
      </c>
      <c r="H914" t="s">
        <v>346</v>
      </c>
      <c r="I914" t="s">
        <v>2117</v>
      </c>
    </row>
    <row r="915" spans="1:9" x14ac:dyDescent="0.35">
      <c r="A915">
        <v>1238810</v>
      </c>
      <c r="B915" t="s">
        <v>375</v>
      </c>
      <c r="C915" s="1">
        <v>44126</v>
      </c>
      <c r="D915">
        <v>6327</v>
      </c>
      <c r="E915" t="b">
        <v>0</v>
      </c>
      <c r="F915">
        <v>131</v>
      </c>
      <c r="G915" t="s">
        <v>53</v>
      </c>
      <c r="H915" t="s">
        <v>239</v>
      </c>
      <c r="I915" t="s">
        <v>2117</v>
      </c>
    </row>
    <row r="916" spans="1:9" x14ac:dyDescent="0.35">
      <c r="A916">
        <v>1238810</v>
      </c>
      <c r="B916" t="s">
        <v>375</v>
      </c>
      <c r="C916" s="1">
        <v>44126</v>
      </c>
      <c r="D916">
        <v>6327</v>
      </c>
      <c r="E916" t="b">
        <v>0</v>
      </c>
      <c r="F916">
        <v>131</v>
      </c>
      <c r="G916" t="s">
        <v>53</v>
      </c>
      <c r="H916" t="s">
        <v>132</v>
      </c>
      <c r="I916" t="s">
        <v>2117</v>
      </c>
    </row>
    <row r="917" spans="1:9" x14ac:dyDescent="0.35">
      <c r="A917">
        <v>1238810</v>
      </c>
      <c r="B917" t="s">
        <v>375</v>
      </c>
      <c r="C917" s="1">
        <v>44126</v>
      </c>
      <c r="D917">
        <v>6327</v>
      </c>
      <c r="E917" t="b">
        <v>0</v>
      </c>
      <c r="F917">
        <v>131</v>
      </c>
      <c r="G917" t="s">
        <v>53</v>
      </c>
      <c r="H917" t="s">
        <v>124</v>
      </c>
      <c r="I917" t="s">
        <v>2117</v>
      </c>
    </row>
    <row r="918" spans="1:9" x14ac:dyDescent="0.35">
      <c r="A918">
        <v>1238810</v>
      </c>
      <c r="B918" t="s">
        <v>375</v>
      </c>
      <c r="C918" s="1">
        <v>44126</v>
      </c>
      <c r="D918">
        <v>6327</v>
      </c>
      <c r="E918" t="b">
        <v>0</v>
      </c>
      <c r="F918">
        <v>131</v>
      </c>
      <c r="G918" t="s">
        <v>53</v>
      </c>
      <c r="H918" t="s">
        <v>1510</v>
      </c>
      <c r="I918" t="s">
        <v>2117</v>
      </c>
    </row>
    <row r="919" spans="1:9" x14ac:dyDescent="0.35">
      <c r="A919">
        <v>1238840</v>
      </c>
      <c r="B919" t="s">
        <v>377</v>
      </c>
      <c r="C919" s="1">
        <v>43993</v>
      </c>
      <c r="D919">
        <v>6308</v>
      </c>
      <c r="E919" t="b">
        <v>0</v>
      </c>
      <c r="F919">
        <v>132</v>
      </c>
      <c r="G919" t="s">
        <v>293</v>
      </c>
      <c r="H919" t="s">
        <v>49</v>
      </c>
      <c r="I919" t="s">
        <v>2116</v>
      </c>
    </row>
    <row r="920" spans="1:9" x14ac:dyDescent="0.35">
      <c r="A920">
        <v>1238840</v>
      </c>
      <c r="B920" t="s">
        <v>377</v>
      </c>
      <c r="C920" s="1">
        <v>43993</v>
      </c>
      <c r="D920">
        <v>6308</v>
      </c>
      <c r="E920" t="b">
        <v>0</v>
      </c>
      <c r="F920">
        <v>132</v>
      </c>
      <c r="G920" t="s">
        <v>293</v>
      </c>
      <c r="H920" t="s">
        <v>792</v>
      </c>
      <c r="I920" t="s">
        <v>2117</v>
      </c>
    </row>
    <row r="921" spans="1:9" x14ac:dyDescent="0.35">
      <c r="A921">
        <v>1238840</v>
      </c>
      <c r="B921" t="s">
        <v>377</v>
      </c>
      <c r="C921" s="1">
        <v>43993</v>
      </c>
      <c r="D921">
        <v>6308</v>
      </c>
      <c r="E921" t="b">
        <v>0</v>
      </c>
      <c r="F921">
        <v>132</v>
      </c>
      <c r="G921" t="s">
        <v>293</v>
      </c>
      <c r="H921" t="s">
        <v>346</v>
      </c>
      <c r="I921" t="s">
        <v>2117</v>
      </c>
    </row>
    <row r="922" spans="1:9" x14ac:dyDescent="0.35">
      <c r="A922">
        <v>1238840</v>
      </c>
      <c r="B922" t="s">
        <v>377</v>
      </c>
      <c r="C922" s="1">
        <v>43993</v>
      </c>
      <c r="D922">
        <v>6308</v>
      </c>
      <c r="E922" t="b">
        <v>0</v>
      </c>
      <c r="F922">
        <v>132</v>
      </c>
      <c r="G922" t="s">
        <v>293</v>
      </c>
      <c r="H922" t="s">
        <v>239</v>
      </c>
      <c r="I922" t="s">
        <v>2117</v>
      </c>
    </row>
    <row r="923" spans="1:9" x14ac:dyDescent="0.35">
      <c r="A923">
        <v>1238840</v>
      </c>
      <c r="B923" t="s">
        <v>377</v>
      </c>
      <c r="C923" s="1">
        <v>43993</v>
      </c>
      <c r="D923">
        <v>6308</v>
      </c>
      <c r="E923" t="b">
        <v>0</v>
      </c>
      <c r="F923">
        <v>132</v>
      </c>
      <c r="G923" t="s">
        <v>293</v>
      </c>
      <c r="H923" t="s">
        <v>132</v>
      </c>
      <c r="I923" t="s">
        <v>2117</v>
      </c>
    </row>
    <row r="924" spans="1:9" x14ac:dyDescent="0.35">
      <c r="A924">
        <v>1238840</v>
      </c>
      <c r="B924" t="s">
        <v>377</v>
      </c>
      <c r="C924" s="1">
        <v>43993</v>
      </c>
      <c r="D924">
        <v>6308</v>
      </c>
      <c r="E924" t="b">
        <v>0</v>
      </c>
      <c r="F924">
        <v>132</v>
      </c>
      <c r="G924" t="s">
        <v>293</v>
      </c>
      <c r="H924" t="s">
        <v>124</v>
      </c>
      <c r="I924" t="s">
        <v>2117</v>
      </c>
    </row>
    <row r="925" spans="1:9" x14ac:dyDescent="0.35">
      <c r="A925">
        <v>1238840</v>
      </c>
      <c r="B925" t="s">
        <v>377</v>
      </c>
      <c r="C925" s="1">
        <v>43993</v>
      </c>
      <c r="D925">
        <v>6308</v>
      </c>
      <c r="E925" t="b">
        <v>0</v>
      </c>
      <c r="F925">
        <v>132</v>
      </c>
      <c r="G925" t="s">
        <v>293</v>
      </c>
      <c r="H925" t="s">
        <v>1510</v>
      </c>
      <c r="I925" t="s">
        <v>2117</v>
      </c>
    </row>
    <row r="926" spans="1:9" x14ac:dyDescent="0.35">
      <c r="A926">
        <v>594650</v>
      </c>
      <c r="B926" t="s">
        <v>379</v>
      </c>
      <c r="C926" s="1">
        <v>43704</v>
      </c>
      <c r="D926">
        <v>6300</v>
      </c>
      <c r="E926" t="b">
        <v>0</v>
      </c>
      <c r="F926">
        <v>133</v>
      </c>
      <c r="G926" t="s">
        <v>147</v>
      </c>
      <c r="H926" t="s">
        <v>49</v>
      </c>
      <c r="I926" t="s">
        <v>2116</v>
      </c>
    </row>
    <row r="927" spans="1:9" x14ac:dyDescent="0.35">
      <c r="A927">
        <v>594650</v>
      </c>
      <c r="B927" t="s">
        <v>379</v>
      </c>
      <c r="C927" s="1">
        <v>43704</v>
      </c>
      <c r="D927">
        <v>6300</v>
      </c>
      <c r="E927" t="b">
        <v>0</v>
      </c>
      <c r="F927">
        <v>133</v>
      </c>
      <c r="G927" t="s">
        <v>147</v>
      </c>
      <c r="H927" t="s">
        <v>792</v>
      </c>
      <c r="I927" t="s">
        <v>2117</v>
      </c>
    </row>
    <row r="928" spans="1:9" x14ac:dyDescent="0.35">
      <c r="A928">
        <v>594650</v>
      </c>
      <c r="B928" t="s">
        <v>379</v>
      </c>
      <c r="C928" s="1">
        <v>43704</v>
      </c>
      <c r="D928">
        <v>6300</v>
      </c>
      <c r="E928" t="b">
        <v>0</v>
      </c>
      <c r="F928">
        <v>133</v>
      </c>
      <c r="G928" t="s">
        <v>147</v>
      </c>
      <c r="H928" t="s">
        <v>346</v>
      </c>
      <c r="I928" t="s">
        <v>2117</v>
      </c>
    </row>
    <row r="929" spans="1:9" x14ac:dyDescent="0.35">
      <c r="A929">
        <v>594650</v>
      </c>
      <c r="B929" t="s">
        <v>379</v>
      </c>
      <c r="C929" s="1">
        <v>43704</v>
      </c>
      <c r="D929">
        <v>6300</v>
      </c>
      <c r="E929" t="b">
        <v>0</v>
      </c>
      <c r="F929">
        <v>133</v>
      </c>
      <c r="G929" t="s">
        <v>147</v>
      </c>
      <c r="H929" t="s">
        <v>239</v>
      </c>
      <c r="I929" t="s">
        <v>2117</v>
      </c>
    </row>
    <row r="930" spans="1:9" x14ac:dyDescent="0.35">
      <c r="A930">
        <v>594650</v>
      </c>
      <c r="B930" t="s">
        <v>379</v>
      </c>
      <c r="C930" s="1">
        <v>43704</v>
      </c>
      <c r="D930">
        <v>6300</v>
      </c>
      <c r="E930" t="b">
        <v>0</v>
      </c>
      <c r="F930">
        <v>133</v>
      </c>
      <c r="G930" t="s">
        <v>147</v>
      </c>
      <c r="H930" t="s">
        <v>132</v>
      </c>
      <c r="I930" t="s">
        <v>2117</v>
      </c>
    </row>
    <row r="931" spans="1:9" x14ac:dyDescent="0.35">
      <c r="A931">
        <v>594650</v>
      </c>
      <c r="B931" t="s">
        <v>379</v>
      </c>
      <c r="C931" s="1">
        <v>43704</v>
      </c>
      <c r="D931">
        <v>6300</v>
      </c>
      <c r="E931" t="b">
        <v>0</v>
      </c>
      <c r="F931">
        <v>133</v>
      </c>
      <c r="G931" t="s">
        <v>147</v>
      </c>
      <c r="H931" t="s">
        <v>124</v>
      </c>
      <c r="I931" t="s">
        <v>2117</v>
      </c>
    </row>
    <row r="932" spans="1:9" x14ac:dyDescent="0.35">
      <c r="A932">
        <v>594650</v>
      </c>
      <c r="B932" t="s">
        <v>379</v>
      </c>
      <c r="C932" s="1">
        <v>43704</v>
      </c>
      <c r="D932">
        <v>6300</v>
      </c>
      <c r="E932" t="b">
        <v>0</v>
      </c>
      <c r="F932">
        <v>133</v>
      </c>
      <c r="G932" t="s">
        <v>147</v>
      </c>
      <c r="H932" t="s">
        <v>1510</v>
      </c>
      <c r="I932" t="s">
        <v>2117</v>
      </c>
    </row>
    <row r="933" spans="1:9" x14ac:dyDescent="0.35">
      <c r="A933">
        <v>1966720</v>
      </c>
      <c r="B933" t="s">
        <v>381</v>
      </c>
      <c r="C933" s="1">
        <v>45222</v>
      </c>
      <c r="D933">
        <v>6199</v>
      </c>
      <c r="E933" t="b">
        <v>0</v>
      </c>
      <c r="F933">
        <v>134</v>
      </c>
      <c r="G933" t="s">
        <v>304</v>
      </c>
      <c r="H933" t="s">
        <v>49</v>
      </c>
      <c r="I933" t="s">
        <v>2116</v>
      </c>
    </row>
    <row r="934" spans="1:9" x14ac:dyDescent="0.35">
      <c r="A934">
        <v>1966720</v>
      </c>
      <c r="B934" t="s">
        <v>381</v>
      </c>
      <c r="C934" s="1">
        <v>45222</v>
      </c>
      <c r="D934">
        <v>6199</v>
      </c>
      <c r="E934" t="b">
        <v>0</v>
      </c>
      <c r="F934">
        <v>134</v>
      </c>
      <c r="G934" t="s">
        <v>304</v>
      </c>
      <c r="H934" t="s">
        <v>792</v>
      </c>
      <c r="I934" t="s">
        <v>2116</v>
      </c>
    </row>
    <row r="935" spans="1:9" x14ac:dyDescent="0.35">
      <c r="A935">
        <v>1966720</v>
      </c>
      <c r="B935" t="s">
        <v>381</v>
      </c>
      <c r="C935" s="1">
        <v>45222</v>
      </c>
      <c r="D935">
        <v>6199</v>
      </c>
      <c r="E935" t="b">
        <v>0</v>
      </c>
      <c r="F935">
        <v>134</v>
      </c>
      <c r="G935" t="s">
        <v>304</v>
      </c>
      <c r="H935" t="s">
        <v>346</v>
      </c>
      <c r="I935" t="s">
        <v>2116</v>
      </c>
    </row>
    <row r="936" spans="1:9" x14ac:dyDescent="0.35">
      <c r="A936">
        <v>1966720</v>
      </c>
      <c r="B936" t="s">
        <v>381</v>
      </c>
      <c r="C936" s="1">
        <v>45222</v>
      </c>
      <c r="D936">
        <v>6199</v>
      </c>
      <c r="E936" t="b">
        <v>0</v>
      </c>
      <c r="F936">
        <v>134</v>
      </c>
      <c r="G936" t="s">
        <v>304</v>
      </c>
      <c r="H936" t="s">
        <v>239</v>
      </c>
      <c r="I936" t="s">
        <v>2117</v>
      </c>
    </row>
    <row r="937" spans="1:9" x14ac:dyDescent="0.35">
      <c r="A937">
        <v>1966720</v>
      </c>
      <c r="B937" t="s">
        <v>381</v>
      </c>
      <c r="C937" s="1">
        <v>45222</v>
      </c>
      <c r="D937">
        <v>6199</v>
      </c>
      <c r="E937" t="b">
        <v>0</v>
      </c>
      <c r="F937">
        <v>134</v>
      </c>
      <c r="G937" t="s">
        <v>304</v>
      </c>
      <c r="H937" t="s">
        <v>132</v>
      </c>
      <c r="I937" t="s">
        <v>2117</v>
      </c>
    </row>
    <row r="938" spans="1:9" x14ac:dyDescent="0.35">
      <c r="A938">
        <v>1966720</v>
      </c>
      <c r="B938" t="s">
        <v>381</v>
      </c>
      <c r="C938" s="1">
        <v>45222</v>
      </c>
      <c r="D938">
        <v>6199</v>
      </c>
      <c r="E938" t="b">
        <v>0</v>
      </c>
      <c r="F938">
        <v>134</v>
      </c>
      <c r="G938" t="s">
        <v>304</v>
      </c>
      <c r="H938" t="s">
        <v>124</v>
      </c>
      <c r="I938" t="s">
        <v>2117</v>
      </c>
    </row>
    <row r="939" spans="1:9" x14ac:dyDescent="0.35">
      <c r="A939">
        <v>1966720</v>
      </c>
      <c r="B939" t="s">
        <v>381</v>
      </c>
      <c r="C939" s="1">
        <v>45222</v>
      </c>
      <c r="D939">
        <v>6199</v>
      </c>
      <c r="E939" t="b">
        <v>0</v>
      </c>
      <c r="F939">
        <v>134</v>
      </c>
      <c r="G939" t="s">
        <v>304</v>
      </c>
      <c r="H939" t="s">
        <v>1510</v>
      </c>
      <c r="I939" t="s">
        <v>2117</v>
      </c>
    </row>
    <row r="940" spans="1:9" x14ac:dyDescent="0.35">
      <c r="A940">
        <v>240</v>
      </c>
      <c r="B940" t="s">
        <v>384</v>
      </c>
      <c r="C940" s="1">
        <v>38292</v>
      </c>
      <c r="D940">
        <v>6187</v>
      </c>
      <c r="E940" t="b">
        <v>0</v>
      </c>
      <c r="F940">
        <v>135</v>
      </c>
      <c r="G940" t="s">
        <v>2083</v>
      </c>
      <c r="H940" t="s">
        <v>49</v>
      </c>
      <c r="I940" t="s">
        <v>2116</v>
      </c>
    </row>
    <row r="941" spans="1:9" x14ac:dyDescent="0.35">
      <c r="A941">
        <v>240</v>
      </c>
      <c r="B941" t="s">
        <v>384</v>
      </c>
      <c r="C941" s="1">
        <v>38292</v>
      </c>
      <c r="D941">
        <v>6187</v>
      </c>
      <c r="E941" t="b">
        <v>0</v>
      </c>
      <c r="F941">
        <v>135</v>
      </c>
      <c r="G941" t="s">
        <v>2083</v>
      </c>
      <c r="H941" t="s">
        <v>792</v>
      </c>
      <c r="I941" t="s">
        <v>2117</v>
      </c>
    </row>
    <row r="942" spans="1:9" x14ac:dyDescent="0.35">
      <c r="A942">
        <v>240</v>
      </c>
      <c r="B942" t="s">
        <v>384</v>
      </c>
      <c r="C942" s="1">
        <v>38292</v>
      </c>
      <c r="D942">
        <v>6187</v>
      </c>
      <c r="E942" t="b">
        <v>0</v>
      </c>
      <c r="F942">
        <v>135</v>
      </c>
      <c r="G942" t="s">
        <v>2083</v>
      </c>
      <c r="H942" t="s">
        <v>346</v>
      </c>
      <c r="I942" t="s">
        <v>2117</v>
      </c>
    </row>
    <row r="943" spans="1:9" x14ac:dyDescent="0.35">
      <c r="A943">
        <v>240</v>
      </c>
      <c r="B943" t="s">
        <v>384</v>
      </c>
      <c r="C943" s="1">
        <v>38292</v>
      </c>
      <c r="D943">
        <v>6187</v>
      </c>
      <c r="E943" t="b">
        <v>0</v>
      </c>
      <c r="F943">
        <v>135</v>
      </c>
      <c r="G943" t="s">
        <v>2083</v>
      </c>
      <c r="H943" t="s">
        <v>239</v>
      </c>
      <c r="I943" t="s">
        <v>2117</v>
      </c>
    </row>
    <row r="944" spans="1:9" x14ac:dyDescent="0.35">
      <c r="A944">
        <v>240</v>
      </c>
      <c r="B944" t="s">
        <v>384</v>
      </c>
      <c r="C944" s="1">
        <v>38292</v>
      </c>
      <c r="D944">
        <v>6187</v>
      </c>
      <c r="E944" t="b">
        <v>0</v>
      </c>
      <c r="F944">
        <v>135</v>
      </c>
      <c r="G944" t="s">
        <v>2083</v>
      </c>
      <c r="H944" t="s">
        <v>132</v>
      </c>
      <c r="I944" t="s">
        <v>2117</v>
      </c>
    </row>
    <row r="945" spans="1:9" x14ac:dyDescent="0.35">
      <c r="A945">
        <v>240</v>
      </c>
      <c r="B945" t="s">
        <v>384</v>
      </c>
      <c r="C945" s="1">
        <v>38292</v>
      </c>
      <c r="D945">
        <v>6187</v>
      </c>
      <c r="E945" t="b">
        <v>0</v>
      </c>
      <c r="F945">
        <v>135</v>
      </c>
      <c r="G945" t="s">
        <v>2083</v>
      </c>
      <c r="H945" t="s">
        <v>124</v>
      </c>
      <c r="I945" t="s">
        <v>2117</v>
      </c>
    </row>
    <row r="946" spans="1:9" x14ac:dyDescent="0.35">
      <c r="A946">
        <v>240</v>
      </c>
      <c r="B946" t="s">
        <v>384</v>
      </c>
      <c r="C946" s="1">
        <v>38292</v>
      </c>
      <c r="D946">
        <v>6187</v>
      </c>
      <c r="E946" t="b">
        <v>0</v>
      </c>
      <c r="F946">
        <v>135</v>
      </c>
      <c r="G946" t="s">
        <v>2083</v>
      </c>
      <c r="H946" t="s">
        <v>1510</v>
      </c>
      <c r="I946" t="s">
        <v>2117</v>
      </c>
    </row>
    <row r="947" spans="1:9" x14ac:dyDescent="0.35">
      <c r="A947">
        <v>376210</v>
      </c>
      <c r="B947" t="s">
        <v>386</v>
      </c>
      <c r="C947" s="1">
        <v>42339</v>
      </c>
      <c r="D947">
        <v>5946</v>
      </c>
      <c r="E947" t="b">
        <v>0</v>
      </c>
      <c r="F947">
        <v>136</v>
      </c>
      <c r="G947" t="s">
        <v>967</v>
      </c>
      <c r="H947" t="s">
        <v>49</v>
      </c>
      <c r="I947" t="s">
        <v>2116</v>
      </c>
    </row>
    <row r="948" spans="1:9" x14ac:dyDescent="0.35">
      <c r="A948">
        <v>376210</v>
      </c>
      <c r="B948" t="s">
        <v>386</v>
      </c>
      <c r="C948" s="1">
        <v>42339</v>
      </c>
      <c r="D948">
        <v>5946</v>
      </c>
      <c r="E948" t="b">
        <v>0</v>
      </c>
      <c r="F948">
        <v>136</v>
      </c>
      <c r="G948" t="s">
        <v>967</v>
      </c>
      <c r="H948" t="s">
        <v>792</v>
      </c>
      <c r="I948" t="s">
        <v>2116</v>
      </c>
    </row>
    <row r="949" spans="1:9" x14ac:dyDescent="0.35">
      <c r="A949">
        <v>376210</v>
      </c>
      <c r="B949" t="s">
        <v>386</v>
      </c>
      <c r="C949" s="1">
        <v>42339</v>
      </c>
      <c r="D949">
        <v>5946</v>
      </c>
      <c r="E949" t="b">
        <v>0</v>
      </c>
      <c r="F949">
        <v>136</v>
      </c>
      <c r="G949" t="s">
        <v>967</v>
      </c>
      <c r="H949" t="s">
        <v>346</v>
      </c>
      <c r="I949" t="s">
        <v>2116</v>
      </c>
    </row>
    <row r="950" spans="1:9" x14ac:dyDescent="0.35">
      <c r="A950">
        <v>376210</v>
      </c>
      <c r="B950" t="s">
        <v>386</v>
      </c>
      <c r="C950" s="1">
        <v>42339</v>
      </c>
      <c r="D950">
        <v>5946</v>
      </c>
      <c r="E950" t="b">
        <v>0</v>
      </c>
      <c r="F950">
        <v>136</v>
      </c>
      <c r="G950" t="s">
        <v>967</v>
      </c>
      <c r="H950" t="s">
        <v>239</v>
      </c>
      <c r="I950" t="s">
        <v>2116</v>
      </c>
    </row>
    <row r="951" spans="1:9" x14ac:dyDescent="0.35">
      <c r="A951">
        <v>376210</v>
      </c>
      <c r="B951" t="s">
        <v>386</v>
      </c>
      <c r="C951" s="1">
        <v>42339</v>
      </c>
      <c r="D951">
        <v>5946</v>
      </c>
      <c r="E951" t="b">
        <v>0</v>
      </c>
      <c r="F951">
        <v>136</v>
      </c>
      <c r="G951" t="s">
        <v>967</v>
      </c>
      <c r="H951" t="s">
        <v>132</v>
      </c>
      <c r="I951" t="s">
        <v>2117</v>
      </c>
    </row>
    <row r="952" spans="1:9" x14ac:dyDescent="0.35">
      <c r="A952">
        <v>376210</v>
      </c>
      <c r="B952" t="s">
        <v>386</v>
      </c>
      <c r="C952" s="1">
        <v>42339</v>
      </c>
      <c r="D952">
        <v>5946</v>
      </c>
      <c r="E952" t="b">
        <v>0</v>
      </c>
      <c r="F952">
        <v>136</v>
      </c>
      <c r="G952" t="s">
        <v>967</v>
      </c>
      <c r="H952" t="s">
        <v>124</v>
      </c>
      <c r="I952" t="s">
        <v>2117</v>
      </c>
    </row>
    <row r="953" spans="1:9" x14ac:dyDescent="0.35">
      <c r="A953">
        <v>376210</v>
      </c>
      <c r="B953" t="s">
        <v>386</v>
      </c>
      <c r="C953" s="1">
        <v>42339</v>
      </c>
      <c r="D953">
        <v>5946</v>
      </c>
      <c r="E953" t="b">
        <v>0</v>
      </c>
      <c r="F953">
        <v>136</v>
      </c>
      <c r="G953" t="s">
        <v>967</v>
      </c>
      <c r="H953" t="s">
        <v>1510</v>
      </c>
      <c r="I953" t="s">
        <v>2117</v>
      </c>
    </row>
    <row r="954" spans="1:9" x14ac:dyDescent="0.35">
      <c r="A954">
        <v>1295660</v>
      </c>
      <c r="B954" t="s">
        <v>389</v>
      </c>
      <c r="C954" s="1">
        <v>45698</v>
      </c>
      <c r="D954">
        <v>5931</v>
      </c>
      <c r="E954" t="b">
        <v>1</v>
      </c>
      <c r="F954">
        <v>137</v>
      </c>
      <c r="G954" t="s">
        <v>36</v>
      </c>
      <c r="H954" t="s">
        <v>49</v>
      </c>
      <c r="I954" t="s">
        <v>2117</v>
      </c>
    </row>
    <row r="955" spans="1:9" x14ac:dyDescent="0.35">
      <c r="A955">
        <v>1295660</v>
      </c>
      <c r="B955" t="s">
        <v>389</v>
      </c>
      <c r="C955" s="1">
        <v>45698</v>
      </c>
      <c r="D955">
        <v>5931</v>
      </c>
      <c r="E955" t="b">
        <v>1</v>
      </c>
      <c r="F955">
        <v>137</v>
      </c>
      <c r="G955" t="s">
        <v>36</v>
      </c>
      <c r="H955" t="s">
        <v>792</v>
      </c>
      <c r="I955" t="s">
        <v>2117</v>
      </c>
    </row>
    <row r="956" spans="1:9" x14ac:dyDescent="0.35">
      <c r="A956">
        <v>1295660</v>
      </c>
      <c r="B956" t="s">
        <v>389</v>
      </c>
      <c r="C956" s="1">
        <v>45698</v>
      </c>
      <c r="D956">
        <v>5931</v>
      </c>
      <c r="E956" t="b">
        <v>1</v>
      </c>
      <c r="F956">
        <v>137</v>
      </c>
      <c r="G956" t="s">
        <v>36</v>
      </c>
      <c r="H956" t="s">
        <v>346</v>
      </c>
      <c r="I956" t="s">
        <v>2117</v>
      </c>
    </row>
    <row r="957" spans="1:9" x14ac:dyDescent="0.35">
      <c r="A957">
        <v>1295660</v>
      </c>
      <c r="B957" t="s">
        <v>389</v>
      </c>
      <c r="C957" s="1">
        <v>45698</v>
      </c>
      <c r="D957">
        <v>5931</v>
      </c>
      <c r="E957" t="b">
        <v>1</v>
      </c>
      <c r="F957">
        <v>137</v>
      </c>
      <c r="G957" t="s">
        <v>36</v>
      </c>
      <c r="H957" t="s">
        <v>239</v>
      </c>
      <c r="I957" t="s">
        <v>2116</v>
      </c>
    </row>
    <row r="958" spans="1:9" x14ac:dyDescent="0.35">
      <c r="A958">
        <v>1295660</v>
      </c>
      <c r="B958" t="s">
        <v>389</v>
      </c>
      <c r="C958" s="1">
        <v>45698</v>
      </c>
      <c r="D958">
        <v>5931</v>
      </c>
      <c r="E958" t="b">
        <v>1</v>
      </c>
      <c r="F958">
        <v>137</v>
      </c>
      <c r="G958" t="s">
        <v>36</v>
      </c>
      <c r="H958" t="s">
        <v>132</v>
      </c>
      <c r="I958" t="s">
        <v>2117</v>
      </c>
    </row>
    <row r="959" spans="1:9" x14ac:dyDescent="0.35">
      <c r="A959">
        <v>1295660</v>
      </c>
      <c r="B959" t="s">
        <v>389</v>
      </c>
      <c r="C959" s="1">
        <v>45698</v>
      </c>
      <c r="D959">
        <v>5931</v>
      </c>
      <c r="E959" t="b">
        <v>1</v>
      </c>
      <c r="F959">
        <v>137</v>
      </c>
      <c r="G959" t="s">
        <v>36</v>
      </c>
      <c r="H959" t="s">
        <v>124</v>
      </c>
      <c r="I959" t="s">
        <v>2116</v>
      </c>
    </row>
    <row r="960" spans="1:9" x14ac:dyDescent="0.35">
      <c r="A960">
        <v>1295660</v>
      </c>
      <c r="B960" t="s">
        <v>389</v>
      </c>
      <c r="C960" s="1">
        <v>45698</v>
      </c>
      <c r="D960">
        <v>5931</v>
      </c>
      <c r="E960" t="b">
        <v>1</v>
      </c>
      <c r="F960">
        <v>137</v>
      </c>
      <c r="G960" t="s">
        <v>36</v>
      </c>
      <c r="H960" t="s">
        <v>1510</v>
      </c>
      <c r="I960" t="s">
        <v>2117</v>
      </c>
    </row>
    <row r="961" spans="1:9" x14ac:dyDescent="0.35">
      <c r="A961">
        <v>2864560</v>
      </c>
      <c r="B961" t="s">
        <v>391</v>
      </c>
      <c r="C961" s="1">
        <v>45812</v>
      </c>
      <c r="D961">
        <v>5831</v>
      </c>
      <c r="E961" t="b">
        <v>0</v>
      </c>
      <c r="F961">
        <v>138</v>
      </c>
      <c r="G961" t="s">
        <v>147</v>
      </c>
      <c r="H961" t="s">
        <v>49</v>
      </c>
      <c r="I961" t="s">
        <v>2116</v>
      </c>
    </row>
    <row r="962" spans="1:9" x14ac:dyDescent="0.35">
      <c r="A962">
        <v>2864560</v>
      </c>
      <c r="B962" t="s">
        <v>391</v>
      </c>
      <c r="C962" s="1">
        <v>45812</v>
      </c>
      <c r="D962">
        <v>5831</v>
      </c>
      <c r="E962" t="b">
        <v>0</v>
      </c>
      <c r="F962">
        <v>138</v>
      </c>
      <c r="G962" t="s">
        <v>147</v>
      </c>
      <c r="H962" t="s">
        <v>792</v>
      </c>
      <c r="I962" t="s">
        <v>2117</v>
      </c>
    </row>
    <row r="963" spans="1:9" x14ac:dyDescent="0.35">
      <c r="A963">
        <v>2864560</v>
      </c>
      <c r="B963" t="s">
        <v>391</v>
      </c>
      <c r="C963" s="1">
        <v>45812</v>
      </c>
      <c r="D963">
        <v>5831</v>
      </c>
      <c r="E963" t="b">
        <v>0</v>
      </c>
      <c r="F963">
        <v>138</v>
      </c>
      <c r="G963" t="s">
        <v>147</v>
      </c>
      <c r="H963" t="s">
        <v>346</v>
      </c>
      <c r="I963" t="s">
        <v>2116</v>
      </c>
    </row>
    <row r="964" spans="1:9" x14ac:dyDescent="0.35">
      <c r="A964">
        <v>2864560</v>
      </c>
      <c r="B964" t="s">
        <v>391</v>
      </c>
      <c r="C964" s="1">
        <v>45812</v>
      </c>
      <c r="D964">
        <v>5831</v>
      </c>
      <c r="E964" t="b">
        <v>0</v>
      </c>
      <c r="F964">
        <v>138</v>
      </c>
      <c r="G964" t="s">
        <v>147</v>
      </c>
      <c r="H964" t="s">
        <v>239</v>
      </c>
      <c r="I964" t="s">
        <v>2117</v>
      </c>
    </row>
    <row r="965" spans="1:9" x14ac:dyDescent="0.35">
      <c r="A965">
        <v>2864560</v>
      </c>
      <c r="B965" t="s">
        <v>391</v>
      </c>
      <c r="C965" s="1">
        <v>45812</v>
      </c>
      <c r="D965">
        <v>5831</v>
      </c>
      <c r="E965" t="b">
        <v>0</v>
      </c>
      <c r="F965">
        <v>138</v>
      </c>
      <c r="G965" t="s">
        <v>147</v>
      </c>
      <c r="H965" t="s">
        <v>132</v>
      </c>
      <c r="I965" t="s">
        <v>2116</v>
      </c>
    </row>
    <row r="966" spans="1:9" x14ac:dyDescent="0.35">
      <c r="A966">
        <v>2864560</v>
      </c>
      <c r="B966" t="s">
        <v>391</v>
      </c>
      <c r="C966" s="1">
        <v>45812</v>
      </c>
      <c r="D966">
        <v>5831</v>
      </c>
      <c r="E966" t="b">
        <v>0</v>
      </c>
      <c r="F966">
        <v>138</v>
      </c>
      <c r="G966" t="s">
        <v>147</v>
      </c>
      <c r="H966" t="s">
        <v>124</v>
      </c>
      <c r="I966" t="s">
        <v>2117</v>
      </c>
    </row>
    <row r="967" spans="1:9" x14ac:dyDescent="0.35">
      <c r="A967">
        <v>2864560</v>
      </c>
      <c r="B967" t="s">
        <v>391</v>
      </c>
      <c r="C967" s="1">
        <v>45812</v>
      </c>
      <c r="D967">
        <v>5831</v>
      </c>
      <c r="E967" t="b">
        <v>0</v>
      </c>
      <c r="F967">
        <v>138</v>
      </c>
      <c r="G967" t="s">
        <v>147</v>
      </c>
      <c r="H967" t="s">
        <v>1510</v>
      </c>
      <c r="I967" t="s">
        <v>2117</v>
      </c>
    </row>
    <row r="968" spans="1:9" x14ac:dyDescent="0.35">
      <c r="A968">
        <v>899770</v>
      </c>
      <c r="B968" t="s">
        <v>392</v>
      </c>
      <c r="C968" s="1">
        <v>45343</v>
      </c>
      <c r="D968">
        <v>5831</v>
      </c>
      <c r="E968" t="b">
        <v>0</v>
      </c>
      <c r="F968">
        <v>138</v>
      </c>
      <c r="G968" t="s">
        <v>29</v>
      </c>
      <c r="H968" t="s">
        <v>49</v>
      </c>
      <c r="I968" t="s">
        <v>2116</v>
      </c>
    </row>
    <row r="969" spans="1:9" x14ac:dyDescent="0.35">
      <c r="A969">
        <v>899770</v>
      </c>
      <c r="B969" t="s">
        <v>392</v>
      </c>
      <c r="C969" s="1">
        <v>45343</v>
      </c>
      <c r="D969">
        <v>5831</v>
      </c>
      <c r="E969" t="b">
        <v>0</v>
      </c>
      <c r="F969">
        <v>138</v>
      </c>
      <c r="G969" t="s">
        <v>29</v>
      </c>
      <c r="H969" t="s">
        <v>792</v>
      </c>
      <c r="I969" t="s">
        <v>2116</v>
      </c>
    </row>
    <row r="970" spans="1:9" x14ac:dyDescent="0.35">
      <c r="A970">
        <v>899770</v>
      </c>
      <c r="B970" t="s">
        <v>392</v>
      </c>
      <c r="C970" s="1">
        <v>45343</v>
      </c>
      <c r="D970">
        <v>5831</v>
      </c>
      <c r="E970" t="b">
        <v>0</v>
      </c>
      <c r="F970">
        <v>138</v>
      </c>
      <c r="G970" t="s">
        <v>29</v>
      </c>
      <c r="H970" t="s">
        <v>346</v>
      </c>
      <c r="I970" t="s">
        <v>2116</v>
      </c>
    </row>
    <row r="971" spans="1:9" x14ac:dyDescent="0.35">
      <c r="A971">
        <v>899770</v>
      </c>
      <c r="B971" t="s">
        <v>392</v>
      </c>
      <c r="C971" s="1">
        <v>45343</v>
      </c>
      <c r="D971">
        <v>5831</v>
      </c>
      <c r="E971" t="b">
        <v>0</v>
      </c>
      <c r="F971">
        <v>138</v>
      </c>
      <c r="G971" t="s">
        <v>29</v>
      </c>
      <c r="H971" t="s">
        <v>239</v>
      </c>
      <c r="I971" t="s">
        <v>2117</v>
      </c>
    </row>
    <row r="972" spans="1:9" x14ac:dyDescent="0.35">
      <c r="A972">
        <v>899770</v>
      </c>
      <c r="B972" t="s">
        <v>392</v>
      </c>
      <c r="C972" s="1">
        <v>45343</v>
      </c>
      <c r="D972">
        <v>5831</v>
      </c>
      <c r="E972" t="b">
        <v>0</v>
      </c>
      <c r="F972">
        <v>138</v>
      </c>
      <c r="G972" t="s">
        <v>29</v>
      </c>
      <c r="H972" t="s">
        <v>132</v>
      </c>
      <c r="I972" t="s">
        <v>2116</v>
      </c>
    </row>
    <row r="973" spans="1:9" x14ac:dyDescent="0.35">
      <c r="A973">
        <v>899770</v>
      </c>
      <c r="B973" t="s">
        <v>392</v>
      </c>
      <c r="C973" s="1">
        <v>45343</v>
      </c>
      <c r="D973">
        <v>5831</v>
      </c>
      <c r="E973" t="b">
        <v>0</v>
      </c>
      <c r="F973">
        <v>138</v>
      </c>
      <c r="G973" t="s">
        <v>29</v>
      </c>
      <c r="H973" t="s">
        <v>124</v>
      </c>
      <c r="I973" t="s">
        <v>2117</v>
      </c>
    </row>
    <row r="974" spans="1:9" x14ac:dyDescent="0.35">
      <c r="A974">
        <v>899770</v>
      </c>
      <c r="B974" t="s">
        <v>392</v>
      </c>
      <c r="C974" s="1">
        <v>45343</v>
      </c>
      <c r="D974">
        <v>5831</v>
      </c>
      <c r="E974" t="b">
        <v>0</v>
      </c>
      <c r="F974">
        <v>138</v>
      </c>
      <c r="G974" t="s">
        <v>29</v>
      </c>
      <c r="H974" t="s">
        <v>1510</v>
      </c>
      <c r="I974" t="s">
        <v>2117</v>
      </c>
    </row>
    <row r="975" spans="1:9" x14ac:dyDescent="0.35">
      <c r="A975">
        <v>990080</v>
      </c>
      <c r="B975" t="s">
        <v>394</v>
      </c>
      <c r="C975" s="1">
        <v>44967</v>
      </c>
      <c r="D975">
        <v>5716</v>
      </c>
      <c r="E975" t="b">
        <v>0</v>
      </c>
      <c r="F975">
        <v>140</v>
      </c>
      <c r="G975" t="s">
        <v>57</v>
      </c>
      <c r="H975" t="s">
        <v>49</v>
      </c>
      <c r="I975" t="s">
        <v>2116</v>
      </c>
    </row>
    <row r="976" spans="1:9" x14ac:dyDescent="0.35">
      <c r="A976">
        <v>990080</v>
      </c>
      <c r="B976" t="s">
        <v>394</v>
      </c>
      <c r="C976" s="1">
        <v>44967</v>
      </c>
      <c r="D976">
        <v>5716</v>
      </c>
      <c r="E976" t="b">
        <v>0</v>
      </c>
      <c r="F976">
        <v>140</v>
      </c>
      <c r="G976" t="s">
        <v>57</v>
      </c>
      <c r="H976" t="s">
        <v>792</v>
      </c>
      <c r="I976" t="s">
        <v>2117</v>
      </c>
    </row>
    <row r="977" spans="1:9" x14ac:dyDescent="0.35">
      <c r="A977">
        <v>990080</v>
      </c>
      <c r="B977" t="s">
        <v>394</v>
      </c>
      <c r="C977" s="1">
        <v>44967</v>
      </c>
      <c r="D977">
        <v>5716</v>
      </c>
      <c r="E977" t="b">
        <v>0</v>
      </c>
      <c r="F977">
        <v>140</v>
      </c>
      <c r="G977" t="s">
        <v>57</v>
      </c>
      <c r="H977" t="s">
        <v>346</v>
      </c>
      <c r="I977" t="s">
        <v>2116</v>
      </c>
    </row>
    <row r="978" spans="1:9" x14ac:dyDescent="0.35">
      <c r="A978">
        <v>990080</v>
      </c>
      <c r="B978" t="s">
        <v>394</v>
      </c>
      <c r="C978" s="1">
        <v>44967</v>
      </c>
      <c r="D978">
        <v>5716</v>
      </c>
      <c r="E978" t="b">
        <v>0</v>
      </c>
      <c r="F978">
        <v>140</v>
      </c>
      <c r="G978" t="s">
        <v>57</v>
      </c>
      <c r="H978" t="s">
        <v>239</v>
      </c>
      <c r="I978" t="s">
        <v>2117</v>
      </c>
    </row>
    <row r="979" spans="1:9" x14ac:dyDescent="0.35">
      <c r="A979">
        <v>990080</v>
      </c>
      <c r="B979" t="s">
        <v>394</v>
      </c>
      <c r="C979" s="1">
        <v>44967</v>
      </c>
      <c r="D979">
        <v>5716</v>
      </c>
      <c r="E979" t="b">
        <v>0</v>
      </c>
      <c r="F979">
        <v>140</v>
      </c>
      <c r="G979" t="s">
        <v>57</v>
      </c>
      <c r="H979" t="s">
        <v>132</v>
      </c>
      <c r="I979" t="s">
        <v>2116</v>
      </c>
    </row>
    <row r="980" spans="1:9" x14ac:dyDescent="0.35">
      <c r="A980">
        <v>990080</v>
      </c>
      <c r="B980" t="s">
        <v>394</v>
      </c>
      <c r="C980" s="1">
        <v>44967</v>
      </c>
      <c r="D980">
        <v>5716</v>
      </c>
      <c r="E980" t="b">
        <v>0</v>
      </c>
      <c r="F980">
        <v>140</v>
      </c>
      <c r="G980" t="s">
        <v>57</v>
      </c>
      <c r="H980" t="s">
        <v>124</v>
      </c>
      <c r="I980" t="s">
        <v>2117</v>
      </c>
    </row>
    <row r="981" spans="1:9" x14ac:dyDescent="0.35">
      <c r="A981">
        <v>990080</v>
      </c>
      <c r="B981" t="s">
        <v>394</v>
      </c>
      <c r="C981" s="1">
        <v>44967</v>
      </c>
      <c r="D981">
        <v>5716</v>
      </c>
      <c r="E981" t="b">
        <v>0</v>
      </c>
      <c r="F981">
        <v>140</v>
      </c>
      <c r="G981" t="s">
        <v>57</v>
      </c>
      <c r="H981" t="s">
        <v>1510</v>
      </c>
      <c r="I981" t="s">
        <v>2117</v>
      </c>
    </row>
    <row r="982" spans="1:9" x14ac:dyDescent="0.35">
      <c r="A982">
        <v>444200</v>
      </c>
      <c r="B982" t="s">
        <v>396</v>
      </c>
      <c r="C982" s="1">
        <v>42683</v>
      </c>
      <c r="D982">
        <v>5707</v>
      </c>
      <c r="E982" t="b">
        <v>1</v>
      </c>
      <c r="F982">
        <v>141</v>
      </c>
      <c r="G982" t="s">
        <v>110</v>
      </c>
      <c r="H982" t="s">
        <v>49</v>
      </c>
      <c r="I982" t="s">
        <v>2116</v>
      </c>
    </row>
    <row r="983" spans="1:9" x14ac:dyDescent="0.35">
      <c r="A983">
        <v>444200</v>
      </c>
      <c r="B983" t="s">
        <v>396</v>
      </c>
      <c r="C983" s="1">
        <v>42683</v>
      </c>
      <c r="D983">
        <v>5707</v>
      </c>
      <c r="E983" t="b">
        <v>1</v>
      </c>
      <c r="F983">
        <v>141</v>
      </c>
      <c r="G983" t="s">
        <v>110</v>
      </c>
      <c r="H983" t="s">
        <v>792</v>
      </c>
      <c r="I983" t="s">
        <v>2117</v>
      </c>
    </row>
    <row r="984" spans="1:9" x14ac:dyDescent="0.35">
      <c r="A984">
        <v>444200</v>
      </c>
      <c r="B984" t="s">
        <v>396</v>
      </c>
      <c r="C984" s="1">
        <v>42683</v>
      </c>
      <c r="D984">
        <v>5707</v>
      </c>
      <c r="E984" t="b">
        <v>1</v>
      </c>
      <c r="F984">
        <v>141</v>
      </c>
      <c r="G984" t="s">
        <v>110</v>
      </c>
      <c r="H984" t="s">
        <v>346</v>
      </c>
      <c r="I984" t="s">
        <v>2117</v>
      </c>
    </row>
    <row r="985" spans="1:9" x14ac:dyDescent="0.35">
      <c r="A985">
        <v>444200</v>
      </c>
      <c r="B985" t="s">
        <v>396</v>
      </c>
      <c r="C985" s="1">
        <v>42683</v>
      </c>
      <c r="D985">
        <v>5707</v>
      </c>
      <c r="E985" t="b">
        <v>1</v>
      </c>
      <c r="F985">
        <v>141</v>
      </c>
      <c r="G985" t="s">
        <v>110</v>
      </c>
      <c r="H985" t="s">
        <v>239</v>
      </c>
      <c r="I985" t="s">
        <v>2116</v>
      </c>
    </row>
    <row r="986" spans="1:9" x14ac:dyDescent="0.35">
      <c r="A986">
        <v>444200</v>
      </c>
      <c r="B986" t="s">
        <v>396</v>
      </c>
      <c r="C986" s="1">
        <v>42683</v>
      </c>
      <c r="D986">
        <v>5707</v>
      </c>
      <c r="E986" t="b">
        <v>1</v>
      </c>
      <c r="F986">
        <v>141</v>
      </c>
      <c r="G986" t="s">
        <v>110</v>
      </c>
      <c r="H986" t="s">
        <v>132</v>
      </c>
      <c r="I986" t="s">
        <v>2117</v>
      </c>
    </row>
    <row r="987" spans="1:9" x14ac:dyDescent="0.35">
      <c r="A987">
        <v>444200</v>
      </c>
      <c r="B987" t="s">
        <v>396</v>
      </c>
      <c r="C987" s="1">
        <v>42683</v>
      </c>
      <c r="D987">
        <v>5707</v>
      </c>
      <c r="E987" t="b">
        <v>1</v>
      </c>
      <c r="F987">
        <v>141</v>
      </c>
      <c r="G987" t="s">
        <v>110</v>
      </c>
      <c r="H987" t="s">
        <v>124</v>
      </c>
      <c r="I987" t="s">
        <v>2116</v>
      </c>
    </row>
    <row r="988" spans="1:9" x14ac:dyDescent="0.35">
      <c r="A988">
        <v>444200</v>
      </c>
      <c r="B988" t="s">
        <v>396</v>
      </c>
      <c r="C988" s="1">
        <v>42683</v>
      </c>
      <c r="D988">
        <v>5707</v>
      </c>
      <c r="E988" t="b">
        <v>1</v>
      </c>
      <c r="F988">
        <v>141</v>
      </c>
      <c r="G988" t="s">
        <v>110</v>
      </c>
      <c r="H988" t="s">
        <v>1510</v>
      </c>
      <c r="I988" t="s">
        <v>2116</v>
      </c>
    </row>
    <row r="989" spans="1:9" x14ac:dyDescent="0.35">
      <c r="A989">
        <v>440900</v>
      </c>
      <c r="B989" t="s">
        <v>398</v>
      </c>
      <c r="C989" s="1">
        <v>43228</v>
      </c>
      <c r="D989">
        <v>5677</v>
      </c>
      <c r="E989" t="b">
        <v>0</v>
      </c>
      <c r="F989">
        <v>142</v>
      </c>
      <c r="G989" t="s">
        <v>29</v>
      </c>
      <c r="H989" t="s">
        <v>49</v>
      </c>
      <c r="I989" t="s">
        <v>2116</v>
      </c>
    </row>
    <row r="990" spans="1:9" x14ac:dyDescent="0.35">
      <c r="A990">
        <v>440900</v>
      </c>
      <c r="B990" t="s">
        <v>398</v>
      </c>
      <c r="C990" s="1">
        <v>43228</v>
      </c>
      <c r="D990">
        <v>5677</v>
      </c>
      <c r="E990" t="b">
        <v>0</v>
      </c>
      <c r="F990">
        <v>142</v>
      </c>
      <c r="G990" t="s">
        <v>29</v>
      </c>
      <c r="H990" t="s">
        <v>792</v>
      </c>
      <c r="I990" t="s">
        <v>2117</v>
      </c>
    </row>
    <row r="991" spans="1:9" x14ac:dyDescent="0.35">
      <c r="A991">
        <v>440900</v>
      </c>
      <c r="B991" t="s">
        <v>398</v>
      </c>
      <c r="C991" s="1">
        <v>43228</v>
      </c>
      <c r="D991">
        <v>5677</v>
      </c>
      <c r="E991" t="b">
        <v>0</v>
      </c>
      <c r="F991">
        <v>142</v>
      </c>
      <c r="G991" t="s">
        <v>29</v>
      </c>
      <c r="H991" t="s">
        <v>346</v>
      </c>
      <c r="I991" t="s">
        <v>2116</v>
      </c>
    </row>
    <row r="992" spans="1:9" x14ac:dyDescent="0.35">
      <c r="A992">
        <v>440900</v>
      </c>
      <c r="B992" t="s">
        <v>398</v>
      </c>
      <c r="C992" s="1">
        <v>43228</v>
      </c>
      <c r="D992">
        <v>5677</v>
      </c>
      <c r="E992" t="b">
        <v>0</v>
      </c>
      <c r="F992">
        <v>142</v>
      </c>
      <c r="G992" t="s">
        <v>29</v>
      </c>
      <c r="H992" t="s">
        <v>239</v>
      </c>
      <c r="I992" t="s">
        <v>2116</v>
      </c>
    </row>
    <row r="993" spans="1:9" x14ac:dyDescent="0.35">
      <c r="A993">
        <v>440900</v>
      </c>
      <c r="B993" t="s">
        <v>398</v>
      </c>
      <c r="C993" s="1">
        <v>43228</v>
      </c>
      <c r="D993">
        <v>5677</v>
      </c>
      <c r="E993" t="b">
        <v>0</v>
      </c>
      <c r="F993">
        <v>142</v>
      </c>
      <c r="G993" t="s">
        <v>29</v>
      </c>
      <c r="H993" t="s">
        <v>132</v>
      </c>
      <c r="I993" t="s">
        <v>2116</v>
      </c>
    </row>
    <row r="994" spans="1:9" x14ac:dyDescent="0.35">
      <c r="A994">
        <v>440900</v>
      </c>
      <c r="B994" t="s">
        <v>398</v>
      </c>
      <c r="C994" s="1">
        <v>43228</v>
      </c>
      <c r="D994">
        <v>5677</v>
      </c>
      <c r="E994" t="b">
        <v>0</v>
      </c>
      <c r="F994">
        <v>142</v>
      </c>
      <c r="G994" t="s">
        <v>29</v>
      </c>
      <c r="H994" t="s">
        <v>124</v>
      </c>
      <c r="I994" t="s">
        <v>2116</v>
      </c>
    </row>
    <row r="995" spans="1:9" x14ac:dyDescent="0.35">
      <c r="A995">
        <v>440900</v>
      </c>
      <c r="B995" t="s">
        <v>398</v>
      </c>
      <c r="C995" s="1">
        <v>43228</v>
      </c>
      <c r="D995">
        <v>5677</v>
      </c>
      <c r="E995" t="b">
        <v>0</v>
      </c>
      <c r="F995">
        <v>142</v>
      </c>
      <c r="G995" t="s">
        <v>29</v>
      </c>
      <c r="H995" t="s">
        <v>1510</v>
      </c>
      <c r="I995" t="s">
        <v>2117</v>
      </c>
    </row>
    <row r="996" spans="1:9" x14ac:dyDescent="0.35">
      <c r="A996">
        <v>1063730</v>
      </c>
      <c r="B996" t="s">
        <v>401</v>
      </c>
      <c r="C996" s="1">
        <v>44467</v>
      </c>
      <c r="D996">
        <v>5583</v>
      </c>
      <c r="E996" t="b">
        <v>0</v>
      </c>
      <c r="F996">
        <v>143</v>
      </c>
      <c r="G996" t="s">
        <v>36</v>
      </c>
      <c r="H996" t="s">
        <v>49</v>
      </c>
      <c r="I996" t="s">
        <v>2116</v>
      </c>
    </row>
    <row r="997" spans="1:9" x14ac:dyDescent="0.35">
      <c r="A997">
        <v>1063730</v>
      </c>
      <c r="B997" t="s">
        <v>401</v>
      </c>
      <c r="C997" s="1">
        <v>44467</v>
      </c>
      <c r="D997">
        <v>5583</v>
      </c>
      <c r="E997" t="b">
        <v>0</v>
      </c>
      <c r="F997">
        <v>143</v>
      </c>
      <c r="G997" t="s">
        <v>36</v>
      </c>
      <c r="H997" t="s">
        <v>792</v>
      </c>
      <c r="I997" t="s">
        <v>2117</v>
      </c>
    </row>
    <row r="998" spans="1:9" x14ac:dyDescent="0.35">
      <c r="A998">
        <v>1063730</v>
      </c>
      <c r="B998" t="s">
        <v>401</v>
      </c>
      <c r="C998" s="1">
        <v>44467</v>
      </c>
      <c r="D998">
        <v>5583</v>
      </c>
      <c r="E998" t="b">
        <v>0</v>
      </c>
      <c r="F998">
        <v>143</v>
      </c>
      <c r="G998" t="s">
        <v>36</v>
      </c>
      <c r="H998" t="s">
        <v>346</v>
      </c>
      <c r="I998" t="s">
        <v>2116</v>
      </c>
    </row>
    <row r="999" spans="1:9" x14ac:dyDescent="0.35">
      <c r="A999">
        <v>1063730</v>
      </c>
      <c r="B999" t="s">
        <v>401</v>
      </c>
      <c r="C999" s="1">
        <v>44467</v>
      </c>
      <c r="D999">
        <v>5583</v>
      </c>
      <c r="E999" t="b">
        <v>0</v>
      </c>
      <c r="F999">
        <v>143</v>
      </c>
      <c r="G999" t="s">
        <v>36</v>
      </c>
      <c r="H999" t="s">
        <v>239</v>
      </c>
      <c r="I999" t="s">
        <v>2117</v>
      </c>
    </row>
    <row r="1000" spans="1:9" x14ac:dyDescent="0.35">
      <c r="A1000">
        <v>1063730</v>
      </c>
      <c r="B1000" t="s">
        <v>401</v>
      </c>
      <c r="C1000" s="1">
        <v>44467</v>
      </c>
      <c r="D1000">
        <v>5583</v>
      </c>
      <c r="E1000" t="b">
        <v>0</v>
      </c>
      <c r="F1000">
        <v>143</v>
      </c>
      <c r="G1000" t="s">
        <v>36</v>
      </c>
      <c r="H1000" t="s">
        <v>132</v>
      </c>
      <c r="I1000" t="s">
        <v>2116</v>
      </c>
    </row>
    <row r="1001" spans="1:9" x14ac:dyDescent="0.35">
      <c r="A1001">
        <v>1063730</v>
      </c>
      <c r="B1001" t="s">
        <v>401</v>
      </c>
      <c r="C1001" s="1">
        <v>44467</v>
      </c>
      <c r="D1001">
        <v>5583</v>
      </c>
      <c r="E1001" t="b">
        <v>0</v>
      </c>
      <c r="F1001">
        <v>143</v>
      </c>
      <c r="G1001" t="s">
        <v>36</v>
      </c>
      <c r="H1001" t="s">
        <v>124</v>
      </c>
      <c r="I1001" t="s">
        <v>2117</v>
      </c>
    </row>
    <row r="1002" spans="1:9" x14ac:dyDescent="0.35">
      <c r="A1002">
        <v>1063730</v>
      </c>
      <c r="B1002" t="s">
        <v>401</v>
      </c>
      <c r="C1002" s="1">
        <v>44467</v>
      </c>
      <c r="D1002">
        <v>5583</v>
      </c>
      <c r="E1002" t="b">
        <v>0</v>
      </c>
      <c r="F1002">
        <v>143</v>
      </c>
      <c r="G1002" t="s">
        <v>36</v>
      </c>
      <c r="H1002" t="s">
        <v>1510</v>
      </c>
      <c r="I1002" t="s">
        <v>2117</v>
      </c>
    </row>
    <row r="1003" spans="1:9" x14ac:dyDescent="0.35">
      <c r="A1003">
        <v>2001120</v>
      </c>
      <c r="B1003" t="s">
        <v>403</v>
      </c>
      <c r="C1003" s="1">
        <v>45722</v>
      </c>
      <c r="D1003">
        <v>5476</v>
      </c>
      <c r="E1003" t="b">
        <v>0</v>
      </c>
      <c r="F1003">
        <v>144</v>
      </c>
      <c r="G1003" t="s">
        <v>405</v>
      </c>
      <c r="H1003" t="s">
        <v>49</v>
      </c>
      <c r="I1003" t="s">
        <v>2116</v>
      </c>
    </row>
    <row r="1004" spans="1:9" x14ac:dyDescent="0.35">
      <c r="A1004">
        <v>2001120</v>
      </c>
      <c r="B1004" t="s">
        <v>403</v>
      </c>
      <c r="C1004" s="1">
        <v>45722</v>
      </c>
      <c r="D1004">
        <v>5476</v>
      </c>
      <c r="E1004" t="b">
        <v>0</v>
      </c>
      <c r="F1004">
        <v>144</v>
      </c>
      <c r="G1004" t="s">
        <v>405</v>
      </c>
      <c r="H1004" t="s">
        <v>792</v>
      </c>
      <c r="I1004" t="s">
        <v>2117</v>
      </c>
    </row>
    <row r="1005" spans="1:9" x14ac:dyDescent="0.35">
      <c r="A1005">
        <v>2001120</v>
      </c>
      <c r="B1005" t="s">
        <v>403</v>
      </c>
      <c r="C1005" s="1">
        <v>45722</v>
      </c>
      <c r="D1005">
        <v>5476</v>
      </c>
      <c r="E1005" t="b">
        <v>0</v>
      </c>
      <c r="F1005">
        <v>144</v>
      </c>
      <c r="G1005" t="s">
        <v>405</v>
      </c>
      <c r="H1005" t="s">
        <v>346</v>
      </c>
      <c r="I1005" t="s">
        <v>2116</v>
      </c>
    </row>
    <row r="1006" spans="1:9" x14ac:dyDescent="0.35">
      <c r="A1006">
        <v>2001120</v>
      </c>
      <c r="B1006" t="s">
        <v>403</v>
      </c>
      <c r="C1006" s="1">
        <v>45722</v>
      </c>
      <c r="D1006">
        <v>5476</v>
      </c>
      <c r="E1006" t="b">
        <v>0</v>
      </c>
      <c r="F1006">
        <v>144</v>
      </c>
      <c r="G1006" t="s">
        <v>405</v>
      </c>
      <c r="H1006" t="s">
        <v>239</v>
      </c>
      <c r="I1006" t="s">
        <v>2117</v>
      </c>
    </row>
    <row r="1007" spans="1:9" x14ac:dyDescent="0.35">
      <c r="A1007">
        <v>2001120</v>
      </c>
      <c r="B1007" t="s">
        <v>403</v>
      </c>
      <c r="C1007" s="1">
        <v>45722</v>
      </c>
      <c r="D1007">
        <v>5476</v>
      </c>
      <c r="E1007" t="b">
        <v>0</v>
      </c>
      <c r="F1007">
        <v>144</v>
      </c>
      <c r="G1007" t="s">
        <v>405</v>
      </c>
      <c r="H1007" t="s">
        <v>132</v>
      </c>
      <c r="I1007" t="s">
        <v>2117</v>
      </c>
    </row>
    <row r="1008" spans="1:9" x14ac:dyDescent="0.35">
      <c r="A1008">
        <v>2001120</v>
      </c>
      <c r="B1008" t="s">
        <v>403</v>
      </c>
      <c r="C1008" s="1">
        <v>45722</v>
      </c>
      <c r="D1008">
        <v>5476</v>
      </c>
      <c r="E1008" t="b">
        <v>0</v>
      </c>
      <c r="F1008">
        <v>144</v>
      </c>
      <c r="G1008" t="s">
        <v>405</v>
      </c>
      <c r="H1008" t="s">
        <v>124</v>
      </c>
      <c r="I1008" t="s">
        <v>2117</v>
      </c>
    </row>
    <row r="1009" spans="1:9" x14ac:dyDescent="0.35">
      <c r="A1009">
        <v>2001120</v>
      </c>
      <c r="B1009" t="s">
        <v>403</v>
      </c>
      <c r="C1009" s="1">
        <v>45722</v>
      </c>
      <c r="D1009">
        <v>5476</v>
      </c>
      <c r="E1009" t="b">
        <v>0</v>
      </c>
      <c r="F1009">
        <v>144</v>
      </c>
      <c r="G1009" t="s">
        <v>405</v>
      </c>
      <c r="H1009" t="s">
        <v>1510</v>
      </c>
      <c r="I1009" t="s">
        <v>2117</v>
      </c>
    </row>
    <row r="1010" spans="1:9" x14ac:dyDescent="0.35">
      <c r="A1010">
        <v>1172620</v>
      </c>
      <c r="B1010" t="s">
        <v>406</v>
      </c>
      <c r="C1010" s="1">
        <v>43985</v>
      </c>
      <c r="D1010">
        <v>5437</v>
      </c>
      <c r="E1010" t="b">
        <v>0</v>
      </c>
      <c r="F1010">
        <v>145</v>
      </c>
      <c r="G1010" t="s">
        <v>408</v>
      </c>
      <c r="H1010" t="s">
        <v>49</v>
      </c>
      <c r="I1010" t="s">
        <v>2116</v>
      </c>
    </row>
    <row r="1011" spans="1:9" x14ac:dyDescent="0.35">
      <c r="A1011">
        <v>1172620</v>
      </c>
      <c r="B1011" t="s">
        <v>406</v>
      </c>
      <c r="C1011" s="1">
        <v>43985</v>
      </c>
      <c r="D1011">
        <v>5437</v>
      </c>
      <c r="E1011" t="b">
        <v>0</v>
      </c>
      <c r="F1011">
        <v>145</v>
      </c>
      <c r="G1011" t="s">
        <v>408</v>
      </c>
      <c r="H1011" t="s">
        <v>792</v>
      </c>
      <c r="I1011" t="s">
        <v>2117</v>
      </c>
    </row>
    <row r="1012" spans="1:9" x14ac:dyDescent="0.35">
      <c r="A1012">
        <v>1172620</v>
      </c>
      <c r="B1012" t="s">
        <v>406</v>
      </c>
      <c r="C1012" s="1">
        <v>43985</v>
      </c>
      <c r="D1012">
        <v>5437</v>
      </c>
      <c r="E1012" t="b">
        <v>0</v>
      </c>
      <c r="F1012">
        <v>145</v>
      </c>
      <c r="G1012" t="s">
        <v>408</v>
      </c>
      <c r="H1012" t="s">
        <v>346</v>
      </c>
      <c r="I1012" t="s">
        <v>2116</v>
      </c>
    </row>
    <row r="1013" spans="1:9" x14ac:dyDescent="0.35">
      <c r="A1013">
        <v>1172620</v>
      </c>
      <c r="B1013" t="s">
        <v>406</v>
      </c>
      <c r="C1013" s="1">
        <v>43985</v>
      </c>
      <c r="D1013">
        <v>5437</v>
      </c>
      <c r="E1013" t="b">
        <v>0</v>
      </c>
      <c r="F1013">
        <v>145</v>
      </c>
      <c r="G1013" t="s">
        <v>408</v>
      </c>
      <c r="H1013" t="s">
        <v>239</v>
      </c>
      <c r="I1013" t="s">
        <v>2117</v>
      </c>
    </row>
    <row r="1014" spans="1:9" x14ac:dyDescent="0.35">
      <c r="A1014">
        <v>1172620</v>
      </c>
      <c r="B1014" t="s">
        <v>406</v>
      </c>
      <c r="C1014" s="1">
        <v>43985</v>
      </c>
      <c r="D1014">
        <v>5437</v>
      </c>
      <c r="E1014" t="b">
        <v>0</v>
      </c>
      <c r="F1014">
        <v>145</v>
      </c>
      <c r="G1014" t="s">
        <v>408</v>
      </c>
      <c r="H1014" t="s">
        <v>132</v>
      </c>
      <c r="I1014" t="s">
        <v>2117</v>
      </c>
    </row>
    <row r="1015" spans="1:9" x14ac:dyDescent="0.35">
      <c r="A1015">
        <v>1172620</v>
      </c>
      <c r="B1015" t="s">
        <v>406</v>
      </c>
      <c r="C1015" s="1">
        <v>43985</v>
      </c>
      <c r="D1015">
        <v>5437</v>
      </c>
      <c r="E1015" t="b">
        <v>0</v>
      </c>
      <c r="F1015">
        <v>145</v>
      </c>
      <c r="G1015" t="s">
        <v>408</v>
      </c>
      <c r="H1015" t="s">
        <v>124</v>
      </c>
      <c r="I1015" t="s">
        <v>2117</v>
      </c>
    </row>
    <row r="1016" spans="1:9" x14ac:dyDescent="0.35">
      <c r="A1016">
        <v>1172620</v>
      </c>
      <c r="B1016" t="s">
        <v>406</v>
      </c>
      <c r="C1016" s="1">
        <v>43985</v>
      </c>
      <c r="D1016">
        <v>5437</v>
      </c>
      <c r="E1016" t="b">
        <v>0</v>
      </c>
      <c r="F1016">
        <v>145</v>
      </c>
      <c r="G1016" t="s">
        <v>408</v>
      </c>
      <c r="H1016" t="s">
        <v>1510</v>
      </c>
      <c r="I1016" t="s">
        <v>2117</v>
      </c>
    </row>
    <row r="1017" spans="1:9" x14ac:dyDescent="0.35">
      <c r="A1017">
        <v>1248130</v>
      </c>
      <c r="B1017" t="s">
        <v>409</v>
      </c>
      <c r="C1017" s="1">
        <v>44521</v>
      </c>
      <c r="D1017">
        <v>5419</v>
      </c>
      <c r="E1017" t="b">
        <v>1</v>
      </c>
      <c r="F1017">
        <v>146</v>
      </c>
      <c r="G1017" t="s">
        <v>53</v>
      </c>
      <c r="H1017" t="s">
        <v>49</v>
      </c>
      <c r="I1017" t="s">
        <v>2117</v>
      </c>
    </row>
    <row r="1018" spans="1:9" x14ac:dyDescent="0.35">
      <c r="A1018">
        <v>1248130</v>
      </c>
      <c r="B1018" t="s">
        <v>409</v>
      </c>
      <c r="C1018" s="1">
        <v>44521</v>
      </c>
      <c r="D1018">
        <v>5419</v>
      </c>
      <c r="E1018" t="b">
        <v>1</v>
      </c>
      <c r="F1018">
        <v>146</v>
      </c>
      <c r="G1018" t="s">
        <v>53</v>
      </c>
      <c r="H1018" t="s">
        <v>792</v>
      </c>
      <c r="I1018" t="s">
        <v>2117</v>
      </c>
    </row>
    <row r="1019" spans="1:9" x14ac:dyDescent="0.35">
      <c r="A1019">
        <v>1248130</v>
      </c>
      <c r="B1019" t="s">
        <v>409</v>
      </c>
      <c r="C1019" s="1">
        <v>44521</v>
      </c>
      <c r="D1019">
        <v>5419</v>
      </c>
      <c r="E1019" t="b">
        <v>1</v>
      </c>
      <c r="F1019">
        <v>146</v>
      </c>
      <c r="G1019" t="s">
        <v>53</v>
      </c>
      <c r="H1019" t="s">
        <v>346</v>
      </c>
      <c r="I1019" t="s">
        <v>2117</v>
      </c>
    </row>
    <row r="1020" spans="1:9" x14ac:dyDescent="0.35">
      <c r="A1020">
        <v>1248130</v>
      </c>
      <c r="B1020" t="s">
        <v>409</v>
      </c>
      <c r="C1020" s="1">
        <v>44521</v>
      </c>
      <c r="D1020">
        <v>5419</v>
      </c>
      <c r="E1020" t="b">
        <v>1</v>
      </c>
      <c r="F1020">
        <v>146</v>
      </c>
      <c r="G1020" t="s">
        <v>53</v>
      </c>
      <c r="H1020" t="s">
        <v>239</v>
      </c>
      <c r="I1020" t="s">
        <v>2116</v>
      </c>
    </row>
    <row r="1021" spans="1:9" x14ac:dyDescent="0.35">
      <c r="A1021">
        <v>1248130</v>
      </c>
      <c r="B1021" t="s">
        <v>409</v>
      </c>
      <c r="C1021" s="1">
        <v>44521</v>
      </c>
      <c r="D1021">
        <v>5419</v>
      </c>
      <c r="E1021" t="b">
        <v>1</v>
      </c>
      <c r="F1021">
        <v>146</v>
      </c>
      <c r="G1021" t="s">
        <v>53</v>
      </c>
      <c r="H1021" t="s">
        <v>132</v>
      </c>
      <c r="I1021" t="s">
        <v>2117</v>
      </c>
    </row>
    <row r="1022" spans="1:9" x14ac:dyDescent="0.35">
      <c r="A1022">
        <v>1248130</v>
      </c>
      <c r="B1022" t="s">
        <v>409</v>
      </c>
      <c r="C1022" s="1">
        <v>44521</v>
      </c>
      <c r="D1022">
        <v>5419</v>
      </c>
      <c r="E1022" t="b">
        <v>1</v>
      </c>
      <c r="F1022">
        <v>146</v>
      </c>
      <c r="G1022" t="s">
        <v>53</v>
      </c>
      <c r="H1022" t="s">
        <v>124</v>
      </c>
      <c r="I1022" t="s">
        <v>2117</v>
      </c>
    </row>
    <row r="1023" spans="1:9" x14ac:dyDescent="0.35">
      <c r="A1023">
        <v>1248130</v>
      </c>
      <c r="B1023" t="s">
        <v>409</v>
      </c>
      <c r="C1023" s="1">
        <v>44521</v>
      </c>
      <c r="D1023">
        <v>5419</v>
      </c>
      <c r="E1023" t="b">
        <v>1</v>
      </c>
      <c r="F1023">
        <v>146</v>
      </c>
      <c r="G1023" t="s">
        <v>53</v>
      </c>
      <c r="H1023" t="s">
        <v>1510</v>
      </c>
      <c r="I1023" t="s">
        <v>2117</v>
      </c>
    </row>
    <row r="1024" spans="1:9" x14ac:dyDescent="0.35">
      <c r="A1024">
        <v>311210</v>
      </c>
      <c r="B1024" t="s">
        <v>411</v>
      </c>
      <c r="C1024" s="1">
        <v>42313</v>
      </c>
      <c r="D1024">
        <v>5414</v>
      </c>
      <c r="E1024" t="b">
        <v>1</v>
      </c>
      <c r="F1024">
        <v>147</v>
      </c>
      <c r="G1024" t="s">
        <v>2087</v>
      </c>
      <c r="H1024" t="s">
        <v>49</v>
      </c>
      <c r="I1024" t="s">
        <v>2116</v>
      </c>
    </row>
    <row r="1025" spans="1:9" x14ac:dyDescent="0.35">
      <c r="A1025">
        <v>311210</v>
      </c>
      <c r="B1025" t="s">
        <v>411</v>
      </c>
      <c r="C1025" s="1">
        <v>42313</v>
      </c>
      <c r="D1025">
        <v>5414</v>
      </c>
      <c r="E1025" t="b">
        <v>1</v>
      </c>
      <c r="F1025">
        <v>147</v>
      </c>
      <c r="G1025" t="s">
        <v>2087</v>
      </c>
      <c r="H1025" t="s">
        <v>792</v>
      </c>
      <c r="I1025" t="s">
        <v>2117</v>
      </c>
    </row>
    <row r="1026" spans="1:9" x14ac:dyDescent="0.35">
      <c r="A1026">
        <v>311210</v>
      </c>
      <c r="B1026" t="s">
        <v>411</v>
      </c>
      <c r="C1026" s="1">
        <v>42313</v>
      </c>
      <c r="D1026">
        <v>5414</v>
      </c>
      <c r="E1026" t="b">
        <v>1</v>
      </c>
      <c r="F1026">
        <v>147</v>
      </c>
      <c r="G1026" t="s">
        <v>2087</v>
      </c>
      <c r="H1026" t="s">
        <v>346</v>
      </c>
      <c r="I1026" t="s">
        <v>2116</v>
      </c>
    </row>
    <row r="1027" spans="1:9" x14ac:dyDescent="0.35">
      <c r="A1027">
        <v>311210</v>
      </c>
      <c r="B1027" t="s">
        <v>411</v>
      </c>
      <c r="C1027" s="1">
        <v>42313</v>
      </c>
      <c r="D1027">
        <v>5414</v>
      </c>
      <c r="E1027" t="b">
        <v>1</v>
      </c>
      <c r="F1027">
        <v>147</v>
      </c>
      <c r="G1027" t="s">
        <v>2087</v>
      </c>
      <c r="H1027" t="s">
        <v>239</v>
      </c>
      <c r="I1027" t="s">
        <v>2117</v>
      </c>
    </row>
    <row r="1028" spans="1:9" x14ac:dyDescent="0.35">
      <c r="A1028">
        <v>311210</v>
      </c>
      <c r="B1028" t="s">
        <v>411</v>
      </c>
      <c r="C1028" s="1">
        <v>42313</v>
      </c>
      <c r="D1028">
        <v>5414</v>
      </c>
      <c r="E1028" t="b">
        <v>1</v>
      </c>
      <c r="F1028">
        <v>147</v>
      </c>
      <c r="G1028" t="s">
        <v>2087</v>
      </c>
      <c r="H1028" t="s">
        <v>132</v>
      </c>
      <c r="I1028" t="s">
        <v>2117</v>
      </c>
    </row>
    <row r="1029" spans="1:9" x14ac:dyDescent="0.35">
      <c r="A1029">
        <v>311210</v>
      </c>
      <c r="B1029" t="s">
        <v>411</v>
      </c>
      <c r="C1029" s="1">
        <v>42313</v>
      </c>
      <c r="D1029">
        <v>5414</v>
      </c>
      <c r="E1029" t="b">
        <v>1</v>
      </c>
      <c r="F1029">
        <v>147</v>
      </c>
      <c r="G1029" t="s">
        <v>2087</v>
      </c>
      <c r="H1029" t="s">
        <v>124</v>
      </c>
      <c r="I1029" t="s">
        <v>2117</v>
      </c>
    </row>
    <row r="1030" spans="1:9" x14ac:dyDescent="0.35">
      <c r="A1030">
        <v>311210</v>
      </c>
      <c r="B1030" t="s">
        <v>411</v>
      </c>
      <c r="C1030" s="1">
        <v>42313</v>
      </c>
      <c r="D1030">
        <v>5414</v>
      </c>
      <c r="E1030" t="b">
        <v>1</v>
      </c>
      <c r="F1030">
        <v>147</v>
      </c>
      <c r="G1030" t="s">
        <v>2087</v>
      </c>
      <c r="H1030" t="s">
        <v>1510</v>
      </c>
      <c r="I1030" t="s">
        <v>2117</v>
      </c>
    </row>
    <row r="1031" spans="1:9" x14ac:dyDescent="0.35">
      <c r="A1031">
        <v>233860</v>
      </c>
      <c r="B1031" t="s">
        <v>413</v>
      </c>
      <c r="C1031" s="1">
        <v>43440</v>
      </c>
      <c r="D1031">
        <v>5412</v>
      </c>
      <c r="E1031" t="b">
        <v>0</v>
      </c>
      <c r="F1031">
        <v>148</v>
      </c>
      <c r="G1031" t="s">
        <v>33</v>
      </c>
      <c r="H1031" t="s">
        <v>49</v>
      </c>
      <c r="I1031" t="s">
        <v>2116</v>
      </c>
    </row>
    <row r="1032" spans="1:9" x14ac:dyDescent="0.35">
      <c r="A1032">
        <v>233860</v>
      </c>
      <c r="B1032" t="s">
        <v>413</v>
      </c>
      <c r="C1032" s="1">
        <v>43440</v>
      </c>
      <c r="D1032">
        <v>5412</v>
      </c>
      <c r="E1032" t="b">
        <v>0</v>
      </c>
      <c r="F1032">
        <v>148</v>
      </c>
      <c r="G1032" t="s">
        <v>33</v>
      </c>
      <c r="H1032" t="s">
        <v>792</v>
      </c>
      <c r="I1032" t="s">
        <v>2116</v>
      </c>
    </row>
    <row r="1033" spans="1:9" x14ac:dyDescent="0.35">
      <c r="A1033">
        <v>233860</v>
      </c>
      <c r="B1033" t="s">
        <v>413</v>
      </c>
      <c r="C1033" s="1">
        <v>43440</v>
      </c>
      <c r="D1033">
        <v>5412</v>
      </c>
      <c r="E1033" t="b">
        <v>0</v>
      </c>
      <c r="F1033">
        <v>148</v>
      </c>
      <c r="G1033" t="s">
        <v>33</v>
      </c>
      <c r="H1033" t="s">
        <v>346</v>
      </c>
      <c r="I1033" t="s">
        <v>2117</v>
      </c>
    </row>
    <row r="1034" spans="1:9" x14ac:dyDescent="0.35">
      <c r="A1034">
        <v>233860</v>
      </c>
      <c r="B1034" t="s">
        <v>413</v>
      </c>
      <c r="C1034" s="1">
        <v>43440</v>
      </c>
      <c r="D1034">
        <v>5412</v>
      </c>
      <c r="E1034" t="b">
        <v>0</v>
      </c>
      <c r="F1034">
        <v>148</v>
      </c>
      <c r="G1034" t="s">
        <v>33</v>
      </c>
      <c r="H1034" t="s">
        <v>239</v>
      </c>
      <c r="I1034" t="s">
        <v>2116</v>
      </c>
    </row>
    <row r="1035" spans="1:9" x14ac:dyDescent="0.35">
      <c r="A1035">
        <v>233860</v>
      </c>
      <c r="B1035" t="s">
        <v>413</v>
      </c>
      <c r="C1035" s="1">
        <v>43440</v>
      </c>
      <c r="D1035">
        <v>5412</v>
      </c>
      <c r="E1035" t="b">
        <v>0</v>
      </c>
      <c r="F1035">
        <v>148</v>
      </c>
      <c r="G1035" t="s">
        <v>33</v>
      </c>
      <c r="H1035" t="s">
        <v>132</v>
      </c>
      <c r="I1035" t="s">
        <v>2116</v>
      </c>
    </row>
    <row r="1036" spans="1:9" x14ac:dyDescent="0.35">
      <c r="A1036">
        <v>233860</v>
      </c>
      <c r="B1036" t="s">
        <v>413</v>
      </c>
      <c r="C1036" s="1">
        <v>43440</v>
      </c>
      <c r="D1036">
        <v>5412</v>
      </c>
      <c r="E1036" t="b">
        <v>0</v>
      </c>
      <c r="F1036">
        <v>148</v>
      </c>
      <c r="G1036" t="s">
        <v>33</v>
      </c>
      <c r="H1036" t="s">
        <v>124</v>
      </c>
      <c r="I1036" t="s">
        <v>2116</v>
      </c>
    </row>
    <row r="1037" spans="1:9" x14ac:dyDescent="0.35">
      <c r="A1037">
        <v>233860</v>
      </c>
      <c r="B1037" t="s">
        <v>413</v>
      </c>
      <c r="C1037" s="1">
        <v>43440</v>
      </c>
      <c r="D1037">
        <v>5412</v>
      </c>
      <c r="E1037" t="b">
        <v>0</v>
      </c>
      <c r="F1037">
        <v>148</v>
      </c>
      <c r="G1037" t="s">
        <v>33</v>
      </c>
      <c r="H1037" t="s">
        <v>1510</v>
      </c>
      <c r="I1037" t="s">
        <v>2117</v>
      </c>
    </row>
    <row r="1038" spans="1:9" x14ac:dyDescent="0.35">
      <c r="A1038">
        <v>949230</v>
      </c>
      <c r="B1038" t="s">
        <v>415</v>
      </c>
      <c r="C1038" s="1">
        <v>45223</v>
      </c>
      <c r="D1038">
        <v>5392</v>
      </c>
      <c r="E1038" t="b">
        <v>0</v>
      </c>
      <c r="F1038">
        <v>149</v>
      </c>
      <c r="G1038" t="s">
        <v>417</v>
      </c>
      <c r="H1038" t="s">
        <v>49</v>
      </c>
      <c r="I1038" t="s">
        <v>2117</v>
      </c>
    </row>
    <row r="1039" spans="1:9" x14ac:dyDescent="0.35">
      <c r="A1039">
        <v>949230</v>
      </c>
      <c r="B1039" t="s">
        <v>415</v>
      </c>
      <c r="C1039" s="1">
        <v>45223</v>
      </c>
      <c r="D1039">
        <v>5392</v>
      </c>
      <c r="E1039" t="b">
        <v>0</v>
      </c>
      <c r="F1039">
        <v>149</v>
      </c>
      <c r="G1039" t="s">
        <v>417</v>
      </c>
      <c r="H1039" t="s">
        <v>792</v>
      </c>
      <c r="I1039" t="s">
        <v>2117</v>
      </c>
    </row>
    <row r="1040" spans="1:9" x14ac:dyDescent="0.35">
      <c r="A1040">
        <v>949230</v>
      </c>
      <c r="B1040" t="s">
        <v>415</v>
      </c>
      <c r="C1040" s="1">
        <v>45223</v>
      </c>
      <c r="D1040">
        <v>5392</v>
      </c>
      <c r="E1040" t="b">
        <v>0</v>
      </c>
      <c r="F1040">
        <v>149</v>
      </c>
      <c r="G1040" t="s">
        <v>417</v>
      </c>
      <c r="H1040" t="s">
        <v>346</v>
      </c>
      <c r="I1040" t="s">
        <v>2117</v>
      </c>
    </row>
    <row r="1041" spans="1:9" x14ac:dyDescent="0.35">
      <c r="A1041">
        <v>949230</v>
      </c>
      <c r="B1041" t="s">
        <v>415</v>
      </c>
      <c r="C1041" s="1">
        <v>45223</v>
      </c>
      <c r="D1041">
        <v>5392</v>
      </c>
      <c r="E1041" t="b">
        <v>0</v>
      </c>
      <c r="F1041">
        <v>149</v>
      </c>
      <c r="G1041" t="s">
        <v>417</v>
      </c>
      <c r="H1041" t="s">
        <v>239</v>
      </c>
      <c r="I1041" t="s">
        <v>2116</v>
      </c>
    </row>
    <row r="1042" spans="1:9" x14ac:dyDescent="0.35">
      <c r="A1042">
        <v>949230</v>
      </c>
      <c r="B1042" t="s">
        <v>415</v>
      </c>
      <c r="C1042" s="1">
        <v>45223</v>
      </c>
      <c r="D1042">
        <v>5392</v>
      </c>
      <c r="E1042" t="b">
        <v>0</v>
      </c>
      <c r="F1042">
        <v>149</v>
      </c>
      <c r="G1042" t="s">
        <v>417</v>
      </c>
      <c r="H1042" t="s">
        <v>132</v>
      </c>
      <c r="I1042" t="s">
        <v>2117</v>
      </c>
    </row>
    <row r="1043" spans="1:9" x14ac:dyDescent="0.35">
      <c r="A1043">
        <v>949230</v>
      </c>
      <c r="B1043" t="s">
        <v>415</v>
      </c>
      <c r="C1043" s="1">
        <v>45223</v>
      </c>
      <c r="D1043">
        <v>5392</v>
      </c>
      <c r="E1043" t="b">
        <v>0</v>
      </c>
      <c r="F1043">
        <v>149</v>
      </c>
      <c r="G1043" t="s">
        <v>417</v>
      </c>
      <c r="H1043" t="s">
        <v>124</v>
      </c>
      <c r="I1043" t="s">
        <v>2117</v>
      </c>
    </row>
    <row r="1044" spans="1:9" x14ac:dyDescent="0.35">
      <c r="A1044">
        <v>949230</v>
      </c>
      <c r="B1044" t="s">
        <v>415</v>
      </c>
      <c r="C1044" s="1">
        <v>45223</v>
      </c>
      <c r="D1044">
        <v>5392</v>
      </c>
      <c r="E1044" t="b">
        <v>0</v>
      </c>
      <c r="F1044">
        <v>149</v>
      </c>
      <c r="G1044" t="s">
        <v>417</v>
      </c>
      <c r="H1044" t="s">
        <v>1510</v>
      </c>
      <c r="I1044" t="s">
        <v>2117</v>
      </c>
    </row>
    <row r="1045" spans="1:9" x14ac:dyDescent="0.35">
      <c r="A1045">
        <v>3059520</v>
      </c>
      <c r="B1045" t="s">
        <v>418</v>
      </c>
      <c r="C1045" s="1">
        <v>45807</v>
      </c>
      <c r="D1045">
        <v>5272</v>
      </c>
      <c r="E1045" t="b">
        <v>0</v>
      </c>
      <c r="F1045">
        <v>150</v>
      </c>
      <c r="G1045" t="s">
        <v>119</v>
      </c>
      <c r="H1045" t="s">
        <v>49</v>
      </c>
      <c r="I1045" t="s">
        <v>2117</v>
      </c>
    </row>
    <row r="1046" spans="1:9" x14ac:dyDescent="0.35">
      <c r="A1046">
        <v>3059520</v>
      </c>
      <c r="B1046" t="s">
        <v>418</v>
      </c>
      <c r="C1046" s="1">
        <v>45807</v>
      </c>
      <c r="D1046">
        <v>5272</v>
      </c>
      <c r="E1046" t="b">
        <v>0</v>
      </c>
      <c r="F1046">
        <v>150</v>
      </c>
      <c r="G1046" t="s">
        <v>119</v>
      </c>
      <c r="H1046" t="s">
        <v>792</v>
      </c>
      <c r="I1046" t="s">
        <v>2117</v>
      </c>
    </row>
    <row r="1047" spans="1:9" x14ac:dyDescent="0.35">
      <c r="A1047">
        <v>3059520</v>
      </c>
      <c r="B1047" t="s">
        <v>418</v>
      </c>
      <c r="C1047" s="1">
        <v>45807</v>
      </c>
      <c r="D1047">
        <v>5272</v>
      </c>
      <c r="E1047" t="b">
        <v>0</v>
      </c>
      <c r="F1047">
        <v>150</v>
      </c>
      <c r="G1047" t="s">
        <v>119</v>
      </c>
      <c r="H1047" t="s">
        <v>346</v>
      </c>
      <c r="I1047" t="s">
        <v>2117</v>
      </c>
    </row>
    <row r="1048" spans="1:9" x14ac:dyDescent="0.35">
      <c r="A1048">
        <v>3059520</v>
      </c>
      <c r="B1048" t="s">
        <v>418</v>
      </c>
      <c r="C1048" s="1">
        <v>45807</v>
      </c>
      <c r="D1048">
        <v>5272</v>
      </c>
      <c r="E1048" t="b">
        <v>0</v>
      </c>
      <c r="F1048">
        <v>150</v>
      </c>
      <c r="G1048" t="s">
        <v>119</v>
      </c>
      <c r="H1048" t="s">
        <v>239</v>
      </c>
      <c r="I1048" t="s">
        <v>2116</v>
      </c>
    </row>
    <row r="1049" spans="1:9" x14ac:dyDescent="0.35">
      <c r="A1049">
        <v>3059520</v>
      </c>
      <c r="B1049" t="s">
        <v>418</v>
      </c>
      <c r="C1049" s="1">
        <v>45807</v>
      </c>
      <c r="D1049">
        <v>5272</v>
      </c>
      <c r="E1049" t="b">
        <v>0</v>
      </c>
      <c r="F1049">
        <v>150</v>
      </c>
      <c r="G1049" t="s">
        <v>119</v>
      </c>
      <c r="H1049" t="s">
        <v>132</v>
      </c>
      <c r="I1049" t="s">
        <v>2117</v>
      </c>
    </row>
    <row r="1050" spans="1:9" x14ac:dyDescent="0.35">
      <c r="A1050">
        <v>3059520</v>
      </c>
      <c r="B1050" t="s">
        <v>418</v>
      </c>
      <c r="C1050" s="1">
        <v>45807</v>
      </c>
      <c r="D1050">
        <v>5272</v>
      </c>
      <c r="E1050" t="b">
        <v>0</v>
      </c>
      <c r="F1050">
        <v>150</v>
      </c>
      <c r="G1050" t="s">
        <v>119</v>
      </c>
      <c r="H1050" t="s">
        <v>124</v>
      </c>
      <c r="I1050" t="s">
        <v>2117</v>
      </c>
    </row>
    <row r="1051" spans="1:9" x14ac:dyDescent="0.35">
      <c r="A1051">
        <v>3059520</v>
      </c>
      <c r="B1051" t="s">
        <v>418</v>
      </c>
      <c r="C1051" s="1">
        <v>45807</v>
      </c>
      <c r="D1051">
        <v>5272</v>
      </c>
      <c r="E1051" t="b">
        <v>0</v>
      </c>
      <c r="F1051">
        <v>150</v>
      </c>
      <c r="G1051" t="s">
        <v>119</v>
      </c>
      <c r="H1051" t="s">
        <v>1510</v>
      </c>
      <c r="I1051" t="s">
        <v>2117</v>
      </c>
    </row>
    <row r="1052" spans="1:9" x14ac:dyDescent="0.35">
      <c r="A1052">
        <v>714010</v>
      </c>
      <c r="B1052" t="s">
        <v>421</v>
      </c>
      <c r="C1052" s="1">
        <v>45093</v>
      </c>
      <c r="D1052">
        <v>5223</v>
      </c>
      <c r="E1052" t="b">
        <v>0</v>
      </c>
      <c r="F1052">
        <v>151</v>
      </c>
      <c r="G1052" t="s">
        <v>14</v>
      </c>
      <c r="H1052" t="s">
        <v>49</v>
      </c>
      <c r="I1052" t="s">
        <v>2116</v>
      </c>
    </row>
    <row r="1053" spans="1:9" x14ac:dyDescent="0.35">
      <c r="A1053">
        <v>714010</v>
      </c>
      <c r="B1053" t="s">
        <v>421</v>
      </c>
      <c r="C1053" s="1">
        <v>45093</v>
      </c>
      <c r="D1053">
        <v>5223</v>
      </c>
      <c r="E1053" t="b">
        <v>0</v>
      </c>
      <c r="F1053">
        <v>151</v>
      </c>
      <c r="G1053" t="s">
        <v>14</v>
      </c>
      <c r="H1053" t="s">
        <v>792</v>
      </c>
      <c r="I1053" t="s">
        <v>2116</v>
      </c>
    </row>
    <row r="1054" spans="1:9" x14ac:dyDescent="0.35">
      <c r="A1054">
        <v>714010</v>
      </c>
      <c r="B1054" t="s">
        <v>421</v>
      </c>
      <c r="C1054" s="1">
        <v>45093</v>
      </c>
      <c r="D1054">
        <v>5223</v>
      </c>
      <c r="E1054" t="b">
        <v>0</v>
      </c>
      <c r="F1054">
        <v>151</v>
      </c>
      <c r="G1054" t="s">
        <v>14</v>
      </c>
      <c r="H1054" t="s">
        <v>346</v>
      </c>
      <c r="I1054" t="s">
        <v>2116</v>
      </c>
    </row>
    <row r="1055" spans="1:9" x14ac:dyDescent="0.35">
      <c r="A1055">
        <v>714010</v>
      </c>
      <c r="B1055" t="s">
        <v>421</v>
      </c>
      <c r="C1055" s="1">
        <v>45093</v>
      </c>
      <c r="D1055">
        <v>5223</v>
      </c>
      <c r="E1055" t="b">
        <v>0</v>
      </c>
      <c r="F1055">
        <v>151</v>
      </c>
      <c r="G1055" t="s">
        <v>14</v>
      </c>
      <c r="H1055" t="s">
        <v>239</v>
      </c>
      <c r="I1055" t="s">
        <v>2116</v>
      </c>
    </row>
    <row r="1056" spans="1:9" x14ac:dyDescent="0.35">
      <c r="A1056">
        <v>714010</v>
      </c>
      <c r="B1056" t="s">
        <v>421</v>
      </c>
      <c r="C1056" s="1">
        <v>45093</v>
      </c>
      <c r="D1056">
        <v>5223</v>
      </c>
      <c r="E1056" t="b">
        <v>0</v>
      </c>
      <c r="F1056">
        <v>151</v>
      </c>
      <c r="G1056" t="s">
        <v>14</v>
      </c>
      <c r="H1056" t="s">
        <v>132</v>
      </c>
      <c r="I1056" t="s">
        <v>2117</v>
      </c>
    </row>
    <row r="1057" spans="1:9" x14ac:dyDescent="0.35">
      <c r="A1057">
        <v>714010</v>
      </c>
      <c r="B1057" t="s">
        <v>421</v>
      </c>
      <c r="C1057" s="1">
        <v>45093</v>
      </c>
      <c r="D1057">
        <v>5223</v>
      </c>
      <c r="E1057" t="b">
        <v>0</v>
      </c>
      <c r="F1057">
        <v>151</v>
      </c>
      <c r="G1057" t="s">
        <v>14</v>
      </c>
      <c r="H1057" t="s">
        <v>124</v>
      </c>
      <c r="I1057" t="s">
        <v>2117</v>
      </c>
    </row>
    <row r="1058" spans="1:9" x14ac:dyDescent="0.35">
      <c r="A1058">
        <v>714010</v>
      </c>
      <c r="B1058" t="s">
        <v>421</v>
      </c>
      <c r="C1058" s="1">
        <v>45093</v>
      </c>
      <c r="D1058">
        <v>5223</v>
      </c>
      <c r="E1058" t="b">
        <v>0</v>
      </c>
      <c r="F1058">
        <v>151</v>
      </c>
      <c r="G1058" t="s">
        <v>14</v>
      </c>
      <c r="H1058" t="s">
        <v>1510</v>
      </c>
      <c r="I1058" t="s">
        <v>2116</v>
      </c>
    </row>
    <row r="1059" spans="1:9" x14ac:dyDescent="0.35">
      <c r="A1059">
        <v>548430</v>
      </c>
      <c r="B1059" t="s">
        <v>424</v>
      </c>
      <c r="C1059" s="1">
        <v>43964</v>
      </c>
      <c r="D1059">
        <v>5216</v>
      </c>
      <c r="E1059" t="b">
        <v>0</v>
      </c>
      <c r="F1059">
        <v>152</v>
      </c>
      <c r="G1059" t="s">
        <v>68</v>
      </c>
      <c r="H1059" t="s">
        <v>49</v>
      </c>
      <c r="I1059" t="s">
        <v>2116</v>
      </c>
    </row>
    <row r="1060" spans="1:9" x14ac:dyDescent="0.35">
      <c r="A1060">
        <v>548430</v>
      </c>
      <c r="B1060" t="s">
        <v>424</v>
      </c>
      <c r="C1060" s="1">
        <v>43964</v>
      </c>
      <c r="D1060">
        <v>5216</v>
      </c>
      <c r="E1060" t="b">
        <v>0</v>
      </c>
      <c r="F1060">
        <v>152</v>
      </c>
      <c r="G1060" t="s">
        <v>68</v>
      </c>
      <c r="H1060" t="s">
        <v>792</v>
      </c>
      <c r="I1060" t="s">
        <v>2117</v>
      </c>
    </row>
    <row r="1061" spans="1:9" x14ac:dyDescent="0.35">
      <c r="A1061">
        <v>548430</v>
      </c>
      <c r="B1061" t="s">
        <v>424</v>
      </c>
      <c r="C1061" s="1">
        <v>43964</v>
      </c>
      <c r="D1061">
        <v>5216</v>
      </c>
      <c r="E1061" t="b">
        <v>0</v>
      </c>
      <c r="F1061">
        <v>152</v>
      </c>
      <c r="G1061" t="s">
        <v>68</v>
      </c>
      <c r="H1061" t="s">
        <v>346</v>
      </c>
      <c r="I1061" t="s">
        <v>2117</v>
      </c>
    </row>
    <row r="1062" spans="1:9" x14ac:dyDescent="0.35">
      <c r="A1062">
        <v>548430</v>
      </c>
      <c r="B1062" t="s">
        <v>424</v>
      </c>
      <c r="C1062" s="1">
        <v>43964</v>
      </c>
      <c r="D1062">
        <v>5216</v>
      </c>
      <c r="E1062" t="b">
        <v>0</v>
      </c>
      <c r="F1062">
        <v>152</v>
      </c>
      <c r="G1062" t="s">
        <v>68</v>
      </c>
      <c r="H1062" t="s">
        <v>239</v>
      </c>
      <c r="I1062" t="s">
        <v>2117</v>
      </c>
    </row>
    <row r="1063" spans="1:9" x14ac:dyDescent="0.35">
      <c r="A1063">
        <v>548430</v>
      </c>
      <c r="B1063" t="s">
        <v>424</v>
      </c>
      <c r="C1063" s="1">
        <v>43964</v>
      </c>
      <c r="D1063">
        <v>5216</v>
      </c>
      <c r="E1063" t="b">
        <v>0</v>
      </c>
      <c r="F1063">
        <v>152</v>
      </c>
      <c r="G1063" t="s">
        <v>68</v>
      </c>
      <c r="H1063" t="s">
        <v>132</v>
      </c>
      <c r="I1063" t="s">
        <v>2117</v>
      </c>
    </row>
    <row r="1064" spans="1:9" x14ac:dyDescent="0.35">
      <c r="A1064">
        <v>548430</v>
      </c>
      <c r="B1064" t="s">
        <v>424</v>
      </c>
      <c r="C1064" s="1">
        <v>43964</v>
      </c>
      <c r="D1064">
        <v>5216</v>
      </c>
      <c r="E1064" t="b">
        <v>0</v>
      </c>
      <c r="F1064">
        <v>152</v>
      </c>
      <c r="G1064" t="s">
        <v>68</v>
      </c>
      <c r="H1064" t="s">
        <v>124</v>
      </c>
      <c r="I1064" t="s">
        <v>2117</v>
      </c>
    </row>
    <row r="1065" spans="1:9" x14ac:dyDescent="0.35">
      <c r="A1065">
        <v>548430</v>
      </c>
      <c r="B1065" t="s">
        <v>424</v>
      </c>
      <c r="C1065" s="1">
        <v>43964</v>
      </c>
      <c r="D1065">
        <v>5216</v>
      </c>
      <c r="E1065" t="b">
        <v>0</v>
      </c>
      <c r="F1065">
        <v>152</v>
      </c>
      <c r="G1065" t="s">
        <v>68</v>
      </c>
      <c r="H1065" t="s">
        <v>1510</v>
      </c>
      <c r="I1065" t="s">
        <v>2117</v>
      </c>
    </row>
    <row r="1066" spans="1:9" x14ac:dyDescent="0.35">
      <c r="A1066">
        <v>2707930</v>
      </c>
      <c r="B1066" t="s">
        <v>426</v>
      </c>
      <c r="C1066" s="1">
        <v>45376</v>
      </c>
      <c r="D1066">
        <v>5140</v>
      </c>
      <c r="E1066" t="b">
        <v>0</v>
      </c>
      <c r="F1066">
        <v>153</v>
      </c>
      <c r="G1066" t="s">
        <v>53</v>
      </c>
      <c r="H1066" t="s">
        <v>49</v>
      </c>
      <c r="I1066" t="s">
        <v>2117</v>
      </c>
    </row>
    <row r="1067" spans="1:9" x14ac:dyDescent="0.35">
      <c r="A1067">
        <v>2707930</v>
      </c>
      <c r="B1067" t="s">
        <v>426</v>
      </c>
      <c r="C1067" s="1">
        <v>45376</v>
      </c>
      <c r="D1067">
        <v>5140</v>
      </c>
      <c r="E1067" t="b">
        <v>0</v>
      </c>
      <c r="F1067">
        <v>153</v>
      </c>
      <c r="G1067" t="s">
        <v>53</v>
      </c>
      <c r="H1067" t="s">
        <v>792</v>
      </c>
      <c r="I1067" t="s">
        <v>2116</v>
      </c>
    </row>
    <row r="1068" spans="1:9" x14ac:dyDescent="0.35">
      <c r="A1068">
        <v>2707930</v>
      </c>
      <c r="B1068" t="s">
        <v>426</v>
      </c>
      <c r="C1068" s="1">
        <v>45376</v>
      </c>
      <c r="D1068">
        <v>5140</v>
      </c>
      <c r="E1068" t="b">
        <v>0</v>
      </c>
      <c r="F1068">
        <v>153</v>
      </c>
      <c r="G1068" t="s">
        <v>53</v>
      </c>
      <c r="H1068" t="s">
        <v>346</v>
      </c>
      <c r="I1068" t="s">
        <v>2116</v>
      </c>
    </row>
    <row r="1069" spans="1:9" x14ac:dyDescent="0.35">
      <c r="A1069">
        <v>2707930</v>
      </c>
      <c r="B1069" t="s">
        <v>426</v>
      </c>
      <c r="C1069" s="1">
        <v>45376</v>
      </c>
      <c r="D1069">
        <v>5140</v>
      </c>
      <c r="E1069" t="b">
        <v>0</v>
      </c>
      <c r="F1069">
        <v>153</v>
      </c>
      <c r="G1069" t="s">
        <v>53</v>
      </c>
      <c r="H1069" t="s">
        <v>239</v>
      </c>
      <c r="I1069" t="s">
        <v>2116</v>
      </c>
    </row>
    <row r="1070" spans="1:9" x14ac:dyDescent="0.35">
      <c r="A1070">
        <v>2707930</v>
      </c>
      <c r="B1070" t="s">
        <v>426</v>
      </c>
      <c r="C1070" s="1">
        <v>45376</v>
      </c>
      <c r="D1070">
        <v>5140</v>
      </c>
      <c r="E1070" t="b">
        <v>0</v>
      </c>
      <c r="F1070">
        <v>153</v>
      </c>
      <c r="G1070" t="s">
        <v>53</v>
      </c>
      <c r="H1070" t="s">
        <v>132</v>
      </c>
      <c r="I1070" t="s">
        <v>2116</v>
      </c>
    </row>
    <row r="1071" spans="1:9" x14ac:dyDescent="0.35">
      <c r="A1071">
        <v>2707930</v>
      </c>
      <c r="B1071" t="s">
        <v>426</v>
      </c>
      <c r="C1071" s="1">
        <v>45376</v>
      </c>
      <c r="D1071">
        <v>5140</v>
      </c>
      <c r="E1071" t="b">
        <v>0</v>
      </c>
      <c r="F1071">
        <v>153</v>
      </c>
      <c r="G1071" t="s">
        <v>53</v>
      </c>
      <c r="H1071" t="s">
        <v>124</v>
      </c>
      <c r="I1071" t="s">
        <v>2117</v>
      </c>
    </row>
    <row r="1072" spans="1:9" x14ac:dyDescent="0.35">
      <c r="A1072">
        <v>2707930</v>
      </c>
      <c r="B1072" t="s">
        <v>426</v>
      </c>
      <c r="C1072" s="1">
        <v>45376</v>
      </c>
      <c r="D1072">
        <v>5140</v>
      </c>
      <c r="E1072" t="b">
        <v>0</v>
      </c>
      <c r="F1072">
        <v>153</v>
      </c>
      <c r="G1072" t="s">
        <v>53</v>
      </c>
      <c r="H1072" t="s">
        <v>1510</v>
      </c>
      <c r="I1072" t="s">
        <v>2116</v>
      </c>
    </row>
    <row r="1073" spans="1:9" x14ac:dyDescent="0.35">
      <c r="A1073">
        <v>1812620</v>
      </c>
      <c r="B1073" t="s">
        <v>429</v>
      </c>
      <c r="C1073" s="1">
        <v>44736</v>
      </c>
      <c r="D1073">
        <v>5121</v>
      </c>
      <c r="E1073" t="b">
        <v>0</v>
      </c>
      <c r="F1073">
        <v>154</v>
      </c>
      <c r="G1073" t="s">
        <v>14</v>
      </c>
      <c r="H1073" t="s">
        <v>49</v>
      </c>
      <c r="I1073" t="s">
        <v>2116</v>
      </c>
    </row>
    <row r="1074" spans="1:9" x14ac:dyDescent="0.35">
      <c r="A1074">
        <v>1812620</v>
      </c>
      <c r="B1074" t="s">
        <v>429</v>
      </c>
      <c r="C1074" s="1">
        <v>44736</v>
      </c>
      <c r="D1074">
        <v>5121</v>
      </c>
      <c r="E1074" t="b">
        <v>0</v>
      </c>
      <c r="F1074">
        <v>154</v>
      </c>
      <c r="G1074" t="s">
        <v>14</v>
      </c>
      <c r="H1074" t="s">
        <v>792</v>
      </c>
      <c r="I1074" t="s">
        <v>2116</v>
      </c>
    </row>
    <row r="1075" spans="1:9" x14ac:dyDescent="0.35">
      <c r="A1075">
        <v>1812620</v>
      </c>
      <c r="B1075" t="s">
        <v>429</v>
      </c>
      <c r="C1075" s="1">
        <v>44736</v>
      </c>
      <c r="D1075">
        <v>5121</v>
      </c>
      <c r="E1075" t="b">
        <v>0</v>
      </c>
      <c r="F1075">
        <v>154</v>
      </c>
      <c r="G1075" t="s">
        <v>14</v>
      </c>
      <c r="H1075" t="s">
        <v>346</v>
      </c>
      <c r="I1075" t="s">
        <v>2116</v>
      </c>
    </row>
    <row r="1076" spans="1:9" x14ac:dyDescent="0.35">
      <c r="A1076">
        <v>1812620</v>
      </c>
      <c r="B1076" t="s">
        <v>429</v>
      </c>
      <c r="C1076" s="1">
        <v>44736</v>
      </c>
      <c r="D1076">
        <v>5121</v>
      </c>
      <c r="E1076" t="b">
        <v>0</v>
      </c>
      <c r="F1076">
        <v>154</v>
      </c>
      <c r="G1076" t="s">
        <v>14</v>
      </c>
      <c r="H1076" t="s">
        <v>239</v>
      </c>
      <c r="I1076" t="s">
        <v>2116</v>
      </c>
    </row>
    <row r="1077" spans="1:9" x14ac:dyDescent="0.35">
      <c r="A1077">
        <v>1812620</v>
      </c>
      <c r="B1077" t="s">
        <v>429</v>
      </c>
      <c r="C1077" s="1">
        <v>44736</v>
      </c>
      <c r="D1077">
        <v>5121</v>
      </c>
      <c r="E1077" t="b">
        <v>0</v>
      </c>
      <c r="F1077">
        <v>154</v>
      </c>
      <c r="G1077" t="s">
        <v>14</v>
      </c>
      <c r="H1077" t="s">
        <v>132</v>
      </c>
      <c r="I1077" t="s">
        <v>2117</v>
      </c>
    </row>
    <row r="1078" spans="1:9" x14ac:dyDescent="0.35">
      <c r="A1078">
        <v>1812620</v>
      </c>
      <c r="B1078" t="s">
        <v>429</v>
      </c>
      <c r="C1078" s="1">
        <v>44736</v>
      </c>
      <c r="D1078">
        <v>5121</v>
      </c>
      <c r="E1078" t="b">
        <v>0</v>
      </c>
      <c r="F1078">
        <v>154</v>
      </c>
      <c r="G1078" t="s">
        <v>14</v>
      </c>
      <c r="H1078" t="s">
        <v>124</v>
      </c>
      <c r="I1078" t="s">
        <v>2117</v>
      </c>
    </row>
    <row r="1079" spans="1:9" x14ac:dyDescent="0.35">
      <c r="A1079">
        <v>1812620</v>
      </c>
      <c r="B1079" t="s">
        <v>429</v>
      </c>
      <c r="C1079" s="1">
        <v>44736</v>
      </c>
      <c r="D1079">
        <v>5121</v>
      </c>
      <c r="E1079" t="b">
        <v>0</v>
      </c>
      <c r="F1079">
        <v>154</v>
      </c>
      <c r="G1079" t="s">
        <v>14</v>
      </c>
      <c r="H1079" t="s">
        <v>1510</v>
      </c>
      <c r="I1079" t="s">
        <v>2117</v>
      </c>
    </row>
    <row r="1080" spans="1:9" x14ac:dyDescent="0.35">
      <c r="A1080">
        <v>2195250</v>
      </c>
      <c r="B1080" t="s">
        <v>432</v>
      </c>
      <c r="C1080" s="1">
        <v>45197</v>
      </c>
      <c r="D1080">
        <v>5110</v>
      </c>
      <c r="E1080" t="b">
        <v>0</v>
      </c>
      <c r="F1080">
        <v>155</v>
      </c>
      <c r="G1080" t="s">
        <v>175</v>
      </c>
      <c r="H1080" t="s">
        <v>49</v>
      </c>
      <c r="I1080" t="s">
        <v>2117</v>
      </c>
    </row>
    <row r="1081" spans="1:9" x14ac:dyDescent="0.35">
      <c r="A1081">
        <v>2195250</v>
      </c>
      <c r="B1081" t="s">
        <v>432</v>
      </c>
      <c r="C1081" s="1">
        <v>45197</v>
      </c>
      <c r="D1081">
        <v>5110</v>
      </c>
      <c r="E1081" t="b">
        <v>0</v>
      </c>
      <c r="F1081">
        <v>155</v>
      </c>
      <c r="G1081" t="s">
        <v>175</v>
      </c>
      <c r="H1081" t="s">
        <v>792</v>
      </c>
      <c r="I1081" t="s">
        <v>2117</v>
      </c>
    </row>
    <row r="1082" spans="1:9" x14ac:dyDescent="0.35">
      <c r="A1082">
        <v>2195250</v>
      </c>
      <c r="B1082" t="s">
        <v>432</v>
      </c>
      <c r="C1082" s="1">
        <v>45197</v>
      </c>
      <c r="D1082">
        <v>5110</v>
      </c>
      <c r="E1082" t="b">
        <v>0</v>
      </c>
      <c r="F1082">
        <v>155</v>
      </c>
      <c r="G1082" t="s">
        <v>175</v>
      </c>
      <c r="H1082" t="s">
        <v>346</v>
      </c>
      <c r="I1082" t="s">
        <v>2117</v>
      </c>
    </row>
    <row r="1083" spans="1:9" x14ac:dyDescent="0.35">
      <c r="A1083">
        <v>2195250</v>
      </c>
      <c r="B1083" t="s">
        <v>432</v>
      </c>
      <c r="C1083" s="1">
        <v>45197</v>
      </c>
      <c r="D1083">
        <v>5110</v>
      </c>
      <c r="E1083" t="b">
        <v>0</v>
      </c>
      <c r="F1083">
        <v>155</v>
      </c>
      <c r="G1083" t="s">
        <v>175</v>
      </c>
      <c r="H1083" t="s">
        <v>239</v>
      </c>
      <c r="I1083" t="s">
        <v>2116</v>
      </c>
    </row>
    <row r="1084" spans="1:9" x14ac:dyDescent="0.35">
      <c r="A1084">
        <v>2195250</v>
      </c>
      <c r="B1084" t="s">
        <v>432</v>
      </c>
      <c r="C1084" s="1">
        <v>45197</v>
      </c>
      <c r="D1084">
        <v>5110</v>
      </c>
      <c r="E1084" t="b">
        <v>0</v>
      </c>
      <c r="F1084">
        <v>155</v>
      </c>
      <c r="G1084" t="s">
        <v>175</v>
      </c>
      <c r="H1084" t="s">
        <v>132</v>
      </c>
      <c r="I1084" t="s">
        <v>2117</v>
      </c>
    </row>
    <row r="1085" spans="1:9" x14ac:dyDescent="0.35">
      <c r="A1085">
        <v>2195250</v>
      </c>
      <c r="B1085" t="s">
        <v>432</v>
      </c>
      <c r="C1085" s="1">
        <v>45197</v>
      </c>
      <c r="D1085">
        <v>5110</v>
      </c>
      <c r="E1085" t="b">
        <v>0</v>
      </c>
      <c r="F1085">
        <v>155</v>
      </c>
      <c r="G1085" t="s">
        <v>175</v>
      </c>
      <c r="H1085" t="s">
        <v>124</v>
      </c>
      <c r="I1085" t="s">
        <v>2117</v>
      </c>
    </row>
    <row r="1086" spans="1:9" x14ac:dyDescent="0.35">
      <c r="A1086">
        <v>2195250</v>
      </c>
      <c r="B1086" t="s">
        <v>432</v>
      </c>
      <c r="C1086" s="1">
        <v>45197</v>
      </c>
      <c r="D1086">
        <v>5110</v>
      </c>
      <c r="E1086" t="b">
        <v>0</v>
      </c>
      <c r="F1086">
        <v>155</v>
      </c>
      <c r="G1086" t="s">
        <v>175</v>
      </c>
      <c r="H1086" t="s">
        <v>1510</v>
      </c>
      <c r="I1086" t="s">
        <v>2117</v>
      </c>
    </row>
    <row r="1087" spans="1:9" x14ac:dyDescent="0.35">
      <c r="A1087">
        <v>286160</v>
      </c>
      <c r="B1087" t="s">
        <v>433</v>
      </c>
      <c r="C1087" s="1">
        <v>42160</v>
      </c>
      <c r="D1087">
        <v>5021</v>
      </c>
      <c r="E1087" t="b">
        <v>1</v>
      </c>
      <c r="F1087">
        <v>156</v>
      </c>
      <c r="G1087" t="s">
        <v>2084</v>
      </c>
      <c r="H1087" t="s">
        <v>49</v>
      </c>
      <c r="I1087" t="s">
        <v>2117</v>
      </c>
    </row>
    <row r="1088" spans="1:9" x14ac:dyDescent="0.35">
      <c r="A1088">
        <v>286160</v>
      </c>
      <c r="B1088" t="s">
        <v>433</v>
      </c>
      <c r="C1088" s="1">
        <v>42160</v>
      </c>
      <c r="D1088">
        <v>5021</v>
      </c>
      <c r="E1088" t="b">
        <v>1</v>
      </c>
      <c r="F1088">
        <v>156</v>
      </c>
      <c r="G1088" t="s">
        <v>2084</v>
      </c>
      <c r="H1088" t="s">
        <v>792</v>
      </c>
      <c r="I1088" t="s">
        <v>2116</v>
      </c>
    </row>
    <row r="1089" spans="1:9" x14ac:dyDescent="0.35">
      <c r="A1089">
        <v>286160</v>
      </c>
      <c r="B1089" t="s">
        <v>433</v>
      </c>
      <c r="C1089" s="1">
        <v>42160</v>
      </c>
      <c r="D1089">
        <v>5021</v>
      </c>
      <c r="E1089" t="b">
        <v>1</v>
      </c>
      <c r="F1089">
        <v>156</v>
      </c>
      <c r="G1089" t="s">
        <v>2084</v>
      </c>
      <c r="H1089" t="s">
        <v>346</v>
      </c>
      <c r="I1089" t="s">
        <v>2117</v>
      </c>
    </row>
    <row r="1090" spans="1:9" x14ac:dyDescent="0.35">
      <c r="A1090">
        <v>286160</v>
      </c>
      <c r="B1090" t="s">
        <v>433</v>
      </c>
      <c r="C1090" s="1">
        <v>42160</v>
      </c>
      <c r="D1090">
        <v>5021</v>
      </c>
      <c r="E1090" t="b">
        <v>1</v>
      </c>
      <c r="F1090">
        <v>156</v>
      </c>
      <c r="G1090" t="s">
        <v>2084</v>
      </c>
      <c r="H1090" t="s">
        <v>239</v>
      </c>
      <c r="I1090" t="s">
        <v>2116</v>
      </c>
    </row>
    <row r="1091" spans="1:9" x14ac:dyDescent="0.35">
      <c r="A1091">
        <v>286160</v>
      </c>
      <c r="B1091" t="s">
        <v>433</v>
      </c>
      <c r="C1091" s="1">
        <v>42160</v>
      </c>
      <c r="D1091">
        <v>5021</v>
      </c>
      <c r="E1091" t="b">
        <v>1</v>
      </c>
      <c r="F1091">
        <v>156</v>
      </c>
      <c r="G1091" t="s">
        <v>2084</v>
      </c>
      <c r="H1091" t="s">
        <v>132</v>
      </c>
      <c r="I1091" t="s">
        <v>2116</v>
      </c>
    </row>
    <row r="1092" spans="1:9" x14ac:dyDescent="0.35">
      <c r="A1092">
        <v>286160</v>
      </c>
      <c r="B1092" t="s">
        <v>433</v>
      </c>
      <c r="C1092" s="1">
        <v>42160</v>
      </c>
      <c r="D1092">
        <v>5021</v>
      </c>
      <c r="E1092" t="b">
        <v>1</v>
      </c>
      <c r="F1092">
        <v>156</v>
      </c>
      <c r="G1092" t="s">
        <v>2084</v>
      </c>
      <c r="H1092" t="s">
        <v>124</v>
      </c>
      <c r="I1092" t="s">
        <v>2116</v>
      </c>
    </row>
    <row r="1093" spans="1:9" x14ac:dyDescent="0.35">
      <c r="A1093">
        <v>286160</v>
      </c>
      <c r="B1093" t="s">
        <v>433</v>
      </c>
      <c r="C1093" s="1">
        <v>42160</v>
      </c>
      <c r="D1093">
        <v>5021</v>
      </c>
      <c r="E1093" t="b">
        <v>1</v>
      </c>
      <c r="F1093">
        <v>156</v>
      </c>
      <c r="G1093" t="s">
        <v>2084</v>
      </c>
      <c r="H1093" t="s">
        <v>1510</v>
      </c>
      <c r="I1093" t="s">
        <v>2117</v>
      </c>
    </row>
    <row r="1094" spans="1:9" x14ac:dyDescent="0.35">
      <c r="A1094">
        <v>1426210</v>
      </c>
      <c r="B1094" t="s">
        <v>436</v>
      </c>
      <c r="C1094" s="1">
        <v>44280</v>
      </c>
      <c r="D1094">
        <v>5018</v>
      </c>
      <c r="E1094" t="b">
        <v>0</v>
      </c>
      <c r="F1094">
        <v>157</v>
      </c>
      <c r="G1094" t="s">
        <v>438</v>
      </c>
      <c r="H1094" t="s">
        <v>49</v>
      </c>
      <c r="I1094" t="s">
        <v>2116</v>
      </c>
    </row>
    <row r="1095" spans="1:9" x14ac:dyDescent="0.35">
      <c r="A1095">
        <v>1426210</v>
      </c>
      <c r="B1095" t="s">
        <v>436</v>
      </c>
      <c r="C1095" s="1">
        <v>44280</v>
      </c>
      <c r="D1095">
        <v>5018</v>
      </c>
      <c r="E1095" t="b">
        <v>0</v>
      </c>
      <c r="F1095">
        <v>157</v>
      </c>
      <c r="G1095" t="s">
        <v>438</v>
      </c>
      <c r="H1095" t="s">
        <v>792</v>
      </c>
      <c r="I1095" t="s">
        <v>2117</v>
      </c>
    </row>
    <row r="1096" spans="1:9" x14ac:dyDescent="0.35">
      <c r="A1096">
        <v>1426210</v>
      </c>
      <c r="B1096" t="s">
        <v>436</v>
      </c>
      <c r="C1096" s="1">
        <v>44280</v>
      </c>
      <c r="D1096">
        <v>5018</v>
      </c>
      <c r="E1096" t="b">
        <v>0</v>
      </c>
      <c r="F1096">
        <v>157</v>
      </c>
      <c r="G1096" t="s">
        <v>438</v>
      </c>
      <c r="H1096" t="s">
        <v>346</v>
      </c>
      <c r="I1096" t="s">
        <v>2116</v>
      </c>
    </row>
    <row r="1097" spans="1:9" x14ac:dyDescent="0.35">
      <c r="A1097">
        <v>1426210</v>
      </c>
      <c r="B1097" t="s">
        <v>436</v>
      </c>
      <c r="C1097" s="1">
        <v>44280</v>
      </c>
      <c r="D1097">
        <v>5018</v>
      </c>
      <c r="E1097" t="b">
        <v>0</v>
      </c>
      <c r="F1097">
        <v>157</v>
      </c>
      <c r="G1097" t="s">
        <v>438</v>
      </c>
      <c r="H1097" t="s">
        <v>239</v>
      </c>
      <c r="I1097" t="s">
        <v>2117</v>
      </c>
    </row>
    <row r="1098" spans="1:9" x14ac:dyDescent="0.35">
      <c r="A1098">
        <v>1426210</v>
      </c>
      <c r="B1098" t="s">
        <v>436</v>
      </c>
      <c r="C1098" s="1">
        <v>44280</v>
      </c>
      <c r="D1098">
        <v>5018</v>
      </c>
      <c r="E1098" t="b">
        <v>0</v>
      </c>
      <c r="F1098">
        <v>157</v>
      </c>
      <c r="G1098" t="s">
        <v>438</v>
      </c>
      <c r="H1098" t="s">
        <v>132</v>
      </c>
      <c r="I1098" t="s">
        <v>2117</v>
      </c>
    </row>
    <row r="1099" spans="1:9" x14ac:dyDescent="0.35">
      <c r="A1099">
        <v>1426210</v>
      </c>
      <c r="B1099" t="s">
        <v>436</v>
      </c>
      <c r="C1099" s="1">
        <v>44280</v>
      </c>
      <c r="D1099">
        <v>5018</v>
      </c>
      <c r="E1099" t="b">
        <v>0</v>
      </c>
      <c r="F1099">
        <v>157</v>
      </c>
      <c r="G1099" t="s">
        <v>438</v>
      </c>
      <c r="H1099" t="s">
        <v>124</v>
      </c>
      <c r="I1099" t="s">
        <v>2117</v>
      </c>
    </row>
    <row r="1100" spans="1:9" x14ac:dyDescent="0.35">
      <c r="A1100">
        <v>1426210</v>
      </c>
      <c r="B1100" t="s">
        <v>436</v>
      </c>
      <c r="C1100" s="1">
        <v>44280</v>
      </c>
      <c r="D1100">
        <v>5018</v>
      </c>
      <c r="E1100" t="b">
        <v>0</v>
      </c>
      <c r="F1100">
        <v>157</v>
      </c>
      <c r="G1100" t="s">
        <v>438</v>
      </c>
      <c r="H1100" t="s">
        <v>1510</v>
      </c>
      <c r="I1100" t="s">
        <v>2117</v>
      </c>
    </row>
    <row r="1101" spans="1:9" x14ac:dyDescent="0.35">
      <c r="A1101">
        <v>1687950</v>
      </c>
      <c r="B1101" t="s">
        <v>439</v>
      </c>
      <c r="C1101" s="1">
        <v>44854</v>
      </c>
      <c r="D1101">
        <v>4994</v>
      </c>
      <c r="E1101" t="b">
        <v>0</v>
      </c>
      <c r="F1101">
        <v>158</v>
      </c>
      <c r="G1101" t="s">
        <v>304</v>
      </c>
      <c r="H1101" t="s">
        <v>49</v>
      </c>
      <c r="I1101" t="s">
        <v>2117</v>
      </c>
    </row>
    <row r="1102" spans="1:9" x14ac:dyDescent="0.35">
      <c r="A1102">
        <v>1687950</v>
      </c>
      <c r="B1102" t="s">
        <v>439</v>
      </c>
      <c r="C1102" s="1">
        <v>44854</v>
      </c>
      <c r="D1102">
        <v>4994</v>
      </c>
      <c r="E1102" t="b">
        <v>0</v>
      </c>
      <c r="F1102">
        <v>158</v>
      </c>
      <c r="G1102" t="s">
        <v>304</v>
      </c>
      <c r="H1102" t="s">
        <v>792</v>
      </c>
      <c r="I1102" t="s">
        <v>2117</v>
      </c>
    </row>
    <row r="1103" spans="1:9" x14ac:dyDescent="0.35">
      <c r="A1103">
        <v>1687950</v>
      </c>
      <c r="B1103" t="s">
        <v>439</v>
      </c>
      <c r="C1103" s="1">
        <v>44854</v>
      </c>
      <c r="D1103">
        <v>4994</v>
      </c>
      <c r="E1103" t="b">
        <v>0</v>
      </c>
      <c r="F1103">
        <v>158</v>
      </c>
      <c r="G1103" t="s">
        <v>304</v>
      </c>
      <c r="H1103" t="s">
        <v>346</v>
      </c>
      <c r="I1103" t="s">
        <v>2117</v>
      </c>
    </row>
    <row r="1104" spans="1:9" x14ac:dyDescent="0.35">
      <c r="A1104">
        <v>1687950</v>
      </c>
      <c r="B1104" t="s">
        <v>439</v>
      </c>
      <c r="C1104" s="1">
        <v>44854</v>
      </c>
      <c r="D1104">
        <v>4994</v>
      </c>
      <c r="E1104" t="b">
        <v>0</v>
      </c>
      <c r="F1104">
        <v>158</v>
      </c>
      <c r="G1104" t="s">
        <v>304</v>
      </c>
      <c r="H1104" t="s">
        <v>239</v>
      </c>
      <c r="I1104" t="s">
        <v>2117</v>
      </c>
    </row>
    <row r="1105" spans="1:9" x14ac:dyDescent="0.35">
      <c r="A1105">
        <v>1687950</v>
      </c>
      <c r="B1105" t="s">
        <v>439</v>
      </c>
      <c r="C1105" s="1">
        <v>44854</v>
      </c>
      <c r="D1105">
        <v>4994</v>
      </c>
      <c r="E1105" t="b">
        <v>0</v>
      </c>
      <c r="F1105">
        <v>158</v>
      </c>
      <c r="G1105" t="s">
        <v>304</v>
      </c>
      <c r="H1105" t="s">
        <v>132</v>
      </c>
      <c r="I1105" t="s">
        <v>2116</v>
      </c>
    </row>
    <row r="1106" spans="1:9" x14ac:dyDescent="0.35">
      <c r="A1106">
        <v>1687950</v>
      </c>
      <c r="B1106" t="s">
        <v>439</v>
      </c>
      <c r="C1106" s="1">
        <v>44854</v>
      </c>
      <c r="D1106">
        <v>4994</v>
      </c>
      <c r="E1106" t="b">
        <v>0</v>
      </c>
      <c r="F1106">
        <v>158</v>
      </c>
      <c r="G1106" t="s">
        <v>304</v>
      </c>
      <c r="H1106" t="s">
        <v>124</v>
      </c>
      <c r="I1106" t="s">
        <v>2117</v>
      </c>
    </row>
    <row r="1107" spans="1:9" x14ac:dyDescent="0.35">
      <c r="A1107">
        <v>1687950</v>
      </c>
      <c r="B1107" t="s">
        <v>439</v>
      </c>
      <c r="C1107" s="1">
        <v>44854</v>
      </c>
      <c r="D1107">
        <v>4994</v>
      </c>
      <c r="E1107" t="b">
        <v>0</v>
      </c>
      <c r="F1107">
        <v>158</v>
      </c>
      <c r="G1107" t="s">
        <v>304</v>
      </c>
      <c r="H1107" t="s">
        <v>1510</v>
      </c>
      <c r="I1107" t="s">
        <v>2117</v>
      </c>
    </row>
    <row r="1108" spans="1:9" x14ac:dyDescent="0.35">
      <c r="A1108">
        <v>2437170</v>
      </c>
      <c r="B1108" t="s">
        <v>440</v>
      </c>
      <c r="C1108" s="1">
        <v>45531</v>
      </c>
      <c r="D1108">
        <v>4975</v>
      </c>
      <c r="E1108" t="b">
        <v>0</v>
      </c>
      <c r="F1108">
        <v>159</v>
      </c>
      <c r="G1108" t="s">
        <v>133</v>
      </c>
      <c r="H1108" t="s">
        <v>49</v>
      </c>
      <c r="I1108" t="s">
        <v>2116</v>
      </c>
    </row>
    <row r="1109" spans="1:9" x14ac:dyDescent="0.35">
      <c r="A1109">
        <v>2437170</v>
      </c>
      <c r="B1109" t="s">
        <v>440</v>
      </c>
      <c r="C1109" s="1">
        <v>45531</v>
      </c>
      <c r="D1109">
        <v>4975</v>
      </c>
      <c r="E1109" t="b">
        <v>0</v>
      </c>
      <c r="F1109">
        <v>159</v>
      </c>
      <c r="G1109" t="s">
        <v>133</v>
      </c>
      <c r="H1109" t="s">
        <v>792</v>
      </c>
      <c r="I1109" t="s">
        <v>2117</v>
      </c>
    </row>
    <row r="1110" spans="1:9" x14ac:dyDescent="0.35">
      <c r="A1110">
        <v>2437170</v>
      </c>
      <c r="B1110" t="s">
        <v>440</v>
      </c>
      <c r="C1110" s="1">
        <v>45531</v>
      </c>
      <c r="D1110">
        <v>4975</v>
      </c>
      <c r="E1110" t="b">
        <v>0</v>
      </c>
      <c r="F1110">
        <v>159</v>
      </c>
      <c r="G1110" t="s">
        <v>133</v>
      </c>
      <c r="H1110" t="s">
        <v>346</v>
      </c>
      <c r="I1110" t="s">
        <v>2116</v>
      </c>
    </row>
    <row r="1111" spans="1:9" x14ac:dyDescent="0.35">
      <c r="A1111">
        <v>2437170</v>
      </c>
      <c r="B1111" t="s">
        <v>440</v>
      </c>
      <c r="C1111" s="1">
        <v>45531</v>
      </c>
      <c r="D1111">
        <v>4975</v>
      </c>
      <c r="E1111" t="b">
        <v>0</v>
      </c>
      <c r="F1111">
        <v>159</v>
      </c>
      <c r="G1111" t="s">
        <v>133</v>
      </c>
      <c r="H1111" t="s">
        <v>239</v>
      </c>
      <c r="I1111" t="s">
        <v>2117</v>
      </c>
    </row>
    <row r="1112" spans="1:9" x14ac:dyDescent="0.35">
      <c r="A1112">
        <v>2437170</v>
      </c>
      <c r="B1112" t="s">
        <v>440</v>
      </c>
      <c r="C1112" s="1">
        <v>45531</v>
      </c>
      <c r="D1112">
        <v>4975</v>
      </c>
      <c r="E1112" t="b">
        <v>0</v>
      </c>
      <c r="F1112">
        <v>159</v>
      </c>
      <c r="G1112" t="s">
        <v>133</v>
      </c>
      <c r="H1112" t="s">
        <v>132</v>
      </c>
      <c r="I1112" t="s">
        <v>2116</v>
      </c>
    </row>
    <row r="1113" spans="1:9" x14ac:dyDescent="0.35">
      <c r="A1113">
        <v>2437170</v>
      </c>
      <c r="B1113" t="s">
        <v>440</v>
      </c>
      <c r="C1113" s="1">
        <v>45531</v>
      </c>
      <c r="D1113">
        <v>4975</v>
      </c>
      <c r="E1113" t="b">
        <v>0</v>
      </c>
      <c r="F1113">
        <v>159</v>
      </c>
      <c r="G1113" t="s">
        <v>133</v>
      </c>
      <c r="H1113" t="s">
        <v>124</v>
      </c>
      <c r="I1113" t="s">
        <v>2116</v>
      </c>
    </row>
    <row r="1114" spans="1:9" x14ac:dyDescent="0.35">
      <c r="A1114">
        <v>2437170</v>
      </c>
      <c r="B1114" t="s">
        <v>440</v>
      </c>
      <c r="C1114" s="1">
        <v>45531</v>
      </c>
      <c r="D1114">
        <v>4975</v>
      </c>
      <c r="E1114" t="b">
        <v>0</v>
      </c>
      <c r="F1114">
        <v>159</v>
      </c>
      <c r="G1114" t="s">
        <v>133</v>
      </c>
      <c r="H1114" t="s">
        <v>1510</v>
      </c>
      <c r="I1114" t="s">
        <v>2116</v>
      </c>
    </row>
    <row r="1115" spans="1:9" x14ac:dyDescent="0.35">
      <c r="A1115">
        <v>239140</v>
      </c>
      <c r="B1115" t="s">
        <v>442</v>
      </c>
      <c r="C1115" s="1">
        <v>42030</v>
      </c>
      <c r="D1115">
        <v>4953</v>
      </c>
      <c r="E1115" t="b">
        <v>1</v>
      </c>
      <c r="F1115">
        <v>160</v>
      </c>
      <c r="G1115" t="s">
        <v>2091</v>
      </c>
      <c r="H1115" t="s">
        <v>49</v>
      </c>
      <c r="I1115" t="s">
        <v>2116</v>
      </c>
    </row>
    <row r="1116" spans="1:9" x14ac:dyDescent="0.35">
      <c r="A1116">
        <v>239140</v>
      </c>
      <c r="B1116" t="s">
        <v>442</v>
      </c>
      <c r="C1116" s="1">
        <v>42030</v>
      </c>
      <c r="D1116">
        <v>4953</v>
      </c>
      <c r="E1116" t="b">
        <v>1</v>
      </c>
      <c r="F1116">
        <v>160</v>
      </c>
      <c r="G1116" t="s">
        <v>2091</v>
      </c>
      <c r="H1116" t="s">
        <v>792</v>
      </c>
      <c r="I1116" t="s">
        <v>2117</v>
      </c>
    </row>
    <row r="1117" spans="1:9" x14ac:dyDescent="0.35">
      <c r="A1117">
        <v>239140</v>
      </c>
      <c r="B1117" t="s">
        <v>442</v>
      </c>
      <c r="C1117" s="1">
        <v>42030</v>
      </c>
      <c r="D1117">
        <v>4953</v>
      </c>
      <c r="E1117" t="b">
        <v>1</v>
      </c>
      <c r="F1117">
        <v>160</v>
      </c>
      <c r="G1117" t="s">
        <v>2091</v>
      </c>
      <c r="H1117" t="s">
        <v>346</v>
      </c>
      <c r="I1117" t="s">
        <v>2117</v>
      </c>
    </row>
    <row r="1118" spans="1:9" x14ac:dyDescent="0.35">
      <c r="A1118">
        <v>239140</v>
      </c>
      <c r="B1118" t="s">
        <v>442</v>
      </c>
      <c r="C1118" s="1">
        <v>42030</v>
      </c>
      <c r="D1118">
        <v>4953</v>
      </c>
      <c r="E1118" t="b">
        <v>1</v>
      </c>
      <c r="F1118">
        <v>160</v>
      </c>
      <c r="G1118" t="s">
        <v>2091</v>
      </c>
      <c r="H1118" t="s">
        <v>239</v>
      </c>
      <c r="I1118" t="s">
        <v>2117</v>
      </c>
    </row>
    <row r="1119" spans="1:9" x14ac:dyDescent="0.35">
      <c r="A1119">
        <v>239140</v>
      </c>
      <c r="B1119" t="s">
        <v>442</v>
      </c>
      <c r="C1119" s="1">
        <v>42030</v>
      </c>
      <c r="D1119">
        <v>4953</v>
      </c>
      <c r="E1119" t="b">
        <v>1</v>
      </c>
      <c r="F1119">
        <v>160</v>
      </c>
      <c r="G1119" t="s">
        <v>2091</v>
      </c>
      <c r="H1119" t="s">
        <v>132</v>
      </c>
      <c r="I1119" t="s">
        <v>2116</v>
      </c>
    </row>
    <row r="1120" spans="1:9" x14ac:dyDescent="0.35">
      <c r="A1120">
        <v>239140</v>
      </c>
      <c r="B1120" t="s">
        <v>442</v>
      </c>
      <c r="C1120" s="1">
        <v>42030</v>
      </c>
      <c r="D1120">
        <v>4953</v>
      </c>
      <c r="E1120" t="b">
        <v>1</v>
      </c>
      <c r="F1120">
        <v>160</v>
      </c>
      <c r="G1120" t="s">
        <v>2091</v>
      </c>
      <c r="H1120" t="s">
        <v>124</v>
      </c>
      <c r="I1120" t="s">
        <v>2117</v>
      </c>
    </row>
    <row r="1121" spans="1:9" x14ac:dyDescent="0.35">
      <c r="A1121">
        <v>239140</v>
      </c>
      <c r="B1121" t="s">
        <v>442</v>
      </c>
      <c r="C1121" s="1">
        <v>42030</v>
      </c>
      <c r="D1121">
        <v>4953</v>
      </c>
      <c r="E1121" t="b">
        <v>1</v>
      </c>
      <c r="F1121">
        <v>160</v>
      </c>
      <c r="G1121" t="s">
        <v>2091</v>
      </c>
      <c r="H1121" t="s">
        <v>1510</v>
      </c>
      <c r="I1121" t="s">
        <v>2117</v>
      </c>
    </row>
    <row r="1122" spans="1:9" x14ac:dyDescent="0.35">
      <c r="A1122">
        <v>367520</v>
      </c>
      <c r="B1122" t="s">
        <v>444</v>
      </c>
      <c r="C1122" s="1">
        <v>42790</v>
      </c>
      <c r="D1122">
        <v>4912</v>
      </c>
      <c r="E1122" t="b">
        <v>1</v>
      </c>
      <c r="F1122">
        <v>161</v>
      </c>
      <c r="G1122" t="s">
        <v>304</v>
      </c>
      <c r="H1122" t="s">
        <v>49</v>
      </c>
      <c r="I1122" t="s">
        <v>2116</v>
      </c>
    </row>
    <row r="1123" spans="1:9" x14ac:dyDescent="0.35">
      <c r="A1123">
        <v>367520</v>
      </c>
      <c r="B1123" t="s">
        <v>444</v>
      </c>
      <c r="C1123" s="1">
        <v>42790</v>
      </c>
      <c r="D1123">
        <v>4912</v>
      </c>
      <c r="E1123" t="b">
        <v>1</v>
      </c>
      <c r="F1123">
        <v>161</v>
      </c>
      <c r="G1123" t="s">
        <v>304</v>
      </c>
      <c r="H1123" t="s">
        <v>792</v>
      </c>
      <c r="I1123" t="s">
        <v>2116</v>
      </c>
    </row>
    <row r="1124" spans="1:9" x14ac:dyDescent="0.35">
      <c r="A1124">
        <v>367520</v>
      </c>
      <c r="B1124" t="s">
        <v>444</v>
      </c>
      <c r="C1124" s="1">
        <v>42790</v>
      </c>
      <c r="D1124">
        <v>4912</v>
      </c>
      <c r="E1124" t="b">
        <v>1</v>
      </c>
      <c r="F1124">
        <v>161</v>
      </c>
      <c r="G1124" t="s">
        <v>304</v>
      </c>
      <c r="H1124" t="s">
        <v>346</v>
      </c>
      <c r="I1124" t="s">
        <v>2116</v>
      </c>
    </row>
    <row r="1125" spans="1:9" x14ac:dyDescent="0.35">
      <c r="A1125">
        <v>367520</v>
      </c>
      <c r="B1125" t="s">
        <v>444</v>
      </c>
      <c r="C1125" s="1">
        <v>42790</v>
      </c>
      <c r="D1125">
        <v>4912</v>
      </c>
      <c r="E1125" t="b">
        <v>1</v>
      </c>
      <c r="F1125">
        <v>161</v>
      </c>
      <c r="G1125" t="s">
        <v>304</v>
      </c>
      <c r="H1125" t="s">
        <v>239</v>
      </c>
      <c r="I1125" t="s">
        <v>2117</v>
      </c>
    </row>
    <row r="1126" spans="1:9" x14ac:dyDescent="0.35">
      <c r="A1126">
        <v>367520</v>
      </c>
      <c r="B1126" t="s">
        <v>444</v>
      </c>
      <c r="C1126" s="1">
        <v>42790</v>
      </c>
      <c r="D1126">
        <v>4912</v>
      </c>
      <c r="E1126" t="b">
        <v>1</v>
      </c>
      <c r="F1126">
        <v>161</v>
      </c>
      <c r="G1126" t="s">
        <v>304</v>
      </c>
      <c r="H1126" t="s">
        <v>132</v>
      </c>
      <c r="I1126" t="s">
        <v>2117</v>
      </c>
    </row>
    <row r="1127" spans="1:9" x14ac:dyDescent="0.35">
      <c r="A1127">
        <v>367520</v>
      </c>
      <c r="B1127" t="s">
        <v>444</v>
      </c>
      <c r="C1127" s="1">
        <v>42790</v>
      </c>
      <c r="D1127">
        <v>4912</v>
      </c>
      <c r="E1127" t="b">
        <v>1</v>
      </c>
      <c r="F1127">
        <v>161</v>
      </c>
      <c r="G1127" t="s">
        <v>304</v>
      </c>
      <c r="H1127" t="s">
        <v>124</v>
      </c>
      <c r="I1127" t="s">
        <v>2117</v>
      </c>
    </row>
    <row r="1128" spans="1:9" x14ac:dyDescent="0.35">
      <c r="A1128">
        <v>367520</v>
      </c>
      <c r="B1128" t="s">
        <v>444</v>
      </c>
      <c r="C1128" s="1">
        <v>42790</v>
      </c>
      <c r="D1128">
        <v>4912</v>
      </c>
      <c r="E1128" t="b">
        <v>1</v>
      </c>
      <c r="F1128">
        <v>161</v>
      </c>
      <c r="G1128" t="s">
        <v>304</v>
      </c>
      <c r="H1128" t="s">
        <v>1510</v>
      </c>
      <c r="I1128" t="s">
        <v>2117</v>
      </c>
    </row>
    <row r="1129" spans="1:9" x14ac:dyDescent="0.35">
      <c r="A1129">
        <v>359320</v>
      </c>
      <c r="B1129" t="s">
        <v>447</v>
      </c>
      <c r="C1129" s="1">
        <v>42096</v>
      </c>
      <c r="D1129">
        <v>4845</v>
      </c>
      <c r="E1129" t="b">
        <v>0</v>
      </c>
      <c r="F1129">
        <v>162</v>
      </c>
      <c r="G1129" t="s">
        <v>2091</v>
      </c>
      <c r="H1129" t="s">
        <v>49</v>
      </c>
      <c r="I1129" t="s">
        <v>2116</v>
      </c>
    </row>
    <row r="1130" spans="1:9" x14ac:dyDescent="0.35">
      <c r="A1130">
        <v>359320</v>
      </c>
      <c r="B1130" t="s">
        <v>447</v>
      </c>
      <c r="C1130" s="1">
        <v>42096</v>
      </c>
      <c r="D1130">
        <v>4845</v>
      </c>
      <c r="E1130" t="b">
        <v>0</v>
      </c>
      <c r="F1130">
        <v>162</v>
      </c>
      <c r="G1130" t="s">
        <v>2091</v>
      </c>
      <c r="H1130" t="s">
        <v>792</v>
      </c>
      <c r="I1130" t="s">
        <v>2117</v>
      </c>
    </row>
    <row r="1131" spans="1:9" x14ac:dyDescent="0.35">
      <c r="A1131">
        <v>359320</v>
      </c>
      <c r="B1131" t="s">
        <v>447</v>
      </c>
      <c r="C1131" s="1">
        <v>42096</v>
      </c>
      <c r="D1131">
        <v>4845</v>
      </c>
      <c r="E1131" t="b">
        <v>0</v>
      </c>
      <c r="F1131">
        <v>162</v>
      </c>
      <c r="G1131" t="s">
        <v>2091</v>
      </c>
      <c r="H1131" t="s">
        <v>346</v>
      </c>
      <c r="I1131" t="s">
        <v>2116</v>
      </c>
    </row>
    <row r="1132" spans="1:9" x14ac:dyDescent="0.35">
      <c r="A1132">
        <v>359320</v>
      </c>
      <c r="B1132" t="s">
        <v>447</v>
      </c>
      <c r="C1132" s="1">
        <v>42096</v>
      </c>
      <c r="D1132">
        <v>4845</v>
      </c>
      <c r="E1132" t="b">
        <v>0</v>
      </c>
      <c r="F1132">
        <v>162</v>
      </c>
      <c r="G1132" t="s">
        <v>2091</v>
      </c>
      <c r="H1132" t="s">
        <v>239</v>
      </c>
      <c r="I1132" t="s">
        <v>2116</v>
      </c>
    </row>
    <row r="1133" spans="1:9" x14ac:dyDescent="0.35">
      <c r="A1133">
        <v>359320</v>
      </c>
      <c r="B1133" t="s">
        <v>447</v>
      </c>
      <c r="C1133" s="1">
        <v>42096</v>
      </c>
      <c r="D1133">
        <v>4845</v>
      </c>
      <c r="E1133" t="b">
        <v>0</v>
      </c>
      <c r="F1133">
        <v>162</v>
      </c>
      <c r="G1133" t="s">
        <v>2091</v>
      </c>
      <c r="H1133" t="s">
        <v>132</v>
      </c>
      <c r="I1133" t="s">
        <v>2116</v>
      </c>
    </row>
    <row r="1134" spans="1:9" x14ac:dyDescent="0.35">
      <c r="A1134">
        <v>359320</v>
      </c>
      <c r="B1134" t="s">
        <v>447</v>
      </c>
      <c r="C1134" s="1">
        <v>42096</v>
      </c>
      <c r="D1134">
        <v>4845</v>
      </c>
      <c r="E1134" t="b">
        <v>0</v>
      </c>
      <c r="F1134">
        <v>162</v>
      </c>
      <c r="G1134" t="s">
        <v>2091</v>
      </c>
      <c r="H1134" t="s">
        <v>124</v>
      </c>
      <c r="I1134" t="s">
        <v>2116</v>
      </c>
    </row>
    <row r="1135" spans="1:9" x14ac:dyDescent="0.35">
      <c r="A1135">
        <v>359320</v>
      </c>
      <c r="B1135" t="s">
        <v>447</v>
      </c>
      <c r="C1135" s="1">
        <v>42096</v>
      </c>
      <c r="D1135">
        <v>4845</v>
      </c>
      <c r="E1135" t="b">
        <v>0</v>
      </c>
      <c r="F1135">
        <v>162</v>
      </c>
      <c r="G1135" t="s">
        <v>2091</v>
      </c>
      <c r="H1135" t="s">
        <v>1510</v>
      </c>
      <c r="I1135" t="s">
        <v>2117</v>
      </c>
    </row>
    <row r="1136" spans="1:9" x14ac:dyDescent="0.35">
      <c r="A1136">
        <v>544810</v>
      </c>
      <c r="B1136" t="s">
        <v>449</v>
      </c>
      <c r="C1136" s="1">
        <v>43936</v>
      </c>
      <c r="D1136">
        <v>4796</v>
      </c>
      <c r="E1136" t="b">
        <v>0</v>
      </c>
      <c r="F1136">
        <v>163</v>
      </c>
      <c r="G1136" t="s">
        <v>161</v>
      </c>
      <c r="H1136" t="s">
        <v>49</v>
      </c>
      <c r="I1136" t="s">
        <v>2117</v>
      </c>
    </row>
    <row r="1137" spans="1:9" x14ac:dyDescent="0.35">
      <c r="A1137">
        <v>544810</v>
      </c>
      <c r="B1137" t="s">
        <v>449</v>
      </c>
      <c r="C1137" s="1">
        <v>43936</v>
      </c>
      <c r="D1137">
        <v>4796</v>
      </c>
      <c r="E1137" t="b">
        <v>0</v>
      </c>
      <c r="F1137">
        <v>163</v>
      </c>
      <c r="G1137" t="s">
        <v>161</v>
      </c>
      <c r="H1137" t="s">
        <v>792</v>
      </c>
      <c r="I1137" t="s">
        <v>2116</v>
      </c>
    </row>
    <row r="1138" spans="1:9" x14ac:dyDescent="0.35">
      <c r="A1138">
        <v>544810</v>
      </c>
      <c r="B1138" t="s">
        <v>449</v>
      </c>
      <c r="C1138" s="1">
        <v>43936</v>
      </c>
      <c r="D1138">
        <v>4796</v>
      </c>
      <c r="E1138" t="b">
        <v>0</v>
      </c>
      <c r="F1138">
        <v>163</v>
      </c>
      <c r="G1138" t="s">
        <v>161</v>
      </c>
      <c r="H1138" t="s">
        <v>346</v>
      </c>
      <c r="I1138" t="s">
        <v>2117</v>
      </c>
    </row>
    <row r="1139" spans="1:9" x14ac:dyDescent="0.35">
      <c r="A1139">
        <v>544810</v>
      </c>
      <c r="B1139" t="s">
        <v>449</v>
      </c>
      <c r="C1139" s="1">
        <v>43936</v>
      </c>
      <c r="D1139">
        <v>4796</v>
      </c>
      <c r="E1139" t="b">
        <v>0</v>
      </c>
      <c r="F1139">
        <v>163</v>
      </c>
      <c r="G1139" t="s">
        <v>161</v>
      </c>
      <c r="H1139" t="s">
        <v>239</v>
      </c>
      <c r="I1139" t="s">
        <v>2117</v>
      </c>
    </row>
    <row r="1140" spans="1:9" x14ac:dyDescent="0.35">
      <c r="A1140">
        <v>544810</v>
      </c>
      <c r="B1140" t="s">
        <v>449</v>
      </c>
      <c r="C1140" s="1">
        <v>43936</v>
      </c>
      <c r="D1140">
        <v>4796</v>
      </c>
      <c r="E1140" t="b">
        <v>0</v>
      </c>
      <c r="F1140">
        <v>163</v>
      </c>
      <c r="G1140" t="s">
        <v>161</v>
      </c>
      <c r="H1140" t="s">
        <v>132</v>
      </c>
      <c r="I1140" t="s">
        <v>2117</v>
      </c>
    </row>
    <row r="1141" spans="1:9" x14ac:dyDescent="0.35">
      <c r="A1141">
        <v>544810</v>
      </c>
      <c r="B1141" t="s">
        <v>449</v>
      </c>
      <c r="C1141" s="1">
        <v>43936</v>
      </c>
      <c r="D1141">
        <v>4796</v>
      </c>
      <c r="E1141" t="b">
        <v>0</v>
      </c>
      <c r="F1141">
        <v>163</v>
      </c>
      <c r="G1141" t="s">
        <v>161</v>
      </c>
      <c r="H1141" t="s">
        <v>124</v>
      </c>
      <c r="I1141" t="s">
        <v>2116</v>
      </c>
    </row>
    <row r="1142" spans="1:9" x14ac:dyDescent="0.35">
      <c r="A1142">
        <v>544810</v>
      </c>
      <c r="B1142" t="s">
        <v>449</v>
      </c>
      <c r="C1142" s="1">
        <v>43936</v>
      </c>
      <c r="D1142">
        <v>4796</v>
      </c>
      <c r="E1142" t="b">
        <v>0</v>
      </c>
      <c r="F1142">
        <v>163</v>
      </c>
      <c r="G1142" t="s">
        <v>161</v>
      </c>
      <c r="H1142" t="s">
        <v>1510</v>
      </c>
      <c r="I1142" t="s">
        <v>2116</v>
      </c>
    </row>
    <row r="1143" spans="1:9" x14ac:dyDescent="0.35">
      <c r="A1143">
        <v>2709570</v>
      </c>
      <c r="B1143" t="s">
        <v>452</v>
      </c>
      <c r="C1143" s="1">
        <v>45513</v>
      </c>
      <c r="D1143">
        <v>4704</v>
      </c>
      <c r="E1143" t="b">
        <v>0</v>
      </c>
      <c r="F1143">
        <v>164</v>
      </c>
      <c r="G1143" t="s">
        <v>25</v>
      </c>
      <c r="H1143" t="s">
        <v>49</v>
      </c>
      <c r="I1143" t="s">
        <v>2117</v>
      </c>
    </row>
    <row r="1144" spans="1:9" x14ac:dyDescent="0.35">
      <c r="A1144">
        <v>2709570</v>
      </c>
      <c r="B1144" t="s">
        <v>452</v>
      </c>
      <c r="C1144" s="1">
        <v>45513</v>
      </c>
      <c r="D1144">
        <v>4704</v>
      </c>
      <c r="E1144" t="b">
        <v>0</v>
      </c>
      <c r="F1144">
        <v>164</v>
      </c>
      <c r="G1144" t="s">
        <v>25</v>
      </c>
      <c r="H1144" t="s">
        <v>792</v>
      </c>
      <c r="I1144" t="s">
        <v>2116</v>
      </c>
    </row>
    <row r="1145" spans="1:9" x14ac:dyDescent="0.35">
      <c r="A1145">
        <v>2709570</v>
      </c>
      <c r="B1145" t="s">
        <v>452</v>
      </c>
      <c r="C1145" s="1">
        <v>45513</v>
      </c>
      <c r="D1145">
        <v>4704</v>
      </c>
      <c r="E1145" t="b">
        <v>0</v>
      </c>
      <c r="F1145">
        <v>164</v>
      </c>
      <c r="G1145" t="s">
        <v>25</v>
      </c>
      <c r="H1145" t="s">
        <v>346</v>
      </c>
      <c r="I1145" t="s">
        <v>2117</v>
      </c>
    </row>
    <row r="1146" spans="1:9" x14ac:dyDescent="0.35">
      <c r="A1146">
        <v>2709570</v>
      </c>
      <c r="B1146" t="s">
        <v>452</v>
      </c>
      <c r="C1146" s="1">
        <v>45513</v>
      </c>
      <c r="D1146">
        <v>4704</v>
      </c>
      <c r="E1146" t="b">
        <v>0</v>
      </c>
      <c r="F1146">
        <v>164</v>
      </c>
      <c r="G1146" t="s">
        <v>25</v>
      </c>
      <c r="H1146" t="s">
        <v>239</v>
      </c>
      <c r="I1146" t="s">
        <v>2116</v>
      </c>
    </row>
    <row r="1147" spans="1:9" x14ac:dyDescent="0.35">
      <c r="A1147">
        <v>2709570</v>
      </c>
      <c r="B1147" t="s">
        <v>452</v>
      </c>
      <c r="C1147" s="1">
        <v>45513</v>
      </c>
      <c r="D1147">
        <v>4704</v>
      </c>
      <c r="E1147" t="b">
        <v>0</v>
      </c>
      <c r="F1147">
        <v>164</v>
      </c>
      <c r="G1147" t="s">
        <v>25</v>
      </c>
      <c r="H1147" t="s">
        <v>132</v>
      </c>
      <c r="I1147" t="s">
        <v>2117</v>
      </c>
    </row>
    <row r="1148" spans="1:9" x14ac:dyDescent="0.35">
      <c r="A1148">
        <v>2709570</v>
      </c>
      <c r="B1148" t="s">
        <v>452</v>
      </c>
      <c r="C1148" s="1">
        <v>45513</v>
      </c>
      <c r="D1148">
        <v>4704</v>
      </c>
      <c r="E1148" t="b">
        <v>0</v>
      </c>
      <c r="F1148">
        <v>164</v>
      </c>
      <c r="G1148" t="s">
        <v>25</v>
      </c>
      <c r="H1148" t="s">
        <v>124</v>
      </c>
      <c r="I1148" t="s">
        <v>2117</v>
      </c>
    </row>
    <row r="1149" spans="1:9" x14ac:dyDescent="0.35">
      <c r="A1149">
        <v>2709570</v>
      </c>
      <c r="B1149" t="s">
        <v>452</v>
      </c>
      <c r="C1149" s="1">
        <v>45513</v>
      </c>
      <c r="D1149">
        <v>4704</v>
      </c>
      <c r="E1149" t="b">
        <v>0</v>
      </c>
      <c r="F1149">
        <v>164</v>
      </c>
      <c r="G1149" t="s">
        <v>25</v>
      </c>
      <c r="H1149" t="s">
        <v>1510</v>
      </c>
      <c r="I1149" t="s">
        <v>2116</v>
      </c>
    </row>
    <row r="1150" spans="1:9" x14ac:dyDescent="0.35">
      <c r="A1150">
        <v>648800</v>
      </c>
      <c r="B1150" t="s">
        <v>455</v>
      </c>
      <c r="C1150" s="1">
        <v>44732</v>
      </c>
      <c r="D1150">
        <v>4701</v>
      </c>
      <c r="E1150" t="b">
        <v>0</v>
      </c>
      <c r="F1150">
        <v>165</v>
      </c>
      <c r="G1150" t="s">
        <v>304</v>
      </c>
      <c r="H1150" t="s">
        <v>49</v>
      </c>
      <c r="I1150" t="s">
        <v>2117</v>
      </c>
    </row>
    <row r="1151" spans="1:9" x14ac:dyDescent="0.35">
      <c r="A1151">
        <v>648800</v>
      </c>
      <c r="B1151" t="s">
        <v>455</v>
      </c>
      <c r="C1151" s="1">
        <v>44732</v>
      </c>
      <c r="D1151">
        <v>4701</v>
      </c>
      <c r="E1151" t="b">
        <v>0</v>
      </c>
      <c r="F1151">
        <v>165</v>
      </c>
      <c r="G1151" t="s">
        <v>304</v>
      </c>
      <c r="H1151" t="s">
        <v>792</v>
      </c>
      <c r="I1151" t="s">
        <v>2116</v>
      </c>
    </row>
    <row r="1152" spans="1:9" x14ac:dyDescent="0.35">
      <c r="A1152">
        <v>648800</v>
      </c>
      <c r="B1152" t="s">
        <v>455</v>
      </c>
      <c r="C1152" s="1">
        <v>44732</v>
      </c>
      <c r="D1152">
        <v>4701</v>
      </c>
      <c r="E1152" t="b">
        <v>0</v>
      </c>
      <c r="F1152">
        <v>165</v>
      </c>
      <c r="G1152" t="s">
        <v>304</v>
      </c>
      <c r="H1152" t="s">
        <v>346</v>
      </c>
      <c r="I1152" t="s">
        <v>2116</v>
      </c>
    </row>
    <row r="1153" spans="1:9" x14ac:dyDescent="0.35">
      <c r="A1153">
        <v>648800</v>
      </c>
      <c r="B1153" t="s">
        <v>455</v>
      </c>
      <c r="C1153" s="1">
        <v>44732</v>
      </c>
      <c r="D1153">
        <v>4701</v>
      </c>
      <c r="E1153" t="b">
        <v>0</v>
      </c>
      <c r="F1153">
        <v>165</v>
      </c>
      <c r="G1153" t="s">
        <v>304</v>
      </c>
      <c r="H1153" t="s">
        <v>239</v>
      </c>
      <c r="I1153" t="s">
        <v>2116</v>
      </c>
    </row>
    <row r="1154" spans="1:9" x14ac:dyDescent="0.35">
      <c r="A1154">
        <v>648800</v>
      </c>
      <c r="B1154" t="s">
        <v>455</v>
      </c>
      <c r="C1154" s="1">
        <v>44732</v>
      </c>
      <c r="D1154">
        <v>4701</v>
      </c>
      <c r="E1154" t="b">
        <v>0</v>
      </c>
      <c r="F1154">
        <v>165</v>
      </c>
      <c r="G1154" t="s">
        <v>304</v>
      </c>
      <c r="H1154" t="s">
        <v>132</v>
      </c>
      <c r="I1154" t="s">
        <v>2117</v>
      </c>
    </row>
    <row r="1155" spans="1:9" x14ac:dyDescent="0.35">
      <c r="A1155">
        <v>648800</v>
      </c>
      <c r="B1155" t="s">
        <v>455</v>
      </c>
      <c r="C1155" s="1">
        <v>44732</v>
      </c>
      <c r="D1155">
        <v>4701</v>
      </c>
      <c r="E1155" t="b">
        <v>0</v>
      </c>
      <c r="F1155">
        <v>165</v>
      </c>
      <c r="G1155" t="s">
        <v>304</v>
      </c>
      <c r="H1155" t="s">
        <v>124</v>
      </c>
      <c r="I1155" t="s">
        <v>2117</v>
      </c>
    </row>
    <row r="1156" spans="1:9" x14ac:dyDescent="0.35">
      <c r="A1156">
        <v>648800</v>
      </c>
      <c r="B1156" t="s">
        <v>455</v>
      </c>
      <c r="C1156" s="1">
        <v>44732</v>
      </c>
      <c r="D1156">
        <v>4701</v>
      </c>
      <c r="E1156" t="b">
        <v>0</v>
      </c>
      <c r="F1156">
        <v>165</v>
      </c>
      <c r="G1156" t="s">
        <v>304</v>
      </c>
      <c r="H1156" t="s">
        <v>1510</v>
      </c>
      <c r="I1156" t="s">
        <v>2117</v>
      </c>
    </row>
    <row r="1157" spans="1:9" x14ac:dyDescent="0.35">
      <c r="A1157">
        <v>700330</v>
      </c>
      <c r="B1157" t="s">
        <v>458</v>
      </c>
      <c r="C1157" s="1">
        <v>43098</v>
      </c>
      <c r="D1157">
        <v>4696</v>
      </c>
      <c r="E1157" t="b">
        <v>0</v>
      </c>
      <c r="F1157">
        <v>166</v>
      </c>
      <c r="G1157" t="s">
        <v>29</v>
      </c>
      <c r="H1157" t="s">
        <v>49</v>
      </c>
      <c r="I1157" t="s">
        <v>2116</v>
      </c>
    </row>
    <row r="1158" spans="1:9" x14ac:dyDescent="0.35">
      <c r="A1158">
        <v>700330</v>
      </c>
      <c r="B1158" t="s">
        <v>458</v>
      </c>
      <c r="C1158" s="1">
        <v>43098</v>
      </c>
      <c r="D1158">
        <v>4696</v>
      </c>
      <c r="E1158" t="b">
        <v>0</v>
      </c>
      <c r="F1158">
        <v>166</v>
      </c>
      <c r="G1158" t="s">
        <v>29</v>
      </c>
      <c r="H1158" t="s">
        <v>792</v>
      </c>
      <c r="I1158" t="s">
        <v>2116</v>
      </c>
    </row>
    <row r="1159" spans="1:9" x14ac:dyDescent="0.35">
      <c r="A1159">
        <v>700330</v>
      </c>
      <c r="B1159" t="s">
        <v>458</v>
      </c>
      <c r="C1159" s="1">
        <v>43098</v>
      </c>
      <c r="D1159">
        <v>4696</v>
      </c>
      <c r="E1159" t="b">
        <v>0</v>
      </c>
      <c r="F1159">
        <v>166</v>
      </c>
      <c r="G1159" t="s">
        <v>29</v>
      </c>
      <c r="H1159" t="s">
        <v>346</v>
      </c>
      <c r="I1159" t="s">
        <v>2117</v>
      </c>
    </row>
    <row r="1160" spans="1:9" x14ac:dyDescent="0.35">
      <c r="A1160">
        <v>700330</v>
      </c>
      <c r="B1160" t="s">
        <v>458</v>
      </c>
      <c r="C1160" s="1">
        <v>43098</v>
      </c>
      <c r="D1160">
        <v>4696</v>
      </c>
      <c r="E1160" t="b">
        <v>0</v>
      </c>
      <c r="F1160">
        <v>166</v>
      </c>
      <c r="G1160" t="s">
        <v>29</v>
      </c>
      <c r="H1160" t="s">
        <v>239</v>
      </c>
      <c r="I1160" t="s">
        <v>2117</v>
      </c>
    </row>
    <row r="1161" spans="1:9" x14ac:dyDescent="0.35">
      <c r="A1161">
        <v>700330</v>
      </c>
      <c r="B1161" t="s">
        <v>458</v>
      </c>
      <c r="C1161" s="1">
        <v>43098</v>
      </c>
      <c r="D1161">
        <v>4696</v>
      </c>
      <c r="E1161" t="b">
        <v>0</v>
      </c>
      <c r="F1161">
        <v>166</v>
      </c>
      <c r="G1161" t="s">
        <v>29</v>
      </c>
      <c r="H1161" t="s">
        <v>132</v>
      </c>
      <c r="I1161" t="s">
        <v>2116</v>
      </c>
    </row>
    <row r="1162" spans="1:9" x14ac:dyDescent="0.35">
      <c r="A1162">
        <v>700330</v>
      </c>
      <c r="B1162" t="s">
        <v>458</v>
      </c>
      <c r="C1162" s="1">
        <v>43098</v>
      </c>
      <c r="D1162">
        <v>4696</v>
      </c>
      <c r="E1162" t="b">
        <v>0</v>
      </c>
      <c r="F1162">
        <v>166</v>
      </c>
      <c r="G1162" t="s">
        <v>29</v>
      </c>
      <c r="H1162" t="s">
        <v>124</v>
      </c>
      <c r="I1162" t="s">
        <v>2117</v>
      </c>
    </row>
    <row r="1163" spans="1:9" x14ac:dyDescent="0.35">
      <c r="A1163">
        <v>700330</v>
      </c>
      <c r="B1163" t="s">
        <v>458</v>
      </c>
      <c r="C1163" s="1">
        <v>43098</v>
      </c>
      <c r="D1163">
        <v>4696</v>
      </c>
      <c r="E1163" t="b">
        <v>0</v>
      </c>
      <c r="F1163">
        <v>166</v>
      </c>
      <c r="G1163" t="s">
        <v>29</v>
      </c>
      <c r="H1163" t="s">
        <v>1510</v>
      </c>
      <c r="I1163" t="s">
        <v>2116</v>
      </c>
    </row>
    <row r="1164" spans="1:9" x14ac:dyDescent="0.35">
      <c r="A1164">
        <v>238960</v>
      </c>
      <c r="B1164" t="s">
        <v>461</v>
      </c>
      <c r="C1164" s="1">
        <v>41570</v>
      </c>
      <c r="D1164">
        <v>4694</v>
      </c>
      <c r="E1164" t="b">
        <v>1</v>
      </c>
      <c r="F1164">
        <v>167</v>
      </c>
      <c r="G1164" t="s">
        <v>2090</v>
      </c>
      <c r="H1164" t="s">
        <v>49</v>
      </c>
      <c r="I1164" t="s">
        <v>2116</v>
      </c>
    </row>
    <row r="1165" spans="1:9" x14ac:dyDescent="0.35">
      <c r="A1165">
        <v>238960</v>
      </c>
      <c r="B1165" t="s">
        <v>461</v>
      </c>
      <c r="C1165" s="1">
        <v>41570</v>
      </c>
      <c r="D1165">
        <v>4694</v>
      </c>
      <c r="E1165" t="b">
        <v>1</v>
      </c>
      <c r="F1165">
        <v>167</v>
      </c>
      <c r="G1165" t="s">
        <v>2090</v>
      </c>
      <c r="H1165" t="s">
        <v>792</v>
      </c>
      <c r="I1165" t="s">
        <v>2116</v>
      </c>
    </row>
    <row r="1166" spans="1:9" x14ac:dyDescent="0.35">
      <c r="A1166">
        <v>238960</v>
      </c>
      <c r="B1166" t="s">
        <v>461</v>
      </c>
      <c r="C1166" s="1">
        <v>41570</v>
      </c>
      <c r="D1166">
        <v>4694</v>
      </c>
      <c r="E1166" t="b">
        <v>1</v>
      </c>
      <c r="F1166">
        <v>167</v>
      </c>
      <c r="G1166" t="s">
        <v>2090</v>
      </c>
      <c r="H1166" t="s">
        <v>346</v>
      </c>
      <c r="I1166" t="s">
        <v>2116</v>
      </c>
    </row>
    <row r="1167" spans="1:9" x14ac:dyDescent="0.35">
      <c r="A1167">
        <v>238960</v>
      </c>
      <c r="B1167" t="s">
        <v>461</v>
      </c>
      <c r="C1167" s="1">
        <v>41570</v>
      </c>
      <c r="D1167">
        <v>4694</v>
      </c>
      <c r="E1167" t="b">
        <v>1</v>
      </c>
      <c r="F1167">
        <v>167</v>
      </c>
      <c r="G1167" t="s">
        <v>2090</v>
      </c>
      <c r="H1167" t="s">
        <v>239</v>
      </c>
      <c r="I1167" t="s">
        <v>2117</v>
      </c>
    </row>
    <row r="1168" spans="1:9" x14ac:dyDescent="0.35">
      <c r="A1168">
        <v>238960</v>
      </c>
      <c r="B1168" t="s">
        <v>461</v>
      </c>
      <c r="C1168" s="1">
        <v>41570</v>
      </c>
      <c r="D1168">
        <v>4694</v>
      </c>
      <c r="E1168" t="b">
        <v>1</v>
      </c>
      <c r="F1168">
        <v>167</v>
      </c>
      <c r="G1168" t="s">
        <v>2090</v>
      </c>
      <c r="H1168" t="s">
        <v>132</v>
      </c>
      <c r="I1168" t="s">
        <v>2116</v>
      </c>
    </row>
    <row r="1169" spans="1:9" x14ac:dyDescent="0.35">
      <c r="A1169">
        <v>238960</v>
      </c>
      <c r="B1169" t="s">
        <v>461</v>
      </c>
      <c r="C1169" s="1">
        <v>41570</v>
      </c>
      <c r="D1169">
        <v>4694</v>
      </c>
      <c r="E1169" t="b">
        <v>1</v>
      </c>
      <c r="F1169">
        <v>167</v>
      </c>
      <c r="G1169" t="s">
        <v>2090</v>
      </c>
      <c r="H1169" t="s">
        <v>124</v>
      </c>
      <c r="I1169" t="s">
        <v>2117</v>
      </c>
    </row>
    <row r="1170" spans="1:9" x14ac:dyDescent="0.35">
      <c r="A1170">
        <v>238960</v>
      </c>
      <c r="B1170" t="s">
        <v>461</v>
      </c>
      <c r="C1170" s="1">
        <v>41570</v>
      </c>
      <c r="D1170">
        <v>4694</v>
      </c>
      <c r="E1170" t="b">
        <v>1</v>
      </c>
      <c r="F1170">
        <v>167</v>
      </c>
      <c r="G1170" t="s">
        <v>2090</v>
      </c>
      <c r="H1170" t="s">
        <v>1510</v>
      </c>
      <c r="I1170" t="s">
        <v>2116</v>
      </c>
    </row>
    <row r="1171" spans="1:9" x14ac:dyDescent="0.35">
      <c r="A1171">
        <v>529340</v>
      </c>
      <c r="B1171" t="s">
        <v>464</v>
      </c>
      <c r="C1171" s="1">
        <v>44859</v>
      </c>
      <c r="D1171">
        <v>4609</v>
      </c>
      <c r="E1171" t="b">
        <v>1</v>
      </c>
      <c r="F1171">
        <v>168</v>
      </c>
      <c r="G1171" t="s">
        <v>175</v>
      </c>
      <c r="H1171" t="s">
        <v>49</v>
      </c>
      <c r="I1171" t="s">
        <v>2117</v>
      </c>
    </row>
    <row r="1172" spans="1:9" x14ac:dyDescent="0.35">
      <c r="A1172">
        <v>529340</v>
      </c>
      <c r="B1172" t="s">
        <v>464</v>
      </c>
      <c r="C1172" s="1">
        <v>44859</v>
      </c>
      <c r="D1172">
        <v>4609</v>
      </c>
      <c r="E1172" t="b">
        <v>1</v>
      </c>
      <c r="F1172">
        <v>168</v>
      </c>
      <c r="G1172" t="s">
        <v>175</v>
      </c>
      <c r="H1172" t="s">
        <v>792</v>
      </c>
      <c r="I1172" t="s">
        <v>2117</v>
      </c>
    </row>
    <row r="1173" spans="1:9" x14ac:dyDescent="0.35">
      <c r="A1173">
        <v>529340</v>
      </c>
      <c r="B1173" t="s">
        <v>464</v>
      </c>
      <c r="C1173" s="1">
        <v>44859</v>
      </c>
      <c r="D1173">
        <v>4609</v>
      </c>
      <c r="E1173" t="b">
        <v>1</v>
      </c>
      <c r="F1173">
        <v>168</v>
      </c>
      <c r="G1173" t="s">
        <v>175</v>
      </c>
      <c r="H1173" t="s">
        <v>346</v>
      </c>
      <c r="I1173" t="s">
        <v>2117</v>
      </c>
    </row>
    <row r="1174" spans="1:9" x14ac:dyDescent="0.35">
      <c r="A1174">
        <v>529340</v>
      </c>
      <c r="B1174" t="s">
        <v>464</v>
      </c>
      <c r="C1174" s="1">
        <v>44859</v>
      </c>
      <c r="D1174">
        <v>4609</v>
      </c>
      <c r="E1174" t="b">
        <v>1</v>
      </c>
      <c r="F1174">
        <v>168</v>
      </c>
      <c r="G1174" t="s">
        <v>175</v>
      </c>
      <c r="H1174" t="s">
        <v>239</v>
      </c>
      <c r="I1174" t="s">
        <v>2116</v>
      </c>
    </row>
    <row r="1175" spans="1:9" x14ac:dyDescent="0.35">
      <c r="A1175">
        <v>529340</v>
      </c>
      <c r="B1175" t="s">
        <v>464</v>
      </c>
      <c r="C1175" s="1">
        <v>44859</v>
      </c>
      <c r="D1175">
        <v>4609</v>
      </c>
      <c r="E1175" t="b">
        <v>1</v>
      </c>
      <c r="F1175">
        <v>168</v>
      </c>
      <c r="G1175" t="s">
        <v>175</v>
      </c>
      <c r="H1175" t="s">
        <v>132</v>
      </c>
      <c r="I1175" t="s">
        <v>2117</v>
      </c>
    </row>
    <row r="1176" spans="1:9" x14ac:dyDescent="0.35">
      <c r="A1176">
        <v>529340</v>
      </c>
      <c r="B1176" t="s">
        <v>464</v>
      </c>
      <c r="C1176" s="1">
        <v>44859</v>
      </c>
      <c r="D1176">
        <v>4609</v>
      </c>
      <c r="E1176" t="b">
        <v>1</v>
      </c>
      <c r="F1176">
        <v>168</v>
      </c>
      <c r="G1176" t="s">
        <v>175</v>
      </c>
      <c r="H1176" t="s">
        <v>124</v>
      </c>
      <c r="I1176" t="s">
        <v>2116</v>
      </c>
    </row>
    <row r="1177" spans="1:9" x14ac:dyDescent="0.35">
      <c r="A1177">
        <v>529340</v>
      </c>
      <c r="B1177" t="s">
        <v>464</v>
      </c>
      <c r="C1177" s="1">
        <v>44859</v>
      </c>
      <c r="D1177">
        <v>4609</v>
      </c>
      <c r="E1177" t="b">
        <v>1</v>
      </c>
      <c r="F1177">
        <v>168</v>
      </c>
      <c r="G1177" t="s">
        <v>175</v>
      </c>
      <c r="H1177" t="s">
        <v>1510</v>
      </c>
      <c r="I1177" t="s">
        <v>2117</v>
      </c>
    </row>
    <row r="1178" spans="1:9" x14ac:dyDescent="0.35">
      <c r="A1178">
        <v>1267910</v>
      </c>
      <c r="B1178" t="s">
        <v>466</v>
      </c>
      <c r="C1178" s="1">
        <v>44518</v>
      </c>
      <c r="D1178">
        <v>4551</v>
      </c>
      <c r="E1178" t="b">
        <v>1</v>
      </c>
      <c r="F1178">
        <v>169</v>
      </c>
      <c r="G1178" t="s">
        <v>14</v>
      </c>
      <c r="H1178" t="s">
        <v>49</v>
      </c>
      <c r="I1178" t="s">
        <v>2117</v>
      </c>
    </row>
    <row r="1179" spans="1:9" x14ac:dyDescent="0.35">
      <c r="A1179">
        <v>1267910</v>
      </c>
      <c r="B1179" t="s">
        <v>466</v>
      </c>
      <c r="C1179" s="1">
        <v>44518</v>
      </c>
      <c r="D1179">
        <v>4551</v>
      </c>
      <c r="E1179" t="b">
        <v>1</v>
      </c>
      <c r="F1179">
        <v>169</v>
      </c>
      <c r="G1179" t="s">
        <v>14</v>
      </c>
      <c r="H1179" t="s">
        <v>792</v>
      </c>
      <c r="I1179" t="s">
        <v>2116</v>
      </c>
    </row>
    <row r="1180" spans="1:9" x14ac:dyDescent="0.35">
      <c r="A1180">
        <v>1267910</v>
      </c>
      <c r="B1180" t="s">
        <v>466</v>
      </c>
      <c r="C1180" s="1">
        <v>44518</v>
      </c>
      <c r="D1180">
        <v>4551</v>
      </c>
      <c r="E1180" t="b">
        <v>1</v>
      </c>
      <c r="F1180">
        <v>169</v>
      </c>
      <c r="G1180" t="s">
        <v>14</v>
      </c>
      <c r="H1180" t="s">
        <v>346</v>
      </c>
      <c r="I1180" t="s">
        <v>2116</v>
      </c>
    </row>
    <row r="1181" spans="1:9" x14ac:dyDescent="0.35">
      <c r="A1181">
        <v>1267910</v>
      </c>
      <c r="B1181" t="s">
        <v>466</v>
      </c>
      <c r="C1181" s="1">
        <v>44518</v>
      </c>
      <c r="D1181">
        <v>4551</v>
      </c>
      <c r="E1181" t="b">
        <v>1</v>
      </c>
      <c r="F1181">
        <v>169</v>
      </c>
      <c r="G1181" t="s">
        <v>14</v>
      </c>
      <c r="H1181" t="s">
        <v>239</v>
      </c>
      <c r="I1181" t="s">
        <v>2117</v>
      </c>
    </row>
    <row r="1182" spans="1:9" x14ac:dyDescent="0.35">
      <c r="A1182">
        <v>1267910</v>
      </c>
      <c r="B1182" t="s">
        <v>466</v>
      </c>
      <c r="C1182" s="1">
        <v>44518</v>
      </c>
      <c r="D1182">
        <v>4551</v>
      </c>
      <c r="E1182" t="b">
        <v>1</v>
      </c>
      <c r="F1182">
        <v>169</v>
      </c>
      <c r="G1182" t="s">
        <v>14</v>
      </c>
      <c r="H1182" t="s">
        <v>132</v>
      </c>
      <c r="I1182" t="s">
        <v>2116</v>
      </c>
    </row>
    <row r="1183" spans="1:9" x14ac:dyDescent="0.35">
      <c r="A1183">
        <v>1267910</v>
      </c>
      <c r="B1183" t="s">
        <v>466</v>
      </c>
      <c r="C1183" s="1">
        <v>44518</v>
      </c>
      <c r="D1183">
        <v>4551</v>
      </c>
      <c r="E1183" t="b">
        <v>1</v>
      </c>
      <c r="F1183">
        <v>169</v>
      </c>
      <c r="G1183" t="s">
        <v>14</v>
      </c>
      <c r="H1183" t="s">
        <v>124</v>
      </c>
      <c r="I1183" t="s">
        <v>2117</v>
      </c>
    </row>
    <row r="1184" spans="1:9" x14ac:dyDescent="0.35">
      <c r="A1184">
        <v>1267910</v>
      </c>
      <c r="B1184" t="s">
        <v>466</v>
      </c>
      <c r="C1184" s="1">
        <v>44518</v>
      </c>
      <c r="D1184">
        <v>4551</v>
      </c>
      <c r="E1184" t="b">
        <v>1</v>
      </c>
      <c r="F1184">
        <v>169</v>
      </c>
      <c r="G1184" t="s">
        <v>14</v>
      </c>
      <c r="H1184" t="s">
        <v>1510</v>
      </c>
      <c r="I1184" t="s">
        <v>2117</v>
      </c>
    </row>
    <row r="1185" spans="1:9" x14ac:dyDescent="0.35">
      <c r="A1185">
        <v>232090</v>
      </c>
      <c r="B1185" t="s">
        <v>469</v>
      </c>
      <c r="C1185" s="1">
        <v>42692</v>
      </c>
      <c r="D1185">
        <v>4508</v>
      </c>
      <c r="E1185" t="b">
        <v>0</v>
      </c>
      <c r="F1185">
        <v>170</v>
      </c>
      <c r="G1185" t="s">
        <v>967</v>
      </c>
      <c r="H1185" t="s">
        <v>49</v>
      </c>
      <c r="I1185" t="s">
        <v>2116</v>
      </c>
    </row>
    <row r="1186" spans="1:9" x14ac:dyDescent="0.35">
      <c r="A1186">
        <v>232090</v>
      </c>
      <c r="B1186" t="s">
        <v>469</v>
      </c>
      <c r="C1186" s="1">
        <v>42692</v>
      </c>
      <c r="D1186">
        <v>4508</v>
      </c>
      <c r="E1186" t="b">
        <v>0</v>
      </c>
      <c r="F1186">
        <v>170</v>
      </c>
      <c r="G1186" t="s">
        <v>967</v>
      </c>
      <c r="H1186" t="s">
        <v>792</v>
      </c>
      <c r="I1186" t="s">
        <v>2117</v>
      </c>
    </row>
    <row r="1187" spans="1:9" x14ac:dyDescent="0.35">
      <c r="A1187">
        <v>232090</v>
      </c>
      <c r="B1187" t="s">
        <v>469</v>
      </c>
      <c r="C1187" s="1">
        <v>42692</v>
      </c>
      <c r="D1187">
        <v>4508</v>
      </c>
      <c r="E1187" t="b">
        <v>0</v>
      </c>
      <c r="F1187">
        <v>170</v>
      </c>
      <c r="G1187" t="s">
        <v>967</v>
      </c>
      <c r="H1187" t="s">
        <v>346</v>
      </c>
      <c r="I1187" t="s">
        <v>2117</v>
      </c>
    </row>
    <row r="1188" spans="1:9" x14ac:dyDescent="0.35">
      <c r="A1188">
        <v>232090</v>
      </c>
      <c r="B1188" t="s">
        <v>469</v>
      </c>
      <c r="C1188" s="1">
        <v>42692</v>
      </c>
      <c r="D1188">
        <v>4508</v>
      </c>
      <c r="E1188" t="b">
        <v>0</v>
      </c>
      <c r="F1188">
        <v>170</v>
      </c>
      <c r="G1188" t="s">
        <v>967</v>
      </c>
      <c r="H1188" t="s">
        <v>239</v>
      </c>
      <c r="I1188" t="s">
        <v>2117</v>
      </c>
    </row>
    <row r="1189" spans="1:9" x14ac:dyDescent="0.35">
      <c r="A1189">
        <v>232090</v>
      </c>
      <c r="B1189" t="s">
        <v>469</v>
      </c>
      <c r="C1189" s="1">
        <v>42692</v>
      </c>
      <c r="D1189">
        <v>4508</v>
      </c>
      <c r="E1189" t="b">
        <v>0</v>
      </c>
      <c r="F1189">
        <v>170</v>
      </c>
      <c r="G1189" t="s">
        <v>967</v>
      </c>
      <c r="H1189" t="s">
        <v>132</v>
      </c>
      <c r="I1189" t="s">
        <v>2117</v>
      </c>
    </row>
    <row r="1190" spans="1:9" x14ac:dyDescent="0.35">
      <c r="A1190">
        <v>232090</v>
      </c>
      <c r="B1190" t="s">
        <v>469</v>
      </c>
      <c r="C1190" s="1">
        <v>42692</v>
      </c>
      <c r="D1190">
        <v>4508</v>
      </c>
      <c r="E1190" t="b">
        <v>0</v>
      </c>
      <c r="F1190">
        <v>170</v>
      </c>
      <c r="G1190" t="s">
        <v>967</v>
      </c>
      <c r="H1190" t="s">
        <v>124</v>
      </c>
      <c r="I1190" t="s">
        <v>2117</v>
      </c>
    </row>
    <row r="1191" spans="1:9" x14ac:dyDescent="0.35">
      <c r="A1191">
        <v>232090</v>
      </c>
      <c r="B1191" t="s">
        <v>469</v>
      </c>
      <c r="C1191" s="1">
        <v>42692</v>
      </c>
      <c r="D1191">
        <v>4508</v>
      </c>
      <c r="E1191" t="b">
        <v>0</v>
      </c>
      <c r="F1191">
        <v>170</v>
      </c>
      <c r="G1191" t="s">
        <v>967</v>
      </c>
      <c r="H1191" t="s">
        <v>1510</v>
      </c>
      <c r="I1191" t="s">
        <v>2117</v>
      </c>
    </row>
    <row r="1192" spans="1:9" x14ac:dyDescent="0.35">
      <c r="A1192">
        <v>779340</v>
      </c>
      <c r="B1192" t="s">
        <v>471</v>
      </c>
      <c r="C1192" s="1">
        <v>43608</v>
      </c>
      <c r="D1192">
        <v>4507</v>
      </c>
      <c r="E1192" t="b">
        <v>1</v>
      </c>
      <c r="F1192">
        <v>171</v>
      </c>
      <c r="G1192" t="s">
        <v>33</v>
      </c>
      <c r="H1192" t="s">
        <v>49</v>
      </c>
      <c r="I1192" t="s">
        <v>2116</v>
      </c>
    </row>
    <row r="1193" spans="1:9" x14ac:dyDescent="0.35">
      <c r="A1193">
        <v>779340</v>
      </c>
      <c r="B1193" t="s">
        <v>471</v>
      </c>
      <c r="C1193" s="1">
        <v>43608</v>
      </c>
      <c r="D1193">
        <v>4507</v>
      </c>
      <c r="E1193" t="b">
        <v>1</v>
      </c>
      <c r="F1193">
        <v>171</v>
      </c>
      <c r="G1193" t="s">
        <v>33</v>
      </c>
      <c r="H1193" t="s">
        <v>792</v>
      </c>
      <c r="I1193" t="s">
        <v>2117</v>
      </c>
    </row>
    <row r="1194" spans="1:9" x14ac:dyDescent="0.35">
      <c r="A1194">
        <v>779340</v>
      </c>
      <c r="B1194" t="s">
        <v>471</v>
      </c>
      <c r="C1194" s="1">
        <v>43608</v>
      </c>
      <c r="D1194">
        <v>4507</v>
      </c>
      <c r="E1194" t="b">
        <v>1</v>
      </c>
      <c r="F1194">
        <v>171</v>
      </c>
      <c r="G1194" t="s">
        <v>33</v>
      </c>
      <c r="H1194" t="s">
        <v>346</v>
      </c>
      <c r="I1194" t="s">
        <v>2117</v>
      </c>
    </row>
    <row r="1195" spans="1:9" x14ac:dyDescent="0.35">
      <c r="A1195">
        <v>779340</v>
      </c>
      <c r="B1195" t="s">
        <v>471</v>
      </c>
      <c r="C1195" s="1">
        <v>43608</v>
      </c>
      <c r="D1195">
        <v>4507</v>
      </c>
      <c r="E1195" t="b">
        <v>1</v>
      </c>
      <c r="F1195">
        <v>171</v>
      </c>
      <c r="G1195" t="s">
        <v>33</v>
      </c>
      <c r="H1195" t="s">
        <v>239</v>
      </c>
      <c r="I1195" t="s">
        <v>2117</v>
      </c>
    </row>
    <row r="1196" spans="1:9" x14ac:dyDescent="0.35">
      <c r="A1196">
        <v>779340</v>
      </c>
      <c r="B1196" t="s">
        <v>471</v>
      </c>
      <c r="C1196" s="1">
        <v>43608</v>
      </c>
      <c r="D1196">
        <v>4507</v>
      </c>
      <c r="E1196" t="b">
        <v>1</v>
      </c>
      <c r="F1196">
        <v>171</v>
      </c>
      <c r="G1196" t="s">
        <v>33</v>
      </c>
      <c r="H1196" t="s">
        <v>132</v>
      </c>
      <c r="I1196" t="s">
        <v>2117</v>
      </c>
    </row>
    <row r="1197" spans="1:9" x14ac:dyDescent="0.35">
      <c r="A1197">
        <v>779340</v>
      </c>
      <c r="B1197" t="s">
        <v>471</v>
      </c>
      <c r="C1197" s="1">
        <v>43608</v>
      </c>
      <c r="D1197">
        <v>4507</v>
      </c>
      <c r="E1197" t="b">
        <v>1</v>
      </c>
      <c r="F1197">
        <v>171</v>
      </c>
      <c r="G1197" t="s">
        <v>33</v>
      </c>
      <c r="H1197" t="s">
        <v>124</v>
      </c>
      <c r="I1197" t="s">
        <v>2116</v>
      </c>
    </row>
    <row r="1198" spans="1:9" x14ac:dyDescent="0.35">
      <c r="A1198">
        <v>779340</v>
      </c>
      <c r="B1198" t="s">
        <v>471</v>
      </c>
      <c r="C1198" s="1">
        <v>43608</v>
      </c>
      <c r="D1198">
        <v>4507</v>
      </c>
      <c r="E1198" t="b">
        <v>1</v>
      </c>
      <c r="F1198">
        <v>171</v>
      </c>
      <c r="G1198" t="s">
        <v>33</v>
      </c>
      <c r="H1198" t="s">
        <v>1510</v>
      </c>
      <c r="I1198" t="s">
        <v>2117</v>
      </c>
    </row>
    <row r="1199" spans="1:9" x14ac:dyDescent="0.35">
      <c r="A1199">
        <v>1118200</v>
      </c>
      <c r="B1199" t="s">
        <v>472</v>
      </c>
      <c r="C1199" s="1">
        <v>43669</v>
      </c>
      <c r="D1199">
        <v>4505</v>
      </c>
      <c r="E1199" t="b">
        <v>0</v>
      </c>
      <c r="F1199">
        <v>172</v>
      </c>
      <c r="G1199" t="s">
        <v>14</v>
      </c>
      <c r="H1199" t="s">
        <v>49</v>
      </c>
      <c r="I1199" t="s">
        <v>2116</v>
      </c>
    </row>
    <row r="1200" spans="1:9" x14ac:dyDescent="0.35">
      <c r="A1200">
        <v>1118200</v>
      </c>
      <c r="B1200" t="s">
        <v>472</v>
      </c>
      <c r="C1200" s="1">
        <v>43669</v>
      </c>
      <c r="D1200">
        <v>4505</v>
      </c>
      <c r="E1200" t="b">
        <v>0</v>
      </c>
      <c r="F1200">
        <v>172</v>
      </c>
      <c r="G1200" t="s">
        <v>14</v>
      </c>
      <c r="H1200" t="s">
        <v>792</v>
      </c>
      <c r="I1200" t="s">
        <v>2116</v>
      </c>
    </row>
    <row r="1201" spans="1:9" x14ac:dyDescent="0.35">
      <c r="A1201">
        <v>1118200</v>
      </c>
      <c r="B1201" t="s">
        <v>472</v>
      </c>
      <c r="C1201" s="1">
        <v>43669</v>
      </c>
      <c r="D1201">
        <v>4505</v>
      </c>
      <c r="E1201" t="b">
        <v>0</v>
      </c>
      <c r="F1201">
        <v>172</v>
      </c>
      <c r="G1201" t="s">
        <v>14</v>
      </c>
      <c r="H1201" t="s">
        <v>346</v>
      </c>
      <c r="I1201" t="s">
        <v>2117</v>
      </c>
    </row>
    <row r="1202" spans="1:9" x14ac:dyDescent="0.35">
      <c r="A1202">
        <v>1118200</v>
      </c>
      <c r="B1202" t="s">
        <v>472</v>
      </c>
      <c r="C1202" s="1">
        <v>43669</v>
      </c>
      <c r="D1202">
        <v>4505</v>
      </c>
      <c r="E1202" t="b">
        <v>0</v>
      </c>
      <c r="F1202">
        <v>172</v>
      </c>
      <c r="G1202" t="s">
        <v>14</v>
      </c>
      <c r="H1202" t="s">
        <v>239</v>
      </c>
      <c r="I1202" t="s">
        <v>2116</v>
      </c>
    </row>
    <row r="1203" spans="1:9" x14ac:dyDescent="0.35">
      <c r="A1203">
        <v>1118200</v>
      </c>
      <c r="B1203" t="s">
        <v>472</v>
      </c>
      <c r="C1203" s="1">
        <v>43669</v>
      </c>
      <c r="D1203">
        <v>4505</v>
      </c>
      <c r="E1203" t="b">
        <v>0</v>
      </c>
      <c r="F1203">
        <v>172</v>
      </c>
      <c r="G1203" t="s">
        <v>14</v>
      </c>
      <c r="H1203" t="s">
        <v>132</v>
      </c>
      <c r="I1203" t="s">
        <v>2117</v>
      </c>
    </row>
    <row r="1204" spans="1:9" x14ac:dyDescent="0.35">
      <c r="A1204">
        <v>1118200</v>
      </c>
      <c r="B1204" t="s">
        <v>472</v>
      </c>
      <c r="C1204" s="1">
        <v>43669</v>
      </c>
      <c r="D1204">
        <v>4505</v>
      </c>
      <c r="E1204" t="b">
        <v>0</v>
      </c>
      <c r="F1204">
        <v>172</v>
      </c>
      <c r="G1204" t="s">
        <v>14</v>
      </c>
      <c r="H1204" t="s">
        <v>124</v>
      </c>
      <c r="I1204" t="s">
        <v>2117</v>
      </c>
    </row>
    <row r="1205" spans="1:9" x14ac:dyDescent="0.35">
      <c r="A1205">
        <v>1118200</v>
      </c>
      <c r="B1205" t="s">
        <v>472</v>
      </c>
      <c r="C1205" s="1">
        <v>43669</v>
      </c>
      <c r="D1205">
        <v>4505</v>
      </c>
      <c r="E1205" t="b">
        <v>0</v>
      </c>
      <c r="F1205">
        <v>172</v>
      </c>
      <c r="G1205" t="s">
        <v>14</v>
      </c>
      <c r="H1205" t="s">
        <v>1510</v>
      </c>
      <c r="I1205" t="s">
        <v>2117</v>
      </c>
    </row>
    <row r="1206" spans="1:9" x14ac:dyDescent="0.35">
      <c r="A1206">
        <v>1326470</v>
      </c>
      <c r="B1206" t="s">
        <v>475</v>
      </c>
      <c r="C1206" s="1">
        <v>45344</v>
      </c>
      <c r="D1206">
        <v>4450</v>
      </c>
      <c r="E1206" t="b">
        <v>0</v>
      </c>
      <c r="F1206">
        <v>173</v>
      </c>
      <c r="G1206" t="s">
        <v>57</v>
      </c>
      <c r="H1206" t="s">
        <v>49</v>
      </c>
      <c r="I1206" t="s">
        <v>2116</v>
      </c>
    </row>
    <row r="1207" spans="1:9" x14ac:dyDescent="0.35">
      <c r="A1207">
        <v>1326470</v>
      </c>
      <c r="B1207" t="s">
        <v>475</v>
      </c>
      <c r="C1207" s="1">
        <v>45344</v>
      </c>
      <c r="D1207">
        <v>4450</v>
      </c>
      <c r="E1207" t="b">
        <v>0</v>
      </c>
      <c r="F1207">
        <v>173</v>
      </c>
      <c r="G1207" t="s">
        <v>57</v>
      </c>
      <c r="H1207" t="s">
        <v>792</v>
      </c>
      <c r="I1207" t="s">
        <v>2116</v>
      </c>
    </row>
    <row r="1208" spans="1:9" x14ac:dyDescent="0.35">
      <c r="A1208">
        <v>1326470</v>
      </c>
      <c r="B1208" t="s">
        <v>475</v>
      </c>
      <c r="C1208" s="1">
        <v>45344</v>
      </c>
      <c r="D1208">
        <v>4450</v>
      </c>
      <c r="E1208" t="b">
        <v>0</v>
      </c>
      <c r="F1208">
        <v>173</v>
      </c>
      <c r="G1208" t="s">
        <v>57</v>
      </c>
      <c r="H1208" t="s">
        <v>346</v>
      </c>
      <c r="I1208" t="s">
        <v>2116</v>
      </c>
    </row>
    <row r="1209" spans="1:9" x14ac:dyDescent="0.35">
      <c r="A1209">
        <v>1326470</v>
      </c>
      <c r="B1209" t="s">
        <v>475</v>
      </c>
      <c r="C1209" s="1">
        <v>45344</v>
      </c>
      <c r="D1209">
        <v>4450</v>
      </c>
      <c r="E1209" t="b">
        <v>0</v>
      </c>
      <c r="F1209">
        <v>173</v>
      </c>
      <c r="G1209" t="s">
        <v>57</v>
      </c>
      <c r="H1209" t="s">
        <v>239</v>
      </c>
      <c r="I1209" t="s">
        <v>2116</v>
      </c>
    </row>
    <row r="1210" spans="1:9" x14ac:dyDescent="0.35">
      <c r="A1210">
        <v>1326470</v>
      </c>
      <c r="B1210" t="s">
        <v>475</v>
      </c>
      <c r="C1210" s="1">
        <v>45344</v>
      </c>
      <c r="D1210">
        <v>4450</v>
      </c>
      <c r="E1210" t="b">
        <v>0</v>
      </c>
      <c r="F1210">
        <v>173</v>
      </c>
      <c r="G1210" t="s">
        <v>57</v>
      </c>
      <c r="H1210" t="s">
        <v>132</v>
      </c>
      <c r="I1210" t="s">
        <v>2117</v>
      </c>
    </row>
    <row r="1211" spans="1:9" x14ac:dyDescent="0.35">
      <c r="A1211">
        <v>1326470</v>
      </c>
      <c r="B1211" t="s">
        <v>475</v>
      </c>
      <c r="C1211" s="1">
        <v>45344</v>
      </c>
      <c r="D1211">
        <v>4450</v>
      </c>
      <c r="E1211" t="b">
        <v>0</v>
      </c>
      <c r="F1211">
        <v>173</v>
      </c>
      <c r="G1211" t="s">
        <v>57</v>
      </c>
      <c r="H1211" t="s">
        <v>124</v>
      </c>
      <c r="I1211" t="s">
        <v>2117</v>
      </c>
    </row>
    <row r="1212" spans="1:9" x14ac:dyDescent="0.35">
      <c r="A1212">
        <v>1326470</v>
      </c>
      <c r="B1212" t="s">
        <v>475</v>
      </c>
      <c r="C1212" s="1">
        <v>45344</v>
      </c>
      <c r="D1212">
        <v>4450</v>
      </c>
      <c r="E1212" t="b">
        <v>0</v>
      </c>
      <c r="F1212">
        <v>173</v>
      </c>
      <c r="G1212" t="s">
        <v>57</v>
      </c>
      <c r="H1212" t="s">
        <v>1510</v>
      </c>
      <c r="I1212" t="s">
        <v>2117</v>
      </c>
    </row>
    <row r="1213" spans="1:9" x14ac:dyDescent="0.35">
      <c r="A1213">
        <v>1778820</v>
      </c>
      <c r="B1213" t="s">
        <v>477</v>
      </c>
      <c r="C1213" s="1">
        <v>45316</v>
      </c>
      <c r="D1213">
        <v>4409</v>
      </c>
      <c r="E1213" t="b">
        <v>0</v>
      </c>
      <c r="F1213">
        <v>174</v>
      </c>
      <c r="G1213" t="s">
        <v>119</v>
      </c>
      <c r="H1213" t="s">
        <v>49</v>
      </c>
      <c r="I1213" t="s">
        <v>2116</v>
      </c>
    </row>
    <row r="1214" spans="1:9" x14ac:dyDescent="0.35">
      <c r="A1214">
        <v>1778820</v>
      </c>
      <c r="B1214" t="s">
        <v>477</v>
      </c>
      <c r="C1214" s="1">
        <v>45316</v>
      </c>
      <c r="D1214">
        <v>4409</v>
      </c>
      <c r="E1214" t="b">
        <v>0</v>
      </c>
      <c r="F1214">
        <v>174</v>
      </c>
      <c r="G1214" t="s">
        <v>119</v>
      </c>
      <c r="H1214" t="s">
        <v>792</v>
      </c>
      <c r="I1214" t="s">
        <v>2117</v>
      </c>
    </row>
    <row r="1215" spans="1:9" x14ac:dyDescent="0.35">
      <c r="A1215">
        <v>1778820</v>
      </c>
      <c r="B1215" t="s">
        <v>477</v>
      </c>
      <c r="C1215" s="1">
        <v>45316</v>
      </c>
      <c r="D1215">
        <v>4409</v>
      </c>
      <c r="E1215" t="b">
        <v>0</v>
      </c>
      <c r="F1215">
        <v>174</v>
      </c>
      <c r="G1215" t="s">
        <v>119</v>
      </c>
      <c r="H1215" t="s">
        <v>346</v>
      </c>
      <c r="I1215" t="s">
        <v>2117</v>
      </c>
    </row>
    <row r="1216" spans="1:9" x14ac:dyDescent="0.35">
      <c r="A1216">
        <v>1778820</v>
      </c>
      <c r="B1216" t="s">
        <v>477</v>
      </c>
      <c r="C1216" s="1">
        <v>45316</v>
      </c>
      <c r="D1216">
        <v>4409</v>
      </c>
      <c r="E1216" t="b">
        <v>0</v>
      </c>
      <c r="F1216">
        <v>174</v>
      </c>
      <c r="G1216" t="s">
        <v>119</v>
      </c>
      <c r="H1216" t="s">
        <v>239</v>
      </c>
      <c r="I1216" t="s">
        <v>2117</v>
      </c>
    </row>
    <row r="1217" spans="1:9" x14ac:dyDescent="0.35">
      <c r="A1217">
        <v>1778820</v>
      </c>
      <c r="B1217" t="s">
        <v>477</v>
      </c>
      <c r="C1217" s="1">
        <v>45316</v>
      </c>
      <c r="D1217">
        <v>4409</v>
      </c>
      <c r="E1217" t="b">
        <v>0</v>
      </c>
      <c r="F1217">
        <v>174</v>
      </c>
      <c r="G1217" t="s">
        <v>119</v>
      </c>
      <c r="H1217" t="s">
        <v>132</v>
      </c>
      <c r="I1217" t="s">
        <v>2117</v>
      </c>
    </row>
    <row r="1218" spans="1:9" x14ac:dyDescent="0.35">
      <c r="A1218">
        <v>1778820</v>
      </c>
      <c r="B1218" t="s">
        <v>477</v>
      </c>
      <c r="C1218" s="1">
        <v>45316</v>
      </c>
      <c r="D1218">
        <v>4409</v>
      </c>
      <c r="E1218" t="b">
        <v>0</v>
      </c>
      <c r="F1218">
        <v>174</v>
      </c>
      <c r="G1218" t="s">
        <v>119</v>
      </c>
      <c r="H1218" t="s">
        <v>124</v>
      </c>
      <c r="I1218" t="s">
        <v>2117</v>
      </c>
    </row>
    <row r="1219" spans="1:9" x14ac:dyDescent="0.35">
      <c r="A1219">
        <v>1778820</v>
      </c>
      <c r="B1219" t="s">
        <v>477</v>
      </c>
      <c r="C1219" s="1">
        <v>45316</v>
      </c>
      <c r="D1219">
        <v>4409</v>
      </c>
      <c r="E1219" t="b">
        <v>0</v>
      </c>
      <c r="F1219">
        <v>174</v>
      </c>
      <c r="G1219" t="s">
        <v>119</v>
      </c>
      <c r="H1219" t="s">
        <v>1510</v>
      </c>
      <c r="I1219" t="s">
        <v>2117</v>
      </c>
    </row>
    <row r="1220" spans="1:9" x14ac:dyDescent="0.35">
      <c r="A1220">
        <v>2531310</v>
      </c>
      <c r="B1220" t="s">
        <v>479</v>
      </c>
      <c r="C1220" s="1">
        <v>45750</v>
      </c>
      <c r="D1220">
        <v>4405</v>
      </c>
      <c r="E1220" t="b">
        <v>0</v>
      </c>
      <c r="F1220">
        <v>175</v>
      </c>
      <c r="G1220" t="s">
        <v>29</v>
      </c>
      <c r="H1220" t="s">
        <v>49</v>
      </c>
      <c r="I1220" t="s">
        <v>2116</v>
      </c>
    </row>
    <row r="1221" spans="1:9" x14ac:dyDescent="0.35">
      <c r="A1221">
        <v>2531310</v>
      </c>
      <c r="B1221" t="s">
        <v>479</v>
      </c>
      <c r="C1221" s="1">
        <v>45750</v>
      </c>
      <c r="D1221">
        <v>4405</v>
      </c>
      <c r="E1221" t="b">
        <v>0</v>
      </c>
      <c r="F1221">
        <v>175</v>
      </c>
      <c r="G1221" t="s">
        <v>29</v>
      </c>
      <c r="H1221" t="s">
        <v>792</v>
      </c>
      <c r="I1221" t="s">
        <v>2117</v>
      </c>
    </row>
    <row r="1222" spans="1:9" x14ac:dyDescent="0.35">
      <c r="A1222">
        <v>2531310</v>
      </c>
      <c r="B1222" t="s">
        <v>479</v>
      </c>
      <c r="C1222" s="1">
        <v>45750</v>
      </c>
      <c r="D1222">
        <v>4405</v>
      </c>
      <c r="E1222" t="b">
        <v>0</v>
      </c>
      <c r="F1222">
        <v>175</v>
      </c>
      <c r="G1222" t="s">
        <v>29</v>
      </c>
      <c r="H1222" t="s">
        <v>346</v>
      </c>
      <c r="I1222" t="s">
        <v>2116</v>
      </c>
    </row>
    <row r="1223" spans="1:9" x14ac:dyDescent="0.35">
      <c r="A1223">
        <v>2531310</v>
      </c>
      <c r="B1223" t="s">
        <v>479</v>
      </c>
      <c r="C1223" s="1">
        <v>45750</v>
      </c>
      <c r="D1223">
        <v>4405</v>
      </c>
      <c r="E1223" t="b">
        <v>0</v>
      </c>
      <c r="F1223">
        <v>175</v>
      </c>
      <c r="G1223" t="s">
        <v>29</v>
      </c>
      <c r="H1223" t="s">
        <v>239</v>
      </c>
      <c r="I1223" t="s">
        <v>2117</v>
      </c>
    </row>
    <row r="1224" spans="1:9" x14ac:dyDescent="0.35">
      <c r="A1224">
        <v>2531310</v>
      </c>
      <c r="B1224" t="s">
        <v>479</v>
      </c>
      <c r="C1224" s="1">
        <v>45750</v>
      </c>
      <c r="D1224">
        <v>4405</v>
      </c>
      <c r="E1224" t="b">
        <v>0</v>
      </c>
      <c r="F1224">
        <v>175</v>
      </c>
      <c r="G1224" t="s">
        <v>29</v>
      </c>
      <c r="H1224" t="s">
        <v>132</v>
      </c>
      <c r="I1224" t="s">
        <v>2117</v>
      </c>
    </row>
    <row r="1225" spans="1:9" x14ac:dyDescent="0.35">
      <c r="A1225">
        <v>2531310</v>
      </c>
      <c r="B1225" t="s">
        <v>479</v>
      </c>
      <c r="C1225" s="1">
        <v>45750</v>
      </c>
      <c r="D1225">
        <v>4405</v>
      </c>
      <c r="E1225" t="b">
        <v>0</v>
      </c>
      <c r="F1225">
        <v>175</v>
      </c>
      <c r="G1225" t="s">
        <v>29</v>
      </c>
      <c r="H1225" t="s">
        <v>124</v>
      </c>
      <c r="I1225" t="s">
        <v>2117</v>
      </c>
    </row>
    <row r="1226" spans="1:9" x14ac:dyDescent="0.35">
      <c r="A1226">
        <v>2531310</v>
      </c>
      <c r="B1226" t="s">
        <v>479</v>
      </c>
      <c r="C1226" s="1">
        <v>45750</v>
      </c>
      <c r="D1226">
        <v>4405</v>
      </c>
      <c r="E1226" t="b">
        <v>0</v>
      </c>
      <c r="F1226">
        <v>175</v>
      </c>
      <c r="G1226" t="s">
        <v>29</v>
      </c>
      <c r="H1226" t="s">
        <v>1510</v>
      </c>
      <c r="I1226" t="s">
        <v>2117</v>
      </c>
    </row>
    <row r="1227" spans="1:9" x14ac:dyDescent="0.35">
      <c r="A1227">
        <v>1594320</v>
      </c>
      <c r="B1227" t="s">
        <v>481</v>
      </c>
      <c r="C1227" s="1">
        <v>44712</v>
      </c>
      <c r="D1227">
        <v>4404</v>
      </c>
      <c r="E1227" t="b">
        <v>0</v>
      </c>
      <c r="F1227">
        <v>176</v>
      </c>
      <c r="G1227" t="s">
        <v>175</v>
      </c>
      <c r="H1227" t="s">
        <v>49</v>
      </c>
      <c r="I1227" t="s">
        <v>2117</v>
      </c>
    </row>
    <row r="1228" spans="1:9" x14ac:dyDescent="0.35">
      <c r="A1228">
        <v>1594320</v>
      </c>
      <c r="B1228" t="s">
        <v>481</v>
      </c>
      <c r="C1228" s="1">
        <v>44712</v>
      </c>
      <c r="D1228">
        <v>4404</v>
      </c>
      <c r="E1228" t="b">
        <v>0</v>
      </c>
      <c r="F1228">
        <v>176</v>
      </c>
      <c r="G1228" t="s">
        <v>175</v>
      </c>
      <c r="H1228" t="s">
        <v>792</v>
      </c>
      <c r="I1228" t="s">
        <v>2116</v>
      </c>
    </row>
    <row r="1229" spans="1:9" x14ac:dyDescent="0.35">
      <c r="A1229">
        <v>1594320</v>
      </c>
      <c r="B1229" t="s">
        <v>481</v>
      </c>
      <c r="C1229" s="1">
        <v>44712</v>
      </c>
      <c r="D1229">
        <v>4404</v>
      </c>
      <c r="E1229" t="b">
        <v>0</v>
      </c>
      <c r="F1229">
        <v>176</v>
      </c>
      <c r="G1229" t="s">
        <v>175</v>
      </c>
      <c r="H1229" t="s">
        <v>346</v>
      </c>
      <c r="I1229" t="s">
        <v>2117</v>
      </c>
    </row>
    <row r="1230" spans="1:9" x14ac:dyDescent="0.35">
      <c r="A1230">
        <v>1594320</v>
      </c>
      <c r="B1230" t="s">
        <v>481</v>
      </c>
      <c r="C1230" s="1">
        <v>44712</v>
      </c>
      <c r="D1230">
        <v>4404</v>
      </c>
      <c r="E1230" t="b">
        <v>0</v>
      </c>
      <c r="F1230">
        <v>176</v>
      </c>
      <c r="G1230" t="s">
        <v>175</v>
      </c>
      <c r="H1230" t="s">
        <v>239</v>
      </c>
      <c r="I1230" t="s">
        <v>2116</v>
      </c>
    </row>
    <row r="1231" spans="1:9" x14ac:dyDescent="0.35">
      <c r="A1231">
        <v>1594320</v>
      </c>
      <c r="B1231" t="s">
        <v>481</v>
      </c>
      <c r="C1231" s="1">
        <v>44712</v>
      </c>
      <c r="D1231">
        <v>4404</v>
      </c>
      <c r="E1231" t="b">
        <v>0</v>
      </c>
      <c r="F1231">
        <v>176</v>
      </c>
      <c r="G1231" t="s">
        <v>175</v>
      </c>
      <c r="H1231" t="s">
        <v>132</v>
      </c>
      <c r="I1231" t="s">
        <v>2117</v>
      </c>
    </row>
    <row r="1232" spans="1:9" x14ac:dyDescent="0.35">
      <c r="A1232">
        <v>1594320</v>
      </c>
      <c r="B1232" t="s">
        <v>481</v>
      </c>
      <c r="C1232" s="1">
        <v>44712</v>
      </c>
      <c r="D1232">
        <v>4404</v>
      </c>
      <c r="E1232" t="b">
        <v>0</v>
      </c>
      <c r="F1232">
        <v>176</v>
      </c>
      <c r="G1232" t="s">
        <v>175</v>
      </c>
      <c r="H1232" t="s">
        <v>124</v>
      </c>
      <c r="I1232" t="s">
        <v>2116</v>
      </c>
    </row>
    <row r="1233" spans="1:9" x14ac:dyDescent="0.35">
      <c r="A1233">
        <v>1594320</v>
      </c>
      <c r="B1233" t="s">
        <v>481</v>
      </c>
      <c r="C1233" s="1">
        <v>44712</v>
      </c>
      <c r="D1233">
        <v>4404</v>
      </c>
      <c r="E1233" t="b">
        <v>0</v>
      </c>
      <c r="F1233">
        <v>176</v>
      </c>
      <c r="G1233" t="s">
        <v>175</v>
      </c>
      <c r="H1233" t="s">
        <v>1510</v>
      </c>
      <c r="I1233" t="s">
        <v>2117</v>
      </c>
    </row>
    <row r="1234" spans="1:9" x14ac:dyDescent="0.35">
      <c r="A1234">
        <v>1569580</v>
      </c>
      <c r="B1234" t="s">
        <v>484</v>
      </c>
      <c r="C1234" s="1">
        <v>45757</v>
      </c>
      <c r="D1234">
        <v>4395</v>
      </c>
      <c r="E1234" t="b">
        <v>1</v>
      </c>
      <c r="F1234">
        <v>177</v>
      </c>
      <c r="G1234" t="s">
        <v>486</v>
      </c>
      <c r="H1234" t="s">
        <v>49</v>
      </c>
      <c r="I1234" t="s">
        <v>2117</v>
      </c>
    </row>
    <row r="1235" spans="1:9" x14ac:dyDescent="0.35">
      <c r="A1235">
        <v>1569580</v>
      </c>
      <c r="B1235" t="s">
        <v>484</v>
      </c>
      <c r="C1235" s="1">
        <v>45757</v>
      </c>
      <c r="D1235">
        <v>4395</v>
      </c>
      <c r="E1235" t="b">
        <v>1</v>
      </c>
      <c r="F1235">
        <v>177</v>
      </c>
      <c r="G1235" t="s">
        <v>486</v>
      </c>
      <c r="H1235" t="s">
        <v>792</v>
      </c>
      <c r="I1235" t="s">
        <v>2116</v>
      </c>
    </row>
    <row r="1236" spans="1:9" x14ac:dyDescent="0.35">
      <c r="A1236">
        <v>1569580</v>
      </c>
      <c r="B1236" t="s">
        <v>484</v>
      </c>
      <c r="C1236" s="1">
        <v>45757</v>
      </c>
      <c r="D1236">
        <v>4395</v>
      </c>
      <c r="E1236" t="b">
        <v>1</v>
      </c>
      <c r="F1236">
        <v>177</v>
      </c>
      <c r="G1236" t="s">
        <v>486</v>
      </c>
      <c r="H1236" t="s">
        <v>346</v>
      </c>
      <c r="I1236" t="s">
        <v>2116</v>
      </c>
    </row>
    <row r="1237" spans="1:9" x14ac:dyDescent="0.35">
      <c r="A1237">
        <v>1569580</v>
      </c>
      <c r="B1237" t="s">
        <v>484</v>
      </c>
      <c r="C1237" s="1">
        <v>45757</v>
      </c>
      <c r="D1237">
        <v>4395</v>
      </c>
      <c r="E1237" t="b">
        <v>1</v>
      </c>
      <c r="F1237">
        <v>177</v>
      </c>
      <c r="G1237" t="s">
        <v>486</v>
      </c>
      <c r="H1237" t="s">
        <v>239</v>
      </c>
      <c r="I1237" t="s">
        <v>2117</v>
      </c>
    </row>
    <row r="1238" spans="1:9" x14ac:dyDescent="0.35">
      <c r="A1238">
        <v>1569580</v>
      </c>
      <c r="B1238" t="s">
        <v>484</v>
      </c>
      <c r="C1238" s="1">
        <v>45757</v>
      </c>
      <c r="D1238">
        <v>4395</v>
      </c>
      <c r="E1238" t="b">
        <v>1</v>
      </c>
      <c r="F1238">
        <v>177</v>
      </c>
      <c r="G1238" t="s">
        <v>486</v>
      </c>
      <c r="H1238" t="s">
        <v>132</v>
      </c>
      <c r="I1238" t="s">
        <v>2117</v>
      </c>
    </row>
    <row r="1239" spans="1:9" x14ac:dyDescent="0.35">
      <c r="A1239">
        <v>1569580</v>
      </c>
      <c r="B1239" t="s">
        <v>484</v>
      </c>
      <c r="C1239" s="1">
        <v>45757</v>
      </c>
      <c r="D1239">
        <v>4395</v>
      </c>
      <c r="E1239" t="b">
        <v>1</v>
      </c>
      <c r="F1239">
        <v>177</v>
      </c>
      <c r="G1239" t="s">
        <v>486</v>
      </c>
      <c r="H1239" t="s">
        <v>124</v>
      </c>
      <c r="I1239" t="s">
        <v>2116</v>
      </c>
    </row>
    <row r="1240" spans="1:9" x14ac:dyDescent="0.35">
      <c r="A1240">
        <v>1569580</v>
      </c>
      <c r="B1240" t="s">
        <v>484</v>
      </c>
      <c r="C1240" s="1">
        <v>45757</v>
      </c>
      <c r="D1240">
        <v>4395</v>
      </c>
      <c r="E1240" t="b">
        <v>1</v>
      </c>
      <c r="F1240">
        <v>177</v>
      </c>
      <c r="G1240" t="s">
        <v>486</v>
      </c>
      <c r="H1240" t="s">
        <v>1510</v>
      </c>
      <c r="I1240" t="s">
        <v>2117</v>
      </c>
    </row>
    <row r="1241" spans="1:9" x14ac:dyDescent="0.35">
      <c r="A1241">
        <v>374320</v>
      </c>
      <c r="B1241" t="s">
        <v>487</v>
      </c>
      <c r="C1241" s="1">
        <v>42471</v>
      </c>
      <c r="D1241">
        <v>4381</v>
      </c>
      <c r="E1241" t="b">
        <v>0</v>
      </c>
      <c r="F1241">
        <v>178</v>
      </c>
      <c r="G1241" t="s">
        <v>33</v>
      </c>
      <c r="H1241" t="s">
        <v>49</v>
      </c>
      <c r="I1241" t="s">
        <v>2116</v>
      </c>
    </row>
    <row r="1242" spans="1:9" x14ac:dyDescent="0.35">
      <c r="A1242">
        <v>374320</v>
      </c>
      <c r="B1242" t="s">
        <v>487</v>
      </c>
      <c r="C1242" s="1">
        <v>42471</v>
      </c>
      <c r="D1242">
        <v>4381</v>
      </c>
      <c r="E1242" t="b">
        <v>0</v>
      </c>
      <c r="F1242">
        <v>178</v>
      </c>
      <c r="G1242" t="s">
        <v>33</v>
      </c>
      <c r="H1242" t="s">
        <v>792</v>
      </c>
      <c r="I1242" t="s">
        <v>2117</v>
      </c>
    </row>
    <row r="1243" spans="1:9" x14ac:dyDescent="0.35">
      <c r="A1243">
        <v>374320</v>
      </c>
      <c r="B1243" t="s">
        <v>487</v>
      </c>
      <c r="C1243" s="1">
        <v>42471</v>
      </c>
      <c r="D1243">
        <v>4381</v>
      </c>
      <c r="E1243" t="b">
        <v>0</v>
      </c>
      <c r="F1243">
        <v>178</v>
      </c>
      <c r="G1243" t="s">
        <v>33</v>
      </c>
      <c r="H1243" t="s">
        <v>346</v>
      </c>
      <c r="I1243" t="s">
        <v>2117</v>
      </c>
    </row>
    <row r="1244" spans="1:9" x14ac:dyDescent="0.35">
      <c r="A1244">
        <v>374320</v>
      </c>
      <c r="B1244" t="s">
        <v>487</v>
      </c>
      <c r="C1244" s="1">
        <v>42471</v>
      </c>
      <c r="D1244">
        <v>4381</v>
      </c>
      <c r="E1244" t="b">
        <v>0</v>
      </c>
      <c r="F1244">
        <v>178</v>
      </c>
      <c r="G1244" t="s">
        <v>33</v>
      </c>
      <c r="H1244" t="s">
        <v>239</v>
      </c>
      <c r="I1244" t="s">
        <v>2117</v>
      </c>
    </row>
    <row r="1245" spans="1:9" x14ac:dyDescent="0.35">
      <c r="A1245">
        <v>374320</v>
      </c>
      <c r="B1245" t="s">
        <v>487</v>
      </c>
      <c r="C1245" s="1">
        <v>42471</v>
      </c>
      <c r="D1245">
        <v>4381</v>
      </c>
      <c r="E1245" t="b">
        <v>0</v>
      </c>
      <c r="F1245">
        <v>178</v>
      </c>
      <c r="G1245" t="s">
        <v>33</v>
      </c>
      <c r="H1245" t="s">
        <v>132</v>
      </c>
      <c r="I1245" t="s">
        <v>2117</v>
      </c>
    </row>
    <row r="1246" spans="1:9" x14ac:dyDescent="0.35">
      <c r="A1246">
        <v>374320</v>
      </c>
      <c r="B1246" t="s">
        <v>487</v>
      </c>
      <c r="C1246" s="1">
        <v>42471</v>
      </c>
      <c r="D1246">
        <v>4381</v>
      </c>
      <c r="E1246" t="b">
        <v>0</v>
      </c>
      <c r="F1246">
        <v>178</v>
      </c>
      <c r="G1246" t="s">
        <v>33</v>
      </c>
      <c r="H1246" t="s">
        <v>124</v>
      </c>
      <c r="I1246" t="s">
        <v>2117</v>
      </c>
    </row>
    <row r="1247" spans="1:9" x14ac:dyDescent="0.35">
      <c r="A1247">
        <v>374320</v>
      </c>
      <c r="B1247" t="s">
        <v>487</v>
      </c>
      <c r="C1247" s="1">
        <v>42471</v>
      </c>
      <c r="D1247">
        <v>4381</v>
      </c>
      <c r="E1247" t="b">
        <v>0</v>
      </c>
      <c r="F1247">
        <v>178</v>
      </c>
      <c r="G1247" t="s">
        <v>33</v>
      </c>
      <c r="H1247" t="s">
        <v>1510</v>
      </c>
      <c r="I1247" t="s">
        <v>2117</v>
      </c>
    </row>
    <row r="1248" spans="1:9" x14ac:dyDescent="0.35">
      <c r="A1248">
        <v>2543180</v>
      </c>
      <c r="B1248" t="s">
        <v>489</v>
      </c>
      <c r="C1248" s="1">
        <v>45809</v>
      </c>
      <c r="D1248">
        <v>4352</v>
      </c>
      <c r="E1248" t="b">
        <v>0</v>
      </c>
      <c r="F1248">
        <v>179</v>
      </c>
      <c r="G1248" t="s">
        <v>36</v>
      </c>
      <c r="H1248" t="s">
        <v>49</v>
      </c>
      <c r="I1248" t="s">
        <v>2116</v>
      </c>
    </row>
    <row r="1249" spans="1:9" x14ac:dyDescent="0.35">
      <c r="A1249">
        <v>2543180</v>
      </c>
      <c r="B1249" t="s">
        <v>489</v>
      </c>
      <c r="C1249" s="1">
        <v>45809</v>
      </c>
      <c r="D1249">
        <v>4352</v>
      </c>
      <c r="E1249" t="b">
        <v>0</v>
      </c>
      <c r="F1249">
        <v>179</v>
      </c>
      <c r="G1249" t="s">
        <v>36</v>
      </c>
      <c r="H1249" t="s">
        <v>792</v>
      </c>
      <c r="I1249" t="s">
        <v>2117</v>
      </c>
    </row>
    <row r="1250" spans="1:9" x14ac:dyDescent="0.35">
      <c r="A1250">
        <v>2543180</v>
      </c>
      <c r="B1250" t="s">
        <v>489</v>
      </c>
      <c r="C1250" s="1">
        <v>45809</v>
      </c>
      <c r="D1250">
        <v>4352</v>
      </c>
      <c r="E1250" t="b">
        <v>0</v>
      </c>
      <c r="F1250">
        <v>179</v>
      </c>
      <c r="G1250" t="s">
        <v>36</v>
      </c>
      <c r="H1250" t="s">
        <v>346</v>
      </c>
      <c r="I1250" t="s">
        <v>2116</v>
      </c>
    </row>
    <row r="1251" spans="1:9" x14ac:dyDescent="0.35">
      <c r="A1251">
        <v>2543180</v>
      </c>
      <c r="B1251" t="s">
        <v>489</v>
      </c>
      <c r="C1251" s="1">
        <v>45809</v>
      </c>
      <c r="D1251">
        <v>4352</v>
      </c>
      <c r="E1251" t="b">
        <v>0</v>
      </c>
      <c r="F1251">
        <v>179</v>
      </c>
      <c r="G1251" t="s">
        <v>36</v>
      </c>
      <c r="H1251" t="s">
        <v>239</v>
      </c>
      <c r="I1251" t="s">
        <v>2117</v>
      </c>
    </row>
    <row r="1252" spans="1:9" x14ac:dyDescent="0.35">
      <c r="A1252">
        <v>2543180</v>
      </c>
      <c r="B1252" t="s">
        <v>489</v>
      </c>
      <c r="C1252" s="1">
        <v>45809</v>
      </c>
      <c r="D1252">
        <v>4352</v>
      </c>
      <c r="E1252" t="b">
        <v>0</v>
      </c>
      <c r="F1252">
        <v>179</v>
      </c>
      <c r="G1252" t="s">
        <v>36</v>
      </c>
      <c r="H1252" t="s">
        <v>132</v>
      </c>
      <c r="I1252" t="s">
        <v>2117</v>
      </c>
    </row>
    <row r="1253" spans="1:9" x14ac:dyDescent="0.35">
      <c r="A1253">
        <v>2543180</v>
      </c>
      <c r="B1253" t="s">
        <v>489</v>
      </c>
      <c r="C1253" s="1">
        <v>45809</v>
      </c>
      <c r="D1253">
        <v>4352</v>
      </c>
      <c r="E1253" t="b">
        <v>0</v>
      </c>
      <c r="F1253">
        <v>179</v>
      </c>
      <c r="G1253" t="s">
        <v>36</v>
      </c>
      <c r="H1253" t="s">
        <v>124</v>
      </c>
      <c r="I1253" t="s">
        <v>2117</v>
      </c>
    </row>
    <row r="1254" spans="1:9" x14ac:dyDescent="0.35">
      <c r="A1254">
        <v>2543180</v>
      </c>
      <c r="B1254" t="s">
        <v>489</v>
      </c>
      <c r="C1254" s="1">
        <v>45809</v>
      </c>
      <c r="D1254">
        <v>4352</v>
      </c>
      <c r="E1254" t="b">
        <v>0</v>
      </c>
      <c r="F1254">
        <v>179</v>
      </c>
      <c r="G1254" t="s">
        <v>36</v>
      </c>
      <c r="H1254" t="s">
        <v>1510</v>
      </c>
      <c r="I1254" t="s">
        <v>2117</v>
      </c>
    </row>
    <row r="1255" spans="1:9" x14ac:dyDescent="0.35">
      <c r="A1255">
        <v>1144200</v>
      </c>
      <c r="B1255" t="s">
        <v>492</v>
      </c>
      <c r="C1255" s="1">
        <v>45273</v>
      </c>
      <c r="D1255">
        <v>4296</v>
      </c>
      <c r="E1255" t="b">
        <v>0</v>
      </c>
      <c r="F1255">
        <v>180</v>
      </c>
      <c r="G1255" t="s">
        <v>53</v>
      </c>
      <c r="H1255" t="s">
        <v>49</v>
      </c>
      <c r="I1255" t="s">
        <v>2116</v>
      </c>
    </row>
    <row r="1256" spans="1:9" x14ac:dyDescent="0.35">
      <c r="A1256">
        <v>1144200</v>
      </c>
      <c r="B1256" t="s">
        <v>492</v>
      </c>
      <c r="C1256" s="1">
        <v>45273</v>
      </c>
      <c r="D1256">
        <v>4296</v>
      </c>
      <c r="E1256" t="b">
        <v>0</v>
      </c>
      <c r="F1256">
        <v>180</v>
      </c>
      <c r="G1256" t="s">
        <v>53</v>
      </c>
      <c r="H1256" t="s">
        <v>792</v>
      </c>
      <c r="I1256" t="s">
        <v>2116</v>
      </c>
    </row>
    <row r="1257" spans="1:9" x14ac:dyDescent="0.35">
      <c r="A1257">
        <v>1144200</v>
      </c>
      <c r="B1257" t="s">
        <v>492</v>
      </c>
      <c r="C1257" s="1">
        <v>45273</v>
      </c>
      <c r="D1257">
        <v>4296</v>
      </c>
      <c r="E1257" t="b">
        <v>0</v>
      </c>
      <c r="F1257">
        <v>180</v>
      </c>
      <c r="G1257" t="s">
        <v>53</v>
      </c>
      <c r="H1257" t="s">
        <v>346</v>
      </c>
      <c r="I1257" t="s">
        <v>2116</v>
      </c>
    </row>
    <row r="1258" spans="1:9" x14ac:dyDescent="0.35">
      <c r="A1258">
        <v>1144200</v>
      </c>
      <c r="B1258" t="s">
        <v>492</v>
      </c>
      <c r="C1258" s="1">
        <v>45273</v>
      </c>
      <c r="D1258">
        <v>4296</v>
      </c>
      <c r="E1258" t="b">
        <v>0</v>
      </c>
      <c r="F1258">
        <v>180</v>
      </c>
      <c r="G1258" t="s">
        <v>53</v>
      </c>
      <c r="H1258" t="s">
        <v>239</v>
      </c>
      <c r="I1258" t="s">
        <v>2117</v>
      </c>
    </row>
    <row r="1259" spans="1:9" x14ac:dyDescent="0.35">
      <c r="A1259">
        <v>1144200</v>
      </c>
      <c r="B1259" t="s">
        <v>492</v>
      </c>
      <c r="C1259" s="1">
        <v>45273</v>
      </c>
      <c r="D1259">
        <v>4296</v>
      </c>
      <c r="E1259" t="b">
        <v>0</v>
      </c>
      <c r="F1259">
        <v>180</v>
      </c>
      <c r="G1259" t="s">
        <v>53</v>
      </c>
      <c r="H1259" t="s">
        <v>132</v>
      </c>
      <c r="I1259" t="s">
        <v>2117</v>
      </c>
    </row>
    <row r="1260" spans="1:9" x14ac:dyDescent="0.35">
      <c r="A1260">
        <v>1144200</v>
      </c>
      <c r="B1260" t="s">
        <v>492</v>
      </c>
      <c r="C1260" s="1">
        <v>45273</v>
      </c>
      <c r="D1260">
        <v>4296</v>
      </c>
      <c r="E1260" t="b">
        <v>0</v>
      </c>
      <c r="F1260">
        <v>180</v>
      </c>
      <c r="G1260" t="s">
        <v>53</v>
      </c>
      <c r="H1260" t="s">
        <v>124</v>
      </c>
      <c r="I1260" t="s">
        <v>2117</v>
      </c>
    </row>
    <row r="1261" spans="1:9" x14ac:dyDescent="0.35">
      <c r="A1261">
        <v>1144200</v>
      </c>
      <c r="B1261" t="s">
        <v>492</v>
      </c>
      <c r="C1261" s="1">
        <v>45273</v>
      </c>
      <c r="D1261">
        <v>4296</v>
      </c>
      <c r="E1261" t="b">
        <v>0</v>
      </c>
      <c r="F1261">
        <v>180</v>
      </c>
      <c r="G1261" t="s">
        <v>53</v>
      </c>
      <c r="H1261" t="s">
        <v>1510</v>
      </c>
      <c r="I1261" t="s">
        <v>2117</v>
      </c>
    </row>
    <row r="1262" spans="1:9" x14ac:dyDescent="0.35">
      <c r="A1262">
        <v>534380</v>
      </c>
      <c r="B1262" t="s">
        <v>494</v>
      </c>
      <c r="C1262" s="1">
        <v>44595</v>
      </c>
      <c r="D1262">
        <v>4223</v>
      </c>
      <c r="E1262" t="b">
        <v>0</v>
      </c>
      <c r="F1262">
        <v>181</v>
      </c>
      <c r="G1262" t="s">
        <v>133</v>
      </c>
      <c r="H1262" t="s">
        <v>49</v>
      </c>
      <c r="I1262" t="s">
        <v>2116</v>
      </c>
    </row>
    <row r="1263" spans="1:9" x14ac:dyDescent="0.35">
      <c r="A1263">
        <v>534380</v>
      </c>
      <c r="B1263" t="s">
        <v>494</v>
      </c>
      <c r="C1263" s="1">
        <v>44595</v>
      </c>
      <c r="D1263">
        <v>4223</v>
      </c>
      <c r="E1263" t="b">
        <v>0</v>
      </c>
      <c r="F1263">
        <v>181</v>
      </c>
      <c r="G1263" t="s">
        <v>133</v>
      </c>
      <c r="H1263" t="s">
        <v>792</v>
      </c>
      <c r="I1263" t="s">
        <v>2117</v>
      </c>
    </row>
    <row r="1264" spans="1:9" x14ac:dyDescent="0.35">
      <c r="A1264">
        <v>534380</v>
      </c>
      <c r="B1264" t="s">
        <v>494</v>
      </c>
      <c r="C1264" s="1">
        <v>44595</v>
      </c>
      <c r="D1264">
        <v>4223</v>
      </c>
      <c r="E1264" t="b">
        <v>0</v>
      </c>
      <c r="F1264">
        <v>181</v>
      </c>
      <c r="G1264" t="s">
        <v>133</v>
      </c>
      <c r="H1264" t="s">
        <v>346</v>
      </c>
      <c r="I1264" t="s">
        <v>2116</v>
      </c>
    </row>
    <row r="1265" spans="1:9" x14ac:dyDescent="0.35">
      <c r="A1265">
        <v>534380</v>
      </c>
      <c r="B1265" t="s">
        <v>494</v>
      </c>
      <c r="C1265" s="1">
        <v>44595</v>
      </c>
      <c r="D1265">
        <v>4223</v>
      </c>
      <c r="E1265" t="b">
        <v>0</v>
      </c>
      <c r="F1265">
        <v>181</v>
      </c>
      <c r="G1265" t="s">
        <v>133</v>
      </c>
      <c r="H1265" t="s">
        <v>239</v>
      </c>
      <c r="I1265" t="s">
        <v>2117</v>
      </c>
    </row>
    <row r="1266" spans="1:9" x14ac:dyDescent="0.35">
      <c r="A1266">
        <v>534380</v>
      </c>
      <c r="B1266" t="s">
        <v>494</v>
      </c>
      <c r="C1266" s="1">
        <v>44595</v>
      </c>
      <c r="D1266">
        <v>4223</v>
      </c>
      <c r="E1266" t="b">
        <v>0</v>
      </c>
      <c r="F1266">
        <v>181</v>
      </c>
      <c r="G1266" t="s">
        <v>133</v>
      </c>
      <c r="H1266" t="s">
        <v>132</v>
      </c>
      <c r="I1266" t="s">
        <v>2116</v>
      </c>
    </row>
    <row r="1267" spans="1:9" x14ac:dyDescent="0.35">
      <c r="A1267">
        <v>534380</v>
      </c>
      <c r="B1267" t="s">
        <v>494</v>
      </c>
      <c r="C1267" s="1">
        <v>44595</v>
      </c>
      <c r="D1267">
        <v>4223</v>
      </c>
      <c r="E1267" t="b">
        <v>0</v>
      </c>
      <c r="F1267">
        <v>181</v>
      </c>
      <c r="G1267" t="s">
        <v>133</v>
      </c>
      <c r="H1267" t="s">
        <v>124</v>
      </c>
      <c r="I1267" t="s">
        <v>2117</v>
      </c>
    </row>
    <row r="1268" spans="1:9" x14ac:dyDescent="0.35">
      <c r="A1268">
        <v>534380</v>
      </c>
      <c r="B1268" t="s">
        <v>494</v>
      </c>
      <c r="C1268" s="1">
        <v>44595</v>
      </c>
      <c r="D1268">
        <v>4223</v>
      </c>
      <c r="E1268" t="b">
        <v>0</v>
      </c>
      <c r="F1268">
        <v>181</v>
      </c>
      <c r="G1268" t="s">
        <v>133</v>
      </c>
      <c r="H1268" t="s">
        <v>1510</v>
      </c>
      <c r="I1268" t="s">
        <v>2117</v>
      </c>
    </row>
    <row r="1269" spans="1:9" x14ac:dyDescent="0.35">
      <c r="A1269">
        <v>244850</v>
      </c>
      <c r="B1269" t="s">
        <v>496</v>
      </c>
      <c r="C1269" s="1">
        <v>43524</v>
      </c>
      <c r="D1269">
        <v>4201</v>
      </c>
      <c r="E1269" t="b">
        <v>0</v>
      </c>
      <c r="F1269">
        <v>182</v>
      </c>
      <c r="G1269" t="s">
        <v>304</v>
      </c>
      <c r="H1269" t="s">
        <v>49</v>
      </c>
      <c r="I1269" t="s">
        <v>2116</v>
      </c>
    </row>
    <row r="1270" spans="1:9" x14ac:dyDescent="0.35">
      <c r="A1270">
        <v>244850</v>
      </c>
      <c r="B1270" t="s">
        <v>496</v>
      </c>
      <c r="C1270" s="1">
        <v>43524</v>
      </c>
      <c r="D1270">
        <v>4201</v>
      </c>
      <c r="E1270" t="b">
        <v>0</v>
      </c>
      <c r="F1270">
        <v>182</v>
      </c>
      <c r="G1270" t="s">
        <v>304</v>
      </c>
      <c r="H1270" t="s">
        <v>792</v>
      </c>
      <c r="I1270" t="s">
        <v>2116</v>
      </c>
    </row>
    <row r="1271" spans="1:9" x14ac:dyDescent="0.35">
      <c r="A1271">
        <v>244850</v>
      </c>
      <c r="B1271" t="s">
        <v>496</v>
      </c>
      <c r="C1271" s="1">
        <v>43524</v>
      </c>
      <c r="D1271">
        <v>4201</v>
      </c>
      <c r="E1271" t="b">
        <v>0</v>
      </c>
      <c r="F1271">
        <v>182</v>
      </c>
      <c r="G1271" t="s">
        <v>304</v>
      </c>
      <c r="H1271" t="s">
        <v>346</v>
      </c>
      <c r="I1271" t="s">
        <v>2117</v>
      </c>
    </row>
    <row r="1272" spans="1:9" x14ac:dyDescent="0.35">
      <c r="A1272">
        <v>244850</v>
      </c>
      <c r="B1272" t="s">
        <v>496</v>
      </c>
      <c r="C1272" s="1">
        <v>43524</v>
      </c>
      <c r="D1272">
        <v>4201</v>
      </c>
      <c r="E1272" t="b">
        <v>0</v>
      </c>
      <c r="F1272">
        <v>182</v>
      </c>
      <c r="G1272" t="s">
        <v>304</v>
      </c>
      <c r="H1272" t="s">
        <v>239</v>
      </c>
      <c r="I1272" t="s">
        <v>2116</v>
      </c>
    </row>
    <row r="1273" spans="1:9" x14ac:dyDescent="0.35">
      <c r="A1273">
        <v>244850</v>
      </c>
      <c r="B1273" t="s">
        <v>496</v>
      </c>
      <c r="C1273" s="1">
        <v>43524</v>
      </c>
      <c r="D1273">
        <v>4201</v>
      </c>
      <c r="E1273" t="b">
        <v>0</v>
      </c>
      <c r="F1273">
        <v>182</v>
      </c>
      <c r="G1273" t="s">
        <v>304</v>
      </c>
      <c r="H1273" t="s">
        <v>132</v>
      </c>
      <c r="I1273" t="s">
        <v>2117</v>
      </c>
    </row>
    <row r="1274" spans="1:9" x14ac:dyDescent="0.35">
      <c r="A1274">
        <v>244850</v>
      </c>
      <c r="B1274" t="s">
        <v>496</v>
      </c>
      <c r="C1274" s="1">
        <v>43524</v>
      </c>
      <c r="D1274">
        <v>4201</v>
      </c>
      <c r="E1274" t="b">
        <v>0</v>
      </c>
      <c r="F1274">
        <v>182</v>
      </c>
      <c r="G1274" t="s">
        <v>304</v>
      </c>
      <c r="H1274" t="s">
        <v>124</v>
      </c>
      <c r="I1274" t="s">
        <v>2116</v>
      </c>
    </row>
    <row r="1275" spans="1:9" x14ac:dyDescent="0.35">
      <c r="A1275">
        <v>244850</v>
      </c>
      <c r="B1275" t="s">
        <v>496</v>
      </c>
      <c r="C1275" s="1">
        <v>43524</v>
      </c>
      <c r="D1275">
        <v>4201</v>
      </c>
      <c r="E1275" t="b">
        <v>0</v>
      </c>
      <c r="F1275">
        <v>182</v>
      </c>
      <c r="G1275" t="s">
        <v>304</v>
      </c>
      <c r="H1275" t="s">
        <v>1510</v>
      </c>
      <c r="I1275" t="s">
        <v>2117</v>
      </c>
    </row>
    <row r="1276" spans="1:9" x14ac:dyDescent="0.35">
      <c r="A1276">
        <v>1904540</v>
      </c>
      <c r="B1276" t="s">
        <v>499</v>
      </c>
      <c r="C1276" s="1">
        <v>44873</v>
      </c>
      <c r="D1276">
        <v>4178</v>
      </c>
      <c r="E1276" t="b">
        <v>1</v>
      </c>
      <c r="F1276">
        <v>183</v>
      </c>
      <c r="G1276" t="s">
        <v>14</v>
      </c>
      <c r="H1276" t="s">
        <v>49</v>
      </c>
      <c r="I1276" t="s">
        <v>2117</v>
      </c>
    </row>
    <row r="1277" spans="1:9" x14ac:dyDescent="0.35">
      <c r="A1277">
        <v>1904540</v>
      </c>
      <c r="B1277" t="s">
        <v>499</v>
      </c>
      <c r="C1277" s="1">
        <v>44873</v>
      </c>
      <c r="D1277">
        <v>4178</v>
      </c>
      <c r="E1277" t="b">
        <v>1</v>
      </c>
      <c r="F1277">
        <v>183</v>
      </c>
      <c r="G1277" t="s">
        <v>14</v>
      </c>
      <c r="H1277" t="s">
        <v>792</v>
      </c>
      <c r="I1277" t="s">
        <v>2117</v>
      </c>
    </row>
    <row r="1278" spans="1:9" x14ac:dyDescent="0.35">
      <c r="A1278">
        <v>1904540</v>
      </c>
      <c r="B1278" t="s">
        <v>499</v>
      </c>
      <c r="C1278" s="1">
        <v>44873</v>
      </c>
      <c r="D1278">
        <v>4178</v>
      </c>
      <c r="E1278" t="b">
        <v>1</v>
      </c>
      <c r="F1278">
        <v>183</v>
      </c>
      <c r="G1278" t="s">
        <v>14</v>
      </c>
      <c r="H1278" t="s">
        <v>346</v>
      </c>
      <c r="I1278" t="s">
        <v>2117</v>
      </c>
    </row>
    <row r="1279" spans="1:9" x14ac:dyDescent="0.35">
      <c r="A1279">
        <v>1904540</v>
      </c>
      <c r="B1279" t="s">
        <v>499</v>
      </c>
      <c r="C1279" s="1">
        <v>44873</v>
      </c>
      <c r="D1279">
        <v>4178</v>
      </c>
      <c r="E1279" t="b">
        <v>1</v>
      </c>
      <c r="F1279">
        <v>183</v>
      </c>
      <c r="G1279" t="s">
        <v>14</v>
      </c>
      <c r="H1279" t="s">
        <v>239</v>
      </c>
      <c r="I1279" t="s">
        <v>2116</v>
      </c>
    </row>
    <row r="1280" spans="1:9" x14ac:dyDescent="0.35">
      <c r="A1280">
        <v>1904540</v>
      </c>
      <c r="B1280" t="s">
        <v>499</v>
      </c>
      <c r="C1280" s="1">
        <v>44873</v>
      </c>
      <c r="D1280">
        <v>4178</v>
      </c>
      <c r="E1280" t="b">
        <v>1</v>
      </c>
      <c r="F1280">
        <v>183</v>
      </c>
      <c r="G1280" t="s">
        <v>14</v>
      </c>
      <c r="H1280" t="s">
        <v>132</v>
      </c>
      <c r="I1280" t="s">
        <v>2117</v>
      </c>
    </row>
    <row r="1281" spans="1:9" x14ac:dyDescent="0.35">
      <c r="A1281">
        <v>1904540</v>
      </c>
      <c r="B1281" t="s">
        <v>499</v>
      </c>
      <c r="C1281" s="1">
        <v>44873</v>
      </c>
      <c r="D1281">
        <v>4178</v>
      </c>
      <c r="E1281" t="b">
        <v>1</v>
      </c>
      <c r="F1281">
        <v>183</v>
      </c>
      <c r="G1281" t="s">
        <v>14</v>
      </c>
      <c r="H1281" t="s">
        <v>124</v>
      </c>
      <c r="I1281" t="s">
        <v>2117</v>
      </c>
    </row>
    <row r="1282" spans="1:9" x14ac:dyDescent="0.35">
      <c r="A1282">
        <v>1904540</v>
      </c>
      <c r="B1282" t="s">
        <v>499</v>
      </c>
      <c r="C1282" s="1">
        <v>44873</v>
      </c>
      <c r="D1282">
        <v>4178</v>
      </c>
      <c r="E1282" t="b">
        <v>1</v>
      </c>
      <c r="F1282">
        <v>183</v>
      </c>
      <c r="G1282" t="s">
        <v>14</v>
      </c>
      <c r="H1282" t="s">
        <v>1510</v>
      </c>
      <c r="I1282" t="s">
        <v>2117</v>
      </c>
    </row>
    <row r="1283" spans="1:9" x14ac:dyDescent="0.35">
      <c r="A1283">
        <v>1888930</v>
      </c>
      <c r="B1283" t="s">
        <v>500</v>
      </c>
      <c r="C1283" s="1">
        <v>45013</v>
      </c>
      <c r="D1283">
        <v>4144</v>
      </c>
      <c r="E1283" t="b">
        <v>0</v>
      </c>
      <c r="F1283">
        <v>184</v>
      </c>
      <c r="G1283" t="s">
        <v>57</v>
      </c>
      <c r="H1283" t="s">
        <v>49</v>
      </c>
      <c r="I1283" t="s">
        <v>2116</v>
      </c>
    </row>
    <row r="1284" spans="1:9" x14ac:dyDescent="0.35">
      <c r="A1284">
        <v>1888930</v>
      </c>
      <c r="B1284" t="s">
        <v>500</v>
      </c>
      <c r="C1284" s="1">
        <v>45013</v>
      </c>
      <c r="D1284">
        <v>4144</v>
      </c>
      <c r="E1284" t="b">
        <v>0</v>
      </c>
      <c r="F1284">
        <v>184</v>
      </c>
      <c r="G1284" t="s">
        <v>57</v>
      </c>
      <c r="H1284" t="s">
        <v>792</v>
      </c>
      <c r="I1284" t="s">
        <v>2117</v>
      </c>
    </row>
    <row r="1285" spans="1:9" x14ac:dyDescent="0.35">
      <c r="A1285">
        <v>1888930</v>
      </c>
      <c r="B1285" t="s">
        <v>500</v>
      </c>
      <c r="C1285" s="1">
        <v>45013</v>
      </c>
      <c r="D1285">
        <v>4144</v>
      </c>
      <c r="E1285" t="b">
        <v>0</v>
      </c>
      <c r="F1285">
        <v>184</v>
      </c>
      <c r="G1285" t="s">
        <v>57</v>
      </c>
      <c r="H1285" t="s">
        <v>346</v>
      </c>
      <c r="I1285" t="s">
        <v>2116</v>
      </c>
    </row>
    <row r="1286" spans="1:9" x14ac:dyDescent="0.35">
      <c r="A1286">
        <v>1888930</v>
      </c>
      <c r="B1286" t="s">
        <v>500</v>
      </c>
      <c r="C1286" s="1">
        <v>45013</v>
      </c>
      <c r="D1286">
        <v>4144</v>
      </c>
      <c r="E1286" t="b">
        <v>0</v>
      </c>
      <c r="F1286">
        <v>184</v>
      </c>
      <c r="G1286" t="s">
        <v>57</v>
      </c>
      <c r="H1286" t="s">
        <v>239</v>
      </c>
      <c r="I1286" t="s">
        <v>2117</v>
      </c>
    </row>
    <row r="1287" spans="1:9" x14ac:dyDescent="0.35">
      <c r="A1287">
        <v>1888930</v>
      </c>
      <c r="B1287" t="s">
        <v>500</v>
      </c>
      <c r="C1287" s="1">
        <v>45013</v>
      </c>
      <c r="D1287">
        <v>4144</v>
      </c>
      <c r="E1287" t="b">
        <v>0</v>
      </c>
      <c r="F1287">
        <v>184</v>
      </c>
      <c r="G1287" t="s">
        <v>57</v>
      </c>
      <c r="H1287" t="s">
        <v>132</v>
      </c>
      <c r="I1287" t="s">
        <v>2117</v>
      </c>
    </row>
    <row r="1288" spans="1:9" x14ac:dyDescent="0.35">
      <c r="A1288">
        <v>1888930</v>
      </c>
      <c r="B1288" t="s">
        <v>500</v>
      </c>
      <c r="C1288" s="1">
        <v>45013</v>
      </c>
      <c r="D1288">
        <v>4144</v>
      </c>
      <c r="E1288" t="b">
        <v>0</v>
      </c>
      <c r="F1288">
        <v>184</v>
      </c>
      <c r="G1288" t="s">
        <v>57</v>
      </c>
      <c r="H1288" t="s">
        <v>124</v>
      </c>
      <c r="I1288" t="s">
        <v>2117</v>
      </c>
    </row>
    <row r="1289" spans="1:9" x14ac:dyDescent="0.35">
      <c r="A1289">
        <v>1888930</v>
      </c>
      <c r="B1289" t="s">
        <v>500</v>
      </c>
      <c r="C1289" s="1">
        <v>45013</v>
      </c>
      <c r="D1289">
        <v>4144</v>
      </c>
      <c r="E1289" t="b">
        <v>0</v>
      </c>
      <c r="F1289">
        <v>184</v>
      </c>
      <c r="G1289" t="s">
        <v>57</v>
      </c>
      <c r="H1289" t="s">
        <v>1510</v>
      </c>
      <c r="I1289" t="s">
        <v>2117</v>
      </c>
    </row>
    <row r="1290" spans="1:9" x14ac:dyDescent="0.35">
      <c r="A1290">
        <v>1468810</v>
      </c>
      <c r="B1290" t="s">
        <v>502</v>
      </c>
      <c r="C1290" s="1">
        <v>45072</v>
      </c>
      <c r="D1290">
        <v>4116</v>
      </c>
      <c r="E1290" t="b">
        <v>0</v>
      </c>
      <c r="F1290">
        <v>185</v>
      </c>
      <c r="G1290" t="s">
        <v>161</v>
      </c>
      <c r="H1290" t="s">
        <v>49</v>
      </c>
      <c r="I1290" t="s">
        <v>2116</v>
      </c>
    </row>
    <row r="1291" spans="1:9" x14ac:dyDescent="0.35">
      <c r="A1291">
        <v>1468810</v>
      </c>
      <c r="B1291" t="s">
        <v>502</v>
      </c>
      <c r="C1291" s="1">
        <v>45072</v>
      </c>
      <c r="D1291">
        <v>4116</v>
      </c>
      <c r="E1291" t="b">
        <v>0</v>
      </c>
      <c r="F1291">
        <v>185</v>
      </c>
      <c r="G1291" t="s">
        <v>161</v>
      </c>
      <c r="H1291" t="s">
        <v>792</v>
      </c>
      <c r="I1291" t="s">
        <v>2116</v>
      </c>
    </row>
    <row r="1292" spans="1:9" x14ac:dyDescent="0.35">
      <c r="A1292">
        <v>1468810</v>
      </c>
      <c r="B1292" t="s">
        <v>502</v>
      </c>
      <c r="C1292" s="1">
        <v>45072</v>
      </c>
      <c r="D1292">
        <v>4116</v>
      </c>
      <c r="E1292" t="b">
        <v>0</v>
      </c>
      <c r="F1292">
        <v>185</v>
      </c>
      <c r="G1292" t="s">
        <v>161</v>
      </c>
      <c r="H1292" t="s">
        <v>346</v>
      </c>
      <c r="I1292" t="s">
        <v>2116</v>
      </c>
    </row>
    <row r="1293" spans="1:9" x14ac:dyDescent="0.35">
      <c r="A1293">
        <v>1468810</v>
      </c>
      <c r="B1293" t="s">
        <v>502</v>
      </c>
      <c r="C1293" s="1">
        <v>45072</v>
      </c>
      <c r="D1293">
        <v>4116</v>
      </c>
      <c r="E1293" t="b">
        <v>0</v>
      </c>
      <c r="F1293">
        <v>185</v>
      </c>
      <c r="G1293" t="s">
        <v>161</v>
      </c>
      <c r="H1293" t="s">
        <v>239</v>
      </c>
      <c r="I1293" t="s">
        <v>2116</v>
      </c>
    </row>
    <row r="1294" spans="1:9" x14ac:dyDescent="0.35">
      <c r="A1294">
        <v>1468810</v>
      </c>
      <c r="B1294" t="s">
        <v>502</v>
      </c>
      <c r="C1294" s="1">
        <v>45072</v>
      </c>
      <c r="D1294">
        <v>4116</v>
      </c>
      <c r="E1294" t="b">
        <v>0</v>
      </c>
      <c r="F1294">
        <v>185</v>
      </c>
      <c r="G1294" t="s">
        <v>161</v>
      </c>
      <c r="H1294" t="s">
        <v>132</v>
      </c>
      <c r="I1294" t="s">
        <v>2116</v>
      </c>
    </row>
    <row r="1295" spans="1:9" x14ac:dyDescent="0.35">
      <c r="A1295">
        <v>1468810</v>
      </c>
      <c r="B1295" t="s">
        <v>502</v>
      </c>
      <c r="C1295" s="1">
        <v>45072</v>
      </c>
      <c r="D1295">
        <v>4116</v>
      </c>
      <c r="E1295" t="b">
        <v>0</v>
      </c>
      <c r="F1295">
        <v>185</v>
      </c>
      <c r="G1295" t="s">
        <v>161</v>
      </c>
      <c r="H1295" t="s">
        <v>124</v>
      </c>
      <c r="I1295" t="s">
        <v>2117</v>
      </c>
    </row>
    <row r="1296" spans="1:9" x14ac:dyDescent="0.35">
      <c r="A1296">
        <v>1468810</v>
      </c>
      <c r="B1296" t="s">
        <v>502</v>
      </c>
      <c r="C1296" s="1">
        <v>45072</v>
      </c>
      <c r="D1296">
        <v>4116</v>
      </c>
      <c r="E1296" t="b">
        <v>0</v>
      </c>
      <c r="F1296">
        <v>185</v>
      </c>
      <c r="G1296" t="s">
        <v>161</v>
      </c>
      <c r="H1296" t="s">
        <v>1510</v>
      </c>
      <c r="I1296" t="s">
        <v>2117</v>
      </c>
    </row>
    <row r="1297" spans="1:9" x14ac:dyDescent="0.35">
      <c r="A1297">
        <v>214950</v>
      </c>
      <c r="B1297" t="s">
        <v>505</v>
      </c>
      <c r="C1297" s="1">
        <v>41519</v>
      </c>
      <c r="D1297">
        <v>3901</v>
      </c>
      <c r="E1297" t="b">
        <v>1</v>
      </c>
      <c r="F1297">
        <v>186</v>
      </c>
      <c r="G1297" t="s">
        <v>2084</v>
      </c>
      <c r="H1297" t="s">
        <v>49</v>
      </c>
      <c r="I1297" t="s">
        <v>2117</v>
      </c>
    </row>
    <row r="1298" spans="1:9" x14ac:dyDescent="0.35">
      <c r="A1298">
        <v>214950</v>
      </c>
      <c r="B1298" t="s">
        <v>505</v>
      </c>
      <c r="C1298" s="1">
        <v>41519</v>
      </c>
      <c r="D1298">
        <v>3901</v>
      </c>
      <c r="E1298" t="b">
        <v>1</v>
      </c>
      <c r="F1298">
        <v>186</v>
      </c>
      <c r="G1298" t="s">
        <v>2084</v>
      </c>
      <c r="H1298" t="s">
        <v>792</v>
      </c>
      <c r="I1298" t="s">
        <v>2117</v>
      </c>
    </row>
    <row r="1299" spans="1:9" x14ac:dyDescent="0.35">
      <c r="A1299">
        <v>214950</v>
      </c>
      <c r="B1299" t="s">
        <v>505</v>
      </c>
      <c r="C1299" s="1">
        <v>41519</v>
      </c>
      <c r="D1299">
        <v>3901</v>
      </c>
      <c r="E1299" t="b">
        <v>1</v>
      </c>
      <c r="F1299">
        <v>186</v>
      </c>
      <c r="G1299" t="s">
        <v>2084</v>
      </c>
      <c r="H1299" t="s">
        <v>346</v>
      </c>
      <c r="I1299" t="s">
        <v>2117</v>
      </c>
    </row>
    <row r="1300" spans="1:9" x14ac:dyDescent="0.35">
      <c r="A1300">
        <v>214950</v>
      </c>
      <c r="B1300" t="s">
        <v>505</v>
      </c>
      <c r="C1300" s="1">
        <v>41519</v>
      </c>
      <c r="D1300">
        <v>3901</v>
      </c>
      <c r="E1300" t="b">
        <v>1</v>
      </c>
      <c r="F1300">
        <v>186</v>
      </c>
      <c r="G1300" t="s">
        <v>2084</v>
      </c>
      <c r="H1300" t="s">
        <v>239</v>
      </c>
      <c r="I1300" t="s">
        <v>2117</v>
      </c>
    </row>
    <row r="1301" spans="1:9" x14ac:dyDescent="0.35">
      <c r="A1301">
        <v>214950</v>
      </c>
      <c r="B1301" t="s">
        <v>505</v>
      </c>
      <c r="C1301" s="1">
        <v>41519</v>
      </c>
      <c r="D1301">
        <v>3901</v>
      </c>
      <c r="E1301" t="b">
        <v>1</v>
      </c>
      <c r="F1301">
        <v>186</v>
      </c>
      <c r="G1301" t="s">
        <v>2084</v>
      </c>
      <c r="H1301" t="s">
        <v>132</v>
      </c>
      <c r="I1301" t="s">
        <v>2117</v>
      </c>
    </row>
    <row r="1302" spans="1:9" x14ac:dyDescent="0.35">
      <c r="A1302">
        <v>214950</v>
      </c>
      <c r="B1302" t="s">
        <v>505</v>
      </c>
      <c r="C1302" s="1">
        <v>41519</v>
      </c>
      <c r="D1302">
        <v>3901</v>
      </c>
      <c r="E1302" t="b">
        <v>1</v>
      </c>
      <c r="F1302">
        <v>186</v>
      </c>
      <c r="G1302" t="s">
        <v>2084</v>
      </c>
      <c r="H1302" t="s">
        <v>124</v>
      </c>
      <c r="I1302" t="s">
        <v>2116</v>
      </c>
    </row>
    <row r="1303" spans="1:9" x14ac:dyDescent="0.35">
      <c r="A1303">
        <v>214950</v>
      </c>
      <c r="B1303" t="s">
        <v>505</v>
      </c>
      <c r="C1303" s="1">
        <v>41519</v>
      </c>
      <c r="D1303">
        <v>3901</v>
      </c>
      <c r="E1303" t="b">
        <v>1</v>
      </c>
      <c r="F1303">
        <v>186</v>
      </c>
      <c r="G1303" t="s">
        <v>2084</v>
      </c>
      <c r="H1303" t="s">
        <v>1510</v>
      </c>
      <c r="I1303" t="s">
        <v>2117</v>
      </c>
    </row>
    <row r="1304" spans="1:9" x14ac:dyDescent="0.35">
      <c r="A1304">
        <v>22380</v>
      </c>
      <c r="B1304" t="s">
        <v>507</v>
      </c>
      <c r="C1304" s="1">
        <v>40470</v>
      </c>
      <c r="D1304">
        <v>3892</v>
      </c>
      <c r="E1304" t="b">
        <v>0</v>
      </c>
      <c r="F1304">
        <v>187</v>
      </c>
      <c r="G1304" t="s">
        <v>2082</v>
      </c>
      <c r="H1304" t="s">
        <v>49</v>
      </c>
      <c r="I1304" t="s">
        <v>2116</v>
      </c>
    </row>
    <row r="1305" spans="1:9" x14ac:dyDescent="0.35">
      <c r="A1305">
        <v>22380</v>
      </c>
      <c r="B1305" t="s">
        <v>507</v>
      </c>
      <c r="C1305" s="1">
        <v>40470</v>
      </c>
      <c r="D1305">
        <v>3892</v>
      </c>
      <c r="E1305" t="b">
        <v>0</v>
      </c>
      <c r="F1305">
        <v>187</v>
      </c>
      <c r="G1305" t="s">
        <v>2082</v>
      </c>
      <c r="H1305" t="s">
        <v>792</v>
      </c>
      <c r="I1305" t="s">
        <v>2117</v>
      </c>
    </row>
    <row r="1306" spans="1:9" x14ac:dyDescent="0.35">
      <c r="A1306">
        <v>22380</v>
      </c>
      <c r="B1306" t="s">
        <v>507</v>
      </c>
      <c r="C1306" s="1">
        <v>40470</v>
      </c>
      <c r="D1306">
        <v>3892</v>
      </c>
      <c r="E1306" t="b">
        <v>0</v>
      </c>
      <c r="F1306">
        <v>187</v>
      </c>
      <c r="G1306" t="s">
        <v>2082</v>
      </c>
      <c r="H1306" t="s">
        <v>346</v>
      </c>
      <c r="I1306" t="s">
        <v>2117</v>
      </c>
    </row>
    <row r="1307" spans="1:9" x14ac:dyDescent="0.35">
      <c r="A1307">
        <v>22380</v>
      </c>
      <c r="B1307" t="s">
        <v>507</v>
      </c>
      <c r="C1307" s="1">
        <v>40470</v>
      </c>
      <c r="D1307">
        <v>3892</v>
      </c>
      <c r="E1307" t="b">
        <v>0</v>
      </c>
      <c r="F1307">
        <v>187</v>
      </c>
      <c r="G1307" t="s">
        <v>2082</v>
      </c>
      <c r="H1307" t="s">
        <v>239</v>
      </c>
      <c r="I1307" t="s">
        <v>2117</v>
      </c>
    </row>
    <row r="1308" spans="1:9" x14ac:dyDescent="0.35">
      <c r="A1308">
        <v>22380</v>
      </c>
      <c r="B1308" t="s">
        <v>507</v>
      </c>
      <c r="C1308" s="1">
        <v>40470</v>
      </c>
      <c r="D1308">
        <v>3892</v>
      </c>
      <c r="E1308" t="b">
        <v>0</v>
      </c>
      <c r="F1308">
        <v>187</v>
      </c>
      <c r="G1308" t="s">
        <v>2082</v>
      </c>
      <c r="H1308" t="s">
        <v>132</v>
      </c>
      <c r="I1308" t="s">
        <v>2116</v>
      </c>
    </row>
    <row r="1309" spans="1:9" x14ac:dyDescent="0.35">
      <c r="A1309">
        <v>22380</v>
      </c>
      <c r="B1309" t="s">
        <v>507</v>
      </c>
      <c r="C1309" s="1">
        <v>40470</v>
      </c>
      <c r="D1309">
        <v>3892</v>
      </c>
      <c r="E1309" t="b">
        <v>0</v>
      </c>
      <c r="F1309">
        <v>187</v>
      </c>
      <c r="G1309" t="s">
        <v>2082</v>
      </c>
      <c r="H1309" t="s">
        <v>124</v>
      </c>
      <c r="I1309" t="s">
        <v>2117</v>
      </c>
    </row>
    <row r="1310" spans="1:9" x14ac:dyDescent="0.35">
      <c r="A1310">
        <v>22380</v>
      </c>
      <c r="B1310" t="s">
        <v>507</v>
      </c>
      <c r="C1310" s="1">
        <v>40470</v>
      </c>
      <c r="D1310">
        <v>3892</v>
      </c>
      <c r="E1310" t="b">
        <v>0</v>
      </c>
      <c r="F1310">
        <v>187</v>
      </c>
      <c r="G1310" t="s">
        <v>2082</v>
      </c>
      <c r="H1310" t="s">
        <v>1510</v>
      </c>
      <c r="I1310" t="s">
        <v>2117</v>
      </c>
    </row>
    <row r="1311" spans="1:9" x14ac:dyDescent="0.35">
      <c r="A1311">
        <v>1062090</v>
      </c>
      <c r="B1311" t="s">
        <v>509</v>
      </c>
      <c r="C1311" s="1">
        <v>44454</v>
      </c>
      <c r="D1311">
        <v>3884</v>
      </c>
      <c r="E1311" t="b">
        <v>1</v>
      </c>
      <c r="F1311">
        <v>188</v>
      </c>
      <c r="G1311" t="s">
        <v>119</v>
      </c>
      <c r="H1311" t="s">
        <v>49</v>
      </c>
      <c r="I1311" t="s">
        <v>2117</v>
      </c>
    </row>
    <row r="1312" spans="1:9" x14ac:dyDescent="0.35">
      <c r="A1312">
        <v>1062090</v>
      </c>
      <c r="B1312" t="s">
        <v>509</v>
      </c>
      <c r="C1312" s="1">
        <v>44454</v>
      </c>
      <c r="D1312">
        <v>3884</v>
      </c>
      <c r="E1312" t="b">
        <v>1</v>
      </c>
      <c r="F1312">
        <v>188</v>
      </c>
      <c r="G1312" t="s">
        <v>119</v>
      </c>
      <c r="H1312" t="s">
        <v>792</v>
      </c>
      <c r="I1312" t="s">
        <v>2116</v>
      </c>
    </row>
    <row r="1313" spans="1:9" x14ac:dyDescent="0.35">
      <c r="A1313">
        <v>1062090</v>
      </c>
      <c r="B1313" t="s">
        <v>509</v>
      </c>
      <c r="C1313" s="1">
        <v>44454</v>
      </c>
      <c r="D1313">
        <v>3884</v>
      </c>
      <c r="E1313" t="b">
        <v>1</v>
      </c>
      <c r="F1313">
        <v>188</v>
      </c>
      <c r="G1313" t="s">
        <v>119</v>
      </c>
      <c r="H1313" t="s">
        <v>346</v>
      </c>
      <c r="I1313" t="s">
        <v>2117</v>
      </c>
    </row>
    <row r="1314" spans="1:9" x14ac:dyDescent="0.35">
      <c r="A1314">
        <v>1062090</v>
      </c>
      <c r="B1314" t="s">
        <v>509</v>
      </c>
      <c r="C1314" s="1">
        <v>44454</v>
      </c>
      <c r="D1314">
        <v>3884</v>
      </c>
      <c r="E1314" t="b">
        <v>1</v>
      </c>
      <c r="F1314">
        <v>188</v>
      </c>
      <c r="G1314" t="s">
        <v>119</v>
      </c>
      <c r="H1314" t="s">
        <v>239</v>
      </c>
      <c r="I1314" t="s">
        <v>2116</v>
      </c>
    </row>
    <row r="1315" spans="1:9" x14ac:dyDescent="0.35">
      <c r="A1315">
        <v>1062090</v>
      </c>
      <c r="B1315" t="s">
        <v>509</v>
      </c>
      <c r="C1315" s="1">
        <v>44454</v>
      </c>
      <c r="D1315">
        <v>3884</v>
      </c>
      <c r="E1315" t="b">
        <v>1</v>
      </c>
      <c r="F1315">
        <v>188</v>
      </c>
      <c r="G1315" t="s">
        <v>119</v>
      </c>
      <c r="H1315" t="s">
        <v>132</v>
      </c>
      <c r="I1315" t="s">
        <v>2117</v>
      </c>
    </row>
    <row r="1316" spans="1:9" x14ac:dyDescent="0.35">
      <c r="A1316">
        <v>1062090</v>
      </c>
      <c r="B1316" t="s">
        <v>509</v>
      </c>
      <c r="C1316" s="1">
        <v>44454</v>
      </c>
      <c r="D1316">
        <v>3884</v>
      </c>
      <c r="E1316" t="b">
        <v>1</v>
      </c>
      <c r="F1316">
        <v>188</v>
      </c>
      <c r="G1316" t="s">
        <v>119</v>
      </c>
      <c r="H1316" t="s">
        <v>124</v>
      </c>
      <c r="I1316" t="s">
        <v>2116</v>
      </c>
    </row>
    <row r="1317" spans="1:9" x14ac:dyDescent="0.35">
      <c r="A1317">
        <v>1062090</v>
      </c>
      <c r="B1317" t="s">
        <v>509</v>
      </c>
      <c r="C1317" s="1">
        <v>44454</v>
      </c>
      <c r="D1317">
        <v>3884</v>
      </c>
      <c r="E1317" t="b">
        <v>1</v>
      </c>
      <c r="F1317">
        <v>188</v>
      </c>
      <c r="G1317" t="s">
        <v>119</v>
      </c>
      <c r="H1317" t="s">
        <v>1510</v>
      </c>
      <c r="I1317" t="s">
        <v>2117</v>
      </c>
    </row>
    <row r="1318" spans="1:9" x14ac:dyDescent="0.35">
      <c r="A1318">
        <v>1407200</v>
      </c>
      <c r="B1318" t="s">
        <v>511</v>
      </c>
      <c r="C1318" s="1">
        <v>44314</v>
      </c>
      <c r="D1318">
        <v>3869</v>
      </c>
      <c r="E1318" t="b">
        <v>0</v>
      </c>
      <c r="F1318">
        <v>189</v>
      </c>
      <c r="G1318" t="s">
        <v>513</v>
      </c>
      <c r="H1318" t="s">
        <v>49</v>
      </c>
      <c r="I1318" t="s">
        <v>2116</v>
      </c>
    </row>
    <row r="1319" spans="1:9" x14ac:dyDescent="0.35">
      <c r="A1319">
        <v>1407200</v>
      </c>
      <c r="B1319" t="s">
        <v>511</v>
      </c>
      <c r="C1319" s="1">
        <v>44314</v>
      </c>
      <c r="D1319">
        <v>3869</v>
      </c>
      <c r="E1319" t="b">
        <v>0</v>
      </c>
      <c r="F1319">
        <v>189</v>
      </c>
      <c r="G1319" t="s">
        <v>513</v>
      </c>
      <c r="H1319" t="s">
        <v>792</v>
      </c>
      <c r="I1319" t="s">
        <v>2117</v>
      </c>
    </row>
    <row r="1320" spans="1:9" x14ac:dyDescent="0.35">
      <c r="A1320">
        <v>1407200</v>
      </c>
      <c r="B1320" t="s">
        <v>511</v>
      </c>
      <c r="C1320" s="1">
        <v>44314</v>
      </c>
      <c r="D1320">
        <v>3869</v>
      </c>
      <c r="E1320" t="b">
        <v>0</v>
      </c>
      <c r="F1320">
        <v>189</v>
      </c>
      <c r="G1320" t="s">
        <v>513</v>
      </c>
      <c r="H1320" t="s">
        <v>346</v>
      </c>
      <c r="I1320" t="s">
        <v>2117</v>
      </c>
    </row>
    <row r="1321" spans="1:9" x14ac:dyDescent="0.35">
      <c r="A1321">
        <v>1407200</v>
      </c>
      <c r="B1321" t="s">
        <v>511</v>
      </c>
      <c r="C1321" s="1">
        <v>44314</v>
      </c>
      <c r="D1321">
        <v>3869</v>
      </c>
      <c r="E1321" t="b">
        <v>0</v>
      </c>
      <c r="F1321">
        <v>189</v>
      </c>
      <c r="G1321" t="s">
        <v>513</v>
      </c>
      <c r="H1321" t="s">
        <v>239</v>
      </c>
      <c r="I1321" t="s">
        <v>2116</v>
      </c>
    </row>
    <row r="1322" spans="1:9" x14ac:dyDescent="0.35">
      <c r="A1322">
        <v>1407200</v>
      </c>
      <c r="B1322" t="s">
        <v>511</v>
      </c>
      <c r="C1322" s="1">
        <v>44314</v>
      </c>
      <c r="D1322">
        <v>3869</v>
      </c>
      <c r="E1322" t="b">
        <v>0</v>
      </c>
      <c r="F1322">
        <v>189</v>
      </c>
      <c r="G1322" t="s">
        <v>513</v>
      </c>
      <c r="H1322" t="s">
        <v>132</v>
      </c>
      <c r="I1322" t="s">
        <v>2117</v>
      </c>
    </row>
    <row r="1323" spans="1:9" x14ac:dyDescent="0.35">
      <c r="A1323">
        <v>1407200</v>
      </c>
      <c r="B1323" t="s">
        <v>511</v>
      </c>
      <c r="C1323" s="1">
        <v>44314</v>
      </c>
      <c r="D1323">
        <v>3869</v>
      </c>
      <c r="E1323" t="b">
        <v>0</v>
      </c>
      <c r="F1323">
        <v>189</v>
      </c>
      <c r="G1323" t="s">
        <v>513</v>
      </c>
      <c r="H1323" t="s">
        <v>124</v>
      </c>
      <c r="I1323" t="s">
        <v>2117</v>
      </c>
    </row>
    <row r="1324" spans="1:9" x14ac:dyDescent="0.35">
      <c r="A1324">
        <v>1407200</v>
      </c>
      <c r="B1324" t="s">
        <v>511</v>
      </c>
      <c r="C1324" s="1">
        <v>44314</v>
      </c>
      <c r="D1324">
        <v>3869</v>
      </c>
      <c r="E1324" t="b">
        <v>0</v>
      </c>
      <c r="F1324">
        <v>189</v>
      </c>
      <c r="G1324" t="s">
        <v>513</v>
      </c>
      <c r="H1324" t="s">
        <v>1510</v>
      </c>
      <c r="I1324" t="s">
        <v>2116</v>
      </c>
    </row>
    <row r="1325" spans="1:9" x14ac:dyDescent="0.35">
      <c r="A1325">
        <v>262060</v>
      </c>
      <c r="B1325" t="s">
        <v>514</v>
      </c>
      <c r="C1325" s="1">
        <v>42388</v>
      </c>
      <c r="D1325">
        <v>3848</v>
      </c>
      <c r="E1325" t="b">
        <v>1</v>
      </c>
      <c r="F1325">
        <v>190</v>
      </c>
      <c r="G1325" t="s">
        <v>33</v>
      </c>
      <c r="H1325" t="s">
        <v>49</v>
      </c>
      <c r="I1325" t="s">
        <v>2117</v>
      </c>
    </row>
    <row r="1326" spans="1:9" x14ac:dyDescent="0.35">
      <c r="A1326">
        <v>262060</v>
      </c>
      <c r="B1326" t="s">
        <v>514</v>
      </c>
      <c r="C1326" s="1">
        <v>42388</v>
      </c>
      <c r="D1326">
        <v>3848</v>
      </c>
      <c r="E1326" t="b">
        <v>1</v>
      </c>
      <c r="F1326">
        <v>190</v>
      </c>
      <c r="G1326" t="s">
        <v>33</v>
      </c>
      <c r="H1326" t="s">
        <v>792</v>
      </c>
      <c r="I1326" t="s">
        <v>2116</v>
      </c>
    </row>
    <row r="1327" spans="1:9" x14ac:dyDescent="0.35">
      <c r="A1327">
        <v>262060</v>
      </c>
      <c r="B1327" t="s">
        <v>514</v>
      </c>
      <c r="C1327" s="1">
        <v>42388</v>
      </c>
      <c r="D1327">
        <v>3848</v>
      </c>
      <c r="E1327" t="b">
        <v>1</v>
      </c>
      <c r="F1327">
        <v>190</v>
      </c>
      <c r="G1327" t="s">
        <v>33</v>
      </c>
      <c r="H1327" t="s">
        <v>346</v>
      </c>
      <c r="I1327" t="s">
        <v>2117</v>
      </c>
    </row>
    <row r="1328" spans="1:9" x14ac:dyDescent="0.35">
      <c r="A1328">
        <v>262060</v>
      </c>
      <c r="B1328" t="s">
        <v>514</v>
      </c>
      <c r="C1328" s="1">
        <v>42388</v>
      </c>
      <c r="D1328">
        <v>3848</v>
      </c>
      <c r="E1328" t="b">
        <v>1</v>
      </c>
      <c r="F1328">
        <v>190</v>
      </c>
      <c r="G1328" t="s">
        <v>33</v>
      </c>
      <c r="H1328" t="s">
        <v>239</v>
      </c>
      <c r="I1328" t="s">
        <v>2117</v>
      </c>
    </row>
    <row r="1329" spans="1:9" x14ac:dyDescent="0.35">
      <c r="A1329">
        <v>262060</v>
      </c>
      <c r="B1329" t="s">
        <v>514</v>
      </c>
      <c r="C1329" s="1">
        <v>42388</v>
      </c>
      <c r="D1329">
        <v>3848</v>
      </c>
      <c r="E1329" t="b">
        <v>1</v>
      </c>
      <c r="F1329">
        <v>190</v>
      </c>
      <c r="G1329" t="s">
        <v>33</v>
      </c>
      <c r="H1329" t="s">
        <v>132</v>
      </c>
      <c r="I1329" t="s">
        <v>2116</v>
      </c>
    </row>
    <row r="1330" spans="1:9" x14ac:dyDescent="0.35">
      <c r="A1330">
        <v>262060</v>
      </c>
      <c r="B1330" t="s">
        <v>514</v>
      </c>
      <c r="C1330" s="1">
        <v>42388</v>
      </c>
      <c r="D1330">
        <v>3848</v>
      </c>
      <c r="E1330" t="b">
        <v>1</v>
      </c>
      <c r="F1330">
        <v>190</v>
      </c>
      <c r="G1330" t="s">
        <v>33</v>
      </c>
      <c r="H1330" t="s">
        <v>124</v>
      </c>
      <c r="I1330" t="s">
        <v>2116</v>
      </c>
    </row>
    <row r="1331" spans="1:9" x14ac:dyDescent="0.35">
      <c r="A1331">
        <v>262060</v>
      </c>
      <c r="B1331" t="s">
        <v>514</v>
      </c>
      <c r="C1331" s="1">
        <v>42388</v>
      </c>
      <c r="D1331">
        <v>3848</v>
      </c>
      <c r="E1331" t="b">
        <v>1</v>
      </c>
      <c r="F1331">
        <v>190</v>
      </c>
      <c r="G1331" t="s">
        <v>33</v>
      </c>
      <c r="H1331" t="s">
        <v>1510</v>
      </c>
      <c r="I1331" t="s">
        <v>2117</v>
      </c>
    </row>
    <row r="1332" spans="1:9" x14ac:dyDescent="0.35">
      <c r="A1332">
        <v>945360</v>
      </c>
      <c r="B1332" t="s">
        <v>517</v>
      </c>
      <c r="C1332" s="1">
        <v>43420</v>
      </c>
      <c r="D1332">
        <v>3832</v>
      </c>
      <c r="E1332" t="b">
        <v>0</v>
      </c>
      <c r="F1332">
        <v>191</v>
      </c>
      <c r="G1332" t="s">
        <v>110</v>
      </c>
      <c r="H1332" t="s">
        <v>49</v>
      </c>
      <c r="I1332" t="s">
        <v>2117</v>
      </c>
    </row>
    <row r="1333" spans="1:9" x14ac:dyDescent="0.35">
      <c r="A1333">
        <v>945360</v>
      </c>
      <c r="B1333" t="s">
        <v>517</v>
      </c>
      <c r="C1333" s="1">
        <v>43420</v>
      </c>
      <c r="D1333">
        <v>3832</v>
      </c>
      <c r="E1333" t="b">
        <v>0</v>
      </c>
      <c r="F1333">
        <v>191</v>
      </c>
      <c r="G1333" t="s">
        <v>110</v>
      </c>
      <c r="H1333" t="s">
        <v>792</v>
      </c>
      <c r="I1333" t="s">
        <v>2117</v>
      </c>
    </row>
    <row r="1334" spans="1:9" x14ac:dyDescent="0.35">
      <c r="A1334">
        <v>945360</v>
      </c>
      <c r="B1334" t="s">
        <v>517</v>
      </c>
      <c r="C1334" s="1">
        <v>43420</v>
      </c>
      <c r="D1334">
        <v>3832</v>
      </c>
      <c r="E1334" t="b">
        <v>0</v>
      </c>
      <c r="F1334">
        <v>191</v>
      </c>
      <c r="G1334" t="s">
        <v>110</v>
      </c>
      <c r="H1334" t="s">
        <v>346</v>
      </c>
      <c r="I1334" t="s">
        <v>2117</v>
      </c>
    </row>
    <row r="1335" spans="1:9" x14ac:dyDescent="0.35">
      <c r="A1335">
        <v>945360</v>
      </c>
      <c r="B1335" t="s">
        <v>517</v>
      </c>
      <c r="C1335" s="1">
        <v>43420</v>
      </c>
      <c r="D1335">
        <v>3832</v>
      </c>
      <c r="E1335" t="b">
        <v>0</v>
      </c>
      <c r="F1335">
        <v>191</v>
      </c>
      <c r="G1335" t="s">
        <v>110</v>
      </c>
      <c r="H1335" t="s">
        <v>239</v>
      </c>
      <c r="I1335" t="s">
        <v>2117</v>
      </c>
    </row>
    <row r="1336" spans="1:9" x14ac:dyDescent="0.35">
      <c r="A1336">
        <v>945360</v>
      </c>
      <c r="B1336" t="s">
        <v>517</v>
      </c>
      <c r="C1336" s="1">
        <v>43420</v>
      </c>
      <c r="D1336">
        <v>3832</v>
      </c>
      <c r="E1336" t="b">
        <v>0</v>
      </c>
      <c r="F1336">
        <v>191</v>
      </c>
      <c r="G1336" t="s">
        <v>110</v>
      </c>
      <c r="H1336" t="s">
        <v>132</v>
      </c>
      <c r="I1336" t="s">
        <v>2117</v>
      </c>
    </row>
    <row r="1337" spans="1:9" x14ac:dyDescent="0.35">
      <c r="A1337">
        <v>945360</v>
      </c>
      <c r="B1337" t="s">
        <v>517</v>
      </c>
      <c r="C1337" s="1">
        <v>43420</v>
      </c>
      <c r="D1337">
        <v>3832</v>
      </c>
      <c r="E1337" t="b">
        <v>0</v>
      </c>
      <c r="F1337">
        <v>191</v>
      </c>
      <c r="G1337" t="s">
        <v>110</v>
      </c>
      <c r="H1337" t="s">
        <v>124</v>
      </c>
      <c r="I1337" t="s">
        <v>2117</v>
      </c>
    </row>
    <row r="1338" spans="1:9" x14ac:dyDescent="0.35">
      <c r="A1338">
        <v>945360</v>
      </c>
      <c r="B1338" t="s">
        <v>517</v>
      </c>
      <c r="C1338" s="1">
        <v>43420</v>
      </c>
      <c r="D1338">
        <v>3832</v>
      </c>
      <c r="E1338" t="b">
        <v>0</v>
      </c>
      <c r="F1338">
        <v>191</v>
      </c>
      <c r="G1338" t="s">
        <v>110</v>
      </c>
      <c r="H1338" t="s">
        <v>1510</v>
      </c>
      <c r="I1338" t="s">
        <v>2117</v>
      </c>
    </row>
    <row r="1339" spans="1:9" x14ac:dyDescent="0.35">
      <c r="A1339">
        <v>2050650</v>
      </c>
      <c r="B1339" t="s">
        <v>520</v>
      </c>
      <c r="C1339" s="1">
        <v>45008</v>
      </c>
      <c r="D1339">
        <v>3748</v>
      </c>
      <c r="E1339" t="b">
        <v>0</v>
      </c>
      <c r="F1339">
        <v>192</v>
      </c>
      <c r="G1339" t="s">
        <v>486</v>
      </c>
      <c r="H1339" t="s">
        <v>49</v>
      </c>
      <c r="I1339" t="s">
        <v>2116</v>
      </c>
    </row>
    <row r="1340" spans="1:9" x14ac:dyDescent="0.35">
      <c r="A1340">
        <v>2050650</v>
      </c>
      <c r="B1340" t="s">
        <v>520</v>
      </c>
      <c r="C1340" s="1">
        <v>45008</v>
      </c>
      <c r="D1340">
        <v>3748</v>
      </c>
      <c r="E1340" t="b">
        <v>0</v>
      </c>
      <c r="F1340">
        <v>192</v>
      </c>
      <c r="G1340" t="s">
        <v>486</v>
      </c>
      <c r="H1340" t="s">
        <v>792</v>
      </c>
      <c r="I1340" t="s">
        <v>2117</v>
      </c>
    </row>
    <row r="1341" spans="1:9" x14ac:dyDescent="0.35">
      <c r="A1341">
        <v>2050650</v>
      </c>
      <c r="B1341" t="s">
        <v>520</v>
      </c>
      <c r="C1341" s="1">
        <v>45008</v>
      </c>
      <c r="D1341">
        <v>3748</v>
      </c>
      <c r="E1341" t="b">
        <v>0</v>
      </c>
      <c r="F1341">
        <v>192</v>
      </c>
      <c r="G1341" t="s">
        <v>486</v>
      </c>
      <c r="H1341" t="s">
        <v>346</v>
      </c>
      <c r="I1341" t="s">
        <v>2116</v>
      </c>
    </row>
    <row r="1342" spans="1:9" x14ac:dyDescent="0.35">
      <c r="A1342">
        <v>2050650</v>
      </c>
      <c r="B1342" t="s">
        <v>520</v>
      </c>
      <c r="C1342" s="1">
        <v>45008</v>
      </c>
      <c r="D1342">
        <v>3748</v>
      </c>
      <c r="E1342" t="b">
        <v>0</v>
      </c>
      <c r="F1342">
        <v>192</v>
      </c>
      <c r="G1342" t="s">
        <v>486</v>
      </c>
      <c r="H1342" t="s">
        <v>239</v>
      </c>
      <c r="I1342" t="s">
        <v>2117</v>
      </c>
    </row>
    <row r="1343" spans="1:9" x14ac:dyDescent="0.35">
      <c r="A1343">
        <v>2050650</v>
      </c>
      <c r="B1343" t="s">
        <v>520</v>
      </c>
      <c r="C1343" s="1">
        <v>45008</v>
      </c>
      <c r="D1343">
        <v>3748</v>
      </c>
      <c r="E1343" t="b">
        <v>0</v>
      </c>
      <c r="F1343">
        <v>192</v>
      </c>
      <c r="G1343" t="s">
        <v>486</v>
      </c>
      <c r="H1343" t="s">
        <v>132</v>
      </c>
      <c r="I1343" t="s">
        <v>2117</v>
      </c>
    </row>
    <row r="1344" spans="1:9" x14ac:dyDescent="0.35">
      <c r="A1344">
        <v>2050650</v>
      </c>
      <c r="B1344" t="s">
        <v>520</v>
      </c>
      <c r="C1344" s="1">
        <v>45008</v>
      </c>
      <c r="D1344">
        <v>3748</v>
      </c>
      <c r="E1344" t="b">
        <v>0</v>
      </c>
      <c r="F1344">
        <v>192</v>
      </c>
      <c r="G1344" t="s">
        <v>486</v>
      </c>
      <c r="H1344" t="s">
        <v>124</v>
      </c>
      <c r="I1344" t="s">
        <v>2117</v>
      </c>
    </row>
    <row r="1345" spans="1:9" x14ac:dyDescent="0.35">
      <c r="A1345">
        <v>2050650</v>
      </c>
      <c r="B1345" t="s">
        <v>520</v>
      </c>
      <c r="C1345" s="1">
        <v>45008</v>
      </c>
      <c r="D1345">
        <v>3748</v>
      </c>
      <c r="E1345" t="b">
        <v>0</v>
      </c>
      <c r="F1345">
        <v>192</v>
      </c>
      <c r="G1345" t="s">
        <v>486</v>
      </c>
      <c r="H1345" t="s">
        <v>1510</v>
      </c>
      <c r="I1345" t="s">
        <v>2117</v>
      </c>
    </row>
    <row r="1346" spans="1:9" x14ac:dyDescent="0.35">
      <c r="A1346">
        <v>1304930</v>
      </c>
      <c r="B1346" t="s">
        <v>522</v>
      </c>
      <c r="C1346" s="1">
        <v>45356</v>
      </c>
      <c r="D1346">
        <v>3743</v>
      </c>
      <c r="E1346" t="b">
        <v>0</v>
      </c>
      <c r="F1346">
        <v>193</v>
      </c>
      <c r="G1346" t="s">
        <v>175</v>
      </c>
      <c r="H1346" t="s">
        <v>49</v>
      </c>
      <c r="I1346" t="s">
        <v>2116</v>
      </c>
    </row>
    <row r="1347" spans="1:9" x14ac:dyDescent="0.35">
      <c r="A1347">
        <v>1304930</v>
      </c>
      <c r="B1347" t="s">
        <v>522</v>
      </c>
      <c r="C1347" s="1">
        <v>45356</v>
      </c>
      <c r="D1347">
        <v>3743</v>
      </c>
      <c r="E1347" t="b">
        <v>0</v>
      </c>
      <c r="F1347">
        <v>193</v>
      </c>
      <c r="G1347" t="s">
        <v>175</v>
      </c>
      <c r="H1347" t="s">
        <v>792</v>
      </c>
      <c r="I1347" t="s">
        <v>2116</v>
      </c>
    </row>
    <row r="1348" spans="1:9" x14ac:dyDescent="0.35">
      <c r="A1348">
        <v>1304930</v>
      </c>
      <c r="B1348" t="s">
        <v>522</v>
      </c>
      <c r="C1348" s="1">
        <v>45356</v>
      </c>
      <c r="D1348">
        <v>3743</v>
      </c>
      <c r="E1348" t="b">
        <v>0</v>
      </c>
      <c r="F1348">
        <v>193</v>
      </c>
      <c r="G1348" t="s">
        <v>175</v>
      </c>
      <c r="H1348" t="s">
        <v>346</v>
      </c>
      <c r="I1348" t="s">
        <v>2116</v>
      </c>
    </row>
    <row r="1349" spans="1:9" x14ac:dyDescent="0.35">
      <c r="A1349">
        <v>1304930</v>
      </c>
      <c r="B1349" t="s">
        <v>522</v>
      </c>
      <c r="C1349" s="1">
        <v>45356</v>
      </c>
      <c r="D1349">
        <v>3743</v>
      </c>
      <c r="E1349" t="b">
        <v>0</v>
      </c>
      <c r="F1349">
        <v>193</v>
      </c>
      <c r="G1349" t="s">
        <v>175</v>
      </c>
      <c r="H1349" t="s">
        <v>239</v>
      </c>
      <c r="I1349" t="s">
        <v>2117</v>
      </c>
    </row>
    <row r="1350" spans="1:9" x14ac:dyDescent="0.35">
      <c r="A1350">
        <v>1304930</v>
      </c>
      <c r="B1350" t="s">
        <v>522</v>
      </c>
      <c r="C1350" s="1">
        <v>45356</v>
      </c>
      <c r="D1350">
        <v>3743</v>
      </c>
      <c r="E1350" t="b">
        <v>0</v>
      </c>
      <c r="F1350">
        <v>193</v>
      </c>
      <c r="G1350" t="s">
        <v>175</v>
      </c>
      <c r="H1350" t="s">
        <v>132</v>
      </c>
      <c r="I1350" t="s">
        <v>2117</v>
      </c>
    </row>
    <row r="1351" spans="1:9" x14ac:dyDescent="0.35">
      <c r="A1351">
        <v>1304930</v>
      </c>
      <c r="B1351" t="s">
        <v>522</v>
      </c>
      <c r="C1351" s="1">
        <v>45356</v>
      </c>
      <c r="D1351">
        <v>3743</v>
      </c>
      <c r="E1351" t="b">
        <v>0</v>
      </c>
      <c r="F1351">
        <v>193</v>
      </c>
      <c r="G1351" t="s">
        <v>175</v>
      </c>
      <c r="H1351" t="s">
        <v>124</v>
      </c>
      <c r="I1351" t="s">
        <v>2117</v>
      </c>
    </row>
    <row r="1352" spans="1:9" x14ac:dyDescent="0.35">
      <c r="A1352">
        <v>1304930</v>
      </c>
      <c r="B1352" t="s">
        <v>522</v>
      </c>
      <c r="C1352" s="1">
        <v>45356</v>
      </c>
      <c r="D1352">
        <v>3743</v>
      </c>
      <c r="E1352" t="b">
        <v>0</v>
      </c>
      <c r="F1352">
        <v>193</v>
      </c>
      <c r="G1352" t="s">
        <v>175</v>
      </c>
      <c r="H1352" t="s">
        <v>1510</v>
      </c>
      <c r="I1352" t="s">
        <v>2117</v>
      </c>
    </row>
    <row r="1353" spans="1:9" x14ac:dyDescent="0.35">
      <c r="A1353">
        <v>1716740</v>
      </c>
      <c r="B1353" t="s">
        <v>524</v>
      </c>
      <c r="C1353" s="1">
        <v>45174</v>
      </c>
      <c r="D1353">
        <v>3725</v>
      </c>
      <c r="E1353" t="b">
        <v>0</v>
      </c>
      <c r="F1353">
        <v>194</v>
      </c>
      <c r="G1353" t="s">
        <v>223</v>
      </c>
      <c r="H1353" t="s">
        <v>49</v>
      </c>
      <c r="I1353" t="s">
        <v>2117</v>
      </c>
    </row>
    <row r="1354" spans="1:9" x14ac:dyDescent="0.35">
      <c r="A1354">
        <v>1716740</v>
      </c>
      <c r="B1354" t="s">
        <v>524</v>
      </c>
      <c r="C1354" s="1">
        <v>45174</v>
      </c>
      <c r="D1354">
        <v>3725</v>
      </c>
      <c r="E1354" t="b">
        <v>0</v>
      </c>
      <c r="F1354">
        <v>194</v>
      </c>
      <c r="G1354" t="s">
        <v>223</v>
      </c>
      <c r="H1354" t="s">
        <v>792</v>
      </c>
      <c r="I1354" t="s">
        <v>2117</v>
      </c>
    </row>
    <row r="1355" spans="1:9" x14ac:dyDescent="0.35">
      <c r="A1355">
        <v>1716740</v>
      </c>
      <c r="B1355" t="s">
        <v>524</v>
      </c>
      <c r="C1355" s="1">
        <v>45174</v>
      </c>
      <c r="D1355">
        <v>3725</v>
      </c>
      <c r="E1355" t="b">
        <v>0</v>
      </c>
      <c r="F1355">
        <v>194</v>
      </c>
      <c r="G1355" t="s">
        <v>223</v>
      </c>
      <c r="H1355" t="s">
        <v>346</v>
      </c>
      <c r="I1355" t="s">
        <v>2117</v>
      </c>
    </row>
    <row r="1356" spans="1:9" x14ac:dyDescent="0.35">
      <c r="A1356">
        <v>1716740</v>
      </c>
      <c r="B1356" t="s">
        <v>524</v>
      </c>
      <c r="C1356" s="1">
        <v>45174</v>
      </c>
      <c r="D1356">
        <v>3725</v>
      </c>
      <c r="E1356" t="b">
        <v>0</v>
      </c>
      <c r="F1356">
        <v>194</v>
      </c>
      <c r="G1356" t="s">
        <v>223</v>
      </c>
      <c r="H1356" t="s">
        <v>239</v>
      </c>
      <c r="I1356" t="s">
        <v>2117</v>
      </c>
    </row>
    <row r="1357" spans="1:9" x14ac:dyDescent="0.35">
      <c r="A1357">
        <v>1716740</v>
      </c>
      <c r="B1357" t="s">
        <v>524</v>
      </c>
      <c r="C1357" s="1">
        <v>45174</v>
      </c>
      <c r="D1357">
        <v>3725</v>
      </c>
      <c r="E1357" t="b">
        <v>0</v>
      </c>
      <c r="F1357">
        <v>194</v>
      </c>
      <c r="G1357" t="s">
        <v>223</v>
      </c>
      <c r="H1357" t="s">
        <v>132</v>
      </c>
      <c r="I1357" t="s">
        <v>2116</v>
      </c>
    </row>
    <row r="1358" spans="1:9" x14ac:dyDescent="0.35">
      <c r="A1358">
        <v>1716740</v>
      </c>
      <c r="B1358" t="s">
        <v>524</v>
      </c>
      <c r="C1358" s="1">
        <v>45174</v>
      </c>
      <c r="D1358">
        <v>3725</v>
      </c>
      <c r="E1358" t="b">
        <v>0</v>
      </c>
      <c r="F1358">
        <v>194</v>
      </c>
      <c r="G1358" t="s">
        <v>223</v>
      </c>
      <c r="H1358" t="s">
        <v>124</v>
      </c>
      <c r="I1358" t="s">
        <v>2117</v>
      </c>
    </row>
    <row r="1359" spans="1:9" x14ac:dyDescent="0.35">
      <c r="A1359">
        <v>1716740</v>
      </c>
      <c r="B1359" t="s">
        <v>524</v>
      </c>
      <c r="C1359" s="1">
        <v>45174</v>
      </c>
      <c r="D1359">
        <v>3725</v>
      </c>
      <c r="E1359" t="b">
        <v>0</v>
      </c>
      <c r="F1359">
        <v>194</v>
      </c>
      <c r="G1359" t="s">
        <v>223</v>
      </c>
      <c r="H1359" t="s">
        <v>1510</v>
      </c>
      <c r="I1359" t="s">
        <v>2117</v>
      </c>
    </row>
    <row r="1360" spans="1:9" x14ac:dyDescent="0.35">
      <c r="A1360">
        <v>8500</v>
      </c>
      <c r="B1360" t="s">
        <v>526</v>
      </c>
      <c r="C1360" s="1">
        <v>40527</v>
      </c>
      <c r="D1360">
        <v>3705</v>
      </c>
      <c r="E1360" t="b">
        <v>1</v>
      </c>
      <c r="F1360">
        <v>195</v>
      </c>
      <c r="G1360" t="s">
        <v>2084</v>
      </c>
      <c r="H1360" t="s">
        <v>49</v>
      </c>
      <c r="I1360" t="s">
        <v>2116</v>
      </c>
    </row>
    <row r="1361" spans="1:9" x14ac:dyDescent="0.35">
      <c r="A1361">
        <v>8500</v>
      </c>
      <c r="B1361" t="s">
        <v>526</v>
      </c>
      <c r="C1361" s="1">
        <v>40527</v>
      </c>
      <c r="D1361">
        <v>3705</v>
      </c>
      <c r="E1361" t="b">
        <v>1</v>
      </c>
      <c r="F1361">
        <v>195</v>
      </c>
      <c r="G1361" t="s">
        <v>2084</v>
      </c>
      <c r="H1361" t="s">
        <v>792</v>
      </c>
      <c r="I1361" t="s">
        <v>2117</v>
      </c>
    </row>
    <row r="1362" spans="1:9" x14ac:dyDescent="0.35">
      <c r="A1362">
        <v>8500</v>
      </c>
      <c r="B1362" t="s">
        <v>526</v>
      </c>
      <c r="C1362" s="1">
        <v>40527</v>
      </c>
      <c r="D1362">
        <v>3705</v>
      </c>
      <c r="E1362" t="b">
        <v>1</v>
      </c>
      <c r="F1362">
        <v>195</v>
      </c>
      <c r="G1362" t="s">
        <v>2084</v>
      </c>
      <c r="H1362" t="s">
        <v>346</v>
      </c>
      <c r="I1362" t="s">
        <v>2117</v>
      </c>
    </row>
    <row r="1363" spans="1:9" x14ac:dyDescent="0.35">
      <c r="A1363">
        <v>8500</v>
      </c>
      <c r="B1363" t="s">
        <v>526</v>
      </c>
      <c r="C1363" s="1">
        <v>40527</v>
      </c>
      <c r="D1363">
        <v>3705</v>
      </c>
      <c r="E1363" t="b">
        <v>1</v>
      </c>
      <c r="F1363">
        <v>195</v>
      </c>
      <c r="G1363" t="s">
        <v>2084</v>
      </c>
      <c r="H1363" t="s">
        <v>239</v>
      </c>
      <c r="I1363" t="s">
        <v>2117</v>
      </c>
    </row>
    <row r="1364" spans="1:9" x14ac:dyDescent="0.35">
      <c r="A1364">
        <v>8500</v>
      </c>
      <c r="B1364" t="s">
        <v>526</v>
      </c>
      <c r="C1364" s="1">
        <v>40527</v>
      </c>
      <c r="D1364">
        <v>3705</v>
      </c>
      <c r="E1364" t="b">
        <v>1</v>
      </c>
      <c r="F1364">
        <v>195</v>
      </c>
      <c r="G1364" t="s">
        <v>2084</v>
      </c>
      <c r="H1364" t="s">
        <v>132</v>
      </c>
      <c r="I1364" t="s">
        <v>2116</v>
      </c>
    </row>
    <row r="1365" spans="1:9" x14ac:dyDescent="0.35">
      <c r="A1365">
        <v>8500</v>
      </c>
      <c r="B1365" t="s">
        <v>526</v>
      </c>
      <c r="C1365" s="1">
        <v>40527</v>
      </c>
      <c r="D1365">
        <v>3705</v>
      </c>
      <c r="E1365" t="b">
        <v>1</v>
      </c>
      <c r="F1365">
        <v>195</v>
      </c>
      <c r="G1365" t="s">
        <v>2084</v>
      </c>
      <c r="H1365" t="s">
        <v>124</v>
      </c>
      <c r="I1365" t="s">
        <v>2116</v>
      </c>
    </row>
    <row r="1366" spans="1:9" x14ac:dyDescent="0.35">
      <c r="A1366">
        <v>8500</v>
      </c>
      <c r="B1366" t="s">
        <v>526</v>
      </c>
      <c r="C1366" s="1">
        <v>40527</v>
      </c>
      <c r="D1366">
        <v>3705</v>
      </c>
      <c r="E1366" t="b">
        <v>1</v>
      </c>
      <c r="F1366">
        <v>195</v>
      </c>
      <c r="G1366" t="s">
        <v>2084</v>
      </c>
      <c r="H1366" t="s">
        <v>1510</v>
      </c>
      <c r="I1366" t="s">
        <v>2116</v>
      </c>
    </row>
    <row r="1367" spans="1:9" x14ac:dyDescent="0.35">
      <c r="A1367">
        <v>1621690</v>
      </c>
      <c r="B1367" t="s">
        <v>529</v>
      </c>
      <c r="C1367" s="1">
        <v>45531</v>
      </c>
      <c r="D1367">
        <v>3688</v>
      </c>
      <c r="E1367" t="b">
        <v>0</v>
      </c>
      <c r="F1367">
        <v>196</v>
      </c>
      <c r="G1367" t="s">
        <v>133</v>
      </c>
      <c r="H1367" t="s">
        <v>49</v>
      </c>
      <c r="I1367" t="s">
        <v>2116</v>
      </c>
    </row>
    <row r="1368" spans="1:9" x14ac:dyDescent="0.35">
      <c r="A1368">
        <v>1621690</v>
      </c>
      <c r="B1368" t="s">
        <v>529</v>
      </c>
      <c r="C1368" s="1">
        <v>45531</v>
      </c>
      <c r="D1368">
        <v>3688</v>
      </c>
      <c r="E1368" t="b">
        <v>0</v>
      </c>
      <c r="F1368">
        <v>196</v>
      </c>
      <c r="G1368" t="s">
        <v>133</v>
      </c>
      <c r="H1368" t="s">
        <v>792</v>
      </c>
      <c r="I1368" t="s">
        <v>2116</v>
      </c>
    </row>
    <row r="1369" spans="1:9" x14ac:dyDescent="0.35">
      <c r="A1369">
        <v>1621690</v>
      </c>
      <c r="B1369" t="s">
        <v>529</v>
      </c>
      <c r="C1369" s="1">
        <v>45531</v>
      </c>
      <c r="D1369">
        <v>3688</v>
      </c>
      <c r="E1369" t="b">
        <v>0</v>
      </c>
      <c r="F1369">
        <v>196</v>
      </c>
      <c r="G1369" t="s">
        <v>133</v>
      </c>
      <c r="H1369" t="s">
        <v>346</v>
      </c>
      <c r="I1369" t="s">
        <v>2116</v>
      </c>
    </row>
    <row r="1370" spans="1:9" x14ac:dyDescent="0.35">
      <c r="A1370">
        <v>1621690</v>
      </c>
      <c r="B1370" t="s">
        <v>529</v>
      </c>
      <c r="C1370" s="1">
        <v>45531</v>
      </c>
      <c r="D1370">
        <v>3688</v>
      </c>
      <c r="E1370" t="b">
        <v>0</v>
      </c>
      <c r="F1370">
        <v>196</v>
      </c>
      <c r="G1370" t="s">
        <v>133</v>
      </c>
      <c r="H1370" t="s">
        <v>239</v>
      </c>
      <c r="I1370" t="s">
        <v>2116</v>
      </c>
    </row>
    <row r="1371" spans="1:9" x14ac:dyDescent="0.35">
      <c r="A1371">
        <v>1621690</v>
      </c>
      <c r="B1371" t="s">
        <v>529</v>
      </c>
      <c r="C1371" s="1">
        <v>45531</v>
      </c>
      <c r="D1371">
        <v>3688</v>
      </c>
      <c r="E1371" t="b">
        <v>0</v>
      </c>
      <c r="F1371">
        <v>196</v>
      </c>
      <c r="G1371" t="s">
        <v>133</v>
      </c>
      <c r="H1371" t="s">
        <v>132</v>
      </c>
      <c r="I1371" t="s">
        <v>2116</v>
      </c>
    </row>
    <row r="1372" spans="1:9" x14ac:dyDescent="0.35">
      <c r="A1372">
        <v>1621690</v>
      </c>
      <c r="B1372" t="s">
        <v>529</v>
      </c>
      <c r="C1372" s="1">
        <v>45531</v>
      </c>
      <c r="D1372">
        <v>3688</v>
      </c>
      <c r="E1372" t="b">
        <v>0</v>
      </c>
      <c r="F1372">
        <v>196</v>
      </c>
      <c r="G1372" t="s">
        <v>133</v>
      </c>
      <c r="H1372" t="s">
        <v>124</v>
      </c>
      <c r="I1372" t="s">
        <v>2117</v>
      </c>
    </row>
    <row r="1373" spans="1:9" x14ac:dyDescent="0.35">
      <c r="A1373">
        <v>1621690</v>
      </c>
      <c r="B1373" t="s">
        <v>529</v>
      </c>
      <c r="C1373" s="1">
        <v>45531</v>
      </c>
      <c r="D1373">
        <v>3688</v>
      </c>
      <c r="E1373" t="b">
        <v>0</v>
      </c>
      <c r="F1373">
        <v>196</v>
      </c>
      <c r="G1373" t="s">
        <v>133</v>
      </c>
      <c r="H1373" t="s">
        <v>1510</v>
      </c>
      <c r="I1373" t="s">
        <v>2117</v>
      </c>
    </row>
    <row r="1374" spans="1:9" x14ac:dyDescent="0.35">
      <c r="A1374">
        <v>1446780</v>
      </c>
      <c r="B1374" t="s">
        <v>531</v>
      </c>
      <c r="C1374" s="1">
        <v>44573</v>
      </c>
      <c r="D1374">
        <v>3658</v>
      </c>
      <c r="E1374" t="b">
        <v>0</v>
      </c>
      <c r="F1374">
        <v>197</v>
      </c>
      <c r="G1374" t="s">
        <v>53</v>
      </c>
      <c r="H1374" t="s">
        <v>49</v>
      </c>
      <c r="I1374" t="s">
        <v>2116</v>
      </c>
    </row>
    <row r="1375" spans="1:9" x14ac:dyDescent="0.35">
      <c r="A1375">
        <v>1446780</v>
      </c>
      <c r="B1375" t="s">
        <v>531</v>
      </c>
      <c r="C1375" s="1">
        <v>44573</v>
      </c>
      <c r="D1375">
        <v>3658</v>
      </c>
      <c r="E1375" t="b">
        <v>0</v>
      </c>
      <c r="F1375">
        <v>197</v>
      </c>
      <c r="G1375" t="s">
        <v>53</v>
      </c>
      <c r="H1375" t="s">
        <v>792</v>
      </c>
      <c r="I1375" t="s">
        <v>2117</v>
      </c>
    </row>
    <row r="1376" spans="1:9" x14ac:dyDescent="0.35">
      <c r="A1376">
        <v>1446780</v>
      </c>
      <c r="B1376" t="s">
        <v>531</v>
      </c>
      <c r="C1376" s="1">
        <v>44573</v>
      </c>
      <c r="D1376">
        <v>3658</v>
      </c>
      <c r="E1376" t="b">
        <v>0</v>
      </c>
      <c r="F1376">
        <v>197</v>
      </c>
      <c r="G1376" t="s">
        <v>53</v>
      </c>
      <c r="H1376" t="s">
        <v>346</v>
      </c>
      <c r="I1376" t="s">
        <v>2117</v>
      </c>
    </row>
    <row r="1377" spans="1:9" x14ac:dyDescent="0.35">
      <c r="A1377">
        <v>1446780</v>
      </c>
      <c r="B1377" t="s">
        <v>531</v>
      </c>
      <c r="C1377" s="1">
        <v>44573</v>
      </c>
      <c r="D1377">
        <v>3658</v>
      </c>
      <c r="E1377" t="b">
        <v>0</v>
      </c>
      <c r="F1377">
        <v>197</v>
      </c>
      <c r="G1377" t="s">
        <v>53</v>
      </c>
      <c r="H1377" t="s">
        <v>239</v>
      </c>
      <c r="I1377" t="s">
        <v>2117</v>
      </c>
    </row>
    <row r="1378" spans="1:9" x14ac:dyDescent="0.35">
      <c r="A1378">
        <v>1446780</v>
      </c>
      <c r="B1378" t="s">
        <v>531</v>
      </c>
      <c r="C1378" s="1">
        <v>44573</v>
      </c>
      <c r="D1378">
        <v>3658</v>
      </c>
      <c r="E1378" t="b">
        <v>0</v>
      </c>
      <c r="F1378">
        <v>197</v>
      </c>
      <c r="G1378" t="s">
        <v>53</v>
      </c>
      <c r="H1378" t="s">
        <v>132</v>
      </c>
      <c r="I1378" t="s">
        <v>2117</v>
      </c>
    </row>
    <row r="1379" spans="1:9" x14ac:dyDescent="0.35">
      <c r="A1379">
        <v>1446780</v>
      </c>
      <c r="B1379" t="s">
        <v>531</v>
      </c>
      <c r="C1379" s="1">
        <v>44573</v>
      </c>
      <c r="D1379">
        <v>3658</v>
      </c>
      <c r="E1379" t="b">
        <v>0</v>
      </c>
      <c r="F1379">
        <v>197</v>
      </c>
      <c r="G1379" t="s">
        <v>53</v>
      </c>
      <c r="H1379" t="s">
        <v>124</v>
      </c>
      <c r="I1379" t="s">
        <v>2117</v>
      </c>
    </row>
    <row r="1380" spans="1:9" x14ac:dyDescent="0.35">
      <c r="A1380">
        <v>1446780</v>
      </c>
      <c r="B1380" t="s">
        <v>531</v>
      </c>
      <c r="C1380" s="1">
        <v>44573</v>
      </c>
      <c r="D1380">
        <v>3658</v>
      </c>
      <c r="E1380" t="b">
        <v>0</v>
      </c>
      <c r="F1380">
        <v>197</v>
      </c>
      <c r="G1380" t="s">
        <v>53</v>
      </c>
      <c r="H1380" t="s">
        <v>1510</v>
      </c>
      <c r="I1380" t="s">
        <v>2117</v>
      </c>
    </row>
    <row r="1381" spans="1:9" x14ac:dyDescent="0.35">
      <c r="A1381">
        <v>655500</v>
      </c>
      <c r="B1381" t="s">
        <v>533</v>
      </c>
      <c r="C1381" s="1">
        <v>43745</v>
      </c>
      <c r="D1381">
        <v>3605</v>
      </c>
      <c r="E1381" t="b">
        <v>0</v>
      </c>
      <c r="F1381">
        <v>198</v>
      </c>
      <c r="G1381" t="s">
        <v>33</v>
      </c>
      <c r="H1381" t="s">
        <v>49</v>
      </c>
      <c r="I1381" t="s">
        <v>2117</v>
      </c>
    </row>
    <row r="1382" spans="1:9" x14ac:dyDescent="0.35">
      <c r="A1382">
        <v>655500</v>
      </c>
      <c r="B1382" t="s">
        <v>533</v>
      </c>
      <c r="C1382" s="1">
        <v>43745</v>
      </c>
      <c r="D1382">
        <v>3605</v>
      </c>
      <c r="E1382" t="b">
        <v>0</v>
      </c>
      <c r="F1382">
        <v>198</v>
      </c>
      <c r="G1382" t="s">
        <v>33</v>
      </c>
      <c r="H1382" t="s">
        <v>792</v>
      </c>
      <c r="I1382" t="s">
        <v>2117</v>
      </c>
    </row>
    <row r="1383" spans="1:9" x14ac:dyDescent="0.35">
      <c r="A1383">
        <v>655500</v>
      </c>
      <c r="B1383" t="s">
        <v>533</v>
      </c>
      <c r="C1383" s="1">
        <v>43745</v>
      </c>
      <c r="D1383">
        <v>3605</v>
      </c>
      <c r="E1383" t="b">
        <v>0</v>
      </c>
      <c r="F1383">
        <v>198</v>
      </c>
      <c r="G1383" t="s">
        <v>33</v>
      </c>
      <c r="H1383" t="s">
        <v>346</v>
      </c>
      <c r="I1383" t="s">
        <v>2117</v>
      </c>
    </row>
    <row r="1384" spans="1:9" x14ac:dyDescent="0.35">
      <c r="A1384">
        <v>655500</v>
      </c>
      <c r="B1384" t="s">
        <v>533</v>
      </c>
      <c r="C1384" s="1">
        <v>43745</v>
      </c>
      <c r="D1384">
        <v>3605</v>
      </c>
      <c r="E1384" t="b">
        <v>0</v>
      </c>
      <c r="F1384">
        <v>198</v>
      </c>
      <c r="G1384" t="s">
        <v>33</v>
      </c>
      <c r="H1384" t="s">
        <v>239</v>
      </c>
      <c r="I1384" t="s">
        <v>2116</v>
      </c>
    </row>
    <row r="1385" spans="1:9" x14ac:dyDescent="0.35">
      <c r="A1385">
        <v>655500</v>
      </c>
      <c r="B1385" t="s">
        <v>533</v>
      </c>
      <c r="C1385" s="1">
        <v>43745</v>
      </c>
      <c r="D1385">
        <v>3605</v>
      </c>
      <c r="E1385" t="b">
        <v>0</v>
      </c>
      <c r="F1385">
        <v>198</v>
      </c>
      <c r="G1385" t="s">
        <v>33</v>
      </c>
      <c r="H1385" t="s">
        <v>132</v>
      </c>
      <c r="I1385" t="s">
        <v>2117</v>
      </c>
    </row>
    <row r="1386" spans="1:9" x14ac:dyDescent="0.35">
      <c r="A1386">
        <v>655500</v>
      </c>
      <c r="B1386" t="s">
        <v>533</v>
      </c>
      <c r="C1386" s="1">
        <v>43745</v>
      </c>
      <c r="D1386">
        <v>3605</v>
      </c>
      <c r="E1386" t="b">
        <v>0</v>
      </c>
      <c r="F1386">
        <v>198</v>
      </c>
      <c r="G1386" t="s">
        <v>33</v>
      </c>
      <c r="H1386" t="s">
        <v>124</v>
      </c>
      <c r="I1386" t="s">
        <v>2117</v>
      </c>
    </row>
    <row r="1387" spans="1:9" x14ac:dyDescent="0.35">
      <c r="A1387">
        <v>655500</v>
      </c>
      <c r="B1387" t="s">
        <v>533</v>
      </c>
      <c r="C1387" s="1">
        <v>43745</v>
      </c>
      <c r="D1387">
        <v>3605</v>
      </c>
      <c r="E1387" t="b">
        <v>0</v>
      </c>
      <c r="F1387">
        <v>198</v>
      </c>
      <c r="G1387" t="s">
        <v>33</v>
      </c>
      <c r="H1387" t="s">
        <v>1510</v>
      </c>
      <c r="I1387" t="s">
        <v>2117</v>
      </c>
    </row>
    <row r="1388" spans="1:9" x14ac:dyDescent="0.35">
      <c r="A1388">
        <v>3037410</v>
      </c>
      <c r="B1388" t="s">
        <v>536</v>
      </c>
      <c r="C1388" s="1">
        <v>45611</v>
      </c>
      <c r="D1388">
        <v>3589</v>
      </c>
      <c r="E1388" t="b">
        <v>0</v>
      </c>
      <c r="F1388">
        <v>199</v>
      </c>
      <c r="G1388" t="s">
        <v>14</v>
      </c>
      <c r="H1388" t="s">
        <v>49</v>
      </c>
      <c r="I1388" t="s">
        <v>2117</v>
      </c>
    </row>
    <row r="1389" spans="1:9" x14ac:dyDescent="0.35">
      <c r="A1389">
        <v>3037410</v>
      </c>
      <c r="B1389" t="s">
        <v>536</v>
      </c>
      <c r="C1389" s="1">
        <v>45611</v>
      </c>
      <c r="D1389">
        <v>3589</v>
      </c>
      <c r="E1389" t="b">
        <v>0</v>
      </c>
      <c r="F1389">
        <v>199</v>
      </c>
      <c r="G1389" t="s">
        <v>14</v>
      </c>
      <c r="H1389" t="s">
        <v>792</v>
      </c>
      <c r="I1389" t="s">
        <v>2116</v>
      </c>
    </row>
    <row r="1390" spans="1:9" x14ac:dyDescent="0.35">
      <c r="A1390">
        <v>3037410</v>
      </c>
      <c r="B1390" t="s">
        <v>536</v>
      </c>
      <c r="C1390" s="1">
        <v>45611</v>
      </c>
      <c r="D1390">
        <v>3589</v>
      </c>
      <c r="E1390" t="b">
        <v>0</v>
      </c>
      <c r="F1390">
        <v>199</v>
      </c>
      <c r="G1390" t="s">
        <v>14</v>
      </c>
      <c r="H1390" t="s">
        <v>346</v>
      </c>
      <c r="I1390" t="s">
        <v>2116</v>
      </c>
    </row>
    <row r="1391" spans="1:9" x14ac:dyDescent="0.35">
      <c r="A1391">
        <v>3037410</v>
      </c>
      <c r="B1391" t="s">
        <v>536</v>
      </c>
      <c r="C1391" s="1">
        <v>45611</v>
      </c>
      <c r="D1391">
        <v>3589</v>
      </c>
      <c r="E1391" t="b">
        <v>0</v>
      </c>
      <c r="F1391">
        <v>199</v>
      </c>
      <c r="G1391" t="s">
        <v>14</v>
      </c>
      <c r="H1391" t="s">
        <v>239</v>
      </c>
      <c r="I1391" t="s">
        <v>2117</v>
      </c>
    </row>
    <row r="1392" spans="1:9" x14ac:dyDescent="0.35">
      <c r="A1392">
        <v>3037410</v>
      </c>
      <c r="B1392" t="s">
        <v>536</v>
      </c>
      <c r="C1392" s="1">
        <v>45611</v>
      </c>
      <c r="D1392">
        <v>3589</v>
      </c>
      <c r="E1392" t="b">
        <v>0</v>
      </c>
      <c r="F1392">
        <v>199</v>
      </c>
      <c r="G1392" t="s">
        <v>14</v>
      </c>
      <c r="H1392" t="s">
        <v>132</v>
      </c>
      <c r="I1392" t="s">
        <v>2117</v>
      </c>
    </row>
    <row r="1393" spans="1:9" x14ac:dyDescent="0.35">
      <c r="A1393">
        <v>3037410</v>
      </c>
      <c r="B1393" t="s">
        <v>536</v>
      </c>
      <c r="C1393" s="1">
        <v>45611</v>
      </c>
      <c r="D1393">
        <v>3589</v>
      </c>
      <c r="E1393" t="b">
        <v>0</v>
      </c>
      <c r="F1393">
        <v>199</v>
      </c>
      <c r="G1393" t="s">
        <v>14</v>
      </c>
      <c r="H1393" t="s">
        <v>124</v>
      </c>
      <c r="I1393" t="s">
        <v>2117</v>
      </c>
    </row>
    <row r="1394" spans="1:9" x14ac:dyDescent="0.35">
      <c r="A1394">
        <v>3037410</v>
      </c>
      <c r="B1394" t="s">
        <v>536</v>
      </c>
      <c r="C1394" s="1">
        <v>45611</v>
      </c>
      <c r="D1394">
        <v>3589</v>
      </c>
      <c r="E1394" t="b">
        <v>0</v>
      </c>
      <c r="F1394">
        <v>199</v>
      </c>
      <c r="G1394" t="s">
        <v>14</v>
      </c>
      <c r="H1394" t="s">
        <v>1510</v>
      </c>
      <c r="I1394" t="s">
        <v>2116</v>
      </c>
    </row>
    <row r="1395" spans="1:9" x14ac:dyDescent="0.35">
      <c r="A1395">
        <v>1401590</v>
      </c>
      <c r="B1395" t="s">
        <v>539</v>
      </c>
      <c r="C1395" s="1">
        <v>45265</v>
      </c>
      <c r="D1395">
        <v>3587</v>
      </c>
      <c r="E1395" t="b">
        <v>0</v>
      </c>
      <c r="F1395">
        <v>200</v>
      </c>
      <c r="G1395" t="s">
        <v>133</v>
      </c>
      <c r="H1395" t="s">
        <v>49</v>
      </c>
      <c r="I1395" t="s">
        <v>2116</v>
      </c>
    </row>
    <row r="1396" spans="1:9" x14ac:dyDescent="0.35">
      <c r="A1396">
        <v>1401590</v>
      </c>
      <c r="B1396" t="s">
        <v>539</v>
      </c>
      <c r="C1396" s="1">
        <v>45265</v>
      </c>
      <c r="D1396">
        <v>3587</v>
      </c>
      <c r="E1396" t="b">
        <v>0</v>
      </c>
      <c r="F1396">
        <v>200</v>
      </c>
      <c r="G1396" t="s">
        <v>133</v>
      </c>
      <c r="H1396" t="s">
        <v>792</v>
      </c>
      <c r="I1396" t="s">
        <v>2117</v>
      </c>
    </row>
    <row r="1397" spans="1:9" x14ac:dyDescent="0.35">
      <c r="A1397">
        <v>1401590</v>
      </c>
      <c r="B1397" t="s">
        <v>539</v>
      </c>
      <c r="C1397" s="1">
        <v>45265</v>
      </c>
      <c r="D1397">
        <v>3587</v>
      </c>
      <c r="E1397" t="b">
        <v>0</v>
      </c>
      <c r="F1397">
        <v>200</v>
      </c>
      <c r="G1397" t="s">
        <v>133</v>
      </c>
      <c r="H1397" t="s">
        <v>346</v>
      </c>
      <c r="I1397" t="s">
        <v>2116</v>
      </c>
    </row>
    <row r="1398" spans="1:9" x14ac:dyDescent="0.35">
      <c r="A1398">
        <v>1401590</v>
      </c>
      <c r="B1398" t="s">
        <v>539</v>
      </c>
      <c r="C1398" s="1">
        <v>45265</v>
      </c>
      <c r="D1398">
        <v>3587</v>
      </c>
      <c r="E1398" t="b">
        <v>0</v>
      </c>
      <c r="F1398">
        <v>200</v>
      </c>
      <c r="G1398" t="s">
        <v>133</v>
      </c>
      <c r="H1398" t="s">
        <v>239</v>
      </c>
      <c r="I1398" t="s">
        <v>2116</v>
      </c>
    </row>
    <row r="1399" spans="1:9" x14ac:dyDescent="0.35">
      <c r="A1399">
        <v>1401590</v>
      </c>
      <c r="B1399" t="s">
        <v>539</v>
      </c>
      <c r="C1399" s="1">
        <v>45265</v>
      </c>
      <c r="D1399">
        <v>3587</v>
      </c>
      <c r="E1399" t="b">
        <v>0</v>
      </c>
      <c r="F1399">
        <v>200</v>
      </c>
      <c r="G1399" t="s">
        <v>133</v>
      </c>
      <c r="H1399" t="s">
        <v>132</v>
      </c>
      <c r="I1399" t="s">
        <v>2116</v>
      </c>
    </row>
    <row r="1400" spans="1:9" x14ac:dyDescent="0.35">
      <c r="A1400">
        <v>1401590</v>
      </c>
      <c r="B1400" t="s">
        <v>539</v>
      </c>
      <c r="C1400" s="1">
        <v>45265</v>
      </c>
      <c r="D1400">
        <v>3587</v>
      </c>
      <c r="E1400" t="b">
        <v>0</v>
      </c>
      <c r="F1400">
        <v>200</v>
      </c>
      <c r="G1400" t="s">
        <v>133</v>
      </c>
      <c r="H1400" t="s">
        <v>124</v>
      </c>
      <c r="I1400" t="s">
        <v>2117</v>
      </c>
    </row>
    <row r="1401" spans="1:9" x14ac:dyDescent="0.35">
      <c r="A1401">
        <v>1401590</v>
      </c>
      <c r="B1401" t="s">
        <v>539</v>
      </c>
      <c r="C1401" s="1">
        <v>45265</v>
      </c>
      <c r="D1401">
        <v>3587</v>
      </c>
      <c r="E1401" t="b">
        <v>0</v>
      </c>
      <c r="F1401">
        <v>200</v>
      </c>
      <c r="G1401" t="s">
        <v>133</v>
      </c>
      <c r="H1401" t="s">
        <v>1510</v>
      </c>
      <c r="I1401" t="s">
        <v>2117</v>
      </c>
    </row>
    <row r="1402" spans="1:9" x14ac:dyDescent="0.35">
      <c r="A1402">
        <v>2186680</v>
      </c>
      <c r="B1402" t="s">
        <v>542</v>
      </c>
      <c r="C1402" s="1">
        <v>45267</v>
      </c>
      <c r="D1402">
        <v>3582</v>
      </c>
      <c r="E1402" t="b">
        <v>1</v>
      </c>
      <c r="F1402">
        <v>201</v>
      </c>
      <c r="G1402" t="s">
        <v>68</v>
      </c>
      <c r="H1402" t="s">
        <v>49</v>
      </c>
      <c r="I1402" t="s">
        <v>2116</v>
      </c>
    </row>
    <row r="1403" spans="1:9" x14ac:dyDescent="0.35">
      <c r="A1403">
        <v>2186680</v>
      </c>
      <c r="B1403" t="s">
        <v>542</v>
      </c>
      <c r="C1403" s="1">
        <v>45267</v>
      </c>
      <c r="D1403">
        <v>3582</v>
      </c>
      <c r="E1403" t="b">
        <v>1</v>
      </c>
      <c r="F1403">
        <v>201</v>
      </c>
      <c r="G1403" t="s">
        <v>68</v>
      </c>
      <c r="H1403" t="s">
        <v>792</v>
      </c>
      <c r="I1403" t="s">
        <v>2116</v>
      </c>
    </row>
    <row r="1404" spans="1:9" x14ac:dyDescent="0.35">
      <c r="A1404">
        <v>2186680</v>
      </c>
      <c r="B1404" t="s">
        <v>542</v>
      </c>
      <c r="C1404" s="1">
        <v>45267</v>
      </c>
      <c r="D1404">
        <v>3582</v>
      </c>
      <c r="E1404" t="b">
        <v>1</v>
      </c>
      <c r="F1404">
        <v>201</v>
      </c>
      <c r="G1404" t="s">
        <v>68</v>
      </c>
      <c r="H1404" t="s">
        <v>346</v>
      </c>
      <c r="I1404" t="s">
        <v>2116</v>
      </c>
    </row>
    <row r="1405" spans="1:9" x14ac:dyDescent="0.35">
      <c r="A1405">
        <v>2186680</v>
      </c>
      <c r="B1405" t="s">
        <v>542</v>
      </c>
      <c r="C1405" s="1">
        <v>45267</v>
      </c>
      <c r="D1405">
        <v>3582</v>
      </c>
      <c r="E1405" t="b">
        <v>1</v>
      </c>
      <c r="F1405">
        <v>201</v>
      </c>
      <c r="G1405" t="s">
        <v>68</v>
      </c>
      <c r="H1405" t="s">
        <v>239</v>
      </c>
      <c r="I1405" t="s">
        <v>2117</v>
      </c>
    </row>
    <row r="1406" spans="1:9" x14ac:dyDescent="0.35">
      <c r="A1406">
        <v>2186680</v>
      </c>
      <c r="B1406" t="s">
        <v>542</v>
      </c>
      <c r="C1406" s="1">
        <v>45267</v>
      </c>
      <c r="D1406">
        <v>3582</v>
      </c>
      <c r="E1406" t="b">
        <v>1</v>
      </c>
      <c r="F1406">
        <v>201</v>
      </c>
      <c r="G1406" t="s">
        <v>68</v>
      </c>
      <c r="H1406" t="s">
        <v>132</v>
      </c>
      <c r="I1406" t="s">
        <v>2116</v>
      </c>
    </row>
    <row r="1407" spans="1:9" x14ac:dyDescent="0.35">
      <c r="A1407">
        <v>2186680</v>
      </c>
      <c r="B1407" t="s">
        <v>542</v>
      </c>
      <c r="C1407" s="1">
        <v>45267</v>
      </c>
      <c r="D1407">
        <v>3582</v>
      </c>
      <c r="E1407" t="b">
        <v>1</v>
      </c>
      <c r="F1407">
        <v>201</v>
      </c>
      <c r="G1407" t="s">
        <v>68</v>
      </c>
      <c r="H1407" t="s">
        <v>124</v>
      </c>
      <c r="I1407" t="s">
        <v>2116</v>
      </c>
    </row>
    <row r="1408" spans="1:9" x14ac:dyDescent="0.35">
      <c r="A1408">
        <v>2186680</v>
      </c>
      <c r="B1408" t="s">
        <v>542</v>
      </c>
      <c r="C1408" s="1">
        <v>45267</v>
      </c>
      <c r="D1408">
        <v>3582</v>
      </c>
      <c r="E1408" t="b">
        <v>1</v>
      </c>
      <c r="F1408">
        <v>201</v>
      </c>
      <c r="G1408" t="s">
        <v>68</v>
      </c>
      <c r="H1408" t="s">
        <v>1510</v>
      </c>
      <c r="I1408" t="s">
        <v>2117</v>
      </c>
    </row>
    <row r="1409" spans="1:9" x14ac:dyDescent="0.35">
      <c r="A1409">
        <v>2904000</v>
      </c>
      <c r="B1409" t="s">
        <v>545</v>
      </c>
      <c r="C1409" s="1">
        <v>45551</v>
      </c>
      <c r="D1409">
        <v>3580</v>
      </c>
      <c r="E1409" t="b">
        <v>0</v>
      </c>
      <c r="F1409">
        <v>202</v>
      </c>
      <c r="G1409" t="s">
        <v>304</v>
      </c>
      <c r="H1409" t="s">
        <v>49</v>
      </c>
      <c r="I1409" t="s">
        <v>2116</v>
      </c>
    </row>
    <row r="1410" spans="1:9" x14ac:dyDescent="0.35">
      <c r="A1410">
        <v>2904000</v>
      </c>
      <c r="B1410" t="s">
        <v>545</v>
      </c>
      <c r="C1410" s="1">
        <v>45551</v>
      </c>
      <c r="D1410">
        <v>3580</v>
      </c>
      <c r="E1410" t="b">
        <v>0</v>
      </c>
      <c r="F1410">
        <v>202</v>
      </c>
      <c r="G1410" t="s">
        <v>304</v>
      </c>
      <c r="H1410" t="s">
        <v>792</v>
      </c>
      <c r="I1410" t="s">
        <v>2116</v>
      </c>
    </row>
    <row r="1411" spans="1:9" x14ac:dyDescent="0.35">
      <c r="A1411">
        <v>2904000</v>
      </c>
      <c r="B1411" t="s">
        <v>545</v>
      </c>
      <c r="C1411" s="1">
        <v>45551</v>
      </c>
      <c r="D1411">
        <v>3580</v>
      </c>
      <c r="E1411" t="b">
        <v>0</v>
      </c>
      <c r="F1411">
        <v>202</v>
      </c>
      <c r="G1411" t="s">
        <v>304</v>
      </c>
      <c r="H1411" t="s">
        <v>346</v>
      </c>
      <c r="I1411" t="s">
        <v>2117</v>
      </c>
    </row>
    <row r="1412" spans="1:9" x14ac:dyDescent="0.35">
      <c r="A1412">
        <v>2904000</v>
      </c>
      <c r="B1412" t="s">
        <v>545</v>
      </c>
      <c r="C1412" s="1">
        <v>45551</v>
      </c>
      <c r="D1412">
        <v>3580</v>
      </c>
      <c r="E1412" t="b">
        <v>0</v>
      </c>
      <c r="F1412">
        <v>202</v>
      </c>
      <c r="G1412" t="s">
        <v>304</v>
      </c>
      <c r="H1412" t="s">
        <v>239</v>
      </c>
      <c r="I1412" t="s">
        <v>2117</v>
      </c>
    </row>
    <row r="1413" spans="1:9" x14ac:dyDescent="0.35">
      <c r="A1413">
        <v>2904000</v>
      </c>
      <c r="B1413" t="s">
        <v>545</v>
      </c>
      <c r="C1413" s="1">
        <v>45551</v>
      </c>
      <c r="D1413">
        <v>3580</v>
      </c>
      <c r="E1413" t="b">
        <v>0</v>
      </c>
      <c r="F1413">
        <v>202</v>
      </c>
      <c r="G1413" t="s">
        <v>304</v>
      </c>
      <c r="H1413" t="s">
        <v>132</v>
      </c>
      <c r="I1413" t="s">
        <v>2117</v>
      </c>
    </row>
    <row r="1414" spans="1:9" x14ac:dyDescent="0.35">
      <c r="A1414">
        <v>2904000</v>
      </c>
      <c r="B1414" t="s">
        <v>545</v>
      </c>
      <c r="C1414" s="1">
        <v>45551</v>
      </c>
      <c r="D1414">
        <v>3580</v>
      </c>
      <c r="E1414" t="b">
        <v>0</v>
      </c>
      <c r="F1414">
        <v>202</v>
      </c>
      <c r="G1414" t="s">
        <v>304</v>
      </c>
      <c r="H1414" t="s">
        <v>124</v>
      </c>
      <c r="I1414" t="s">
        <v>2117</v>
      </c>
    </row>
    <row r="1415" spans="1:9" x14ac:dyDescent="0.35">
      <c r="A1415">
        <v>2904000</v>
      </c>
      <c r="B1415" t="s">
        <v>545</v>
      </c>
      <c r="C1415" s="1">
        <v>45551</v>
      </c>
      <c r="D1415">
        <v>3580</v>
      </c>
      <c r="E1415" t="b">
        <v>0</v>
      </c>
      <c r="F1415">
        <v>202</v>
      </c>
      <c r="G1415" t="s">
        <v>304</v>
      </c>
      <c r="H1415" t="s">
        <v>1510</v>
      </c>
      <c r="I1415" t="s">
        <v>2116</v>
      </c>
    </row>
    <row r="1416" spans="1:9" x14ac:dyDescent="0.35">
      <c r="A1416">
        <v>3017860</v>
      </c>
      <c r="B1416" t="s">
        <v>548</v>
      </c>
      <c r="C1416" s="1">
        <v>45791</v>
      </c>
      <c r="D1416">
        <v>3518</v>
      </c>
      <c r="E1416" t="b">
        <v>0</v>
      </c>
      <c r="F1416">
        <v>203</v>
      </c>
      <c r="G1416" t="s">
        <v>417</v>
      </c>
      <c r="H1416" t="s">
        <v>49</v>
      </c>
      <c r="I1416" t="s">
        <v>2116</v>
      </c>
    </row>
    <row r="1417" spans="1:9" x14ac:dyDescent="0.35">
      <c r="A1417">
        <v>3017860</v>
      </c>
      <c r="B1417" t="s">
        <v>548</v>
      </c>
      <c r="C1417" s="1">
        <v>45791</v>
      </c>
      <c r="D1417">
        <v>3518</v>
      </c>
      <c r="E1417" t="b">
        <v>0</v>
      </c>
      <c r="F1417">
        <v>203</v>
      </c>
      <c r="G1417" t="s">
        <v>417</v>
      </c>
      <c r="H1417" t="s">
        <v>792</v>
      </c>
      <c r="I1417" t="s">
        <v>2117</v>
      </c>
    </row>
    <row r="1418" spans="1:9" x14ac:dyDescent="0.35">
      <c r="A1418">
        <v>3017860</v>
      </c>
      <c r="B1418" t="s">
        <v>548</v>
      </c>
      <c r="C1418" s="1">
        <v>45791</v>
      </c>
      <c r="D1418">
        <v>3518</v>
      </c>
      <c r="E1418" t="b">
        <v>0</v>
      </c>
      <c r="F1418">
        <v>203</v>
      </c>
      <c r="G1418" t="s">
        <v>417</v>
      </c>
      <c r="H1418" t="s">
        <v>346</v>
      </c>
      <c r="I1418" t="s">
        <v>2117</v>
      </c>
    </row>
    <row r="1419" spans="1:9" x14ac:dyDescent="0.35">
      <c r="A1419">
        <v>3017860</v>
      </c>
      <c r="B1419" t="s">
        <v>548</v>
      </c>
      <c r="C1419" s="1">
        <v>45791</v>
      </c>
      <c r="D1419">
        <v>3518</v>
      </c>
      <c r="E1419" t="b">
        <v>0</v>
      </c>
      <c r="F1419">
        <v>203</v>
      </c>
      <c r="G1419" t="s">
        <v>417</v>
      </c>
      <c r="H1419" t="s">
        <v>239</v>
      </c>
      <c r="I1419" t="s">
        <v>2117</v>
      </c>
    </row>
    <row r="1420" spans="1:9" x14ac:dyDescent="0.35">
      <c r="A1420">
        <v>3017860</v>
      </c>
      <c r="B1420" t="s">
        <v>548</v>
      </c>
      <c r="C1420" s="1">
        <v>45791</v>
      </c>
      <c r="D1420">
        <v>3518</v>
      </c>
      <c r="E1420" t="b">
        <v>0</v>
      </c>
      <c r="F1420">
        <v>203</v>
      </c>
      <c r="G1420" t="s">
        <v>417</v>
      </c>
      <c r="H1420" t="s">
        <v>132</v>
      </c>
      <c r="I1420" t="s">
        <v>2117</v>
      </c>
    </row>
    <row r="1421" spans="1:9" x14ac:dyDescent="0.35">
      <c r="A1421">
        <v>3017860</v>
      </c>
      <c r="B1421" t="s">
        <v>548</v>
      </c>
      <c r="C1421" s="1">
        <v>45791</v>
      </c>
      <c r="D1421">
        <v>3518</v>
      </c>
      <c r="E1421" t="b">
        <v>0</v>
      </c>
      <c r="F1421">
        <v>203</v>
      </c>
      <c r="G1421" t="s">
        <v>417</v>
      </c>
      <c r="H1421" t="s">
        <v>124</v>
      </c>
      <c r="I1421" t="s">
        <v>2117</v>
      </c>
    </row>
    <row r="1422" spans="1:9" x14ac:dyDescent="0.35">
      <c r="A1422">
        <v>3017860</v>
      </c>
      <c r="B1422" t="s">
        <v>548</v>
      </c>
      <c r="C1422" s="1">
        <v>45791</v>
      </c>
      <c r="D1422">
        <v>3518</v>
      </c>
      <c r="E1422" t="b">
        <v>0</v>
      </c>
      <c r="F1422">
        <v>203</v>
      </c>
      <c r="G1422" t="s">
        <v>417</v>
      </c>
      <c r="H1422" t="s">
        <v>1510</v>
      </c>
      <c r="I1422" t="s">
        <v>2117</v>
      </c>
    </row>
    <row r="1423" spans="1:9" x14ac:dyDescent="0.35">
      <c r="A1423">
        <v>435150</v>
      </c>
      <c r="B1423" t="s">
        <v>550</v>
      </c>
      <c r="C1423" s="1">
        <v>42992</v>
      </c>
      <c r="D1423">
        <v>3510</v>
      </c>
      <c r="E1423" t="b">
        <v>1</v>
      </c>
      <c r="F1423">
        <v>204</v>
      </c>
      <c r="G1423" t="s">
        <v>133</v>
      </c>
      <c r="H1423" t="s">
        <v>49</v>
      </c>
      <c r="I1423" t="s">
        <v>2117</v>
      </c>
    </row>
    <row r="1424" spans="1:9" x14ac:dyDescent="0.35">
      <c r="A1424">
        <v>435150</v>
      </c>
      <c r="B1424" t="s">
        <v>550</v>
      </c>
      <c r="C1424" s="1">
        <v>42992</v>
      </c>
      <c r="D1424">
        <v>3510</v>
      </c>
      <c r="E1424" t="b">
        <v>1</v>
      </c>
      <c r="F1424">
        <v>204</v>
      </c>
      <c r="G1424" t="s">
        <v>133</v>
      </c>
      <c r="H1424" t="s">
        <v>792</v>
      </c>
      <c r="I1424" t="s">
        <v>2117</v>
      </c>
    </row>
    <row r="1425" spans="1:9" x14ac:dyDescent="0.35">
      <c r="A1425">
        <v>435150</v>
      </c>
      <c r="B1425" t="s">
        <v>550</v>
      </c>
      <c r="C1425" s="1">
        <v>42992</v>
      </c>
      <c r="D1425">
        <v>3510</v>
      </c>
      <c r="E1425" t="b">
        <v>1</v>
      </c>
      <c r="F1425">
        <v>204</v>
      </c>
      <c r="G1425" t="s">
        <v>133</v>
      </c>
      <c r="H1425" t="s">
        <v>346</v>
      </c>
      <c r="I1425" t="s">
        <v>2116</v>
      </c>
    </row>
    <row r="1426" spans="1:9" x14ac:dyDescent="0.35">
      <c r="A1426">
        <v>435150</v>
      </c>
      <c r="B1426" t="s">
        <v>550</v>
      </c>
      <c r="C1426" s="1">
        <v>42992</v>
      </c>
      <c r="D1426">
        <v>3510</v>
      </c>
      <c r="E1426" t="b">
        <v>1</v>
      </c>
      <c r="F1426">
        <v>204</v>
      </c>
      <c r="G1426" t="s">
        <v>133</v>
      </c>
      <c r="H1426" t="s">
        <v>239</v>
      </c>
      <c r="I1426" t="s">
        <v>2117</v>
      </c>
    </row>
    <row r="1427" spans="1:9" x14ac:dyDescent="0.35">
      <c r="A1427">
        <v>435150</v>
      </c>
      <c r="B1427" t="s">
        <v>550</v>
      </c>
      <c r="C1427" s="1">
        <v>42992</v>
      </c>
      <c r="D1427">
        <v>3510</v>
      </c>
      <c r="E1427" t="b">
        <v>1</v>
      </c>
      <c r="F1427">
        <v>204</v>
      </c>
      <c r="G1427" t="s">
        <v>133</v>
      </c>
      <c r="H1427" t="s">
        <v>132</v>
      </c>
      <c r="I1427" t="s">
        <v>2116</v>
      </c>
    </row>
    <row r="1428" spans="1:9" x14ac:dyDescent="0.35">
      <c r="A1428">
        <v>435150</v>
      </c>
      <c r="B1428" t="s">
        <v>550</v>
      </c>
      <c r="C1428" s="1">
        <v>42992</v>
      </c>
      <c r="D1428">
        <v>3510</v>
      </c>
      <c r="E1428" t="b">
        <v>1</v>
      </c>
      <c r="F1428">
        <v>204</v>
      </c>
      <c r="G1428" t="s">
        <v>133</v>
      </c>
      <c r="H1428" t="s">
        <v>124</v>
      </c>
      <c r="I1428" t="s">
        <v>2116</v>
      </c>
    </row>
    <row r="1429" spans="1:9" x14ac:dyDescent="0.35">
      <c r="A1429">
        <v>435150</v>
      </c>
      <c r="B1429" t="s">
        <v>550</v>
      </c>
      <c r="C1429" s="1">
        <v>42992</v>
      </c>
      <c r="D1429">
        <v>3510</v>
      </c>
      <c r="E1429" t="b">
        <v>1</v>
      </c>
      <c r="F1429">
        <v>204</v>
      </c>
      <c r="G1429" t="s">
        <v>133</v>
      </c>
      <c r="H1429" t="s">
        <v>1510</v>
      </c>
      <c r="I1429" t="s">
        <v>2117</v>
      </c>
    </row>
    <row r="1430" spans="1:9" x14ac:dyDescent="0.35">
      <c r="A1430">
        <v>1066780</v>
      </c>
      <c r="B1430" t="s">
        <v>552</v>
      </c>
      <c r="C1430" s="1">
        <v>43810</v>
      </c>
      <c r="D1430">
        <v>3465</v>
      </c>
      <c r="E1430" t="b">
        <v>1</v>
      </c>
      <c r="F1430">
        <v>205</v>
      </c>
      <c r="G1430" t="s">
        <v>18</v>
      </c>
      <c r="H1430" t="s">
        <v>49</v>
      </c>
      <c r="I1430" t="s">
        <v>2117</v>
      </c>
    </row>
    <row r="1431" spans="1:9" x14ac:dyDescent="0.35">
      <c r="A1431">
        <v>1066780</v>
      </c>
      <c r="B1431" t="s">
        <v>552</v>
      </c>
      <c r="C1431" s="1">
        <v>43810</v>
      </c>
      <c r="D1431">
        <v>3465</v>
      </c>
      <c r="E1431" t="b">
        <v>1</v>
      </c>
      <c r="F1431">
        <v>205</v>
      </c>
      <c r="G1431" t="s">
        <v>18</v>
      </c>
      <c r="H1431" t="s">
        <v>792</v>
      </c>
      <c r="I1431" t="s">
        <v>2116</v>
      </c>
    </row>
    <row r="1432" spans="1:9" x14ac:dyDescent="0.35">
      <c r="A1432">
        <v>1066780</v>
      </c>
      <c r="B1432" t="s">
        <v>552</v>
      </c>
      <c r="C1432" s="1">
        <v>43810</v>
      </c>
      <c r="D1432">
        <v>3465</v>
      </c>
      <c r="E1432" t="b">
        <v>1</v>
      </c>
      <c r="F1432">
        <v>205</v>
      </c>
      <c r="G1432" t="s">
        <v>18</v>
      </c>
      <c r="H1432" t="s">
        <v>346</v>
      </c>
      <c r="I1432" t="s">
        <v>2117</v>
      </c>
    </row>
    <row r="1433" spans="1:9" x14ac:dyDescent="0.35">
      <c r="A1433">
        <v>1066780</v>
      </c>
      <c r="B1433" t="s">
        <v>552</v>
      </c>
      <c r="C1433" s="1">
        <v>43810</v>
      </c>
      <c r="D1433">
        <v>3465</v>
      </c>
      <c r="E1433" t="b">
        <v>1</v>
      </c>
      <c r="F1433">
        <v>205</v>
      </c>
      <c r="G1433" t="s">
        <v>18</v>
      </c>
      <c r="H1433" t="s">
        <v>239</v>
      </c>
      <c r="I1433" t="s">
        <v>2116</v>
      </c>
    </row>
    <row r="1434" spans="1:9" x14ac:dyDescent="0.35">
      <c r="A1434">
        <v>1066780</v>
      </c>
      <c r="B1434" t="s">
        <v>552</v>
      </c>
      <c r="C1434" s="1">
        <v>43810</v>
      </c>
      <c r="D1434">
        <v>3465</v>
      </c>
      <c r="E1434" t="b">
        <v>1</v>
      </c>
      <c r="F1434">
        <v>205</v>
      </c>
      <c r="G1434" t="s">
        <v>18</v>
      </c>
      <c r="H1434" t="s">
        <v>132</v>
      </c>
      <c r="I1434" t="s">
        <v>2117</v>
      </c>
    </row>
    <row r="1435" spans="1:9" x14ac:dyDescent="0.35">
      <c r="A1435">
        <v>1066780</v>
      </c>
      <c r="B1435" t="s">
        <v>552</v>
      </c>
      <c r="C1435" s="1">
        <v>43810</v>
      </c>
      <c r="D1435">
        <v>3465</v>
      </c>
      <c r="E1435" t="b">
        <v>1</v>
      </c>
      <c r="F1435">
        <v>205</v>
      </c>
      <c r="G1435" t="s">
        <v>18</v>
      </c>
      <c r="H1435" t="s">
        <v>124</v>
      </c>
      <c r="I1435" t="s">
        <v>2116</v>
      </c>
    </row>
    <row r="1436" spans="1:9" x14ac:dyDescent="0.35">
      <c r="A1436">
        <v>1066780</v>
      </c>
      <c r="B1436" t="s">
        <v>552</v>
      </c>
      <c r="C1436" s="1">
        <v>43810</v>
      </c>
      <c r="D1436">
        <v>3465</v>
      </c>
      <c r="E1436" t="b">
        <v>1</v>
      </c>
      <c r="F1436">
        <v>205</v>
      </c>
      <c r="G1436" t="s">
        <v>18</v>
      </c>
      <c r="H1436" t="s">
        <v>1510</v>
      </c>
      <c r="I1436" t="s">
        <v>2117</v>
      </c>
    </row>
    <row r="1437" spans="1:9" x14ac:dyDescent="0.35">
      <c r="A1437">
        <v>2665680</v>
      </c>
      <c r="B1437" t="s">
        <v>554</v>
      </c>
      <c r="C1437" s="1">
        <v>45796</v>
      </c>
      <c r="D1437">
        <v>3392</v>
      </c>
      <c r="E1437" t="b">
        <v>1</v>
      </c>
      <c r="F1437">
        <v>206</v>
      </c>
      <c r="G1437" t="s">
        <v>133</v>
      </c>
      <c r="H1437" t="s">
        <v>49</v>
      </c>
      <c r="I1437" t="s">
        <v>2116</v>
      </c>
    </row>
    <row r="1438" spans="1:9" x14ac:dyDescent="0.35">
      <c r="A1438">
        <v>2665680</v>
      </c>
      <c r="B1438" t="s">
        <v>554</v>
      </c>
      <c r="C1438" s="1">
        <v>45796</v>
      </c>
      <c r="D1438">
        <v>3392</v>
      </c>
      <c r="E1438" t="b">
        <v>1</v>
      </c>
      <c r="F1438">
        <v>206</v>
      </c>
      <c r="G1438" t="s">
        <v>133</v>
      </c>
      <c r="H1438" t="s">
        <v>792</v>
      </c>
      <c r="I1438" t="s">
        <v>2117</v>
      </c>
    </row>
    <row r="1439" spans="1:9" x14ac:dyDescent="0.35">
      <c r="A1439">
        <v>2665680</v>
      </c>
      <c r="B1439" t="s">
        <v>554</v>
      </c>
      <c r="C1439" s="1">
        <v>45796</v>
      </c>
      <c r="D1439">
        <v>3392</v>
      </c>
      <c r="E1439" t="b">
        <v>1</v>
      </c>
      <c r="F1439">
        <v>206</v>
      </c>
      <c r="G1439" t="s">
        <v>133</v>
      </c>
      <c r="H1439" t="s">
        <v>346</v>
      </c>
      <c r="I1439" t="s">
        <v>2117</v>
      </c>
    </row>
    <row r="1440" spans="1:9" x14ac:dyDescent="0.35">
      <c r="A1440">
        <v>2665680</v>
      </c>
      <c r="B1440" t="s">
        <v>554</v>
      </c>
      <c r="C1440" s="1">
        <v>45796</v>
      </c>
      <c r="D1440">
        <v>3392</v>
      </c>
      <c r="E1440" t="b">
        <v>1</v>
      </c>
      <c r="F1440">
        <v>206</v>
      </c>
      <c r="G1440" t="s">
        <v>133</v>
      </c>
      <c r="H1440" t="s">
        <v>239</v>
      </c>
      <c r="I1440" t="s">
        <v>2117</v>
      </c>
    </row>
    <row r="1441" spans="1:9" x14ac:dyDescent="0.35">
      <c r="A1441">
        <v>2665680</v>
      </c>
      <c r="B1441" t="s">
        <v>554</v>
      </c>
      <c r="C1441" s="1">
        <v>45796</v>
      </c>
      <c r="D1441">
        <v>3392</v>
      </c>
      <c r="E1441" t="b">
        <v>1</v>
      </c>
      <c r="F1441">
        <v>206</v>
      </c>
      <c r="G1441" t="s">
        <v>133</v>
      </c>
      <c r="H1441" t="s">
        <v>132</v>
      </c>
      <c r="I1441" t="s">
        <v>2116</v>
      </c>
    </row>
    <row r="1442" spans="1:9" x14ac:dyDescent="0.35">
      <c r="A1442">
        <v>2665680</v>
      </c>
      <c r="B1442" t="s">
        <v>554</v>
      </c>
      <c r="C1442" s="1">
        <v>45796</v>
      </c>
      <c r="D1442">
        <v>3392</v>
      </c>
      <c r="E1442" t="b">
        <v>1</v>
      </c>
      <c r="F1442">
        <v>206</v>
      </c>
      <c r="G1442" t="s">
        <v>133</v>
      </c>
      <c r="H1442" t="s">
        <v>124</v>
      </c>
      <c r="I1442" t="s">
        <v>2117</v>
      </c>
    </row>
    <row r="1443" spans="1:9" x14ac:dyDescent="0.35">
      <c r="A1443">
        <v>2665680</v>
      </c>
      <c r="B1443" t="s">
        <v>554</v>
      </c>
      <c r="C1443" s="1">
        <v>45796</v>
      </c>
      <c r="D1443">
        <v>3392</v>
      </c>
      <c r="E1443" t="b">
        <v>1</v>
      </c>
      <c r="F1443">
        <v>206</v>
      </c>
      <c r="G1443" t="s">
        <v>133</v>
      </c>
      <c r="H1443" t="s">
        <v>1510</v>
      </c>
      <c r="I1443" t="s">
        <v>2117</v>
      </c>
    </row>
    <row r="1444" spans="1:9" x14ac:dyDescent="0.35">
      <c r="A1444">
        <v>1147690</v>
      </c>
      <c r="B1444" t="s">
        <v>556</v>
      </c>
      <c r="C1444" s="1">
        <v>43739</v>
      </c>
      <c r="D1444">
        <v>3382</v>
      </c>
      <c r="E1444" t="b">
        <v>0</v>
      </c>
      <c r="F1444">
        <v>207</v>
      </c>
      <c r="G1444" t="s">
        <v>14</v>
      </c>
      <c r="H1444" t="s">
        <v>49</v>
      </c>
      <c r="I1444" t="s">
        <v>2117</v>
      </c>
    </row>
    <row r="1445" spans="1:9" x14ac:dyDescent="0.35">
      <c r="A1445">
        <v>1147690</v>
      </c>
      <c r="B1445" t="s">
        <v>556</v>
      </c>
      <c r="C1445" s="1">
        <v>43739</v>
      </c>
      <c r="D1445">
        <v>3382</v>
      </c>
      <c r="E1445" t="b">
        <v>0</v>
      </c>
      <c r="F1445">
        <v>207</v>
      </c>
      <c r="G1445" t="s">
        <v>14</v>
      </c>
      <c r="H1445" t="s">
        <v>792</v>
      </c>
      <c r="I1445" t="s">
        <v>2116</v>
      </c>
    </row>
    <row r="1446" spans="1:9" x14ac:dyDescent="0.35">
      <c r="A1446">
        <v>1147690</v>
      </c>
      <c r="B1446" t="s">
        <v>556</v>
      </c>
      <c r="C1446" s="1">
        <v>43739</v>
      </c>
      <c r="D1446">
        <v>3382</v>
      </c>
      <c r="E1446" t="b">
        <v>0</v>
      </c>
      <c r="F1446">
        <v>207</v>
      </c>
      <c r="G1446" t="s">
        <v>14</v>
      </c>
      <c r="H1446" t="s">
        <v>346</v>
      </c>
      <c r="I1446" t="s">
        <v>2116</v>
      </c>
    </row>
    <row r="1447" spans="1:9" x14ac:dyDescent="0.35">
      <c r="A1447">
        <v>1147690</v>
      </c>
      <c r="B1447" t="s">
        <v>556</v>
      </c>
      <c r="C1447" s="1">
        <v>43739</v>
      </c>
      <c r="D1447">
        <v>3382</v>
      </c>
      <c r="E1447" t="b">
        <v>0</v>
      </c>
      <c r="F1447">
        <v>207</v>
      </c>
      <c r="G1447" t="s">
        <v>14</v>
      </c>
      <c r="H1447" t="s">
        <v>239</v>
      </c>
      <c r="I1447" t="s">
        <v>2116</v>
      </c>
    </row>
    <row r="1448" spans="1:9" x14ac:dyDescent="0.35">
      <c r="A1448">
        <v>1147690</v>
      </c>
      <c r="B1448" t="s">
        <v>556</v>
      </c>
      <c r="C1448" s="1">
        <v>43739</v>
      </c>
      <c r="D1448">
        <v>3382</v>
      </c>
      <c r="E1448" t="b">
        <v>0</v>
      </c>
      <c r="F1448">
        <v>207</v>
      </c>
      <c r="G1448" t="s">
        <v>14</v>
      </c>
      <c r="H1448" t="s">
        <v>132</v>
      </c>
      <c r="I1448" t="s">
        <v>2117</v>
      </c>
    </row>
    <row r="1449" spans="1:9" x14ac:dyDescent="0.35">
      <c r="A1449">
        <v>1147690</v>
      </c>
      <c r="B1449" t="s">
        <v>556</v>
      </c>
      <c r="C1449" s="1">
        <v>43739</v>
      </c>
      <c r="D1449">
        <v>3382</v>
      </c>
      <c r="E1449" t="b">
        <v>0</v>
      </c>
      <c r="F1449">
        <v>207</v>
      </c>
      <c r="G1449" t="s">
        <v>14</v>
      </c>
      <c r="H1449" t="s">
        <v>124</v>
      </c>
      <c r="I1449" t="s">
        <v>2117</v>
      </c>
    </row>
    <row r="1450" spans="1:9" x14ac:dyDescent="0.35">
      <c r="A1450">
        <v>1147690</v>
      </c>
      <c r="B1450" t="s">
        <v>556</v>
      </c>
      <c r="C1450" s="1">
        <v>43739</v>
      </c>
      <c r="D1450">
        <v>3382</v>
      </c>
      <c r="E1450" t="b">
        <v>0</v>
      </c>
      <c r="F1450">
        <v>207</v>
      </c>
      <c r="G1450" t="s">
        <v>14</v>
      </c>
      <c r="H1450" t="s">
        <v>1510</v>
      </c>
      <c r="I1450" t="s">
        <v>2116</v>
      </c>
    </row>
    <row r="1451" spans="1:9" x14ac:dyDescent="0.35">
      <c r="A1451">
        <v>686810</v>
      </c>
      <c r="B1451" t="s">
        <v>559</v>
      </c>
      <c r="C1451" s="1">
        <v>44404</v>
      </c>
      <c r="D1451">
        <v>3380</v>
      </c>
      <c r="E1451" t="b">
        <v>0</v>
      </c>
      <c r="F1451">
        <v>208</v>
      </c>
      <c r="G1451" t="s">
        <v>53</v>
      </c>
      <c r="H1451" t="s">
        <v>49</v>
      </c>
      <c r="I1451" t="s">
        <v>2116</v>
      </c>
    </row>
    <row r="1452" spans="1:9" x14ac:dyDescent="0.35">
      <c r="A1452">
        <v>686810</v>
      </c>
      <c r="B1452" t="s">
        <v>559</v>
      </c>
      <c r="C1452" s="1">
        <v>44404</v>
      </c>
      <c r="D1452">
        <v>3380</v>
      </c>
      <c r="E1452" t="b">
        <v>0</v>
      </c>
      <c r="F1452">
        <v>208</v>
      </c>
      <c r="G1452" t="s">
        <v>53</v>
      </c>
      <c r="H1452" t="s">
        <v>792</v>
      </c>
      <c r="I1452" t="s">
        <v>2116</v>
      </c>
    </row>
    <row r="1453" spans="1:9" x14ac:dyDescent="0.35">
      <c r="A1453">
        <v>686810</v>
      </c>
      <c r="B1453" t="s">
        <v>559</v>
      </c>
      <c r="C1453" s="1">
        <v>44404</v>
      </c>
      <c r="D1453">
        <v>3380</v>
      </c>
      <c r="E1453" t="b">
        <v>0</v>
      </c>
      <c r="F1453">
        <v>208</v>
      </c>
      <c r="G1453" t="s">
        <v>53</v>
      </c>
      <c r="H1453" t="s">
        <v>346</v>
      </c>
      <c r="I1453" t="s">
        <v>2117</v>
      </c>
    </row>
    <row r="1454" spans="1:9" x14ac:dyDescent="0.35">
      <c r="A1454">
        <v>686810</v>
      </c>
      <c r="B1454" t="s">
        <v>559</v>
      </c>
      <c r="C1454" s="1">
        <v>44404</v>
      </c>
      <c r="D1454">
        <v>3380</v>
      </c>
      <c r="E1454" t="b">
        <v>0</v>
      </c>
      <c r="F1454">
        <v>208</v>
      </c>
      <c r="G1454" t="s">
        <v>53</v>
      </c>
      <c r="H1454" t="s">
        <v>239</v>
      </c>
      <c r="I1454" t="s">
        <v>2116</v>
      </c>
    </row>
    <row r="1455" spans="1:9" x14ac:dyDescent="0.35">
      <c r="A1455">
        <v>686810</v>
      </c>
      <c r="B1455" t="s">
        <v>559</v>
      </c>
      <c r="C1455" s="1">
        <v>44404</v>
      </c>
      <c r="D1455">
        <v>3380</v>
      </c>
      <c r="E1455" t="b">
        <v>0</v>
      </c>
      <c r="F1455">
        <v>208</v>
      </c>
      <c r="G1455" t="s">
        <v>53</v>
      </c>
      <c r="H1455" t="s">
        <v>132</v>
      </c>
      <c r="I1455" t="s">
        <v>2117</v>
      </c>
    </row>
    <row r="1456" spans="1:9" x14ac:dyDescent="0.35">
      <c r="A1456">
        <v>686810</v>
      </c>
      <c r="B1456" t="s">
        <v>559</v>
      </c>
      <c r="C1456" s="1">
        <v>44404</v>
      </c>
      <c r="D1456">
        <v>3380</v>
      </c>
      <c r="E1456" t="b">
        <v>0</v>
      </c>
      <c r="F1456">
        <v>208</v>
      </c>
      <c r="G1456" t="s">
        <v>53</v>
      </c>
      <c r="H1456" t="s">
        <v>124</v>
      </c>
      <c r="I1456" t="s">
        <v>2116</v>
      </c>
    </row>
    <row r="1457" spans="1:9" x14ac:dyDescent="0.35">
      <c r="A1457">
        <v>686810</v>
      </c>
      <c r="B1457" t="s">
        <v>559</v>
      </c>
      <c r="C1457" s="1">
        <v>44404</v>
      </c>
      <c r="D1457">
        <v>3380</v>
      </c>
      <c r="E1457" t="b">
        <v>0</v>
      </c>
      <c r="F1457">
        <v>208</v>
      </c>
      <c r="G1457" t="s">
        <v>53</v>
      </c>
      <c r="H1457" t="s">
        <v>1510</v>
      </c>
      <c r="I1457" t="s">
        <v>2117</v>
      </c>
    </row>
    <row r="1458" spans="1:9" x14ac:dyDescent="0.35">
      <c r="A1458">
        <v>1868140</v>
      </c>
      <c r="B1458" t="s">
        <v>562</v>
      </c>
      <c r="C1458" s="1">
        <v>45105</v>
      </c>
      <c r="D1458">
        <v>3367</v>
      </c>
      <c r="E1458" t="b">
        <v>1</v>
      </c>
      <c r="F1458">
        <v>209</v>
      </c>
      <c r="G1458" t="s">
        <v>53</v>
      </c>
      <c r="H1458" t="s">
        <v>49</v>
      </c>
      <c r="I1458" t="s">
        <v>2117</v>
      </c>
    </row>
    <row r="1459" spans="1:9" x14ac:dyDescent="0.35">
      <c r="A1459">
        <v>1868140</v>
      </c>
      <c r="B1459" t="s">
        <v>562</v>
      </c>
      <c r="C1459" s="1">
        <v>45105</v>
      </c>
      <c r="D1459">
        <v>3367</v>
      </c>
      <c r="E1459" t="b">
        <v>1</v>
      </c>
      <c r="F1459">
        <v>209</v>
      </c>
      <c r="G1459" t="s">
        <v>53</v>
      </c>
      <c r="H1459" t="s">
        <v>792</v>
      </c>
      <c r="I1459" t="s">
        <v>2117</v>
      </c>
    </row>
    <row r="1460" spans="1:9" x14ac:dyDescent="0.35">
      <c r="A1460">
        <v>1868140</v>
      </c>
      <c r="B1460" t="s">
        <v>562</v>
      </c>
      <c r="C1460" s="1">
        <v>45105</v>
      </c>
      <c r="D1460">
        <v>3367</v>
      </c>
      <c r="E1460" t="b">
        <v>1</v>
      </c>
      <c r="F1460">
        <v>209</v>
      </c>
      <c r="G1460" t="s">
        <v>53</v>
      </c>
      <c r="H1460" t="s">
        <v>346</v>
      </c>
      <c r="I1460" t="s">
        <v>2116</v>
      </c>
    </row>
    <row r="1461" spans="1:9" x14ac:dyDescent="0.35">
      <c r="A1461">
        <v>1868140</v>
      </c>
      <c r="B1461" t="s">
        <v>562</v>
      </c>
      <c r="C1461" s="1">
        <v>45105</v>
      </c>
      <c r="D1461">
        <v>3367</v>
      </c>
      <c r="E1461" t="b">
        <v>1</v>
      </c>
      <c r="F1461">
        <v>209</v>
      </c>
      <c r="G1461" t="s">
        <v>53</v>
      </c>
      <c r="H1461" t="s">
        <v>239</v>
      </c>
      <c r="I1461" t="s">
        <v>2116</v>
      </c>
    </row>
    <row r="1462" spans="1:9" x14ac:dyDescent="0.35">
      <c r="A1462">
        <v>1868140</v>
      </c>
      <c r="B1462" t="s">
        <v>562</v>
      </c>
      <c r="C1462" s="1">
        <v>45105</v>
      </c>
      <c r="D1462">
        <v>3367</v>
      </c>
      <c r="E1462" t="b">
        <v>1</v>
      </c>
      <c r="F1462">
        <v>209</v>
      </c>
      <c r="G1462" t="s">
        <v>53</v>
      </c>
      <c r="H1462" t="s">
        <v>132</v>
      </c>
      <c r="I1462" t="s">
        <v>2116</v>
      </c>
    </row>
    <row r="1463" spans="1:9" x14ac:dyDescent="0.35">
      <c r="A1463">
        <v>1868140</v>
      </c>
      <c r="B1463" t="s">
        <v>562</v>
      </c>
      <c r="C1463" s="1">
        <v>45105</v>
      </c>
      <c r="D1463">
        <v>3367</v>
      </c>
      <c r="E1463" t="b">
        <v>1</v>
      </c>
      <c r="F1463">
        <v>209</v>
      </c>
      <c r="G1463" t="s">
        <v>53</v>
      </c>
      <c r="H1463" t="s">
        <v>124</v>
      </c>
      <c r="I1463" t="s">
        <v>2117</v>
      </c>
    </row>
    <row r="1464" spans="1:9" x14ac:dyDescent="0.35">
      <c r="A1464">
        <v>1868140</v>
      </c>
      <c r="B1464" t="s">
        <v>562</v>
      </c>
      <c r="C1464" s="1">
        <v>45105</v>
      </c>
      <c r="D1464">
        <v>3367</v>
      </c>
      <c r="E1464" t="b">
        <v>1</v>
      </c>
      <c r="F1464">
        <v>209</v>
      </c>
      <c r="G1464" t="s">
        <v>53</v>
      </c>
      <c r="H1464" t="s">
        <v>1510</v>
      </c>
      <c r="I1464" t="s">
        <v>2117</v>
      </c>
    </row>
    <row r="1465" spans="1:9" x14ac:dyDescent="0.35">
      <c r="A1465">
        <v>2625420</v>
      </c>
      <c r="B1465" t="s">
        <v>564</v>
      </c>
      <c r="C1465" s="1">
        <v>45740</v>
      </c>
      <c r="D1465">
        <v>3366</v>
      </c>
      <c r="E1465" t="b">
        <v>0</v>
      </c>
      <c r="F1465">
        <v>210</v>
      </c>
      <c r="G1465" t="s">
        <v>29</v>
      </c>
      <c r="H1465" t="s">
        <v>49</v>
      </c>
      <c r="I1465" t="s">
        <v>2116</v>
      </c>
    </row>
    <row r="1466" spans="1:9" x14ac:dyDescent="0.35">
      <c r="A1466">
        <v>2625420</v>
      </c>
      <c r="B1466" t="s">
        <v>564</v>
      </c>
      <c r="C1466" s="1">
        <v>45740</v>
      </c>
      <c r="D1466">
        <v>3366</v>
      </c>
      <c r="E1466" t="b">
        <v>0</v>
      </c>
      <c r="F1466">
        <v>210</v>
      </c>
      <c r="G1466" t="s">
        <v>29</v>
      </c>
      <c r="H1466" t="s">
        <v>792</v>
      </c>
      <c r="I1466" t="s">
        <v>2116</v>
      </c>
    </row>
    <row r="1467" spans="1:9" x14ac:dyDescent="0.35">
      <c r="A1467">
        <v>2625420</v>
      </c>
      <c r="B1467" t="s">
        <v>564</v>
      </c>
      <c r="C1467" s="1">
        <v>45740</v>
      </c>
      <c r="D1467">
        <v>3366</v>
      </c>
      <c r="E1467" t="b">
        <v>0</v>
      </c>
      <c r="F1467">
        <v>210</v>
      </c>
      <c r="G1467" t="s">
        <v>29</v>
      </c>
      <c r="H1467" t="s">
        <v>346</v>
      </c>
      <c r="I1467" t="s">
        <v>2116</v>
      </c>
    </row>
    <row r="1468" spans="1:9" x14ac:dyDescent="0.35">
      <c r="A1468">
        <v>2625420</v>
      </c>
      <c r="B1468" t="s">
        <v>564</v>
      </c>
      <c r="C1468" s="1">
        <v>45740</v>
      </c>
      <c r="D1468">
        <v>3366</v>
      </c>
      <c r="E1468" t="b">
        <v>0</v>
      </c>
      <c r="F1468">
        <v>210</v>
      </c>
      <c r="G1468" t="s">
        <v>29</v>
      </c>
      <c r="H1468" t="s">
        <v>239</v>
      </c>
      <c r="I1468" t="s">
        <v>2116</v>
      </c>
    </row>
    <row r="1469" spans="1:9" x14ac:dyDescent="0.35">
      <c r="A1469">
        <v>2625420</v>
      </c>
      <c r="B1469" t="s">
        <v>564</v>
      </c>
      <c r="C1469" s="1">
        <v>45740</v>
      </c>
      <c r="D1469">
        <v>3366</v>
      </c>
      <c r="E1469" t="b">
        <v>0</v>
      </c>
      <c r="F1469">
        <v>210</v>
      </c>
      <c r="G1469" t="s">
        <v>29</v>
      </c>
      <c r="H1469" t="s">
        <v>132</v>
      </c>
      <c r="I1469" t="s">
        <v>2117</v>
      </c>
    </row>
    <row r="1470" spans="1:9" x14ac:dyDescent="0.35">
      <c r="A1470">
        <v>2625420</v>
      </c>
      <c r="B1470" t="s">
        <v>564</v>
      </c>
      <c r="C1470" s="1">
        <v>45740</v>
      </c>
      <c r="D1470">
        <v>3366</v>
      </c>
      <c r="E1470" t="b">
        <v>0</v>
      </c>
      <c r="F1470">
        <v>210</v>
      </c>
      <c r="G1470" t="s">
        <v>29</v>
      </c>
      <c r="H1470" t="s">
        <v>124</v>
      </c>
      <c r="I1470" t="s">
        <v>2117</v>
      </c>
    </row>
    <row r="1471" spans="1:9" x14ac:dyDescent="0.35">
      <c r="A1471">
        <v>2625420</v>
      </c>
      <c r="B1471" t="s">
        <v>564</v>
      </c>
      <c r="C1471" s="1">
        <v>45740</v>
      </c>
      <c r="D1471">
        <v>3366</v>
      </c>
      <c r="E1471" t="b">
        <v>0</v>
      </c>
      <c r="F1471">
        <v>210</v>
      </c>
      <c r="G1471" t="s">
        <v>29</v>
      </c>
      <c r="H1471" t="s">
        <v>1510</v>
      </c>
      <c r="I1471" t="s">
        <v>2117</v>
      </c>
    </row>
    <row r="1472" spans="1:9" x14ac:dyDescent="0.35">
      <c r="A1472">
        <v>976730</v>
      </c>
      <c r="B1472" t="s">
        <v>567</v>
      </c>
      <c r="C1472" s="1">
        <v>43802</v>
      </c>
      <c r="D1472">
        <v>3362</v>
      </c>
      <c r="E1472" t="b">
        <v>0</v>
      </c>
      <c r="F1472">
        <v>211</v>
      </c>
      <c r="G1472" t="s">
        <v>33</v>
      </c>
      <c r="H1472" t="s">
        <v>49</v>
      </c>
      <c r="I1472" t="s">
        <v>2116</v>
      </c>
    </row>
    <row r="1473" spans="1:9" x14ac:dyDescent="0.35">
      <c r="A1473">
        <v>976730</v>
      </c>
      <c r="B1473" t="s">
        <v>567</v>
      </c>
      <c r="C1473" s="1">
        <v>43802</v>
      </c>
      <c r="D1473">
        <v>3362</v>
      </c>
      <c r="E1473" t="b">
        <v>0</v>
      </c>
      <c r="F1473">
        <v>211</v>
      </c>
      <c r="G1473" t="s">
        <v>33</v>
      </c>
      <c r="H1473" t="s">
        <v>792</v>
      </c>
      <c r="I1473" t="s">
        <v>2117</v>
      </c>
    </row>
    <row r="1474" spans="1:9" x14ac:dyDescent="0.35">
      <c r="A1474">
        <v>976730</v>
      </c>
      <c r="B1474" t="s">
        <v>567</v>
      </c>
      <c r="C1474" s="1">
        <v>43802</v>
      </c>
      <c r="D1474">
        <v>3362</v>
      </c>
      <c r="E1474" t="b">
        <v>0</v>
      </c>
      <c r="F1474">
        <v>211</v>
      </c>
      <c r="G1474" t="s">
        <v>33</v>
      </c>
      <c r="H1474" t="s">
        <v>346</v>
      </c>
      <c r="I1474" t="s">
        <v>2117</v>
      </c>
    </row>
    <row r="1475" spans="1:9" x14ac:dyDescent="0.35">
      <c r="A1475">
        <v>976730</v>
      </c>
      <c r="B1475" t="s">
        <v>567</v>
      </c>
      <c r="C1475" s="1">
        <v>43802</v>
      </c>
      <c r="D1475">
        <v>3362</v>
      </c>
      <c r="E1475" t="b">
        <v>0</v>
      </c>
      <c r="F1475">
        <v>211</v>
      </c>
      <c r="G1475" t="s">
        <v>33</v>
      </c>
      <c r="H1475" t="s">
        <v>239</v>
      </c>
      <c r="I1475" t="s">
        <v>2117</v>
      </c>
    </row>
    <row r="1476" spans="1:9" x14ac:dyDescent="0.35">
      <c r="A1476">
        <v>976730</v>
      </c>
      <c r="B1476" t="s">
        <v>567</v>
      </c>
      <c r="C1476" s="1">
        <v>43802</v>
      </c>
      <c r="D1476">
        <v>3362</v>
      </c>
      <c r="E1476" t="b">
        <v>0</v>
      </c>
      <c r="F1476">
        <v>211</v>
      </c>
      <c r="G1476" t="s">
        <v>33</v>
      </c>
      <c r="H1476" t="s">
        <v>132</v>
      </c>
      <c r="I1476" t="s">
        <v>2117</v>
      </c>
    </row>
    <row r="1477" spans="1:9" x14ac:dyDescent="0.35">
      <c r="A1477">
        <v>976730</v>
      </c>
      <c r="B1477" t="s">
        <v>567</v>
      </c>
      <c r="C1477" s="1">
        <v>43802</v>
      </c>
      <c r="D1477">
        <v>3362</v>
      </c>
      <c r="E1477" t="b">
        <v>0</v>
      </c>
      <c r="F1477">
        <v>211</v>
      </c>
      <c r="G1477" t="s">
        <v>33</v>
      </c>
      <c r="H1477" t="s">
        <v>124</v>
      </c>
      <c r="I1477" t="s">
        <v>2117</v>
      </c>
    </row>
    <row r="1478" spans="1:9" x14ac:dyDescent="0.35">
      <c r="A1478">
        <v>976730</v>
      </c>
      <c r="B1478" t="s">
        <v>567</v>
      </c>
      <c r="C1478" s="1">
        <v>43802</v>
      </c>
      <c r="D1478">
        <v>3362</v>
      </c>
      <c r="E1478" t="b">
        <v>0</v>
      </c>
      <c r="F1478">
        <v>211</v>
      </c>
      <c r="G1478" t="s">
        <v>33</v>
      </c>
      <c r="H1478" t="s">
        <v>1510</v>
      </c>
      <c r="I1478" t="s">
        <v>2117</v>
      </c>
    </row>
    <row r="1479" spans="1:9" x14ac:dyDescent="0.35">
      <c r="A1479">
        <v>1009850</v>
      </c>
      <c r="B1479" t="s">
        <v>569</v>
      </c>
      <c r="C1479" s="1">
        <v>43935</v>
      </c>
      <c r="D1479">
        <v>3358</v>
      </c>
      <c r="E1479" t="b">
        <v>0</v>
      </c>
      <c r="F1479">
        <v>212</v>
      </c>
      <c r="G1479" t="s">
        <v>33</v>
      </c>
      <c r="H1479" t="s">
        <v>49</v>
      </c>
      <c r="I1479" t="s">
        <v>2117</v>
      </c>
    </row>
    <row r="1480" spans="1:9" x14ac:dyDescent="0.35">
      <c r="A1480">
        <v>1009850</v>
      </c>
      <c r="B1480" t="s">
        <v>569</v>
      </c>
      <c r="C1480" s="1">
        <v>43935</v>
      </c>
      <c r="D1480">
        <v>3358</v>
      </c>
      <c r="E1480" t="b">
        <v>0</v>
      </c>
      <c r="F1480">
        <v>212</v>
      </c>
      <c r="G1480" t="s">
        <v>33</v>
      </c>
      <c r="H1480" t="s">
        <v>792</v>
      </c>
      <c r="I1480" t="s">
        <v>2117</v>
      </c>
    </row>
    <row r="1481" spans="1:9" x14ac:dyDescent="0.35">
      <c r="A1481">
        <v>1009850</v>
      </c>
      <c r="B1481" t="s">
        <v>569</v>
      </c>
      <c r="C1481" s="1">
        <v>43935</v>
      </c>
      <c r="D1481">
        <v>3358</v>
      </c>
      <c r="E1481" t="b">
        <v>0</v>
      </c>
      <c r="F1481">
        <v>212</v>
      </c>
      <c r="G1481" t="s">
        <v>33</v>
      </c>
      <c r="H1481" t="s">
        <v>346</v>
      </c>
      <c r="I1481" t="s">
        <v>2117</v>
      </c>
    </row>
    <row r="1482" spans="1:9" x14ac:dyDescent="0.35">
      <c r="A1482">
        <v>1009850</v>
      </c>
      <c r="B1482" t="s">
        <v>569</v>
      </c>
      <c r="C1482" s="1">
        <v>43935</v>
      </c>
      <c r="D1482">
        <v>3358</v>
      </c>
      <c r="E1482" t="b">
        <v>0</v>
      </c>
      <c r="F1482">
        <v>212</v>
      </c>
      <c r="G1482" t="s">
        <v>33</v>
      </c>
      <c r="H1482" t="s">
        <v>239</v>
      </c>
      <c r="I1482" t="s">
        <v>2117</v>
      </c>
    </row>
    <row r="1483" spans="1:9" x14ac:dyDescent="0.35">
      <c r="A1483">
        <v>1009850</v>
      </c>
      <c r="B1483" t="s">
        <v>569</v>
      </c>
      <c r="C1483" s="1">
        <v>43935</v>
      </c>
      <c r="D1483">
        <v>3358</v>
      </c>
      <c r="E1483" t="b">
        <v>0</v>
      </c>
      <c r="F1483">
        <v>212</v>
      </c>
      <c r="G1483" t="s">
        <v>33</v>
      </c>
      <c r="H1483" t="s">
        <v>132</v>
      </c>
      <c r="I1483" t="s">
        <v>2117</v>
      </c>
    </row>
    <row r="1484" spans="1:9" x14ac:dyDescent="0.35">
      <c r="A1484">
        <v>1009850</v>
      </c>
      <c r="B1484" t="s">
        <v>569</v>
      </c>
      <c r="C1484" s="1">
        <v>43935</v>
      </c>
      <c r="D1484">
        <v>3358</v>
      </c>
      <c r="E1484" t="b">
        <v>0</v>
      </c>
      <c r="F1484">
        <v>212</v>
      </c>
      <c r="G1484" t="s">
        <v>33</v>
      </c>
      <c r="H1484" t="s">
        <v>124</v>
      </c>
      <c r="I1484" t="s">
        <v>2117</v>
      </c>
    </row>
    <row r="1485" spans="1:9" x14ac:dyDescent="0.35">
      <c r="A1485">
        <v>1009850</v>
      </c>
      <c r="B1485" t="s">
        <v>569</v>
      </c>
      <c r="C1485" s="1">
        <v>43935</v>
      </c>
      <c r="D1485">
        <v>3358</v>
      </c>
      <c r="E1485" t="b">
        <v>0</v>
      </c>
      <c r="F1485">
        <v>212</v>
      </c>
      <c r="G1485" t="s">
        <v>33</v>
      </c>
      <c r="H1485" t="s">
        <v>1510</v>
      </c>
      <c r="I1485" t="s">
        <v>2117</v>
      </c>
    </row>
    <row r="1486" spans="1:9" x14ac:dyDescent="0.35">
      <c r="A1486">
        <v>391540</v>
      </c>
      <c r="B1486" t="s">
        <v>572</v>
      </c>
      <c r="C1486" s="1">
        <v>42262</v>
      </c>
      <c r="D1486">
        <v>3331</v>
      </c>
      <c r="E1486" t="b">
        <v>1</v>
      </c>
      <c r="F1486">
        <v>213</v>
      </c>
      <c r="G1486" t="s">
        <v>2084</v>
      </c>
      <c r="H1486" t="s">
        <v>49</v>
      </c>
      <c r="I1486" t="s">
        <v>2117</v>
      </c>
    </row>
    <row r="1487" spans="1:9" x14ac:dyDescent="0.35">
      <c r="A1487">
        <v>391540</v>
      </c>
      <c r="B1487" t="s">
        <v>572</v>
      </c>
      <c r="C1487" s="1">
        <v>42262</v>
      </c>
      <c r="D1487">
        <v>3331</v>
      </c>
      <c r="E1487" t="b">
        <v>1</v>
      </c>
      <c r="F1487">
        <v>213</v>
      </c>
      <c r="G1487" t="s">
        <v>2084</v>
      </c>
      <c r="H1487" t="s">
        <v>792</v>
      </c>
      <c r="I1487" t="s">
        <v>2116</v>
      </c>
    </row>
    <row r="1488" spans="1:9" x14ac:dyDescent="0.35">
      <c r="A1488">
        <v>391540</v>
      </c>
      <c r="B1488" t="s">
        <v>572</v>
      </c>
      <c r="C1488" s="1">
        <v>42262</v>
      </c>
      <c r="D1488">
        <v>3331</v>
      </c>
      <c r="E1488" t="b">
        <v>1</v>
      </c>
      <c r="F1488">
        <v>213</v>
      </c>
      <c r="G1488" t="s">
        <v>2084</v>
      </c>
      <c r="H1488" t="s">
        <v>346</v>
      </c>
      <c r="I1488" t="s">
        <v>2117</v>
      </c>
    </row>
    <row r="1489" spans="1:9" x14ac:dyDescent="0.35">
      <c r="A1489">
        <v>391540</v>
      </c>
      <c r="B1489" t="s">
        <v>572</v>
      </c>
      <c r="C1489" s="1">
        <v>42262</v>
      </c>
      <c r="D1489">
        <v>3331</v>
      </c>
      <c r="E1489" t="b">
        <v>1</v>
      </c>
      <c r="F1489">
        <v>213</v>
      </c>
      <c r="G1489" t="s">
        <v>2084</v>
      </c>
      <c r="H1489" t="s">
        <v>239</v>
      </c>
      <c r="I1489" t="s">
        <v>2117</v>
      </c>
    </row>
    <row r="1490" spans="1:9" x14ac:dyDescent="0.35">
      <c r="A1490">
        <v>391540</v>
      </c>
      <c r="B1490" t="s">
        <v>572</v>
      </c>
      <c r="C1490" s="1">
        <v>42262</v>
      </c>
      <c r="D1490">
        <v>3331</v>
      </c>
      <c r="E1490" t="b">
        <v>1</v>
      </c>
      <c r="F1490">
        <v>213</v>
      </c>
      <c r="G1490" t="s">
        <v>2084</v>
      </c>
      <c r="H1490" t="s">
        <v>132</v>
      </c>
      <c r="I1490" t="s">
        <v>2116</v>
      </c>
    </row>
    <row r="1491" spans="1:9" x14ac:dyDescent="0.35">
      <c r="A1491">
        <v>391540</v>
      </c>
      <c r="B1491" t="s">
        <v>572</v>
      </c>
      <c r="C1491" s="1">
        <v>42262</v>
      </c>
      <c r="D1491">
        <v>3331</v>
      </c>
      <c r="E1491" t="b">
        <v>1</v>
      </c>
      <c r="F1491">
        <v>213</v>
      </c>
      <c r="G1491" t="s">
        <v>2084</v>
      </c>
      <c r="H1491" t="s">
        <v>124</v>
      </c>
      <c r="I1491" t="s">
        <v>2117</v>
      </c>
    </row>
    <row r="1492" spans="1:9" x14ac:dyDescent="0.35">
      <c r="A1492">
        <v>391540</v>
      </c>
      <c r="B1492" t="s">
        <v>572</v>
      </c>
      <c r="C1492" s="1">
        <v>42262</v>
      </c>
      <c r="D1492">
        <v>3331</v>
      </c>
      <c r="E1492" t="b">
        <v>1</v>
      </c>
      <c r="F1492">
        <v>213</v>
      </c>
      <c r="G1492" t="s">
        <v>2084</v>
      </c>
      <c r="H1492" t="s">
        <v>1510</v>
      </c>
      <c r="I1492" t="s">
        <v>2117</v>
      </c>
    </row>
    <row r="1493" spans="1:9" x14ac:dyDescent="0.35">
      <c r="A1493">
        <v>1546320</v>
      </c>
      <c r="B1493" t="s">
        <v>574</v>
      </c>
      <c r="C1493" s="1">
        <v>44290</v>
      </c>
      <c r="D1493">
        <v>3324</v>
      </c>
      <c r="E1493" t="b">
        <v>1</v>
      </c>
      <c r="F1493">
        <v>214</v>
      </c>
      <c r="G1493" t="s">
        <v>14</v>
      </c>
      <c r="H1493" t="s">
        <v>49</v>
      </c>
      <c r="I1493" t="s">
        <v>2117</v>
      </c>
    </row>
    <row r="1494" spans="1:9" x14ac:dyDescent="0.35">
      <c r="A1494">
        <v>1546320</v>
      </c>
      <c r="B1494" t="s">
        <v>574</v>
      </c>
      <c r="C1494" s="1">
        <v>44290</v>
      </c>
      <c r="D1494">
        <v>3324</v>
      </c>
      <c r="E1494" t="b">
        <v>1</v>
      </c>
      <c r="F1494">
        <v>214</v>
      </c>
      <c r="G1494" t="s">
        <v>14</v>
      </c>
      <c r="H1494" t="s">
        <v>792</v>
      </c>
      <c r="I1494" t="s">
        <v>2117</v>
      </c>
    </row>
    <row r="1495" spans="1:9" x14ac:dyDescent="0.35">
      <c r="A1495">
        <v>1546320</v>
      </c>
      <c r="B1495" t="s">
        <v>574</v>
      </c>
      <c r="C1495" s="1">
        <v>44290</v>
      </c>
      <c r="D1495">
        <v>3324</v>
      </c>
      <c r="E1495" t="b">
        <v>1</v>
      </c>
      <c r="F1495">
        <v>214</v>
      </c>
      <c r="G1495" t="s">
        <v>14</v>
      </c>
      <c r="H1495" t="s">
        <v>346</v>
      </c>
      <c r="I1495" t="s">
        <v>2117</v>
      </c>
    </row>
    <row r="1496" spans="1:9" x14ac:dyDescent="0.35">
      <c r="A1496">
        <v>1546320</v>
      </c>
      <c r="B1496" t="s">
        <v>574</v>
      </c>
      <c r="C1496" s="1">
        <v>44290</v>
      </c>
      <c r="D1496">
        <v>3324</v>
      </c>
      <c r="E1496" t="b">
        <v>1</v>
      </c>
      <c r="F1496">
        <v>214</v>
      </c>
      <c r="G1496" t="s">
        <v>14</v>
      </c>
      <c r="H1496" t="s">
        <v>239</v>
      </c>
      <c r="I1496" t="s">
        <v>2117</v>
      </c>
    </row>
    <row r="1497" spans="1:9" x14ac:dyDescent="0.35">
      <c r="A1497">
        <v>1546320</v>
      </c>
      <c r="B1497" t="s">
        <v>574</v>
      </c>
      <c r="C1497" s="1">
        <v>44290</v>
      </c>
      <c r="D1497">
        <v>3324</v>
      </c>
      <c r="E1497" t="b">
        <v>1</v>
      </c>
      <c r="F1497">
        <v>214</v>
      </c>
      <c r="G1497" t="s">
        <v>14</v>
      </c>
      <c r="H1497" t="s">
        <v>132</v>
      </c>
      <c r="I1497" t="s">
        <v>2116</v>
      </c>
    </row>
    <row r="1498" spans="1:9" x14ac:dyDescent="0.35">
      <c r="A1498">
        <v>1546320</v>
      </c>
      <c r="B1498" t="s">
        <v>574</v>
      </c>
      <c r="C1498" s="1">
        <v>44290</v>
      </c>
      <c r="D1498">
        <v>3324</v>
      </c>
      <c r="E1498" t="b">
        <v>1</v>
      </c>
      <c r="F1498">
        <v>214</v>
      </c>
      <c r="G1498" t="s">
        <v>14</v>
      </c>
      <c r="H1498" t="s">
        <v>124</v>
      </c>
      <c r="I1498" t="s">
        <v>2117</v>
      </c>
    </row>
    <row r="1499" spans="1:9" x14ac:dyDescent="0.35">
      <c r="A1499">
        <v>1546320</v>
      </c>
      <c r="B1499" t="s">
        <v>574</v>
      </c>
      <c r="C1499" s="1">
        <v>44290</v>
      </c>
      <c r="D1499">
        <v>3324</v>
      </c>
      <c r="E1499" t="b">
        <v>1</v>
      </c>
      <c r="F1499">
        <v>214</v>
      </c>
      <c r="G1499" t="s">
        <v>14</v>
      </c>
      <c r="H1499" t="s">
        <v>1510</v>
      </c>
      <c r="I1499" t="s">
        <v>2116</v>
      </c>
    </row>
    <row r="1500" spans="1:9" x14ac:dyDescent="0.35">
      <c r="A1500">
        <v>2404880</v>
      </c>
      <c r="B1500" t="s">
        <v>577</v>
      </c>
      <c r="C1500" s="1">
        <v>45806</v>
      </c>
      <c r="D1500">
        <v>3296</v>
      </c>
      <c r="E1500" t="b">
        <v>0</v>
      </c>
      <c r="F1500">
        <v>215</v>
      </c>
      <c r="G1500" t="s">
        <v>405</v>
      </c>
      <c r="H1500" t="s">
        <v>49</v>
      </c>
      <c r="I1500" t="s">
        <v>2117</v>
      </c>
    </row>
    <row r="1501" spans="1:9" x14ac:dyDescent="0.35">
      <c r="A1501">
        <v>2404880</v>
      </c>
      <c r="B1501" t="s">
        <v>577</v>
      </c>
      <c r="C1501" s="1">
        <v>45806</v>
      </c>
      <c r="D1501">
        <v>3296</v>
      </c>
      <c r="E1501" t="b">
        <v>0</v>
      </c>
      <c r="F1501">
        <v>215</v>
      </c>
      <c r="G1501" t="s">
        <v>405</v>
      </c>
      <c r="H1501" t="s">
        <v>792</v>
      </c>
      <c r="I1501" t="s">
        <v>2116</v>
      </c>
    </row>
    <row r="1502" spans="1:9" x14ac:dyDescent="0.35">
      <c r="A1502">
        <v>2404880</v>
      </c>
      <c r="B1502" t="s">
        <v>577</v>
      </c>
      <c r="C1502" s="1">
        <v>45806</v>
      </c>
      <c r="D1502">
        <v>3296</v>
      </c>
      <c r="E1502" t="b">
        <v>0</v>
      </c>
      <c r="F1502">
        <v>215</v>
      </c>
      <c r="G1502" t="s">
        <v>405</v>
      </c>
      <c r="H1502" t="s">
        <v>346</v>
      </c>
      <c r="I1502" t="s">
        <v>2117</v>
      </c>
    </row>
    <row r="1503" spans="1:9" x14ac:dyDescent="0.35">
      <c r="A1503">
        <v>2404880</v>
      </c>
      <c r="B1503" t="s">
        <v>577</v>
      </c>
      <c r="C1503" s="1">
        <v>45806</v>
      </c>
      <c r="D1503">
        <v>3296</v>
      </c>
      <c r="E1503" t="b">
        <v>0</v>
      </c>
      <c r="F1503">
        <v>215</v>
      </c>
      <c r="G1503" t="s">
        <v>405</v>
      </c>
      <c r="H1503" t="s">
        <v>239</v>
      </c>
      <c r="I1503" t="s">
        <v>2116</v>
      </c>
    </row>
    <row r="1504" spans="1:9" x14ac:dyDescent="0.35">
      <c r="A1504">
        <v>2404880</v>
      </c>
      <c r="B1504" t="s">
        <v>577</v>
      </c>
      <c r="C1504" s="1">
        <v>45806</v>
      </c>
      <c r="D1504">
        <v>3296</v>
      </c>
      <c r="E1504" t="b">
        <v>0</v>
      </c>
      <c r="F1504">
        <v>215</v>
      </c>
      <c r="G1504" t="s">
        <v>405</v>
      </c>
      <c r="H1504" t="s">
        <v>132</v>
      </c>
      <c r="I1504" t="s">
        <v>2117</v>
      </c>
    </row>
    <row r="1505" spans="1:9" x14ac:dyDescent="0.35">
      <c r="A1505">
        <v>2404880</v>
      </c>
      <c r="B1505" t="s">
        <v>577</v>
      </c>
      <c r="C1505" s="1">
        <v>45806</v>
      </c>
      <c r="D1505">
        <v>3296</v>
      </c>
      <c r="E1505" t="b">
        <v>0</v>
      </c>
      <c r="F1505">
        <v>215</v>
      </c>
      <c r="G1505" t="s">
        <v>405</v>
      </c>
      <c r="H1505" t="s">
        <v>124</v>
      </c>
      <c r="I1505" t="s">
        <v>2117</v>
      </c>
    </row>
    <row r="1506" spans="1:9" x14ac:dyDescent="0.35">
      <c r="A1506">
        <v>2404880</v>
      </c>
      <c r="B1506" t="s">
        <v>577</v>
      </c>
      <c r="C1506" s="1">
        <v>45806</v>
      </c>
      <c r="D1506">
        <v>3296</v>
      </c>
      <c r="E1506" t="b">
        <v>0</v>
      </c>
      <c r="F1506">
        <v>215</v>
      </c>
      <c r="G1506" t="s">
        <v>405</v>
      </c>
      <c r="H1506" t="s">
        <v>1510</v>
      </c>
      <c r="I1506" t="s">
        <v>2117</v>
      </c>
    </row>
    <row r="1507" spans="1:9" x14ac:dyDescent="0.35">
      <c r="A1507">
        <v>1258080</v>
      </c>
      <c r="B1507" t="s">
        <v>578</v>
      </c>
      <c r="C1507" s="1">
        <v>43956</v>
      </c>
      <c r="D1507">
        <v>3279</v>
      </c>
      <c r="E1507" t="b">
        <v>0</v>
      </c>
      <c r="F1507">
        <v>216</v>
      </c>
      <c r="G1507" t="s">
        <v>14</v>
      </c>
      <c r="H1507" t="s">
        <v>49</v>
      </c>
      <c r="I1507" t="s">
        <v>2117</v>
      </c>
    </row>
    <row r="1508" spans="1:9" x14ac:dyDescent="0.35">
      <c r="A1508">
        <v>1258080</v>
      </c>
      <c r="B1508" t="s">
        <v>578</v>
      </c>
      <c r="C1508" s="1">
        <v>43956</v>
      </c>
      <c r="D1508">
        <v>3279</v>
      </c>
      <c r="E1508" t="b">
        <v>0</v>
      </c>
      <c r="F1508">
        <v>216</v>
      </c>
      <c r="G1508" t="s">
        <v>14</v>
      </c>
      <c r="H1508" t="s">
        <v>792</v>
      </c>
      <c r="I1508" t="s">
        <v>2117</v>
      </c>
    </row>
    <row r="1509" spans="1:9" x14ac:dyDescent="0.35">
      <c r="A1509">
        <v>1258080</v>
      </c>
      <c r="B1509" t="s">
        <v>578</v>
      </c>
      <c r="C1509" s="1">
        <v>43956</v>
      </c>
      <c r="D1509">
        <v>3279</v>
      </c>
      <c r="E1509" t="b">
        <v>0</v>
      </c>
      <c r="F1509">
        <v>216</v>
      </c>
      <c r="G1509" t="s">
        <v>14</v>
      </c>
      <c r="H1509" t="s">
        <v>346</v>
      </c>
      <c r="I1509" t="s">
        <v>2116</v>
      </c>
    </row>
    <row r="1510" spans="1:9" x14ac:dyDescent="0.35">
      <c r="A1510">
        <v>1258080</v>
      </c>
      <c r="B1510" t="s">
        <v>578</v>
      </c>
      <c r="C1510" s="1">
        <v>43956</v>
      </c>
      <c r="D1510">
        <v>3279</v>
      </c>
      <c r="E1510" t="b">
        <v>0</v>
      </c>
      <c r="F1510">
        <v>216</v>
      </c>
      <c r="G1510" t="s">
        <v>14</v>
      </c>
      <c r="H1510" t="s">
        <v>239</v>
      </c>
      <c r="I1510" t="s">
        <v>2116</v>
      </c>
    </row>
    <row r="1511" spans="1:9" x14ac:dyDescent="0.35">
      <c r="A1511">
        <v>1258080</v>
      </c>
      <c r="B1511" t="s">
        <v>578</v>
      </c>
      <c r="C1511" s="1">
        <v>43956</v>
      </c>
      <c r="D1511">
        <v>3279</v>
      </c>
      <c r="E1511" t="b">
        <v>0</v>
      </c>
      <c r="F1511">
        <v>216</v>
      </c>
      <c r="G1511" t="s">
        <v>14</v>
      </c>
      <c r="H1511" t="s">
        <v>132</v>
      </c>
      <c r="I1511" t="s">
        <v>2116</v>
      </c>
    </row>
    <row r="1512" spans="1:9" x14ac:dyDescent="0.35">
      <c r="A1512">
        <v>1258080</v>
      </c>
      <c r="B1512" t="s">
        <v>578</v>
      </c>
      <c r="C1512" s="1">
        <v>43956</v>
      </c>
      <c r="D1512">
        <v>3279</v>
      </c>
      <c r="E1512" t="b">
        <v>0</v>
      </c>
      <c r="F1512">
        <v>216</v>
      </c>
      <c r="G1512" t="s">
        <v>14</v>
      </c>
      <c r="H1512" t="s">
        <v>124</v>
      </c>
      <c r="I1512" t="s">
        <v>2117</v>
      </c>
    </row>
    <row r="1513" spans="1:9" x14ac:dyDescent="0.35">
      <c r="A1513">
        <v>1258080</v>
      </c>
      <c r="B1513" t="s">
        <v>578</v>
      </c>
      <c r="C1513" s="1">
        <v>43956</v>
      </c>
      <c r="D1513">
        <v>3279</v>
      </c>
      <c r="E1513" t="b">
        <v>0</v>
      </c>
      <c r="F1513">
        <v>216</v>
      </c>
      <c r="G1513" t="s">
        <v>14</v>
      </c>
      <c r="H1513" t="s">
        <v>1510</v>
      </c>
      <c r="I1513" t="s">
        <v>2116</v>
      </c>
    </row>
    <row r="1514" spans="1:9" x14ac:dyDescent="0.35">
      <c r="A1514">
        <v>529760</v>
      </c>
      <c r="B1514" t="s">
        <v>581</v>
      </c>
      <c r="C1514" s="1">
        <v>42779</v>
      </c>
      <c r="D1514">
        <v>3278</v>
      </c>
      <c r="E1514" t="b">
        <v>0</v>
      </c>
      <c r="F1514">
        <v>217</v>
      </c>
      <c r="G1514" t="s">
        <v>33</v>
      </c>
      <c r="H1514" t="s">
        <v>49</v>
      </c>
      <c r="I1514" t="s">
        <v>2116</v>
      </c>
    </row>
    <row r="1515" spans="1:9" x14ac:dyDescent="0.35">
      <c r="A1515">
        <v>529760</v>
      </c>
      <c r="B1515" t="s">
        <v>581</v>
      </c>
      <c r="C1515" s="1">
        <v>42779</v>
      </c>
      <c r="D1515">
        <v>3278</v>
      </c>
      <c r="E1515" t="b">
        <v>0</v>
      </c>
      <c r="F1515">
        <v>217</v>
      </c>
      <c r="G1515" t="s">
        <v>33</v>
      </c>
      <c r="H1515" t="s">
        <v>792</v>
      </c>
      <c r="I1515" t="s">
        <v>2117</v>
      </c>
    </row>
    <row r="1516" spans="1:9" x14ac:dyDescent="0.35">
      <c r="A1516">
        <v>529760</v>
      </c>
      <c r="B1516" t="s">
        <v>581</v>
      </c>
      <c r="C1516" s="1">
        <v>42779</v>
      </c>
      <c r="D1516">
        <v>3278</v>
      </c>
      <c r="E1516" t="b">
        <v>0</v>
      </c>
      <c r="F1516">
        <v>217</v>
      </c>
      <c r="G1516" t="s">
        <v>33</v>
      </c>
      <c r="H1516" t="s">
        <v>346</v>
      </c>
      <c r="I1516" t="s">
        <v>2116</v>
      </c>
    </row>
    <row r="1517" spans="1:9" x14ac:dyDescent="0.35">
      <c r="A1517">
        <v>529760</v>
      </c>
      <c r="B1517" t="s">
        <v>581</v>
      </c>
      <c r="C1517" s="1">
        <v>42779</v>
      </c>
      <c r="D1517">
        <v>3278</v>
      </c>
      <c r="E1517" t="b">
        <v>0</v>
      </c>
      <c r="F1517">
        <v>217</v>
      </c>
      <c r="G1517" t="s">
        <v>33</v>
      </c>
      <c r="H1517" t="s">
        <v>239</v>
      </c>
      <c r="I1517" t="s">
        <v>2117</v>
      </c>
    </row>
    <row r="1518" spans="1:9" x14ac:dyDescent="0.35">
      <c r="A1518">
        <v>529760</v>
      </c>
      <c r="B1518" t="s">
        <v>581</v>
      </c>
      <c r="C1518" s="1">
        <v>42779</v>
      </c>
      <c r="D1518">
        <v>3278</v>
      </c>
      <c r="E1518" t="b">
        <v>0</v>
      </c>
      <c r="F1518">
        <v>217</v>
      </c>
      <c r="G1518" t="s">
        <v>33</v>
      </c>
      <c r="H1518" t="s">
        <v>132</v>
      </c>
      <c r="I1518" t="s">
        <v>2117</v>
      </c>
    </row>
    <row r="1519" spans="1:9" x14ac:dyDescent="0.35">
      <c r="A1519">
        <v>529760</v>
      </c>
      <c r="B1519" t="s">
        <v>581</v>
      </c>
      <c r="C1519" s="1">
        <v>42779</v>
      </c>
      <c r="D1519">
        <v>3278</v>
      </c>
      <c r="E1519" t="b">
        <v>0</v>
      </c>
      <c r="F1519">
        <v>217</v>
      </c>
      <c r="G1519" t="s">
        <v>33</v>
      </c>
      <c r="H1519" t="s">
        <v>124</v>
      </c>
      <c r="I1519" t="s">
        <v>2117</v>
      </c>
    </row>
    <row r="1520" spans="1:9" x14ac:dyDescent="0.35">
      <c r="A1520">
        <v>529760</v>
      </c>
      <c r="B1520" t="s">
        <v>581</v>
      </c>
      <c r="C1520" s="1">
        <v>42779</v>
      </c>
      <c r="D1520">
        <v>3278</v>
      </c>
      <c r="E1520" t="b">
        <v>0</v>
      </c>
      <c r="F1520">
        <v>217</v>
      </c>
      <c r="G1520" t="s">
        <v>33</v>
      </c>
      <c r="H1520" t="s">
        <v>1510</v>
      </c>
      <c r="I1520" t="s">
        <v>2117</v>
      </c>
    </row>
    <row r="1521" spans="1:9" x14ac:dyDescent="0.35">
      <c r="A1521">
        <v>1284210</v>
      </c>
      <c r="B1521" t="s">
        <v>583</v>
      </c>
      <c r="C1521" s="1">
        <v>44796</v>
      </c>
      <c r="D1521">
        <v>3277</v>
      </c>
      <c r="E1521" t="b">
        <v>0</v>
      </c>
      <c r="F1521">
        <v>218</v>
      </c>
      <c r="G1521" t="s">
        <v>2082</v>
      </c>
      <c r="H1521" t="s">
        <v>49</v>
      </c>
      <c r="I1521" t="s">
        <v>2117</v>
      </c>
    </row>
    <row r="1522" spans="1:9" x14ac:dyDescent="0.35">
      <c r="A1522">
        <v>1284210</v>
      </c>
      <c r="B1522" t="s">
        <v>583</v>
      </c>
      <c r="C1522" s="1">
        <v>44796</v>
      </c>
      <c r="D1522">
        <v>3277</v>
      </c>
      <c r="E1522" t="b">
        <v>0</v>
      </c>
      <c r="F1522">
        <v>218</v>
      </c>
      <c r="G1522" t="s">
        <v>2082</v>
      </c>
      <c r="H1522" t="s">
        <v>792</v>
      </c>
      <c r="I1522" t="s">
        <v>2117</v>
      </c>
    </row>
    <row r="1523" spans="1:9" x14ac:dyDescent="0.35">
      <c r="A1523">
        <v>1284210</v>
      </c>
      <c r="B1523" t="s">
        <v>583</v>
      </c>
      <c r="C1523" s="1">
        <v>44796</v>
      </c>
      <c r="D1523">
        <v>3277</v>
      </c>
      <c r="E1523" t="b">
        <v>0</v>
      </c>
      <c r="F1523">
        <v>218</v>
      </c>
      <c r="G1523" t="s">
        <v>2082</v>
      </c>
      <c r="H1523" t="s">
        <v>346</v>
      </c>
      <c r="I1523" t="s">
        <v>2116</v>
      </c>
    </row>
    <row r="1524" spans="1:9" x14ac:dyDescent="0.35">
      <c r="A1524">
        <v>1284210</v>
      </c>
      <c r="B1524" t="s">
        <v>583</v>
      </c>
      <c r="C1524" s="1">
        <v>44796</v>
      </c>
      <c r="D1524">
        <v>3277</v>
      </c>
      <c r="E1524" t="b">
        <v>0</v>
      </c>
      <c r="F1524">
        <v>218</v>
      </c>
      <c r="G1524" t="s">
        <v>2082</v>
      </c>
      <c r="H1524" t="s">
        <v>239</v>
      </c>
      <c r="I1524" t="s">
        <v>2117</v>
      </c>
    </row>
    <row r="1525" spans="1:9" x14ac:dyDescent="0.35">
      <c r="A1525">
        <v>1284210</v>
      </c>
      <c r="B1525" t="s">
        <v>583</v>
      </c>
      <c r="C1525" s="1">
        <v>44796</v>
      </c>
      <c r="D1525">
        <v>3277</v>
      </c>
      <c r="E1525" t="b">
        <v>0</v>
      </c>
      <c r="F1525">
        <v>218</v>
      </c>
      <c r="G1525" t="s">
        <v>2082</v>
      </c>
      <c r="H1525" t="s">
        <v>132</v>
      </c>
      <c r="I1525" t="s">
        <v>2116</v>
      </c>
    </row>
    <row r="1526" spans="1:9" x14ac:dyDescent="0.35">
      <c r="A1526">
        <v>1284210</v>
      </c>
      <c r="B1526" t="s">
        <v>583</v>
      </c>
      <c r="C1526" s="1">
        <v>44796</v>
      </c>
      <c r="D1526">
        <v>3277</v>
      </c>
      <c r="E1526" t="b">
        <v>0</v>
      </c>
      <c r="F1526">
        <v>218</v>
      </c>
      <c r="G1526" t="s">
        <v>2082</v>
      </c>
      <c r="H1526" t="s">
        <v>124</v>
      </c>
      <c r="I1526" t="s">
        <v>2117</v>
      </c>
    </row>
    <row r="1527" spans="1:9" x14ac:dyDescent="0.35">
      <c r="A1527">
        <v>1284210</v>
      </c>
      <c r="B1527" t="s">
        <v>583</v>
      </c>
      <c r="C1527" s="1">
        <v>44796</v>
      </c>
      <c r="D1527">
        <v>3277</v>
      </c>
      <c r="E1527" t="b">
        <v>0</v>
      </c>
      <c r="F1527">
        <v>218</v>
      </c>
      <c r="G1527" t="s">
        <v>2082</v>
      </c>
      <c r="H1527" t="s">
        <v>1510</v>
      </c>
      <c r="I1527" t="s">
        <v>2116</v>
      </c>
    </row>
    <row r="1528" spans="1:9" x14ac:dyDescent="0.35">
      <c r="A1528">
        <v>1250410</v>
      </c>
      <c r="B1528" t="s">
        <v>586</v>
      </c>
      <c r="C1528" s="1">
        <v>44060</v>
      </c>
      <c r="D1528">
        <v>3245</v>
      </c>
      <c r="E1528" t="b">
        <v>0</v>
      </c>
      <c r="F1528">
        <v>219</v>
      </c>
      <c r="G1528" t="s">
        <v>33</v>
      </c>
      <c r="H1528" t="s">
        <v>49</v>
      </c>
      <c r="I1528" t="s">
        <v>2117</v>
      </c>
    </row>
    <row r="1529" spans="1:9" x14ac:dyDescent="0.35">
      <c r="A1529">
        <v>1250410</v>
      </c>
      <c r="B1529" t="s">
        <v>586</v>
      </c>
      <c r="C1529" s="1">
        <v>44060</v>
      </c>
      <c r="D1529">
        <v>3245</v>
      </c>
      <c r="E1529" t="b">
        <v>0</v>
      </c>
      <c r="F1529">
        <v>219</v>
      </c>
      <c r="G1529" t="s">
        <v>33</v>
      </c>
      <c r="H1529" t="s">
        <v>792</v>
      </c>
      <c r="I1529" t="s">
        <v>2117</v>
      </c>
    </row>
    <row r="1530" spans="1:9" x14ac:dyDescent="0.35">
      <c r="A1530">
        <v>1250410</v>
      </c>
      <c r="B1530" t="s">
        <v>586</v>
      </c>
      <c r="C1530" s="1">
        <v>44060</v>
      </c>
      <c r="D1530">
        <v>3245</v>
      </c>
      <c r="E1530" t="b">
        <v>0</v>
      </c>
      <c r="F1530">
        <v>219</v>
      </c>
      <c r="G1530" t="s">
        <v>33</v>
      </c>
      <c r="H1530" t="s">
        <v>346</v>
      </c>
      <c r="I1530" t="s">
        <v>2117</v>
      </c>
    </row>
    <row r="1531" spans="1:9" x14ac:dyDescent="0.35">
      <c r="A1531">
        <v>1250410</v>
      </c>
      <c r="B1531" t="s">
        <v>586</v>
      </c>
      <c r="C1531" s="1">
        <v>44060</v>
      </c>
      <c r="D1531">
        <v>3245</v>
      </c>
      <c r="E1531" t="b">
        <v>0</v>
      </c>
      <c r="F1531">
        <v>219</v>
      </c>
      <c r="G1531" t="s">
        <v>33</v>
      </c>
      <c r="H1531" t="s">
        <v>239</v>
      </c>
      <c r="I1531" t="s">
        <v>2116</v>
      </c>
    </row>
    <row r="1532" spans="1:9" x14ac:dyDescent="0.35">
      <c r="A1532">
        <v>1250410</v>
      </c>
      <c r="B1532" t="s">
        <v>586</v>
      </c>
      <c r="C1532" s="1">
        <v>44060</v>
      </c>
      <c r="D1532">
        <v>3245</v>
      </c>
      <c r="E1532" t="b">
        <v>0</v>
      </c>
      <c r="F1532">
        <v>219</v>
      </c>
      <c r="G1532" t="s">
        <v>33</v>
      </c>
      <c r="H1532" t="s">
        <v>132</v>
      </c>
      <c r="I1532" t="s">
        <v>2117</v>
      </c>
    </row>
    <row r="1533" spans="1:9" x14ac:dyDescent="0.35">
      <c r="A1533">
        <v>1250410</v>
      </c>
      <c r="B1533" t="s">
        <v>586</v>
      </c>
      <c r="C1533" s="1">
        <v>44060</v>
      </c>
      <c r="D1533">
        <v>3245</v>
      </c>
      <c r="E1533" t="b">
        <v>0</v>
      </c>
      <c r="F1533">
        <v>219</v>
      </c>
      <c r="G1533" t="s">
        <v>33</v>
      </c>
      <c r="H1533" t="s">
        <v>124</v>
      </c>
      <c r="I1533" t="s">
        <v>2117</v>
      </c>
    </row>
    <row r="1534" spans="1:9" x14ac:dyDescent="0.35">
      <c r="A1534">
        <v>1250410</v>
      </c>
      <c r="B1534" t="s">
        <v>586</v>
      </c>
      <c r="C1534" s="1">
        <v>44060</v>
      </c>
      <c r="D1534">
        <v>3245</v>
      </c>
      <c r="E1534" t="b">
        <v>0</v>
      </c>
      <c r="F1534">
        <v>219</v>
      </c>
      <c r="G1534" t="s">
        <v>33</v>
      </c>
      <c r="H1534" t="s">
        <v>1510</v>
      </c>
      <c r="I1534" t="s">
        <v>2117</v>
      </c>
    </row>
    <row r="1535" spans="1:9" x14ac:dyDescent="0.35">
      <c r="A1535">
        <v>2622000</v>
      </c>
      <c r="B1535" t="s">
        <v>588</v>
      </c>
      <c r="C1535" s="1">
        <v>45350</v>
      </c>
      <c r="D1535">
        <v>3227</v>
      </c>
      <c r="E1535" t="b">
        <v>0</v>
      </c>
      <c r="F1535">
        <v>220</v>
      </c>
      <c r="G1535" t="s">
        <v>175</v>
      </c>
      <c r="H1535" t="s">
        <v>49</v>
      </c>
      <c r="I1535" t="s">
        <v>2117</v>
      </c>
    </row>
    <row r="1536" spans="1:9" x14ac:dyDescent="0.35">
      <c r="A1536">
        <v>2622000</v>
      </c>
      <c r="B1536" t="s">
        <v>588</v>
      </c>
      <c r="C1536" s="1">
        <v>45350</v>
      </c>
      <c r="D1536">
        <v>3227</v>
      </c>
      <c r="E1536" t="b">
        <v>0</v>
      </c>
      <c r="F1536">
        <v>220</v>
      </c>
      <c r="G1536" t="s">
        <v>175</v>
      </c>
      <c r="H1536" t="s">
        <v>792</v>
      </c>
      <c r="I1536" t="s">
        <v>2116</v>
      </c>
    </row>
    <row r="1537" spans="1:9" x14ac:dyDescent="0.35">
      <c r="A1537">
        <v>2622000</v>
      </c>
      <c r="B1537" t="s">
        <v>588</v>
      </c>
      <c r="C1537" s="1">
        <v>45350</v>
      </c>
      <c r="D1537">
        <v>3227</v>
      </c>
      <c r="E1537" t="b">
        <v>0</v>
      </c>
      <c r="F1537">
        <v>220</v>
      </c>
      <c r="G1537" t="s">
        <v>175</v>
      </c>
      <c r="H1537" t="s">
        <v>346</v>
      </c>
      <c r="I1537" t="s">
        <v>2117</v>
      </c>
    </row>
    <row r="1538" spans="1:9" x14ac:dyDescent="0.35">
      <c r="A1538">
        <v>2622000</v>
      </c>
      <c r="B1538" t="s">
        <v>588</v>
      </c>
      <c r="C1538" s="1">
        <v>45350</v>
      </c>
      <c r="D1538">
        <v>3227</v>
      </c>
      <c r="E1538" t="b">
        <v>0</v>
      </c>
      <c r="F1538">
        <v>220</v>
      </c>
      <c r="G1538" t="s">
        <v>175</v>
      </c>
      <c r="H1538" t="s">
        <v>239</v>
      </c>
      <c r="I1538" t="s">
        <v>2117</v>
      </c>
    </row>
    <row r="1539" spans="1:9" x14ac:dyDescent="0.35">
      <c r="A1539">
        <v>2622000</v>
      </c>
      <c r="B1539" t="s">
        <v>588</v>
      </c>
      <c r="C1539" s="1">
        <v>45350</v>
      </c>
      <c r="D1539">
        <v>3227</v>
      </c>
      <c r="E1539" t="b">
        <v>0</v>
      </c>
      <c r="F1539">
        <v>220</v>
      </c>
      <c r="G1539" t="s">
        <v>175</v>
      </c>
      <c r="H1539" t="s">
        <v>132</v>
      </c>
      <c r="I1539" t="s">
        <v>2116</v>
      </c>
    </row>
    <row r="1540" spans="1:9" x14ac:dyDescent="0.35">
      <c r="A1540">
        <v>2622000</v>
      </c>
      <c r="B1540" t="s">
        <v>588</v>
      </c>
      <c r="C1540" s="1">
        <v>45350</v>
      </c>
      <c r="D1540">
        <v>3227</v>
      </c>
      <c r="E1540" t="b">
        <v>0</v>
      </c>
      <c r="F1540">
        <v>220</v>
      </c>
      <c r="G1540" t="s">
        <v>175</v>
      </c>
      <c r="H1540" t="s">
        <v>124</v>
      </c>
      <c r="I1540" t="s">
        <v>2116</v>
      </c>
    </row>
    <row r="1541" spans="1:9" x14ac:dyDescent="0.35">
      <c r="A1541">
        <v>2622000</v>
      </c>
      <c r="B1541" t="s">
        <v>588</v>
      </c>
      <c r="C1541" s="1">
        <v>45350</v>
      </c>
      <c r="D1541">
        <v>3227</v>
      </c>
      <c r="E1541" t="b">
        <v>0</v>
      </c>
      <c r="F1541">
        <v>220</v>
      </c>
      <c r="G1541" t="s">
        <v>175</v>
      </c>
      <c r="H1541" t="s">
        <v>1510</v>
      </c>
      <c r="I1541" t="s">
        <v>2117</v>
      </c>
    </row>
    <row r="1542" spans="1:9" x14ac:dyDescent="0.35">
      <c r="A1542">
        <v>397540</v>
      </c>
      <c r="B1542" t="s">
        <v>591</v>
      </c>
      <c r="C1542" s="1">
        <v>43903</v>
      </c>
      <c r="D1542">
        <v>3164</v>
      </c>
      <c r="E1542" t="b">
        <v>0</v>
      </c>
      <c r="F1542">
        <v>221</v>
      </c>
      <c r="G1542" t="s">
        <v>593</v>
      </c>
      <c r="H1542" t="s">
        <v>49</v>
      </c>
      <c r="I1542" t="s">
        <v>2116</v>
      </c>
    </row>
    <row r="1543" spans="1:9" x14ac:dyDescent="0.35">
      <c r="A1543">
        <v>397540</v>
      </c>
      <c r="B1543" t="s">
        <v>591</v>
      </c>
      <c r="C1543" s="1">
        <v>43903</v>
      </c>
      <c r="D1543">
        <v>3164</v>
      </c>
      <c r="E1543" t="b">
        <v>0</v>
      </c>
      <c r="F1543">
        <v>221</v>
      </c>
      <c r="G1543" t="s">
        <v>593</v>
      </c>
      <c r="H1543" t="s">
        <v>792</v>
      </c>
      <c r="I1543" t="s">
        <v>2117</v>
      </c>
    </row>
    <row r="1544" spans="1:9" x14ac:dyDescent="0.35">
      <c r="A1544">
        <v>397540</v>
      </c>
      <c r="B1544" t="s">
        <v>591</v>
      </c>
      <c r="C1544" s="1">
        <v>43903</v>
      </c>
      <c r="D1544">
        <v>3164</v>
      </c>
      <c r="E1544" t="b">
        <v>0</v>
      </c>
      <c r="F1544">
        <v>221</v>
      </c>
      <c r="G1544" t="s">
        <v>593</v>
      </c>
      <c r="H1544" t="s">
        <v>346</v>
      </c>
      <c r="I1544" t="s">
        <v>2117</v>
      </c>
    </row>
    <row r="1545" spans="1:9" x14ac:dyDescent="0.35">
      <c r="A1545">
        <v>397540</v>
      </c>
      <c r="B1545" t="s">
        <v>591</v>
      </c>
      <c r="C1545" s="1">
        <v>43903</v>
      </c>
      <c r="D1545">
        <v>3164</v>
      </c>
      <c r="E1545" t="b">
        <v>0</v>
      </c>
      <c r="F1545">
        <v>221</v>
      </c>
      <c r="G1545" t="s">
        <v>593</v>
      </c>
      <c r="H1545" t="s">
        <v>239</v>
      </c>
      <c r="I1545" t="s">
        <v>2117</v>
      </c>
    </row>
    <row r="1546" spans="1:9" x14ac:dyDescent="0.35">
      <c r="A1546">
        <v>397540</v>
      </c>
      <c r="B1546" t="s">
        <v>591</v>
      </c>
      <c r="C1546" s="1">
        <v>43903</v>
      </c>
      <c r="D1546">
        <v>3164</v>
      </c>
      <c r="E1546" t="b">
        <v>0</v>
      </c>
      <c r="F1546">
        <v>221</v>
      </c>
      <c r="G1546" t="s">
        <v>593</v>
      </c>
      <c r="H1546" t="s">
        <v>132</v>
      </c>
      <c r="I1546" t="s">
        <v>2116</v>
      </c>
    </row>
    <row r="1547" spans="1:9" x14ac:dyDescent="0.35">
      <c r="A1547">
        <v>397540</v>
      </c>
      <c r="B1547" t="s">
        <v>591</v>
      </c>
      <c r="C1547" s="1">
        <v>43903</v>
      </c>
      <c r="D1547">
        <v>3164</v>
      </c>
      <c r="E1547" t="b">
        <v>0</v>
      </c>
      <c r="F1547">
        <v>221</v>
      </c>
      <c r="G1547" t="s">
        <v>593</v>
      </c>
      <c r="H1547" t="s">
        <v>124</v>
      </c>
      <c r="I1547" t="s">
        <v>2117</v>
      </c>
    </row>
    <row r="1548" spans="1:9" x14ac:dyDescent="0.35">
      <c r="A1548">
        <v>397540</v>
      </c>
      <c r="B1548" t="s">
        <v>591</v>
      </c>
      <c r="C1548" s="1">
        <v>43903</v>
      </c>
      <c r="D1548">
        <v>3164</v>
      </c>
      <c r="E1548" t="b">
        <v>0</v>
      </c>
      <c r="F1548">
        <v>221</v>
      </c>
      <c r="G1548" t="s">
        <v>593</v>
      </c>
      <c r="H1548" t="s">
        <v>1510</v>
      </c>
      <c r="I1548" t="s">
        <v>2117</v>
      </c>
    </row>
    <row r="1549" spans="1:9" x14ac:dyDescent="0.35">
      <c r="A1549">
        <v>1465360</v>
      </c>
      <c r="B1549" t="s">
        <v>594</v>
      </c>
      <c r="C1549" s="1">
        <v>44333</v>
      </c>
      <c r="D1549">
        <v>3132</v>
      </c>
      <c r="E1549" t="b">
        <v>1</v>
      </c>
      <c r="F1549">
        <v>222</v>
      </c>
      <c r="G1549" t="s">
        <v>33</v>
      </c>
      <c r="H1549" t="s">
        <v>49</v>
      </c>
      <c r="I1549" t="s">
        <v>2117</v>
      </c>
    </row>
    <row r="1550" spans="1:9" x14ac:dyDescent="0.35">
      <c r="A1550">
        <v>1465360</v>
      </c>
      <c r="B1550" t="s">
        <v>594</v>
      </c>
      <c r="C1550" s="1">
        <v>44333</v>
      </c>
      <c r="D1550">
        <v>3132</v>
      </c>
      <c r="E1550" t="b">
        <v>1</v>
      </c>
      <c r="F1550">
        <v>222</v>
      </c>
      <c r="G1550" t="s">
        <v>33</v>
      </c>
      <c r="H1550" t="s">
        <v>792</v>
      </c>
      <c r="I1550" t="s">
        <v>2117</v>
      </c>
    </row>
    <row r="1551" spans="1:9" x14ac:dyDescent="0.35">
      <c r="A1551">
        <v>1465360</v>
      </c>
      <c r="B1551" t="s">
        <v>594</v>
      </c>
      <c r="C1551" s="1">
        <v>44333</v>
      </c>
      <c r="D1551">
        <v>3132</v>
      </c>
      <c r="E1551" t="b">
        <v>1</v>
      </c>
      <c r="F1551">
        <v>222</v>
      </c>
      <c r="G1551" t="s">
        <v>33</v>
      </c>
      <c r="H1551" t="s">
        <v>346</v>
      </c>
      <c r="I1551" t="s">
        <v>2116</v>
      </c>
    </row>
    <row r="1552" spans="1:9" x14ac:dyDescent="0.35">
      <c r="A1552">
        <v>1465360</v>
      </c>
      <c r="B1552" t="s">
        <v>594</v>
      </c>
      <c r="C1552" s="1">
        <v>44333</v>
      </c>
      <c r="D1552">
        <v>3132</v>
      </c>
      <c r="E1552" t="b">
        <v>1</v>
      </c>
      <c r="F1552">
        <v>222</v>
      </c>
      <c r="G1552" t="s">
        <v>33</v>
      </c>
      <c r="H1552" t="s">
        <v>239</v>
      </c>
      <c r="I1552" t="s">
        <v>2116</v>
      </c>
    </row>
    <row r="1553" spans="1:9" x14ac:dyDescent="0.35">
      <c r="A1553">
        <v>1465360</v>
      </c>
      <c r="B1553" t="s">
        <v>594</v>
      </c>
      <c r="C1553" s="1">
        <v>44333</v>
      </c>
      <c r="D1553">
        <v>3132</v>
      </c>
      <c r="E1553" t="b">
        <v>1</v>
      </c>
      <c r="F1553">
        <v>222</v>
      </c>
      <c r="G1553" t="s">
        <v>33</v>
      </c>
      <c r="H1553" t="s">
        <v>132</v>
      </c>
      <c r="I1553" t="s">
        <v>2117</v>
      </c>
    </row>
    <row r="1554" spans="1:9" x14ac:dyDescent="0.35">
      <c r="A1554">
        <v>1465360</v>
      </c>
      <c r="B1554" t="s">
        <v>594</v>
      </c>
      <c r="C1554" s="1">
        <v>44333</v>
      </c>
      <c r="D1554">
        <v>3132</v>
      </c>
      <c r="E1554" t="b">
        <v>1</v>
      </c>
      <c r="F1554">
        <v>222</v>
      </c>
      <c r="G1554" t="s">
        <v>33</v>
      </c>
      <c r="H1554" t="s">
        <v>124</v>
      </c>
      <c r="I1554" t="s">
        <v>2117</v>
      </c>
    </row>
    <row r="1555" spans="1:9" x14ac:dyDescent="0.35">
      <c r="A1555">
        <v>1465360</v>
      </c>
      <c r="B1555" t="s">
        <v>594</v>
      </c>
      <c r="C1555" s="1">
        <v>44333</v>
      </c>
      <c r="D1555">
        <v>3132</v>
      </c>
      <c r="E1555" t="b">
        <v>1</v>
      </c>
      <c r="F1555">
        <v>222</v>
      </c>
      <c r="G1555" t="s">
        <v>33</v>
      </c>
      <c r="H1555" t="s">
        <v>1510</v>
      </c>
      <c r="I1555" t="s">
        <v>2117</v>
      </c>
    </row>
    <row r="1556" spans="1:9" x14ac:dyDescent="0.35">
      <c r="A1556">
        <v>268500</v>
      </c>
      <c r="B1556" t="s">
        <v>596</v>
      </c>
      <c r="C1556" s="1">
        <v>42404</v>
      </c>
      <c r="D1556">
        <v>3123</v>
      </c>
      <c r="E1556" t="b">
        <v>1</v>
      </c>
      <c r="F1556">
        <v>223</v>
      </c>
      <c r="G1556" t="s">
        <v>133</v>
      </c>
      <c r="H1556" t="s">
        <v>49</v>
      </c>
      <c r="I1556" t="s">
        <v>2117</v>
      </c>
    </row>
    <row r="1557" spans="1:9" x14ac:dyDescent="0.35">
      <c r="A1557">
        <v>268500</v>
      </c>
      <c r="B1557" t="s">
        <v>596</v>
      </c>
      <c r="C1557" s="1">
        <v>42404</v>
      </c>
      <c r="D1557">
        <v>3123</v>
      </c>
      <c r="E1557" t="b">
        <v>1</v>
      </c>
      <c r="F1557">
        <v>223</v>
      </c>
      <c r="G1557" t="s">
        <v>133</v>
      </c>
      <c r="H1557" t="s">
        <v>792</v>
      </c>
      <c r="I1557" t="s">
        <v>2117</v>
      </c>
    </row>
    <row r="1558" spans="1:9" x14ac:dyDescent="0.35">
      <c r="A1558">
        <v>268500</v>
      </c>
      <c r="B1558" t="s">
        <v>596</v>
      </c>
      <c r="C1558" s="1">
        <v>42404</v>
      </c>
      <c r="D1558">
        <v>3123</v>
      </c>
      <c r="E1558" t="b">
        <v>1</v>
      </c>
      <c r="F1558">
        <v>223</v>
      </c>
      <c r="G1558" t="s">
        <v>133</v>
      </c>
      <c r="H1558" t="s">
        <v>346</v>
      </c>
      <c r="I1558" t="s">
        <v>2117</v>
      </c>
    </row>
    <row r="1559" spans="1:9" x14ac:dyDescent="0.35">
      <c r="A1559">
        <v>268500</v>
      </c>
      <c r="B1559" t="s">
        <v>596</v>
      </c>
      <c r="C1559" s="1">
        <v>42404</v>
      </c>
      <c r="D1559">
        <v>3123</v>
      </c>
      <c r="E1559" t="b">
        <v>1</v>
      </c>
      <c r="F1559">
        <v>223</v>
      </c>
      <c r="G1559" t="s">
        <v>133</v>
      </c>
      <c r="H1559" t="s">
        <v>239</v>
      </c>
      <c r="I1559" t="s">
        <v>2117</v>
      </c>
    </row>
    <row r="1560" spans="1:9" x14ac:dyDescent="0.35">
      <c r="A1560">
        <v>268500</v>
      </c>
      <c r="B1560" t="s">
        <v>596</v>
      </c>
      <c r="C1560" s="1">
        <v>42404</v>
      </c>
      <c r="D1560">
        <v>3123</v>
      </c>
      <c r="E1560" t="b">
        <v>1</v>
      </c>
      <c r="F1560">
        <v>223</v>
      </c>
      <c r="G1560" t="s">
        <v>133</v>
      </c>
      <c r="H1560" t="s">
        <v>132</v>
      </c>
      <c r="I1560" t="s">
        <v>2117</v>
      </c>
    </row>
    <row r="1561" spans="1:9" x14ac:dyDescent="0.35">
      <c r="A1561">
        <v>268500</v>
      </c>
      <c r="B1561" t="s">
        <v>596</v>
      </c>
      <c r="C1561" s="1">
        <v>42404</v>
      </c>
      <c r="D1561">
        <v>3123</v>
      </c>
      <c r="E1561" t="b">
        <v>1</v>
      </c>
      <c r="F1561">
        <v>223</v>
      </c>
      <c r="G1561" t="s">
        <v>133</v>
      </c>
      <c r="H1561" t="s">
        <v>124</v>
      </c>
      <c r="I1561" t="s">
        <v>2116</v>
      </c>
    </row>
    <row r="1562" spans="1:9" x14ac:dyDescent="0.35">
      <c r="A1562">
        <v>268500</v>
      </c>
      <c r="B1562" t="s">
        <v>596</v>
      </c>
      <c r="C1562" s="1">
        <v>42404</v>
      </c>
      <c r="D1562">
        <v>3123</v>
      </c>
      <c r="E1562" t="b">
        <v>1</v>
      </c>
      <c r="F1562">
        <v>223</v>
      </c>
      <c r="G1562" t="s">
        <v>133</v>
      </c>
      <c r="H1562" t="s">
        <v>1510</v>
      </c>
      <c r="I1562" t="s">
        <v>2117</v>
      </c>
    </row>
    <row r="1563" spans="1:9" x14ac:dyDescent="0.35">
      <c r="A1563">
        <v>1229490</v>
      </c>
      <c r="B1563" t="s">
        <v>598</v>
      </c>
      <c r="C1563" s="1">
        <v>44077</v>
      </c>
      <c r="D1563">
        <v>3122</v>
      </c>
      <c r="E1563" t="b">
        <v>0</v>
      </c>
      <c r="F1563">
        <v>224</v>
      </c>
      <c r="G1563" t="s">
        <v>33</v>
      </c>
      <c r="H1563" t="s">
        <v>49</v>
      </c>
      <c r="I1563" t="s">
        <v>2116</v>
      </c>
    </row>
    <row r="1564" spans="1:9" x14ac:dyDescent="0.35">
      <c r="A1564">
        <v>1229490</v>
      </c>
      <c r="B1564" t="s">
        <v>598</v>
      </c>
      <c r="C1564" s="1">
        <v>44077</v>
      </c>
      <c r="D1564">
        <v>3122</v>
      </c>
      <c r="E1564" t="b">
        <v>0</v>
      </c>
      <c r="F1564">
        <v>224</v>
      </c>
      <c r="G1564" t="s">
        <v>33</v>
      </c>
      <c r="H1564" t="s">
        <v>792</v>
      </c>
      <c r="I1564" t="s">
        <v>2116</v>
      </c>
    </row>
    <row r="1565" spans="1:9" x14ac:dyDescent="0.35">
      <c r="A1565">
        <v>1229490</v>
      </c>
      <c r="B1565" t="s">
        <v>598</v>
      </c>
      <c r="C1565" s="1">
        <v>44077</v>
      </c>
      <c r="D1565">
        <v>3122</v>
      </c>
      <c r="E1565" t="b">
        <v>0</v>
      </c>
      <c r="F1565">
        <v>224</v>
      </c>
      <c r="G1565" t="s">
        <v>33</v>
      </c>
      <c r="H1565" t="s">
        <v>346</v>
      </c>
      <c r="I1565" t="s">
        <v>2117</v>
      </c>
    </row>
    <row r="1566" spans="1:9" x14ac:dyDescent="0.35">
      <c r="A1566">
        <v>1229490</v>
      </c>
      <c r="B1566" t="s">
        <v>598</v>
      </c>
      <c r="C1566" s="1">
        <v>44077</v>
      </c>
      <c r="D1566">
        <v>3122</v>
      </c>
      <c r="E1566" t="b">
        <v>0</v>
      </c>
      <c r="F1566">
        <v>224</v>
      </c>
      <c r="G1566" t="s">
        <v>33</v>
      </c>
      <c r="H1566" t="s">
        <v>239</v>
      </c>
      <c r="I1566" t="s">
        <v>2117</v>
      </c>
    </row>
    <row r="1567" spans="1:9" x14ac:dyDescent="0.35">
      <c r="A1567">
        <v>1229490</v>
      </c>
      <c r="B1567" t="s">
        <v>598</v>
      </c>
      <c r="C1567" s="1">
        <v>44077</v>
      </c>
      <c r="D1567">
        <v>3122</v>
      </c>
      <c r="E1567" t="b">
        <v>0</v>
      </c>
      <c r="F1567">
        <v>224</v>
      </c>
      <c r="G1567" t="s">
        <v>33</v>
      </c>
      <c r="H1567" t="s">
        <v>132</v>
      </c>
      <c r="I1567" t="s">
        <v>2117</v>
      </c>
    </row>
    <row r="1568" spans="1:9" x14ac:dyDescent="0.35">
      <c r="A1568">
        <v>1229490</v>
      </c>
      <c r="B1568" t="s">
        <v>598</v>
      </c>
      <c r="C1568" s="1">
        <v>44077</v>
      </c>
      <c r="D1568">
        <v>3122</v>
      </c>
      <c r="E1568" t="b">
        <v>0</v>
      </c>
      <c r="F1568">
        <v>224</v>
      </c>
      <c r="G1568" t="s">
        <v>33</v>
      </c>
      <c r="H1568" t="s">
        <v>124</v>
      </c>
      <c r="I1568" t="s">
        <v>2117</v>
      </c>
    </row>
    <row r="1569" spans="1:9" x14ac:dyDescent="0.35">
      <c r="A1569">
        <v>1229490</v>
      </c>
      <c r="B1569" t="s">
        <v>598</v>
      </c>
      <c r="C1569" s="1">
        <v>44077</v>
      </c>
      <c r="D1569">
        <v>3122</v>
      </c>
      <c r="E1569" t="b">
        <v>0</v>
      </c>
      <c r="F1569">
        <v>224</v>
      </c>
      <c r="G1569" t="s">
        <v>33</v>
      </c>
      <c r="H1569" t="s">
        <v>1510</v>
      </c>
      <c r="I1569" t="s">
        <v>2117</v>
      </c>
    </row>
    <row r="1570" spans="1:9" x14ac:dyDescent="0.35">
      <c r="A1570">
        <v>1260320</v>
      </c>
      <c r="B1570" t="s">
        <v>599</v>
      </c>
      <c r="C1570" s="1">
        <v>45189</v>
      </c>
      <c r="D1570">
        <v>3070</v>
      </c>
      <c r="E1570" t="b">
        <v>0</v>
      </c>
      <c r="F1570">
        <v>225</v>
      </c>
      <c r="G1570" t="s">
        <v>53</v>
      </c>
      <c r="H1570" t="s">
        <v>49</v>
      </c>
      <c r="I1570" t="s">
        <v>2116</v>
      </c>
    </row>
    <row r="1571" spans="1:9" x14ac:dyDescent="0.35">
      <c r="A1571">
        <v>1260320</v>
      </c>
      <c r="B1571" t="s">
        <v>599</v>
      </c>
      <c r="C1571" s="1">
        <v>45189</v>
      </c>
      <c r="D1571">
        <v>3070</v>
      </c>
      <c r="E1571" t="b">
        <v>0</v>
      </c>
      <c r="F1571">
        <v>225</v>
      </c>
      <c r="G1571" t="s">
        <v>53</v>
      </c>
      <c r="H1571" t="s">
        <v>792</v>
      </c>
      <c r="I1571" t="s">
        <v>2116</v>
      </c>
    </row>
    <row r="1572" spans="1:9" x14ac:dyDescent="0.35">
      <c r="A1572">
        <v>1260320</v>
      </c>
      <c r="B1572" t="s">
        <v>599</v>
      </c>
      <c r="C1572" s="1">
        <v>45189</v>
      </c>
      <c r="D1572">
        <v>3070</v>
      </c>
      <c r="E1572" t="b">
        <v>0</v>
      </c>
      <c r="F1572">
        <v>225</v>
      </c>
      <c r="G1572" t="s">
        <v>53</v>
      </c>
      <c r="H1572" t="s">
        <v>346</v>
      </c>
      <c r="I1572" t="s">
        <v>2117</v>
      </c>
    </row>
    <row r="1573" spans="1:9" x14ac:dyDescent="0.35">
      <c r="A1573">
        <v>1260320</v>
      </c>
      <c r="B1573" t="s">
        <v>599</v>
      </c>
      <c r="C1573" s="1">
        <v>45189</v>
      </c>
      <c r="D1573">
        <v>3070</v>
      </c>
      <c r="E1573" t="b">
        <v>0</v>
      </c>
      <c r="F1573">
        <v>225</v>
      </c>
      <c r="G1573" t="s">
        <v>53</v>
      </c>
      <c r="H1573" t="s">
        <v>239</v>
      </c>
      <c r="I1573" t="s">
        <v>2117</v>
      </c>
    </row>
    <row r="1574" spans="1:9" x14ac:dyDescent="0.35">
      <c r="A1574">
        <v>1260320</v>
      </c>
      <c r="B1574" t="s">
        <v>599</v>
      </c>
      <c r="C1574" s="1">
        <v>45189</v>
      </c>
      <c r="D1574">
        <v>3070</v>
      </c>
      <c r="E1574" t="b">
        <v>0</v>
      </c>
      <c r="F1574">
        <v>225</v>
      </c>
      <c r="G1574" t="s">
        <v>53</v>
      </c>
      <c r="H1574" t="s">
        <v>132</v>
      </c>
      <c r="I1574" t="s">
        <v>2117</v>
      </c>
    </row>
    <row r="1575" spans="1:9" x14ac:dyDescent="0.35">
      <c r="A1575">
        <v>1260320</v>
      </c>
      <c r="B1575" t="s">
        <v>599</v>
      </c>
      <c r="C1575" s="1">
        <v>45189</v>
      </c>
      <c r="D1575">
        <v>3070</v>
      </c>
      <c r="E1575" t="b">
        <v>0</v>
      </c>
      <c r="F1575">
        <v>225</v>
      </c>
      <c r="G1575" t="s">
        <v>53</v>
      </c>
      <c r="H1575" t="s">
        <v>124</v>
      </c>
      <c r="I1575" t="s">
        <v>2117</v>
      </c>
    </row>
    <row r="1576" spans="1:9" x14ac:dyDescent="0.35">
      <c r="A1576">
        <v>1260320</v>
      </c>
      <c r="B1576" t="s">
        <v>599</v>
      </c>
      <c r="C1576" s="1">
        <v>45189</v>
      </c>
      <c r="D1576">
        <v>3070</v>
      </c>
      <c r="E1576" t="b">
        <v>0</v>
      </c>
      <c r="F1576">
        <v>225</v>
      </c>
      <c r="G1576" t="s">
        <v>53</v>
      </c>
      <c r="H1576" t="s">
        <v>1510</v>
      </c>
      <c r="I1576" t="s">
        <v>2117</v>
      </c>
    </row>
    <row r="1577" spans="1:9" x14ac:dyDescent="0.35">
      <c r="A1577">
        <v>3400930</v>
      </c>
      <c r="B1577" t="s">
        <v>602</v>
      </c>
      <c r="C1577" s="1">
        <v>45806</v>
      </c>
      <c r="D1577">
        <v>3056</v>
      </c>
      <c r="E1577" t="b">
        <v>1</v>
      </c>
      <c r="F1577">
        <v>226</v>
      </c>
      <c r="G1577" t="s">
        <v>14</v>
      </c>
      <c r="H1577" t="s">
        <v>49</v>
      </c>
      <c r="I1577" t="s">
        <v>2117</v>
      </c>
    </row>
    <row r="1578" spans="1:9" x14ac:dyDescent="0.35">
      <c r="A1578">
        <v>3400930</v>
      </c>
      <c r="B1578" t="s">
        <v>602</v>
      </c>
      <c r="C1578" s="1">
        <v>45806</v>
      </c>
      <c r="D1578">
        <v>3056</v>
      </c>
      <c r="E1578" t="b">
        <v>1</v>
      </c>
      <c r="F1578">
        <v>226</v>
      </c>
      <c r="G1578" t="s">
        <v>14</v>
      </c>
      <c r="H1578" t="s">
        <v>792</v>
      </c>
      <c r="I1578" t="s">
        <v>2117</v>
      </c>
    </row>
    <row r="1579" spans="1:9" x14ac:dyDescent="0.35">
      <c r="A1579">
        <v>3400930</v>
      </c>
      <c r="B1579" t="s">
        <v>602</v>
      </c>
      <c r="C1579" s="1">
        <v>45806</v>
      </c>
      <c r="D1579">
        <v>3056</v>
      </c>
      <c r="E1579" t="b">
        <v>1</v>
      </c>
      <c r="F1579">
        <v>226</v>
      </c>
      <c r="G1579" t="s">
        <v>14</v>
      </c>
      <c r="H1579" t="s">
        <v>346</v>
      </c>
      <c r="I1579" t="s">
        <v>2117</v>
      </c>
    </row>
    <row r="1580" spans="1:9" x14ac:dyDescent="0.35">
      <c r="A1580">
        <v>3400930</v>
      </c>
      <c r="B1580" t="s">
        <v>602</v>
      </c>
      <c r="C1580" s="1">
        <v>45806</v>
      </c>
      <c r="D1580">
        <v>3056</v>
      </c>
      <c r="E1580" t="b">
        <v>1</v>
      </c>
      <c r="F1580">
        <v>226</v>
      </c>
      <c r="G1580" t="s">
        <v>14</v>
      </c>
      <c r="H1580" t="s">
        <v>239</v>
      </c>
      <c r="I1580" t="s">
        <v>2116</v>
      </c>
    </row>
    <row r="1581" spans="1:9" x14ac:dyDescent="0.35">
      <c r="A1581">
        <v>3400930</v>
      </c>
      <c r="B1581" t="s">
        <v>602</v>
      </c>
      <c r="C1581" s="1">
        <v>45806</v>
      </c>
      <c r="D1581">
        <v>3056</v>
      </c>
      <c r="E1581" t="b">
        <v>1</v>
      </c>
      <c r="F1581">
        <v>226</v>
      </c>
      <c r="G1581" t="s">
        <v>14</v>
      </c>
      <c r="H1581" t="s">
        <v>132</v>
      </c>
      <c r="I1581" t="s">
        <v>2117</v>
      </c>
    </row>
    <row r="1582" spans="1:9" x14ac:dyDescent="0.35">
      <c r="A1582">
        <v>3400930</v>
      </c>
      <c r="B1582" t="s">
        <v>602</v>
      </c>
      <c r="C1582" s="1">
        <v>45806</v>
      </c>
      <c r="D1582">
        <v>3056</v>
      </c>
      <c r="E1582" t="b">
        <v>1</v>
      </c>
      <c r="F1582">
        <v>226</v>
      </c>
      <c r="G1582" t="s">
        <v>14</v>
      </c>
      <c r="H1582" t="s">
        <v>124</v>
      </c>
      <c r="I1582" t="s">
        <v>2117</v>
      </c>
    </row>
    <row r="1583" spans="1:9" x14ac:dyDescent="0.35">
      <c r="A1583">
        <v>3400930</v>
      </c>
      <c r="B1583" t="s">
        <v>602</v>
      </c>
      <c r="C1583" s="1">
        <v>45806</v>
      </c>
      <c r="D1583">
        <v>3056</v>
      </c>
      <c r="E1583" t="b">
        <v>1</v>
      </c>
      <c r="F1583">
        <v>226</v>
      </c>
      <c r="G1583" t="s">
        <v>14</v>
      </c>
      <c r="H1583" t="s">
        <v>1510</v>
      </c>
      <c r="I1583" t="s">
        <v>2117</v>
      </c>
    </row>
    <row r="1584" spans="1:9" x14ac:dyDescent="0.35">
      <c r="A1584">
        <v>48700</v>
      </c>
      <c r="B1584" t="s">
        <v>605</v>
      </c>
      <c r="C1584" s="1">
        <v>40268</v>
      </c>
      <c r="D1584">
        <v>3055</v>
      </c>
      <c r="E1584" t="b">
        <v>1</v>
      </c>
      <c r="F1584">
        <v>227</v>
      </c>
      <c r="G1584" t="s">
        <v>2095</v>
      </c>
      <c r="H1584" t="s">
        <v>49</v>
      </c>
      <c r="I1584" t="s">
        <v>2116</v>
      </c>
    </row>
    <row r="1585" spans="1:9" x14ac:dyDescent="0.35">
      <c r="A1585">
        <v>48700</v>
      </c>
      <c r="B1585" t="s">
        <v>605</v>
      </c>
      <c r="C1585" s="1">
        <v>40268</v>
      </c>
      <c r="D1585">
        <v>3055</v>
      </c>
      <c r="E1585" t="b">
        <v>1</v>
      </c>
      <c r="F1585">
        <v>227</v>
      </c>
      <c r="G1585" t="s">
        <v>2095</v>
      </c>
      <c r="H1585" t="s">
        <v>792</v>
      </c>
      <c r="I1585" t="s">
        <v>2117</v>
      </c>
    </row>
    <row r="1586" spans="1:9" x14ac:dyDescent="0.35">
      <c r="A1586">
        <v>48700</v>
      </c>
      <c r="B1586" t="s">
        <v>605</v>
      </c>
      <c r="C1586" s="1">
        <v>40268</v>
      </c>
      <c r="D1586">
        <v>3055</v>
      </c>
      <c r="E1586" t="b">
        <v>1</v>
      </c>
      <c r="F1586">
        <v>227</v>
      </c>
      <c r="G1586" t="s">
        <v>2095</v>
      </c>
      <c r="H1586" t="s">
        <v>346</v>
      </c>
      <c r="I1586" t="s">
        <v>2117</v>
      </c>
    </row>
    <row r="1587" spans="1:9" x14ac:dyDescent="0.35">
      <c r="A1587">
        <v>48700</v>
      </c>
      <c r="B1587" t="s">
        <v>605</v>
      </c>
      <c r="C1587" s="1">
        <v>40268</v>
      </c>
      <c r="D1587">
        <v>3055</v>
      </c>
      <c r="E1587" t="b">
        <v>1</v>
      </c>
      <c r="F1587">
        <v>227</v>
      </c>
      <c r="G1587" t="s">
        <v>2095</v>
      </c>
      <c r="H1587" t="s">
        <v>239</v>
      </c>
      <c r="I1587" t="s">
        <v>2117</v>
      </c>
    </row>
    <row r="1588" spans="1:9" x14ac:dyDescent="0.35">
      <c r="A1588">
        <v>48700</v>
      </c>
      <c r="B1588" t="s">
        <v>605</v>
      </c>
      <c r="C1588" s="1">
        <v>40268</v>
      </c>
      <c r="D1588">
        <v>3055</v>
      </c>
      <c r="E1588" t="b">
        <v>1</v>
      </c>
      <c r="F1588">
        <v>227</v>
      </c>
      <c r="G1588" t="s">
        <v>2095</v>
      </c>
      <c r="H1588" t="s">
        <v>132</v>
      </c>
      <c r="I1588" t="s">
        <v>2116</v>
      </c>
    </row>
    <row r="1589" spans="1:9" x14ac:dyDescent="0.35">
      <c r="A1589">
        <v>48700</v>
      </c>
      <c r="B1589" t="s">
        <v>605</v>
      </c>
      <c r="C1589" s="1">
        <v>40268</v>
      </c>
      <c r="D1589">
        <v>3055</v>
      </c>
      <c r="E1589" t="b">
        <v>1</v>
      </c>
      <c r="F1589">
        <v>227</v>
      </c>
      <c r="G1589" t="s">
        <v>2095</v>
      </c>
      <c r="H1589" t="s">
        <v>124</v>
      </c>
      <c r="I1589" t="s">
        <v>2117</v>
      </c>
    </row>
    <row r="1590" spans="1:9" x14ac:dyDescent="0.35">
      <c r="A1590">
        <v>48700</v>
      </c>
      <c r="B1590" t="s">
        <v>605</v>
      </c>
      <c r="C1590" s="1">
        <v>40268</v>
      </c>
      <c r="D1590">
        <v>3055</v>
      </c>
      <c r="E1590" t="b">
        <v>1</v>
      </c>
      <c r="F1590">
        <v>227</v>
      </c>
      <c r="G1590" t="s">
        <v>2095</v>
      </c>
      <c r="H1590" t="s">
        <v>1510</v>
      </c>
      <c r="I1590" t="s">
        <v>2117</v>
      </c>
    </row>
    <row r="1591" spans="1:9" x14ac:dyDescent="0.35">
      <c r="A1591">
        <v>977400</v>
      </c>
      <c r="B1591" t="s">
        <v>607</v>
      </c>
      <c r="C1591" s="1">
        <v>44503</v>
      </c>
      <c r="D1591">
        <v>3036</v>
      </c>
      <c r="E1591" t="b">
        <v>1</v>
      </c>
      <c r="F1591">
        <v>228</v>
      </c>
      <c r="G1591" t="s">
        <v>14</v>
      </c>
      <c r="H1591" t="s">
        <v>49</v>
      </c>
      <c r="I1591" t="s">
        <v>2117</v>
      </c>
    </row>
    <row r="1592" spans="1:9" x14ac:dyDescent="0.35">
      <c r="A1592">
        <v>977400</v>
      </c>
      <c r="B1592" t="s">
        <v>607</v>
      </c>
      <c r="C1592" s="1">
        <v>44503</v>
      </c>
      <c r="D1592">
        <v>3036</v>
      </c>
      <c r="E1592" t="b">
        <v>1</v>
      </c>
      <c r="F1592">
        <v>228</v>
      </c>
      <c r="G1592" t="s">
        <v>14</v>
      </c>
      <c r="H1592" t="s">
        <v>792</v>
      </c>
      <c r="I1592" t="s">
        <v>2117</v>
      </c>
    </row>
    <row r="1593" spans="1:9" x14ac:dyDescent="0.35">
      <c r="A1593">
        <v>977400</v>
      </c>
      <c r="B1593" t="s">
        <v>607</v>
      </c>
      <c r="C1593" s="1">
        <v>44503</v>
      </c>
      <c r="D1593">
        <v>3036</v>
      </c>
      <c r="E1593" t="b">
        <v>1</v>
      </c>
      <c r="F1593">
        <v>228</v>
      </c>
      <c r="G1593" t="s">
        <v>14</v>
      </c>
      <c r="H1593" t="s">
        <v>346</v>
      </c>
      <c r="I1593" t="s">
        <v>2117</v>
      </c>
    </row>
    <row r="1594" spans="1:9" x14ac:dyDescent="0.35">
      <c r="A1594">
        <v>977400</v>
      </c>
      <c r="B1594" t="s">
        <v>607</v>
      </c>
      <c r="C1594" s="1">
        <v>44503</v>
      </c>
      <c r="D1594">
        <v>3036</v>
      </c>
      <c r="E1594" t="b">
        <v>1</v>
      </c>
      <c r="F1594">
        <v>228</v>
      </c>
      <c r="G1594" t="s">
        <v>14</v>
      </c>
      <c r="H1594" t="s">
        <v>239</v>
      </c>
      <c r="I1594" t="s">
        <v>2116</v>
      </c>
    </row>
    <row r="1595" spans="1:9" x14ac:dyDescent="0.35">
      <c r="A1595">
        <v>977400</v>
      </c>
      <c r="B1595" t="s">
        <v>607</v>
      </c>
      <c r="C1595" s="1">
        <v>44503</v>
      </c>
      <c r="D1595">
        <v>3036</v>
      </c>
      <c r="E1595" t="b">
        <v>1</v>
      </c>
      <c r="F1595">
        <v>228</v>
      </c>
      <c r="G1595" t="s">
        <v>14</v>
      </c>
      <c r="H1595" t="s">
        <v>132</v>
      </c>
      <c r="I1595" t="s">
        <v>2117</v>
      </c>
    </row>
    <row r="1596" spans="1:9" x14ac:dyDescent="0.35">
      <c r="A1596">
        <v>977400</v>
      </c>
      <c r="B1596" t="s">
        <v>607</v>
      </c>
      <c r="C1596" s="1">
        <v>44503</v>
      </c>
      <c r="D1596">
        <v>3036</v>
      </c>
      <c r="E1596" t="b">
        <v>1</v>
      </c>
      <c r="F1596">
        <v>228</v>
      </c>
      <c r="G1596" t="s">
        <v>14</v>
      </c>
      <c r="H1596" t="s">
        <v>124</v>
      </c>
      <c r="I1596" t="s">
        <v>2117</v>
      </c>
    </row>
    <row r="1597" spans="1:9" x14ac:dyDescent="0.35">
      <c r="A1597">
        <v>977400</v>
      </c>
      <c r="B1597" t="s">
        <v>607</v>
      </c>
      <c r="C1597" s="1">
        <v>44503</v>
      </c>
      <c r="D1597">
        <v>3036</v>
      </c>
      <c r="E1597" t="b">
        <v>1</v>
      </c>
      <c r="F1597">
        <v>228</v>
      </c>
      <c r="G1597" t="s">
        <v>14</v>
      </c>
      <c r="H1597" t="s">
        <v>1510</v>
      </c>
      <c r="I1597" t="s">
        <v>2116</v>
      </c>
    </row>
    <row r="1598" spans="1:9" x14ac:dyDescent="0.35">
      <c r="A1598">
        <v>627690</v>
      </c>
      <c r="B1598" t="s">
        <v>610</v>
      </c>
      <c r="C1598" s="1">
        <v>43915</v>
      </c>
      <c r="D1598">
        <v>3034</v>
      </c>
      <c r="E1598" t="b">
        <v>1</v>
      </c>
      <c r="F1598">
        <v>229</v>
      </c>
      <c r="G1598" t="s">
        <v>14</v>
      </c>
      <c r="H1598" t="s">
        <v>49</v>
      </c>
      <c r="I1598" t="s">
        <v>2116</v>
      </c>
    </row>
    <row r="1599" spans="1:9" x14ac:dyDescent="0.35">
      <c r="A1599">
        <v>627690</v>
      </c>
      <c r="B1599" t="s">
        <v>610</v>
      </c>
      <c r="C1599" s="1">
        <v>43915</v>
      </c>
      <c r="D1599">
        <v>3034</v>
      </c>
      <c r="E1599" t="b">
        <v>1</v>
      </c>
      <c r="F1599">
        <v>229</v>
      </c>
      <c r="G1599" t="s">
        <v>14</v>
      </c>
      <c r="H1599" t="s">
        <v>792</v>
      </c>
      <c r="I1599" t="s">
        <v>2116</v>
      </c>
    </row>
    <row r="1600" spans="1:9" x14ac:dyDescent="0.35">
      <c r="A1600">
        <v>627690</v>
      </c>
      <c r="B1600" t="s">
        <v>610</v>
      </c>
      <c r="C1600" s="1">
        <v>43915</v>
      </c>
      <c r="D1600">
        <v>3034</v>
      </c>
      <c r="E1600" t="b">
        <v>1</v>
      </c>
      <c r="F1600">
        <v>229</v>
      </c>
      <c r="G1600" t="s">
        <v>14</v>
      </c>
      <c r="H1600" t="s">
        <v>346</v>
      </c>
      <c r="I1600" t="s">
        <v>2116</v>
      </c>
    </row>
    <row r="1601" spans="1:9" x14ac:dyDescent="0.35">
      <c r="A1601">
        <v>627690</v>
      </c>
      <c r="B1601" t="s">
        <v>610</v>
      </c>
      <c r="C1601" s="1">
        <v>43915</v>
      </c>
      <c r="D1601">
        <v>3034</v>
      </c>
      <c r="E1601" t="b">
        <v>1</v>
      </c>
      <c r="F1601">
        <v>229</v>
      </c>
      <c r="G1601" t="s">
        <v>14</v>
      </c>
      <c r="H1601" t="s">
        <v>239</v>
      </c>
      <c r="I1601" t="s">
        <v>2117</v>
      </c>
    </row>
    <row r="1602" spans="1:9" x14ac:dyDescent="0.35">
      <c r="A1602">
        <v>627690</v>
      </c>
      <c r="B1602" t="s">
        <v>610</v>
      </c>
      <c r="C1602" s="1">
        <v>43915</v>
      </c>
      <c r="D1602">
        <v>3034</v>
      </c>
      <c r="E1602" t="b">
        <v>1</v>
      </c>
      <c r="F1602">
        <v>229</v>
      </c>
      <c r="G1602" t="s">
        <v>14</v>
      </c>
      <c r="H1602" t="s">
        <v>132</v>
      </c>
      <c r="I1602" t="s">
        <v>2117</v>
      </c>
    </row>
    <row r="1603" spans="1:9" x14ac:dyDescent="0.35">
      <c r="A1603">
        <v>627690</v>
      </c>
      <c r="B1603" t="s">
        <v>610</v>
      </c>
      <c r="C1603" s="1">
        <v>43915</v>
      </c>
      <c r="D1603">
        <v>3034</v>
      </c>
      <c r="E1603" t="b">
        <v>1</v>
      </c>
      <c r="F1603">
        <v>229</v>
      </c>
      <c r="G1603" t="s">
        <v>14</v>
      </c>
      <c r="H1603" t="s">
        <v>124</v>
      </c>
      <c r="I1603" t="s">
        <v>2116</v>
      </c>
    </row>
    <row r="1604" spans="1:9" x14ac:dyDescent="0.35">
      <c r="A1604">
        <v>627690</v>
      </c>
      <c r="B1604" t="s">
        <v>610</v>
      </c>
      <c r="C1604" s="1">
        <v>43915</v>
      </c>
      <c r="D1604">
        <v>3034</v>
      </c>
      <c r="E1604" t="b">
        <v>1</v>
      </c>
      <c r="F1604">
        <v>229</v>
      </c>
      <c r="G1604" t="s">
        <v>14</v>
      </c>
      <c r="H1604" t="s">
        <v>1510</v>
      </c>
      <c r="I1604" t="s">
        <v>2116</v>
      </c>
    </row>
    <row r="1605" spans="1:9" x14ac:dyDescent="0.35">
      <c r="A1605">
        <v>933110</v>
      </c>
      <c r="B1605" t="s">
        <v>613</v>
      </c>
      <c r="C1605" s="1">
        <v>44119</v>
      </c>
      <c r="D1605">
        <v>3016</v>
      </c>
      <c r="E1605" t="b">
        <v>0</v>
      </c>
      <c r="F1605">
        <v>230</v>
      </c>
      <c r="G1605" t="s">
        <v>438</v>
      </c>
      <c r="H1605" t="s">
        <v>49</v>
      </c>
      <c r="I1605" t="s">
        <v>2117</v>
      </c>
    </row>
    <row r="1606" spans="1:9" x14ac:dyDescent="0.35">
      <c r="A1606">
        <v>933110</v>
      </c>
      <c r="B1606" t="s">
        <v>613</v>
      </c>
      <c r="C1606" s="1">
        <v>44119</v>
      </c>
      <c r="D1606">
        <v>3016</v>
      </c>
      <c r="E1606" t="b">
        <v>0</v>
      </c>
      <c r="F1606">
        <v>230</v>
      </c>
      <c r="G1606" t="s">
        <v>438</v>
      </c>
      <c r="H1606" t="s">
        <v>792</v>
      </c>
      <c r="I1606" t="s">
        <v>2117</v>
      </c>
    </row>
    <row r="1607" spans="1:9" x14ac:dyDescent="0.35">
      <c r="A1607">
        <v>933110</v>
      </c>
      <c r="B1607" t="s">
        <v>613</v>
      </c>
      <c r="C1607" s="1">
        <v>44119</v>
      </c>
      <c r="D1607">
        <v>3016</v>
      </c>
      <c r="E1607" t="b">
        <v>0</v>
      </c>
      <c r="F1607">
        <v>230</v>
      </c>
      <c r="G1607" t="s">
        <v>438</v>
      </c>
      <c r="H1607" t="s">
        <v>346</v>
      </c>
      <c r="I1607" t="s">
        <v>2117</v>
      </c>
    </row>
    <row r="1608" spans="1:9" x14ac:dyDescent="0.35">
      <c r="A1608">
        <v>933110</v>
      </c>
      <c r="B1608" t="s">
        <v>613</v>
      </c>
      <c r="C1608" s="1">
        <v>44119</v>
      </c>
      <c r="D1608">
        <v>3016</v>
      </c>
      <c r="E1608" t="b">
        <v>0</v>
      </c>
      <c r="F1608">
        <v>230</v>
      </c>
      <c r="G1608" t="s">
        <v>438</v>
      </c>
      <c r="H1608" t="s">
        <v>239</v>
      </c>
      <c r="I1608" t="s">
        <v>2117</v>
      </c>
    </row>
    <row r="1609" spans="1:9" x14ac:dyDescent="0.35">
      <c r="A1609">
        <v>933110</v>
      </c>
      <c r="B1609" t="s">
        <v>613</v>
      </c>
      <c r="C1609" s="1">
        <v>44119</v>
      </c>
      <c r="D1609">
        <v>3016</v>
      </c>
      <c r="E1609" t="b">
        <v>0</v>
      </c>
      <c r="F1609">
        <v>230</v>
      </c>
      <c r="G1609" t="s">
        <v>438</v>
      </c>
      <c r="H1609" t="s">
        <v>132</v>
      </c>
      <c r="I1609" t="s">
        <v>2117</v>
      </c>
    </row>
    <row r="1610" spans="1:9" x14ac:dyDescent="0.35">
      <c r="A1610">
        <v>933110</v>
      </c>
      <c r="B1610" t="s">
        <v>613</v>
      </c>
      <c r="C1610" s="1">
        <v>44119</v>
      </c>
      <c r="D1610">
        <v>3016</v>
      </c>
      <c r="E1610" t="b">
        <v>0</v>
      </c>
      <c r="F1610">
        <v>230</v>
      </c>
      <c r="G1610" t="s">
        <v>438</v>
      </c>
      <c r="H1610" t="s">
        <v>124</v>
      </c>
      <c r="I1610" t="s">
        <v>2116</v>
      </c>
    </row>
    <row r="1611" spans="1:9" x14ac:dyDescent="0.35">
      <c r="A1611">
        <v>933110</v>
      </c>
      <c r="B1611" t="s">
        <v>613</v>
      </c>
      <c r="C1611" s="1">
        <v>44119</v>
      </c>
      <c r="D1611">
        <v>3016</v>
      </c>
      <c r="E1611" t="b">
        <v>0</v>
      </c>
      <c r="F1611">
        <v>230</v>
      </c>
      <c r="G1611" t="s">
        <v>438</v>
      </c>
      <c r="H1611" t="s">
        <v>1510</v>
      </c>
      <c r="I1611" t="s">
        <v>2116</v>
      </c>
    </row>
    <row r="1612" spans="1:9" x14ac:dyDescent="0.35">
      <c r="A1612">
        <v>1794680</v>
      </c>
      <c r="B1612" t="s">
        <v>616</v>
      </c>
      <c r="C1612" s="1">
        <v>44854</v>
      </c>
      <c r="D1612">
        <v>2966</v>
      </c>
      <c r="E1612" t="b">
        <v>1</v>
      </c>
      <c r="F1612">
        <v>231</v>
      </c>
      <c r="G1612" t="s">
        <v>14</v>
      </c>
      <c r="H1612" t="s">
        <v>49</v>
      </c>
      <c r="I1612" t="s">
        <v>2116</v>
      </c>
    </row>
    <row r="1613" spans="1:9" x14ac:dyDescent="0.35">
      <c r="A1613">
        <v>1794680</v>
      </c>
      <c r="B1613" t="s">
        <v>616</v>
      </c>
      <c r="C1613" s="1">
        <v>44854</v>
      </c>
      <c r="D1613">
        <v>2966</v>
      </c>
      <c r="E1613" t="b">
        <v>1</v>
      </c>
      <c r="F1613">
        <v>231</v>
      </c>
      <c r="G1613" t="s">
        <v>14</v>
      </c>
      <c r="H1613" t="s">
        <v>792</v>
      </c>
      <c r="I1613" t="s">
        <v>2116</v>
      </c>
    </row>
    <row r="1614" spans="1:9" x14ac:dyDescent="0.35">
      <c r="A1614">
        <v>1794680</v>
      </c>
      <c r="B1614" t="s">
        <v>616</v>
      </c>
      <c r="C1614" s="1">
        <v>44854</v>
      </c>
      <c r="D1614">
        <v>2966</v>
      </c>
      <c r="E1614" t="b">
        <v>1</v>
      </c>
      <c r="F1614">
        <v>231</v>
      </c>
      <c r="G1614" t="s">
        <v>14</v>
      </c>
      <c r="H1614" t="s">
        <v>346</v>
      </c>
      <c r="I1614" t="s">
        <v>2117</v>
      </c>
    </row>
    <row r="1615" spans="1:9" x14ac:dyDescent="0.35">
      <c r="A1615">
        <v>1794680</v>
      </c>
      <c r="B1615" t="s">
        <v>616</v>
      </c>
      <c r="C1615" s="1">
        <v>44854</v>
      </c>
      <c r="D1615">
        <v>2966</v>
      </c>
      <c r="E1615" t="b">
        <v>1</v>
      </c>
      <c r="F1615">
        <v>231</v>
      </c>
      <c r="G1615" t="s">
        <v>14</v>
      </c>
      <c r="H1615" t="s">
        <v>239</v>
      </c>
      <c r="I1615" t="s">
        <v>2117</v>
      </c>
    </row>
    <row r="1616" spans="1:9" x14ac:dyDescent="0.35">
      <c r="A1616">
        <v>1794680</v>
      </c>
      <c r="B1616" t="s">
        <v>616</v>
      </c>
      <c r="C1616" s="1">
        <v>44854</v>
      </c>
      <c r="D1616">
        <v>2966</v>
      </c>
      <c r="E1616" t="b">
        <v>1</v>
      </c>
      <c r="F1616">
        <v>231</v>
      </c>
      <c r="G1616" t="s">
        <v>14</v>
      </c>
      <c r="H1616" t="s">
        <v>132</v>
      </c>
      <c r="I1616" t="s">
        <v>2116</v>
      </c>
    </row>
    <row r="1617" spans="1:9" x14ac:dyDescent="0.35">
      <c r="A1617">
        <v>1794680</v>
      </c>
      <c r="B1617" t="s">
        <v>616</v>
      </c>
      <c r="C1617" s="1">
        <v>44854</v>
      </c>
      <c r="D1617">
        <v>2966</v>
      </c>
      <c r="E1617" t="b">
        <v>1</v>
      </c>
      <c r="F1617">
        <v>231</v>
      </c>
      <c r="G1617" t="s">
        <v>14</v>
      </c>
      <c r="H1617" t="s">
        <v>124</v>
      </c>
      <c r="I1617" t="s">
        <v>2117</v>
      </c>
    </row>
    <row r="1618" spans="1:9" x14ac:dyDescent="0.35">
      <c r="A1618">
        <v>1794680</v>
      </c>
      <c r="B1618" t="s">
        <v>616</v>
      </c>
      <c r="C1618" s="1">
        <v>44854</v>
      </c>
      <c r="D1618">
        <v>2966</v>
      </c>
      <c r="E1618" t="b">
        <v>1</v>
      </c>
      <c r="F1618">
        <v>231</v>
      </c>
      <c r="G1618" t="s">
        <v>14</v>
      </c>
      <c r="H1618" t="s">
        <v>1510</v>
      </c>
      <c r="I1618" t="s">
        <v>2117</v>
      </c>
    </row>
    <row r="1619" spans="1:9" x14ac:dyDescent="0.35">
      <c r="A1619">
        <v>1677740</v>
      </c>
      <c r="B1619" t="s">
        <v>618</v>
      </c>
      <c r="C1619" s="1">
        <v>44476</v>
      </c>
      <c r="D1619">
        <v>2928</v>
      </c>
      <c r="E1619" t="b">
        <v>0</v>
      </c>
      <c r="F1619">
        <v>232</v>
      </c>
      <c r="G1619" t="s">
        <v>14</v>
      </c>
      <c r="H1619" t="s">
        <v>49</v>
      </c>
      <c r="I1619" t="s">
        <v>2116</v>
      </c>
    </row>
    <row r="1620" spans="1:9" x14ac:dyDescent="0.35">
      <c r="A1620">
        <v>1677740</v>
      </c>
      <c r="B1620" t="s">
        <v>618</v>
      </c>
      <c r="C1620" s="1">
        <v>44476</v>
      </c>
      <c r="D1620">
        <v>2928</v>
      </c>
      <c r="E1620" t="b">
        <v>0</v>
      </c>
      <c r="F1620">
        <v>232</v>
      </c>
      <c r="G1620" t="s">
        <v>14</v>
      </c>
      <c r="H1620" t="s">
        <v>792</v>
      </c>
      <c r="I1620" t="s">
        <v>2116</v>
      </c>
    </row>
    <row r="1621" spans="1:9" x14ac:dyDescent="0.35">
      <c r="A1621">
        <v>1677740</v>
      </c>
      <c r="B1621" t="s">
        <v>618</v>
      </c>
      <c r="C1621" s="1">
        <v>44476</v>
      </c>
      <c r="D1621">
        <v>2928</v>
      </c>
      <c r="E1621" t="b">
        <v>0</v>
      </c>
      <c r="F1621">
        <v>232</v>
      </c>
      <c r="G1621" t="s">
        <v>14</v>
      </c>
      <c r="H1621" t="s">
        <v>346</v>
      </c>
      <c r="I1621" t="s">
        <v>2117</v>
      </c>
    </row>
    <row r="1622" spans="1:9" x14ac:dyDescent="0.35">
      <c r="A1622">
        <v>1677740</v>
      </c>
      <c r="B1622" t="s">
        <v>618</v>
      </c>
      <c r="C1622" s="1">
        <v>44476</v>
      </c>
      <c r="D1622">
        <v>2928</v>
      </c>
      <c r="E1622" t="b">
        <v>0</v>
      </c>
      <c r="F1622">
        <v>232</v>
      </c>
      <c r="G1622" t="s">
        <v>14</v>
      </c>
      <c r="H1622" t="s">
        <v>239</v>
      </c>
      <c r="I1622" t="s">
        <v>2117</v>
      </c>
    </row>
    <row r="1623" spans="1:9" x14ac:dyDescent="0.35">
      <c r="A1623">
        <v>1677740</v>
      </c>
      <c r="B1623" t="s">
        <v>618</v>
      </c>
      <c r="C1623" s="1">
        <v>44476</v>
      </c>
      <c r="D1623">
        <v>2928</v>
      </c>
      <c r="E1623" t="b">
        <v>0</v>
      </c>
      <c r="F1623">
        <v>232</v>
      </c>
      <c r="G1623" t="s">
        <v>14</v>
      </c>
      <c r="H1623" t="s">
        <v>132</v>
      </c>
      <c r="I1623" t="s">
        <v>2117</v>
      </c>
    </row>
    <row r="1624" spans="1:9" x14ac:dyDescent="0.35">
      <c r="A1624">
        <v>1677740</v>
      </c>
      <c r="B1624" t="s">
        <v>618</v>
      </c>
      <c r="C1624" s="1">
        <v>44476</v>
      </c>
      <c r="D1624">
        <v>2928</v>
      </c>
      <c r="E1624" t="b">
        <v>0</v>
      </c>
      <c r="F1624">
        <v>232</v>
      </c>
      <c r="G1624" t="s">
        <v>14</v>
      </c>
      <c r="H1624" t="s">
        <v>124</v>
      </c>
      <c r="I1624" t="s">
        <v>2117</v>
      </c>
    </row>
    <row r="1625" spans="1:9" x14ac:dyDescent="0.35">
      <c r="A1625">
        <v>1677740</v>
      </c>
      <c r="B1625" t="s">
        <v>618</v>
      </c>
      <c r="C1625" s="1">
        <v>44476</v>
      </c>
      <c r="D1625">
        <v>2928</v>
      </c>
      <c r="E1625" t="b">
        <v>0</v>
      </c>
      <c r="F1625">
        <v>232</v>
      </c>
      <c r="G1625" t="s">
        <v>14</v>
      </c>
      <c r="H1625" t="s">
        <v>1510</v>
      </c>
      <c r="I1625" t="s">
        <v>2116</v>
      </c>
    </row>
    <row r="1626" spans="1:9" x14ac:dyDescent="0.35">
      <c r="A1626">
        <v>1782210</v>
      </c>
      <c r="B1626" t="s">
        <v>621</v>
      </c>
      <c r="C1626" s="1">
        <v>44498</v>
      </c>
      <c r="D1626">
        <v>2921</v>
      </c>
      <c r="E1626" t="b">
        <v>1</v>
      </c>
      <c r="F1626">
        <v>233</v>
      </c>
      <c r="G1626" t="s">
        <v>110</v>
      </c>
      <c r="H1626" t="s">
        <v>49</v>
      </c>
      <c r="I1626" t="s">
        <v>2116</v>
      </c>
    </row>
    <row r="1627" spans="1:9" x14ac:dyDescent="0.35">
      <c r="A1627">
        <v>1782210</v>
      </c>
      <c r="B1627" t="s">
        <v>621</v>
      </c>
      <c r="C1627" s="1">
        <v>44498</v>
      </c>
      <c r="D1627">
        <v>2921</v>
      </c>
      <c r="E1627" t="b">
        <v>1</v>
      </c>
      <c r="F1627">
        <v>233</v>
      </c>
      <c r="G1627" t="s">
        <v>110</v>
      </c>
      <c r="H1627" t="s">
        <v>792</v>
      </c>
      <c r="I1627" t="s">
        <v>2116</v>
      </c>
    </row>
    <row r="1628" spans="1:9" x14ac:dyDescent="0.35">
      <c r="A1628">
        <v>1782210</v>
      </c>
      <c r="B1628" t="s">
        <v>621</v>
      </c>
      <c r="C1628" s="1">
        <v>44498</v>
      </c>
      <c r="D1628">
        <v>2921</v>
      </c>
      <c r="E1628" t="b">
        <v>1</v>
      </c>
      <c r="F1628">
        <v>233</v>
      </c>
      <c r="G1628" t="s">
        <v>110</v>
      </c>
      <c r="H1628" t="s">
        <v>346</v>
      </c>
      <c r="I1628" t="s">
        <v>2117</v>
      </c>
    </row>
    <row r="1629" spans="1:9" x14ac:dyDescent="0.35">
      <c r="A1629">
        <v>1782210</v>
      </c>
      <c r="B1629" t="s">
        <v>621</v>
      </c>
      <c r="C1629" s="1">
        <v>44498</v>
      </c>
      <c r="D1629">
        <v>2921</v>
      </c>
      <c r="E1629" t="b">
        <v>1</v>
      </c>
      <c r="F1629">
        <v>233</v>
      </c>
      <c r="G1629" t="s">
        <v>110</v>
      </c>
      <c r="H1629" t="s">
        <v>239</v>
      </c>
      <c r="I1629" t="s">
        <v>2117</v>
      </c>
    </row>
    <row r="1630" spans="1:9" x14ac:dyDescent="0.35">
      <c r="A1630">
        <v>1782210</v>
      </c>
      <c r="B1630" t="s">
        <v>621</v>
      </c>
      <c r="C1630" s="1">
        <v>44498</v>
      </c>
      <c r="D1630">
        <v>2921</v>
      </c>
      <c r="E1630" t="b">
        <v>1</v>
      </c>
      <c r="F1630">
        <v>233</v>
      </c>
      <c r="G1630" t="s">
        <v>110</v>
      </c>
      <c r="H1630" t="s">
        <v>132</v>
      </c>
      <c r="I1630" t="s">
        <v>2117</v>
      </c>
    </row>
    <row r="1631" spans="1:9" x14ac:dyDescent="0.35">
      <c r="A1631">
        <v>1782210</v>
      </c>
      <c r="B1631" t="s">
        <v>621</v>
      </c>
      <c r="C1631" s="1">
        <v>44498</v>
      </c>
      <c r="D1631">
        <v>2921</v>
      </c>
      <c r="E1631" t="b">
        <v>1</v>
      </c>
      <c r="F1631">
        <v>233</v>
      </c>
      <c r="G1631" t="s">
        <v>110</v>
      </c>
      <c r="H1631" t="s">
        <v>124</v>
      </c>
      <c r="I1631" t="s">
        <v>2117</v>
      </c>
    </row>
    <row r="1632" spans="1:9" x14ac:dyDescent="0.35">
      <c r="A1632">
        <v>1782210</v>
      </c>
      <c r="B1632" t="s">
        <v>621</v>
      </c>
      <c r="C1632" s="1">
        <v>44498</v>
      </c>
      <c r="D1632">
        <v>2921</v>
      </c>
      <c r="E1632" t="b">
        <v>1</v>
      </c>
      <c r="F1632">
        <v>233</v>
      </c>
      <c r="G1632" t="s">
        <v>110</v>
      </c>
      <c r="H1632" t="s">
        <v>1510</v>
      </c>
      <c r="I1632" t="s">
        <v>2116</v>
      </c>
    </row>
    <row r="1633" spans="1:9" x14ac:dyDescent="0.35">
      <c r="A1633">
        <v>242760</v>
      </c>
      <c r="B1633" t="s">
        <v>624</v>
      </c>
      <c r="C1633" s="1">
        <v>43220</v>
      </c>
      <c r="D1633">
        <v>2892</v>
      </c>
      <c r="E1633" t="b">
        <v>0</v>
      </c>
      <c r="F1633">
        <v>234</v>
      </c>
      <c r="G1633" t="s">
        <v>110</v>
      </c>
      <c r="H1633" t="s">
        <v>49</v>
      </c>
      <c r="I1633" t="s">
        <v>2116</v>
      </c>
    </row>
    <row r="1634" spans="1:9" x14ac:dyDescent="0.35">
      <c r="A1634">
        <v>242760</v>
      </c>
      <c r="B1634" t="s">
        <v>624</v>
      </c>
      <c r="C1634" s="1">
        <v>43220</v>
      </c>
      <c r="D1634">
        <v>2892</v>
      </c>
      <c r="E1634" t="b">
        <v>0</v>
      </c>
      <c r="F1634">
        <v>234</v>
      </c>
      <c r="G1634" t="s">
        <v>110</v>
      </c>
      <c r="H1634" t="s">
        <v>792</v>
      </c>
      <c r="I1634" t="s">
        <v>2116</v>
      </c>
    </row>
    <row r="1635" spans="1:9" x14ac:dyDescent="0.35">
      <c r="A1635">
        <v>242760</v>
      </c>
      <c r="B1635" t="s">
        <v>624</v>
      </c>
      <c r="C1635" s="1">
        <v>43220</v>
      </c>
      <c r="D1635">
        <v>2892</v>
      </c>
      <c r="E1635" t="b">
        <v>0</v>
      </c>
      <c r="F1635">
        <v>234</v>
      </c>
      <c r="G1635" t="s">
        <v>110</v>
      </c>
      <c r="H1635" t="s">
        <v>346</v>
      </c>
      <c r="I1635" t="s">
        <v>2116</v>
      </c>
    </row>
    <row r="1636" spans="1:9" x14ac:dyDescent="0.35">
      <c r="A1636">
        <v>242760</v>
      </c>
      <c r="B1636" t="s">
        <v>624</v>
      </c>
      <c r="C1636" s="1">
        <v>43220</v>
      </c>
      <c r="D1636">
        <v>2892</v>
      </c>
      <c r="E1636" t="b">
        <v>0</v>
      </c>
      <c r="F1636">
        <v>234</v>
      </c>
      <c r="G1636" t="s">
        <v>110</v>
      </c>
      <c r="H1636" t="s">
        <v>239</v>
      </c>
      <c r="I1636" t="s">
        <v>2116</v>
      </c>
    </row>
    <row r="1637" spans="1:9" x14ac:dyDescent="0.35">
      <c r="A1637">
        <v>242760</v>
      </c>
      <c r="B1637" t="s">
        <v>624</v>
      </c>
      <c r="C1637" s="1">
        <v>43220</v>
      </c>
      <c r="D1637">
        <v>2892</v>
      </c>
      <c r="E1637" t="b">
        <v>0</v>
      </c>
      <c r="F1637">
        <v>234</v>
      </c>
      <c r="G1637" t="s">
        <v>110</v>
      </c>
      <c r="H1637" t="s">
        <v>132</v>
      </c>
      <c r="I1637" t="s">
        <v>2117</v>
      </c>
    </row>
    <row r="1638" spans="1:9" x14ac:dyDescent="0.35">
      <c r="A1638">
        <v>242760</v>
      </c>
      <c r="B1638" t="s">
        <v>624</v>
      </c>
      <c r="C1638" s="1">
        <v>43220</v>
      </c>
      <c r="D1638">
        <v>2892</v>
      </c>
      <c r="E1638" t="b">
        <v>0</v>
      </c>
      <c r="F1638">
        <v>234</v>
      </c>
      <c r="G1638" t="s">
        <v>110</v>
      </c>
      <c r="H1638" t="s">
        <v>124</v>
      </c>
      <c r="I1638" t="s">
        <v>2117</v>
      </c>
    </row>
    <row r="1639" spans="1:9" x14ac:dyDescent="0.35">
      <c r="A1639">
        <v>242760</v>
      </c>
      <c r="B1639" t="s">
        <v>624</v>
      </c>
      <c r="C1639" s="1">
        <v>43220</v>
      </c>
      <c r="D1639">
        <v>2892</v>
      </c>
      <c r="E1639" t="b">
        <v>0</v>
      </c>
      <c r="F1639">
        <v>234</v>
      </c>
      <c r="G1639" t="s">
        <v>110</v>
      </c>
      <c r="H1639" t="s">
        <v>1510</v>
      </c>
      <c r="I1639" t="s">
        <v>2117</v>
      </c>
    </row>
    <row r="1640" spans="1:9" x14ac:dyDescent="0.35">
      <c r="A1640">
        <v>570940</v>
      </c>
      <c r="B1640" t="s">
        <v>626</v>
      </c>
      <c r="C1640" s="1">
        <v>43243</v>
      </c>
      <c r="D1640">
        <v>2879</v>
      </c>
      <c r="E1640" t="b">
        <v>0</v>
      </c>
      <c r="F1640">
        <v>235</v>
      </c>
      <c r="G1640" t="s">
        <v>40</v>
      </c>
      <c r="H1640" t="s">
        <v>49</v>
      </c>
      <c r="I1640" t="s">
        <v>2116</v>
      </c>
    </row>
    <row r="1641" spans="1:9" x14ac:dyDescent="0.35">
      <c r="A1641">
        <v>570940</v>
      </c>
      <c r="B1641" t="s">
        <v>626</v>
      </c>
      <c r="C1641" s="1">
        <v>43243</v>
      </c>
      <c r="D1641">
        <v>2879</v>
      </c>
      <c r="E1641" t="b">
        <v>0</v>
      </c>
      <c r="F1641">
        <v>235</v>
      </c>
      <c r="G1641" t="s">
        <v>40</v>
      </c>
      <c r="H1641" t="s">
        <v>792</v>
      </c>
      <c r="I1641" t="s">
        <v>2117</v>
      </c>
    </row>
    <row r="1642" spans="1:9" x14ac:dyDescent="0.35">
      <c r="A1642">
        <v>570940</v>
      </c>
      <c r="B1642" t="s">
        <v>626</v>
      </c>
      <c r="C1642" s="1">
        <v>43243</v>
      </c>
      <c r="D1642">
        <v>2879</v>
      </c>
      <c r="E1642" t="b">
        <v>0</v>
      </c>
      <c r="F1642">
        <v>235</v>
      </c>
      <c r="G1642" t="s">
        <v>40</v>
      </c>
      <c r="H1642" t="s">
        <v>346</v>
      </c>
      <c r="I1642" t="s">
        <v>2117</v>
      </c>
    </row>
    <row r="1643" spans="1:9" x14ac:dyDescent="0.35">
      <c r="A1643">
        <v>570940</v>
      </c>
      <c r="B1643" t="s">
        <v>626</v>
      </c>
      <c r="C1643" s="1">
        <v>43243</v>
      </c>
      <c r="D1643">
        <v>2879</v>
      </c>
      <c r="E1643" t="b">
        <v>0</v>
      </c>
      <c r="F1643">
        <v>235</v>
      </c>
      <c r="G1643" t="s">
        <v>40</v>
      </c>
      <c r="H1643" t="s">
        <v>239</v>
      </c>
      <c r="I1643" t="s">
        <v>2117</v>
      </c>
    </row>
    <row r="1644" spans="1:9" x14ac:dyDescent="0.35">
      <c r="A1644">
        <v>570940</v>
      </c>
      <c r="B1644" t="s">
        <v>626</v>
      </c>
      <c r="C1644" s="1">
        <v>43243</v>
      </c>
      <c r="D1644">
        <v>2879</v>
      </c>
      <c r="E1644" t="b">
        <v>0</v>
      </c>
      <c r="F1644">
        <v>235</v>
      </c>
      <c r="G1644" t="s">
        <v>40</v>
      </c>
      <c r="H1644" t="s">
        <v>132</v>
      </c>
      <c r="I1644" t="s">
        <v>2117</v>
      </c>
    </row>
    <row r="1645" spans="1:9" x14ac:dyDescent="0.35">
      <c r="A1645">
        <v>570940</v>
      </c>
      <c r="B1645" t="s">
        <v>626</v>
      </c>
      <c r="C1645" s="1">
        <v>43243</v>
      </c>
      <c r="D1645">
        <v>2879</v>
      </c>
      <c r="E1645" t="b">
        <v>0</v>
      </c>
      <c r="F1645">
        <v>235</v>
      </c>
      <c r="G1645" t="s">
        <v>40</v>
      </c>
      <c r="H1645" t="s">
        <v>124</v>
      </c>
      <c r="I1645" t="s">
        <v>2117</v>
      </c>
    </row>
    <row r="1646" spans="1:9" x14ac:dyDescent="0.35">
      <c r="A1646">
        <v>570940</v>
      </c>
      <c r="B1646" t="s">
        <v>626</v>
      </c>
      <c r="C1646" s="1">
        <v>43243</v>
      </c>
      <c r="D1646">
        <v>2879</v>
      </c>
      <c r="E1646" t="b">
        <v>0</v>
      </c>
      <c r="F1646">
        <v>235</v>
      </c>
      <c r="G1646" t="s">
        <v>40</v>
      </c>
      <c r="H1646" t="s">
        <v>1510</v>
      </c>
      <c r="I1646" t="s">
        <v>2117</v>
      </c>
    </row>
    <row r="1647" spans="1:9" x14ac:dyDescent="0.35">
      <c r="A1647">
        <v>364690</v>
      </c>
      <c r="B1647" t="s">
        <v>628</v>
      </c>
      <c r="C1647" s="1">
        <v>42207</v>
      </c>
      <c r="D1647">
        <v>2861</v>
      </c>
      <c r="E1647" t="b">
        <v>0</v>
      </c>
      <c r="F1647">
        <v>236</v>
      </c>
      <c r="G1647" t="s">
        <v>2087</v>
      </c>
      <c r="H1647" t="s">
        <v>49</v>
      </c>
      <c r="I1647" t="s">
        <v>2116</v>
      </c>
    </row>
    <row r="1648" spans="1:9" x14ac:dyDescent="0.35">
      <c r="A1648">
        <v>364690</v>
      </c>
      <c r="B1648" t="s">
        <v>628</v>
      </c>
      <c r="C1648" s="1">
        <v>42207</v>
      </c>
      <c r="D1648">
        <v>2861</v>
      </c>
      <c r="E1648" t="b">
        <v>0</v>
      </c>
      <c r="F1648">
        <v>236</v>
      </c>
      <c r="G1648" t="s">
        <v>2087</v>
      </c>
      <c r="H1648" t="s">
        <v>792</v>
      </c>
      <c r="I1648" t="s">
        <v>2116</v>
      </c>
    </row>
    <row r="1649" spans="1:9" x14ac:dyDescent="0.35">
      <c r="A1649">
        <v>364690</v>
      </c>
      <c r="B1649" t="s">
        <v>628</v>
      </c>
      <c r="C1649" s="1">
        <v>42207</v>
      </c>
      <c r="D1649">
        <v>2861</v>
      </c>
      <c r="E1649" t="b">
        <v>0</v>
      </c>
      <c r="F1649">
        <v>236</v>
      </c>
      <c r="G1649" t="s">
        <v>2087</v>
      </c>
      <c r="H1649" t="s">
        <v>346</v>
      </c>
      <c r="I1649" t="s">
        <v>2116</v>
      </c>
    </row>
    <row r="1650" spans="1:9" x14ac:dyDescent="0.35">
      <c r="A1650">
        <v>364690</v>
      </c>
      <c r="B1650" t="s">
        <v>628</v>
      </c>
      <c r="C1650" s="1">
        <v>42207</v>
      </c>
      <c r="D1650">
        <v>2861</v>
      </c>
      <c r="E1650" t="b">
        <v>0</v>
      </c>
      <c r="F1650">
        <v>236</v>
      </c>
      <c r="G1650" t="s">
        <v>2087</v>
      </c>
      <c r="H1650" t="s">
        <v>239</v>
      </c>
      <c r="I1650" t="s">
        <v>2117</v>
      </c>
    </row>
    <row r="1651" spans="1:9" x14ac:dyDescent="0.35">
      <c r="A1651">
        <v>364690</v>
      </c>
      <c r="B1651" t="s">
        <v>628</v>
      </c>
      <c r="C1651" s="1">
        <v>42207</v>
      </c>
      <c r="D1651">
        <v>2861</v>
      </c>
      <c r="E1651" t="b">
        <v>0</v>
      </c>
      <c r="F1651">
        <v>236</v>
      </c>
      <c r="G1651" t="s">
        <v>2087</v>
      </c>
      <c r="H1651" t="s">
        <v>132</v>
      </c>
      <c r="I1651" t="s">
        <v>2117</v>
      </c>
    </row>
    <row r="1652" spans="1:9" x14ac:dyDescent="0.35">
      <c r="A1652">
        <v>364690</v>
      </c>
      <c r="B1652" t="s">
        <v>628</v>
      </c>
      <c r="C1652" s="1">
        <v>42207</v>
      </c>
      <c r="D1652">
        <v>2861</v>
      </c>
      <c r="E1652" t="b">
        <v>0</v>
      </c>
      <c r="F1652">
        <v>236</v>
      </c>
      <c r="G1652" t="s">
        <v>2087</v>
      </c>
      <c r="H1652" t="s">
        <v>124</v>
      </c>
      <c r="I1652" t="s">
        <v>2117</v>
      </c>
    </row>
    <row r="1653" spans="1:9" x14ac:dyDescent="0.35">
      <c r="A1653">
        <v>364690</v>
      </c>
      <c r="B1653" t="s">
        <v>628</v>
      </c>
      <c r="C1653" s="1">
        <v>42207</v>
      </c>
      <c r="D1653">
        <v>2861</v>
      </c>
      <c r="E1653" t="b">
        <v>0</v>
      </c>
      <c r="F1653">
        <v>236</v>
      </c>
      <c r="G1653" t="s">
        <v>2087</v>
      </c>
      <c r="H1653" t="s">
        <v>1510</v>
      </c>
      <c r="I1653" t="s">
        <v>2117</v>
      </c>
    </row>
    <row r="1654" spans="1:9" x14ac:dyDescent="0.35">
      <c r="A1654">
        <v>505460</v>
      </c>
      <c r="B1654" t="s">
        <v>630</v>
      </c>
      <c r="C1654" s="1">
        <v>44832</v>
      </c>
      <c r="D1654">
        <v>2821</v>
      </c>
      <c r="E1654" t="b">
        <v>0</v>
      </c>
      <c r="F1654">
        <v>237</v>
      </c>
      <c r="G1654" t="s">
        <v>119</v>
      </c>
      <c r="H1654" t="s">
        <v>49</v>
      </c>
      <c r="I1654" t="s">
        <v>2116</v>
      </c>
    </row>
    <row r="1655" spans="1:9" x14ac:dyDescent="0.35">
      <c r="A1655">
        <v>505460</v>
      </c>
      <c r="B1655" t="s">
        <v>630</v>
      </c>
      <c r="C1655" s="1">
        <v>44832</v>
      </c>
      <c r="D1655">
        <v>2821</v>
      </c>
      <c r="E1655" t="b">
        <v>0</v>
      </c>
      <c r="F1655">
        <v>237</v>
      </c>
      <c r="G1655" t="s">
        <v>119</v>
      </c>
      <c r="H1655" t="s">
        <v>792</v>
      </c>
      <c r="I1655" t="s">
        <v>2116</v>
      </c>
    </row>
    <row r="1656" spans="1:9" x14ac:dyDescent="0.35">
      <c r="A1656">
        <v>505460</v>
      </c>
      <c r="B1656" t="s">
        <v>630</v>
      </c>
      <c r="C1656" s="1">
        <v>44832</v>
      </c>
      <c r="D1656">
        <v>2821</v>
      </c>
      <c r="E1656" t="b">
        <v>0</v>
      </c>
      <c r="F1656">
        <v>237</v>
      </c>
      <c r="G1656" t="s">
        <v>119</v>
      </c>
      <c r="H1656" t="s">
        <v>346</v>
      </c>
      <c r="I1656" t="s">
        <v>2117</v>
      </c>
    </row>
    <row r="1657" spans="1:9" x14ac:dyDescent="0.35">
      <c r="A1657">
        <v>505460</v>
      </c>
      <c r="B1657" t="s">
        <v>630</v>
      </c>
      <c r="C1657" s="1">
        <v>44832</v>
      </c>
      <c r="D1657">
        <v>2821</v>
      </c>
      <c r="E1657" t="b">
        <v>0</v>
      </c>
      <c r="F1657">
        <v>237</v>
      </c>
      <c r="G1657" t="s">
        <v>119</v>
      </c>
      <c r="H1657" t="s">
        <v>239</v>
      </c>
      <c r="I1657" t="s">
        <v>2117</v>
      </c>
    </row>
    <row r="1658" spans="1:9" x14ac:dyDescent="0.35">
      <c r="A1658">
        <v>505460</v>
      </c>
      <c r="B1658" t="s">
        <v>630</v>
      </c>
      <c r="C1658" s="1">
        <v>44832</v>
      </c>
      <c r="D1658">
        <v>2821</v>
      </c>
      <c r="E1658" t="b">
        <v>0</v>
      </c>
      <c r="F1658">
        <v>237</v>
      </c>
      <c r="G1658" t="s">
        <v>119</v>
      </c>
      <c r="H1658" t="s">
        <v>132</v>
      </c>
      <c r="I1658" t="s">
        <v>2116</v>
      </c>
    </row>
    <row r="1659" spans="1:9" x14ac:dyDescent="0.35">
      <c r="A1659">
        <v>505460</v>
      </c>
      <c r="B1659" t="s">
        <v>630</v>
      </c>
      <c r="C1659" s="1">
        <v>44832</v>
      </c>
      <c r="D1659">
        <v>2821</v>
      </c>
      <c r="E1659" t="b">
        <v>0</v>
      </c>
      <c r="F1659">
        <v>237</v>
      </c>
      <c r="G1659" t="s">
        <v>119</v>
      </c>
      <c r="H1659" t="s">
        <v>124</v>
      </c>
      <c r="I1659" t="s">
        <v>2116</v>
      </c>
    </row>
    <row r="1660" spans="1:9" x14ac:dyDescent="0.35">
      <c r="A1660">
        <v>505460</v>
      </c>
      <c r="B1660" t="s">
        <v>630</v>
      </c>
      <c r="C1660" s="1">
        <v>44832</v>
      </c>
      <c r="D1660">
        <v>2821</v>
      </c>
      <c r="E1660" t="b">
        <v>0</v>
      </c>
      <c r="F1660">
        <v>237</v>
      </c>
      <c r="G1660" t="s">
        <v>119</v>
      </c>
      <c r="H1660" t="s">
        <v>1510</v>
      </c>
      <c r="I1660" t="s">
        <v>2117</v>
      </c>
    </row>
    <row r="1661" spans="1:9" x14ac:dyDescent="0.35">
      <c r="A1661">
        <v>32470</v>
      </c>
      <c r="B1661" t="s">
        <v>633</v>
      </c>
      <c r="C1661" s="1">
        <v>40323</v>
      </c>
      <c r="D1661">
        <v>2818</v>
      </c>
      <c r="E1661" t="b">
        <v>0</v>
      </c>
      <c r="F1661">
        <v>238</v>
      </c>
      <c r="G1661" t="s">
        <v>2084</v>
      </c>
      <c r="H1661" t="s">
        <v>49</v>
      </c>
      <c r="I1661" t="s">
        <v>2117</v>
      </c>
    </row>
    <row r="1662" spans="1:9" x14ac:dyDescent="0.35">
      <c r="A1662">
        <v>32470</v>
      </c>
      <c r="B1662" t="s">
        <v>633</v>
      </c>
      <c r="C1662" s="1">
        <v>40323</v>
      </c>
      <c r="D1662">
        <v>2818</v>
      </c>
      <c r="E1662" t="b">
        <v>0</v>
      </c>
      <c r="F1662">
        <v>238</v>
      </c>
      <c r="G1662" t="s">
        <v>2084</v>
      </c>
      <c r="H1662" t="s">
        <v>792</v>
      </c>
      <c r="I1662" t="s">
        <v>2117</v>
      </c>
    </row>
    <row r="1663" spans="1:9" x14ac:dyDescent="0.35">
      <c r="A1663">
        <v>32470</v>
      </c>
      <c r="B1663" t="s">
        <v>633</v>
      </c>
      <c r="C1663" s="1">
        <v>40323</v>
      </c>
      <c r="D1663">
        <v>2818</v>
      </c>
      <c r="E1663" t="b">
        <v>0</v>
      </c>
      <c r="F1663">
        <v>238</v>
      </c>
      <c r="G1663" t="s">
        <v>2084</v>
      </c>
      <c r="H1663" t="s">
        <v>346</v>
      </c>
      <c r="I1663" t="s">
        <v>2117</v>
      </c>
    </row>
    <row r="1664" spans="1:9" x14ac:dyDescent="0.35">
      <c r="A1664">
        <v>32470</v>
      </c>
      <c r="B1664" t="s">
        <v>633</v>
      </c>
      <c r="C1664" s="1">
        <v>40323</v>
      </c>
      <c r="D1664">
        <v>2818</v>
      </c>
      <c r="E1664" t="b">
        <v>0</v>
      </c>
      <c r="F1664">
        <v>238</v>
      </c>
      <c r="G1664" t="s">
        <v>2084</v>
      </c>
      <c r="H1664" t="s">
        <v>239</v>
      </c>
      <c r="I1664" t="s">
        <v>2117</v>
      </c>
    </row>
    <row r="1665" spans="1:9" x14ac:dyDescent="0.35">
      <c r="A1665">
        <v>32470</v>
      </c>
      <c r="B1665" t="s">
        <v>633</v>
      </c>
      <c r="C1665" s="1">
        <v>40323</v>
      </c>
      <c r="D1665">
        <v>2818</v>
      </c>
      <c r="E1665" t="b">
        <v>0</v>
      </c>
      <c r="F1665">
        <v>238</v>
      </c>
      <c r="G1665" t="s">
        <v>2084</v>
      </c>
      <c r="H1665" t="s">
        <v>132</v>
      </c>
      <c r="I1665" t="s">
        <v>2117</v>
      </c>
    </row>
    <row r="1666" spans="1:9" x14ac:dyDescent="0.35">
      <c r="A1666">
        <v>32470</v>
      </c>
      <c r="B1666" t="s">
        <v>633</v>
      </c>
      <c r="C1666" s="1">
        <v>40323</v>
      </c>
      <c r="D1666">
        <v>2818</v>
      </c>
      <c r="E1666" t="b">
        <v>0</v>
      </c>
      <c r="F1666">
        <v>238</v>
      </c>
      <c r="G1666" t="s">
        <v>2084</v>
      </c>
      <c r="H1666" t="s">
        <v>124</v>
      </c>
      <c r="I1666" t="s">
        <v>2116</v>
      </c>
    </row>
    <row r="1667" spans="1:9" x14ac:dyDescent="0.35">
      <c r="A1667">
        <v>32470</v>
      </c>
      <c r="B1667" t="s">
        <v>633</v>
      </c>
      <c r="C1667" s="1">
        <v>40323</v>
      </c>
      <c r="D1667">
        <v>2818</v>
      </c>
      <c r="E1667" t="b">
        <v>0</v>
      </c>
      <c r="F1667">
        <v>238</v>
      </c>
      <c r="G1667" t="s">
        <v>2084</v>
      </c>
      <c r="H1667" t="s">
        <v>1510</v>
      </c>
      <c r="I1667" t="s">
        <v>2117</v>
      </c>
    </row>
    <row r="1668" spans="1:9" x14ac:dyDescent="0.35">
      <c r="A1668">
        <v>4700</v>
      </c>
      <c r="B1668" t="s">
        <v>635</v>
      </c>
      <c r="C1668" s="1">
        <v>39036</v>
      </c>
      <c r="D1668">
        <v>2814</v>
      </c>
      <c r="E1668" t="b">
        <v>1</v>
      </c>
      <c r="F1668">
        <v>239</v>
      </c>
      <c r="G1668" t="s">
        <v>2083</v>
      </c>
      <c r="H1668" t="s">
        <v>49</v>
      </c>
      <c r="I1668" t="s">
        <v>2117</v>
      </c>
    </row>
    <row r="1669" spans="1:9" x14ac:dyDescent="0.35">
      <c r="A1669">
        <v>4700</v>
      </c>
      <c r="B1669" t="s">
        <v>635</v>
      </c>
      <c r="C1669" s="1">
        <v>39036</v>
      </c>
      <c r="D1669">
        <v>2814</v>
      </c>
      <c r="E1669" t="b">
        <v>1</v>
      </c>
      <c r="F1669">
        <v>239</v>
      </c>
      <c r="G1669" t="s">
        <v>2083</v>
      </c>
      <c r="H1669" t="s">
        <v>792</v>
      </c>
      <c r="I1669" t="s">
        <v>2117</v>
      </c>
    </row>
    <row r="1670" spans="1:9" x14ac:dyDescent="0.35">
      <c r="A1670">
        <v>4700</v>
      </c>
      <c r="B1670" t="s">
        <v>635</v>
      </c>
      <c r="C1670" s="1">
        <v>39036</v>
      </c>
      <c r="D1670">
        <v>2814</v>
      </c>
      <c r="E1670" t="b">
        <v>1</v>
      </c>
      <c r="F1670">
        <v>239</v>
      </c>
      <c r="G1670" t="s">
        <v>2083</v>
      </c>
      <c r="H1670" t="s">
        <v>346</v>
      </c>
      <c r="I1670" t="s">
        <v>2117</v>
      </c>
    </row>
    <row r="1671" spans="1:9" x14ac:dyDescent="0.35">
      <c r="A1671">
        <v>4700</v>
      </c>
      <c r="B1671" t="s">
        <v>635</v>
      </c>
      <c r="C1671" s="1">
        <v>39036</v>
      </c>
      <c r="D1671">
        <v>2814</v>
      </c>
      <c r="E1671" t="b">
        <v>1</v>
      </c>
      <c r="F1671">
        <v>239</v>
      </c>
      <c r="G1671" t="s">
        <v>2083</v>
      </c>
      <c r="H1671" t="s">
        <v>239</v>
      </c>
      <c r="I1671" t="s">
        <v>2117</v>
      </c>
    </row>
    <row r="1672" spans="1:9" x14ac:dyDescent="0.35">
      <c r="A1672">
        <v>4700</v>
      </c>
      <c r="B1672" t="s">
        <v>635</v>
      </c>
      <c r="C1672" s="1">
        <v>39036</v>
      </c>
      <c r="D1672">
        <v>2814</v>
      </c>
      <c r="E1672" t="b">
        <v>1</v>
      </c>
      <c r="F1672">
        <v>239</v>
      </c>
      <c r="G1672" t="s">
        <v>2083</v>
      </c>
      <c r="H1672" t="s">
        <v>132</v>
      </c>
      <c r="I1672" t="s">
        <v>2117</v>
      </c>
    </row>
    <row r="1673" spans="1:9" x14ac:dyDescent="0.35">
      <c r="A1673">
        <v>4700</v>
      </c>
      <c r="B1673" t="s">
        <v>635</v>
      </c>
      <c r="C1673" s="1">
        <v>39036</v>
      </c>
      <c r="D1673">
        <v>2814</v>
      </c>
      <c r="E1673" t="b">
        <v>1</v>
      </c>
      <c r="F1673">
        <v>239</v>
      </c>
      <c r="G1673" t="s">
        <v>2083</v>
      </c>
      <c r="H1673" t="s">
        <v>124</v>
      </c>
      <c r="I1673" t="s">
        <v>2116</v>
      </c>
    </row>
    <row r="1674" spans="1:9" x14ac:dyDescent="0.35">
      <c r="A1674">
        <v>4700</v>
      </c>
      <c r="B1674" t="s">
        <v>635</v>
      </c>
      <c r="C1674" s="1">
        <v>39036</v>
      </c>
      <c r="D1674">
        <v>2814</v>
      </c>
      <c r="E1674" t="b">
        <v>1</v>
      </c>
      <c r="F1674">
        <v>239</v>
      </c>
      <c r="G1674" t="s">
        <v>2083</v>
      </c>
      <c r="H1674" t="s">
        <v>1510</v>
      </c>
      <c r="I1674" t="s">
        <v>2117</v>
      </c>
    </row>
    <row r="1675" spans="1:9" x14ac:dyDescent="0.35">
      <c r="A1675">
        <v>916440</v>
      </c>
      <c r="B1675" t="s">
        <v>637</v>
      </c>
      <c r="C1675" s="1">
        <v>43571</v>
      </c>
      <c r="D1675">
        <v>2784</v>
      </c>
      <c r="E1675" t="b">
        <v>0</v>
      </c>
      <c r="F1675">
        <v>240</v>
      </c>
      <c r="G1675" t="s">
        <v>293</v>
      </c>
      <c r="H1675" t="s">
        <v>49</v>
      </c>
      <c r="I1675" t="s">
        <v>2117</v>
      </c>
    </row>
    <row r="1676" spans="1:9" x14ac:dyDescent="0.35">
      <c r="A1676">
        <v>916440</v>
      </c>
      <c r="B1676" t="s">
        <v>637</v>
      </c>
      <c r="C1676" s="1">
        <v>43571</v>
      </c>
      <c r="D1676">
        <v>2784</v>
      </c>
      <c r="E1676" t="b">
        <v>0</v>
      </c>
      <c r="F1676">
        <v>240</v>
      </c>
      <c r="G1676" t="s">
        <v>293</v>
      </c>
      <c r="H1676" t="s">
        <v>792</v>
      </c>
      <c r="I1676" t="s">
        <v>2117</v>
      </c>
    </row>
    <row r="1677" spans="1:9" x14ac:dyDescent="0.35">
      <c r="A1677">
        <v>916440</v>
      </c>
      <c r="B1677" t="s">
        <v>637</v>
      </c>
      <c r="C1677" s="1">
        <v>43571</v>
      </c>
      <c r="D1677">
        <v>2784</v>
      </c>
      <c r="E1677" t="b">
        <v>0</v>
      </c>
      <c r="F1677">
        <v>240</v>
      </c>
      <c r="G1677" t="s">
        <v>293</v>
      </c>
      <c r="H1677" t="s">
        <v>346</v>
      </c>
      <c r="I1677" t="s">
        <v>2117</v>
      </c>
    </row>
    <row r="1678" spans="1:9" x14ac:dyDescent="0.35">
      <c r="A1678">
        <v>916440</v>
      </c>
      <c r="B1678" t="s">
        <v>637</v>
      </c>
      <c r="C1678" s="1">
        <v>43571</v>
      </c>
      <c r="D1678">
        <v>2784</v>
      </c>
      <c r="E1678" t="b">
        <v>0</v>
      </c>
      <c r="F1678">
        <v>240</v>
      </c>
      <c r="G1678" t="s">
        <v>293</v>
      </c>
      <c r="H1678" t="s">
        <v>239</v>
      </c>
      <c r="I1678" t="s">
        <v>2116</v>
      </c>
    </row>
    <row r="1679" spans="1:9" x14ac:dyDescent="0.35">
      <c r="A1679">
        <v>916440</v>
      </c>
      <c r="B1679" t="s">
        <v>637</v>
      </c>
      <c r="C1679" s="1">
        <v>43571</v>
      </c>
      <c r="D1679">
        <v>2784</v>
      </c>
      <c r="E1679" t="b">
        <v>0</v>
      </c>
      <c r="F1679">
        <v>240</v>
      </c>
      <c r="G1679" t="s">
        <v>293</v>
      </c>
      <c r="H1679" t="s">
        <v>132</v>
      </c>
      <c r="I1679" t="s">
        <v>2117</v>
      </c>
    </row>
    <row r="1680" spans="1:9" x14ac:dyDescent="0.35">
      <c r="A1680">
        <v>916440</v>
      </c>
      <c r="B1680" t="s">
        <v>637</v>
      </c>
      <c r="C1680" s="1">
        <v>43571</v>
      </c>
      <c r="D1680">
        <v>2784</v>
      </c>
      <c r="E1680" t="b">
        <v>0</v>
      </c>
      <c r="F1680">
        <v>240</v>
      </c>
      <c r="G1680" t="s">
        <v>293</v>
      </c>
      <c r="H1680" t="s">
        <v>124</v>
      </c>
      <c r="I1680" t="s">
        <v>2116</v>
      </c>
    </row>
    <row r="1681" spans="1:9" x14ac:dyDescent="0.35">
      <c r="A1681">
        <v>916440</v>
      </c>
      <c r="B1681" t="s">
        <v>637</v>
      </c>
      <c r="C1681" s="1">
        <v>43571</v>
      </c>
      <c r="D1681">
        <v>2784</v>
      </c>
      <c r="E1681" t="b">
        <v>0</v>
      </c>
      <c r="F1681">
        <v>240</v>
      </c>
      <c r="G1681" t="s">
        <v>293</v>
      </c>
      <c r="H1681" t="s">
        <v>1510</v>
      </c>
      <c r="I1681" t="s">
        <v>2117</v>
      </c>
    </row>
    <row r="1682" spans="1:9" x14ac:dyDescent="0.35">
      <c r="A1682">
        <v>380600</v>
      </c>
      <c r="B1682" t="s">
        <v>639</v>
      </c>
      <c r="C1682" s="1">
        <v>42975</v>
      </c>
      <c r="D1682">
        <v>2781</v>
      </c>
      <c r="E1682" t="b">
        <v>1</v>
      </c>
      <c r="F1682">
        <v>241</v>
      </c>
      <c r="G1682" t="s">
        <v>642</v>
      </c>
      <c r="H1682" t="s">
        <v>49</v>
      </c>
      <c r="I1682" t="s">
        <v>2117</v>
      </c>
    </row>
    <row r="1683" spans="1:9" x14ac:dyDescent="0.35">
      <c r="A1683">
        <v>380600</v>
      </c>
      <c r="B1683" t="s">
        <v>639</v>
      </c>
      <c r="C1683" s="1">
        <v>42975</v>
      </c>
      <c r="D1683">
        <v>2781</v>
      </c>
      <c r="E1683" t="b">
        <v>1</v>
      </c>
      <c r="F1683">
        <v>241</v>
      </c>
      <c r="G1683" t="s">
        <v>642</v>
      </c>
      <c r="H1683" t="s">
        <v>792</v>
      </c>
      <c r="I1683" t="s">
        <v>2117</v>
      </c>
    </row>
    <row r="1684" spans="1:9" x14ac:dyDescent="0.35">
      <c r="A1684">
        <v>380600</v>
      </c>
      <c r="B1684" t="s">
        <v>639</v>
      </c>
      <c r="C1684" s="1">
        <v>42975</v>
      </c>
      <c r="D1684">
        <v>2781</v>
      </c>
      <c r="E1684" t="b">
        <v>1</v>
      </c>
      <c r="F1684">
        <v>241</v>
      </c>
      <c r="G1684" t="s">
        <v>642</v>
      </c>
      <c r="H1684" t="s">
        <v>346</v>
      </c>
      <c r="I1684" t="s">
        <v>2117</v>
      </c>
    </row>
    <row r="1685" spans="1:9" x14ac:dyDescent="0.35">
      <c r="A1685">
        <v>380600</v>
      </c>
      <c r="B1685" t="s">
        <v>639</v>
      </c>
      <c r="C1685" s="1">
        <v>42975</v>
      </c>
      <c r="D1685">
        <v>2781</v>
      </c>
      <c r="E1685" t="b">
        <v>1</v>
      </c>
      <c r="F1685">
        <v>241</v>
      </c>
      <c r="G1685" t="s">
        <v>642</v>
      </c>
      <c r="H1685" t="s">
        <v>239</v>
      </c>
      <c r="I1685" t="s">
        <v>2116</v>
      </c>
    </row>
    <row r="1686" spans="1:9" x14ac:dyDescent="0.35">
      <c r="A1686">
        <v>380600</v>
      </c>
      <c r="B1686" t="s">
        <v>639</v>
      </c>
      <c r="C1686" s="1">
        <v>42975</v>
      </c>
      <c r="D1686">
        <v>2781</v>
      </c>
      <c r="E1686" t="b">
        <v>1</v>
      </c>
      <c r="F1686">
        <v>241</v>
      </c>
      <c r="G1686" t="s">
        <v>642</v>
      </c>
      <c r="H1686" t="s">
        <v>132</v>
      </c>
      <c r="I1686" t="s">
        <v>2117</v>
      </c>
    </row>
    <row r="1687" spans="1:9" x14ac:dyDescent="0.35">
      <c r="A1687">
        <v>380600</v>
      </c>
      <c r="B1687" t="s">
        <v>639</v>
      </c>
      <c r="C1687" s="1">
        <v>42975</v>
      </c>
      <c r="D1687">
        <v>2781</v>
      </c>
      <c r="E1687" t="b">
        <v>1</v>
      </c>
      <c r="F1687">
        <v>241</v>
      </c>
      <c r="G1687" t="s">
        <v>642</v>
      </c>
      <c r="H1687" t="s">
        <v>124</v>
      </c>
      <c r="I1687" t="s">
        <v>2117</v>
      </c>
    </row>
    <row r="1688" spans="1:9" x14ac:dyDescent="0.35">
      <c r="A1688">
        <v>380600</v>
      </c>
      <c r="B1688" t="s">
        <v>639</v>
      </c>
      <c r="C1688" s="1">
        <v>42975</v>
      </c>
      <c r="D1688">
        <v>2781</v>
      </c>
      <c r="E1688" t="b">
        <v>1</v>
      </c>
      <c r="F1688">
        <v>241</v>
      </c>
      <c r="G1688" t="s">
        <v>642</v>
      </c>
      <c r="H1688" t="s">
        <v>1510</v>
      </c>
      <c r="I1688" t="s">
        <v>2116</v>
      </c>
    </row>
    <row r="1689" spans="1:9" x14ac:dyDescent="0.35">
      <c r="A1689">
        <v>1517290</v>
      </c>
      <c r="B1689" t="s">
        <v>643</v>
      </c>
      <c r="C1689" s="1">
        <v>44519</v>
      </c>
      <c r="D1689">
        <v>2774</v>
      </c>
      <c r="E1689" t="b">
        <v>0</v>
      </c>
      <c r="F1689">
        <v>242</v>
      </c>
      <c r="G1689" t="s">
        <v>50</v>
      </c>
      <c r="H1689" t="s">
        <v>49</v>
      </c>
      <c r="I1689" t="s">
        <v>2116</v>
      </c>
    </row>
    <row r="1690" spans="1:9" x14ac:dyDescent="0.35">
      <c r="A1690">
        <v>1517290</v>
      </c>
      <c r="B1690" t="s">
        <v>643</v>
      </c>
      <c r="C1690" s="1">
        <v>44519</v>
      </c>
      <c r="D1690">
        <v>2774</v>
      </c>
      <c r="E1690" t="b">
        <v>0</v>
      </c>
      <c r="F1690">
        <v>242</v>
      </c>
      <c r="G1690" t="s">
        <v>50</v>
      </c>
      <c r="H1690" t="s">
        <v>792</v>
      </c>
      <c r="I1690" t="s">
        <v>2117</v>
      </c>
    </row>
    <row r="1691" spans="1:9" x14ac:dyDescent="0.35">
      <c r="A1691">
        <v>1517290</v>
      </c>
      <c r="B1691" t="s">
        <v>643</v>
      </c>
      <c r="C1691" s="1">
        <v>44519</v>
      </c>
      <c r="D1691">
        <v>2774</v>
      </c>
      <c r="E1691" t="b">
        <v>0</v>
      </c>
      <c r="F1691">
        <v>242</v>
      </c>
      <c r="G1691" t="s">
        <v>50</v>
      </c>
      <c r="H1691" t="s">
        <v>346</v>
      </c>
      <c r="I1691" t="s">
        <v>2116</v>
      </c>
    </row>
    <row r="1692" spans="1:9" x14ac:dyDescent="0.35">
      <c r="A1692">
        <v>1517290</v>
      </c>
      <c r="B1692" t="s">
        <v>643</v>
      </c>
      <c r="C1692" s="1">
        <v>44519</v>
      </c>
      <c r="D1692">
        <v>2774</v>
      </c>
      <c r="E1692" t="b">
        <v>0</v>
      </c>
      <c r="F1692">
        <v>242</v>
      </c>
      <c r="G1692" t="s">
        <v>50</v>
      </c>
      <c r="H1692" t="s">
        <v>239</v>
      </c>
      <c r="I1692" t="s">
        <v>2117</v>
      </c>
    </row>
    <row r="1693" spans="1:9" x14ac:dyDescent="0.35">
      <c r="A1693">
        <v>1517290</v>
      </c>
      <c r="B1693" t="s">
        <v>643</v>
      </c>
      <c r="C1693" s="1">
        <v>44519</v>
      </c>
      <c r="D1693">
        <v>2774</v>
      </c>
      <c r="E1693" t="b">
        <v>0</v>
      </c>
      <c r="F1693">
        <v>242</v>
      </c>
      <c r="G1693" t="s">
        <v>50</v>
      </c>
      <c r="H1693" t="s">
        <v>132</v>
      </c>
      <c r="I1693" t="s">
        <v>2117</v>
      </c>
    </row>
    <row r="1694" spans="1:9" x14ac:dyDescent="0.35">
      <c r="A1694">
        <v>1517290</v>
      </c>
      <c r="B1694" t="s">
        <v>643</v>
      </c>
      <c r="C1694" s="1">
        <v>44519</v>
      </c>
      <c r="D1694">
        <v>2774</v>
      </c>
      <c r="E1694" t="b">
        <v>0</v>
      </c>
      <c r="F1694">
        <v>242</v>
      </c>
      <c r="G1694" t="s">
        <v>50</v>
      </c>
      <c r="H1694" t="s">
        <v>124</v>
      </c>
      <c r="I1694" t="s">
        <v>2117</v>
      </c>
    </row>
    <row r="1695" spans="1:9" x14ac:dyDescent="0.35">
      <c r="A1695">
        <v>1517290</v>
      </c>
      <c r="B1695" t="s">
        <v>643</v>
      </c>
      <c r="C1695" s="1">
        <v>44519</v>
      </c>
      <c r="D1695">
        <v>2774</v>
      </c>
      <c r="E1695" t="b">
        <v>0</v>
      </c>
      <c r="F1695">
        <v>242</v>
      </c>
      <c r="G1695" t="s">
        <v>50</v>
      </c>
      <c r="H1695" t="s">
        <v>1510</v>
      </c>
      <c r="I1695" t="s">
        <v>2117</v>
      </c>
    </row>
    <row r="1696" spans="1:9" x14ac:dyDescent="0.35">
      <c r="A1696">
        <v>2646460</v>
      </c>
      <c r="B1696" t="s">
        <v>645</v>
      </c>
      <c r="C1696" s="1">
        <v>45442</v>
      </c>
      <c r="D1696">
        <v>2760</v>
      </c>
      <c r="E1696" t="b">
        <v>0</v>
      </c>
      <c r="F1696">
        <v>243</v>
      </c>
      <c r="G1696" t="s">
        <v>29</v>
      </c>
      <c r="H1696" t="s">
        <v>49</v>
      </c>
      <c r="I1696" t="s">
        <v>2117</v>
      </c>
    </row>
    <row r="1697" spans="1:9" x14ac:dyDescent="0.35">
      <c r="A1697">
        <v>2646460</v>
      </c>
      <c r="B1697" t="s">
        <v>645</v>
      </c>
      <c r="C1697" s="1">
        <v>45442</v>
      </c>
      <c r="D1697">
        <v>2760</v>
      </c>
      <c r="E1697" t="b">
        <v>0</v>
      </c>
      <c r="F1697">
        <v>243</v>
      </c>
      <c r="G1697" t="s">
        <v>29</v>
      </c>
      <c r="H1697" t="s">
        <v>792</v>
      </c>
      <c r="I1697" t="s">
        <v>2116</v>
      </c>
    </row>
    <row r="1698" spans="1:9" x14ac:dyDescent="0.35">
      <c r="A1698">
        <v>2646460</v>
      </c>
      <c r="B1698" t="s">
        <v>645</v>
      </c>
      <c r="C1698" s="1">
        <v>45442</v>
      </c>
      <c r="D1698">
        <v>2760</v>
      </c>
      <c r="E1698" t="b">
        <v>0</v>
      </c>
      <c r="F1698">
        <v>243</v>
      </c>
      <c r="G1698" t="s">
        <v>29</v>
      </c>
      <c r="H1698" t="s">
        <v>346</v>
      </c>
      <c r="I1698" t="s">
        <v>2116</v>
      </c>
    </row>
    <row r="1699" spans="1:9" x14ac:dyDescent="0.35">
      <c r="A1699">
        <v>2646460</v>
      </c>
      <c r="B1699" t="s">
        <v>645</v>
      </c>
      <c r="C1699" s="1">
        <v>45442</v>
      </c>
      <c r="D1699">
        <v>2760</v>
      </c>
      <c r="E1699" t="b">
        <v>0</v>
      </c>
      <c r="F1699">
        <v>243</v>
      </c>
      <c r="G1699" t="s">
        <v>29</v>
      </c>
      <c r="H1699" t="s">
        <v>239</v>
      </c>
      <c r="I1699" t="s">
        <v>2116</v>
      </c>
    </row>
    <row r="1700" spans="1:9" x14ac:dyDescent="0.35">
      <c r="A1700">
        <v>2646460</v>
      </c>
      <c r="B1700" t="s">
        <v>645</v>
      </c>
      <c r="C1700" s="1">
        <v>45442</v>
      </c>
      <c r="D1700">
        <v>2760</v>
      </c>
      <c r="E1700" t="b">
        <v>0</v>
      </c>
      <c r="F1700">
        <v>243</v>
      </c>
      <c r="G1700" t="s">
        <v>29</v>
      </c>
      <c r="H1700" t="s">
        <v>132</v>
      </c>
      <c r="I1700" t="s">
        <v>2116</v>
      </c>
    </row>
    <row r="1701" spans="1:9" x14ac:dyDescent="0.35">
      <c r="A1701">
        <v>2646460</v>
      </c>
      <c r="B1701" t="s">
        <v>645</v>
      </c>
      <c r="C1701" s="1">
        <v>45442</v>
      </c>
      <c r="D1701">
        <v>2760</v>
      </c>
      <c r="E1701" t="b">
        <v>0</v>
      </c>
      <c r="F1701">
        <v>243</v>
      </c>
      <c r="G1701" t="s">
        <v>29</v>
      </c>
      <c r="H1701" t="s">
        <v>124</v>
      </c>
      <c r="I1701" t="s">
        <v>2117</v>
      </c>
    </row>
    <row r="1702" spans="1:9" x14ac:dyDescent="0.35">
      <c r="A1702">
        <v>2646460</v>
      </c>
      <c r="B1702" t="s">
        <v>645</v>
      </c>
      <c r="C1702" s="1">
        <v>45442</v>
      </c>
      <c r="D1702">
        <v>2760</v>
      </c>
      <c r="E1702" t="b">
        <v>0</v>
      </c>
      <c r="F1702">
        <v>243</v>
      </c>
      <c r="G1702" t="s">
        <v>29</v>
      </c>
      <c r="H1702" t="s">
        <v>1510</v>
      </c>
      <c r="I1702" t="s">
        <v>2116</v>
      </c>
    </row>
    <row r="1703" spans="1:9" x14ac:dyDescent="0.35">
      <c r="A1703">
        <v>644930</v>
      </c>
      <c r="B1703" t="s">
        <v>648</v>
      </c>
      <c r="C1703" s="1">
        <v>43634</v>
      </c>
      <c r="D1703">
        <v>2751</v>
      </c>
      <c r="E1703" t="b">
        <v>0</v>
      </c>
      <c r="F1703">
        <v>244</v>
      </c>
      <c r="G1703" t="s">
        <v>68</v>
      </c>
      <c r="H1703" t="s">
        <v>49</v>
      </c>
      <c r="I1703" t="s">
        <v>2117</v>
      </c>
    </row>
    <row r="1704" spans="1:9" x14ac:dyDescent="0.35">
      <c r="A1704">
        <v>644930</v>
      </c>
      <c r="B1704" t="s">
        <v>648</v>
      </c>
      <c r="C1704" s="1">
        <v>43634</v>
      </c>
      <c r="D1704">
        <v>2751</v>
      </c>
      <c r="E1704" t="b">
        <v>0</v>
      </c>
      <c r="F1704">
        <v>244</v>
      </c>
      <c r="G1704" t="s">
        <v>68</v>
      </c>
      <c r="H1704" t="s">
        <v>792</v>
      </c>
      <c r="I1704" t="s">
        <v>2117</v>
      </c>
    </row>
    <row r="1705" spans="1:9" x14ac:dyDescent="0.35">
      <c r="A1705">
        <v>644930</v>
      </c>
      <c r="B1705" t="s">
        <v>648</v>
      </c>
      <c r="C1705" s="1">
        <v>43634</v>
      </c>
      <c r="D1705">
        <v>2751</v>
      </c>
      <c r="E1705" t="b">
        <v>0</v>
      </c>
      <c r="F1705">
        <v>244</v>
      </c>
      <c r="G1705" t="s">
        <v>68</v>
      </c>
      <c r="H1705" t="s">
        <v>346</v>
      </c>
      <c r="I1705" t="s">
        <v>2117</v>
      </c>
    </row>
    <row r="1706" spans="1:9" x14ac:dyDescent="0.35">
      <c r="A1706">
        <v>644930</v>
      </c>
      <c r="B1706" t="s">
        <v>648</v>
      </c>
      <c r="C1706" s="1">
        <v>43634</v>
      </c>
      <c r="D1706">
        <v>2751</v>
      </c>
      <c r="E1706" t="b">
        <v>0</v>
      </c>
      <c r="F1706">
        <v>244</v>
      </c>
      <c r="G1706" t="s">
        <v>68</v>
      </c>
      <c r="H1706" t="s">
        <v>239</v>
      </c>
      <c r="I1706" t="s">
        <v>2117</v>
      </c>
    </row>
    <row r="1707" spans="1:9" x14ac:dyDescent="0.35">
      <c r="A1707">
        <v>644930</v>
      </c>
      <c r="B1707" t="s">
        <v>648</v>
      </c>
      <c r="C1707" s="1">
        <v>43634</v>
      </c>
      <c r="D1707">
        <v>2751</v>
      </c>
      <c r="E1707" t="b">
        <v>0</v>
      </c>
      <c r="F1707">
        <v>244</v>
      </c>
      <c r="G1707" t="s">
        <v>68</v>
      </c>
      <c r="H1707" t="s">
        <v>132</v>
      </c>
      <c r="I1707" t="s">
        <v>2117</v>
      </c>
    </row>
    <row r="1708" spans="1:9" x14ac:dyDescent="0.35">
      <c r="A1708">
        <v>644930</v>
      </c>
      <c r="B1708" t="s">
        <v>648</v>
      </c>
      <c r="C1708" s="1">
        <v>43634</v>
      </c>
      <c r="D1708">
        <v>2751</v>
      </c>
      <c r="E1708" t="b">
        <v>0</v>
      </c>
      <c r="F1708">
        <v>244</v>
      </c>
      <c r="G1708" t="s">
        <v>68</v>
      </c>
      <c r="H1708" t="s">
        <v>124</v>
      </c>
      <c r="I1708" t="s">
        <v>2116</v>
      </c>
    </row>
    <row r="1709" spans="1:9" x14ac:dyDescent="0.35">
      <c r="A1709">
        <v>644930</v>
      </c>
      <c r="B1709" t="s">
        <v>648</v>
      </c>
      <c r="C1709" s="1">
        <v>43634</v>
      </c>
      <c r="D1709">
        <v>2751</v>
      </c>
      <c r="E1709" t="b">
        <v>0</v>
      </c>
      <c r="F1709">
        <v>244</v>
      </c>
      <c r="G1709" t="s">
        <v>68</v>
      </c>
      <c r="H1709" t="s">
        <v>1510</v>
      </c>
      <c r="I1709" t="s">
        <v>2117</v>
      </c>
    </row>
    <row r="1710" spans="1:9" x14ac:dyDescent="0.35">
      <c r="A1710">
        <v>264710</v>
      </c>
      <c r="B1710" t="s">
        <v>650</v>
      </c>
      <c r="C1710" s="1">
        <v>43123</v>
      </c>
      <c r="D1710">
        <v>2719</v>
      </c>
      <c r="E1710" t="b">
        <v>1</v>
      </c>
      <c r="F1710">
        <v>245</v>
      </c>
      <c r="G1710" t="s">
        <v>110</v>
      </c>
      <c r="H1710" t="s">
        <v>49</v>
      </c>
      <c r="I1710" t="s">
        <v>2117</v>
      </c>
    </row>
    <row r="1711" spans="1:9" x14ac:dyDescent="0.35">
      <c r="A1711">
        <v>264710</v>
      </c>
      <c r="B1711" t="s">
        <v>650</v>
      </c>
      <c r="C1711" s="1">
        <v>43123</v>
      </c>
      <c r="D1711">
        <v>2719</v>
      </c>
      <c r="E1711" t="b">
        <v>1</v>
      </c>
      <c r="F1711">
        <v>245</v>
      </c>
      <c r="G1711" t="s">
        <v>110</v>
      </c>
      <c r="H1711" t="s">
        <v>792</v>
      </c>
      <c r="I1711" t="s">
        <v>2116</v>
      </c>
    </row>
    <row r="1712" spans="1:9" x14ac:dyDescent="0.35">
      <c r="A1712">
        <v>264710</v>
      </c>
      <c r="B1712" t="s">
        <v>650</v>
      </c>
      <c r="C1712" s="1">
        <v>43123</v>
      </c>
      <c r="D1712">
        <v>2719</v>
      </c>
      <c r="E1712" t="b">
        <v>1</v>
      </c>
      <c r="F1712">
        <v>245</v>
      </c>
      <c r="G1712" t="s">
        <v>110</v>
      </c>
      <c r="H1712" t="s">
        <v>346</v>
      </c>
      <c r="I1712" t="s">
        <v>2116</v>
      </c>
    </row>
    <row r="1713" spans="1:9" x14ac:dyDescent="0.35">
      <c r="A1713">
        <v>264710</v>
      </c>
      <c r="B1713" t="s">
        <v>650</v>
      </c>
      <c r="C1713" s="1">
        <v>43123</v>
      </c>
      <c r="D1713">
        <v>2719</v>
      </c>
      <c r="E1713" t="b">
        <v>1</v>
      </c>
      <c r="F1713">
        <v>245</v>
      </c>
      <c r="G1713" t="s">
        <v>110</v>
      </c>
      <c r="H1713" t="s">
        <v>239</v>
      </c>
      <c r="I1713" t="s">
        <v>2117</v>
      </c>
    </row>
    <row r="1714" spans="1:9" x14ac:dyDescent="0.35">
      <c r="A1714">
        <v>264710</v>
      </c>
      <c r="B1714" t="s">
        <v>650</v>
      </c>
      <c r="C1714" s="1">
        <v>43123</v>
      </c>
      <c r="D1714">
        <v>2719</v>
      </c>
      <c r="E1714" t="b">
        <v>1</v>
      </c>
      <c r="F1714">
        <v>245</v>
      </c>
      <c r="G1714" t="s">
        <v>110</v>
      </c>
      <c r="H1714" t="s">
        <v>132</v>
      </c>
      <c r="I1714" t="s">
        <v>2117</v>
      </c>
    </row>
    <row r="1715" spans="1:9" x14ac:dyDescent="0.35">
      <c r="A1715">
        <v>264710</v>
      </c>
      <c r="B1715" t="s">
        <v>650</v>
      </c>
      <c r="C1715" s="1">
        <v>43123</v>
      </c>
      <c r="D1715">
        <v>2719</v>
      </c>
      <c r="E1715" t="b">
        <v>1</v>
      </c>
      <c r="F1715">
        <v>245</v>
      </c>
      <c r="G1715" t="s">
        <v>110</v>
      </c>
      <c r="H1715" t="s">
        <v>124</v>
      </c>
      <c r="I1715" t="s">
        <v>2117</v>
      </c>
    </row>
    <row r="1716" spans="1:9" x14ac:dyDescent="0.35">
      <c r="A1716">
        <v>264710</v>
      </c>
      <c r="B1716" t="s">
        <v>650</v>
      </c>
      <c r="C1716" s="1">
        <v>43123</v>
      </c>
      <c r="D1716">
        <v>2719</v>
      </c>
      <c r="E1716" t="b">
        <v>1</v>
      </c>
      <c r="F1716">
        <v>245</v>
      </c>
      <c r="G1716" t="s">
        <v>110</v>
      </c>
      <c r="H1716" t="s">
        <v>1510</v>
      </c>
      <c r="I1716" t="s">
        <v>2117</v>
      </c>
    </row>
    <row r="1717" spans="1:9" x14ac:dyDescent="0.35">
      <c r="A1717">
        <v>1366540</v>
      </c>
      <c r="B1717" t="s">
        <v>653</v>
      </c>
      <c r="C1717" s="1">
        <v>44216</v>
      </c>
      <c r="D1717">
        <v>2703</v>
      </c>
      <c r="E1717" t="b">
        <v>0</v>
      </c>
      <c r="F1717">
        <v>246</v>
      </c>
      <c r="G1717" t="s">
        <v>119</v>
      </c>
      <c r="H1717" t="s">
        <v>49</v>
      </c>
      <c r="I1717" t="s">
        <v>2117</v>
      </c>
    </row>
    <row r="1718" spans="1:9" x14ac:dyDescent="0.35">
      <c r="A1718">
        <v>1366540</v>
      </c>
      <c r="B1718" t="s">
        <v>653</v>
      </c>
      <c r="C1718" s="1">
        <v>44216</v>
      </c>
      <c r="D1718">
        <v>2703</v>
      </c>
      <c r="E1718" t="b">
        <v>0</v>
      </c>
      <c r="F1718">
        <v>246</v>
      </c>
      <c r="G1718" t="s">
        <v>119</v>
      </c>
      <c r="H1718" t="s">
        <v>792</v>
      </c>
      <c r="I1718" t="s">
        <v>2116</v>
      </c>
    </row>
    <row r="1719" spans="1:9" x14ac:dyDescent="0.35">
      <c r="A1719">
        <v>1366540</v>
      </c>
      <c r="B1719" t="s">
        <v>653</v>
      </c>
      <c r="C1719" s="1">
        <v>44216</v>
      </c>
      <c r="D1719">
        <v>2703</v>
      </c>
      <c r="E1719" t="b">
        <v>0</v>
      </c>
      <c r="F1719">
        <v>246</v>
      </c>
      <c r="G1719" t="s">
        <v>119</v>
      </c>
      <c r="H1719" t="s">
        <v>346</v>
      </c>
      <c r="I1719" t="s">
        <v>2117</v>
      </c>
    </row>
    <row r="1720" spans="1:9" x14ac:dyDescent="0.35">
      <c r="A1720">
        <v>1366540</v>
      </c>
      <c r="B1720" t="s">
        <v>653</v>
      </c>
      <c r="C1720" s="1">
        <v>44216</v>
      </c>
      <c r="D1720">
        <v>2703</v>
      </c>
      <c r="E1720" t="b">
        <v>0</v>
      </c>
      <c r="F1720">
        <v>246</v>
      </c>
      <c r="G1720" t="s">
        <v>119</v>
      </c>
      <c r="H1720" t="s">
        <v>239</v>
      </c>
      <c r="I1720" t="s">
        <v>2116</v>
      </c>
    </row>
    <row r="1721" spans="1:9" x14ac:dyDescent="0.35">
      <c r="A1721">
        <v>1366540</v>
      </c>
      <c r="B1721" t="s">
        <v>653</v>
      </c>
      <c r="C1721" s="1">
        <v>44216</v>
      </c>
      <c r="D1721">
        <v>2703</v>
      </c>
      <c r="E1721" t="b">
        <v>0</v>
      </c>
      <c r="F1721">
        <v>246</v>
      </c>
      <c r="G1721" t="s">
        <v>119</v>
      </c>
      <c r="H1721" t="s">
        <v>132</v>
      </c>
      <c r="I1721" t="s">
        <v>2117</v>
      </c>
    </row>
    <row r="1722" spans="1:9" x14ac:dyDescent="0.35">
      <c r="A1722">
        <v>1366540</v>
      </c>
      <c r="B1722" t="s">
        <v>653</v>
      </c>
      <c r="C1722" s="1">
        <v>44216</v>
      </c>
      <c r="D1722">
        <v>2703</v>
      </c>
      <c r="E1722" t="b">
        <v>0</v>
      </c>
      <c r="F1722">
        <v>246</v>
      </c>
      <c r="G1722" t="s">
        <v>119</v>
      </c>
      <c r="H1722" t="s">
        <v>124</v>
      </c>
      <c r="I1722" t="s">
        <v>2116</v>
      </c>
    </row>
    <row r="1723" spans="1:9" x14ac:dyDescent="0.35">
      <c r="A1723">
        <v>1366540</v>
      </c>
      <c r="B1723" t="s">
        <v>653</v>
      </c>
      <c r="C1723" s="1">
        <v>44216</v>
      </c>
      <c r="D1723">
        <v>2703</v>
      </c>
      <c r="E1723" t="b">
        <v>0</v>
      </c>
      <c r="F1723">
        <v>246</v>
      </c>
      <c r="G1723" t="s">
        <v>119</v>
      </c>
      <c r="H1723" t="s">
        <v>1510</v>
      </c>
      <c r="I1723" t="s">
        <v>2117</v>
      </c>
    </row>
    <row r="1724" spans="1:9" x14ac:dyDescent="0.35">
      <c r="A1724">
        <v>412220</v>
      </c>
      <c r="B1724" t="s">
        <v>655</v>
      </c>
      <c r="C1724" s="1">
        <v>44060</v>
      </c>
      <c r="D1724">
        <v>2679</v>
      </c>
      <c r="E1724" t="b">
        <v>1</v>
      </c>
      <c r="F1724">
        <v>247</v>
      </c>
      <c r="G1724" t="s">
        <v>14</v>
      </c>
      <c r="H1724" t="s">
        <v>49</v>
      </c>
      <c r="I1724" t="s">
        <v>2116</v>
      </c>
    </row>
    <row r="1725" spans="1:9" x14ac:dyDescent="0.35">
      <c r="A1725">
        <v>412220</v>
      </c>
      <c r="B1725" t="s">
        <v>655</v>
      </c>
      <c r="C1725" s="1">
        <v>44060</v>
      </c>
      <c r="D1725">
        <v>2679</v>
      </c>
      <c r="E1725" t="b">
        <v>1</v>
      </c>
      <c r="F1725">
        <v>247</v>
      </c>
      <c r="G1725" t="s">
        <v>14</v>
      </c>
      <c r="H1725" t="s">
        <v>792</v>
      </c>
      <c r="I1725" t="s">
        <v>2116</v>
      </c>
    </row>
    <row r="1726" spans="1:9" x14ac:dyDescent="0.35">
      <c r="A1726">
        <v>412220</v>
      </c>
      <c r="B1726" t="s">
        <v>655</v>
      </c>
      <c r="C1726" s="1">
        <v>44060</v>
      </c>
      <c r="D1726">
        <v>2679</v>
      </c>
      <c r="E1726" t="b">
        <v>1</v>
      </c>
      <c r="F1726">
        <v>247</v>
      </c>
      <c r="G1726" t="s">
        <v>14</v>
      </c>
      <c r="H1726" t="s">
        <v>346</v>
      </c>
      <c r="I1726" t="s">
        <v>2117</v>
      </c>
    </row>
    <row r="1727" spans="1:9" x14ac:dyDescent="0.35">
      <c r="A1727">
        <v>412220</v>
      </c>
      <c r="B1727" t="s">
        <v>655</v>
      </c>
      <c r="C1727" s="1">
        <v>44060</v>
      </c>
      <c r="D1727">
        <v>2679</v>
      </c>
      <c r="E1727" t="b">
        <v>1</v>
      </c>
      <c r="F1727">
        <v>247</v>
      </c>
      <c r="G1727" t="s">
        <v>14</v>
      </c>
      <c r="H1727" t="s">
        <v>239</v>
      </c>
      <c r="I1727" t="s">
        <v>2117</v>
      </c>
    </row>
    <row r="1728" spans="1:9" x14ac:dyDescent="0.35">
      <c r="A1728">
        <v>412220</v>
      </c>
      <c r="B1728" t="s">
        <v>655</v>
      </c>
      <c r="C1728" s="1">
        <v>44060</v>
      </c>
      <c r="D1728">
        <v>2679</v>
      </c>
      <c r="E1728" t="b">
        <v>1</v>
      </c>
      <c r="F1728">
        <v>247</v>
      </c>
      <c r="G1728" t="s">
        <v>14</v>
      </c>
      <c r="H1728" t="s">
        <v>132</v>
      </c>
      <c r="I1728" t="s">
        <v>2117</v>
      </c>
    </row>
    <row r="1729" spans="1:9" x14ac:dyDescent="0.35">
      <c r="A1729">
        <v>412220</v>
      </c>
      <c r="B1729" t="s">
        <v>655</v>
      </c>
      <c r="C1729" s="1">
        <v>44060</v>
      </c>
      <c r="D1729">
        <v>2679</v>
      </c>
      <c r="E1729" t="b">
        <v>1</v>
      </c>
      <c r="F1729">
        <v>247</v>
      </c>
      <c r="G1729" t="s">
        <v>14</v>
      </c>
      <c r="H1729" t="s">
        <v>124</v>
      </c>
      <c r="I1729" t="s">
        <v>2117</v>
      </c>
    </row>
    <row r="1730" spans="1:9" x14ac:dyDescent="0.35">
      <c r="A1730">
        <v>412220</v>
      </c>
      <c r="B1730" t="s">
        <v>655</v>
      </c>
      <c r="C1730" s="1">
        <v>44060</v>
      </c>
      <c r="D1730">
        <v>2679</v>
      </c>
      <c r="E1730" t="b">
        <v>1</v>
      </c>
      <c r="F1730">
        <v>247</v>
      </c>
      <c r="G1730" t="s">
        <v>14</v>
      </c>
      <c r="H1730" t="s">
        <v>1510</v>
      </c>
      <c r="I1730" t="s">
        <v>2116</v>
      </c>
    </row>
    <row r="1731" spans="1:9" x14ac:dyDescent="0.35">
      <c r="A1731">
        <v>3590</v>
      </c>
      <c r="B1731" t="s">
        <v>657</v>
      </c>
      <c r="C1731" s="1">
        <v>39938</v>
      </c>
      <c r="D1731">
        <v>2656</v>
      </c>
      <c r="E1731" t="b">
        <v>1</v>
      </c>
      <c r="F1731">
        <v>248</v>
      </c>
      <c r="G1731" t="s">
        <v>2084</v>
      </c>
      <c r="H1731" t="s">
        <v>49</v>
      </c>
      <c r="I1731" t="s">
        <v>2117</v>
      </c>
    </row>
    <row r="1732" spans="1:9" x14ac:dyDescent="0.35">
      <c r="A1732">
        <v>3590</v>
      </c>
      <c r="B1732" t="s">
        <v>657</v>
      </c>
      <c r="C1732" s="1">
        <v>39938</v>
      </c>
      <c r="D1732">
        <v>2656</v>
      </c>
      <c r="E1732" t="b">
        <v>1</v>
      </c>
      <c r="F1732">
        <v>248</v>
      </c>
      <c r="G1732" t="s">
        <v>2084</v>
      </c>
      <c r="H1732" t="s">
        <v>792</v>
      </c>
      <c r="I1732" t="s">
        <v>2117</v>
      </c>
    </row>
    <row r="1733" spans="1:9" x14ac:dyDescent="0.35">
      <c r="A1733">
        <v>3590</v>
      </c>
      <c r="B1733" t="s">
        <v>657</v>
      </c>
      <c r="C1733" s="1">
        <v>39938</v>
      </c>
      <c r="D1733">
        <v>2656</v>
      </c>
      <c r="E1733" t="b">
        <v>1</v>
      </c>
      <c r="F1733">
        <v>248</v>
      </c>
      <c r="G1733" t="s">
        <v>2084</v>
      </c>
      <c r="H1733" t="s">
        <v>346</v>
      </c>
      <c r="I1733" t="s">
        <v>2117</v>
      </c>
    </row>
    <row r="1734" spans="1:9" x14ac:dyDescent="0.35">
      <c r="A1734">
        <v>3590</v>
      </c>
      <c r="B1734" t="s">
        <v>657</v>
      </c>
      <c r="C1734" s="1">
        <v>39938</v>
      </c>
      <c r="D1734">
        <v>2656</v>
      </c>
      <c r="E1734" t="b">
        <v>1</v>
      </c>
      <c r="F1734">
        <v>248</v>
      </c>
      <c r="G1734" t="s">
        <v>2084</v>
      </c>
      <c r="H1734" t="s">
        <v>239</v>
      </c>
      <c r="I1734" t="s">
        <v>2117</v>
      </c>
    </row>
    <row r="1735" spans="1:9" x14ac:dyDescent="0.35">
      <c r="A1735">
        <v>3590</v>
      </c>
      <c r="B1735" t="s">
        <v>657</v>
      </c>
      <c r="C1735" s="1">
        <v>39938</v>
      </c>
      <c r="D1735">
        <v>2656</v>
      </c>
      <c r="E1735" t="b">
        <v>1</v>
      </c>
      <c r="F1735">
        <v>248</v>
      </c>
      <c r="G1735" t="s">
        <v>2084</v>
      </c>
      <c r="H1735" t="s">
        <v>132</v>
      </c>
      <c r="I1735" t="s">
        <v>2117</v>
      </c>
    </row>
    <row r="1736" spans="1:9" x14ac:dyDescent="0.35">
      <c r="A1736">
        <v>3590</v>
      </c>
      <c r="B1736" t="s">
        <v>657</v>
      </c>
      <c r="C1736" s="1">
        <v>39938</v>
      </c>
      <c r="D1736">
        <v>2656</v>
      </c>
      <c r="E1736" t="b">
        <v>1</v>
      </c>
      <c r="F1736">
        <v>248</v>
      </c>
      <c r="G1736" t="s">
        <v>2084</v>
      </c>
      <c r="H1736" t="s">
        <v>124</v>
      </c>
      <c r="I1736" t="s">
        <v>2116</v>
      </c>
    </row>
    <row r="1737" spans="1:9" x14ac:dyDescent="0.35">
      <c r="A1737">
        <v>3590</v>
      </c>
      <c r="B1737" t="s">
        <v>657</v>
      </c>
      <c r="C1737" s="1">
        <v>39938</v>
      </c>
      <c r="D1737">
        <v>2656</v>
      </c>
      <c r="E1737" t="b">
        <v>1</v>
      </c>
      <c r="F1737">
        <v>248</v>
      </c>
      <c r="G1737" t="s">
        <v>2084</v>
      </c>
      <c r="H1737" t="s">
        <v>1510</v>
      </c>
      <c r="I1737" t="s">
        <v>2117</v>
      </c>
    </row>
    <row r="1738" spans="1:9" x14ac:dyDescent="0.35">
      <c r="A1738">
        <v>1659040</v>
      </c>
      <c r="B1738" t="s">
        <v>659</v>
      </c>
      <c r="C1738" s="1">
        <v>44581</v>
      </c>
      <c r="D1738">
        <v>2637</v>
      </c>
      <c r="E1738" t="b">
        <v>0</v>
      </c>
      <c r="F1738">
        <v>249</v>
      </c>
      <c r="G1738" t="s">
        <v>25</v>
      </c>
      <c r="H1738" t="s">
        <v>49</v>
      </c>
      <c r="I1738" t="s">
        <v>2116</v>
      </c>
    </row>
    <row r="1739" spans="1:9" x14ac:dyDescent="0.35">
      <c r="A1739">
        <v>1659040</v>
      </c>
      <c r="B1739" t="s">
        <v>659</v>
      </c>
      <c r="C1739" s="1">
        <v>44581</v>
      </c>
      <c r="D1739">
        <v>2637</v>
      </c>
      <c r="E1739" t="b">
        <v>0</v>
      </c>
      <c r="F1739">
        <v>249</v>
      </c>
      <c r="G1739" t="s">
        <v>25</v>
      </c>
      <c r="H1739" t="s">
        <v>792</v>
      </c>
      <c r="I1739" t="s">
        <v>2117</v>
      </c>
    </row>
    <row r="1740" spans="1:9" x14ac:dyDescent="0.35">
      <c r="A1740">
        <v>1659040</v>
      </c>
      <c r="B1740" t="s">
        <v>659</v>
      </c>
      <c r="C1740" s="1">
        <v>44581</v>
      </c>
      <c r="D1740">
        <v>2637</v>
      </c>
      <c r="E1740" t="b">
        <v>0</v>
      </c>
      <c r="F1740">
        <v>249</v>
      </c>
      <c r="G1740" t="s">
        <v>25</v>
      </c>
      <c r="H1740" t="s">
        <v>346</v>
      </c>
      <c r="I1740" t="s">
        <v>2116</v>
      </c>
    </row>
    <row r="1741" spans="1:9" x14ac:dyDescent="0.35">
      <c r="A1741">
        <v>1659040</v>
      </c>
      <c r="B1741" t="s">
        <v>659</v>
      </c>
      <c r="C1741" s="1">
        <v>44581</v>
      </c>
      <c r="D1741">
        <v>2637</v>
      </c>
      <c r="E1741" t="b">
        <v>0</v>
      </c>
      <c r="F1741">
        <v>249</v>
      </c>
      <c r="G1741" t="s">
        <v>25</v>
      </c>
      <c r="H1741" t="s">
        <v>239</v>
      </c>
      <c r="I1741" t="s">
        <v>2117</v>
      </c>
    </row>
    <row r="1742" spans="1:9" x14ac:dyDescent="0.35">
      <c r="A1742">
        <v>1659040</v>
      </c>
      <c r="B1742" t="s">
        <v>659</v>
      </c>
      <c r="C1742" s="1">
        <v>44581</v>
      </c>
      <c r="D1742">
        <v>2637</v>
      </c>
      <c r="E1742" t="b">
        <v>0</v>
      </c>
      <c r="F1742">
        <v>249</v>
      </c>
      <c r="G1742" t="s">
        <v>25</v>
      </c>
      <c r="H1742" t="s">
        <v>132</v>
      </c>
      <c r="I1742" t="s">
        <v>2117</v>
      </c>
    </row>
    <row r="1743" spans="1:9" x14ac:dyDescent="0.35">
      <c r="A1743">
        <v>1659040</v>
      </c>
      <c r="B1743" t="s">
        <v>659</v>
      </c>
      <c r="C1743" s="1">
        <v>44581</v>
      </c>
      <c r="D1743">
        <v>2637</v>
      </c>
      <c r="E1743" t="b">
        <v>0</v>
      </c>
      <c r="F1743">
        <v>249</v>
      </c>
      <c r="G1743" t="s">
        <v>25</v>
      </c>
      <c r="H1743" t="s">
        <v>124</v>
      </c>
      <c r="I1743" t="s">
        <v>2117</v>
      </c>
    </row>
    <row r="1744" spans="1:9" x14ac:dyDescent="0.35">
      <c r="A1744">
        <v>1659040</v>
      </c>
      <c r="B1744" t="s">
        <v>659</v>
      </c>
      <c r="C1744" s="1">
        <v>44581</v>
      </c>
      <c r="D1744">
        <v>2637</v>
      </c>
      <c r="E1744" t="b">
        <v>0</v>
      </c>
      <c r="F1744">
        <v>249</v>
      </c>
      <c r="G1744" t="s">
        <v>25</v>
      </c>
      <c r="H1744" t="s">
        <v>1510</v>
      </c>
      <c r="I1744" t="s">
        <v>2117</v>
      </c>
    </row>
    <row r="1745" spans="1:9" x14ac:dyDescent="0.35">
      <c r="A1745">
        <v>3183280</v>
      </c>
      <c r="B1745" t="s">
        <v>661</v>
      </c>
      <c r="C1745" s="1">
        <v>45798</v>
      </c>
      <c r="D1745">
        <v>2634</v>
      </c>
      <c r="E1745" t="b">
        <v>0</v>
      </c>
      <c r="F1745">
        <v>250</v>
      </c>
      <c r="G1745" t="s">
        <v>119</v>
      </c>
      <c r="H1745" t="s">
        <v>49</v>
      </c>
      <c r="I1745" t="s">
        <v>2116</v>
      </c>
    </row>
    <row r="1746" spans="1:9" x14ac:dyDescent="0.35">
      <c r="A1746">
        <v>3183280</v>
      </c>
      <c r="B1746" t="s">
        <v>661</v>
      </c>
      <c r="C1746" s="1">
        <v>45798</v>
      </c>
      <c r="D1746">
        <v>2634</v>
      </c>
      <c r="E1746" t="b">
        <v>0</v>
      </c>
      <c r="F1746">
        <v>250</v>
      </c>
      <c r="G1746" t="s">
        <v>119</v>
      </c>
      <c r="H1746" t="s">
        <v>792</v>
      </c>
      <c r="I1746" t="s">
        <v>2117</v>
      </c>
    </row>
    <row r="1747" spans="1:9" x14ac:dyDescent="0.35">
      <c r="A1747">
        <v>3183280</v>
      </c>
      <c r="B1747" t="s">
        <v>661</v>
      </c>
      <c r="C1747" s="1">
        <v>45798</v>
      </c>
      <c r="D1747">
        <v>2634</v>
      </c>
      <c r="E1747" t="b">
        <v>0</v>
      </c>
      <c r="F1747">
        <v>250</v>
      </c>
      <c r="G1747" t="s">
        <v>119</v>
      </c>
      <c r="H1747" t="s">
        <v>346</v>
      </c>
      <c r="I1747" t="s">
        <v>2116</v>
      </c>
    </row>
    <row r="1748" spans="1:9" x14ac:dyDescent="0.35">
      <c r="A1748">
        <v>3183280</v>
      </c>
      <c r="B1748" t="s">
        <v>661</v>
      </c>
      <c r="C1748" s="1">
        <v>45798</v>
      </c>
      <c r="D1748">
        <v>2634</v>
      </c>
      <c r="E1748" t="b">
        <v>0</v>
      </c>
      <c r="F1748">
        <v>250</v>
      </c>
      <c r="G1748" t="s">
        <v>119</v>
      </c>
      <c r="H1748" t="s">
        <v>239</v>
      </c>
      <c r="I1748" t="s">
        <v>2117</v>
      </c>
    </row>
    <row r="1749" spans="1:9" x14ac:dyDescent="0.35">
      <c r="A1749">
        <v>3183280</v>
      </c>
      <c r="B1749" t="s">
        <v>661</v>
      </c>
      <c r="C1749" s="1">
        <v>45798</v>
      </c>
      <c r="D1749">
        <v>2634</v>
      </c>
      <c r="E1749" t="b">
        <v>0</v>
      </c>
      <c r="F1749">
        <v>250</v>
      </c>
      <c r="G1749" t="s">
        <v>119</v>
      </c>
      <c r="H1749" t="s">
        <v>132</v>
      </c>
      <c r="I1749" t="s">
        <v>2116</v>
      </c>
    </row>
    <row r="1750" spans="1:9" x14ac:dyDescent="0.35">
      <c r="A1750">
        <v>3183280</v>
      </c>
      <c r="B1750" t="s">
        <v>661</v>
      </c>
      <c r="C1750" s="1">
        <v>45798</v>
      </c>
      <c r="D1750">
        <v>2634</v>
      </c>
      <c r="E1750" t="b">
        <v>0</v>
      </c>
      <c r="F1750">
        <v>250</v>
      </c>
      <c r="G1750" t="s">
        <v>119</v>
      </c>
      <c r="H1750" t="s">
        <v>124</v>
      </c>
      <c r="I1750" t="s">
        <v>2117</v>
      </c>
    </row>
    <row r="1751" spans="1:9" x14ac:dyDescent="0.35">
      <c r="A1751">
        <v>3183280</v>
      </c>
      <c r="B1751" t="s">
        <v>661</v>
      </c>
      <c r="C1751" s="1">
        <v>45798</v>
      </c>
      <c r="D1751">
        <v>2634</v>
      </c>
      <c r="E1751" t="b">
        <v>0</v>
      </c>
      <c r="F1751">
        <v>250</v>
      </c>
      <c r="G1751" t="s">
        <v>119</v>
      </c>
      <c r="H1751" t="s">
        <v>1510</v>
      </c>
      <c r="I1751" t="s">
        <v>2116</v>
      </c>
    </row>
    <row r="1752" spans="1:9" x14ac:dyDescent="0.35">
      <c r="A1752">
        <v>812140</v>
      </c>
      <c r="B1752" t="s">
        <v>664</v>
      </c>
      <c r="C1752" s="1">
        <v>43378</v>
      </c>
      <c r="D1752">
        <v>2629</v>
      </c>
      <c r="E1752" t="b">
        <v>0</v>
      </c>
      <c r="F1752">
        <v>251</v>
      </c>
      <c r="G1752" t="s">
        <v>68</v>
      </c>
      <c r="H1752" t="s">
        <v>49</v>
      </c>
      <c r="I1752" t="s">
        <v>2116</v>
      </c>
    </row>
    <row r="1753" spans="1:9" x14ac:dyDescent="0.35">
      <c r="A1753">
        <v>812140</v>
      </c>
      <c r="B1753" t="s">
        <v>664</v>
      </c>
      <c r="C1753" s="1">
        <v>43378</v>
      </c>
      <c r="D1753">
        <v>2629</v>
      </c>
      <c r="E1753" t="b">
        <v>0</v>
      </c>
      <c r="F1753">
        <v>251</v>
      </c>
      <c r="G1753" t="s">
        <v>68</v>
      </c>
      <c r="H1753" t="s">
        <v>792</v>
      </c>
      <c r="I1753" t="s">
        <v>2117</v>
      </c>
    </row>
    <row r="1754" spans="1:9" x14ac:dyDescent="0.35">
      <c r="A1754">
        <v>812140</v>
      </c>
      <c r="B1754" t="s">
        <v>664</v>
      </c>
      <c r="C1754" s="1">
        <v>43378</v>
      </c>
      <c r="D1754">
        <v>2629</v>
      </c>
      <c r="E1754" t="b">
        <v>0</v>
      </c>
      <c r="F1754">
        <v>251</v>
      </c>
      <c r="G1754" t="s">
        <v>68</v>
      </c>
      <c r="H1754" t="s">
        <v>346</v>
      </c>
      <c r="I1754" t="s">
        <v>2116</v>
      </c>
    </row>
    <row r="1755" spans="1:9" x14ac:dyDescent="0.35">
      <c r="A1755">
        <v>812140</v>
      </c>
      <c r="B1755" t="s">
        <v>664</v>
      </c>
      <c r="C1755" s="1">
        <v>43378</v>
      </c>
      <c r="D1755">
        <v>2629</v>
      </c>
      <c r="E1755" t="b">
        <v>0</v>
      </c>
      <c r="F1755">
        <v>251</v>
      </c>
      <c r="G1755" t="s">
        <v>68</v>
      </c>
      <c r="H1755" t="s">
        <v>239</v>
      </c>
      <c r="I1755" t="s">
        <v>2117</v>
      </c>
    </row>
    <row r="1756" spans="1:9" x14ac:dyDescent="0.35">
      <c r="A1756">
        <v>812140</v>
      </c>
      <c r="B1756" t="s">
        <v>664</v>
      </c>
      <c r="C1756" s="1">
        <v>43378</v>
      </c>
      <c r="D1756">
        <v>2629</v>
      </c>
      <c r="E1756" t="b">
        <v>0</v>
      </c>
      <c r="F1756">
        <v>251</v>
      </c>
      <c r="G1756" t="s">
        <v>68</v>
      </c>
      <c r="H1756" t="s">
        <v>132</v>
      </c>
      <c r="I1756" t="s">
        <v>2116</v>
      </c>
    </row>
    <row r="1757" spans="1:9" x14ac:dyDescent="0.35">
      <c r="A1757">
        <v>812140</v>
      </c>
      <c r="B1757" t="s">
        <v>664</v>
      </c>
      <c r="C1757" s="1">
        <v>43378</v>
      </c>
      <c r="D1757">
        <v>2629</v>
      </c>
      <c r="E1757" t="b">
        <v>0</v>
      </c>
      <c r="F1757">
        <v>251</v>
      </c>
      <c r="G1757" t="s">
        <v>68</v>
      </c>
      <c r="H1757" t="s">
        <v>124</v>
      </c>
      <c r="I1757" t="s">
        <v>2117</v>
      </c>
    </row>
    <row r="1758" spans="1:9" x14ac:dyDescent="0.35">
      <c r="A1758">
        <v>812140</v>
      </c>
      <c r="B1758" t="s">
        <v>664</v>
      </c>
      <c r="C1758" s="1">
        <v>43378</v>
      </c>
      <c r="D1758">
        <v>2629</v>
      </c>
      <c r="E1758" t="b">
        <v>0</v>
      </c>
      <c r="F1758">
        <v>251</v>
      </c>
      <c r="G1758" t="s">
        <v>68</v>
      </c>
      <c r="H1758" t="s">
        <v>1510</v>
      </c>
      <c r="I1758" t="s">
        <v>2117</v>
      </c>
    </row>
    <row r="1759" spans="1:9" x14ac:dyDescent="0.35">
      <c r="A1759">
        <v>784150</v>
      </c>
      <c r="B1759" t="s">
        <v>666</v>
      </c>
      <c r="C1759" s="1">
        <v>45463</v>
      </c>
      <c r="D1759">
        <v>2590</v>
      </c>
      <c r="E1759" t="b">
        <v>0</v>
      </c>
      <c r="F1759">
        <v>252</v>
      </c>
      <c r="G1759" t="s">
        <v>304</v>
      </c>
      <c r="H1759" t="s">
        <v>49</v>
      </c>
      <c r="I1759" t="s">
        <v>2117</v>
      </c>
    </row>
    <row r="1760" spans="1:9" x14ac:dyDescent="0.35">
      <c r="A1760">
        <v>784150</v>
      </c>
      <c r="B1760" t="s">
        <v>666</v>
      </c>
      <c r="C1760" s="1">
        <v>45463</v>
      </c>
      <c r="D1760">
        <v>2590</v>
      </c>
      <c r="E1760" t="b">
        <v>0</v>
      </c>
      <c r="F1760">
        <v>252</v>
      </c>
      <c r="G1760" t="s">
        <v>304</v>
      </c>
      <c r="H1760" t="s">
        <v>792</v>
      </c>
      <c r="I1760" t="s">
        <v>2117</v>
      </c>
    </row>
    <row r="1761" spans="1:9" x14ac:dyDescent="0.35">
      <c r="A1761">
        <v>784150</v>
      </c>
      <c r="B1761" t="s">
        <v>666</v>
      </c>
      <c r="C1761" s="1">
        <v>45463</v>
      </c>
      <c r="D1761">
        <v>2590</v>
      </c>
      <c r="E1761" t="b">
        <v>0</v>
      </c>
      <c r="F1761">
        <v>252</v>
      </c>
      <c r="G1761" t="s">
        <v>304</v>
      </c>
      <c r="H1761" t="s">
        <v>346</v>
      </c>
      <c r="I1761" t="s">
        <v>2117</v>
      </c>
    </row>
    <row r="1762" spans="1:9" x14ac:dyDescent="0.35">
      <c r="A1762">
        <v>784150</v>
      </c>
      <c r="B1762" t="s">
        <v>666</v>
      </c>
      <c r="C1762" s="1">
        <v>45463</v>
      </c>
      <c r="D1762">
        <v>2590</v>
      </c>
      <c r="E1762" t="b">
        <v>0</v>
      </c>
      <c r="F1762">
        <v>252</v>
      </c>
      <c r="G1762" t="s">
        <v>304</v>
      </c>
      <c r="H1762" t="s">
        <v>239</v>
      </c>
      <c r="I1762" t="s">
        <v>2116</v>
      </c>
    </row>
    <row r="1763" spans="1:9" x14ac:dyDescent="0.35">
      <c r="A1763">
        <v>784150</v>
      </c>
      <c r="B1763" t="s">
        <v>666</v>
      </c>
      <c r="C1763" s="1">
        <v>45463</v>
      </c>
      <c r="D1763">
        <v>2590</v>
      </c>
      <c r="E1763" t="b">
        <v>0</v>
      </c>
      <c r="F1763">
        <v>252</v>
      </c>
      <c r="G1763" t="s">
        <v>304</v>
      </c>
      <c r="H1763" t="s">
        <v>132</v>
      </c>
      <c r="I1763" t="s">
        <v>2117</v>
      </c>
    </row>
    <row r="1764" spans="1:9" x14ac:dyDescent="0.35">
      <c r="A1764">
        <v>784150</v>
      </c>
      <c r="B1764" t="s">
        <v>666</v>
      </c>
      <c r="C1764" s="1">
        <v>45463</v>
      </c>
      <c r="D1764">
        <v>2590</v>
      </c>
      <c r="E1764" t="b">
        <v>0</v>
      </c>
      <c r="F1764">
        <v>252</v>
      </c>
      <c r="G1764" t="s">
        <v>304</v>
      </c>
      <c r="H1764" t="s">
        <v>124</v>
      </c>
      <c r="I1764" t="s">
        <v>2116</v>
      </c>
    </row>
    <row r="1765" spans="1:9" x14ac:dyDescent="0.35">
      <c r="A1765">
        <v>784150</v>
      </c>
      <c r="B1765" t="s">
        <v>666</v>
      </c>
      <c r="C1765" s="1">
        <v>45463</v>
      </c>
      <c r="D1765">
        <v>2590</v>
      </c>
      <c r="E1765" t="b">
        <v>0</v>
      </c>
      <c r="F1765">
        <v>252</v>
      </c>
      <c r="G1765" t="s">
        <v>304</v>
      </c>
      <c r="H1765" t="s">
        <v>1510</v>
      </c>
      <c r="I1765" t="s">
        <v>2117</v>
      </c>
    </row>
    <row r="1766" spans="1:9" x14ac:dyDescent="0.35">
      <c r="A1766">
        <v>2071280</v>
      </c>
      <c r="B1766" t="s">
        <v>668</v>
      </c>
      <c r="C1766" s="1">
        <v>45561</v>
      </c>
      <c r="D1766">
        <v>2578</v>
      </c>
      <c r="E1766" t="b">
        <v>0</v>
      </c>
      <c r="F1766">
        <v>253</v>
      </c>
      <c r="G1766" t="s">
        <v>33</v>
      </c>
      <c r="H1766" t="s">
        <v>49</v>
      </c>
      <c r="I1766" t="s">
        <v>2116</v>
      </c>
    </row>
    <row r="1767" spans="1:9" x14ac:dyDescent="0.35">
      <c r="A1767">
        <v>2071280</v>
      </c>
      <c r="B1767" t="s">
        <v>668</v>
      </c>
      <c r="C1767" s="1">
        <v>45561</v>
      </c>
      <c r="D1767">
        <v>2578</v>
      </c>
      <c r="E1767" t="b">
        <v>0</v>
      </c>
      <c r="F1767">
        <v>253</v>
      </c>
      <c r="G1767" t="s">
        <v>33</v>
      </c>
      <c r="H1767" t="s">
        <v>792</v>
      </c>
      <c r="I1767" t="s">
        <v>2117</v>
      </c>
    </row>
    <row r="1768" spans="1:9" x14ac:dyDescent="0.35">
      <c r="A1768">
        <v>2071280</v>
      </c>
      <c r="B1768" t="s">
        <v>668</v>
      </c>
      <c r="C1768" s="1">
        <v>45561</v>
      </c>
      <c r="D1768">
        <v>2578</v>
      </c>
      <c r="E1768" t="b">
        <v>0</v>
      </c>
      <c r="F1768">
        <v>253</v>
      </c>
      <c r="G1768" t="s">
        <v>33</v>
      </c>
      <c r="H1768" t="s">
        <v>346</v>
      </c>
      <c r="I1768" t="s">
        <v>2116</v>
      </c>
    </row>
    <row r="1769" spans="1:9" x14ac:dyDescent="0.35">
      <c r="A1769">
        <v>2071280</v>
      </c>
      <c r="B1769" t="s">
        <v>668</v>
      </c>
      <c r="C1769" s="1">
        <v>45561</v>
      </c>
      <c r="D1769">
        <v>2578</v>
      </c>
      <c r="E1769" t="b">
        <v>0</v>
      </c>
      <c r="F1769">
        <v>253</v>
      </c>
      <c r="G1769" t="s">
        <v>33</v>
      </c>
      <c r="H1769" t="s">
        <v>239</v>
      </c>
      <c r="I1769" t="s">
        <v>2117</v>
      </c>
    </row>
    <row r="1770" spans="1:9" x14ac:dyDescent="0.35">
      <c r="A1770">
        <v>2071280</v>
      </c>
      <c r="B1770" t="s">
        <v>668</v>
      </c>
      <c r="C1770" s="1">
        <v>45561</v>
      </c>
      <c r="D1770">
        <v>2578</v>
      </c>
      <c r="E1770" t="b">
        <v>0</v>
      </c>
      <c r="F1770">
        <v>253</v>
      </c>
      <c r="G1770" t="s">
        <v>33</v>
      </c>
      <c r="H1770" t="s">
        <v>132</v>
      </c>
      <c r="I1770" t="s">
        <v>2117</v>
      </c>
    </row>
    <row r="1771" spans="1:9" x14ac:dyDescent="0.35">
      <c r="A1771">
        <v>2071280</v>
      </c>
      <c r="B1771" t="s">
        <v>668</v>
      </c>
      <c r="C1771" s="1">
        <v>45561</v>
      </c>
      <c r="D1771">
        <v>2578</v>
      </c>
      <c r="E1771" t="b">
        <v>0</v>
      </c>
      <c r="F1771">
        <v>253</v>
      </c>
      <c r="G1771" t="s">
        <v>33</v>
      </c>
      <c r="H1771" t="s">
        <v>124</v>
      </c>
      <c r="I1771" t="s">
        <v>2117</v>
      </c>
    </row>
    <row r="1772" spans="1:9" x14ac:dyDescent="0.35">
      <c r="A1772">
        <v>2071280</v>
      </c>
      <c r="B1772" t="s">
        <v>668</v>
      </c>
      <c r="C1772" s="1">
        <v>45561</v>
      </c>
      <c r="D1772">
        <v>2578</v>
      </c>
      <c r="E1772" t="b">
        <v>0</v>
      </c>
      <c r="F1772">
        <v>253</v>
      </c>
      <c r="G1772" t="s">
        <v>33</v>
      </c>
      <c r="H1772" t="s">
        <v>1510</v>
      </c>
      <c r="I1772" t="s">
        <v>2117</v>
      </c>
    </row>
    <row r="1773" spans="1:9" x14ac:dyDescent="0.35">
      <c r="A1773">
        <v>305620</v>
      </c>
      <c r="B1773" t="s">
        <v>669</v>
      </c>
      <c r="C1773" s="1">
        <v>42948</v>
      </c>
      <c r="D1773">
        <v>2575</v>
      </c>
      <c r="E1773" t="b">
        <v>1</v>
      </c>
      <c r="F1773">
        <v>254</v>
      </c>
      <c r="G1773" t="s">
        <v>110</v>
      </c>
      <c r="H1773" t="s">
        <v>49</v>
      </c>
      <c r="I1773" t="s">
        <v>2117</v>
      </c>
    </row>
    <row r="1774" spans="1:9" x14ac:dyDescent="0.35">
      <c r="A1774">
        <v>305620</v>
      </c>
      <c r="B1774" t="s">
        <v>669</v>
      </c>
      <c r="C1774" s="1">
        <v>42948</v>
      </c>
      <c r="D1774">
        <v>2575</v>
      </c>
      <c r="E1774" t="b">
        <v>1</v>
      </c>
      <c r="F1774">
        <v>254</v>
      </c>
      <c r="G1774" t="s">
        <v>110</v>
      </c>
      <c r="H1774" t="s">
        <v>792</v>
      </c>
      <c r="I1774" t="s">
        <v>2116</v>
      </c>
    </row>
    <row r="1775" spans="1:9" x14ac:dyDescent="0.35">
      <c r="A1775">
        <v>305620</v>
      </c>
      <c r="B1775" t="s">
        <v>669</v>
      </c>
      <c r="C1775" s="1">
        <v>42948</v>
      </c>
      <c r="D1775">
        <v>2575</v>
      </c>
      <c r="E1775" t="b">
        <v>1</v>
      </c>
      <c r="F1775">
        <v>254</v>
      </c>
      <c r="G1775" t="s">
        <v>110</v>
      </c>
      <c r="H1775" t="s">
        <v>346</v>
      </c>
      <c r="I1775" t="s">
        <v>2116</v>
      </c>
    </row>
    <row r="1776" spans="1:9" x14ac:dyDescent="0.35">
      <c r="A1776">
        <v>305620</v>
      </c>
      <c r="B1776" t="s">
        <v>669</v>
      </c>
      <c r="C1776" s="1">
        <v>42948</v>
      </c>
      <c r="D1776">
        <v>2575</v>
      </c>
      <c r="E1776" t="b">
        <v>1</v>
      </c>
      <c r="F1776">
        <v>254</v>
      </c>
      <c r="G1776" t="s">
        <v>110</v>
      </c>
      <c r="H1776" t="s">
        <v>239</v>
      </c>
      <c r="I1776" t="s">
        <v>2116</v>
      </c>
    </row>
    <row r="1777" spans="1:9" x14ac:dyDescent="0.35">
      <c r="A1777">
        <v>305620</v>
      </c>
      <c r="B1777" t="s">
        <v>669</v>
      </c>
      <c r="C1777" s="1">
        <v>42948</v>
      </c>
      <c r="D1777">
        <v>2575</v>
      </c>
      <c r="E1777" t="b">
        <v>1</v>
      </c>
      <c r="F1777">
        <v>254</v>
      </c>
      <c r="G1777" t="s">
        <v>110</v>
      </c>
      <c r="H1777" t="s">
        <v>132</v>
      </c>
      <c r="I1777" t="s">
        <v>2117</v>
      </c>
    </row>
    <row r="1778" spans="1:9" x14ac:dyDescent="0.35">
      <c r="A1778">
        <v>305620</v>
      </c>
      <c r="B1778" t="s">
        <v>669</v>
      </c>
      <c r="C1778" s="1">
        <v>42948</v>
      </c>
      <c r="D1778">
        <v>2575</v>
      </c>
      <c r="E1778" t="b">
        <v>1</v>
      </c>
      <c r="F1778">
        <v>254</v>
      </c>
      <c r="G1778" t="s">
        <v>110</v>
      </c>
      <c r="H1778" t="s">
        <v>124</v>
      </c>
      <c r="I1778" t="s">
        <v>2116</v>
      </c>
    </row>
    <row r="1779" spans="1:9" x14ac:dyDescent="0.35">
      <c r="A1779">
        <v>305620</v>
      </c>
      <c r="B1779" t="s">
        <v>669</v>
      </c>
      <c r="C1779" s="1">
        <v>42948</v>
      </c>
      <c r="D1779">
        <v>2575</v>
      </c>
      <c r="E1779" t="b">
        <v>1</v>
      </c>
      <c r="F1779">
        <v>254</v>
      </c>
      <c r="G1779" t="s">
        <v>110</v>
      </c>
      <c r="H1779" t="s">
        <v>1510</v>
      </c>
      <c r="I1779" t="s">
        <v>2117</v>
      </c>
    </row>
    <row r="1780" spans="1:9" x14ac:dyDescent="0.35">
      <c r="A1780">
        <v>2051620</v>
      </c>
      <c r="B1780" t="s">
        <v>671</v>
      </c>
      <c r="C1780" s="1">
        <v>45489</v>
      </c>
      <c r="D1780">
        <v>2569</v>
      </c>
      <c r="E1780" t="b">
        <v>0</v>
      </c>
      <c r="F1780">
        <v>255</v>
      </c>
      <c r="G1780" t="s">
        <v>371</v>
      </c>
      <c r="H1780" t="s">
        <v>49</v>
      </c>
      <c r="I1780" t="s">
        <v>2116</v>
      </c>
    </row>
    <row r="1781" spans="1:9" x14ac:dyDescent="0.35">
      <c r="A1781">
        <v>2051620</v>
      </c>
      <c r="B1781" t="s">
        <v>671</v>
      </c>
      <c r="C1781" s="1">
        <v>45489</v>
      </c>
      <c r="D1781">
        <v>2569</v>
      </c>
      <c r="E1781" t="b">
        <v>0</v>
      </c>
      <c r="F1781">
        <v>255</v>
      </c>
      <c r="G1781" t="s">
        <v>371</v>
      </c>
      <c r="H1781" t="s">
        <v>792</v>
      </c>
      <c r="I1781" t="s">
        <v>2117</v>
      </c>
    </row>
    <row r="1782" spans="1:9" x14ac:dyDescent="0.35">
      <c r="A1782">
        <v>2051620</v>
      </c>
      <c r="B1782" t="s">
        <v>671</v>
      </c>
      <c r="C1782" s="1">
        <v>45489</v>
      </c>
      <c r="D1782">
        <v>2569</v>
      </c>
      <c r="E1782" t="b">
        <v>0</v>
      </c>
      <c r="F1782">
        <v>255</v>
      </c>
      <c r="G1782" t="s">
        <v>371</v>
      </c>
      <c r="H1782" t="s">
        <v>346</v>
      </c>
      <c r="I1782" t="s">
        <v>2117</v>
      </c>
    </row>
    <row r="1783" spans="1:9" x14ac:dyDescent="0.35">
      <c r="A1783">
        <v>2051620</v>
      </c>
      <c r="B1783" t="s">
        <v>671</v>
      </c>
      <c r="C1783" s="1">
        <v>45489</v>
      </c>
      <c r="D1783">
        <v>2569</v>
      </c>
      <c r="E1783" t="b">
        <v>0</v>
      </c>
      <c r="F1783">
        <v>255</v>
      </c>
      <c r="G1783" t="s">
        <v>371</v>
      </c>
      <c r="H1783" t="s">
        <v>239</v>
      </c>
      <c r="I1783" t="s">
        <v>2117</v>
      </c>
    </row>
    <row r="1784" spans="1:9" x14ac:dyDescent="0.35">
      <c r="A1784">
        <v>2051620</v>
      </c>
      <c r="B1784" t="s">
        <v>671</v>
      </c>
      <c r="C1784" s="1">
        <v>45489</v>
      </c>
      <c r="D1784">
        <v>2569</v>
      </c>
      <c r="E1784" t="b">
        <v>0</v>
      </c>
      <c r="F1784">
        <v>255</v>
      </c>
      <c r="G1784" t="s">
        <v>371</v>
      </c>
      <c r="H1784" t="s">
        <v>132</v>
      </c>
      <c r="I1784" t="s">
        <v>2117</v>
      </c>
    </row>
    <row r="1785" spans="1:9" x14ac:dyDescent="0.35">
      <c r="A1785">
        <v>2051620</v>
      </c>
      <c r="B1785" t="s">
        <v>671</v>
      </c>
      <c r="C1785" s="1">
        <v>45489</v>
      </c>
      <c r="D1785">
        <v>2569</v>
      </c>
      <c r="E1785" t="b">
        <v>0</v>
      </c>
      <c r="F1785">
        <v>255</v>
      </c>
      <c r="G1785" t="s">
        <v>371</v>
      </c>
      <c r="H1785" t="s">
        <v>124</v>
      </c>
      <c r="I1785" t="s">
        <v>2117</v>
      </c>
    </row>
    <row r="1786" spans="1:9" x14ac:dyDescent="0.35">
      <c r="A1786">
        <v>2051620</v>
      </c>
      <c r="B1786" t="s">
        <v>671</v>
      </c>
      <c r="C1786" s="1">
        <v>45489</v>
      </c>
      <c r="D1786">
        <v>2569</v>
      </c>
      <c r="E1786" t="b">
        <v>0</v>
      </c>
      <c r="F1786">
        <v>255</v>
      </c>
      <c r="G1786" t="s">
        <v>371</v>
      </c>
      <c r="H1786" t="s">
        <v>1510</v>
      </c>
      <c r="I1786" t="s">
        <v>2116</v>
      </c>
    </row>
    <row r="1787" spans="1:9" x14ac:dyDescent="0.35">
      <c r="A1787">
        <v>588650</v>
      </c>
      <c r="B1787" t="s">
        <v>674</v>
      </c>
      <c r="C1787" s="1">
        <v>43318</v>
      </c>
      <c r="D1787">
        <v>2559</v>
      </c>
      <c r="E1787" t="b">
        <v>1</v>
      </c>
      <c r="F1787">
        <v>256</v>
      </c>
      <c r="G1787" t="s">
        <v>110</v>
      </c>
      <c r="H1787" t="s">
        <v>49</v>
      </c>
      <c r="I1787" t="s">
        <v>2116</v>
      </c>
    </row>
    <row r="1788" spans="1:9" x14ac:dyDescent="0.35">
      <c r="A1788">
        <v>588650</v>
      </c>
      <c r="B1788" t="s">
        <v>674</v>
      </c>
      <c r="C1788" s="1">
        <v>43318</v>
      </c>
      <c r="D1788">
        <v>2559</v>
      </c>
      <c r="E1788" t="b">
        <v>1</v>
      </c>
      <c r="F1788">
        <v>256</v>
      </c>
      <c r="G1788" t="s">
        <v>110</v>
      </c>
      <c r="H1788" t="s">
        <v>792</v>
      </c>
      <c r="I1788" t="s">
        <v>2116</v>
      </c>
    </row>
    <row r="1789" spans="1:9" x14ac:dyDescent="0.35">
      <c r="A1789">
        <v>588650</v>
      </c>
      <c r="B1789" t="s">
        <v>674</v>
      </c>
      <c r="C1789" s="1">
        <v>43318</v>
      </c>
      <c r="D1789">
        <v>2559</v>
      </c>
      <c r="E1789" t="b">
        <v>1</v>
      </c>
      <c r="F1789">
        <v>256</v>
      </c>
      <c r="G1789" t="s">
        <v>110</v>
      </c>
      <c r="H1789" t="s">
        <v>346</v>
      </c>
      <c r="I1789" t="s">
        <v>2116</v>
      </c>
    </row>
    <row r="1790" spans="1:9" x14ac:dyDescent="0.35">
      <c r="A1790">
        <v>588650</v>
      </c>
      <c r="B1790" t="s">
        <v>674</v>
      </c>
      <c r="C1790" s="1">
        <v>43318</v>
      </c>
      <c r="D1790">
        <v>2559</v>
      </c>
      <c r="E1790" t="b">
        <v>1</v>
      </c>
      <c r="F1790">
        <v>256</v>
      </c>
      <c r="G1790" t="s">
        <v>110</v>
      </c>
      <c r="H1790" t="s">
        <v>239</v>
      </c>
      <c r="I1790" t="s">
        <v>2117</v>
      </c>
    </row>
    <row r="1791" spans="1:9" x14ac:dyDescent="0.35">
      <c r="A1791">
        <v>588650</v>
      </c>
      <c r="B1791" t="s">
        <v>674</v>
      </c>
      <c r="C1791" s="1">
        <v>43318</v>
      </c>
      <c r="D1791">
        <v>2559</v>
      </c>
      <c r="E1791" t="b">
        <v>1</v>
      </c>
      <c r="F1791">
        <v>256</v>
      </c>
      <c r="G1791" t="s">
        <v>110</v>
      </c>
      <c r="H1791" t="s">
        <v>132</v>
      </c>
      <c r="I1791" t="s">
        <v>2117</v>
      </c>
    </row>
    <row r="1792" spans="1:9" x14ac:dyDescent="0.35">
      <c r="A1792">
        <v>588650</v>
      </c>
      <c r="B1792" t="s">
        <v>674</v>
      </c>
      <c r="C1792" s="1">
        <v>43318</v>
      </c>
      <c r="D1792">
        <v>2559</v>
      </c>
      <c r="E1792" t="b">
        <v>1</v>
      </c>
      <c r="F1792">
        <v>256</v>
      </c>
      <c r="G1792" t="s">
        <v>110</v>
      </c>
      <c r="H1792" t="s">
        <v>124</v>
      </c>
      <c r="I1792" t="s">
        <v>2117</v>
      </c>
    </row>
    <row r="1793" spans="1:9" x14ac:dyDescent="0.35">
      <c r="A1793">
        <v>588650</v>
      </c>
      <c r="B1793" t="s">
        <v>674</v>
      </c>
      <c r="C1793" s="1">
        <v>43318</v>
      </c>
      <c r="D1793">
        <v>2559</v>
      </c>
      <c r="E1793" t="b">
        <v>1</v>
      </c>
      <c r="F1793">
        <v>256</v>
      </c>
      <c r="G1793" t="s">
        <v>110</v>
      </c>
      <c r="H1793" t="s">
        <v>1510</v>
      </c>
      <c r="I1793" t="s">
        <v>2117</v>
      </c>
    </row>
    <row r="1794" spans="1:9" x14ac:dyDescent="0.35">
      <c r="A1794">
        <v>1290000</v>
      </c>
      <c r="B1794" t="s">
        <v>676</v>
      </c>
      <c r="C1794" s="1">
        <v>44756</v>
      </c>
      <c r="D1794">
        <v>2547</v>
      </c>
      <c r="E1794" t="b">
        <v>0</v>
      </c>
      <c r="F1794">
        <v>257</v>
      </c>
      <c r="G1794" t="s">
        <v>304</v>
      </c>
      <c r="H1794" t="s">
        <v>49</v>
      </c>
      <c r="I1794" t="s">
        <v>2117</v>
      </c>
    </row>
    <row r="1795" spans="1:9" x14ac:dyDescent="0.35">
      <c r="A1795">
        <v>1290000</v>
      </c>
      <c r="B1795" t="s">
        <v>676</v>
      </c>
      <c r="C1795" s="1">
        <v>44756</v>
      </c>
      <c r="D1795">
        <v>2547</v>
      </c>
      <c r="E1795" t="b">
        <v>0</v>
      </c>
      <c r="F1795">
        <v>257</v>
      </c>
      <c r="G1795" t="s">
        <v>304</v>
      </c>
      <c r="H1795" t="s">
        <v>792</v>
      </c>
      <c r="I1795" t="s">
        <v>2116</v>
      </c>
    </row>
    <row r="1796" spans="1:9" x14ac:dyDescent="0.35">
      <c r="A1796">
        <v>1290000</v>
      </c>
      <c r="B1796" t="s">
        <v>676</v>
      </c>
      <c r="C1796" s="1">
        <v>44756</v>
      </c>
      <c r="D1796">
        <v>2547</v>
      </c>
      <c r="E1796" t="b">
        <v>0</v>
      </c>
      <c r="F1796">
        <v>257</v>
      </c>
      <c r="G1796" t="s">
        <v>304</v>
      </c>
      <c r="H1796" t="s">
        <v>346</v>
      </c>
      <c r="I1796" t="s">
        <v>2117</v>
      </c>
    </row>
    <row r="1797" spans="1:9" x14ac:dyDescent="0.35">
      <c r="A1797">
        <v>1290000</v>
      </c>
      <c r="B1797" t="s">
        <v>676</v>
      </c>
      <c r="C1797" s="1">
        <v>44756</v>
      </c>
      <c r="D1797">
        <v>2547</v>
      </c>
      <c r="E1797" t="b">
        <v>0</v>
      </c>
      <c r="F1797">
        <v>257</v>
      </c>
      <c r="G1797" t="s">
        <v>304</v>
      </c>
      <c r="H1797" t="s">
        <v>239</v>
      </c>
      <c r="I1797" t="s">
        <v>2116</v>
      </c>
    </row>
    <row r="1798" spans="1:9" x14ac:dyDescent="0.35">
      <c r="A1798">
        <v>1290000</v>
      </c>
      <c r="B1798" t="s">
        <v>676</v>
      </c>
      <c r="C1798" s="1">
        <v>44756</v>
      </c>
      <c r="D1798">
        <v>2547</v>
      </c>
      <c r="E1798" t="b">
        <v>0</v>
      </c>
      <c r="F1798">
        <v>257</v>
      </c>
      <c r="G1798" t="s">
        <v>304</v>
      </c>
      <c r="H1798" t="s">
        <v>132</v>
      </c>
      <c r="I1798" t="s">
        <v>2117</v>
      </c>
    </row>
    <row r="1799" spans="1:9" x14ac:dyDescent="0.35">
      <c r="A1799">
        <v>1290000</v>
      </c>
      <c r="B1799" t="s">
        <v>676</v>
      </c>
      <c r="C1799" s="1">
        <v>44756</v>
      </c>
      <c r="D1799">
        <v>2547</v>
      </c>
      <c r="E1799" t="b">
        <v>0</v>
      </c>
      <c r="F1799">
        <v>257</v>
      </c>
      <c r="G1799" t="s">
        <v>304</v>
      </c>
      <c r="H1799" t="s">
        <v>124</v>
      </c>
      <c r="I1799" t="s">
        <v>2117</v>
      </c>
    </row>
    <row r="1800" spans="1:9" x14ac:dyDescent="0.35">
      <c r="A1800">
        <v>1290000</v>
      </c>
      <c r="B1800" t="s">
        <v>676</v>
      </c>
      <c r="C1800" s="1">
        <v>44756</v>
      </c>
      <c r="D1800">
        <v>2547</v>
      </c>
      <c r="E1800" t="b">
        <v>0</v>
      </c>
      <c r="F1800">
        <v>257</v>
      </c>
      <c r="G1800" t="s">
        <v>304</v>
      </c>
      <c r="H1800" t="s">
        <v>1510</v>
      </c>
      <c r="I1800" t="s">
        <v>2117</v>
      </c>
    </row>
    <row r="1801" spans="1:9" x14ac:dyDescent="0.35">
      <c r="A1801">
        <v>1190970</v>
      </c>
      <c r="B1801" t="s">
        <v>678</v>
      </c>
      <c r="C1801" s="1">
        <v>45274</v>
      </c>
      <c r="D1801">
        <v>2543</v>
      </c>
      <c r="E1801" t="b">
        <v>0</v>
      </c>
      <c r="F1801">
        <v>258</v>
      </c>
      <c r="G1801" t="s">
        <v>57</v>
      </c>
      <c r="H1801" t="s">
        <v>49</v>
      </c>
      <c r="I1801" t="s">
        <v>2117</v>
      </c>
    </row>
    <row r="1802" spans="1:9" x14ac:dyDescent="0.35">
      <c r="A1802">
        <v>1190970</v>
      </c>
      <c r="B1802" t="s">
        <v>678</v>
      </c>
      <c r="C1802" s="1">
        <v>45274</v>
      </c>
      <c r="D1802">
        <v>2543</v>
      </c>
      <c r="E1802" t="b">
        <v>0</v>
      </c>
      <c r="F1802">
        <v>258</v>
      </c>
      <c r="G1802" t="s">
        <v>57</v>
      </c>
      <c r="H1802" t="s">
        <v>792</v>
      </c>
      <c r="I1802" t="s">
        <v>2116</v>
      </c>
    </row>
    <row r="1803" spans="1:9" x14ac:dyDescent="0.35">
      <c r="A1803">
        <v>1190970</v>
      </c>
      <c r="B1803" t="s">
        <v>678</v>
      </c>
      <c r="C1803" s="1">
        <v>45274</v>
      </c>
      <c r="D1803">
        <v>2543</v>
      </c>
      <c r="E1803" t="b">
        <v>0</v>
      </c>
      <c r="F1803">
        <v>258</v>
      </c>
      <c r="G1803" t="s">
        <v>57</v>
      </c>
      <c r="H1803" t="s">
        <v>346</v>
      </c>
      <c r="I1803" t="s">
        <v>2117</v>
      </c>
    </row>
    <row r="1804" spans="1:9" x14ac:dyDescent="0.35">
      <c r="A1804">
        <v>1190970</v>
      </c>
      <c r="B1804" t="s">
        <v>678</v>
      </c>
      <c r="C1804" s="1">
        <v>45274</v>
      </c>
      <c r="D1804">
        <v>2543</v>
      </c>
      <c r="E1804" t="b">
        <v>0</v>
      </c>
      <c r="F1804">
        <v>258</v>
      </c>
      <c r="G1804" t="s">
        <v>57</v>
      </c>
      <c r="H1804" t="s">
        <v>239</v>
      </c>
      <c r="I1804" t="s">
        <v>2116</v>
      </c>
    </row>
    <row r="1805" spans="1:9" x14ac:dyDescent="0.35">
      <c r="A1805">
        <v>1190970</v>
      </c>
      <c r="B1805" t="s">
        <v>678</v>
      </c>
      <c r="C1805" s="1">
        <v>45274</v>
      </c>
      <c r="D1805">
        <v>2543</v>
      </c>
      <c r="E1805" t="b">
        <v>0</v>
      </c>
      <c r="F1805">
        <v>258</v>
      </c>
      <c r="G1805" t="s">
        <v>57</v>
      </c>
      <c r="H1805" t="s">
        <v>132</v>
      </c>
      <c r="I1805" t="s">
        <v>2117</v>
      </c>
    </row>
    <row r="1806" spans="1:9" x14ac:dyDescent="0.35">
      <c r="A1806">
        <v>1190970</v>
      </c>
      <c r="B1806" t="s">
        <v>678</v>
      </c>
      <c r="C1806" s="1">
        <v>45274</v>
      </c>
      <c r="D1806">
        <v>2543</v>
      </c>
      <c r="E1806" t="b">
        <v>0</v>
      </c>
      <c r="F1806">
        <v>258</v>
      </c>
      <c r="G1806" t="s">
        <v>57</v>
      </c>
      <c r="H1806" t="s">
        <v>124</v>
      </c>
      <c r="I1806" t="s">
        <v>2117</v>
      </c>
    </row>
    <row r="1807" spans="1:9" x14ac:dyDescent="0.35">
      <c r="A1807">
        <v>1190970</v>
      </c>
      <c r="B1807" t="s">
        <v>678</v>
      </c>
      <c r="C1807" s="1">
        <v>45274</v>
      </c>
      <c r="D1807">
        <v>2543</v>
      </c>
      <c r="E1807" t="b">
        <v>0</v>
      </c>
      <c r="F1807">
        <v>258</v>
      </c>
      <c r="G1807" t="s">
        <v>57</v>
      </c>
      <c r="H1807" t="s">
        <v>1510</v>
      </c>
      <c r="I1807" t="s">
        <v>2117</v>
      </c>
    </row>
    <row r="1808" spans="1:9" x14ac:dyDescent="0.35">
      <c r="A1808">
        <v>3020510</v>
      </c>
      <c r="B1808" t="s">
        <v>680</v>
      </c>
      <c r="C1808" s="1">
        <v>45741</v>
      </c>
      <c r="D1808">
        <v>2538</v>
      </c>
      <c r="E1808" t="b">
        <v>0</v>
      </c>
      <c r="F1808">
        <v>259</v>
      </c>
      <c r="G1808" t="s">
        <v>36</v>
      </c>
      <c r="H1808" t="s">
        <v>49</v>
      </c>
      <c r="I1808" t="s">
        <v>2117</v>
      </c>
    </row>
    <row r="1809" spans="1:9" x14ac:dyDescent="0.35">
      <c r="A1809">
        <v>3020510</v>
      </c>
      <c r="B1809" t="s">
        <v>680</v>
      </c>
      <c r="C1809" s="1">
        <v>45741</v>
      </c>
      <c r="D1809">
        <v>2538</v>
      </c>
      <c r="E1809" t="b">
        <v>0</v>
      </c>
      <c r="F1809">
        <v>259</v>
      </c>
      <c r="G1809" t="s">
        <v>36</v>
      </c>
      <c r="H1809" t="s">
        <v>792</v>
      </c>
      <c r="I1809" t="s">
        <v>2116</v>
      </c>
    </row>
    <row r="1810" spans="1:9" x14ac:dyDescent="0.35">
      <c r="A1810">
        <v>3020510</v>
      </c>
      <c r="B1810" t="s">
        <v>680</v>
      </c>
      <c r="C1810" s="1">
        <v>45741</v>
      </c>
      <c r="D1810">
        <v>2538</v>
      </c>
      <c r="E1810" t="b">
        <v>0</v>
      </c>
      <c r="F1810">
        <v>259</v>
      </c>
      <c r="G1810" t="s">
        <v>36</v>
      </c>
      <c r="H1810" t="s">
        <v>346</v>
      </c>
      <c r="I1810" t="s">
        <v>2117</v>
      </c>
    </row>
    <row r="1811" spans="1:9" x14ac:dyDescent="0.35">
      <c r="A1811">
        <v>3020510</v>
      </c>
      <c r="B1811" t="s">
        <v>680</v>
      </c>
      <c r="C1811" s="1">
        <v>45741</v>
      </c>
      <c r="D1811">
        <v>2538</v>
      </c>
      <c r="E1811" t="b">
        <v>0</v>
      </c>
      <c r="F1811">
        <v>259</v>
      </c>
      <c r="G1811" t="s">
        <v>36</v>
      </c>
      <c r="H1811" t="s">
        <v>239</v>
      </c>
      <c r="I1811" t="s">
        <v>2116</v>
      </c>
    </row>
    <row r="1812" spans="1:9" x14ac:dyDescent="0.35">
      <c r="A1812">
        <v>3020510</v>
      </c>
      <c r="B1812" t="s">
        <v>680</v>
      </c>
      <c r="C1812" s="1">
        <v>45741</v>
      </c>
      <c r="D1812">
        <v>2538</v>
      </c>
      <c r="E1812" t="b">
        <v>0</v>
      </c>
      <c r="F1812">
        <v>259</v>
      </c>
      <c r="G1812" t="s">
        <v>36</v>
      </c>
      <c r="H1812" t="s">
        <v>132</v>
      </c>
      <c r="I1812" t="s">
        <v>2116</v>
      </c>
    </row>
    <row r="1813" spans="1:9" x14ac:dyDescent="0.35">
      <c r="A1813">
        <v>3020510</v>
      </c>
      <c r="B1813" t="s">
        <v>680</v>
      </c>
      <c r="C1813" s="1">
        <v>45741</v>
      </c>
      <c r="D1813">
        <v>2538</v>
      </c>
      <c r="E1813" t="b">
        <v>0</v>
      </c>
      <c r="F1813">
        <v>259</v>
      </c>
      <c r="G1813" t="s">
        <v>36</v>
      </c>
      <c r="H1813" t="s">
        <v>124</v>
      </c>
      <c r="I1813" t="s">
        <v>2116</v>
      </c>
    </row>
    <row r="1814" spans="1:9" x14ac:dyDescent="0.35">
      <c r="A1814">
        <v>3020510</v>
      </c>
      <c r="B1814" t="s">
        <v>680</v>
      </c>
      <c r="C1814" s="1">
        <v>45741</v>
      </c>
      <c r="D1814">
        <v>2538</v>
      </c>
      <c r="E1814" t="b">
        <v>0</v>
      </c>
      <c r="F1814">
        <v>259</v>
      </c>
      <c r="G1814" t="s">
        <v>36</v>
      </c>
      <c r="H1814" t="s">
        <v>1510</v>
      </c>
      <c r="I1814" t="s">
        <v>2117</v>
      </c>
    </row>
    <row r="1815" spans="1:9" x14ac:dyDescent="0.35">
      <c r="A1815">
        <v>2488370</v>
      </c>
      <c r="B1815" t="s">
        <v>683</v>
      </c>
      <c r="C1815" s="1">
        <v>45785</v>
      </c>
      <c r="D1815">
        <v>2538</v>
      </c>
      <c r="E1815" t="b">
        <v>0</v>
      </c>
      <c r="F1815">
        <v>259</v>
      </c>
      <c r="G1815" t="s">
        <v>119</v>
      </c>
      <c r="H1815" t="s">
        <v>49</v>
      </c>
      <c r="I1815" t="s">
        <v>2117</v>
      </c>
    </row>
    <row r="1816" spans="1:9" x14ac:dyDescent="0.35">
      <c r="A1816">
        <v>2488370</v>
      </c>
      <c r="B1816" t="s">
        <v>683</v>
      </c>
      <c r="C1816" s="1">
        <v>45785</v>
      </c>
      <c r="D1816">
        <v>2538</v>
      </c>
      <c r="E1816" t="b">
        <v>0</v>
      </c>
      <c r="F1816">
        <v>259</v>
      </c>
      <c r="G1816" t="s">
        <v>119</v>
      </c>
      <c r="H1816" t="s">
        <v>792</v>
      </c>
      <c r="I1816" t="s">
        <v>2116</v>
      </c>
    </row>
    <row r="1817" spans="1:9" x14ac:dyDescent="0.35">
      <c r="A1817">
        <v>2488370</v>
      </c>
      <c r="B1817" t="s">
        <v>683</v>
      </c>
      <c r="C1817" s="1">
        <v>45785</v>
      </c>
      <c r="D1817">
        <v>2538</v>
      </c>
      <c r="E1817" t="b">
        <v>0</v>
      </c>
      <c r="F1817">
        <v>259</v>
      </c>
      <c r="G1817" t="s">
        <v>119</v>
      </c>
      <c r="H1817" t="s">
        <v>346</v>
      </c>
      <c r="I1817" t="s">
        <v>2117</v>
      </c>
    </row>
    <row r="1818" spans="1:9" x14ac:dyDescent="0.35">
      <c r="A1818">
        <v>2488370</v>
      </c>
      <c r="B1818" t="s">
        <v>683</v>
      </c>
      <c r="C1818" s="1">
        <v>45785</v>
      </c>
      <c r="D1818">
        <v>2538</v>
      </c>
      <c r="E1818" t="b">
        <v>0</v>
      </c>
      <c r="F1818">
        <v>259</v>
      </c>
      <c r="G1818" t="s">
        <v>119</v>
      </c>
      <c r="H1818" t="s">
        <v>239</v>
      </c>
      <c r="I1818" t="s">
        <v>2116</v>
      </c>
    </row>
    <row r="1819" spans="1:9" x14ac:dyDescent="0.35">
      <c r="A1819">
        <v>2488370</v>
      </c>
      <c r="B1819" t="s">
        <v>683</v>
      </c>
      <c r="C1819" s="1">
        <v>45785</v>
      </c>
      <c r="D1819">
        <v>2538</v>
      </c>
      <c r="E1819" t="b">
        <v>0</v>
      </c>
      <c r="F1819">
        <v>259</v>
      </c>
      <c r="G1819" t="s">
        <v>119</v>
      </c>
      <c r="H1819" t="s">
        <v>132</v>
      </c>
      <c r="I1819" t="s">
        <v>2117</v>
      </c>
    </row>
    <row r="1820" spans="1:9" x14ac:dyDescent="0.35">
      <c r="A1820">
        <v>2488370</v>
      </c>
      <c r="B1820" t="s">
        <v>683</v>
      </c>
      <c r="C1820" s="1">
        <v>45785</v>
      </c>
      <c r="D1820">
        <v>2538</v>
      </c>
      <c r="E1820" t="b">
        <v>0</v>
      </c>
      <c r="F1820">
        <v>259</v>
      </c>
      <c r="G1820" t="s">
        <v>119</v>
      </c>
      <c r="H1820" t="s">
        <v>124</v>
      </c>
      <c r="I1820" t="s">
        <v>2117</v>
      </c>
    </row>
    <row r="1821" spans="1:9" x14ac:dyDescent="0.35">
      <c r="A1821">
        <v>2488370</v>
      </c>
      <c r="B1821" t="s">
        <v>683</v>
      </c>
      <c r="C1821" s="1">
        <v>45785</v>
      </c>
      <c r="D1821">
        <v>2538</v>
      </c>
      <c r="E1821" t="b">
        <v>0</v>
      </c>
      <c r="F1821">
        <v>259</v>
      </c>
      <c r="G1821" t="s">
        <v>119</v>
      </c>
      <c r="H1821" t="s">
        <v>1510</v>
      </c>
      <c r="I1821" t="s">
        <v>2117</v>
      </c>
    </row>
    <row r="1822" spans="1:9" x14ac:dyDescent="0.35">
      <c r="A1822">
        <v>379430</v>
      </c>
      <c r="B1822" t="s">
        <v>685</v>
      </c>
      <c r="C1822" s="1">
        <v>43144</v>
      </c>
      <c r="D1822">
        <v>2520</v>
      </c>
      <c r="E1822" t="b">
        <v>0</v>
      </c>
      <c r="F1822">
        <v>261</v>
      </c>
      <c r="G1822" t="s">
        <v>18</v>
      </c>
      <c r="H1822" t="s">
        <v>49</v>
      </c>
      <c r="I1822" t="s">
        <v>2116</v>
      </c>
    </row>
    <row r="1823" spans="1:9" x14ac:dyDescent="0.35">
      <c r="A1823">
        <v>379430</v>
      </c>
      <c r="B1823" t="s">
        <v>685</v>
      </c>
      <c r="C1823" s="1">
        <v>43144</v>
      </c>
      <c r="D1823">
        <v>2520</v>
      </c>
      <c r="E1823" t="b">
        <v>0</v>
      </c>
      <c r="F1823">
        <v>261</v>
      </c>
      <c r="G1823" t="s">
        <v>18</v>
      </c>
      <c r="H1823" t="s">
        <v>792</v>
      </c>
      <c r="I1823" t="s">
        <v>2117</v>
      </c>
    </row>
    <row r="1824" spans="1:9" x14ac:dyDescent="0.35">
      <c r="A1824">
        <v>379430</v>
      </c>
      <c r="B1824" t="s">
        <v>685</v>
      </c>
      <c r="C1824" s="1">
        <v>43144</v>
      </c>
      <c r="D1824">
        <v>2520</v>
      </c>
      <c r="E1824" t="b">
        <v>0</v>
      </c>
      <c r="F1824">
        <v>261</v>
      </c>
      <c r="G1824" t="s">
        <v>18</v>
      </c>
      <c r="H1824" t="s">
        <v>346</v>
      </c>
      <c r="I1824" t="s">
        <v>2116</v>
      </c>
    </row>
    <row r="1825" spans="1:9" x14ac:dyDescent="0.35">
      <c r="A1825">
        <v>379430</v>
      </c>
      <c r="B1825" t="s">
        <v>685</v>
      </c>
      <c r="C1825" s="1">
        <v>43144</v>
      </c>
      <c r="D1825">
        <v>2520</v>
      </c>
      <c r="E1825" t="b">
        <v>0</v>
      </c>
      <c r="F1825">
        <v>261</v>
      </c>
      <c r="G1825" t="s">
        <v>18</v>
      </c>
      <c r="H1825" t="s">
        <v>239</v>
      </c>
      <c r="I1825" t="s">
        <v>2117</v>
      </c>
    </row>
    <row r="1826" spans="1:9" x14ac:dyDescent="0.35">
      <c r="A1826">
        <v>379430</v>
      </c>
      <c r="B1826" t="s">
        <v>685</v>
      </c>
      <c r="C1826" s="1">
        <v>43144</v>
      </c>
      <c r="D1826">
        <v>2520</v>
      </c>
      <c r="E1826" t="b">
        <v>0</v>
      </c>
      <c r="F1826">
        <v>261</v>
      </c>
      <c r="G1826" t="s">
        <v>18</v>
      </c>
      <c r="H1826" t="s">
        <v>132</v>
      </c>
      <c r="I1826" t="s">
        <v>2116</v>
      </c>
    </row>
    <row r="1827" spans="1:9" x14ac:dyDescent="0.35">
      <c r="A1827">
        <v>379430</v>
      </c>
      <c r="B1827" t="s">
        <v>685</v>
      </c>
      <c r="C1827" s="1">
        <v>43144</v>
      </c>
      <c r="D1827">
        <v>2520</v>
      </c>
      <c r="E1827" t="b">
        <v>0</v>
      </c>
      <c r="F1827">
        <v>261</v>
      </c>
      <c r="G1827" t="s">
        <v>18</v>
      </c>
      <c r="H1827" t="s">
        <v>124</v>
      </c>
      <c r="I1827" t="s">
        <v>2117</v>
      </c>
    </row>
    <row r="1828" spans="1:9" x14ac:dyDescent="0.35">
      <c r="A1828">
        <v>379430</v>
      </c>
      <c r="B1828" t="s">
        <v>685</v>
      </c>
      <c r="C1828" s="1">
        <v>43144</v>
      </c>
      <c r="D1828">
        <v>2520</v>
      </c>
      <c r="E1828" t="b">
        <v>0</v>
      </c>
      <c r="F1828">
        <v>261</v>
      </c>
      <c r="G1828" t="s">
        <v>18</v>
      </c>
      <c r="H1828" t="s">
        <v>1510</v>
      </c>
      <c r="I1828" t="s">
        <v>2117</v>
      </c>
    </row>
    <row r="1829" spans="1:9" x14ac:dyDescent="0.35">
      <c r="A1829">
        <v>703080</v>
      </c>
      <c r="B1829" t="s">
        <v>686</v>
      </c>
      <c r="C1829" s="1">
        <v>43774</v>
      </c>
      <c r="D1829">
        <v>2497</v>
      </c>
      <c r="E1829" t="b">
        <v>0</v>
      </c>
      <c r="F1829">
        <v>262</v>
      </c>
      <c r="G1829" t="s">
        <v>25</v>
      </c>
      <c r="H1829" t="s">
        <v>49</v>
      </c>
      <c r="I1829" t="s">
        <v>2117</v>
      </c>
    </row>
    <row r="1830" spans="1:9" x14ac:dyDescent="0.35">
      <c r="A1830">
        <v>703080</v>
      </c>
      <c r="B1830" t="s">
        <v>686</v>
      </c>
      <c r="C1830" s="1">
        <v>43774</v>
      </c>
      <c r="D1830">
        <v>2497</v>
      </c>
      <c r="E1830" t="b">
        <v>0</v>
      </c>
      <c r="F1830">
        <v>262</v>
      </c>
      <c r="G1830" t="s">
        <v>25</v>
      </c>
      <c r="H1830" t="s">
        <v>792</v>
      </c>
      <c r="I1830" t="s">
        <v>2117</v>
      </c>
    </row>
    <row r="1831" spans="1:9" x14ac:dyDescent="0.35">
      <c r="A1831">
        <v>703080</v>
      </c>
      <c r="B1831" t="s">
        <v>686</v>
      </c>
      <c r="C1831" s="1">
        <v>43774</v>
      </c>
      <c r="D1831">
        <v>2497</v>
      </c>
      <c r="E1831" t="b">
        <v>0</v>
      </c>
      <c r="F1831">
        <v>262</v>
      </c>
      <c r="G1831" t="s">
        <v>25</v>
      </c>
      <c r="H1831" t="s">
        <v>346</v>
      </c>
      <c r="I1831" t="s">
        <v>2117</v>
      </c>
    </row>
    <row r="1832" spans="1:9" x14ac:dyDescent="0.35">
      <c r="A1832">
        <v>703080</v>
      </c>
      <c r="B1832" t="s">
        <v>686</v>
      </c>
      <c r="C1832" s="1">
        <v>43774</v>
      </c>
      <c r="D1832">
        <v>2497</v>
      </c>
      <c r="E1832" t="b">
        <v>0</v>
      </c>
      <c r="F1832">
        <v>262</v>
      </c>
      <c r="G1832" t="s">
        <v>25</v>
      </c>
      <c r="H1832" t="s">
        <v>239</v>
      </c>
      <c r="I1832" t="s">
        <v>2116</v>
      </c>
    </row>
    <row r="1833" spans="1:9" x14ac:dyDescent="0.35">
      <c r="A1833">
        <v>703080</v>
      </c>
      <c r="B1833" t="s">
        <v>686</v>
      </c>
      <c r="C1833" s="1">
        <v>43774</v>
      </c>
      <c r="D1833">
        <v>2497</v>
      </c>
      <c r="E1833" t="b">
        <v>0</v>
      </c>
      <c r="F1833">
        <v>262</v>
      </c>
      <c r="G1833" t="s">
        <v>25</v>
      </c>
      <c r="H1833" t="s">
        <v>132</v>
      </c>
      <c r="I1833" t="s">
        <v>2117</v>
      </c>
    </row>
    <row r="1834" spans="1:9" x14ac:dyDescent="0.35">
      <c r="A1834">
        <v>703080</v>
      </c>
      <c r="B1834" t="s">
        <v>686</v>
      </c>
      <c r="C1834" s="1">
        <v>43774</v>
      </c>
      <c r="D1834">
        <v>2497</v>
      </c>
      <c r="E1834" t="b">
        <v>0</v>
      </c>
      <c r="F1834">
        <v>262</v>
      </c>
      <c r="G1834" t="s">
        <v>25</v>
      </c>
      <c r="H1834" t="s">
        <v>124</v>
      </c>
      <c r="I1834" t="s">
        <v>2116</v>
      </c>
    </row>
    <row r="1835" spans="1:9" x14ac:dyDescent="0.35">
      <c r="A1835">
        <v>703080</v>
      </c>
      <c r="B1835" t="s">
        <v>686</v>
      </c>
      <c r="C1835" s="1">
        <v>43774</v>
      </c>
      <c r="D1835">
        <v>2497</v>
      </c>
      <c r="E1835" t="b">
        <v>0</v>
      </c>
      <c r="F1835">
        <v>262</v>
      </c>
      <c r="G1835" t="s">
        <v>25</v>
      </c>
      <c r="H1835" t="s">
        <v>1510</v>
      </c>
      <c r="I1835" t="s">
        <v>2117</v>
      </c>
    </row>
    <row r="1836" spans="1:9" x14ac:dyDescent="0.35">
      <c r="A1836">
        <v>1343400</v>
      </c>
      <c r="B1836" t="s">
        <v>689</v>
      </c>
      <c r="C1836" s="1">
        <v>44118</v>
      </c>
      <c r="D1836">
        <v>2496</v>
      </c>
      <c r="E1836" t="b">
        <v>1</v>
      </c>
      <c r="F1836">
        <v>263</v>
      </c>
      <c r="G1836" t="s">
        <v>133</v>
      </c>
      <c r="H1836" t="s">
        <v>49</v>
      </c>
      <c r="I1836" t="s">
        <v>2117</v>
      </c>
    </row>
    <row r="1837" spans="1:9" x14ac:dyDescent="0.35">
      <c r="A1837">
        <v>1343400</v>
      </c>
      <c r="B1837" t="s">
        <v>689</v>
      </c>
      <c r="C1837" s="1">
        <v>44118</v>
      </c>
      <c r="D1837">
        <v>2496</v>
      </c>
      <c r="E1837" t="b">
        <v>1</v>
      </c>
      <c r="F1837">
        <v>263</v>
      </c>
      <c r="G1837" t="s">
        <v>133</v>
      </c>
      <c r="H1837" t="s">
        <v>792</v>
      </c>
      <c r="I1837" t="s">
        <v>2117</v>
      </c>
    </row>
    <row r="1838" spans="1:9" x14ac:dyDescent="0.35">
      <c r="A1838">
        <v>1343400</v>
      </c>
      <c r="B1838" t="s">
        <v>689</v>
      </c>
      <c r="C1838" s="1">
        <v>44118</v>
      </c>
      <c r="D1838">
        <v>2496</v>
      </c>
      <c r="E1838" t="b">
        <v>1</v>
      </c>
      <c r="F1838">
        <v>263</v>
      </c>
      <c r="G1838" t="s">
        <v>133</v>
      </c>
      <c r="H1838" t="s">
        <v>346</v>
      </c>
      <c r="I1838" t="s">
        <v>2117</v>
      </c>
    </row>
    <row r="1839" spans="1:9" x14ac:dyDescent="0.35">
      <c r="A1839">
        <v>1343400</v>
      </c>
      <c r="B1839" t="s">
        <v>689</v>
      </c>
      <c r="C1839" s="1">
        <v>44118</v>
      </c>
      <c r="D1839">
        <v>2496</v>
      </c>
      <c r="E1839" t="b">
        <v>1</v>
      </c>
      <c r="F1839">
        <v>263</v>
      </c>
      <c r="G1839" t="s">
        <v>133</v>
      </c>
      <c r="H1839" t="s">
        <v>239</v>
      </c>
      <c r="I1839" t="s">
        <v>2117</v>
      </c>
    </row>
    <row r="1840" spans="1:9" x14ac:dyDescent="0.35">
      <c r="A1840">
        <v>1343400</v>
      </c>
      <c r="B1840" t="s">
        <v>689</v>
      </c>
      <c r="C1840" s="1">
        <v>44118</v>
      </c>
      <c r="D1840">
        <v>2496</v>
      </c>
      <c r="E1840" t="b">
        <v>1</v>
      </c>
      <c r="F1840">
        <v>263</v>
      </c>
      <c r="G1840" t="s">
        <v>133</v>
      </c>
      <c r="H1840" t="s">
        <v>132</v>
      </c>
      <c r="I1840" t="s">
        <v>2116</v>
      </c>
    </row>
    <row r="1841" spans="1:9" x14ac:dyDescent="0.35">
      <c r="A1841">
        <v>1343400</v>
      </c>
      <c r="B1841" t="s">
        <v>689</v>
      </c>
      <c r="C1841" s="1">
        <v>44118</v>
      </c>
      <c r="D1841">
        <v>2496</v>
      </c>
      <c r="E1841" t="b">
        <v>1</v>
      </c>
      <c r="F1841">
        <v>263</v>
      </c>
      <c r="G1841" t="s">
        <v>133</v>
      </c>
      <c r="H1841" t="s">
        <v>124</v>
      </c>
      <c r="I1841" t="s">
        <v>2117</v>
      </c>
    </row>
    <row r="1842" spans="1:9" x14ac:dyDescent="0.35">
      <c r="A1842">
        <v>1343400</v>
      </c>
      <c r="B1842" t="s">
        <v>689</v>
      </c>
      <c r="C1842" s="1">
        <v>44118</v>
      </c>
      <c r="D1842">
        <v>2496</v>
      </c>
      <c r="E1842" t="b">
        <v>1</v>
      </c>
      <c r="F1842">
        <v>263</v>
      </c>
      <c r="G1842" t="s">
        <v>133</v>
      </c>
      <c r="H1842" t="s">
        <v>1510</v>
      </c>
      <c r="I1842" t="s">
        <v>2116</v>
      </c>
    </row>
    <row r="1843" spans="1:9" x14ac:dyDescent="0.35">
      <c r="A1843">
        <v>2670630</v>
      </c>
      <c r="B1843" t="s">
        <v>691</v>
      </c>
      <c r="C1843" s="1">
        <v>45827</v>
      </c>
      <c r="D1843">
        <v>2464</v>
      </c>
      <c r="E1843" t="b">
        <v>1</v>
      </c>
      <c r="F1843">
        <v>264</v>
      </c>
      <c r="G1843" t="s">
        <v>119</v>
      </c>
      <c r="H1843" t="s">
        <v>49</v>
      </c>
      <c r="I1843" t="s">
        <v>2117</v>
      </c>
    </row>
    <row r="1844" spans="1:9" x14ac:dyDescent="0.35">
      <c r="A1844">
        <v>2670630</v>
      </c>
      <c r="B1844" t="s">
        <v>691</v>
      </c>
      <c r="C1844" s="1">
        <v>45827</v>
      </c>
      <c r="D1844">
        <v>2464</v>
      </c>
      <c r="E1844" t="b">
        <v>1</v>
      </c>
      <c r="F1844">
        <v>264</v>
      </c>
      <c r="G1844" t="s">
        <v>119</v>
      </c>
      <c r="H1844" t="s">
        <v>792</v>
      </c>
      <c r="I1844" t="s">
        <v>2116</v>
      </c>
    </row>
    <row r="1845" spans="1:9" x14ac:dyDescent="0.35">
      <c r="A1845">
        <v>2670630</v>
      </c>
      <c r="B1845" t="s">
        <v>691</v>
      </c>
      <c r="C1845" s="1">
        <v>45827</v>
      </c>
      <c r="D1845">
        <v>2464</v>
      </c>
      <c r="E1845" t="b">
        <v>1</v>
      </c>
      <c r="F1845">
        <v>264</v>
      </c>
      <c r="G1845" t="s">
        <v>119</v>
      </c>
      <c r="H1845" t="s">
        <v>346</v>
      </c>
      <c r="I1845" t="s">
        <v>2117</v>
      </c>
    </row>
    <row r="1846" spans="1:9" x14ac:dyDescent="0.35">
      <c r="A1846">
        <v>2670630</v>
      </c>
      <c r="B1846" t="s">
        <v>691</v>
      </c>
      <c r="C1846" s="1">
        <v>45827</v>
      </c>
      <c r="D1846">
        <v>2464</v>
      </c>
      <c r="E1846" t="b">
        <v>1</v>
      </c>
      <c r="F1846">
        <v>264</v>
      </c>
      <c r="G1846" t="s">
        <v>119</v>
      </c>
      <c r="H1846" t="s">
        <v>239</v>
      </c>
      <c r="I1846" t="s">
        <v>2116</v>
      </c>
    </row>
    <row r="1847" spans="1:9" x14ac:dyDescent="0.35">
      <c r="A1847">
        <v>2670630</v>
      </c>
      <c r="B1847" t="s">
        <v>691</v>
      </c>
      <c r="C1847" s="1">
        <v>45827</v>
      </c>
      <c r="D1847">
        <v>2464</v>
      </c>
      <c r="E1847" t="b">
        <v>1</v>
      </c>
      <c r="F1847">
        <v>264</v>
      </c>
      <c r="G1847" t="s">
        <v>119</v>
      </c>
      <c r="H1847" t="s">
        <v>132</v>
      </c>
      <c r="I1847" t="s">
        <v>2117</v>
      </c>
    </row>
    <row r="1848" spans="1:9" x14ac:dyDescent="0.35">
      <c r="A1848">
        <v>2670630</v>
      </c>
      <c r="B1848" t="s">
        <v>691</v>
      </c>
      <c r="C1848" s="1">
        <v>45827</v>
      </c>
      <c r="D1848">
        <v>2464</v>
      </c>
      <c r="E1848" t="b">
        <v>1</v>
      </c>
      <c r="F1848">
        <v>264</v>
      </c>
      <c r="G1848" t="s">
        <v>119</v>
      </c>
      <c r="H1848" t="s">
        <v>124</v>
      </c>
      <c r="I1848" t="s">
        <v>2117</v>
      </c>
    </row>
    <row r="1849" spans="1:9" x14ac:dyDescent="0.35">
      <c r="A1849">
        <v>2670630</v>
      </c>
      <c r="B1849" t="s">
        <v>691</v>
      </c>
      <c r="C1849" s="1">
        <v>45827</v>
      </c>
      <c r="D1849">
        <v>2464</v>
      </c>
      <c r="E1849" t="b">
        <v>1</v>
      </c>
      <c r="F1849">
        <v>264</v>
      </c>
      <c r="G1849" t="s">
        <v>119</v>
      </c>
      <c r="H1849" t="s">
        <v>1510</v>
      </c>
      <c r="I1849" t="s">
        <v>2117</v>
      </c>
    </row>
    <row r="1850" spans="1:9" x14ac:dyDescent="0.35">
      <c r="A1850">
        <v>1384160</v>
      </c>
      <c r="B1850" t="s">
        <v>692</v>
      </c>
      <c r="C1850" s="1">
        <v>44358</v>
      </c>
      <c r="D1850">
        <v>2463</v>
      </c>
      <c r="E1850" t="b">
        <v>0</v>
      </c>
      <c r="F1850">
        <v>265</v>
      </c>
      <c r="G1850" t="s">
        <v>40</v>
      </c>
      <c r="H1850" t="s">
        <v>49</v>
      </c>
      <c r="I1850" t="s">
        <v>2116</v>
      </c>
    </row>
    <row r="1851" spans="1:9" x14ac:dyDescent="0.35">
      <c r="A1851">
        <v>1384160</v>
      </c>
      <c r="B1851" t="s">
        <v>692</v>
      </c>
      <c r="C1851" s="1">
        <v>44358</v>
      </c>
      <c r="D1851">
        <v>2463</v>
      </c>
      <c r="E1851" t="b">
        <v>0</v>
      </c>
      <c r="F1851">
        <v>265</v>
      </c>
      <c r="G1851" t="s">
        <v>40</v>
      </c>
      <c r="H1851" t="s">
        <v>792</v>
      </c>
      <c r="I1851" t="s">
        <v>2117</v>
      </c>
    </row>
    <row r="1852" spans="1:9" x14ac:dyDescent="0.35">
      <c r="A1852">
        <v>1384160</v>
      </c>
      <c r="B1852" t="s">
        <v>692</v>
      </c>
      <c r="C1852" s="1">
        <v>44358</v>
      </c>
      <c r="D1852">
        <v>2463</v>
      </c>
      <c r="E1852" t="b">
        <v>0</v>
      </c>
      <c r="F1852">
        <v>265</v>
      </c>
      <c r="G1852" t="s">
        <v>40</v>
      </c>
      <c r="H1852" t="s">
        <v>346</v>
      </c>
      <c r="I1852" t="s">
        <v>2117</v>
      </c>
    </row>
    <row r="1853" spans="1:9" x14ac:dyDescent="0.35">
      <c r="A1853">
        <v>1384160</v>
      </c>
      <c r="B1853" t="s">
        <v>692</v>
      </c>
      <c r="C1853" s="1">
        <v>44358</v>
      </c>
      <c r="D1853">
        <v>2463</v>
      </c>
      <c r="E1853" t="b">
        <v>0</v>
      </c>
      <c r="F1853">
        <v>265</v>
      </c>
      <c r="G1853" t="s">
        <v>40</v>
      </c>
      <c r="H1853" t="s">
        <v>239</v>
      </c>
      <c r="I1853" t="s">
        <v>2117</v>
      </c>
    </row>
    <row r="1854" spans="1:9" x14ac:dyDescent="0.35">
      <c r="A1854">
        <v>1384160</v>
      </c>
      <c r="B1854" t="s">
        <v>692</v>
      </c>
      <c r="C1854" s="1">
        <v>44358</v>
      </c>
      <c r="D1854">
        <v>2463</v>
      </c>
      <c r="E1854" t="b">
        <v>0</v>
      </c>
      <c r="F1854">
        <v>265</v>
      </c>
      <c r="G1854" t="s">
        <v>40</v>
      </c>
      <c r="H1854" t="s">
        <v>132</v>
      </c>
      <c r="I1854" t="s">
        <v>2117</v>
      </c>
    </row>
    <row r="1855" spans="1:9" x14ac:dyDescent="0.35">
      <c r="A1855">
        <v>1384160</v>
      </c>
      <c r="B1855" t="s">
        <v>692</v>
      </c>
      <c r="C1855" s="1">
        <v>44358</v>
      </c>
      <c r="D1855">
        <v>2463</v>
      </c>
      <c r="E1855" t="b">
        <v>0</v>
      </c>
      <c r="F1855">
        <v>265</v>
      </c>
      <c r="G1855" t="s">
        <v>40</v>
      </c>
      <c r="H1855" t="s">
        <v>124</v>
      </c>
      <c r="I1855" t="s">
        <v>2117</v>
      </c>
    </row>
    <row r="1856" spans="1:9" x14ac:dyDescent="0.35">
      <c r="A1856">
        <v>1384160</v>
      </c>
      <c r="B1856" t="s">
        <v>692</v>
      </c>
      <c r="C1856" s="1">
        <v>44358</v>
      </c>
      <c r="D1856">
        <v>2463</v>
      </c>
      <c r="E1856" t="b">
        <v>0</v>
      </c>
      <c r="F1856">
        <v>265</v>
      </c>
      <c r="G1856" t="s">
        <v>40</v>
      </c>
      <c r="H1856" t="s">
        <v>1510</v>
      </c>
      <c r="I1856" t="s">
        <v>2117</v>
      </c>
    </row>
    <row r="1857" spans="1:9" x14ac:dyDescent="0.35">
      <c r="A1857">
        <v>1062520</v>
      </c>
      <c r="B1857" t="s">
        <v>694</v>
      </c>
      <c r="C1857" s="1">
        <v>45769</v>
      </c>
      <c r="D1857">
        <v>2422</v>
      </c>
      <c r="E1857" t="b">
        <v>0</v>
      </c>
      <c r="F1857">
        <v>266</v>
      </c>
      <c r="G1857" t="s">
        <v>29</v>
      </c>
      <c r="H1857" t="s">
        <v>49</v>
      </c>
      <c r="I1857" t="s">
        <v>2117</v>
      </c>
    </row>
    <row r="1858" spans="1:9" x14ac:dyDescent="0.35">
      <c r="A1858">
        <v>1062520</v>
      </c>
      <c r="B1858" t="s">
        <v>694</v>
      </c>
      <c r="C1858" s="1">
        <v>45769</v>
      </c>
      <c r="D1858">
        <v>2422</v>
      </c>
      <c r="E1858" t="b">
        <v>0</v>
      </c>
      <c r="F1858">
        <v>266</v>
      </c>
      <c r="G1858" t="s">
        <v>29</v>
      </c>
      <c r="H1858" t="s">
        <v>792</v>
      </c>
      <c r="I1858" t="s">
        <v>2116</v>
      </c>
    </row>
    <row r="1859" spans="1:9" x14ac:dyDescent="0.35">
      <c r="A1859">
        <v>1062520</v>
      </c>
      <c r="B1859" t="s">
        <v>694</v>
      </c>
      <c r="C1859" s="1">
        <v>45769</v>
      </c>
      <c r="D1859">
        <v>2422</v>
      </c>
      <c r="E1859" t="b">
        <v>0</v>
      </c>
      <c r="F1859">
        <v>266</v>
      </c>
      <c r="G1859" t="s">
        <v>29</v>
      </c>
      <c r="H1859" t="s">
        <v>346</v>
      </c>
      <c r="I1859" t="s">
        <v>2116</v>
      </c>
    </row>
    <row r="1860" spans="1:9" x14ac:dyDescent="0.35">
      <c r="A1860">
        <v>1062520</v>
      </c>
      <c r="B1860" t="s">
        <v>694</v>
      </c>
      <c r="C1860" s="1">
        <v>45769</v>
      </c>
      <c r="D1860">
        <v>2422</v>
      </c>
      <c r="E1860" t="b">
        <v>0</v>
      </c>
      <c r="F1860">
        <v>266</v>
      </c>
      <c r="G1860" t="s">
        <v>29</v>
      </c>
      <c r="H1860" t="s">
        <v>239</v>
      </c>
      <c r="I1860" t="s">
        <v>2116</v>
      </c>
    </row>
    <row r="1861" spans="1:9" x14ac:dyDescent="0.35">
      <c r="A1861">
        <v>1062520</v>
      </c>
      <c r="B1861" t="s">
        <v>694</v>
      </c>
      <c r="C1861" s="1">
        <v>45769</v>
      </c>
      <c r="D1861">
        <v>2422</v>
      </c>
      <c r="E1861" t="b">
        <v>0</v>
      </c>
      <c r="F1861">
        <v>266</v>
      </c>
      <c r="G1861" t="s">
        <v>29</v>
      </c>
      <c r="H1861" t="s">
        <v>132</v>
      </c>
      <c r="I1861" t="s">
        <v>2116</v>
      </c>
    </row>
    <row r="1862" spans="1:9" x14ac:dyDescent="0.35">
      <c r="A1862">
        <v>1062520</v>
      </c>
      <c r="B1862" t="s">
        <v>694</v>
      </c>
      <c r="C1862" s="1">
        <v>45769</v>
      </c>
      <c r="D1862">
        <v>2422</v>
      </c>
      <c r="E1862" t="b">
        <v>0</v>
      </c>
      <c r="F1862">
        <v>266</v>
      </c>
      <c r="G1862" t="s">
        <v>29</v>
      </c>
      <c r="H1862" t="s">
        <v>124</v>
      </c>
      <c r="I1862" t="s">
        <v>2117</v>
      </c>
    </row>
    <row r="1863" spans="1:9" x14ac:dyDescent="0.35">
      <c r="A1863">
        <v>1062520</v>
      </c>
      <c r="B1863" t="s">
        <v>694</v>
      </c>
      <c r="C1863" s="1">
        <v>45769</v>
      </c>
      <c r="D1863">
        <v>2422</v>
      </c>
      <c r="E1863" t="b">
        <v>0</v>
      </c>
      <c r="F1863">
        <v>266</v>
      </c>
      <c r="G1863" t="s">
        <v>29</v>
      </c>
      <c r="H1863" t="s">
        <v>1510</v>
      </c>
      <c r="I1863" t="s">
        <v>2117</v>
      </c>
    </row>
    <row r="1864" spans="1:9" x14ac:dyDescent="0.35">
      <c r="A1864">
        <v>1328670</v>
      </c>
      <c r="B1864" t="s">
        <v>696</v>
      </c>
      <c r="C1864" s="1">
        <v>44330</v>
      </c>
      <c r="D1864">
        <v>2420</v>
      </c>
      <c r="E1864" t="b">
        <v>0</v>
      </c>
      <c r="F1864">
        <v>267</v>
      </c>
      <c r="G1864" t="s">
        <v>25</v>
      </c>
      <c r="H1864" t="s">
        <v>49</v>
      </c>
      <c r="I1864" t="s">
        <v>2116</v>
      </c>
    </row>
    <row r="1865" spans="1:9" x14ac:dyDescent="0.35">
      <c r="A1865">
        <v>1328670</v>
      </c>
      <c r="B1865" t="s">
        <v>696</v>
      </c>
      <c r="C1865" s="1">
        <v>44330</v>
      </c>
      <c r="D1865">
        <v>2420</v>
      </c>
      <c r="E1865" t="b">
        <v>0</v>
      </c>
      <c r="F1865">
        <v>267</v>
      </c>
      <c r="G1865" t="s">
        <v>25</v>
      </c>
      <c r="H1865" t="s">
        <v>792</v>
      </c>
      <c r="I1865" t="s">
        <v>2117</v>
      </c>
    </row>
    <row r="1866" spans="1:9" x14ac:dyDescent="0.35">
      <c r="A1866">
        <v>1328670</v>
      </c>
      <c r="B1866" t="s">
        <v>696</v>
      </c>
      <c r="C1866" s="1">
        <v>44330</v>
      </c>
      <c r="D1866">
        <v>2420</v>
      </c>
      <c r="E1866" t="b">
        <v>0</v>
      </c>
      <c r="F1866">
        <v>267</v>
      </c>
      <c r="G1866" t="s">
        <v>25</v>
      </c>
      <c r="H1866" t="s">
        <v>346</v>
      </c>
      <c r="I1866" t="s">
        <v>2117</v>
      </c>
    </row>
    <row r="1867" spans="1:9" x14ac:dyDescent="0.35">
      <c r="A1867">
        <v>1328670</v>
      </c>
      <c r="B1867" t="s">
        <v>696</v>
      </c>
      <c r="C1867" s="1">
        <v>44330</v>
      </c>
      <c r="D1867">
        <v>2420</v>
      </c>
      <c r="E1867" t="b">
        <v>0</v>
      </c>
      <c r="F1867">
        <v>267</v>
      </c>
      <c r="G1867" t="s">
        <v>25</v>
      </c>
      <c r="H1867" t="s">
        <v>239</v>
      </c>
      <c r="I1867" t="s">
        <v>2117</v>
      </c>
    </row>
    <row r="1868" spans="1:9" x14ac:dyDescent="0.35">
      <c r="A1868">
        <v>1328670</v>
      </c>
      <c r="B1868" t="s">
        <v>696</v>
      </c>
      <c r="C1868" s="1">
        <v>44330</v>
      </c>
      <c r="D1868">
        <v>2420</v>
      </c>
      <c r="E1868" t="b">
        <v>0</v>
      </c>
      <c r="F1868">
        <v>267</v>
      </c>
      <c r="G1868" t="s">
        <v>25</v>
      </c>
      <c r="H1868" t="s">
        <v>132</v>
      </c>
      <c r="I1868" t="s">
        <v>2116</v>
      </c>
    </row>
    <row r="1869" spans="1:9" x14ac:dyDescent="0.35">
      <c r="A1869">
        <v>1328670</v>
      </c>
      <c r="B1869" t="s">
        <v>696</v>
      </c>
      <c r="C1869" s="1">
        <v>44330</v>
      </c>
      <c r="D1869">
        <v>2420</v>
      </c>
      <c r="E1869" t="b">
        <v>0</v>
      </c>
      <c r="F1869">
        <v>267</v>
      </c>
      <c r="G1869" t="s">
        <v>25</v>
      </c>
      <c r="H1869" t="s">
        <v>124</v>
      </c>
      <c r="I1869" t="s">
        <v>2117</v>
      </c>
    </row>
    <row r="1870" spans="1:9" x14ac:dyDescent="0.35">
      <c r="A1870">
        <v>1328670</v>
      </c>
      <c r="B1870" t="s">
        <v>696</v>
      </c>
      <c r="C1870" s="1">
        <v>44330</v>
      </c>
      <c r="D1870">
        <v>2420</v>
      </c>
      <c r="E1870" t="b">
        <v>0</v>
      </c>
      <c r="F1870">
        <v>267</v>
      </c>
      <c r="G1870" t="s">
        <v>25</v>
      </c>
      <c r="H1870" t="s">
        <v>1510</v>
      </c>
      <c r="I1870" t="s">
        <v>2117</v>
      </c>
    </row>
    <row r="1871" spans="1:9" x14ac:dyDescent="0.35">
      <c r="A1871">
        <v>1643320</v>
      </c>
      <c r="B1871" t="s">
        <v>698</v>
      </c>
      <c r="C1871" s="1">
        <v>45616</v>
      </c>
      <c r="D1871">
        <v>2403</v>
      </c>
      <c r="E1871" t="b">
        <v>0</v>
      </c>
      <c r="F1871">
        <v>268</v>
      </c>
      <c r="G1871" t="s">
        <v>700</v>
      </c>
      <c r="H1871" t="s">
        <v>49</v>
      </c>
      <c r="I1871" t="s">
        <v>2116</v>
      </c>
    </row>
    <row r="1872" spans="1:9" x14ac:dyDescent="0.35">
      <c r="A1872">
        <v>1643320</v>
      </c>
      <c r="B1872" t="s">
        <v>698</v>
      </c>
      <c r="C1872" s="1">
        <v>45616</v>
      </c>
      <c r="D1872">
        <v>2403</v>
      </c>
      <c r="E1872" t="b">
        <v>0</v>
      </c>
      <c r="F1872">
        <v>268</v>
      </c>
      <c r="G1872" t="s">
        <v>700</v>
      </c>
      <c r="H1872" t="s">
        <v>792</v>
      </c>
      <c r="I1872" t="s">
        <v>2117</v>
      </c>
    </row>
    <row r="1873" spans="1:9" x14ac:dyDescent="0.35">
      <c r="A1873">
        <v>1643320</v>
      </c>
      <c r="B1873" t="s">
        <v>698</v>
      </c>
      <c r="C1873" s="1">
        <v>45616</v>
      </c>
      <c r="D1873">
        <v>2403</v>
      </c>
      <c r="E1873" t="b">
        <v>0</v>
      </c>
      <c r="F1873">
        <v>268</v>
      </c>
      <c r="G1873" t="s">
        <v>700</v>
      </c>
      <c r="H1873" t="s">
        <v>346</v>
      </c>
      <c r="I1873" t="s">
        <v>2116</v>
      </c>
    </row>
    <row r="1874" spans="1:9" x14ac:dyDescent="0.35">
      <c r="A1874">
        <v>1643320</v>
      </c>
      <c r="B1874" t="s">
        <v>698</v>
      </c>
      <c r="C1874" s="1">
        <v>45616</v>
      </c>
      <c r="D1874">
        <v>2403</v>
      </c>
      <c r="E1874" t="b">
        <v>0</v>
      </c>
      <c r="F1874">
        <v>268</v>
      </c>
      <c r="G1874" t="s">
        <v>700</v>
      </c>
      <c r="H1874" t="s">
        <v>239</v>
      </c>
      <c r="I1874" t="s">
        <v>2117</v>
      </c>
    </row>
    <row r="1875" spans="1:9" x14ac:dyDescent="0.35">
      <c r="A1875">
        <v>1643320</v>
      </c>
      <c r="B1875" t="s">
        <v>698</v>
      </c>
      <c r="C1875" s="1">
        <v>45616</v>
      </c>
      <c r="D1875">
        <v>2403</v>
      </c>
      <c r="E1875" t="b">
        <v>0</v>
      </c>
      <c r="F1875">
        <v>268</v>
      </c>
      <c r="G1875" t="s">
        <v>700</v>
      </c>
      <c r="H1875" t="s">
        <v>132</v>
      </c>
      <c r="I1875" t="s">
        <v>2116</v>
      </c>
    </row>
    <row r="1876" spans="1:9" x14ac:dyDescent="0.35">
      <c r="A1876">
        <v>1643320</v>
      </c>
      <c r="B1876" t="s">
        <v>698</v>
      </c>
      <c r="C1876" s="1">
        <v>45616</v>
      </c>
      <c r="D1876">
        <v>2403</v>
      </c>
      <c r="E1876" t="b">
        <v>0</v>
      </c>
      <c r="F1876">
        <v>268</v>
      </c>
      <c r="G1876" t="s">
        <v>700</v>
      </c>
      <c r="H1876" t="s">
        <v>124</v>
      </c>
      <c r="I1876" t="s">
        <v>2117</v>
      </c>
    </row>
    <row r="1877" spans="1:9" x14ac:dyDescent="0.35">
      <c r="A1877">
        <v>1643320</v>
      </c>
      <c r="B1877" t="s">
        <v>698</v>
      </c>
      <c r="C1877" s="1">
        <v>45616</v>
      </c>
      <c r="D1877">
        <v>2403</v>
      </c>
      <c r="E1877" t="b">
        <v>0</v>
      </c>
      <c r="F1877">
        <v>268</v>
      </c>
      <c r="G1877" t="s">
        <v>700</v>
      </c>
      <c r="H1877" t="s">
        <v>1510</v>
      </c>
      <c r="I1877" t="s">
        <v>2117</v>
      </c>
    </row>
    <row r="1878" spans="1:9" x14ac:dyDescent="0.35">
      <c r="A1878">
        <v>2162800</v>
      </c>
      <c r="B1878" t="s">
        <v>701</v>
      </c>
      <c r="C1878" s="1">
        <v>45519</v>
      </c>
      <c r="D1878">
        <v>2399</v>
      </c>
      <c r="E1878" t="b">
        <v>1</v>
      </c>
      <c r="F1878">
        <v>269</v>
      </c>
      <c r="G1878" t="s">
        <v>36</v>
      </c>
      <c r="H1878" t="s">
        <v>49</v>
      </c>
      <c r="I1878" t="s">
        <v>2117</v>
      </c>
    </row>
    <row r="1879" spans="1:9" x14ac:dyDescent="0.35">
      <c r="A1879">
        <v>2162800</v>
      </c>
      <c r="B1879" t="s">
        <v>701</v>
      </c>
      <c r="C1879" s="1">
        <v>45519</v>
      </c>
      <c r="D1879">
        <v>2399</v>
      </c>
      <c r="E1879" t="b">
        <v>1</v>
      </c>
      <c r="F1879">
        <v>269</v>
      </c>
      <c r="G1879" t="s">
        <v>36</v>
      </c>
      <c r="H1879" t="s">
        <v>792</v>
      </c>
      <c r="I1879" t="s">
        <v>2116</v>
      </c>
    </row>
    <row r="1880" spans="1:9" x14ac:dyDescent="0.35">
      <c r="A1880">
        <v>2162800</v>
      </c>
      <c r="B1880" t="s">
        <v>701</v>
      </c>
      <c r="C1880" s="1">
        <v>45519</v>
      </c>
      <c r="D1880">
        <v>2399</v>
      </c>
      <c r="E1880" t="b">
        <v>1</v>
      </c>
      <c r="F1880">
        <v>269</v>
      </c>
      <c r="G1880" t="s">
        <v>36</v>
      </c>
      <c r="H1880" t="s">
        <v>346</v>
      </c>
      <c r="I1880" t="s">
        <v>2117</v>
      </c>
    </row>
    <row r="1881" spans="1:9" x14ac:dyDescent="0.35">
      <c r="A1881">
        <v>2162800</v>
      </c>
      <c r="B1881" t="s">
        <v>701</v>
      </c>
      <c r="C1881" s="1">
        <v>45519</v>
      </c>
      <c r="D1881">
        <v>2399</v>
      </c>
      <c r="E1881" t="b">
        <v>1</v>
      </c>
      <c r="F1881">
        <v>269</v>
      </c>
      <c r="G1881" t="s">
        <v>36</v>
      </c>
      <c r="H1881" t="s">
        <v>239</v>
      </c>
      <c r="I1881" t="s">
        <v>2116</v>
      </c>
    </row>
    <row r="1882" spans="1:9" x14ac:dyDescent="0.35">
      <c r="A1882">
        <v>2162800</v>
      </c>
      <c r="B1882" t="s">
        <v>701</v>
      </c>
      <c r="C1882" s="1">
        <v>45519</v>
      </c>
      <c r="D1882">
        <v>2399</v>
      </c>
      <c r="E1882" t="b">
        <v>1</v>
      </c>
      <c r="F1882">
        <v>269</v>
      </c>
      <c r="G1882" t="s">
        <v>36</v>
      </c>
      <c r="H1882" t="s">
        <v>132</v>
      </c>
      <c r="I1882" t="s">
        <v>2117</v>
      </c>
    </row>
    <row r="1883" spans="1:9" x14ac:dyDescent="0.35">
      <c r="A1883">
        <v>2162800</v>
      </c>
      <c r="B1883" t="s">
        <v>701</v>
      </c>
      <c r="C1883" s="1">
        <v>45519</v>
      </c>
      <c r="D1883">
        <v>2399</v>
      </c>
      <c r="E1883" t="b">
        <v>1</v>
      </c>
      <c r="F1883">
        <v>269</v>
      </c>
      <c r="G1883" t="s">
        <v>36</v>
      </c>
      <c r="H1883" t="s">
        <v>124</v>
      </c>
      <c r="I1883" t="s">
        <v>2116</v>
      </c>
    </row>
    <row r="1884" spans="1:9" x14ac:dyDescent="0.35">
      <c r="A1884">
        <v>2162800</v>
      </c>
      <c r="B1884" t="s">
        <v>701</v>
      </c>
      <c r="C1884" s="1">
        <v>45519</v>
      </c>
      <c r="D1884">
        <v>2399</v>
      </c>
      <c r="E1884" t="b">
        <v>1</v>
      </c>
      <c r="F1884">
        <v>269</v>
      </c>
      <c r="G1884" t="s">
        <v>36</v>
      </c>
      <c r="H1884" t="s">
        <v>1510</v>
      </c>
      <c r="I1884" t="s">
        <v>2117</v>
      </c>
    </row>
    <row r="1885" spans="1:9" x14ac:dyDescent="0.35">
      <c r="A1885">
        <v>962130</v>
      </c>
      <c r="B1885" t="s">
        <v>704</v>
      </c>
      <c r="C1885" s="1">
        <v>44831</v>
      </c>
      <c r="D1885">
        <v>2394</v>
      </c>
      <c r="E1885" t="b">
        <v>0</v>
      </c>
      <c r="F1885">
        <v>270</v>
      </c>
      <c r="G1885" t="s">
        <v>53</v>
      </c>
      <c r="H1885" t="s">
        <v>49</v>
      </c>
      <c r="I1885" t="s">
        <v>2116</v>
      </c>
    </row>
    <row r="1886" spans="1:9" x14ac:dyDescent="0.35">
      <c r="A1886">
        <v>962130</v>
      </c>
      <c r="B1886" t="s">
        <v>704</v>
      </c>
      <c r="C1886" s="1">
        <v>44831</v>
      </c>
      <c r="D1886">
        <v>2394</v>
      </c>
      <c r="E1886" t="b">
        <v>0</v>
      </c>
      <c r="F1886">
        <v>270</v>
      </c>
      <c r="G1886" t="s">
        <v>53</v>
      </c>
      <c r="H1886" t="s">
        <v>792</v>
      </c>
      <c r="I1886" t="s">
        <v>2117</v>
      </c>
    </row>
    <row r="1887" spans="1:9" x14ac:dyDescent="0.35">
      <c r="A1887">
        <v>962130</v>
      </c>
      <c r="B1887" t="s">
        <v>704</v>
      </c>
      <c r="C1887" s="1">
        <v>44831</v>
      </c>
      <c r="D1887">
        <v>2394</v>
      </c>
      <c r="E1887" t="b">
        <v>0</v>
      </c>
      <c r="F1887">
        <v>270</v>
      </c>
      <c r="G1887" t="s">
        <v>53</v>
      </c>
      <c r="H1887" t="s">
        <v>346</v>
      </c>
      <c r="I1887" t="s">
        <v>2116</v>
      </c>
    </row>
    <row r="1888" spans="1:9" x14ac:dyDescent="0.35">
      <c r="A1888">
        <v>962130</v>
      </c>
      <c r="B1888" t="s">
        <v>704</v>
      </c>
      <c r="C1888" s="1">
        <v>44831</v>
      </c>
      <c r="D1888">
        <v>2394</v>
      </c>
      <c r="E1888" t="b">
        <v>0</v>
      </c>
      <c r="F1888">
        <v>270</v>
      </c>
      <c r="G1888" t="s">
        <v>53</v>
      </c>
      <c r="H1888" t="s">
        <v>239</v>
      </c>
      <c r="I1888" t="s">
        <v>2117</v>
      </c>
    </row>
    <row r="1889" spans="1:9" x14ac:dyDescent="0.35">
      <c r="A1889">
        <v>962130</v>
      </c>
      <c r="B1889" t="s">
        <v>704</v>
      </c>
      <c r="C1889" s="1">
        <v>44831</v>
      </c>
      <c r="D1889">
        <v>2394</v>
      </c>
      <c r="E1889" t="b">
        <v>0</v>
      </c>
      <c r="F1889">
        <v>270</v>
      </c>
      <c r="G1889" t="s">
        <v>53</v>
      </c>
      <c r="H1889" t="s">
        <v>132</v>
      </c>
      <c r="I1889" t="s">
        <v>2117</v>
      </c>
    </row>
    <row r="1890" spans="1:9" x14ac:dyDescent="0.35">
      <c r="A1890">
        <v>962130</v>
      </c>
      <c r="B1890" t="s">
        <v>704</v>
      </c>
      <c r="C1890" s="1">
        <v>44831</v>
      </c>
      <c r="D1890">
        <v>2394</v>
      </c>
      <c r="E1890" t="b">
        <v>0</v>
      </c>
      <c r="F1890">
        <v>270</v>
      </c>
      <c r="G1890" t="s">
        <v>53</v>
      </c>
      <c r="H1890" t="s">
        <v>124</v>
      </c>
      <c r="I1890" t="s">
        <v>2117</v>
      </c>
    </row>
    <row r="1891" spans="1:9" x14ac:dyDescent="0.35">
      <c r="A1891">
        <v>962130</v>
      </c>
      <c r="B1891" t="s">
        <v>704</v>
      </c>
      <c r="C1891" s="1">
        <v>44831</v>
      </c>
      <c r="D1891">
        <v>2394</v>
      </c>
      <c r="E1891" t="b">
        <v>0</v>
      </c>
      <c r="F1891">
        <v>270</v>
      </c>
      <c r="G1891" t="s">
        <v>53</v>
      </c>
      <c r="H1891" t="s">
        <v>1510</v>
      </c>
      <c r="I1891" t="s">
        <v>2117</v>
      </c>
    </row>
    <row r="1892" spans="1:9" x14ac:dyDescent="0.35">
      <c r="A1892">
        <v>1787090</v>
      </c>
      <c r="B1892" t="s">
        <v>706</v>
      </c>
      <c r="C1892" s="1">
        <v>44525</v>
      </c>
      <c r="D1892">
        <v>2384</v>
      </c>
      <c r="E1892" t="b">
        <v>0</v>
      </c>
      <c r="F1892">
        <v>271</v>
      </c>
      <c r="G1892" t="s">
        <v>14</v>
      </c>
      <c r="H1892" t="s">
        <v>49</v>
      </c>
      <c r="I1892" t="s">
        <v>2117</v>
      </c>
    </row>
    <row r="1893" spans="1:9" x14ac:dyDescent="0.35">
      <c r="A1893">
        <v>1787090</v>
      </c>
      <c r="B1893" t="s">
        <v>706</v>
      </c>
      <c r="C1893" s="1">
        <v>44525</v>
      </c>
      <c r="D1893">
        <v>2384</v>
      </c>
      <c r="E1893" t="b">
        <v>0</v>
      </c>
      <c r="F1893">
        <v>271</v>
      </c>
      <c r="G1893" t="s">
        <v>14</v>
      </c>
      <c r="H1893" t="s">
        <v>792</v>
      </c>
      <c r="I1893" t="s">
        <v>2117</v>
      </c>
    </row>
    <row r="1894" spans="1:9" x14ac:dyDescent="0.35">
      <c r="A1894">
        <v>1787090</v>
      </c>
      <c r="B1894" t="s">
        <v>706</v>
      </c>
      <c r="C1894" s="1">
        <v>44525</v>
      </c>
      <c r="D1894">
        <v>2384</v>
      </c>
      <c r="E1894" t="b">
        <v>0</v>
      </c>
      <c r="F1894">
        <v>271</v>
      </c>
      <c r="G1894" t="s">
        <v>14</v>
      </c>
      <c r="H1894" t="s">
        <v>346</v>
      </c>
      <c r="I1894" t="s">
        <v>2117</v>
      </c>
    </row>
    <row r="1895" spans="1:9" x14ac:dyDescent="0.35">
      <c r="A1895">
        <v>1787090</v>
      </c>
      <c r="B1895" t="s">
        <v>706</v>
      </c>
      <c r="C1895" s="1">
        <v>44525</v>
      </c>
      <c r="D1895">
        <v>2384</v>
      </c>
      <c r="E1895" t="b">
        <v>0</v>
      </c>
      <c r="F1895">
        <v>271</v>
      </c>
      <c r="G1895" t="s">
        <v>14</v>
      </c>
      <c r="H1895" t="s">
        <v>239</v>
      </c>
      <c r="I1895" t="s">
        <v>2117</v>
      </c>
    </row>
    <row r="1896" spans="1:9" x14ac:dyDescent="0.35">
      <c r="A1896">
        <v>1787090</v>
      </c>
      <c r="B1896" t="s">
        <v>706</v>
      </c>
      <c r="C1896" s="1">
        <v>44525</v>
      </c>
      <c r="D1896">
        <v>2384</v>
      </c>
      <c r="E1896" t="b">
        <v>0</v>
      </c>
      <c r="F1896">
        <v>271</v>
      </c>
      <c r="G1896" t="s">
        <v>14</v>
      </c>
      <c r="H1896" t="s">
        <v>132</v>
      </c>
      <c r="I1896" t="s">
        <v>2117</v>
      </c>
    </row>
    <row r="1897" spans="1:9" x14ac:dyDescent="0.35">
      <c r="A1897">
        <v>1787090</v>
      </c>
      <c r="B1897" t="s">
        <v>706</v>
      </c>
      <c r="C1897" s="1">
        <v>44525</v>
      </c>
      <c r="D1897">
        <v>2384</v>
      </c>
      <c r="E1897" t="b">
        <v>0</v>
      </c>
      <c r="F1897">
        <v>271</v>
      </c>
      <c r="G1897" t="s">
        <v>14</v>
      </c>
      <c r="H1897" t="s">
        <v>124</v>
      </c>
      <c r="I1897" t="s">
        <v>2117</v>
      </c>
    </row>
    <row r="1898" spans="1:9" x14ac:dyDescent="0.35">
      <c r="A1898">
        <v>1787090</v>
      </c>
      <c r="B1898" t="s">
        <v>706</v>
      </c>
      <c r="C1898" s="1">
        <v>44525</v>
      </c>
      <c r="D1898">
        <v>2384</v>
      </c>
      <c r="E1898" t="b">
        <v>0</v>
      </c>
      <c r="F1898">
        <v>271</v>
      </c>
      <c r="G1898" t="s">
        <v>14</v>
      </c>
      <c r="H1898" t="s">
        <v>1510</v>
      </c>
      <c r="I1898" t="s">
        <v>2117</v>
      </c>
    </row>
    <row r="1899" spans="1:9" x14ac:dyDescent="0.35">
      <c r="A1899">
        <v>219990</v>
      </c>
      <c r="B1899" t="s">
        <v>708</v>
      </c>
      <c r="C1899" s="1">
        <v>42425</v>
      </c>
      <c r="D1899">
        <v>2376</v>
      </c>
      <c r="E1899" t="b">
        <v>0</v>
      </c>
      <c r="F1899">
        <v>272</v>
      </c>
      <c r="G1899" t="s">
        <v>2093</v>
      </c>
      <c r="H1899" t="s">
        <v>49</v>
      </c>
      <c r="I1899" t="s">
        <v>2116</v>
      </c>
    </row>
    <row r="1900" spans="1:9" x14ac:dyDescent="0.35">
      <c r="A1900">
        <v>219990</v>
      </c>
      <c r="B1900" t="s">
        <v>708</v>
      </c>
      <c r="C1900" s="1">
        <v>42425</v>
      </c>
      <c r="D1900">
        <v>2376</v>
      </c>
      <c r="E1900" t="b">
        <v>0</v>
      </c>
      <c r="F1900">
        <v>272</v>
      </c>
      <c r="G1900" t="s">
        <v>2093</v>
      </c>
      <c r="H1900" t="s">
        <v>792</v>
      </c>
      <c r="I1900" t="s">
        <v>2116</v>
      </c>
    </row>
    <row r="1901" spans="1:9" x14ac:dyDescent="0.35">
      <c r="A1901">
        <v>219990</v>
      </c>
      <c r="B1901" t="s">
        <v>708</v>
      </c>
      <c r="C1901" s="1">
        <v>42425</v>
      </c>
      <c r="D1901">
        <v>2376</v>
      </c>
      <c r="E1901" t="b">
        <v>0</v>
      </c>
      <c r="F1901">
        <v>272</v>
      </c>
      <c r="G1901" t="s">
        <v>2093</v>
      </c>
      <c r="H1901" t="s">
        <v>346</v>
      </c>
      <c r="I1901" t="s">
        <v>2116</v>
      </c>
    </row>
    <row r="1902" spans="1:9" x14ac:dyDescent="0.35">
      <c r="A1902">
        <v>219990</v>
      </c>
      <c r="B1902" t="s">
        <v>708</v>
      </c>
      <c r="C1902" s="1">
        <v>42425</v>
      </c>
      <c r="D1902">
        <v>2376</v>
      </c>
      <c r="E1902" t="b">
        <v>0</v>
      </c>
      <c r="F1902">
        <v>272</v>
      </c>
      <c r="G1902" t="s">
        <v>2093</v>
      </c>
      <c r="H1902" t="s">
        <v>239</v>
      </c>
      <c r="I1902" t="s">
        <v>2117</v>
      </c>
    </row>
    <row r="1903" spans="1:9" x14ac:dyDescent="0.35">
      <c r="A1903">
        <v>219990</v>
      </c>
      <c r="B1903" t="s">
        <v>708</v>
      </c>
      <c r="C1903" s="1">
        <v>42425</v>
      </c>
      <c r="D1903">
        <v>2376</v>
      </c>
      <c r="E1903" t="b">
        <v>0</v>
      </c>
      <c r="F1903">
        <v>272</v>
      </c>
      <c r="G1903" t="s">
        <v>2093</v>
      </c>
      <c r="H1903" t="s">
        <v>132</v>
      </c>
      <c r="I1903" t="s">
        <v>2116</v>
      </c>
    </row>
    <row r="1904" spans="1:9" x14ac:dyDescent="0.35">
      <c r="A1904">
        <v>219990</v>
      </c>
      <c r="B1904" t="s">
        <v>708</v>
      </c>
      <c r="C1904" s="1">
        <v>42425</v>
      </c>
      <c r="D1904">
        <v>2376</v>
      </c>
      <c r="E1904" t="b">
        <v>0</v>
      </c>
      <c r="F1904">
        <v>272</v>
      </c>
      <c r="G1904" t="s">
        <v>2093</v>
      </c>
      <c r="H1904" t="s">
        <v>124</v>
      </c>
      <c r="I1904" t="s">
        <v>2117</v>
      </c>
    </row>
    <row r="1905" spans="1:9" x14ac:dyDescent="0.35">
      <c r="A1905">
        <v>219990</v>
      </c>
      <c r="B1905" t="s">
        <v>708</v>
      </c>
      <c r="C1905" s="1">
        <v>42425</v>
      </c>
      <c r="D1905">
        <v>2376</v>
      </c>
      <c r="E1905" t="b">
        <v>0</v>
      </c>
      <c r="F1905">
        <v>272</v>
      </c>
      <c r="G1905" t="s">
        <v>2093</v>
      </c>
      <c r="H1905" t="s">
        <v>1510</v>
      </c>
      <c r="I1905" t="s">
        <v>2117</v>
      </c>
    </row>
    <row r="1906" spans="1:9" x14ac:dyDescent="0.35">
      <c r="A1906">
        <v>602960</v>
      </c>
      <c r="B1906" t="s">
        <v>710</v>
      </c>
      <c r="C1906" s="1">
        <v>44998</v>
      </c>
      <c r="D1906">
        <v>2371</v>
      </c>
      <c r="E1906" t="b">
        <v>1</v>
      </c>
      <c r="F1906">
        <v>273</v>
      </c>
      <c r="G1906" t="s">
        <v>304</v>
      </c>
      <c r="H1906" t="s">
        <v>49</v>
      </c>
      <c r="I1906" t="s">
        <v>2116</v>
      </c>
    </row>
    <row r="1907" spans="1:9" x14ac:dyDescent="0.35">
      <c r="A1907">
        <v>602960</v>
      </c>
      <c r="B1907" t="s">
        <v>710</v>
      </c>
      <c r="C1907" s="1">
        <v>44998</v>
      </c>
      <c r="D1907">
        <v>2371</v>
      </c>
      <c r="E1907" t="b">
        <v>1</v>
      </c>
      <c r="F1907">
        <v>273</v>
      </c>
      <c r="G1907" t="s">
        <v>304</v>
      </c>
      <c r="H1907" t="s">
        <v>792</v>
      </c>
      <c r="I1907" t="s">
        <v>2116</v>
      </c>
    </row>
    <row r="1908" spans="1:9" x14ac:dyDescent="0.35">
      <c r="A1908">
        <v>602960</v>
      </c>
      <c r="B1908" t="s">
        <v>710</v>
      </c>
      <c r="C1908" s="1">
        <v>44998</v>
      </c>
      <c r="D1908">
        <v>2371</v>
      </c>
      <c r="E1908" t="b">
        <v>1</v>
      </c>
      <c r="F1908">
        <v>273</v>
      </c>
      <c r="G1908" t="s">
        <v>304</v>
      </c>
      <c r="H1908" t="s">
        <v>346</v>
      </c>
      <c r="I1908" t="s">
        <v>2117</v>
      </c>
    </row>
    <row r="1909" spans="1:9" x14ac:dyDescent="0.35">
      <c r="A1909">
        <v>602960</v>
      </c>
      <c r="B1909" t="s">
        <v>710</v>
      </c>
      <c r="C1909" s="1">
        <v>44998</v>
      </c>
      <c r="D1909">
        <v>2371</v>
      </c>
      <c r="E1909" t="b">
        <v>1</v>
      </c>
      <c r="F1909">
        <v>273</v>
      </c>
      <c r="G1909" t="s">
        <v>304</v>
      </c>
      <c r="H1909" t="s">
        <v>239</v>
      </c>
      <c r="I1909" t="s">
        <v>2116</v>
      </c>
    </row>
    <row r="1910" spans="1:9" x14ac:dyDescent="0.35">
      <c r="A1910">
        <v>602960</v>
      </c>
      <c r="B1910" t="s">
        <v>710</v>
      </c>
      <c r="C1910" s="1">
        <v>44998</v>
      </c>
      <c r="D1910">
        <v>2371</v>
      </c>
      <c r="E1910" t="b">
        <v>1</v>
      </c>
      <c r="F1910">
        <v>273</v>
      </c>
      <c r="G1910" t="s">
        <v>304</v>
      </c>
      <c r="H1910" t="s">
        <v>132</v>
      </c>
      <c r="I1910" t="s">
        <v>2117</v>
      </c>
    </row>
    <row r="1911" spans="1:9" x14ac:dyDescent="0.35">
      <c r="A1911">
        <v>602960</v>
      </c>
      <c r="B1911" t="s">
        <v>710</v>
      </c>
      <c r="C1911" s="1">
        <v>44998</v>
      </c>
      <c r="D1911">
        <v>2371</v>
      </c>
      <c r="E1911" t="b">
        <v>1</v>
      </c>
      <c r="F1911">
        <v>273</v>
      </c>
      <c r="G1911" t="s">
        <v>304</v>
      </c>
      <c r="H1911" t="s">
        <v>124</v>
      </c>
      <c r="I1911" t="s">
        <v>2116</v>
      </c>
    </row>
    <row r="1912" spans="1:9" x14ac:dyDescent="0.35">
      <c r="A1912">
        <v>602960</v>
      </c>
      <c r="B1912" t="s">
        <v>710</v>
      </c>
      <c r="C1912" s="1">
        <v>44998</v>
      </c>
      <c r="D1912">
        <v>2371</v>
      </c>
      <c r="E1912" t="b">
        <v>1</v>
      </c>
      <c r="F1912">
        <v>273</v>
      </c>
      <c r="G1912" t="s">
        <v>304</v>
      </c>
      <c r="H1912" t="s">
        <v>1510</v>
      </c>
      <c r="I1912" t="s">
        <v>2117</v>
      </c>
    </row>
    <row r="1913" spans="1:9" x14ac:dyDescent="0.35">
      <c r="A1913">
        <v>1774580</v>
      </c>
      <c r="B1913" t="s">
        <v>712</v>
      </c>
      <c r="C1913" s="1">
        <v>45043</v>
      </c>
      <c r="D1913">
        <v>2353</v>
      </c>
      <c r="E1913" t="b">
        <v>0</v>
      </c>
      <c r="F1913">
        <v>274</v>
      </c>
      <c r="G1913" t="s">
        <v>119</v>
      </c>
      <c r="H1913" t="s">
        <v>49</v>
      </c>
      <c r="I1913" t="s">
        <v>2116</v>
      </c>
    </row>
    <row r="1914" spans="1:9" x14ac:dyDescent="0.35">
      <c r="A1914">
        <v>1774580</v>
      </c>
      <c r="B1914" t="s">
        <v>712</v>
      </c>
      <c r="C1914" s="1">
        <v>45043</v>
      </c>
      <c r="D1914">
        <v>2353</v>
      </c>
      <c r="E1914" t="b">
        <v>0</v>
      </c>
      <c r="F1914">
        <v>274</v>
      </c>
      <c r="G1914" t="s">
        <v>119</v>
      </c>
      <c r="H1914" t="s">
        <v>792</v>
      </c>
      <c r="I1914" t="s">
        <v>2117</v>
      </c>
    </row>
    <row r="1915" spans="1:9" x14ac:dyDescent="0.35">
      <c r="A1915">
        <v>1774580</v>
      </c>
      <c r="B1915" t="s">
        <v>712</v>
      </c>
      <c r="C1915" s="1">
        <v>45043</v>
      </c>
      <c r="D1915">
        <v>2353</v>
      </c>
      <c r="E1915" t="b">
        <v>0</v>
      </c>
      <c r="F1915">
        <v>274</v>
      </c>
      <c r="G1915" t="s">
        <v>119</v>
      </c>
      <c r="H1915" t="s">
        <v>346</v>
      </c>
      <c r="I1915" t="s">
        <v>2116</v>
      </c>
    </row>
    <row r="1916" spans="1:9" x14ac:dyDescent="0.35">
      <c r="A1916">
        <v>1774580</v>
      </c>
      <c r="B1916" t="s">
        <v>712</v>
      </c>
      <c r="C1916" s="1">
        <v>45043</v>
      </c>
      <c r="D1916">
        <v>2353</v>
      </c>
      <c r="E1916" t="b">
        <v>0</v>
      </c>
      <c r="F1916">
        <v>274</v>
      </c>
      <c r="G1916" t="s">
        <v>119</v>
      </c>
      <c r="H1916" t="s">
        <v>239</v>
      </c>
      <c r="I1916" t="s">
        <v>2117</v>
      </c>
    </row>
    <row r="1917" spans="1:9" x14ac:dyDescent="0.35">
      <c r="A1917">
        <v>1774580</v>
      </c>
      <c r="B1917" t="s">
        <v>712</v>
      </c>
      <c r="C1917" s="1">
        <v>45043</v>
      </c>
      <c r="D1917">
        <v>2353</v>
      </c>
      <c r="E1917" t="b">
        <v>0</v>
      </c>
      <c r="F1917">
        <v>274</v>
      </c>
      <c r="G1917" t="s">
        <v>119</v>
      </c>
      <c r="H1917" t="s">
        <v>132</v>
      </c>
      <c r="I1917" t="s">
        <v>2117</v>
      </c>
    </row>
    <row r="1918" spans="1:9" x14ac:dyDescent="0.35">
      <c r="A1918">
        <v>1774580</v>
      </c>
      <c r="B1918" t="s">
        <v>712</v>
      </c>
      <c r="C1918" s="1">
        <v>45043</v>
      </c>
      <c r="D1918">
        <v>2353</v>
      </c>
      <c r="E1918" t="b">
        <v>0</v>
      </c>
      <c r="F1918">
        <v>274</v>
      </c>
      <c r="G1918" t="s">
        <v>119</v>
      </c>
      <c r="H1918" t="s">
        <v>124</v>
      </c>
      <c r="I1918" t="s">
        <v>2117</v>
      </c>
    </row>
    <row r="1919" spans="1:9" x14ac:dyDescent="0.35">
      <c r="A1919">
        <v>1774580</v>
      </c>
      <c r="B1919" t="s">
        <v>712</v>
      </c>
      <c r="C1919" s="1">
        <v>45043</v>
      </c>
      <c r="D1919">
        <v>2353</v>
      </c>
      <c r="E1919" t="b">
        <v>0</v>
      </c>
      <c r="F1919">
        <v>274</v>
      </c>
      <c r="G1919" t="s">
        <v>119</v>
      </c>
      <c r="H1919" t="s">
        <v>1510</v>
      </c>
      <c r="I1919" t="s">
        <v>2117</v>
      </c>
    </row>
    <row r="1920" spans="1:9" x14ac:dyDescent="0.35">
      <c r="A1920">
        <v>1222140</v>
      </c>
      <c r="B1920" t="s">
        <v>714</v>
      </c>
      <c r="C1920" s="1">
        <v>44000</v>
      </c>
      <c r="D1920">
        <v>2344</v>
      </c>
      <c r="E1920" t="b">
        <v>0</v>
      </c>
      <c r="F1920">
        <v>275</v>
      </c>
      <c r="G1920" t="s">
        <v>18</v>
      </c>
      <c r="H1920" t="s">
        <v>49</v>
      </c>
      <c r="I1920" t="s">
        <v>2116</v>
      </c>
    </row>
    <row r="1921" spans="1:9" x14ac:dyDescent="0.35">
      <c r="A1921">
        <v>1222140</v>
      </c>
      <c r="B1921" t="s">
        <v>714</v>
      </c>
      <c r="C1921" s="1">
        <v>44000</v>
      </c>
      <c r="D1921">
        <v>2344</v>
      </c>
      <c r="E1921" t="b">
        <v>0</v>
      </c>
      <c r="F1921">
        <v>275</v>
      </c>
      <c r="G1921" t="s">
        <v>18</v>
      </c>
      <c r="H1921" t="s">
        <v>792</v>
      </c>
      <c r="I1921" t="s">
        <v>2117</v>
      </c>
    </row>
    <row r="1922" spans="1:9" x14ac:dyDescent="0.35">
      <c r="A1922">
        <v>1222140</v>
      </c>
      <c r="B1922" t="s">
        <v>714</v>
      </c>
      <c r="C1922" s="1">
        <v>44000</v>
      </c>
      <c r="D1922">
        <v>2344</v>
      </c>
      <c r="E1922" t="b">
        <v>0</v>
      </c>
      <c r="F1922">
        <v>275</v>
      </c>
      <c r="G1922" t="s">
        <v>18</v>
      </c>
      <c r="H1922" t="s">
        <v>346</v>
      </c>
      <c r="I1922" t="s">
        <v>2116</v>
      </c>
    </row>
    <row r="1923" spans="1:9" x14ac:dyDescent="0.35">
      <c r="A1923">
        <v>1222140</v>
      </c>
      <c r="B1923" t="s">
        <v>714</v>
      </c>
      <c r="C1923" s="1">
        <v>44000</v>
      </c>
      <c r="D1923">
        <v>2344</v>
      </c>
      <c r="E1923" t="b">
        <v>0</v>
      </c>
      <c r="F1923">
        <v>275</v>
      </c>
      <c r="G1923" t="s">
        <v>18</v>
      </c>
      <c r="H1923" t="s">
        <v>239</v>
      </c>
      <c r="I1923" t="s">
        <v>2117</v>
      </c>
    </row>
    <row r="1924" spans="1:9" x14ac:dyDescent="0.35">
      <c r="A1924">
        <v>1222140</v>
      </c>
      <c r="B1924" t="s">
        <v>714</v>
      </c>
      <c r="C1924" s="1">
        <v>44000</v>
      </c>
      <c r="D1924">
        <v>2344</v>
      </c>
      <c r="E1924" t="b">
        <v>0</v>
      </c>
      <c r="F1924">
        <v>275</v>
      </c>
      <c r="G1924" t="s">
        <v>18</v>
      </c>
      <c r="H1924" t="s">
        <v>132</v>
      </c>
      <c r="I1924" t="s">
        <v>2117</v>
      </c>
    </row>
    <row r="1925" spans="1:9" x14ac:dyDescent="0.35">
      <c r="A1925">
        <v>1222140</v>
      </c>
      <c r="B1925" t="s">
        <v>714</v>
      </c>
      <c r="C1925" s="1">
        <v>44000</v>
      </c>
      <c r="D1925">
        <v>2344</v>
      </c>
      <c r="E1925" t="b">
        <v>0</v>
      </c>
      <c r="F1925">
        <v>275</v>
      </c>
      <c r="G1925" t="s">
        <v>18</v>
      </c>
      <c r="H1925" t="s">
        <v>124</v>
      </c>
      <c r="I1925" t="s">
        <v>2117</v>
      </c>
    </row>
    <row r="1926" spans="1:9" x14ac:dyDescent="0.35">
      <c r="A1926">
        <v>1222140</v>
      </c>
      <c r="B1926" t="s">
        <v>714</v>
      </c>
      <c r="C1926" s="1">
        <v>44000</v>
      </c>
      <c r="D1926">
        <v>2344</v>
      </c>
      <c r="E1926" t="b">
        <v>0</v>
      </c>
      <c r="F1926">
        <v>275</v>
      </c>
      <c r="G1926" t="s">
        <v>18</v>
      </c>
      <c r="H1926" t="s">
        <v>1510</v>
      </c>
      <c r="I1926" t="s">
        <v>2117</v>
      </c>
    </row>
    <row r="1927" spans="1:9" x14ac:dyDescent="0.35">
      <c r="A1927">
        <v>231430</v>
      </c>
      <c r="B1927" t="s">
        <v>716</v>
      </c>
      <c r="C1927" s="1">
        <v>41450</v>
      </c>
      <c r="D1927">
        <v>2330</v>
      </c>
      <c r="E1927" t="b">
        <v>1</v>
      </c>
      <c r="F1927">
        <v>276</v>
      </c>
      <c r="G1927" t="s">
        <v>2089</v>
      </c>
      <c r="H1927" t="s">
        <v>49</v>
      </c>
      <c r="I1927" t="s">
        <v>2117</v>
      </c>
    </row>
    <row r="1928" spans="1:9" x14ac:dyDescent="0.35">
      <c r="A1928">
        <v>231430</v>
      </c>
      <c r="B1928" t="s">
        <v>716</v>
      </c>
      <c r="C1928" s="1">
        <v>41450</v>
      </c>
      <c r="D1928">
        <v>2330</v>
      </c>
      <c r="E1928" t="b">
        <v>1</v>
      </c>
      <c r="F1928">
        <v>276</v>
      </c>
      <c r="G1928" t="s">
        <v>2089</v>
      </c>
      <c r="H1928" t="s">
        <v>792</v>
      </c>
      <c r="I1928" t="s">
        <v>2117</v>
      </c>
    </row>
    <row r="1929" spans="1:9" x14ac:dyDescent="0.35">
      <c r="A1929">
        <v>231430</v>
      </c>
      <c r="B1929" t="s">
        <v>716</v>
      </c>
      <c r="C1929" s="1">
        <v>41450</v>
      </c>
      <c r="D1929">
        <v>2330</v>
      </c>
      <c r="E1929" t="b">
        <v>1</v>
      </c>
      <c r="F1929">
        <v>276</v>
      </c>
      <c r="G1929" t="s">
        <v>2089</v>
      </c>
      <c r="H1929" t="s">
        <v>346</v>
      </c>
      <c r="I1929" t="s">
        <v>2117</v>
      </c>
    </row>
    <row r="1930" spans="1:9" x14ac:dyDescent="0.35">
      <c r="A1930">
        <v>231430</v>
      </c>
      <c r="B1930" t="s">
        <v>716</v>
      </c>
      <c r="C1930" s="1">
        <v>41450</v>
      </c>
      <c r="D1930">
        <v>2330</v>
      </c>
      <c r="E1930" t="b">
        <v>1</v>
      </c>
      <c r="F1930">
        <v>276</v>
      </c>
      <c r="G1930" t="s">
        <v>2089</v>
      </c>
      <c r="H1930" t="s">
        <v>239</v>
      </c>
      <c r="I1930" t="s">
        <v>2117</v>
      </c>
    </row>
    <row r="1931" spans="1:9" x14ac:dyDescent="0.35">
      <c r="A1931">
        <v>231430</v>
      </c>
      <c r="B1931" t="s">
        <v>716</v>
      </c>
      <c r="C1931" s="1">
        <v>41450</v>
      </c>
      <c r="D1931">
        <v>2330</v>
      </c>
      <c r="E1931" t="b">
        <v>1</v>
      </c>
      <c r="F1931">
        <v>276</v>
      </c>
      <c r="G1931" t="s">
        <v>2089</v>
      </c>
      <c r="H1931" t="s">
        <v>132</v>
      </c>
      <c r="I1931" t="s">
        <v>2117</v>
      </c>
    </row>
    <row r="1932" spans="1:9" x14ac:dyDescent="0.35">
      <c r="A1932">
        <v>231430</v>
      </c>
      <c r="B1932" t="s">
        <v>716</v>
      </c>
      <c r="C1932" s="1">
        <v>41450</v>
      </c>
      <c r="D1932">
        <v>2330</v>
      </c>
      <c r="E1932" t="b">
        <v>1</v>
      </c>
      <c r="F1932">
        <v>276</v>
      </c>
      <c r="G1932" t="s">
        <v>2089</v>
      </c>
      <c r="H1932" t="s">
        <v>124</v>
      </c>
      <c r="I1932" t="s">
        <v>2116</v>
      </c>
    </row>
    <row r="1933" spans="1:9" x14ac:dyDescent="0.35">
      <c r="A1933">
        <v>231430</v>
      </c>
      <c r="B1933" t="s">
        <v>716</v>
      </c>
      <c r="C1933" s="1">
        <v>41450</v>
      </c>
      <c r="D1933">
        <v>2330</v>
      </c>
      <c r="E1933" t="b">
        <v>1</v>
      </c>
      <c r="F1933">
        <v>276</v>
      </c>
      <c r="G1933" t="s">
        <v>2089</v>
      </c>
      <c r="H1933" t="s">
        <v>1510</v>
      </c>
      <c r="I1933" t="s">
        <v>2117</v>
      </c>
    </row>
    <row r="1934" spans="1:9" x14ac:dyDescent="0.35">
      <c r="A1934">
        <v>1608450</v>
      </c>
      <c r="B1934" t="s">
        <v>718</v>
      </c>
      <c r="C1934" s="1">
        <v>44707</v>
      </c>
      <c r="D1934">
        <v>2313</v>
      </c>
      <c r="E1934" t="b">
        <v>0</v>
      </c>
      <c r="F1934">
        <v>277</v>
      </c>
      <c r="G1934" t="s">
        <v>304</v>
      </c>
      <c r="H1934" t="s">
        <v>49</v>
      </c>
      <c r="I1934" t="s">
        <v>2117</v>
      </c>
    </row>
    <row r="1935" spans="1:9" x14ac:dyDescent="0.35">
      <c r="A1935">
        <v>1608450</v>
      </c>
      <c r="B1935" t="s">
        <v>718</v>
      </c>
      <c r="C1935" s="1">
        <v>44707</v>
      </c>
      <c r="D1935">
        <v>2313</v>
      </c>
      <c r="E1935" t="b">
        <v>0</v>
      </c>
      <c r="F1935">
        <v>277</v>
      </c>
      <c r="G1935" t="s">
        <v>304</v>
      </c>
      <c r="H1935" t="s">
        <v>792</v>
      </c>
      <c r="I1935" t="s">
        <v>2116</v>
      </c>
    </row>
    <row r="1936" spans="1:9" x14ac:dyDescent="0.35">
      <c r="A1936">
        <v>1608450</v>
      </c>
      <c r="B1936" t="s">
        <v>718</v>
      </c>
      <c r="C1936" s="1">
        <v>44707</v>
      </c>
      <c r="D1936">
        <v>2313</v>
      </c>
      <c r="E1936" t="b">
        <v>0</v>
      </c>
      <c r="F1936">
        <v>277</v>
      </c>
      <c r="G1936" t="s">
        <v>304</v>
      </c>
      <c r="H1936" t="s">
        <v>346</v>
      </c>
      <c r="I1936" t="s">
        <v>2116</v>
      </c>
    </row>
    <row r="1937" spans="1:9" x14ac:dyDescent="0.35">
      <c r="A1937">
        <v>1608450</v>
      </c>
      <c r="B1937" t="s">
        <v>718</v>
      </c>
      <c r="C1937" s="1">
        <v>44707</v>
      </c>
      <c r="D1937">
        <v>2313</v>
      </c>
      <c r="E1937" t="b">
        <v>0</v>
      </c>
      <c r="F1937">
        <v>277</v>
      </c>
      <c r="G1937" t="s">
        <v>304</v>
      </c>
      <c r="H1937" t="s">
        <v>239</v>
      </c>
      <c r="I1937" t="s">
        <v>2117</v>
      </c>
    </row>
    <row r="1938" spans="1:9" x14ac:dyDescent="0.35">
      <c r="A1938">
        <v>1608450</v>
      </c>
      <c r="B1938" t="s">
        <v>718</v>
      </c>
      <c r="C1938" s="1">
        <v>44707</v>
      </c>
      <c r="D1938">
        <v>2313</v>
      </c>
      <c r="E1938" t="b">
        <v>0</v>
      </c>
      <c r="F1938">
        <v>277</v>
      </c>
      <c r="G1938" t="s">
        <v>304</v>
      </c>
      <c r="H1938" t="s">
        <v>132</v>
      </c>
      <c r="I1938" t="s">
        <v>2116</v>
      </c>
    </row>
    <row r="1939" spans="1:9" x14ac:dyDescent="0.35">
      <c r="A1939">
        <v>1608450</v>
      </c>
      <c r="B1939" t="s">
        <v>718</v>
      </c>
      <c r="C1939" s="1">
        <v>44707</v>
      </c>
      <c r="D1939">
        <v>2313</v>
      </c>
      <c r="E1939" t="b">
        <v>0</v>
      </c>
      <c r="F1939">
        <v>277</v>
      </c>
      <c r="G1939" t="s">
        <v>304</v>
      </c>
      <c r="H1939" t="s">
        <v>124</v>
      </c>
      <c r="I1939" t="s">
        <v>2116</v>
      </c>
    </row>
    <row r="1940" spans="1:9" x14ac:dyDescent="0.35">
      <c r="A1940">
        <v>1608450</v>
      </c>
      <c r="B1940" t="s">
        <v>718</v>
      </c>
      <c r="C1940" s="1">
        <v>44707</v>
      </c>
      <c r="D1940">
        <v>2313</v>
      </c>
      <c r="E1940" t="b">
        <v>0</v>
      </c>
      <c r="F1940">
        <v>277</v>
      </c>
      <c r="G1940" t="s">
        <v>304</v>
      </c>
      <c r="H1940" t="s">
        <v>1510</v>
      </c>
      <c r="I1940" t="s">
        <v>2117</v>
      </c>
    </row>
    <row r="1941" spans="1:9" x14ac:dyDescent="0.35">
      <c r="A1941">
        <v>221380</v>
      </c>
      <c r="B1941" t="s">
        <v>721</v>
      </c>
      <c r="C1941" s="1">
        <v>41373</v>
      </c>
      <c r="D1941">
        <v>2278</v>
      </c>
      <c r="E1941" t="b">
        <v>0</v>
      </c>
      <c r="F1941">
        <v>278</v>
      </c>
      <c r="G1941" t="s">
        <v>2084</v>
      </c>
      <c r="H1941" t="s">
        <v>49</v>
      </c>
      <c r="I1941" t="s">
        <v>2117</v>
      </c>
    </row>
    <row r="1942" spans="1:9" x14ac:dyDescent="0.35">
      <c r="A1942">
        <v>221380</v>
      </c>
      <c r="B1942" t="s">
        <v>721</v>
      </c>
      <c r="C1942" s="1">
        <v>41373</v>
      </c>
      <c r="D1942">
        <v>2278</v>
      </c>
      <c r="E1942" t="b">
        <v>0</v>
      </c>
      <c r="F1942">
        <v>278</v>
      </c>
      <c r="G1942" t="s">
        <v>2084</v>
      </c>
      <c r="H1942" t="s">
        <v>792</v>
      </c>
      <c r="I1942" t="s">
        <v>2117</v>
      </c>
    </row>
    <row r="1943" spans="1:9" x14ac:dyDescent="0.35">
      <c r="A1943">
        <v>221380</v>
      </c>
      <c r="B1943" t="s">
        <v>721</v>
      </c>
      <c r="C1943" s="1">
        <v>41373</v>
      </c>
      <c r="D1943">
        <v>2278</v>
      </c>
      <c r="E1943" t="b">
        <v>0</v>
      </c>
      <c r="F1943">
        <v>278</v>
      </c>
      <c r="G1943" t="s">
        <v>2084</v>
      </c>
      <c r="H1943" t="s">
        <v>346</v>
      </c>
      <c r="I1943" t="s">
        <v>2117</v>
      </c>
    </row>
    <row r="1944" spans="1:9" x14ac:dyDescent="0.35">
      <c r="A1944">
        <v>221380</v>
      </c>
      <c r="B1944" t="s">
        <v>721</v>
      </c>
      <c r="C1944" s="1">
        <v>41373</v>
      </c>
      <c r="D1944">
        <v>2278</v>
      </c>
      <c r="E1944" t="b">
        <v>0</v>
      </c>
      <c r="F1944">
        <v>278</v>
      </c>
      <c r="G1944" t="s">
        <v>2084</v>
      </c>
      <c r="H1944" t="s">
        <v>239</v>
      </c>
      <c r="I1944" t="s">
        <v>2117</v>
      </c>
    </row>
    <row r="1945" spans="1:9" x14ac:dyDescent="0.35">
      <c r="A1945">
        <v>221380</v>
      </c>
      <c r="B1945" t="s">
        <v>721</v>
      </c>
      <c r="C1945" s="1">
        <v>41373</v>
      </c>
      <c r="D1945">
        <v>2278</v>
      </c>
      <c r="E1945" t="b">
        <v>0</v>
      </c>
      <c r="F1945">
        <v>278</v>
      </c>
      <c r="G1945" t="s">
        <v>2084</v>
      </c>
      <c r="H1945" t="s">
        <v>132</v>
      </c>
      <c r="I1945" t="s">
        <v>2117</v>
      </c>
    </row>
    <row r="1946" spans="1:9" x14ac:dyDescent="0.35">
      <c r="A1946">
        <v>221380</v>
      </c>
      <c r="B1946" t="s">
        <v>721</v>
      </c>
      <c r="C1946" s="1">
        <v>41373</v>
      </c>
      <c r="D1946">
        <v>2278</v>
      </c>
      <c r="E1946" t="b">
        <v>0</v>
      </c>
      <c r="F1946">
        <v>278</v>
      </c>
      <c r="G1946" t="s">
        <v>2084</v>
      </c>
      <c r="H1946" t="s">
        <v>124</v>
      </c>
      <c r="I1946" t="s">
        <v>2116</v>
      </c>
    </row>
    <row r="1947" spans="1:9" x14ac:dyDescent="0.35">
      <c r="A1947">
        <v>221380</v>
      </c>
      <c r="B1947" t="s">
        <v>721</v>
      </c>
      <c r="C1947" s="1">
        <v>41373</v>
      </c>
      <c r="D1947">
        <v>2278</v>
      </c>
      <c r="E1947" t="b">
        <v>0</v>
      </c>
      <c r="F1947">
        <v>278</v>
      </c>
      <c r="G1947" t="s">
        <v>2084</v>
      </c>
      <c r="H1947" t="s">
        <v>1510</v>
      </c>
      <c r="I1947" t="s">
        <v>2117</v>
      </c>
    </row>
    <row r="1948" spans="1:9" x14ac:dyDescent="0.35">
      <c r="A1948">
        <v>1240440</v>
      </c>
      <c r="B1948" t="s">
        <v>723</v>
      </c>
      <c r="C1948" s="1">
        <v>44515</v>
      </c>
      <c r="D1948">
        <v>2275</v>
      </c>
      <c r="E1948" t="b">
        <v>0</v>
      </c>
      <c r="F1948">
        <v>279</v>
      </c>
      <c r="G1948" t="s">
        <v>57</v>
      </c>
      <c r="H1948" t="s">
        <v>49</v>
      </c>
      <c r="I1948" t="s">
        <v>2116</v>
      </c>
    </row>
    <row r="1949" spans="1:9" x14ac:dyDescent="0.35">
      <c r="A1949">
        <v>1240440</v>
      </c>
      <c r="B1949" t="s">
        <v>723</v>
      </c>
      <c r="C1949" s="1">
        <v>44515</v>
      </c>
      <c r="D1949">
        <v>2275</v>
      </c>
      <c r="E1949" t="b">
        <v>0</v>
      </c>
      <c r="F1949">
        <v>279</v>
      </c>
      <c r="G1949" t="s">
        <v>57</v>
      </c>
      <c r="H1949" t="s">
        <v>792</v>
      </c>
      <c r="I1949" t="s">
        <v>2117</v>
      </c>
    </row>
    <row r="1950" spans="1:9" x14ac:dyDescent="0.35">
      <c r="A1950">
        <v>1240440</v>
      </c>
      <c r="B1950" t="s">
        <v>723</v>
      </c>
      <c r="C1950" s="1">
        <v>44515</v>
      </c>
      <c r="D1950">
        <v>2275</v>
      </c>
      <c r="E1950" t="b">
        <v>0</v>
      </c>
      <c r="F1950">
        <v>279</v>
      </c>
      <c r="G1950" t="s">
        <v>57</v>
      </c>
      <c r="H1950" t="s">
        <v>346</v>
      </c>
      <c r="I1950" t="s">
        <v>2117</v>
      </c>
    </row>
    <row r="1951" spans="1:9" x14ac:dyDescent="0.35">
      <c r="A1951">
        <v>1240440</v>
      </c>
      <c r="B1951" t="s">
        <v>723</v>
      </c>
      <c r="C1951" s="1">
        <v>44515</v>
      </c>
      <c r="D1951">
        <v>2275</v>
      </c>
      <c r="E1951" t="b">
        <v>0</v>
      </c>
      <c r="F1951">
        <v>279</v>
      </c>
      <c r="G1951" t="s">
        <v>57</v>
      </c>
      <c r="H1951" t="s">
        <v>239</v>
      </c>
      <c r="I1951" t="s">
        <v>2117</v>
      </c>
    </row>
    <row r="1952" spans="1:9" x14ac:dyDescent="0.35">
      <c r="A1952">
        <v>1240440</v>
      </c>
      <c r="B1952" t="s">
        <v>723</v>
      </c>
      <c r="C1952" s="1">
        <v>44515</v>
      </c>
      <c r="D1952">
        <v>2275</v>
      </c>
      <c r="E1952" t="b">
        <v>0</v>
      </c>
      <c r="F1952">
        <v>279</v>
      </c>
      <c r="G1952" t="s">
        <v>57</v>
      </c>
      <c r="H1952" t="s">
        <v>132</v>
      </c>
      <c r="I1952" t="s">
        <v>2117</v>
      </c>
    </row>
    <row r="1953" spans="1:9" x14ac:dyDescent="0.35">
      <c r="A1953">
        <v>1240440</v>
      </c>
      <c r="B1953" t="s">
        <v>723</v>
      </c>
      <c r="C1953" s="1">
        <v>44515</v>
      </c>
      <c r="D1953">
        <v>2275</v>
      </c>
      <c r="E1953" t="b">
        <v>0</v>
      </c>
      <c r="F1953">
        <v>279</v>
      </c>
      <c r="G1953" t="s">
        <v>57</v>
      </c>
      <c r="H1953" t="s">
        <v>124</v>
      </c>
      <c r="I1953" t="s">
        <v>2117</v>
      </c>
    </row>
    <row r="1954" spans="1:9" x14ac:dyDescent="0.35">
      <c r="A1954">
        <v>1240440</v>
      </c>
      <c r="B1954" t="s">
        <v>723</v>
      </c>
      <c r="C1954" s="1">
        <v>44515</v>
      </c>
      <c r="D1954">
        <v>2275</v>
      </c>
      <c r="E1954" t="b">
        <v>0</v>
      </c>
      <c r="F1954">
        <v>279</v>
      </c>
      <c r="G1954" t="s">
        <v>57</v>
      </c>
      <c r="H1954" t="s">
        <v>1510</v>
      </c>
      <c r="I1954" t="s">
        <v>2116</v>
      </c>
    </row>
    <row r="1955" spans="1:9" x14ac:dyDescent="0.35">
      <c r="A1955">
        <v>2436940</v>
      </c>
      <c r="B1955" t="s">
        <v>725</v>
      </c>
      <c r="C1955" s="1">
        <v>45750</v>
      </c>
      <c r="D1955">
        <v>2268</v>
      </c>
      <c r="E1955" t="b">
        <v>1</v>
      </c>
      <c r="F1955">
        <v>280</v>
      </c>
      <c r="G1955" t="s">
        <v>304</v>
      </c>
      <c r="H1955" t="s">
        <v>49</v>
      </c>
      <c r="I1955" t="s">
        <v>2116</v>
      </c>
    </row>
    <row r="1956" spans="1:9" x14ac:dyDescent="0.35">
      <c r="A1956">
        <v>2436940</v>
      </c>
      <c r="B1956" t="s">
        <v>725</v>
      </c>
      <c r="C1956" s="1">
        <v>45750</v>
      </c>
      <c r="D1956">
        <v>2268</v>
      </c>
      <c r="E1956" t="b">
        <v>1</v>
      </c>
      <c r="F1956">
        <v>280</v>
      </c>
      <c r="G1956" t="s">
        <v>304</v>
      </c>
      <c r="H1956" t="s">
        <v>792</v>
      </c>
      <c r="I1956" t="s">
        <v>2117</v>
      </c>
    </row>
    <row r="1957" spans="1:9" x14ac:dyDescent="0.35">
      <c r="A1957">
        <v>2436940</v>
      </c>
      <c r="B1957" t="s">
        <v>725</v>
      </c>
      <c r="C1957" s="1">
        <v>45750</v>
      </c>
      <c r="D1957">
        <v>2268</v>
      </c>
      <c r="E1957" t="b">
        <v>1</v>
      </c>
      <c r="F1957">
        <v>280</v>
      </c>
      <c r="G1957" t="s">
        <v>304</v>
      </c>
      <c r="H1957" t="s">
        <v>346</v>
      </c>
      <c r="I1957" t="s">
        <v>2117</v>
      </c>
    </row>
    <row r="1958" spans="1:9" x14ac:dyDescent="0.35">
      <c r="A1958">
        <v>2436940</v>
      </c>
      <c r="B1958" t="s">
        <v>725</v>
      </c>
      <c r="C1958" s="1">
        <v>45750</v>
      </c>
      <c r="D1958">
        <v>2268</v>
      </c>
      <c r="E1958" t="b">
        <v>1</v>
      </c>
      <c r="F1958">
        <v>280</v>
      </c>
      <c r="G1958" t="s">
        <v>304</v>
      </c>
      <c r="H1958" t="s">
        <v>239</v>
      </c>
      <c r="I1958" t="s">
        <v>2117</v>
      </c>
    </row>
    <row r="1959" spans="1:9" x14ac:dyDescent="0.35">
      <c r="A1959">
        <v>2436940</v>
      </c>
      <c r="B1959" t="s">
        <v>725</v>
      </c>
      <c r="C1959" s="1">
        <v>45750</v>
      </c>
      <c r="D1959">
        <v>2268</v>
      </c>
      <c r="E1959" t="b">
        <v>1</v>
      </c>
      <c r="F1959">
        <v>280</v>
      </c>
      <c r="G1959" t="s">
        <v>304</v>
      </c>
      <c r="H1959" t="s">
        <v>132</v>
      </c>
      <c r="I1959" t="s">
        <v>2117</v>
      </c>
    </row>
    <row r="1960" spans="1:9" x14ac:dyDescent="0.35">
      <c r="A1960">
        <v>2436940</v>
      </c>
      <c r="B1960" t="s">
        <v>725</v>
      </c>
      <c r="C1960" s="1">
        <v>45750</v>
      </c>
      <c r="D1960">
        <v>2268</v>
      </c>
      <c r="E1960" t="b">
        <v>1</v>
      </c>
      <c r="F1960">
        <v>280</v>
      </c>
      <c r="G1960" t="s">
        <v>304</v>
      </c>
      <c r="H1960" t="s">
        <v>124</v>
      </c>
      <c r="I1960" t="s">
        <v>2117</v>
      </c>
    </row>
    <row r="1961" spans="1:9" x14ac:dyDescent="0.35">
      <c r="A1961">
        <v>2436940</v>
      </c>
      <c r="B1961" t="s">
        <v>725</v>
      </c>
      <c r="C1961" s="1">
        <v>45750</v>
      </c>
      <c r="D1961">
        <v>2268</v>
      </c>
      <c r="E1961" t="b">
        <v>1</v>
      </c>
      <c r="F1961">
        <v>280</v>
      </c>
      <c r="G1961" t="s">
        <v>304</v>
      </c>
      <c r="H1961" t="s">
        <v>1510</v>
      </c>
      <c r="I1961" t="s">
        <v>2117</v>
      </c>
    </row>
    <row r="1962" spans="1:9" x14ac:dyDescent="0.35">
      <c r="A1962">
        <v>782330</v>
      </c>
      <c r="B1962" t="s">
        <v>726</v>
      </c>
      <c r="C1962" s="1">
        <v>43909</v>
      </c>
      <c r="D1962">
        <v>2262</v>
      </c>
      <c r="E1962" t="b">
        <v>0</v>
      </c>
      <c r="F1962">
        <v>281</v>
      </c>
      <c r="G1962" t="s">
        <v>53</v>
      </c>
      <c r="H1962" t="s">
        <v>49</v>
      </c>
      <c r="I1962" t="s">
        <v>2116</v>
      </c>
    </row>
    <row r="1963" spans="1:9" x14ac:dyDescent="0.35">
      <c r="A1963">
        <v>782330</v>
      </c>
      <c r="B1963" t="s">
        <v>726</v>
      </c>
      <c r="C1963" s="1">
        <v>43909</v>
      </c>
      <c r="D1963">
        <v>2262</v>
      </c>
      <c r="E1963" t="b">
        <v>0</v>
      </c>
      <c r="F1963">
        <v>281</v>
      </c>
      <c r="G1963" t="s">
        <v>53</v>
      </c>
      <c r="H1963" t="s">
        <v>792</v>
      </c>
      <c r="I1963" t="s">
        <v>2117</v>
      </c>
    </row>
    <row r="1964" spans="1:9" x14ac:dyDescent="0.35">
      <c r="A1964">
        <v>782330</v>
      </c>
      <c r="B1964" t="s">
        <v>726</v>
      </c>
      <c r="C1964" s="1">
        <v>43909</v>
      </c>
      <c r="D1964">
        <v>2262</v>
      </c>
      <c r="E1964" t="b">
        <v>0</v>
      </c>
      <c r="F1964">
        <v>281</v>
      </c>
      <c r="G1964" t="s">
        <v>53</v>
      </c>
      <c r="H1964" t="s">
        <v>346</v>
      </c>
      <c r="I1964" t="s">
        <v>2117</v>
      </c>
    </row>
    <row r="1965" spans="1:9" x14ac:dyDescent="0.35">
      <c r="A1965">
        <v>782330</v>
      </c>
      <c r="B1965" t="s">
        <v>726</v>
      </c>
      <c r="C1965" s="1">
        <v>43909</v>
      </c>
      <c r="D1965">
        <v>2262</v>
      </c>
      <c r="E1965" t="b">
        <v>0</v>
      </c>
      <c r="F1965">
        <v>281</v>
      </c>
      <c r="G1965" t="s">
        <v>53</v>
      </c>
      <c r="H1965" t="s">
        <v>239</v>
      </c>
      <c r="I1965" t="s">
        <v>2117</v>
      </c>
    </row>
    <row r="1966" spans="1:9" x14ac:dyDescent="0.35">
      <c r="A1966">
        <v>782330</v>
      </c>
      <c r="B1966" t="s">
        <v>726</v>
      </c>
      <c r="C1966" s="1">
        <v>43909</v>
      </c>
      <c r="D1966">
        <v>2262</v>
      </c>
      <c r="E1966" t="b">
        <v>0</v>
      </c>
      <c r="F1966">
        <v>281</v>
      </c>
      <c r="G1966" t="s">
        <v>53</v>
      </c>
      <c r="H1966" t="s">
        <v>132</v>
      </c>
      <c r="I1966" t="s">
        <v>2117</v>
      </c>
    </row>
    <row r="1967" spans="1:9" x14ac:dyDescent="0.35">
      <c r="A1967">
        <v>782330</v>
      </c>
      <c r="B1967" t="s">
        <v>726</v>
      </c>
      <c r="C1967" s="1">
        <v>43909</v>
      </c>
      <c r="D1967">
        <v>2262</v>
      </c>
      <c r="E1967" t="b">
        <v>0</v>
      </c>
      <c r="F1967">
        <v>281</v>
      </c>
      <c r="G1967" t="s">
        <v>53</v>
      </c>
      <c r="H1967" t="s">
        <v>124</v>
      </c>
      <c r="I1967" t="s">
        <v>2117</v>
      </c>
    </row>
    <row r="1968" spans="1:9" x14ac:dyDescent="0.35">
      <c r="A1968">
        <v>782330</v>
      </c>
      <c r="B1968" t="s">
        <v>726</v>
      </c>
      <c r="C1968" s="1">
        <v>43909</v>
      </c>
      <c r="D1968">
        <v>2262</v>
      </c>
      <c r="E1968" t="b">
        <v>0</v>
      </c>
      <c r="F1968">
        <v>281</v>
      </c>
      <c r="G1968" t="s">
        <v>53</v>
      </c>
      <c r="H1968" t="s">
        <v>1510</v>
      </c>
      <c r="I1968" t="s">
        <v>2117</v>
      </c>
    </row>
    <row r="1969" spans="1:9" x14ac:dyDescent="0.35">
      <c r="A1969">
        <v>3167550</v>
      </c>
      <c r="B1969" t="s">
        <v>728</v>
      </c>
      <c r="C1969" s="1">
        <v>45705</v>
      </c>
      <c r="D1969">
        <v>2256</v>
      </c>
      <c r="E1969" t="b">
        <v>1</v>
      </c>
      <c r="F1969">
        <v>282</v>
      </c>
      <c r="G1969" t="s">
        <v>53</v>
      </c>
      <c r="H1969" t="s">
        <v>49</v>
      </c>
      <c r="I1969" t="s">
        <v>2117</v>
      </c>
    </row>
    <row r="1970" spans="1:9" x14ac:dyDescent="0.35">
      <c r="A1970">
        <v>3167550</v>
      </c>
      <c r="B1970" t="s">
        <v>728</v>
      </c>
      <c r="C1970" s="1">
        <v>45705</v>
      </c>
      <c r="D1970">
        <v>2256</v>
      </c>
      <c r="E1970" t="b">
        <v>1</v>
      </c>
      <c r="F1970">
        <v>282</v>
      </c>
      <c r="G1970" t="s">
        <v>53</v>
      </c>
      <c r="H1970" t="s">
        <v>792</v>
      </c>
      <c r="I1970" t="s">
        <v>2116</v>
      </c>
    </row>
    <row r="1971" spans="1:9" x14ac:dyDescent="0.35">
      <c r="A1971">
        <v>3167550</v>
      </c>
      <c r="B1971" t="s">
        <v>728</v>
      </c>
      <c r="C1971" s="1">
        <v>45705</v>
      </c>
      <c r="D1971">
        <v>2256</v>
      </c>
      <c r="E1971" t="b">
        <v>1</v>
      </c>
      <c r="F1971">
        <v>282</v>
      </c>
      <c r="G1971" t="s">
        <v>53</v>
      </c>
      <c r="H1971" t="s">
        <v>346</v>
      </c>
      <c r="I1971" t="s">
        <v>2117</v>
      </c>
    </row>
    <row r="1972" spans="1:9" x14ac:dyDescent="0.35">
      <c r="A1972">
        <v>3167550</v>
      </c>
      <c r="B1972" t="s">
        <v>728</v>
      </c>
      <c r="C1972" s="1">
        <v>45705</v>
      </c>
      <c r="D1972">
        <v>2256</v>
      </c>
      <c r="E1972" t="b">
        <v>1</v>
      </c>
      <c r="F1972">
        <v>282</v>
      </c>
      <c r="G1972" t="s">
        <v>53</v>
      </c>
      <c r="H1972" t="s">
        <v>239</v>
      </c>
      <c r="I1972" t="s">
        <v>2116</v>
      </c>
    </row>
    <row r="1973" spans="1:9" x14ac:dyDescent="0.35">
      <c r="A1973">
        <v>3167550</v>
      </c>
      <c r="B1973" t="s">
        <v>728</v>
      </c>
      <c r="C1973" s="1">
        <v>45705</v>
      </c>
      <c r="D1973">
        <v>2256</v>
      </c>
      <c r="E1973" t="b">
        <v>1</v>
      </c>
      <c r="F1973">
        <v>282</v>
      </c>
      <c r="G1973" t="s">
        <v>53</v>
      </c>
      <c r="H1973" t="s">
        <v>132</v>
      </c>
      <c r="I1973" t="s">
        <v>2117</v>
      </c>
    </row>
    <row r="1974" spans="1:9" x14ac:dyDescent="0.35">
      <c r="A1974">
        <v>3167550</v>
      </c>
      <c r="B1974" t="s">
        <v>728</v>
      </c>
      <c r="C1974" s="1">
        <v>45705</v>
      </c>
      <c r="D1974">
        <v>2256</v>
      </c>
      <c r="E1974" t="b">
        <v>1</v>
      </c>
      <c r="F1974">
        <v>282</v>
      </c>
      <c r="G1974" t="s">
        <v>53</v>
      </c>
      <c r="H1974" t="s">
        <v>124</v>
      </c>
      <c r="I1974" t="s">
        <v>2117</v>
      </c>
    </row>
    <row r="1975" spans="1:9" x14ac:dyDescent="0.35">
      <c r="A1975">
        <v>3167550</v>
      </c>
      <c r="B1975" t="s">
        <v>728</v>
      </c>
      <c r="C1975" s="1">
        <v>45705</v>
      </c>
      <c r="D1975">
        <v>2256</v>
      </c>
      <c r="E1975" t="b">
        <v>1</v>
      </c>
      <c r="F1975">
        <v>282</v>
      </c>
      <c r="G1975" t="s">
        <v>53</v>
      </c>
      <c r="H1975" t="s">
        <v>1510</v>
      </c>
      <c r="I1975" t="s">
        <v>2117</v>
      </c>
    </row>
    <row r="1976" spans="1:9" x14ac:dyDescent="0.35">
      <c r="A1976">
        <v>1145360</v>
      </c>
      <c r="B1976" t="s">
        <v>729</v>
      </c>
      <c r="C1976" s="1">
        <v>44091</v>
      </c>
      <c r="D1976">
        <v>2253</v>
      </c>
      <c r="E1976" t="b">
        <v>1</v>
      </c>
      <c r="F1976">
        <v>283</v>
      </c>
      <c r="G1976" t="s">
        <v>304</v>
      </c>
      <c r="H1976" t="s">
        <v>49</v>
      </c>
      <c r="I1976" t="s">
        <v>2116</v>
      </c>
    </row>
    <row r="1977" spans="1:9" x14ac:dyDescent="0.35">
      <c r="A1977">
        <v>1145360</v>
      </c>
      <c r="B1977" t="s">
        <v>729</v>
      </c>
      <c r="C1977" s="1">
        <v>44091</v>
      </c>
      <c r="D1977">
        <v>2253</v>
      </c>
      <c r="E1977" t="b">
        <v>1</v>
      </c>
      <c r="F1977">
        <v>283</v>
      </c>
      <c r="G1977" t="s">
        <v>304</v>
      </c>
      <c r="H1977" t="s">
        <v>792</v>
      </c>
      <c r="I1977" t="s">
        <v>2116</v>
      </c>
    </row>
    <row r="1978" spans="1:9" x14ac:dyDescent="0.35">
      <c r="A1978">
        <v>1145360</v>
      </c>
      <c r="B1978" t="s">
        <v>729</v>
      </c>
      <c r="C1978" s="1">
        <v>44091</v>
      </c>
      <c r="D1978">
        <v>2253</v>
      </c>
      <c r="E1978" t="b">
        <v>1</v>
      </c>
      <c r="F1978">
        <v>283</v>
      </c>
      <c r="G1978" t="s">
        <v>304</v>
      </c>
      <c r="H1978" t="s">
        <v>346</v>
      </c>
      <c r="I1978" t="s">
        <v>2117</v>
      </c>
    </row>
    <row r="1979" spans="1:9" x14ac:dyDescent="0.35">
      <c r="A1979">
        <v>1145360</v>
      </c>
      <c r="B1979" t="s">
        <v>729</v>
      </c>
      <c r="C1979" s="1">
        <v>44091</v>
      </c>
      <c r="D1979">
        <v>2253</v>
      </c>
      <c r="E1979" t="b">
        <v>1</v>
      </c>
      <c r="F1979">
        <v>283</v>
      </c>
      <c r="G1979" t="s">
        <v>304</v>
      </c>
      <c r="H1979" t="s">
        <v>239</v>
      </c>
      <c r="I1979" t="s">
        <v>2117</v>
      </c>
    </row>
    <row r="1980" spans="1:9" x14ac:dyDescent="0.35">
      <c r="A1980">
        <v>1145360</v>
      </c>
      <c r="B1980" t="s">
        <v>729</v>
      </c>
      <c r="C1980" s="1">
        <v>44091</v>
      </c>
      <c r="D1980">
        <v>2253</v>
      </c>
      <c r="E1980" t="b">
        <v>1</v>
      </c>
      <c r="F1980">
        <v>283</v>
      </c>
      <c r="G1980" t="s">
        <v>304</v>
      </c>
      <c r="H1980" t="s">
        <v>132</v>
      </c>
      <c r="I1980" t="s">
        <v>2116</v>
      </c>
    </row>
    <row r="1981" spans="1:9" x14ac:dyDescent="0.35">
      <c r="A1981">
        <v>1145360</v>
      </c>
      <c r="B1981" t="s">
        <v>729</v>
      </c>
      <c r="C1981" s="1">
        <v>44091</v>
      </c>
      <c r="D1981">
        <v>2253</v>
      </c>
      <c r="E1981" t="b">
        <v>1</v>
      </c>
      <c r="F1981">
        <v>283</v>
      </c>
      <c r="G1981" t="s">
        <v>304</v>
      </c>
      <c r="H1981" t="s">
        <v>124</v>
      </c>
      <c r="I1981" t="s">
        <v>2117</v>
      </c>
    </row>
    <row r="1982" spans="1:9" x14ac:dyDescent="0.35">
      <c r="A1982">
        <v>1145360</v>
      </c>
      <c r="B1982" t="s">
        <v>729</v>
      </c>
      <c r="C1982" s="1">
        <v>44091</v>
      </c>
      <c r="D1982">
        <v>2253</v>
      </c>
      <c r="E1982" t="b">
        <v>1</v>
      </c>
      <c r="F1982">
        <v>283</v>
      </c>
      <c r="G1982" t="s">
        <v>304</v>
      </c>
      <c r="H1982" t="s">
        <v>1510</v>
      </c>
      <c r="I1982" t="s">
        <v>2117</v>
      </c>
    </row>
    <row r="1983" spans="1:9" x14ac:dyDescent="0.35">
      <c r="A1983">
        <v>601150</v>
      </c>
      <c r="B1983" t="s">
        <v>732</v>
      </c>
      <c r="C1983" s="1">
        <v>43531</v>
      </c>
      <c r="D1983">
        <v>2248</v>
      </c>
      <c r="E1983" t="b">
        <v>0</v>
      </c>
      <c r="F1983">
        <v>284</v>
      </c>
      <c r="G1983" t="s">
        <v>53</v>
      </c>
      <c r="H1983" t="s">
        <v>49</v>
      </c>
      <c r="I1983" t="s">
        <v>2116</v>
      </c>
    </row>
    <row r="1984" spans="1:9" x14ac:dyDescent="0.35">
      <c r="A1984">
        <v>601150</v>
      </c>
      <c r="B1984" t="s">
        <v>732</v>
      </c>
      <c r="C1984" s="1">
        <v>43531</v>
      </c>
      <c r="D1984">
        <v>2248</v>
      </c>
      <c r="E1984" t="b">
        <v>0</v>
      </c>
      <c r="F1984">
        <v>284</v>
      </c>
      <c r="G1984" t="s">
        <v>53</v>
      </c>
      <c r="H1984" t="s">
        <v>792</v>
      </c>
      <c r="I1984" t="s">
        <v>2117</v>
      </c>
    </row>
    <row r="1985" spans="1:9" x14ac:dyDescent="0.35">
      <c r="A1985">
        <v>601150</v>
      </c>
      <c r="B1985" t="s">
        <v>732</v>
      </c>
      <c r="C1985" s="1">
        <v>43531</v>
      </c>
      <c r="D1985">
        <v>2248</v>
      </c>
      <c r="E1985" t="b">
        <v>0</v>
      </c>
      <c r="F1985">
        <v>284</v>
      </c>
      <c r="G1985" t="s">
        <v>53</v>
      </c>
      <c r="H1985" t="s">
        <v>346</v>
      </c>
      <c r="I1985" t="s">
        <v>2117</v>
      </c>
    </row>
    <row r="1986" spans="1:9" x14ac:dyDescent="0.35">
      <c r="A1986">
        <v>601150</v>
      </c>
      <c r="B1986" t="s">
        <v>732</v>
      </c>
      <c r="C1986" s="1">
        <v>43531</v>
      </c>
      <c r="D1986">
        <v>2248</v>
      </c>
      <c r="E1986" t="b">
        <v>0</v>
      </c>
      <c r="F1986">
        <v>284</v>
      </c>
      <c r="G1986" t="s">
        <v>53</v>
      </c>
      <c r="H1986" t="s">
        <v>239</v>
      </c>
      <c r="I1986" t="s">
        <v>2117</v>
      </c>
    </row>
    <row r="1987" spans="1:9" x14ac:dyDescent="0.35">
      <c r="A1987">
        <v>601150</v>
      </c>
      <c r="B1987" t="s">
        <v>732</v>
      </c>
      <c r="C1987" s="1">
        <v>43531</v>
      </c>
      <c r="D1987">
        <v>2248</v>
      </c>
      <c r="E1987" t="b">
        <v>0</v>
      </c>
      <c r="F1987">
        <v>284</v>
      </c>
      <c r="G1987" t="s">
        <v>53</v>
      </c>
      <c r="H1987" t="s">
        <v>132</v>
      </c>
      <c r="I1987" t="s">
        <v>2117</v>
      </c>
    </row>
    <row r="1988" spans="1:9" x14ac:dyDescent="0.35">
      <c r="A1988">
        <v>601150</v>
      </c>
      <c r="B1988" t="s">
        <v>732</v>
      </c>
      <c r="C1988" s="1">
        <v>43531</v>
      </c>
      <c r="D1988">
        <v>2248</v>
      </c>
      <c r="E1988" t="b">
        <v>0</v>
      </c>
      <c r="F1988">
        <v>284</v>
      </c>
      <c r="G1988" t="s">
        <v>53</v>
      </c>
      <c r="H1988" t="s">
        <v>124</v>
      </c>
      <c r="I1988" t="s">
        <v>2117</v>
      </c>
    </row>
    <row r="1989" spans="1:9" x14ac:dyDescent="0.35">
      <c r="A1989">
        <v>601150</v>
      </c>
      <c r="B1989" t="s">
        <v>732</v>
      </c>
      <c r="C1989" s="1">
        <v>43531</v>
      </c>
      <c r="D1989">
        <v>2248</v>
      </c>
      <c r="E1989" t="b">
        <v>0</v>
      </c>
      <c r="F1989">
        <v>284</v>
      </c>
      <c r="G1989" t="s">
        <v>53</v>
      </c>
      <c r="H1989" t="s">
        <v>1510</v>
      </c>
      <c r="I1989" t="s">
        <v>2117</v>
      </c>
    </row>
    <row r="1990" spans="1:9" x14ac:dyDescent="0.35">
      <c r="A1990">
        <v>386180</v>
      </c>
      <c r="B1990" t="s">
        <v>734</v>
      </c>
      <c r="C1990" s="1">
        <v>42942</v>
      </c>
      <c r="D1990">
        <v>2231</v>
      </c>
      <c r="E1990" t="b">
        <v>0</v>
      </c>
      <c r="F1990">
        <v>285</v>
      </c>
      <c r="G1990" t="s">
        <v>33</v>
      </c>
      <c r="H1990" t="s">
        <v>49</v>
      </c>
      <c r="I1990" t="s">
        <v>2116</v>
      </c>
    </row>
    <row r="1991" spans="1:9" x14ac:dyDescent="0.35">
      <c r="A1991">
        <v>386180</v>
      </c>
      <c r="B1991" t="s">
        <v>734</v>
      </c>
      <c r="C1991" s="1">
        <v>42942</v>
      </c>
      <c r="D1991">
        <v>2231</v>
      </c>
      <c r="E1991" t="b">
        <v>0</v>
      </c>
      <c r="F1991">
        <v>285</v>
      </c>
      <c r="G1991" t="s">
        <v>33</v>
      </c>
      <c r="H1991" t="s">
        <v>792</v>
      </c>
      <c r="I1991" t="s">
        <v>2117</v>
      </c>
    </row>
    <row r="1992" spans="1:9" x14ac:dyDescent="0.35">
      <c r="A1992">
        <v>386180</v>
      </c>
      <c r="B1992" t="s">
        <v>734</v>
      </c>
      <c r="C1992" s="1">
        <v>42942</v>
      </c>
      <c r="D1992">
        <v>2231</v>
      </c>
      <c r="E1992" t="b">
        <v>0</v>
      </c>
      <c r="F1992">
        <v>285</v>
      </c>
      <c r="G1992" t="s">
        <v>33</v>
      </c>
      <c r="H1992" t="s">
        <v>346</v>
      </c>
      <c r="I1992" t="s">
        <v>2116</v>
      </c>
    </row>
    <row r="1993" spans="1:9" x14ac:dyDescent="0.35">
      <c r="A1993">
        <v>386180</v>
      </c>
      <c r="B1993" t="s">
        <v>734</v>
      </c>
      <c r="C1993" s="1">
        <v>42942</v>
      </c>
      <c r="D1993">
        <v>2231</v>
      </c>
      <c r="E1993" t="b">
        <v>0</v>
      </c>
      <c r="F1993">
        <v>285</v>
      </c>
      <c r="G1993" t="s">
        <v>33</v>
      </c>
      <c r="H1993" t="s">
        <v>239</v>
      </c>
      <c r="I1993" t="s">
        <v>2117</v>
      </c>
    </row>
    <row r="1994" spans="1:9" x14ac:dyDescent="0.35">
      <c r="A1994">
        <v>386180</v>
      </c>
      <c r="B1994" t="s">
        <v>734</v>
      </c>
      <c r="C1994" s="1">
        <v>42942</v>
      </c>
      <c r="D1994">
        <v>2231</v>
      </c>
      <c r="E1994" t="b">
        <v>0</v>
      </c>
      <c r="F1994">
        <v>285</v>
      </c>
      <c r="G1994" t="s">
        <v>33</v>
      </c>
      <c r="H1994" t="s">
        <v>132</v>
      </c>
      <c r="I1994" t="s">
        <v>2117</v>
      </c>
    </row>
    <row r="1995" spans="1:9" x14ac:dyDescent="0.35">
      <c r="A1995">
        <v>386180</v>
      </c>
      <c r="B1995" t="s">
        <v>734</v>
      </c>
      <c r="C1995" s="1">
        <v>42942</v>
      </c>
      <c r="D1995">
        <v>2231</v>
      </c>
      <c r="E1995" t="b">
        <v>0</v>
      </c>
      <c r="F1995">
        <v>285</v>
      </c>
      <c r="G1995" t="s">
        <v>33</v>
      </c>
      <c r="H1995" t="s">
        <v>124</v>
      </c>
      <c r="I1995" t="s">
        <v>2117</v>
      </c>
    </row>
    <row r="1996" spans="1:9" x14ac:dyDescent="0.35">
      <c r="A1996">
        <v>386180</v>
      </c>
      <c r="B1996" t="s">
        <v>734</v>
      </c>
      <c r="C1996" s="1">
        <v>42942</v>
      </c>
      <c r="D1996">
        <v>2231</v>
      </c>
      <c r="E1996" t="b">
        <v>0</v>
      </c>
      <c r="F1996">
        <v>285</v>
      </c>
      <c r="G1996" t="s">
        <v>33</v>
      </c>
      <c r="H1996" t="s">
        <v>1510</v>
      </c>
      <c r="I1996" t="s">
        <v>2116</v>
      </c>
    </row>
    <row r="1997" spans="1:9" x14ac:dyDescent="0.35">
      <c r="A1997">
        <v>400750</v>
      </c>
      <c r="B1997" t="s">
        <v>737</v>
      </c>
      <c r="C1997" s="1">
        <v>44358</v>
      </c>
      <c r="D1997">
        <v>2216</v>
      </c>
      <c r="E1997" t="b">
        <v>0</v>
      </c>
      <c r="F1997">
        <v>286</v>
      </c>
      <c r="G1997" t="s">
        <v>119</v>
      </c>
      <c r="H1997" t="s">
        <v>49</v>
      </c>
      <c r="I1997" t="s">
        <v>2116</v>
      </c>
    </row>
    <row r="1998" spans="1:9" x14ac:dyDescent="0.35">
      <c r="A1998">
        <v>400750</v>
      </c>
      <c r="B1998" t="s">
        <v>737</v>
      </c>
      <c r="C1998" s="1">
        <v>44358</v>
      </c>
      <c r="D1998">
        <v>2216</v>
      </c>
      <c r="E1998" t="b">
        <v>0</v>
      </c>
      <c r="F1998">
        <v>286</v>
      </c>
      <c r="G1998" t="s">
        <v>119</v>
      </c>
      <c r="H1998" t="s">
        <v>792</v>
      </c>
      <c r="I1998" t="s">
        <v>2117</v>
      </c>
    </row>
    <row r="1999" spans="1:9" x14ac:dyDescent="0.35">
      <c r="A1999">
        <v>400750</v>
      </c>
      <c r="B1999" t="s">
        <v>737</v>
      </c>
      <c r="C1999" s="1">
        <v>44358</v>
      </c>
      <c r="D1999">
        <v>2216</v>
      </c>
      <c r="E1999" t="b">
        <v>0</v>
      </c>
      <c r="F1999">
        <v>286</v>
      </c>
      <c r="G1999" t="s">
        <v>119</v>
      </c>
      <c r="H1999" t="s">
        <v>346</v>
      </c>
      <c r="I1999" t="s">
        <v>2117</v>
      </c>
    </row>
    <row r="2000" spans="1:9" x14ac:dyDescent="0.35">
      <c r="A2000">
        <v>400750</v>
      </c>
      <c r="B2000" t="s">
        <v>737</v>
      </c>
      <c r="C2000" s="1">
        <v>44358</v>
      </c>
      <c r="D2000">
        <v>2216</v>
      </c>
      <c r="E2000" t="b">
        <v>0</v>
      </c>
      <c r="F2000">
        <v>286</v>
      </c>
      <c r="G2000" t="s">
        <v>119</v>
      </c>
      <c r="H2000" t="s">
        <v>239</v>
      </c>
      <c r="I2000" t="s">
        <v>2116</v>
      </c>
    </row>
    <row r="2001" spans="1:9" x14ac:dyDescent="0.35">
      <c r="A2001">
        <v>400750</v>
      </c>
      <c r="B2001" t="s">
        <v>737</v>
      </c>
      <c r="C2001" s="1">
        <v>44358</v>
      </c>
      <c r="D2001">
        <v>2216</v>
      </c>
      <c r="E2001" t="b">
        <v>0</v>
      </c>
      <c r="F2001">
        <v>286</v>
      </c>
      <c r="G2001" t="s">
        <v>119</v>
      </c>
      <c r="H2001" t="s">
        <v>132</v>
      </c>
      <c r="I2001" t="s">
        <v>2117</v>
      </c>
    </row>
    <row r="2002" spans="1:9" x14ac:dyDescent="0.35">
      <c r="A2002">
        <v>400750</v>
      </c>
      <c r="B2002" t="s">
        <v>737</v>
      </c>
      <c r="C2002" s="1">
        <v>44358</v>
      </c>
      <c r="D2002">
        <v>2216</v>
      </c>
      <c r="E2002" t="b">
        <v>0</v>
      </c>
      <c r="F2002">
        <v>286</v>
      </c>
      <c r="G2002" t="s">
        <v>119</v>
      </c>
      <c r="H2002" t="s">
        <v>124</v>
      </c>
      <c r="I2002" t="s">
        <v>2116</v>
      </c>
    </row>
    <row r="2003" spans="1:9" x14ac:dyDescent="0.35">
      <c r="A2003">
        <v>400750</v>
      </c>
      <c r="B2003" t="s">
        <v>737</v>
      </c>
      <c r="C2003" s="1">
        <v>44358</v>
      </c>
      <c r="D2003">
        <v>2216</v>
      </c>
      <c r="E2003" t="b">
        <v>0</v>
      </c>
      <c r="F2003">
        <v>286</v>
      </c>
      <c r="G2003" t="s">
        <v>119</v>
      </c>
      <c r="H2003" t="s">
        <v>1510</v>
      </c>
      <c r="I2003" t="s">
        <v>2117</v>
      </c>
    </row>
    <row r="2004" spans="1:9" x14ac:dyDescent="0.35">
      <c r="A2004">
        <v>518790</v>
      </c>
      <c r="B2004" t="s">
        <v>739</v>
      </c>
      <c r="C2004" s="1">
        <v>42782</v>
      </c>
      <c r="D2004">
        <v>2207</v>
      </c>
      <c r="E2004" t="b">
        <v>0</v>
      </c>
      <c r="F2004">
        <v>287</v>
      </c>
      <c r="G2004" t="s">
        <v>304</v>
      </c>
      <c r="H2004" t="s">
        <v>49</v>
      </c>
      <c r="I2004" t="s">
        <v>2117</v>
      </c>
    </row>
    <row r="2005" spans="1:9" x14ac:dyDescent="0.35">
      <c r="A2005">
        <v>518790</v>
      </c>
      <c r="B2005" t="s">
        <v>739</v>
      </c>
      <c r="C2005" s="1">
        <v>42782</v>
      </c>
      <c r="D2005">
        <v>2207</v>
      </c>
      <c r="E2005" t="b">
        <v>0</v>
      </c>
      <c r="F2005">
        <v>287</v>
      </c>
      <c r="G2005" t="s">
        <v>304</v>
      </c>
      <c r="H2005" t="s">
        <v>792</v>
      </c>
      <c r="I2005" t="s">
        <v>2117</v>
      </c>
    </row>
    <row r="2006" spans="1:9" x14ac:dyDescent="0.35">
      <c r="A2006">
        <v>518790</v>
      </c>
      <c r="B2006" t="s">
        <v>739</v>
      </c>
      <c r="C2006" s="1">
        <v>42782</v>
      </c>
      <c r="D2006">
        <v>2207</v>
      </c>
      <c r="E2006" t="b">
        <v>0</v>
      </c>
      <c r="F2006">
        <v>287</v>
      </c>
      <c r="G2006" t="s">
        <v>304</v>
      </c>
      <c r="H2006" t="s">
        <v>346</v>
      </c>
      <c r="I2006" t="s">
        <v>2116</v>
      </c>
    </row>
    <row r="2007" spans="1:9" x14ac:dyDescent="0.35">
      <c r="A2007">
        <v>518790</v>
      </c>
      <c r="B2007" t="s">
        <v>739</v>
      </c>
      <c r="C2007" s="1">
        <v>42782</v>
      </c>
      <c r="D2007">
        <v>2207</v>
      </c>
      <c r="E2007" t="b">
        <v>0</v>
      </c>
      <c r="F2007">
        <v>287</v>
      </c>
      <c r="G2007" t="s">
        <v>304</v>
      </c>
      <c r="H2007" t="s">
        <v>239</v>
      </c>
      <c r="I2007" t="s">
        <v>2116</v>
      </c>
    </row>
    <row r="2008" spans="1:9" x14ac:dyDescent="0.35">
      <c r="A2008">
        <v>518790</v>
      </c>
      <c r="B2008" t="s">
        <v>739</v>
      </c>
      <c r="C2008" s="1">
        <v>42782</v>
      </c>
      <c r="D2008">
        <v>2207</v>
      </c>
      <c r="E2008" t="b">
        <v>0</v>
      </c>
      <c r="F2008">
        <v>287</v>
      </c>
      <c r="G2008" t="s">
        <v>304</v>
      </c>
      <c r="H2008" t="s">
        <v>132</v>
      </c>
      <c r="I2008" t="s">
        <v>2117</v>
      </c>
    </row>
    <row r="2009" spans="1:9" x14ac:dyDescent="0.35">
      <c r="A2009">
        <v>518790</v>
      </c>
      <c r="B2009" t="s">
        <v>739</v>
      </c>
      <c r="C2009" s="1">
        <v>42782</v>
      </c>
      <c r="D2009">
        <v>2207</v>
      </c>
      <c r="E2009" t="b">
        <v>0</v>
      </c>
      <c r="F2009">
        <v>287</v>
      </c>
      <c r="G2009" t="s">
        <v>304</v>
      </c>
      <c r="H2009" t="s">
        <v>124</v>
      </c>
      <c r="I2009" t="s">
        <v>2117</v>
      </c>
    </row>
    <row r="2010" spans="1:9" x14ac:dyDescent="0.35">
      <c r="A2010">
        <v>518790</v>
      </c>
      <c r="B2010" t="s">
        <v>739</v>
      </c>
      <c r="C2010" s="1">
        <v>42782</v>
      </c>
      <c r="D2010">
        <v>2207</v>
      </c>
      <c r="E2010" t="b">
        <v>0</v>
      </c>
      <c r="F2010">
        <v>287</v>
      </c>
      <c r="G2010" t="s">
        <v>304</v>
      </c>
      <c r="H2010" t="s">
        <v>1510</v>
      </c>
      <c r="I2010" t="s">
        <v>2117</v>
      </c>
    </row>
    <row r="2011" spans="1:9" x14ac:dyDescent="0.35">
      <c r="A2011">
        <v>1404210</v>
      </c>
      <c r="B2011" t="s">
        <v>742</v>
      </c>
      <c r="C2011" s="1">
        <v>44166</v>
      </c>
      <c r="D2011">
        <v>2207</v>
      </c>
      <c r="E2011" t="b">
        <v>0</v>
      </c>
      <c r="F2011">
        <v>287</v>
      </c>
      <c r="G2011" t="s">
        <v>53</v>
      </c>
      <c r="H2011" t="s">
        <v>49</v>
      </c>
      <c r="I2011" t="s">
        <v>2116</v>
      </c>
    </row>
    <row r="2012" spans="1:9" x14ac:dyDescent="0.35">
      <c r="A2012">
        <v>1404210</v>
      </c>
      <c r="B2012" t="s">
        <v>742</v>
      </c>
      <c r="C2012" s="1">
        <v>44166</v>
      </c>
      <c r="D2012">
        <v>2207</v>
      </c>
      <c r="E2012" t="b">
        <v>0</v>
      </c>
      <c r="F2012">
        <v>287</v>
      </c>
      <c r="G2012" t="s">
        <v>53</v>
      </c>
      <c r="H2012" t="s">
        <v>792</v>
      </c>
      <c r="I2012" t="s">
        <v>2117</v>
      </c>
    </row>
    <row r="2013" spans="1:9" x14ac:dyDescent="0.35">
      <c r="A2013">
        <v>1404210</v>
      </c>
      <c r="B2013" t="s">
        <v>742</v>
      </c>
      <c r="C2013" s="1">
        <v>44166</v>
      </c>
      <c r="D2013">
        <v>2207</v>
      </c>
      <c r="E2013" t="b">
        <v>0</v>
      </c>
      <c r="F2013">
        <v>287</v>
      </c>
      <c r="G2013" t="s">
        <v>53</v>
      </c>
      <c r="H2013" t="s">
        <v>346</v>
      </c>
      <c r="I2013" t="s">
        <v>2116</v>
      </c>
    </row>
    <row r="2014" spans="1:9" x14ac:dyDescent="0.35">
      <c r="A2014">
        <v>1404210</v>
      </c>
      <c r="B2014" t="s">
        <v>742</v>
      </c>
      <c r="C2014" s="1">
        <v>44166</v>
      </c>
      <c r="D2014">
        <v>2207</v>
      </c>
      <c r="E2014" t="b">
        <v>0</v>
      </c>
      <c r="F2014">
        <v>287</v>
      </c>
      <c r="G2014" t="s">
        <v>53</v>
      </c>
      <c r="H2014" t="s">
        <v>239</v>
      </c>
      <c r="I2014" t="s">
        <v>2117</v>
      </c>
    </row>
    <row r="2015" spans="1:9" x14ac:dyDescent="0.35">
      <c r="A2015">
        <v>1404210</v>
      </c>
      <c r="B2015" t="s">
        <v>742</v>
      </c>
      <c r="C2015" s="1">
        <v>44166</v>
      </c>
      <c r="D2015">
        <v>2207</v>
      </c>
      <c r="E2015" t="b">
        <v>0</v>
      </c>
      <c r="F2015">
        <v>287</v>
      </c>
      <c r="G2015" t="s">
        <v>53</v>
      </c>
      <c r="H2015" t="s">
        <v>132</v>
      </c>
      <c r="I2015" t="s">
        <v>2117</v>
      </c>
    </row>
    <row r="2016" spans="1:9" x14ac:dyDescent="0.35">
      <c r="A2016">
        <v>1404210</v>
      </c>
      <c r="B2016" t="s">
        <v>742</v>
      </c>
      <c r="C2016" s="1">
        <v>44166</v>
      </c>
      <c r="D2016">
        <v>2207</v>
      </c>
      <c r="E2016" t="b">
        <v>0</v>
      </c>
      <c r="F2016">
        <v>287</v>
      </c>
      <c r="G2016" t="s">
        <v>53</v>
      </c>
      <c r="H2016" t="s">
        <v>124</v>
      </c>
      <c r="I2016" t="s">
        <v>2117</v>
      </c>
    </row>
    <row r="2017" spans="1:9" x14ac:dyDescent="0.35">
      <c r="A2017">
        <v>1404210</v>
      </c>
      <c r="B2017" t="s">
        <v>742</v>
      </c>
      <c r="C2017" s="1">
        <v>44166</v>
      </c>
      <c r="D2017">
        <v>2207</v>
      </c>
      <c r="E2017" t="b">
        <v>0</v>
      </c>
      <c r="F2017">
        <v>287</v>
      </c>
      <c r="G2017" t="s">
        <v>53</v>
      </c>
      <c r="H2017" t="s">
        <v>1510</v>
      </c>
      <c r="I2017" t="s">
        <v>2117</v>
      </c>
    </row>
    <row r="2018" spans="1:9" x14ac:dyDescent="0.35">
      <c r="A2018">
        <v>1677280</v>
      </c>
      <c r="B2018" t="s">
        <v>744</v>
      </c>
      <c r="C2018" s="1">
        <v>44980</v>
      </c>
      <c r="D2018">
        <v>2183</v>
      </c>
      <c r="E2018" t="b">
        <v>0</v>
      </c>
      <c r="F2018">
        <v>289</v>
      </c>
      <c r="G2018" t="s">
        <v>175</v>
      </c>
      <c r="H2018" t="s">
        <v>49</v>
      </c>
      <c r="I2018" t="s">
        <v>2116</v>
      </c>
    </row>
    <row r="2019" spans="1:9" x14ac:dyDescent="0.35">
      <c r="A2019">
        <v>1677280</v>
      </c>
      <c r="B2019" t="s">
        <v>744</v>
      </c>
      <c r="C2019" s="1">
        <v>44980</v>
      </c>
      <c r="D2019">
        <v>2183</v>
      </c>
      <c r="E2019" t="b">
        <v>0</v>
      </c>
      <c r="F2019">
        <v>289</v>
      </c>
      <c r="G2019" t="s">
        <v>175</v>
      </c>
      <c r="H2019" t="s">
        <v>792</v>
      </c>
      <c r="I2019" t="s">
        <v>2117</v>
      </c>
    </row>
    <row r="2020" spans="1:9" x14ac:dyDescent="0.35">
      <c r="A2020">
        <v>1677280</v>
      </c>
      <c r="B2020" t="s">
        <v>744</v>
      </c>
      <c r="C2020" s="1">
        <v>44980</v>
      </c>
      <c r="D2020">
        <v>2183</v>
      </c>
      <c r="E2020" t="b">
        <v>0</v>
      </c>
      <c r="F2020">
        <v>289</v>
      </c>
      <c r="G2020" t="s">
        <v>175</v>
      </c>
      <c r="H2020" t="s">
        <v>346</v>
      </c>
      <c r="I2020" t="s">
        <v>2117</v>
      </c>
    </row>
    <row r="2021" spans="1:9" x14ac:dyDescent="0.35">
      <c r="A2021">
        <v>1677280</v>
      </c>
      <c r="B2021" t="s">
        <v>744</v>
      </c>
      <c r="C2021" s="1">
        <v>44980</v>
      </c>
      <c r="D2021">
        <v>2183</v>
      </c>
      <c r="E2021" t="b">
        <v>0</v>
      </c>
      <c r="F2021">
        <v>289</v>
      </c>
      <c r="G2021" t="s">
        <v>175</v>
      </c>
      <c r="H2021" t="s">
        <v>239</v>
      </c>
      <c r="I2021" t="s">
        <v>2117</v>
      </c>
    </row>
    <row r="2022" spans="1:9" x14ac:dyDescent="0.35">
      <c r="A2022">
        <v>1677280</v>
      </c>
      <c r="B2022" t="s">
        <v>744</v>
      </c>
      <c r="C2022" s="1">
        <v>44980</v>
      </c>
      <c r="D2022">
        <v>2183</v>
      </c>
      <c r="E2022" t="b">
        <v>0</v>
      </c>
      <c r="F2022">
        <v>289</v>
      </c>
      <c r="G2022" t="s">
        <v>175</v>
      </c>
      <c r="H2022" t="s">
        <v>132</v>
      </c>
      <c r="I2022" t="s">
        <v>2117</v>
      </c>
    </row>
    <row r="2023" spans="1:9" x14ac:dyDescent="0.35">
      <c r="A2023">
        <v>1677280</v>
      </c>
      <c r="B2023" t="s">
        <v>744</v>
      </c>
      <c r="C2023" s="1">
        <v>44980</v>
      </c>
      <c r="D2023">
        <v>2183</v>
      </c>
      <c r="E2023" t="b">
        <v>0</v>
      </c>
      <c r="F2023">
        <v>289</v>
      </c>
      <c r="G2023" t="s">
        <v>175</v>
      </c>
      <c r="H2023" t="s">
        <v>124</v>
      </c>
      <c r="I2023" t="s">
        <v>2116</v>
      </c>
    </row>
    <row r="2024" spans="1:9" x14ac:dyDescent="0.35">
      <c r="A2024">
        <v>1677280</v>
      </c>
      <c r="B2024" t="s">
        <v>744</v>
      </c>
      <c r="C2024" s="1">
        <v>44980</v>
      </c>
      <c r="D2024">
        <v>2183</v>
      </c>
      <c r="E2024" t="b">
        <v>0</v>
      </c>
      <c r="F2024">
        <v>289</v>
      </c>
      <c r="G2024" t="s">
        <v>175</v>
      </c>
      <c r="H2024" t="s">
        <v>1510</v>
      </c>
      <c r="I2024" t="s">
        <v>2117</v>
      </c>
    </row>
    <row r="2025" spans="1:9" x14ac:dyDescent="0.35">
      <c r="A2025">
        <v>1068820</v>
      </c>
      <c r="B2025" t="s">
        <v>746</v>
      </c>
      <c r="C2025" s="1">
        <v>43644</v>
      </c>
      <c r="D2025">
        <v>2180</v>
      </c>
      <c r="E2025" t="b">
        <v>0</v>
      </c>
      <c r="F2025">
        <v>290</v>
      </c>
      <c r="G2025" t="s">
        <v>371</v>
      </c>
      <c r="H2025" t="s">
        <v>49</v>
      </c>
      <c r="I2025" t="s">
        <v>2117</v>
      </c>
    </row>
    <row r="2026" spans="1:9" x14ac:dyDescent="0.35">
      <c r="A2026">
        <v>1068820</v>
      </c>
      <c r="B2026" t="s">
        <v>746</v>
      </c>
      <c r="C2026" s="1">
        <v>43644</v>
      </c>
      <c r="D2026">
        <v>2180</v>
      </c>
      <c r="E2026" t="b">
        <v>0</v>
      </c>
      <c r="F2026">
        <v>290</v>
      </c>
      <c r="G2026" t="s">
        <v>371</v>
      </c>
      <c r="H2026" t="s">
        <v>792</v>
      </c>
      <c r="I2026" t="s">
        <v>2117</v>
      </c>
    </row>
    <row r="2027" spans="1:9" x14ac:dyDescent="0.35">
      <c r="A2027">
        <v>1068820</v>
      </c>
      <c r="B2027" t="s">
        <v>746</v>
      </c>
      <c r="C2027" s="1">
        <v>43644</v>
      </c>
      <c r="D2027">
        <v>2180</v>
      </c>
      <c r="E2027" t="b">
        <v>0</v>
      </c>
      <c r="F2027">
        <v>290</v>
      </c>
      <c r="G2027" t="s">
        <v>371</v>
      </c>
      <c r="H2027" t="s">
        <v>346</v>
      </c>
      <c r="I2027" t="s">
        <v>2117</v>
      </c>
    </row>
    <row r="2028" spans="1:9" x14ac:dyDescent="0.35">
      <c r="A2028">
        <v>1068820</v>
      </c>
      <c r="B2028" t="s">
        <v>746</v>
      </c>
      <c r="C2028" s="1">
        <v>43644</v>
      </c>
      <c r="D2028">
        <v>2180</v>
      </c>
      <c r="E2028" t="b">
        <v>0</v>
      </c>
      <c r="F2028">
        <v>290</v>
      </c>
      <c r="G2028" t="s">
        <v>371</v>
      </c>
      <c r="H2028" t="s">
        <v>239</v>
      </c>
      <c r="I2028" t="s">
        <v>2117</v>
      </c>
    </row>
    <row r="2029" spans="1:9" x14ac:dyDescent="0.35">
      <c r="A2029">
        <v>1068820</v>
      </c>
      <c r="B2029" t="s">
        <v>746</v>
      </c>
      <c r="C2029" s="1">
        <v>43644</v>
      </c>
      <c r="D2029">
        <v>2180</v>
      </c>
      <c r="E2029" t="b">
        <v>0</v>
      </c>
      <c r="F2029">
        <v>290</v>
      </c>
      <c r="G2029" t="s">
        <v>371</v>
      </c>
      <c r="H2029" t="s">
        <v>132</v>
      </c>
      <c r="I2029" t="s">
        <v>2117</v>
      </c>
    </row>
    <row r="2030" spans="1:9" x14ac:dyDescent="0.35">
      <c r="A2030">
        <v>1068820</v>
      </c>
      <c r="B2030" t="s">
        <v>746</v>
      </c>
      <c r="C2030" s="1">
        <v>43644</v>
      </c>
      <c r="D2030">
        <v>2180</v>
      </c>
      <c r="E2030" t="b">
        <v>0</v>
      </c>
      <c r="F2030">
        <v>290</v>
      </c>
      <c r="G2030" t="s">
        <v>371</v>
      </c>
      <c r="H2030" t="s">
        <v>124</v>
      </c>
      <c r="I2030" t="s">
        <v>2117</v>
      </c>
    </row>
    <row r="2031" spans="1:9" x14ac:dyDescent="0.35">
      <c r="A2031">
        <v>1068820</v>
      </c>
      <c r="B2031" t="s">
        <v>746</v>
      </c>
      <c r="C2031" s="1">
        <v>43644</v>
      </c>
      <c r="D2031">
        <v>2180</v>
      </c>
      <c r="E2031" t="b">
        <v>0</v>
      </c>
      <c r="F2031">
        <v>290</v>
      </c>
      <c r="G2031" t="s">
        <v>371</v>
      </c>
      <c r="H2031" t="s">
        <v>1510</v>
      </c>
      <c r="I2031" t="s">
        <v>2117</v>
      </c>
    </row>
    <row r="2032" spans="1:9" x14ac:dyDescent="0.35">
      <c r="A2032">
        <v>1128810</v>
      </c>
      <c r="B2032" t="s">
        <v>748</v>
      </c>
      <c r="C2032" s="1">
        <v>43880</v>
      </c>
      <c r="D2032">
        <v>2153</v>
      </c>
      <c r="E2032" t="b">
        <v>1</v>
      </c>
      <c r="F2032">
        <v>291</v>
      </c>
      <c r="G2032" t="s">
        <v>14</v>
      </c>
      <c r="H2032" t="s">
        <v>49</v>
      </c>
      <c r="I2032" t="s">
        <v>2117</v>
      </c>
    </row>
    <row r="2033" spans="1:9" x14ac:dyDescent="0.35">
      <c r="A2033">
        <v>1128810</v>
      </c>
      <c r="B2033" t="s">
        <v>748</v>
      </c>
      <c r="C2033" s="1">
        <v>43880</v>
      </c>
      <c r="D2033">
        <v>2153</v>
      </c>
      <c r="E2033" t="b">
        <v>1</v>
      </c>
      <c r="F2033">
        <v>291</v>
      </c>
      <c r="G2033" t="s">
        <v>14</v>
      </c>
      <c r="H2033" t="s">
        <v>792</v>
      </c>
      <c r="I2033" t="s">
        <v>2117</v>
      </c>
    </row>
    <row r="2034" spans="1:9" x14ac:dyDescent="0.35">
      <c r="A2034">
        <v>1128810</v>
      </c>
      <c r="B2034" t="s">
        <v>748</v>
      </c>
      <c r="C2034" s="1">
        <v>43880</v>
      </c>
      <c r="D2034">
        <v>2153</v>
      </c>
      <c r="E2034" t="b">
        <v>1</v>
      </c>
      <c r="F2034">
        <v>291</v>
      </c>
      <c r="G2034" t="s">
        <v>14</v>
      </c>
      <c r="H2034" t="s">
        <v>346</v>
      </c>
      <c r="I2034" t="s">
        <v>2117</v>
      </c>
    </row>
    <row r="2035" spans="1:9" x14ac:dyDescent="0.35">
      <c r="A2035">
        <v>1128810</v>
      </c>
      <c r="B2035" t="s">
        <v>748</v>
      </c>
      <c r="C2035" s="1">
        <v>43880</v>
      </c>
      <c r="D2035">
        <v>2153</v>
      </c>
      <c r="E2035" t="b">
        <v>1</v>
      </c>
      <c r="F2035">
        <v>291</v>
      </c>
      <c r="G2035" t="s">
        <v>14</v>
      </c>
      <c r="H2035" t="s">
        <v>239</v>
      </c>
      <c r="I2035" t="s">
        <v>2117</v>
      </c>
    </row>
    <row r="2036" spans="1:9" x14ac:dyDescent="0.35">
      <c r="A2036">
        <v>1128810</v>
      </c>
      <c r="B2036" t="s">
        <v>748</v>
      </c>
      <c r="C2036" s="1">
        <v>43880</v>
      </c>
      <c r="D2036">
        <v>2153</v>
      </c>
      <c r="E2036" t="b">
        <v>1</v>
      </c>
      <c r="F2036">
        <v>291</v>
      </c>
      <c r="G2036" t="s">
        <v>14</v>
      </c>
      <c r="H2036" t="s">
        <v>132</v>
      </c>
      <c r="I2036" t="s">
        <v>2117</v>
      </c>
    </row>
    <row r="2037" spans="1:9" x14ac:dyDescent="0.35">
      <c r="A2037">
        <v>1128810</v>
      </c>
      <c r="B2037" t="s">
        <v>748</v>
      </c>
      <c r="C2037" s="1">
        <v>43880</v>
      </c>
      <c r="D2037">
        <v>2153</v>
      </c>
      <c r="E2037" t="b">
        <v>1</v>
      </c>
      <c r="F2037">
        <v>291</v>
      </c>
      <c r="G2037" t="s">
        <v>14</v>
      </c>
      <c r="H2037" t="s">
        <v>124</v>
      </c>
      <c r="I2037" t="s">
        <v>2116</v>
      </c>
    </row>
    <row r="2038" spans="1:9" x14ac:dyDescent="0.35">
      <c r="A2038">
        <v>1128810</v>
      </c>
      <c r="B2038" t="s">
        <v>748</v>
      </c>
      <c r="C2038" s="1">
        <v>43880</v>
      </c>
      <c r="D2038">
        <v>2153</v>
      </c>
      <c r="E2038" t="b">
        <v>1</v>
      </c>
      <c r="F2038">
        <v>291</v>
      </c>
      <c r="G2038" t="s">
        <v>14</v>
      </c>
      <c r="H2038" t="s">
        <v>1510</v>
      </c>
      <c r="I2038" t="s">
        <v>2116</v>
      </c>
    </row>
    <row r="2039" spans="1:9" x14ac:dyDescent="0.35">
      <c r="A2039">
        <v>304390</v>
      </c>
      <c r="B2039" t="s">
        <v>751</v>
      </c>
      <c r="C2039" s="1">
        <v>42779</v>
      </c>
      <c r="D2039">
        <v>2146</v>
      </c>
      <c r="E2039" t="b">
        <v>0</v>
      </c>
      <c r="F2039">
        <v>292</v>
      </c>
      <c r="G2039" t="s">
        <v>53</v>
      </c>
      <c r="H2039" t="s">
        <v>49</v>
      </c>
      <c r="I2039" t="s">
        <v>2116</v>
      </c>
    </row>
    <row r="2040" spans="1:9" x14ac:dyDescent="0.35">
      <c r="A2040">
        <v>304390</v>
      </c>
      <c r="B2040" t="s">
        <v>751</v>
      </c>
      <c r="C2040" s="1">
        <v>42779</v>
      </c>
      <c r="D2040">
        <v>2146</v>
      </c>
      <c r="E2040" t="b">
        <v>0</v>
      </c>
      <c r="F2040">
        <v>292</v>
      </c>
      <c r="G2040" t="s">
        <v>53</v>
      </c>
      <c r="H2040" t="s">
        <v>792</v>
      </c>
      <c r="I2040" t="s">
        <v>2117</v>
      </c>
    </row>
    <row r="2041" spans="1:9" x14ac:dyDescent="0.35">
      <c r="A2041">
        <v>304390</v>
      </c>
      <c r="B2041" t="s">
        <v>751</v>
      </c>
      <c r="C2041" s="1">
        <v>42779</v>
      </c>
      <c r="D2041">
        <v>2146</v>
      </c>
      <c r="E2041" t="b">
        <v>0</v>
      </c>
      <c r="F2041">
        <v>292</v>
      </c>
      <c r="G2041" t="s">
        <v>53</v>
      </c>
      <c r="H2041" t="s">
        <v>346</v>
      </c>
      <c r="I2041" t="s">
        <v>2117</v>
      </c>
    </row>
    <row r="2042" spans="1:9" x14ac:dyDescent="0.35">
      <c r="A2042">
        <v>304390</v>
      </c>
      <c r="B2042" t="s">
        <v>751</v>
      </c>
      <c r="C2042" s="1">
        <v>42779</v>
      </c>
      <c r="D2042">
        <v>2146</v>
      </c>
      <c r="E2042" t="b">
        <v>0</v>
      </c>
      <c r="F2042">
        <v>292</v>
      </c>
      <c r="G2042" t="s">
        <v>53</v>
      </c>
      <c r="H2042" t="s">
        <v>239</v>
      </c>
      <c r="I2042" t="s">
        <v>2117</v>
      </c>
    </row>
    <row r="2043" spans="1:9" x14ac:dyDescent="0.35">
      <c r="A2043">
        <v>304390</v>
      </c>
      <c r="B2043" t="s">
        <v>751</v>
      </c>
      <c r="C2043" s="1">
        <v>42779</v>
      </c>
      <c r="D2043">
        <v>2146</v>
      </c>
      <c r="E2043" t="b">
        <v>0</v>
      </c>
      <c r="F2043">
        <v>292</v>
      </c>
      <c r="G2043" t="s">
        <v>53</v>
      </c>
      <c r="H2043" t="s">
        <v>132</v>
      </c>
      <c r="I2043" t="s">
        <v>2117</v>
      </c>
    </row>
    <row r="2044" spans="1:9" x14ac:dyDescent="0.35">
      <c r="A2044">
        <v>304390</v>
      </c>
      <c r="B2044" t="s">
        <v>751</v>
      </c>
      <c r="C2044" s="1">
        <v>42779</v>
      </c>
      <c r="D2044">
        <v>2146</v>
      </c>
      <c r="E2044" t="b">
        <v>0</v>
      </c>
      <c r="F2044">
        <v>292</v>
      </c>
      <c r="G2044" t="s">
        <v>53</v>
      </c>
      <c r="H2044" t="s">
        <v>124</v>
      </c>
      <c r="I2044" t="s">
        <v>2117</v>
      </c>
    </row>
    <row r="2045" spans="1:9" x14ac:dyDescent="0.35">
      <c r="A2045">
        <v>304390</v>
      </c>
      <c r="B2045" t="s">
        <v>751</v>
      </c>
      <c r="C2045" s="1">
        <v>42779</v>
      </c>
      <c r="D2045">
        <v>2146</v>
      </c>
      <c r="E2045" t="b">
        <v>0</v>
      </c>
      <c r="F2045">
        <v>292</v>
      </c>
      <c r="G2045" t="s">
        <v>53</v>
      </c>
      <c r="H2045" t="s">
        <v>1510</v>
      </c>
      <c r="I2045" t="s">
        <v>2117</v>
      </c>
    </row>
    <row r="2046" spans="1:9" x14ac:dyDescent="0.35">
      <c r="A2046">
        <v>392160</v>
      </c>
      <c r="B2046" t="s">
        <v>753</v>
      </c>
      <c r="C2046" s="1">
        <v>43434</v>
      </c>
      <c r="D2046">
        <v>2141</v>
      </c>
      <c r="E2046" t="b">
        <v>0</v>
      </c>
      <c r="F2046">
        <v>293</v>
      </c>
      <c r="G2046" t="s">
        <v>29</v>
      </c>
      <c r="H2046" t="s">
        <v>49</v>
      </c>
      <c r="I2046" t="s">
        <v>2116</v>
      </c>
    </row>
    <row r="2047" spans="1:9" x14ac:dyDescent="0.35">
      <c r="A2047">
        <v>392160</v>
      </c>
      <c r="B2047" t="s">
        <v>753</v>
      </c>
      <c r="C2047" s="1">
        <v>43434</v>
      </c>
      <c r="D2047">
        <v>2141</v>
      </c>
      <c r="E2047" t="b">
        <v>0</v>
      </c>
      <c r="F2047">
        <v>293</v>
      </c>
      <c r="G2047" t="s">
        <v>29</v>
      </c>
      <c r="H2047" t="s">
        <v>792</v>
      </c>
      <c r="I2047" t="s">
        <v>2117</v>
      </c>
    </row>
    <row r="2048" spans="1:9" x14ac:dyDescent="0.35">
      <c r="A2048">
        <v>392160</v>
      </c>
      <c r="B2048" t="s">
        <v>753</v>
      </c>
      <c r="C2048" s="1">
        <v>43434</v>
      </c>
      <c r="D2048">
        <v>2141</v>
      </c>
      <c r="E2048" t="b">
        <v>0</v>
      </c>
      <c r="F2048">
        <v>293</v>
      </c>
      <c r="G2048" t="s">
        <v>29</v>
      </c>
      <c r="H2048" t="s">
        <v>346</v>
      </c>
      <c r="I2048" t="s">
        <v>2117</v>
      </c>
    </row>
    <row r="2049" spans="1:9" x14ac:dyDescent="0.35">
      <c r="A2049">
        <v>392160</v>
      </c>
      <c r="B2049" t="s">
        <v>753</v>
      </c>
      <c r="C2049" s="1">
        <v>43434</v>
      </c>
      <c r="D2049">
        <v>2141</v>
      </c>
      <c r="E2049" t="b">
        <v>0</v>
      </c>
      <c r="F2049">
        <v>293</v>
      </c>
      <c r="G2049" t="s">
        <v>29</v>
      </c>
      <c r="H2049" t="s">
        <v>239</v>
      </c>
      <c r="I2049" t="s">
        <v>2116</v>
      </c>
    </row>
    <row r="2050" spans="1:9" x14ac:dyDescent="0.35">
      <c r="A2050">
        <v>392160</v>
      </c>
      <c r="B2050" t="s">
        <v>753</v>
      </c>
      <c r="C2050" s="1">
        <v>43434</v>
      </c>
      <c r="D2050">
        <v>2141</v>
      </c>
      <c r="E2050" t="b">
        <v>0</v>
      </c>
      <c r="F2050">
        <v>293</v>
      </c>
      <c r="G2050" t="s">
        <v>29</v>
      </c>
      <c r="H2050" t="s">
        <v>132</v>
      </c>
      <c r="I2050" t="s">
        <v>2117</v>
      </c>
    </row>
    <row r="2051" spans="1:9" x14ac:dyDescent="0.35">
      <c r="A2051">
        <v>392160</v>
      </c>
      <c r="B2051" t="s">
        <v>753</v>
      </c>
      <c r="C2051" s="1">
        <v>43434</v>
      </c>
      <c r="D2051">
        <v>2141</v>
      </c>
      <c r="E2051" t="b">
        <v>0</v>
      </c>
      <c r="F2051">
        <v>293</v>
      </c>
      <c r="G2051" t="s">
        <v>29</v>
      </c>
      <c r="H2051" t="s">
        <v>124</v>
      </c>
      <c r="I2051" t="s">
        <v>2116</v>
      </c>
    </row>
    <row r="2052" spans="1:9" x14ac:dyDescent="0.35">
      <c r="A2052">
        <v>392160</v>
      </c>
      <c r="B2052" t="s">
        <v>753</v>
      </c>
      <c r="C2052" s="1">
        <v>43434</v>
      </c>
      <c r="D2052">
        <v>2141</v>
      </c>
      <c r="E2052" t="b">
        <v>0</v>
      </c>
      <c r="F2052">
        <v>293</v>
      </c>
      <c r="G2052" t="s">
        <v>29</v>
      </c>
      <c r="H2052" t="s">
        <v>1510</v>
      </c>
      <c r="I2052" t="s">
        <v>2117</v>
      </c>
    </row>
    <row r="2053" spans="1:9" x14ac:dyDescent="0.35">
      <c r="A2053">
        <v>552500</v>
      </c>
      <c r="B2053" t="s">
        <v>755</v>
      </c>
      <c r="C2053" s="1">
        <v>43167</v>
      </c>
      <c r="D2053">
        <v>2124</v>
      </c>
      <c r="E2053" t="b">
        <v>0</v>
      </c>
      <c r="F2053">
        <v>294</v>
      </c>
      <c r="G2053" t="s">
        <v>33</v>
      </c>
      <c r="H2053" t="s">
        <v>49</v>
      </c>
      <c r="I2053" t="s">
        <v>2116</v>
      </c>
    </row>
    <row r="2054" spans="1:9" x14ac:dyDescent="0.35">
      <c r="A2054">
        <v>552500</v>
      </c>
      <c r="B2054" t="s">
        <v>755</v>
      </c>
      <c r="C2054" s="1">
        <v>43167</v>
      </c>
      <c r="D2054">
        <v>2124</v>
      </c>
      <c r="E2054" t="b">
        <v>0</v>
      </c>
      <c r="F2054">
        <v>294</v>
      </c>
      <c r="G2054" t="s">
        <v>33</v>
      </c>
      <c r="H2054" t="s">
        <v>792</v>
      </c>
      <c r="I2054" t="s">
        <v>2116</v>
      </c>
    </row>
    <row r="2055" spans="1:9" x14ac:dyDescent="0.35">
      <c r="A2055">
        <v>552500</v>
      </c>
      <c r="B2055" t="s">
        <v>755</v>
      </c>
      <c r="C2055" s="1">
        <v>43167</v>
      </c>
      <c r="D2055">
        <v>2124</v>
      </c>
      <c r="E2055" t="b">
        <v>0</v>
      </c>
      <c r="F2055">
        <v>294</v>
      </c>
      <c r="G2055" t="s">
        <v>33</v>
      </c>
      <c r="H2055" t="s">
        <v>346</v>
      </c>
      <c r="I2055" t="s">
        <v>2117</v>
      </c>
    </row>
    <row r="2056" spans="1:9" x14ac:dyDescent="0.35">
      <c r="A2056">
        <v>552500</v>
      </c>
      <c r="B2056" t="s">
        <v>755</v>
      </c>
      <c r="C2056" s="1">
        <v>43167</v>
      </c>
      <c r="D2056">
        <v>2124</v>
      </c>
      <c r="E2056" t="b">
        <v>0</v>
      </c>
      <c r="F2056">
        <v>294</v>
      </c>
      <c r="G2056" t="s">
        <v>33</v>
      </c>
      <c r="H2056" t="s">
        <v>239</v>
      </c>
      <c r="I2056" t="s">
        <v>2117</v>
      </c>
    </row>
    <row r="2057" spans="1:9" x14ac:dyDescent="0.35">
      <c r="A2057">
        <v>552500</v>
      </c>
      <c r="B2057" t="s">
        <v>755</v>
      </c>
      <c r="C2057" s="1">
        <v>43167</v>
      </c>
      <c r="D2057">
        <v>2124</v>
      </c>
      <c r="E2057" t="b">
        <v>0</v>
      </c>
      <c r="F2057">
        <v>294</v>
      </c>
      <c r="G2057" t="s">
        <v>33</v>
      </c>
      <c r="H2057" t="s">
        <v>132</v>
      </c>
      <c r="I2057" t="s">
        <v>2116</v>
      </c>
    </row>
    <row r="2058" spans="1:9" x14ac:dyDescent="0.35">
      <c r="A2058">
        <v>552500</v>
      </c>
      <c r="B2058" t="s">
        <v>755</v>
      </c>
      <c r="C2058" s="1">
        <v>43167</v>
      </c>
      <c r="D2058">
        <v>2124</v>
      </c>
      <c r="E2058" t="b">
        <v>0</v>
      </c>
      <c r="F2058">
        <v>294</v>
      </c>
      <c r="G2058" t="s">
        <v>33</v>
      </c>
      <c r="H2058" t="s">
        <v>124</v>
      </c>
      <c r="I2058" t="s">
        <v>2117</v>
      </c>
    </row>
    <row r="2059" spans="1:9" x14ac:dyDescent="0.35">
      <c r="A2059">
        <v>552500</v>
      </c>
      <c r="B2059" t="s">
        <v>755</v>
      </c>
      <c r="C2059" s="1">
        <v>43167</v>
      </c>
      <c r="D2059">
        <v>2124</v>
      </c>
      <c r="E2059" t="b">
        <v>0</v>
      </c>
      <c r="F2059">
        <v>294</v>
      </c>
      <c r="G2059" t="s">
        <v>33</v>
      </c>
      <c r="H2059" t="s">
        <v>1510</v>
      </c>
      <c r="I2059" t="s">
        <v>2117</v>
      </c>
    </row>
    <row r="2060" spans="1:9" x14ac:dyDescent="0.35">
      <c r="A2060">
        <v>12210</v>
      </c>
      <c r="B2060" t="s">
        <v>757</v>
      </c>
      <c r="C2060" s="1">
        <v>43914</v>
      </c>
      <c r="D2060">
        <v>2122</v>
      </c>
      <c r="E2060" t="b">
        <v>0</v>
      </c>
      <c r="F2060">
        <v>295</v>
      </c>
      <c r="G2060" t="s">
        <v>2082</v>
      </c>
      <c r="H2060" t="s">
        <v>49</v>
      </c>
      <c r="I2060" t="s">
        <v>2116</v>
      </c>
    </row>
    <row r="2061" spans="1:9" x14ac:dyDescent="0.35">
      <c r="A2061">
        <v>12210</v>
      </c>
      <c r="B2061" t="s">
        <v>757</v>
      </c>
      <c r="C2061" s="1">
        <v>43914</v>
      </c>
      <c r="D2061">
        <v>2122</v>
      </c>
      <c r="E2061" t="b">
        <v>0</v>
      </c>
      <c r="F2061">
        <v>295</v>
      </c>
      <c r="G2061" t="s">
        <v>2082</v>
      </c>
      <c r="H2061" t="s">
        <v>792</v>
      </c>
      <c r="I2061" t="s">
        <v>2117</v>
      </c>
    </row>
    <row r="2062" spans="1:9" x14ac:dyDescent="0.35">
      <c r="A2062">
        <v>12210</v>
      </c>
      <c r="B2062" t="s">
        <v>757</v>
      </c>
      <c r="C2062" s="1">
        <v>43914</v>
      </c>
      <c r="D2062">
        <v>2122</v>
      </c>
      <c r="E2062" t="b">
        <v>0</v>
      </c>
      <c r="F2062">
        <v>295</v>
      </c>
      <c r="G2062" t="s">
        <v>2082</v>
      </c>
      <c r="H2062" t="s">
        <v>346</v>
      </c>
      <c r="I2062" t="s">
        <v>2116</v>
      </c>
    </row>
    <row r="2063" spans="1:9" x14ac:dyDescent="0.35">
      <c r="A2063">
        <v>12210</v>
      </c>
      <c r="B2063" t="s">
        <v>757</v>
      </c>
      <c r="C2063" s="1">
        <v>43914</v>
      </c>
      <c r="D2063">
        <v>2122</v>
      </c>
      <c r="E2063" t="b">
        <v>0</v>
      </c>
      <c r="F2063">
        <v>295</v>
      </c>
      <c r="G2063" t="s">
        <v>2082</v>
      </c>
      <c r="H2063" t="s">
        <v>239</v>
      </c>
      <c r="I2063" t="s">
        <v>2117</v>
      </c>
    </row>
    <row r="2064" spans="1:9" x14ac:dyDescent="0.35">
      <c r="A2064">
        <v>12210</v>
      </c>
      <c r="B2064" t="s">
        <v>757</v>
      </c>
      <c r="C2064" s="1">
        <v>43914</v>
      </c>
      <c r="D2064">
        <v>2122</v>
      </c>
      <c r="E2064" t="b">
        <v>0</v>
      </c>
      <c r="F2064">
        <v>295</v>
      </c>
      <c r="G2064" t="s">
        <v>2082</v>
      </c>
      <c r="H2064" t="s">
        <v>132</v>
      </c>
      <c r="I2064" t="s">
        <v>2117</v>
      </c>
    </row>
    <row r="2065" spans="1:9" x14ac:dyDescent="0.35">
      <c r="A2065">
        <v>12210</v>
      </c>
      <c r="B2065" t="s">
        <v>757</v>
      </c>
      <c r="C2065" s="1">
        <v>43914</v>
      </c>
      <c r="D2065">
        <v>2122</v>
      </c>
      <c r="E2065" t="b">
        <v>0</v>
      </c>
      <c r="F2065">
        <v>295</v>
      </c>
      <c r="G2065" t="s">
        <v>2082</v>
      </c>
      <c r="H2065" t="s">
        <v>124</v>
      </c>
      <c r="I2065" t="s">
        <v>2117</v>
      </c>
    </row>
    <row r="2066" spans="1:9" x14ac:dyDescent="0.35">
      <c r="A2066">
        <v>12210</v>
      </c>
      <c r="B2066" t="s">
        <v>757</v>
      </c>
      <c r="C2066" s="1">
        <v>43914</v>
      </c>
      <c r="D2066">
        <v>2122</v>
      </c>
      <c r="E2066" t="b">
        <v>0</v>
      </c>
      <c r="F2066">
        <v>295</v>
      </c>
      <c r="G2066" t="s">
        <v>2082</v>
      </c>
      <c r="H2066" t="s">
        <v>1510</v>
      </c>
      <c r="I2066" t="s">
        <v>2117</v>
      </c>
    </row>
    <row r="2067" spans="1:9" x14ac:dyDescent="0.35">
      <c r="A2067">
        <v>728880</v>
      </c>
      <c r="B2067" t="s">
        <v>759</v>
      </c>
      <c r="C2067" s="1">
        <v>43319</v>
      </c>
      <c r="D2067">
        <v>2107</v>
      </c>
      <c r="E2067" t="b">
        <v>1</v>
      </c>
      <c r="F2067">
        <v>296</v>
      </c>
      <c r="G2067" t="s">
        <v>110</v>
      </c>
      <c r="H2067" t="s">
        <v>49</v>
      </c>
      <c r="I2067" t="s">
        <v>2116</v>
      </c>
    </row>
    <row r="2068" spans="1:9" x14ac:dyDescent="0.35">
      <c r="A2068">
        <v>728880</v>
      </c>
      <c r="B2068" t="s">
        <v>759</v>
      </c>
      <c r="C2068" s="1">
        <v>43319</v>
      </c>
      <c r="D2068">
        <v>2107</v>
      </c>
      <c r="E2068" t="b">
        <v>1</v>
      </c>
      <c r="F2068">
        <v>296</v>
      </c>
      <c r="G2068" t="s">
        <v>110</v>
      </c>
      <c r="H2068" t="s">
        <v>792</v>
      </c>
      <c r="I2068" t="s">
        <v>2116</v>
      </c>
    </row>
    <row r="2069" spans="1:9" x14ac:dyDescent="0.35">
      <c r="A2069">
        <v>728880</v>
      </c>
      <c r="B2069" t="s">
        <v>759</v>
      </c>
      <c r="C2069" s="1">
        <v>43319</v>
      </c>
      <c r="D2069">
        <v>2107</v>
      </c>
      <c r="E2069" t="b">
        <v>1</v>
      </c>
      <c r="F2069">
        <v>296</v>
      </c>
      <c r="G2069" t="s">
        <v>110</v>
      </c>
      <c r="H2069" t="s">
        <v>346</v>
      </c>
      <c r="I2069" t="s">
        <v>2117</v>
      </c>
    </row>
    <row r="2070" spans="1:9" x14ac:dyDescent="0.35">
      <c r="A2070">
        <v>728880</v>
      </c>
      <c r="B2070" t="s">
        <v>759</v>
      </c>
      <c r="C2070" s="1">
        <v>43319</v>
      </c>
      <c r="D2070">
        <v>2107</v>
      </c>
      <c r="E2070" t="b">
        <v>1</v>
      </c>
      <c r="F2070">
        <v>296</v>
      </c>
      <c r="G2070" t="s">
        <v>110</v>
      </c>
      <c r="H2070" t="s">
        <v>239</v>
      </c>
      <c r="I2070" t="s">
        <v>2117</v>
      </c>
    </row>
    <row r="2071" spans="1:9" x14ac:dyDescent="0.35">
      <c r="A2071">
        <v>728880</v>
      </c>
      <c r="B2071" t="s">
        <v>759</v>
      </c>
      <c r="C2071" s="1">
        <v>43319</v>
      </c>
      <c r="D2071">
        <v>2107</v>
      </c>
      <c r="E2071" t="b">
        <v>1</v>
      </c>
      <c r="F2071">
        <v>296</v>
      </c>
      <c r="G2071" t="s">
        <v>110</v>
      </c>
      <c r="H2071" t="s">
        <v>132</v>
      </c>
      <c r="I2071" t="s">
        <v>2117</v>
      </c>
    </row>
    <row r="2072" spans="1:9" x14ac:dyDescent="0.35">
      <c r="A2072">
        <v>728880</v>
      </c>
      <c r="B2072" t="s">
        <v>759</v>
      </c>
      <c r="C2072" s="1">
        <v>43319</v>
      </c>
      <c r="D2072">
        <v>2107</v>
      </c>
      <c r="E2072" t="b">
        <v>1</v>
      </c>
      <c r="F2072">
        <v>296</v>
      </c>
      <c r="G2072" t="s">
        <v>110</v>
      </c>
      <c r="H2072" t="s">
        <v>124</v>
      </c>
      <c r="I2072" t="s">
        <v>2117</v>
      </c>
    </row>
    <row r="2073" spans="1:9" x14ac:dyDescent="0.35">
      <c r="A2073">
        <v>728880</v>
      </c>
      <c r="B2073" t="s">
        <v>759</v>
      </c>
      <c r="C2073" s="1">
        <v>43319</v>
      </c>
      <c r="D2073">
        <v>2107</v>
      </c>
      <c r="E2073" t="b">
        <v>1</v>
      </c>
      <c r="F2073">
        <v>296</v>
      </c>
      <c r="G2073" t="s">
        <v>110</v>
      </c>
      <c r="H2073" t="s">
        <v>1510</v>
      </c>
      <c r="I2073" t="s">
        <v>2117</v>
      </c>
    </row>
    <row r="2074" spans="1:9" x14ac:dyDescent="0.35">
      <c r="A2074">
        <v>268910</v>
      </c>
      <c r="B2074" t="s">
        <v>761</v>
      </c>
      <c r="C2074" s="1">
        <v>43007</v>
      </c>
      <c r="D2074">
        <v>2080</v>
      </c>
      <c r="E2074" t="b">
        <v>1</v>
      </c>
      <c r="F2074">
        <v>297</v>
      </c>
      <c r="G2074" t="s">
        <v>110</v>
      </c>
      <c r="H2074" t="s">
        <v>49</v>
      </c>
      <c r="I2074" t="s">
        <v>2116</v>
      </c>
    </row>
    <row r="2075" spans="1:9" x14ac:dyDescent="0.35">
      <c r="A2075">
        <v>268910</v>
      </c>
      <c r="B2075" t="s">
        <v>761</v>
      </c>
      <c r="C2075" s="1">
        <v>43007</v>
      </c>
      <c r="D2075">
        <v>2080</v>
      </c>
      <c r="E2075" t="b">
        <v>1</v>
      </c>
      <c r="F2075">
        <v>297</v>
      </c>
      <c r="G2075" t="s">
        <v>110</v>
      </c>
      <c r="H2075" t="s">
        <v>792</v>
      </c>
      <c r="I2075" t="s">
        <v>2116</v>
      </c>
    </row>
    <row r="2076" spans="1:9" x14ac:dyDescent="0.35">
      <c r="A2076">
        <v>268910</v>
      </c>
      <c r="B2076" t="s">
        <v>761</v>
      </c>
      <c r="C2076" s="1">
        <v>43007</v>
      </c>
      <c r="D2076">
        <v>2080</v>
      </c>
      <c r="E2076" t="b">
        <v>1</v>
      </c>
      <c r="F2076">
        <v>297</v>
      </c>
      <c r="G2076" t="s">
        <v>110</v>
      </c>
      <c r="H2076" t="s">
        <v>346</v>
      </c>
      <c r="I2076" t="s">
        <v>2117</v>
      </c>
    </row>
    <row r="2077" spans="1:9" x14ac:dyDescent="0.35">
      <c r="A2077">
        <v>268910</v>
      </c>
      <c r="B2077" t="s">
        <v>761</v>
      </c>
      <c r="C2077" s="1">
        <v>43007</v>
      </c>
      <c r="D2077">
        <v>2080</v>
      </c>
      <c r="E2077" t="b">
        <v>1</v>
      </c>
      <c r="F2077">
        <v>297</v>
      </c>
      <c r="G2077" t="s">
        <v>110</v>
      </c>
      <c r="H2077" t="s">
        <v>239</v>
      </c>
      <c r="I2077" t="s">
        <v>2117</v>
      </c>
    </row>
    <row r="2078" spans="1:9" x14ac:dyDescent="0.35">
      <c r="A2078">
        <v>268910</v>
      </c>
      <c r="B2078" t="s">
        <v>761</v>
      </c>
      <c r="C2078" s="1">
        <v>43007</v>
      </c>
      <c r="D2078">
        <v>2080</v>
      </c>
      <c r="E2078" t="b">
        <v>1</v>
      </c>
      <c r="F2078">
        <v>297</v>
      </c>
      <c r="G2078" t="s">
        <v>110</v>
      </c>
      <c r="H2078" t="s">
        <v>132</v>
      </c>
      <c r="I2078" t="s">
        <v>2117</v>
      </c>
    </row>
    <row r="2079" spans="1:9" x14ac:dyDescent="0.35">
      <c r="A2079">
        <v>268910</v>
      </c>
      <c r="B2079" t="s">
        <v>761</v>
      </c>
      <c r="C2079" s="1">
        <v>43007</v>
      </c>
      <c r="D2079">
        <v>2080</v>
      </c>
      <c r="E2079" t="b">
        <v>1</v>
      </c>
      <c r="F2079">
        <v>297</v>
      </c>
      <c r="G2079" t="s">
        <v>110</v>
      </c>
      <c r="H2079" t="s">
        <v>124</v>
      </c>
      <c r="I2079" t="s">
        <v>2117</v>
      </c>
    </row>
    <row r="2080" spans="1:9" x14ac:dyDescent="0.35">
      <c r="A2080">
        <v>268910</v>
      </c>
      <c r="B2080" t="s">
        <v>761</v>
      </c>
      <c r="C2080" s="1">
        <v>43007</v>
      </c>
      <c r="D2080">
        <v>2080</v>
      </c>
      <c r="E2080" t="b">
        <v>1</v>
      </c>
      <c r="F2080">
        <v>297</v>
      </c>
      <c r="G2080" t="s">
        <v>110</v>
      </c>
      <c r="H2080" t="s">
        <v>1510</v>
      </c>
      <c r="I2080" t="s">
        <v>2117</v>
      </c>
    </row>
    <row r="2081" spans="1:9" x14ac:dyDescent="0.35">
      <c r="A2081">
        <v>2488620</v>
      </c>
      <c r="B2081" t="s">
        <v>763</v>
      </c>
      <c r="C2081" s="1">
        <v>45443</v>
      </c>
      <c r="D2081">
        <v>2067</v>
      </c>
      <c r="E2081" t="b">
        <v>0</v>
      </c>
      <c r="F2081">
        <v>298</v>
      </c>
      <c r="G2081" t="s">
        <v>119</v>
      </c>
      <c r="H2081" t="s">
        <v>49</v>
      </c>
      <c r="I2081" t="s">
        <v>2117</v>
      </c>
    </row>
    <row r="2082" spans="1:9" x14ac:dyDescent="0.35">
      <c r="A2082">
        <v>2488620</v>
      </c>
      <c r="B2082" t="s">
        <v>763</v>
      </c>
      <c r="C2082" s="1">
        <v>45443</v>
      </c>
      <c r="D2082">
        <v>2067</v>
      </c>
      <c r="E2082" t="b">
        <v>0</v>
      </c>
      <c r="F2082">
        <v>298</v>
      </c>
      <c r="G2082" t="s">
        <v>119</v>
      </c>
      <c r="H2082" t="s">
        <v>792</v>
      </c>
      <c r="I2082" t="s">
        <v>2117</v>
      </c>
    </row>
    <row r="2083" spans="1:9" x14ac:dyDescent="0.35">
      <c r="A2083">
        <v>2488620</v>
      </c>
      <c r="B2083" t="s">
        <v>763</v>
      </c>
      <c r="C2083" s="1">
        <v>45443</v>
      </c>
      <c r="D2083">
        <v>2067</v>
      </c>
      <c r="E2083" t="b">
        <v>0</v>
      </c>
      <c r="F2083">
        <v>298</v>
      </c>
      <c r="G2083" t="s">
        <v>119</v>
      </c>
      <c r="H2083" t="s">
        <v>346</v>
      </c>
      <c r="I2083" t="s">
        <v>2117</v>
      </c>
    </row>
    <row r="2084" spans="1:9" x14ac:dyDescent="0.35">
      <c r="A2084">
        <v>2488620</v>
      </c>
      <c r="B2084" t="s">
        <v>763</v>
      </c>
      <c r="C2084" s="1">
        <v>45443</v>
      </c>
      <c r="D2084">
        <v>2067</v>
      </c>
      <c r="E2084" t="b">
        <v>0</v>
      </c>
      <c r="F2084">
        <v>298</v>
      </c>
      <c r="G2084" t="s">
        <v>119</v>
      </c>
      <c r="H2084" t="s">
        <v>239</v>
      </c>
      <c r="I2084" t="s">
        <v>2117</v>
      </c>
    </row>
    <row r="2085" spans="1:9" x14ac:dyDescent="0.35">
      <c r="A2085">
        <v>2488620</v>
      </c>
      <c r="B2085" t="s">
        <v>763</v>
      </c>
      <c r="C2085" s="1">
        <v>45443</v>
      </c>
      <c r="D2085">
        <v>2067</v>
      </c>
      <c r="E2085" t="b">
        <v>0</v>
      </c>
      <c r="F2085">
        <v>298</v>
      </c>
      <c r="G2085" t="s">
        <v>119</v>
      </c>
      <c r="H2085" t="s">
        <v>132</v>
      </c>
      <c r="I2085" t="s">
        <v>2117</v>
      </c>
    </row>
    <row r="2086" spans="1:9" x14ac:dyDescent="0.35">
      <c r="A2086">
        <v>2488620</v>
      </c>
      <c r="B2086" t="s">
        <v>763</v>
      </c>
      <c r="C2086" s="1">
        <v>45443</v>
      </c>
      <c r="D2086">
        <v>2067</v>
      </c>
      <c r="E2086" t="b">
        <v>0</v>
      </c>
      <c r="F2086">
        <v>298</v>
      </c>
      <c r="G2086" t="s">
        <v>119</v>
      </c>
      <c r="H2086" t="s">
        <v>124</v>
      </c>
      <c r="I2086" t="s">
        <v>2117</v>
      </c>
    </row>
    <row r="2087" spans="1:9" x14ac:dyDescent="0.35">
      <c r="A2087">
        <v>2488620</v>
      </c>
      <c r="B2087" t="s">
        <v>763</v>
      </c>
      <c r="C2087" s="1">
        <v>45443</v>
      </c>
      <c r="D2087">
        <v>2067</v>
      </c>
      <c r="E2087" t="b">
        <v>0</v>
      </c>
      <c r="F2087">
        <v>298</v>
      </c>
      <c r="G2087" t="s">
        <v>119</v>
      </c>
      <c r="H2087" t="s">
        <v>1510</v>
      </c>
      <c r="I2087" t="s">
        <v>2117</v>
      </c>
    </row>
    <row r="2088" spans="1:9" x14ac:dyDescent="0.35">
      <c r="A2088">
        <v>1371580</v>
      </c>
      <c r="B2088" t="s">
        <v>766</v>
      </c>
      <c r="C2088" s="1">
        <v>45343</v>
      </c>
      <c r="D2088">
        <v>2060</v>
      </c>
      <c r="E2088" t="b">
        <v>0</v>
      </c>
      <c r="F2088">
        <v>299</v>
      </c>
      <c r="G2088" t="s">
        <v>18</v>
      </c>
      <c r="H2088" t="s">
        <v>49</v>
      </c>
      <c r="I2088" t="s">
        <v>2116</v>
      </c>
    </row>
    <row r="2089" spans="1:9" x14ac:dyDescent="0.35">
      <c r="A2089">
        <v>1371580</v>
      </c>
      <c r="B2089" t="s">
        <v>766</v>
      </c>
      <c r="C2089" s="1">
        <v>45343</v>
      </c>
      <c r="D2089">
        <v>2060</v>
      </c>
      <c r="E2089" t="b">
        <v>0</v>
      </c>
      <c r="F2089">
        <v>299</v>
      </c>
      <c r="G2089" t="s">
        <v>18</v>
      </c>
      <c r="H2089" t="s">
        <v>792</v>
      </c>
      <c r="I2089" t="s">
        <v>2116</v>
      </c>
    </row>
    <row r="2090" spans="1:9" x14ac:dyDescent="0.35">
      <c r="A2090">
        <v>1371580</v>
      </c>
      <c r="B2090" t="s">
        <v>766</v>
      </c>
      <c r="C2090" s="1">
        <v>45343</v>
      </c>
      <c r="D2090">
        <v>2060</v>
      </c>
      <c r="E2090" t="b">
        <v>0</v>
      </c>
      <c r="F2090">
        <v>299</v>
      </c>
      <c r="G2090" t="s">
        <v>18</v>
      </c>
      <c r="H2090" t="s">
        <v>346</v>
      </c>
      <c r="I2090" t="s">
        <v>2116</v>
      </c>
    </row>
    <row r="2091" spans="1:9" x14ac:dyDescent="0.35">
      <c r="A2091">
        <v>1371580</v>
      </c>
      <c r="B2091" t="s">
        <v>766</v>
      </c>
      <c r="C2091" s="1">
        <v>45343</v>
      </c>
      <c r="D2091">
        <v>2060</v>
      </c>
      <c r="E2091" t="b">
        <v>0</v>
      </c>
      <c r="F2091">
        <v>299</v>
      </c>
      <c r="G2091" t="s">
        <v>18</v>
      </c>
      <c r="H2091" t="s">
        <v>239</v>
      </c>
      <c r="I2091" t="s">
        <v>2117</v>
      </c>
    </row>
    <row r="2092" spans="1:9" x14ac:dyDescent="0.35">
      <c r="A2092">
        <v>1371580</v>
      </c>
      <c r="B2092" t="s">
        <v>766</v>
      </c>
      <c r="C2092" s="1">
        <v>45343</v>
      </c>
      <c r="D2092">
        <v>2060</v>
      </c>
      <c r="E2092" t="b">
        <v>0</v>
      </c>
      <c r="F2092">
        <v>299</v>
      </c>
      <c r="G2092" t="s">
        <v>18</v>
      </c>
      <c r="H2092" t="s">
        <v>132</v>
      </c>
      <c r="I2092" t="s">
        <v>2116</v>
      </c>
    </row>
    <row r="2093" spans="1:9" x14ac:dyDescent="0.35">
      <c r="A2093">
        <v>1371580</v>
      </c>
      <c r="B2093" t="s">
        <v>766</v>
      </c>
      <c r="C2093" s="1">
        <v>45343</v>
      </c>
      <c r="D2093">
        <v>2060</v>
      </c>
      <c r="E2093" t="b">
        <v>0</v>
      </c>
      <c r="F2093">
        <v>299</v>
      </c>
      <c r="G2093" t="s">
        <v>18</v>
      </c>
      <c r="H2093" t="s">
        <v>124</v>
      </c>
      <c r="I2093" t="s">
        <v>2117</v>
      </c>
    </row>
    <row r="2094" spans="1:9" x14ac:dyDescent="0.35">
      <c r="A2094">
        <v>1371580</v>
      </c>
      <c r="B2094" t="s">
        <v>766</v>
      </c>
      <c r="C2094" s="1">
        <v>45343</v>
      </c>
      <c r="D2094">
        <v>2060</v>
      </c>
      <c r="E2094" t="b">
        <v>0</v>
      </c>
      <c r="F2094">
        <v>299</v>
      </c>
      <c r="G2094" t="s">
        <v>18</v>
      </c>
      <c r="H2094" t="s">
        <v>1510</v>
      </c>
      <c r="I2094" t="s">
        <v>2117</v>
      </c>
    </row>
    <row r="2095" spans="1:9" x14ac:dyDescent="0.35">
      <c r="A2095">
        <v>1104280</v>
      </c>
      <c r="B2095" t="s">
        <v>768</v>
      </c>
      <c r="C2095" s="1">
        <v>45790</v>
      </c>
      <c r="D2095">
        <v>2052</v>
      </c>
      <c r="E2095" t="b">
        <v>0</v>
      </c>
      <c r="F2095">
        <v>300</v>
      </c>
      <c r="G2095" t="s">
        <v>2082</v>
      </c>
      <c r="H2095" t="s">
        <v>49</v>
      </c>
      <c r="I2095" t="s">
        <v>2116</v>
      </c>
    </row>
    <row r="2096" spans="1:9" x14ac:dyDescent="0.35">
      <c r="A2096">
        <v>1104280</v>
      </c>
      <c r="B2096" t="s">
        <v>768</v>
      </c>
      <c r="C2096" s="1">
        <v>45790</v>
      </c>
      <c r="D2096">
        <v>2052</v>
      </c>
      <c r="E2096" t="b">
        <v>0</v>
      </c>
      <c r="F2096">
        <v>300</v>
      </c>
      <c r="G2096" t="s">
        <v>2082</v>
      </c>
      <c r="H2096" t="s">
        <v>792</v>
      </c>
      <c r="I2096" t="s">
        <v>2116</v>
      </c>
    </row>
    <row r="2097" spans="1:9" x14ac:dyDescent="0.35">
      <c r="A2097">
        <v>1104280</v>
      </c>
      <c r="B2097" t="s">
        <v>768</v>
      </c>
      <c r="C2097" s="1">
        <v>45790</v>
      </c>
      <c r="D2097">
        <v>2052</v>
      </c>
      <c r="E2097" t="b">
        <v>0</v>
      </c>
      <c r="F2097">
        <v>300</v>
      </c>
      <c r="G2097" t="s">
        <v>2082</v>
      </c>
      <c r="H2097" t="s">
        <v>346</v>
      </c>
      <c r="I2097" t="s">
        <v>2116</v>
      </c>
    </row>
    <row r="2098" spans="1:9" x14ac:dyDescent="0.35">
      <c r="A2098">
        <v>1104280</v>
      </c>
      <c r="B2098" t="s">
        <v>768</v>
      </c>
      <c r="C2098" s="1">
        <v>45790</v>
      </c>
      <c r="D2098">
        <v>2052</v>
      </c>
      <c r="E2098" t="b">
        <v>0</v>
      </c>
      <c r="F2098">
        <v>300</v>
      </c>
      <c r="G2098" t="s">
        <v>2082</v>
      </c>
      <c r="H2098" t="s">
        <v>239</v>
      </c>
      <c r="I2098" t="s">
        <v>2117</v>
      </c>
    </row>
    <row r="2099" spans="1:9" x14ac:dyDescent="0.35">
      <c r="A2099">
        <v>1104280</v>
      </c>
      <c r="B2099" t="s">
        <v>768</v>
      </c>
      <c r="C2099" s="1">
        <v>45790</v>
      </c>
      <c r="D2099">
        <v>2052</v>
      </c>
      <c r="E2099" t="b">
        <v>0</v>
      </c>
      <c r="F2099">
        <v>300</v>
      </c>
      <c r="G2099" t="s">
        <v>2082</v>
      </c>
      <c r="H2099" t="s">
        <v>132</v>
      </c>
      <c r="I2099" t="s">
        <v>2116</v>
      </c>
    </row>
    <row r="2100" spans="1:9" x14ac:dyDescent="0.35">
      <c r="A2100">
        <v>1104280</v>
      </c>
      <c r="B2100" t="s">
        <v>768</v>
      </c>
      <c r="C2100" s="1">
        <v>45790</v>
      </c>
      <c r="D2100">
        <v>2052</v>
      </c>
      <c r="E2100" t="b">
        <v>0</v>
      </c>
      <c r="F2100">
        <v>300</v>
      </c>
      <c r="G2100" t="s">
        <v>2082</v>
      </c>
      <c r="H2100" t="s">
        <v>124</v>
      </c>
      <c r="I2100" t="s">
        <v>2117</v>
      </c>
    </row>
    <row r="2101" spans="1:9" x14ac:dyDescent="0.35">
      <c r="A2101">
        <v>1104280</v>
      </c>
      <c r="B2101" t="s">
        <v>768</v>
      </c>
      <c r="C2101" s="1">
        <v>45790</v>
      </c>
      <c r="D2101">
        <v>2052</v>
      </c>
      <c r="E2101" t="b">
        <v>0</v>
      </c>
      <c r="F2101">
        <v>300</v>
      </c>
      <c r="G2101" t="s">
        <v>2082</v>
      </c>
      <c r="H2101" t="s">
        <v>1510</v>
      </c>
      <c r="I2101" t="s">
        <v>2117</v>
      </c>
    </row>
    <row r="2102" spans="1:9" x14ac:dyDescent="0.35">
      <c r="A2102">
        <v>10500</v>
      </c>
      <c r="B2102" t="s">
        <v>769</v>
      </c>
      <c r="C2102" s="1">
        <v>39876</v>
      </c>
      <c r="D2102">
        <v>2028</v>
      </c>
      <c r="E2102" t="b">
        <v>1</v>
      </c>
      <c r="F2102">
        <v>301</v>
      </c>
      <c r="G2102" t="s">
        <v>2084</v>
      </c>
      <c r="H2102" t="s">
        <v>49</v>
      </c>
      <c r="I2102" t="s">
        <v>2117</v>
      </c>
    </row>
    <row r="2103" spans="1:9" x14ac:dyDescent="0.35">
      <c r="A2103">
        <v>10500</v>
      </c>
      <c r="B2103" t="s">
        <v>769</v>
      </c>
      <c r="C2103" s="1">
        <v>39876</v>
      </c>
      <c r="D2103">
        <v>2028</v>
      </c>
      <c r="E2103" t="b">
        <v>1</v>
      </c>
      <c r="F2103">
        <v>301</v>
      </c>
      <c r="G2103" t="s">
        <v>2084</v>
      </c>
      <c r="H2103" t="s">
        <v>792</v>
      </c>
      <c r="I2103" t="s">
        <v>2117</v>
      </c>
    </row>
    <row r="2104" spans="1:9" x14ac:dyDescent="0.35">
      <c r="A2104">
        <v>10500</v>
      </c>
      <c r="B2104" t="s">
        <v>769</v>
      </c>
      <c r="C2104" s="1">
        <v>39876</v>
      </c>
      <c r="D2104">
        <v>2028</v>
      </c>
      <c r="E2104" t="b">
        <v>1</v>
      </c>
      <c r="F2104">
        <v>301</v>
      </c>
      <c r="G2104" t="s">
        <v>2084</v>
      </c>
      <c r="H2104" t="s">
        <v>346</v>
      </c>
      <c r="I2104" t="s">
        <v>2117</v>
      </c>
    </row>
    <row r="2105" spans="1:9" x14ac:dyDescent="0.35">
      <c r="A2105">
        <v>10500</v>
      </c>
      <c r="B2105" t="s">
        <v>769</v>
      </c>
      <c r="C2105" s="1">
        <v>39876</v>
      </c>
      <c r="D2105">
        <v>2028</v>
      </c>
      <c r="E2105" t="b">
        <v>1</v>
      </c>
      <c r="F2105">
        <v>301</v>
      </c>
      <c r="G2105" t="s">
        <v>2084</v>
      </c>
      <c r="H2105" t="s">
        <v>239</v>
      </c>
      <c r="I2105" t="s">
        <v>2117</v>
      </c>
    </row>
    <row r="2106" spans="1:9" x14ac:dyDescent="0.35">
      <c r="A2106">
        <v>10500</v>
      </c>
      <c r="B2106" t="s">
        <v>769</v>
      </c>
      <c r="C2106" s="1">
        <v>39876</v>
      </c>
      <c r="D2106">
        <v>2028</v>
      </c>
      <c r="E2106" t="b">
        <v>1</v>
      </c>
      <c r="F2106">
        <v>301</v>
      </c>
      <c r="G2106" t="s">
        <v>2084</v>
      </c>
      <c r="H2106" t="s">
        <v>132</v>
      </c>
      <c r="I2106" t="s">
        <v>2117</v>
      </c>
    </row>
    <row r="2107" spans="1:9" x14ac:dyDescent="0.35">
      <c r="A2107">
        <v>10500</v>
      </c>
      <c r="B2107" t="s">
        <v>769</v>
      </c>
      <c r="C2107" s="1">
        <v>39876</v>
      </c>
      <c r="D2107">
        <v>2028</v>
      </c>
      <c r="E2107" t="b">
        <v>1</v>
      </c>
      <c r="F2107">
        <v>301</v>
      </c>
      <c r="G2107" t="s">
        <v>2084</v>
      </c>
      <c r="H2107" t="s">
        <v>124</v>
      </c>
      <c r="I2107" t="s">
        <v>2116</v>
      </c>
    </row>
    <row r="2108" spans="1:9" x14ac:dyDescent="0.35">
      <c r="A2108">
        <v>10500</v>
      </c>
      <c r="B2108" t="s">
        <v>769</v>
      </c>
      <c r="C2108" s="1">
        <v>39876</v>
      </c>
      <c r="D2108">
        <v>2028</v>
      </c>
      <c r="E2108" t="b">
        <v>1</v>
      </c>
      <c r="F2108">
        <v>301</v>
      </c>
      <c r="G2108" t="s">
        <v>2084</v>
      </c>
      <c r="H2108" t="s">
        <v>1510</v>
      </c>
      <c r="I2108" t="s">
        <v>2117</v>
      </c>
    </row>
    <row r="2109" spans="1:9" x14ac:dyDescent="0.35">
      <c r="A2109">
        <v>2215430</v>
      </c>
      <c r="B2109" t="s">
        <v>771</v>
      </c>
      <c r="C2109" s="1">
        <v>45428</v>
      </c>
      <c r="D2109">
        <v>2025</v>
      </c>
      <c r="E2109" t="b">
        <v>0</v>
      </c>
      <c r="F2109">
        <v>302</v>
      </c>
      <c r="G2109" t="s">
        <v>36</v>
      </c>
      <c r="H2109" t="s">
        <v>49</v>
      </c>
      <c r="I2109" t="s">
        <v>2116</v>
      </c>
    </row>
    <row r="2110" spans="1:9" x14ac:dyDescent="0.35">
      <c r="A2110">
        <v>2215430</v>
      </c>
      <c r="B2110" t="s">
        <v>771</v>
      </c>
      <c r="C2110" s="1">
        <v>45428</v>
      </c>
      <c r="D2110">
        <v>2025</v>
      </c>
      <c r="E2110" t="b">
        <v>0</v>
      </c>
      <c r="F2110">
        <v>302</v>
      </c>
      <c r="G2110" t="s">
        <v>36</v>
      </c>
      <c r="H2110" t="s">
        <v>792</v>
      </c>
      <c r="I2110" t="s">
        <v>2117</v>
      </c>
    </row>
    <row r="2111" spans="1:9" x14ac:dyDescent="0.35">
      <c r="A2111">
        <v>2215430</v>
      </c>
      <c r="B2111" t="s">
        <v>771</v>
      </c>
      <c r="C2111" s="1">
        <v>45428</v>
      </c>
      <c r="D2111">
        <v>2025</v>
      </c>
      <c r="E2111" t="b">
        <v>0</v>
      </c>
      <c r="F2111">
        <v>302</v>
      </c>
      <c r="G2111" t="s">
        <v>36</v>
      </c>
      <c r="H2111" t="s">
        <v>346</v>
      </c>
      <c r="I2111" t="s">
        <v>2116</v>
      </c>
    </row>
    <row r="2112" spans="1:9" x14ac:dyDescent="0.35">
      <c r="A2112">
        <v>2215430</v>
      </c>
      <c r="B2112" t="s">
        <v>771</v>
      </c>
      <c r="C2112" s="1">
        <v>45428</v>
      </c>
      <c r="D2112">
        <v>2025</v>
      </c>
      <c r="E2112" t="b">
        <v>0</v>
      </c>
      <c r="F2112">
        <v>302</v>
      </c>
      <c r="G2112" t="s">
        <v>36</v>
      </c>
      <c r="H2112" t="s">
        <v>239</v>
      </c>
      <c r="I2112" t="s">
        <v>2117</v>
      </c>
    </row>
    <row r="2113" spans="1:9" x14ac:dyDescent="0.35">
      <c r="A2113">
        <v>2215430</v>
      </c>
      <c r="B2113" t="s">
        <v>771</v>
      </c>
      <c r="C2113" s="1">
        <v>45428</v>
      </c>
      <c r="D2113">
        <v>2025</v>
      </c>
      <c r="E2113" t="b">
        <v>0</v>
      </c>
      <c r="F2113">
        <v>302</v>
      </c>
      <c r="G2113" t="s">
        <v>36</v>
      </c>
      <c r="H2113" t="s">
        <v>132</v>
      </c>
      <c r="I2113" t="s">
        <v>2117</v>
      </c>
    </row>
    <row r="2114" spans="1:9" x14ac:dyDescent="0.35">
      <c r="A2114">
        <v>2215430</v>
      </c>
      <c r="B2114" t="s">
        <v>771</v>
      </c>
      <c r="C2114" s="1">
        <v>45428</v>
      </c>
      <c r="D2114">
        <v>2025</v>
      </c>
      <c r="E2114" t="b">
        <v>0</v>
      </c>
      <c r="F2114">
        <v>302</v>
      </c>
      <c r="G2114" t="s">
        <v>36</v>
      </c>
      <c r="H2114" t="s">
        <v>124</v>
      </c>
      <c r="I2114" t="s">
        <v>2117</v>
      </c>
    </row>
    <row r="2115" spans="1:9" x14ac:dyDescent="0.35">
      <c r="A2115">
        <v>2215430</v>
      </c>
      <c r="B2115" t="s">
        <v>771</v>
      </c>
      <c r="C2115" s="1">
        <v>45428</v>
      </c>
      <c r="D2115">
        <v>2025</v>
      </c>
      <c r="E2115" t="b">
        <v>0</v>
      </c>
      <c r="F2115">
        <v>302</v>
      </c>
      <c r="G2115" t="s">
        <v>36</v>
      </c>
      <c r="H2115" t="s">
        <v>1510</v>
      </c>
      <c r="I2115" t="s">
        <v>2117</v>
      </c>
    </row>
    <row r="2116" spans="1:9" x14ac:dyDescent="0.35">
      <c r="A2116">
        <v>363970</v>
      </c>
      <c r="B2116" t="s">
        <v>773</v>
      </c>
      <c r="C2116" s="1">
        <v>42137</v>
      </c>
      <c r="D2116">
        <v>2019</v>
      </c>
      <c r="E2116" t="b">
        <v>1</v>
      </c>
      <c r="F2116">
        <v>303</v>
      </c>
      <c r="G2116" t="s">
        <v>2084</v>
      </c>
      <c r="H2116" t="s">
        <v>49</v>
      </c>
      <c r="I2116" t="s">
        <v>2117</v>
      </c>
    </row>
    <row r="2117" spans="1:9" x14ac:dyDescent="0.35">
      <c r="A2117">
        <v>363970</v>
      </c>
      <c r="B2117" t="s">
        <v>773</v>
      </c>
      <c r="C2117" s="1">
        <v>42137</v>
      </c>
      <c r="D2117">
        <v>2019</v>
      </c>
      <c r="E2117" t="b">
        <v>1</v>
      </c>
      <c r="F2117">
        <v>303</v>
      </c>
      <c r="G2117" t="s">
        <v>2084</v>
      </c>
      <c r="H2117" t="s">
        <v>792</v>
      </c>
      <c r="I2117" t="s">
        <v>2116</v>
      </c>
    </row>
    <row r="2118" spans="1:9" x14ac:dyDescent="0.35">
      <c r="A2118">
        <v>363970</v>
      </c>
      <c r="B2118" t="s">
        <v>773</v>
      </c>
      <c r="C2118" s="1">
        <v>42137</v>
      </c>
      <c r="D2118">
        <v>2019</v>
      </c>
      <c r="E2118" t="b">
        <v>1</v>
      </c>
      <c r="F2118">
        <v>303</v>
      </c>
      <c r="G2118" t="s">
        <v>2084</v>
      </c>
      <c r="H2118" t="s">
        <v>346</v>
      </c>
      <c r="I2118" t="s">
        <v>2116</v>
      </c>
    </row>
    <row r="2119" spans="1:9" x14ac:dyDescent="0.35">
      <c r="A2119">
        <v>363970</v>
      </c>
      <c r="B2119" t="s">
        <v>773</v>
      </c>
      <c r="C2119" s="1">
        <v>42137</v>
      </c>
      <c r="D2119">
        <v>2019</v>
      </c>
      <c r="E2119" t="b">
        <v>1</v>
      </c>
      <c r="F2119">
        <v>303</v>
      </c>
      <c r="G2119" t="s">
        <v>2084</v>
      </c>
      <c r="H2119" t="s">
        <v>239</v>
      </c>
      <c r="I2119" t="s">
        <v>2116</v>
      </c>
    </row>
    <row r="2120" spans="1:9" x14ac:dyDescent="0.35">
      <c r="A2120">
        <v>363970</v>
      </c>
      <c r="B2120" t="s">
        <v>773</v>
      </c>
      <c r="C2120" s="1">
        <v>42137</v>
      </c>
      <c r="D2120">
        <v>2019</v>
      </c>
      <c r="E2120" t="b">
        <v>1</v>
      </c>
      <c r="F2120">
        <v>303</v>
      </c>
      <c r="G2120" t="s">
        <v>2084</v>
      </c>
      <c r="H2120" t="s">
        <v>132</v>
      </c>
      <c r="I2120" t="s">
        <v>2116</v>
      </c>
    </row>
    <row r="2121" spans="1:9" x14ac:dyDescent="0.35">
      <c r="A2121">
        <v>363970</v>
      </c>
      <c r="B2121" t="s">
        <v>773</v>
      </c>
      <c r="C2121" s="1">
        <v>42137</v>
      </c>
      <c r="D2121">
        <v>2019</v>
      </c>
      <c r="E2121" t="b">
        <v>1</v>
      </c>
      <c r="F2121">
        <v>303</v>
      </c>
      <c r="G2121" t="s">
        <v>2084</v>
      </c>
      <c r="H2121" t="s">
        <v>124</v>
      </c>
      <c r="I2121" t="s">
        <v>2116</v>
      </c>
    </row>
    <row r="2122" spans="1:9" x14ac:dyDescent="0.35">
      <c r="A2122">
        <v>363970</v>
      </c>
      <c r="B2122" t="s">
        <v>773</v>
      </c>
      <c r="C2122" s="1">
        <v>42137</v>
      </c>
      <c r="D2122">
        <v>2019</v>
      </c>
      <c r="E2122" t="b">
        <v>1</v>
      </c>
      <c r="F2122">
        <v>303</v>
      </c>
      <c r="G2122" t="s">
        <v>2084</v>
      </c>
      <c r="H2122" t="s">
        <v>1510</v>
      </c>
      <c r="I2122" t="s">
        <v>2116</v>
      </c>
    </row>
    <row r="2123" spans="1:9" x14ac:dyDescent="0.35">
      <c r="A2123">
        <v>881100</v>
      </c>
      <c r="B2123" t="s">
        <v>776</v>
      </c>
      <c r="C2123" s="1">
        <v>44119</v>
      </c>
      <c r="D2123">
        <v>2019</v>
      </c>
      <c r="E2123" t="b">
        <v>0</v>
      </c>
      <c r="F2123">
        <v>303</v>
      </c>
      <c r="G2123" t="s">
        <v>14</v>
      </c>
      <c r="H2123" t="s">
        <v>49</v>
      </c>
      <c r="I2123" t="s">
        <v>2116</v>
      </c>
    </row>
    <row r="2124" spans="1:9" x14ac:dyDescent="0.35">
      <c r="A2124">
        <v>881100</v>
      </c>
      <c r="B2124" t="s">
        <v>776</v>
      </c>
      <c r="C2124" s="1">
        <v>44119</v>
      </c>
      <c r="D2124">
        <v>2019</v>
      </c>
      <c r="E2124" t="b">
        <v>0</v>
      </c>
      <c r="F2124">
        <v>303</v>
      </c>
      <c r="G2124" t="s">
        <v>14</v>
      </c>
      <c r="H2124" t="s">
        <v>792</v>
      </c>
      <c r="I2124" t="s">
        <v>2116</v>
      </c>
    </row>
    <row r="2125" spans="1:9" x14ac:dyDescent="0.35">
      <c r="A2125">
        <v>881100</v>
      </c>
      <c r="B2125" t="s">
        <v>776</v>
      </c>
      <c r="C2125" s="1">
        <v>44119</v>
      </c>
      <c r="D2125">
        <v>2019</v>
      </c>
      <c r="E2125" t="b">
        <v>0</v>
      </c>
      <c r="F2125">
        <v>303</v>
      </c>
      <c r="G2125" t="s">
        <v>14</v>
      </c>
      <c r="H2125" t="s">
        <v>346</v>
      </c>
      <c r="I2125" t="s">
        <v>2116</v>
      </c>
    </row>
    <row r="2126" spans="1:9" x14ac:dyDescent="0.35">
      <c r="A2126">
        <v>881100</v>
      </c>
      <c r="B2126" t="s">
        <v>776</v>
      </c>
      <c r="C2126" s="1">
        <v>44119</v>
      </c>
      <c r="D2126">
        <v>2019</v>
      </c>
      <c r="E2126" t="b">
        <v>0</v>
      </c>
      <c r="F2126">
        <v>303</v>
      </c>
      <c r="G2126" t="s">
        <v>14</v>
      </c>
      <c r="H2126" t="s">
        <v>239</v>
      </c>
      <c r="I2126" t="s">
        <v>2116</v>
      </c>
    </row>
    <row r="2127" spans="1:9" x14ac:dyDescent="0.35">
      <c r="A2127">
        <v>881100</v>
      </c>
      <c r="B2127" t="s">
        <v>776</v>
      </c>
      <c r="C2127" s="1">
        <v>44119</v>
      </c>
      <c r="D2127">
        <v>2019</v>
      </c>
      <c r="E2127" t="b">
        <v>0</v>
      </c>
      <c r="F2127">
        <v>303</v>
      </c>
      <c r="G2127" t="s">
        <v>14</v>
      </c>
      <c r="H2127" t="s">
        <v>132</v>
      </c>
      <c r="I2127" t="s">
        <v>2116</v>
      </c>
    </row>
    <row r="2128" spans="1:9" x14ac:dyDescent="0.35">
      <c r="A2128">
        <v>881100</v>
      </c>
      <c r="B2128" t="s">
        <v>776</v>
      </c>
      <c r="C2128" s="1">
        <v>44119</v>
      </c>
      <c r="D2128">
        <v>2019</v>
      </c>
      <c r="E2128" t="b">
        <v>0</v>
      </c>
      <c r="F2128">
        <v>303</v>
      </c>
      <c r="G2128" t="s">
        <v>14</v>
      </c>
      <c r="H2128" t="s">
        <v>124</v>
      </c>
      <c r="I2128" t="s">
        <v>2117</v>
      </c>
    </row>
    <row r="2129" spans="1:9" x14ac:dyDescent="0.35">
      <c r="A2129">
        <v>881100</v>
      </c>
      <c r="B2129" t="s">
        <v>776</v>
      </c>
      <c r="C2129" s="1">
        <v>44119</v>
      </c>
      <c r="D2129">
        <v>2019</v>
      </c>
      <c r="E2129" t="b">
        <v>0</v>
      </c>
      <c r="F2129">
        <v>303</v>
      </c>
      <c r="G2129" t="s">
        <v>14</v>
      </c>
      <c r="H2129" t="s">
        <v>1510</v>
      </c>
      <c r="I2129" t="s">
        <v>2117</v>
      </c>
    </row>
    <row r="2130" spans="1:9" x14ac:dyDescent="0.35">
      <c r="A2130">
        <v>329110</v>
      </c>
      <c r="B2130" t="s">
        <v>778</v>
      </c>
      <c r="C2130" s="1">
        <v>41963</v>
      </c>
      <c r="D2130">
        <v>2002</v>
      </c>
      <c r="E2130" t="b">
        <v>0</v>
      </c>
      <c r="F2130">
        <v>305</v>
      </c>
      <c r="G2130" t="s">
        <v>110</v>
      </c>
      <c r="H2130" t="s">
        <v>49</v>
      </c>
      <c r="I2130" t="s">
        <v>2116</v>
      </c>
    </row>
    <row r="2131" spans="1:9" x14ac:dyDescent="0.35">
      <c r="A2131">
        <v>329110</v>
      </c>
      <c r="B2131" t="s">
        <v>778</v>
      </c>
      <c r="C2131" s="1">
        <v>41963</v>
      </c>
      <c r="D2131">
        <v>2002</v>
      </c>
      <c r="E2131" t="b">
        <v>0</v>
      </c>
      <c r="F2131">
        <v>305</v>
      </c>
      <c r="G2131" t="s">
        <v>110</v>
      </c>
      <c r="H2131" t="s">
        <v>792</v>
      </c>
      <c r="I2131" t="s">
        <v>2117</v>
      </c>
    </row>
    <row r="2132" spans="1:9" x14ac:dyDescent="0.35">
      <c r="A2132">
        <v>329110</v>
      </c>
      <c r="B2132" t="s">
        <v>778</v>
      </c>
      <c r="C2132" s="1">
        <v>41963</v>
      </c>
      <c r="D2132">
        <v>2002</v>
      </c>
      <c r="E2132" t="b">
        <v>0</v>
      </c>
      <c r="F2132">
        <v>305</v>
      </c>
      <c r="G2132" t="s">
        <v>110</v>
      </c>
      <c r="H2132" t="s">
        <v>346</v>
      </c>
      <c r="I2132" t="s">
        <v>2116</v>
      </c>
    </row>
    <row r="2133" spans="1:9" x14ac:dyDescent="0.35">
      <c r="A2133">
        <v>329110</v>
      </c>
      <c r="B2133" t="s">
        <v>778</v>
      </c>
      <c r="C2133" s="1">
        <v>41963</v>
      </c>
      <c r="D2133">
        <v>2002</v>
      </c>
      <c r="E2133" t="b">
        <v>0</v>
      </c>
      <c r="F2133">
        <v>305</v>
      </c>
      <c r="G2133" t="s">
        <v>110</v>
      </c>
      <c r="H2133" t="s">
        <v>239</v>
      </c>
      <c r="I2133" t="s">
        <v>2117</v>
      </c>
    </row>
    <row r="2134" spans="1:9" x14ac:dyDescent="0.35">
      <c r="A2134">
        <v>329110</v>
      </c>
      <c r="B2134" t="s">
        <v>778</v>
      </c>
      <c r="C2134" s="1">
        <v>41963</v>
      </c>
      <c r="D2134">
        <v>2002</v>
      </c>
      <c r="E2134" t="b">
        <v>0</v>
      </c>
      <c r="F2134">
        <v>305</v>
      </c>
      <c r="G2134" t="s">
        <v>110</v>
      </c>
      <c r="H2134" t="s">
        <v>132</v>
      </c>
      <c r="I2134" t="s">
        <v>2116</v>
      </c>
    </row>
    <row r="2135" spans="1:9" x14ac:dyDescent="0.35">
      <c r="A2135">
        <v>329110</v>
      </c>
      <c r="B2135" t="s">
        <v>778</v>
      </c>
      <c r="C2135" s="1">
        <v>41963</v>
      </c>
      <c r="D2135">
        <v>2002</v>
      </c>
      <c r="E2135" t="b">
        <v>0</v>
      </c>
      <c r="F2135">
        <v>305</v>
      </c>
      <c r="G2135" t="s">
        <v>110</v>
      </c>
      <c r="H2135" t="s">
        <v>124</v>
      </c>
      <c r="I2135" t="s">
        <v>2116</v>
      </c>
    </row>
    <row r="2136" spans="1:9" x14ac:dyDescent="0.35">
      <c r="A2136">
        <v>329110</v>
      </c>
      <c r="B2136" t="s">
        <v>778</v>
      </c>
      <c r="C2136" s="1">
        <v>41963</v>
      </c>
      <c r="D2136">
        <v>2002</v>
      </c>
      <c r="E2136" t="b">
        <v>0</v>
      </c>
      <c r="F2136">
        <v>305</v>
      </c>
      <c r="G2136" t="s">
        <v>110</v>
      </c>
      <c r="H2136" t="s">
        <v>1510</v>
      </c>
      <c r="I2136" t="s">
        <v>2116</v>
      </c>
    </row>
    <row r="2137" spans="1:9" x14ac:dyDescent="0.35">
      <c r="A2137">
        <v>1167630</v>
      </c>
      <c r="B2137" t="s">
        <v>781</v>
      </c>
      <c r="C2137" s="1">
        <v>44672</v>
      </c>
      <c r="D2137">
        <v>1984</v>
      </c>
      <c r="E2137" t="b">
        <v>0</v>
      </c>
      <c r="F2137">
        <v>306</v>
      </c>
      <c r="G2137" t="s">
        <v>371</v>
      </c>
      <c r="H2137" t="s">
        <v>49</v>
      </c>
      <c r="I2137" t="s">
        <v>2116</v>
      </c>
    </row>
    <row r="2138" spans="1:9" x14ac:dyDescent="0.35">
      <c r="A2138">
        <v>1167630</v>
      </c>
      <c r="B2138" t="s">
        <v>781</v>
      </c>
      <c r="C2138" s="1">
        <v>44672</v>
      </c>
      <c r="D2138">
        <v>1984</v>
      </c>
      <c r="E2138" t="b">
        <v>0</v>
      </c>
      <c r="F2138">
        <v>306</v>
      </c>
      <c r="G2138" t="s">
        <v>371</v>
      </c>
      <c r="H2138" t="s">
        <v>792</v>
      </c>
      <c r="I2138" t="s">
        <v>2116</v>
      </c>
    </row>
    <row r="2139" spans="1:9" x14ac:dyDescent="0.35">
      <c r="A2139">
        <v>1167630</v>
      </c>
      <c r="B2139" t="s">
        <v>781</v>
      </c>
      <c r="C2139" s="1">
        <v>44672</v>
      </c>
      <c r="D2139">
        <v>1984</v>
      </c>
      <c r="E2139" t="b">
        <v>0</v>
      </c>
      <c r="F2139">
        <v>306</v>
      </c>
      <c r="G2139" t="s">
        <v>371</v>
      </c>
      <c r="H2139" t="s">
        <v>346</v>
      </c>
      <c r="I2139" t="s">
        <v>2117</v>
      </c>
    </row>
    <row r="2140" spans="1:9" x14ac:dyDescent="0.35">
      <c r="A2140">
        <v>1167630</v>
      </c>
      <c r="B2140" t="s">
        <v>781</v>
      </c>
      <c r="C2140" s="1">
        <v>44672</v>
      </c>
      <c r="D2140">
        <v>1984</v>
      </c>
      <c r="E2140" t="b">
        <v>0</v>
      </c>
      <c r="F2140">
        <v>306</v>
      </c>
      <c r="G2140" t="s">
        <v>371</v>
      </c>
      <c r="H2140" t="s">
        <v>239</v>
      </c>
      <c r="I2140" t="s">
        <v>2116</v>
      </c>
    </row>
    <row r="2141" spans="1:9" x14ac:dyDescent="0.35">
      <c r="A2141">
        <v>1167630</v>
      </c>
      <c r="B2141" t="s">
        <v>781</v>
      </c>
      <c r="C2141" s="1">
        <v>44672</v>
      </c>
      <c r="D2141">
        <v>1984</v>
      </c>
      <c r="E2141" t="b">
        <v>0</v>
      </c>
      <c r="F2141">
        <v>306</v>
      </c>
      <c r="G2141" t="s">
        <v>371</v>
      </c>
      <c r="H2141" t="s">
        <v>132</v>
      </c>
      <c r="I2141" t="s">
        <v>2117</v>
      </c>
    </row>
    <row r="2142" spans="1:9" x14ac:dyDescent="0.35">
      <c r="A2142">
        <v>1167630</v>
      </c>
      <c r="B2142" t="s">
        <v>781</v>
      </c>
      <c r="C2142" s="1">
        <v>44672</v>
      </c>
      <c r="D2142">
        <v>1984</v>
      </c>
      <c r="E2142" t="b">
        <v>0</v>
      </c>
      <c r="F2142">
        <v>306</v>
      </c>
      <c r="G2142" t="s">
        <v>371</v>
      </c>
      <c r="H2142" t="s">
        <v>124</v>
      </c>
      <c r="I2142" t="s">
        <v>2116</v>
      </c>
    </row>
    <row r="2143" spans="1:9" x14ac:dyDescent="0.35">
      <c r="A2143">
        <v>1167630</v>
      </c>
      <c r="B2143" t="s">
        <v>781</v>
      </c>
      <c r="C2143" s="1">
        <v>44672</v>
      </c>
      <c r="D2143">
        <v>1984</v>
      </c>
      <c r="E2143" t="b">
        <v>0</v>
      </c>
      <c r="F2143">
        <v>306</v>
      </c>
      <c r="G2143" t="s">
        <v>371</v>
      </c>
      <c r="H2143" t="s">
        <v>1510</v>
      </c>
      <c r="I2143" t="s">
        <v>2117</v>
      </c>
    </row>
    <row r="2144" spans="1:9" x14ac:dyDescent="0.35">
      <c r="A2144">
        <v>1363080</v>
      </c>
      <c r="B2144" t="s">
        <v>783</v>
      </c>
      <c r="C2144" s="1">
        <v>45408</v>
      </c>
      <c r="D2144">
        <v>1977</v>
      </c>
      <c r="E2144" t="b">
        <v>0</v>
      </c>
      <c r="F2144">
        <v>307</v>
      </c>
      <c r="G2144" t="s">
        <v>53</v>
      </c>
      <c r="H2144" t="s">
        <v>49</v>
      </c>
      <c r="I2144" t="s">
        <v>2117</v>
      </c>
    </row>
    <row r="2145" spans="1:9" x14ac:dyDescent="0.35">
      <c r="A2145">
        <v>1363080</v>
      </c>
      <c r="B2145" t="s">
        <v>783</v>
      </c>
      <c r="C2145" s="1">
        <v>45408</v>
      </c>
      <c r="D2145">
        <v>1977</v>
      </c>
      <c r="E2145" t="b">
        <v>0</v>
      </c>
      <c r="F2145">
        <v>307</v>
      </c>
      <c r="G2145" t="s">
        <v>53</v>
      </c>
      <c r="H2145" t="s">
        <v>792</v>
      </c>
      <c r="I2145" t="s">
        <v>2117</v>
      </c>
    </row>
    <row r="2146" spans="1:9" x14ac:dyDescent="0.35">
      <c r="A2146">
        <v>1363080</v>
      </c>
      <c r="B2146" t="s">
        <v>783</v>
      </c>
      <c r="C2146" s="1">
        <v>45408</v>
      </c>
      <c r="D2146">
        <v>1977</v>
      </c>
      <c r="E2146" t="b">
        <v>0</v>
      </c>
      <c r="F2146">
        <v>307</v>
      </c>
      <c r="G2146" t="s">
        <v>53</v>
      </c>
      <c r="H2146" t="s">
        <v>346</v>
      </c>
      <c r="I2146" t="s">
        <v>2117</v>
      </c>
    </row>
    <row r="2147" spans="1:9" x14ac:dyDescent="0.35">
      <c r="A2147">
        <v>1363080</v>
      </c>
      <c r="B2147" t="s">
        <v>783</v>
      </c>
      <c r="C2147" s="1">
        <v>45408</v>
      </c>
      <c r="D2147">
        <v>1977</v>
      </c>
      <c r="E2147" t="b">
        <v>0</v>
      </c>
      <c r="F2147">
        <v>307</v>
      </c>
      <c r="G2147" t="s">
        <v>53</v>
      </c>
      <c r="H2147" t="s">
        <v>239</v>
      </c>
      <c r="I2147" t="s">
        <v>2116</v>
      </c>
    </row>
    <row r="2148" spans="1:9" x14ac:dyDescent="0.35">
      <c r="A2148">
        <v>1363080</v>
      </c>
      <c r="B2148" t="s">
        <v>783</v>
      </c>
      <c r="C2148" s="1">
        <v>45408</v>
      </c>
      <c r="D2148">
        <v>1977</v>
      </c>
      <c r="E2148" t="b">
        <v>0</v>
      </c>
      <c r="F2148">
        <v>307</v>
      </c>
      <c r="G2148" t="s">
        <v>53</v>
      </c>
      <c r="H2148" t="s">
        <v>132</v>
      </c>
      <c r="I2148" t="s">
        <v>2117</v>
      </c>
    </row>
    <row r="2149" spans="1:9" x14ac:dyDescent="0.35">
      <c r="A2149">
        <v>1363080</v>
      </c>
      <c r="B2149" t="s">
        <v>783</v>
      </c>
      <c r="C2149" s="1">
        <v>45408</v>
      </c>
      <c r="D2149">
        <v>1977</v>
      </c>
      <c r="E2149" t="b">
        <v>0</v>
      </c>
      <c r="F2149">
        <v>307</v>
      </c>
      <c r="G2149" t="s">
        <v>53</v>
      </c>
      <c r="H2149" t="s">
        <v>124</v>
      </c>
      <c r="I2149" t="s">
        <v>2116</v>
      </c>
    </row>
    <row r="2150" spans="1:9" x14ac:dyDescent="0.35">
      <c r="A2150">
        <v>1363080</v>
      </c>
      <c r="B2150" t="s">
        <v>783</v>
      </c>
      <c r="C2150" s="1">
        <v>45408</v>
      </c>
      <c r="D2150">
        <v>1977</v>
      </c>
      <c r="E2150" t="b">
        <v>0</v>
      </c>
      <c r="F2150">
        <v>307</v>
      </c>
      <c r="G2150" t="s">
        <v>53</v>
      </c>
      <c r="H2150" t="s">
        <v>1510</v>
      </c>
      <c r="I2150" t="s">
        <v>2117</v>
      </c>
    </row>
    <row r="2151" spans="1:9" x14ac:dyDescent="0.35">
      <c r="A2151">
        <v>620</v>
      </c>
      <c r="B2151" t="s">
        <v>786</v>
      </c>
      <c r="C2151" s="1">
        <v>40651</v>
      </c>
      <c r="D2151">
        <v>1959</v>
      </c>
      <c r="E2151" t="b">
        <v>0</v>
      </c>
      <c r="F2151">
        <v>308</v>
      </c>
      <c r="G2151" t="s">
        <v>2082</v>
      </c>
      <c r="H2151" t="s">
        <v>49</v>
      </c>
      <c r="I2151" t="s">
        <v>2116</v>
      </c>
    </row>
    <row r="2152" spans="1:9" x14ac:dyDescent="0.35">
      <c r="A2152">
        <v>620</v>
      </c>
      <c r="B2152" t="s">
        <v>786</v>
      </c>
      <c r="C2152" s="1">
        <v>40651</v>
      </c>
      <c r="D2152">
        <v>1959</v>
      </c>
      <c r="E2152" t="b">
        <v>0</v>
      </c>
      <c r="F2152">
        <v>308</v>
      </c>
      <c r="G2152" t="s">
        <v>2082</v>
      </c>
      <c r="H2152" t="s">
        <v>792</v>
      </c>
      <c r="I2152" t="s">
        <v>2117</v>
      </c>
    </row>
    <row r="2153" spans="1:9" x14ac:dyDescent="0.35">
      <c r="A2153">
        <v>620</v>
      </c>
      <c r="B2153" t="s">
        <v>786</v>
      </c>
      <c r="C2153" s="1">
        <v>40651</v>
      </c>
      <c r="D2153">
        <v>1959</v>
      </c>
      <c r="E2153" t="b">
        <v>0</v>
      </c>
      <c r="F2153">
        <v>308</v>
      </c>
      <c r="G2153" t="s">
        <v>2082</v>
      </c>
      <c r="H2153" t="s">
        <v>346</v>
      </c>
      <c r="I2153" t="s">
        <v>2116</v>
      </c>
    </row>
    <row r="2154" spans="1:9" x14ac:dyDescent="0.35">
      <c r="A2154">
        <v>620</v>
      </c>
      <c r="B2154" t="s">
        <v>786</v>
      </c>
      <c r="C2154" s="1">
        <v>40651</v>
      </c>
      <c r="D2154">
        <v>1959</v>
      </c>
      <c r="E2154" t="b">
        <v>0</v>
      </c>
      <c r="F2154">
        <v>308</v>
      </c>
      <c r="G2154" t="s">
        <v>2082</v>
      </c>
      <c r="H2154" t="s">
        <v>239</v>
      </c>
      <c r="I2154" t="s">
        <v>2117</v>
      </c>
    </row>
    <row r="2155" spans="1:9" x14ac:dyDescent="0.35">
      <c r="A2155">
        <v>620</v>
      </c>
      <c r="B2155" t="s">
        <v>786</v>
      </c>
      <c r="C2155" s="1">
        <v>40651</v>
      </c>
      <c r="D2155">
        <v>1959</v>
      </c>
      <c r="E2155" t="b">
        <v>0</v>
      </c>
      <c r="F2155">
        <v>308</v>
      </c>
      <c r="G2155" t="s">
        <v>2082</v>
      </c>
      <c r="H2155" t="s">
        <v>132</v>
      </c>
      <c r="I2155" t="s">
        <v>2117</v>
      </c>
    </row>
    <row r="2156" spans="1:9" x14ac:dyDescent="0.35">
      <c r="A2156">
        <v>620</v>
      </c>
      <c r="B2156" t="s">
        <v>786</v>
      </c>
      <c r="C2156" s="1">
        <v>40651</v>
      </c>
      <c r="D2156">
        <v>1959</v>
      </c>
      <c r="E2156" t="b">
        <v>0</v>
      </c>
      <c r="F2156">
        <v>308</v>
      </c>
      <c r="G2156" t="s">
        <v>2082</v>
      </c>
      <c r="H2156" t="s">
        <v>124</v>
      </c>
      <c r="I2156" t="s">
        <v>2117</v>
      </c>
    </row>
    <row r="2157" spans="1:9" x14ac:dyDescent="0.35">
      <c r="A2157">
        <v>620</v>
      </c>
      <c r="B2157" t="s">
        <v>786</v>
      </c>
      <c r="C2157" s="1">
        <v>40651</v>
      </c>
      <c r="D2157">
        <v>1959</v>
      </c>
      <c r="E2157" t="b">
        <v>0</v>
      </c>
      <c r="F2157">
        <v>308</v>
      </c>
      <c r="G2157" t="s">
        <v>2082</v>
      </c>
      <c r="H2157" t="s">
        <v>1510</v>
      </c>
      <c r="I2157" t="s">
        <v>2117</v>
      </c>
    </row>
    <row r="2158" spans="1:9" x14ac:dyDescent="0.35">
      <c r="A2158">
        <v>1184370</v>
      </c>
      <c r="B2158" t="s">
        <v>788</v>
      </c>
      <c r="C2158" s="1">
        <v>44441</v>
      </c>
      <c r="D2158">
        <v>1874</v>
      </c>
      <c r="E2158" t="b">
        <v>1</v>
      </c>
      <c r="F2158">
        <v>309</v>
      </c>
      <c r="G2158" t="s">
        <v>133</v>
      </c>
      <c r="H2158" t="s">
        <v>49</v>
      </c>
      <c r="I2158" t="s">
        <v>2116</v>
      </c>
    </row>
    <row r="2159" spans="1:9" x14ac:dyDescent="0.35">
      <c r="A2159">
        <v>1184370</v>
      </c>
      <c r="B2159" t="s">
        <v>788</v>
      </c>
      <c r="C2159" s="1">
        <v>44441</v>
      </c>
      <c r="D2159">
        <v>1874</v>
      </c>
      <c r="E2159" t="b">
        <v>1</v>
      </c>
      <c r="F2159">
        <v>309</v>
      </c>
      <c r="G2159" t="s">
        <v>133</v>
      </c>
      <c r="H2159" t="s">
        <v>792</v>
      </c>
      <c r="I2159" t="s">
        <v>2116</v>
      </c>
    </row>
    <row r="2160" spans="1:9" x14ac:dyDescent="0.35">
      <c r="A2160">
        <v>1184370</v>
      </c>
      <c r="B2160" t="s">
        <v>788</v>
      </c>
      <c r="C2160" s="1">
        <v>44441</v>
      </c>
      <c r="D2160">
        <v>1874</v>
      </c>
      <c r="E2160" t="b">
        <v>1</v>
      </c>
      <c r="F2160">
        <v>309</v>
      </c>
      <c r="G2160" t="s">
        <v>133</v>
      </c>
      <c r="H2160" t="s">
        <v>346</v>
      </c>
      <c r="I2160" t="s">
        <v>2116</v>
      </c>
    </row>
    <row r="2161" spans="1:9" x14ac:dyDescent="0.35">
      <c r="A2161">
        <v>1184370</v>
      </c>
      <c r="B2161" t="s">
        <v>788</v>
      </c>
      <c r="C2161" s="1">
        <v>44441</v>
      </c>
      <c r="D2161">
        <v>1874</v>
      </c>
      <c r="E2161" t="b">
        <v>1</v>
      </c>
      <c r="F2161">
        <v>309</v>
      </c>
      <c r="G2161" t="s">
        <v>133</v>
      </c>
      <c r="H2161" t="s">
        <v>239</v>
      </c>
      <c r="I2161" t="s">
        <v>2117</v>
      </c>
    </row>
    <row r="2162" spans="1:9" x14ac:dyDescent="0.35">
      <c r="A2162">
        <v>1184370</v>
      </c>
      <c r="B2162" t="s">
        <v>788</v>
      </c>
      <c r="C2162" s="1">
        <v>44441</v>
      </c>
      <c r="D2162">
        <v>1874</v>
      </c>
      <c r="E2162" t="b">
        <v>1</v>
      </c>
      <c r="F2162">
        <v>309</v>
      </c>
      <c r="G2162" t="s">
        <v>133</v>
      </c>
      <c r="H2162" t="s">
        <v>132</v>
      </c>
      <c r="I2162" t="s">
        <v>2116</v>
      </c>
    </row>
    <row r="2163" spans="1:9" x14ac:dyDescent="0.35">
      <c r="A2163">
        <v>1184370</v>
      </c>
      <c r="B2163" t="s">
        <v>788</v>
      </c>
      <c r="C2163" s="1">
        <v>44441</v>
      </c>
      <c r="D2163">
        <v>1874</v>
      </c>
      <c r="E2163" t="b">
        <v>1</v>
      </c>
      <c r="F2163">
        <v>309</v>
      </c>
      <c r="G2163" t="s">
        <v>133</v>
      </c>
      <c r="H2163" t="s">
        <v>124</v>
      </c>
      <c r="I2163" t="s">
        <v>2116</v>
      </c>
    </row>
    <row r="2164" spans="1:9" x14ac:dyDescent="0.35">
      <c r="A2164">
        <v>1184370</v>
      </c>
      <c r="B2164" t="s">
        <v>788</v>
      </c>
      <c r="C2164" s="1">
        <v>44441</v>
      </c>
      <c r="D2164">
        <v>1874</v>
      </c>
      <c r="E2164" t="b">
        <v>1</v>
      </c>
      <c r="F2164">
        <v>309</v>
      </c>
      <c r="G2164" t="s">
        <v>133</v>
      </c>
      <c r="H2164" t="s">
        <v>1510</v>
      </c>
      <c r="I2164" t="s">
        <v>2117</v>
      </c>
    </row>
    <row r="2165" spans="1:9" x14ac:dyDescent="0.35">
      <c r="A2165">
        <v>977950</v>
      </c>
      <c r="B2165" t="s">
        <v>790</v>
      </c>
      <c r="C2165" s="1">
        <v>43489</v>
      </c>
      <c r="D2165">
        <v>1870</v>
      </c>
      <c r="E2165" t="b">
        <v>1</v>
      </c>
      <c r="F2165">
        <v>310</v>
      </c>
      <c r="G2165" t="s">
        <v>2082</v>
      </c>
      <c r="H2165" t="s">
        <v>49</v>
      </c>
      <c r="I2165" t="s">
        <v>2117</v>
      </c>
    </row>
    <row r="2166" spans="1:9" x14ac:dyDescent="0.35">
      <c r="A2166">
        <v>977950</v>
      </c>
      <c r="B2166" t="s">
        <v>790</v>
      </c>
      <c r="C2166" s="1">
        <v>43489</v>
      </c>
      <c r="D2166">
        <v>1870</v>
      </c>
      <c r="E2166" t="b">
        <v>1</v>
      </c>
      <c r="F2166">
        <v>310</v>
      </c>
      <c r="G2166" t="s">
        <v>2082</v>
      </c>
      <c r="H2166" t="s">
        <v>792</v>
      </c>
      <c r="I2166" t="s">
        <v>2116</v>
      </c>
    </row>
    <row r="2167" spans="1:9" x14ac:dyDescent="0.35">
      <c r="A2167">
        <v>977950</v>
      </c>
      <c r="B2167" t="s">
        <v>790</v>
      </c>
      <c r="C2167" s="1">
        <v>43489</v>
      </c>
      <c r="D2167">
        <v>1870</v>
      </c>
      <c r="E2167" t="b">
        <v>1</v>
      </c>
      <c r="F2167">
        <v>310</v>
      </c>
      <c r="G2167" t="s">
        <v>2082</v>
      </c>
      <c r="H2167" t="s">
        <v>346</v>
      </c>
      <c r="I2167" t="s">
        <v>2117</v>
      </c>
    </row>
    <row r="2168" spans="1:9" x14ac:dyDescent="0.35">
      <c r="A2168">
        <v>977950</v>
      </c>
      <c r="B2168" t="s">
        <v>790</v>
      </c>
      <c r="C2168" s="1">
        <v>43489</v>
      </c>
      <c r="D2168">
        <v>1870</v>
      </c>
      <c r="E2168" t="b">
        <v>1</v>
      </c>
      <c r="F2168">
        <v>310</v>
      </c>
      <c r="G2168" t="s">
        <v>2082</v>
      </c>
      <c r="H2168" t="s">
        <v>239</v>
      </c>
      <c r="I2168" t="s">
        <v>2117</v>
      </c>
    </row>
    <row r="2169" spans="1:9" x14ac:dyDescent="0.35">
      <c r="A2169">
        <v>977950</v>
      </c>
      <c r="B2169" t="s">
        <v>790</v>
      </c>
      <c r="C2169" s="1">
        <v>43489</v>
      </c>
      <c r="D2169">
        <v>1870</v>
      </c>
      <c r="E2169" t="b">
        <v>1</v>
      </c>
      <c r="F2169">
        <v>310</v>
      </c>
      <c r="G2169" t="s">
        <v>2082</v>
      </c>
      <c r="H2169" t="s">
        <v>132</v>
      </c>
      <c r="I2169" t="s">
        <v>2117</v>
      </c>
    </row>
    <row r="2170" spans="1:9" x14ac:dyDescent="0.35">
      <c r="A2170">
        <v>977950</v>
      </c>
      <c r="B2170" t="s">
        <v>790</v>
      </c>
      <c r="C2170" s="1">
        <v>43489</v>
      </c>
      <c r="D2170">
        <v>1870</v>
      </c>
      <c r="E2170" t="b">
        <v>1</v>
      </c>
      <c r="F2170">
        <v>310</v>
      </c>
      <c r="G2170" t="s">
        <v>2082</v>
      </c>
      <c r="H2170" t="s">
        <v>124</v>
      </c>
      <c r="I2170" t="s">
        <v>2117</v>
      </c>
    </row>
    <row r="2171" spans="1:9" x14ac:dyDescent="0.35">
      <c r="A2171">
        <v>977950</v>
      </c>
      <c r="B2171" t="s">
        <v>790</v>
      </c>
      <c r="C2171" s="1">
        <v>43489</v>
      </c>
      <c r="D2171">
        <v>1870</v>
      </c>
      <c r="E2171" t="b">
        <v>1</v>
      </c>
      <c r="F2171">
        <v>310</v>
      </c>
      <c r="G2171" t="s">
        <v>2082</v>
      </c>
      <c r="H2171" t="s">
        <v>1510</v>
      </c>
      <c r="I2171" t="s">
        <v>2117</v>
      </c>
    </row>
    <row r="2172" spans="1:9" x14ac:dyDescent="0.35">
      <c r="A2172">
        <v>1645820</v>
      </c>
      <c r="B2172" t="s">
        <v>793</v>
      </c>
      <c r="C2172" s="1">
        <v>44736</v>
      </c>
      <c r="D2172">
        <v>1870</v>
      </c>
      <c r="E2172" t="b">
        <v>0</v>
      </c>
      <c r="F2172">
        <v>310</v>
      </c>
      <c r="G2172" t="s">
        <v>53</v>
      </c>
      <c r="H2172" t="s">
        <v>49</v>
      </c>
      <c r="I2172" t="s">
        <v>2116</v>
      </c>
    </row>
    <row r="2173" spans="1:9" x14ac:dyDescent="0.35">
      <c r="A2173">
        <v>1645820</v>
      </c>
      <c r="B2173" t="s">
        <v>793</v>
      </c>
      <c r="C2173" s="1">
        <v>44736</v>
      </c>
      <c r="D2173">
        <v>1870</v>
      </c>
      <c r="E2173" t="b">
        <v>0</v>
      </c>
      <c r="F2173">
        <v>310</v>
      </c>
      <c r="G2173" t="s">
        <v>53</v>
      </c>
      <c r="H2173" t="s">
        <v>792</v>
      </c>
      <c r="I2173" t="s">
        <v>2116</v>
      </c>
    </row>
    <row r="2174" spans="1:9" x14ac:dyDescent="0.35">
      <c r="A2174">
        <v>1645820</v>
      </c>
      <c r="B2174" t="s">
        <v>793</v>
      </c>
      <c r="C2174" s="1">
        <v>44736</v>
      </c>
      <c r="D2174">
        <v>1870</v>
      </c>
      <c r="E2174" t="b">
        <v>0</v>
      </c>
      <c r="F2174">
        <v>310</v>
      </c>
      <c r="G2174" t="s">
        <v>53</v>
      </c>
      <c r="H2174" t="s">
        <v>346</v>
      </c>
      <c r="I2174" t="s">
        <v>2116</v>
      </c>
    </row>
    <row r="2175" spans="1:9" x14ac:dyDescent="0.35">
      <c r="A2175">
        <v>1645820</v>
      </c>
      <c r="B2175" t="s">
        <v>793</v>
      </c>
      <c r="C2175" s="1">
        <v>44736</v>
      </c>
      <c r="D2175">
        <v>1870</v>
      </c>
      <c r="E2175" t="b">
        <v>0</v>
      </c>
      <c r="F2175">
        <v>310</v>
      </c>
      <c r="G2175" t="s">
        <v>53</v>
      </c>
      <c r="H2175" t="s">
        <v>239</v>
      </c>
      <c r="I2175" t="s">
        <v>2117</v>
      </c>
    </row>
    <row r="2176" spans="1:9" x14ac:dyDescent="0.35">
      <c r="A2176">
        <v>1645820</v>
      </c>
      <c r="B2176" t="s">
        <v>793</v>
      </c>
      <c r="C2176" s="1">
        <v>44736</v>
      </c>
      <c r="D2176">
        <v>1870</v>
      </c>
      <c r="E2176" t="b">
        <v>0</v>
      </c>
      <c r="F2176">
        <v>310</v>
      </c>
      <c r="G2176" t="s">
        <v>53</v>
      </c>
      <c r="H2176" t="s">
        <v>132</v>
      </c>
      <c r="I2176" t="s">
        <v>2116</v>
      </c>
    </row>
    <row r="2177" spans="1:9" x14ac:dyDescent="0.35">
      <c r="A2177">
        <v>1645820</v>
      </c>
      <c r="B2177" t="s">
        <v>793</v>
      </c>
      <c r="C2177" s="1">
        <v>44736</v>
      </c>
      <c r="D2177">
        <v>1870</v>
      </c>
      <c r="E2177" t="b">
        <v>0</v>
      </c>
      <c r="F2177">
        <v>310</v>
      </c>
      <c r="G2177" t="s">
        <v>53</v>
      </c>
      <c r="H2177" t="s">
        <v>124</v>
      </c>
      <c r="I2177" t="s">
        <v>2117</v>
      </c>
    </row>
    <row r="2178" spans="1:9" x14ac:dyDescent="0.35">
      <c r="A2178">
        <v>1645820</v>
      </c>
      <c r="B2178" t="s">
        <v>793</v>
      </c>
      <c r="C2178" s="1">
        <v>44736</v>
      </c>
      <c r="D2178">
        <v>1870</v>
      </c>
      <c r="E2178" t="b">
        <v>0</v>
      </c>
      <c r="F2178">
        <v>310</v>
      </c>
      <c r="G2178" t="s">
        <v>53</v>
      </c>
      <c r="H2178" t="s">
        <v>1510</v>
      </c>
      <c r="I2178" t="s">
        <v>2117</v>
      </c>
    </row>
    <row r="2179" spans="1:9" x14ac:dyDescent="0.35">
      <c r="A2179">
        <v>601510</v>
      </c>
      <c r="B2179" t="s">
        <v>795</v>
      </c>
      <c r="C2179" s="1">
        <v>43055</v>
      </c>
      <c r="D2179">
        <v>1856</v>
      </c>
      <c r="E2179" t="b">
        <v>0</v>
      </c>
      <c r="F2179">
        <v>312</v>
      </c>
      <c r="G2179" t="s">
        <v>68</v>
      </c>
      <c r="H2179" t="s">
        <v>49</v>
      </c>
      <c r="I2179" t="s">
        <v>2117</v>
      </c>
    </row>
    <row r="2180" spans="1:9" x14ac:dyDescent="0.35">
      <c r="A2180">
        <v>601510</v>
      </c>
      <c r="B2180" t="s">
        <v>795</v>
      </c>
      <c r="C2180" s="1">
        <v>43055</v>
      </c>
      <c r="D2180">
        <v>1856</v>
      </c>
      <c r="E2180" t="b">
        <v>0</v>
      </c>
      <c r="F2180">
        <v>312</v>
      </c>
      <c r="G2180" t="s">
        <v>68</v>
      </c>
      <c r="H2180" t="s">
        <v>792</v>
      </c>
      <c r="I2180" t="s">
        <v>2117</v>
      </c>
    </row>
    <row r="2181" spans="1:9" x14ac:dyDescent="0.35">
      <c r="A2181">
        <v>601510</v>
      </c>
      <c r="B2181" t="s">
        <v>795</v>
      </c>
      <c r="C2181" s="1">
        <v>43055</v>
      </c>
      <c r="D2181">
        <v>1856</v>
      </c>
      <c r="E2181" t="b">
        <v>0</v>
      </c>
      <c r="F2181">
        <v>312</v>
      </c>
      <c r="G2181" t="s">
        <v>68</v>
      </c>
      <c r="H2181" t="s">
        <v>346</v>
      </c>
      <c r="I2181" t="s">
        <v>2117</v>
      </c>
    </row>
    <row r="2182" spans="1:9" x14ac:dyDescent="0.35">
      <c r="A2182">
        <v>601510</v>
      </c>
      <c r="B2182" t="s">
        <v>795</v>
      </c>
      <c r="C2182" s="1">
        <v>43055</v>
      </c>
      <c r="D2182">
        <v>1856</v>
      </c>
      <c r="E2182" t="b">
        <v>0</v>
      </c>
      <c r="F2182">
        <v>312</v>
      </c>
      <c r="G2182" t="s">
        <v>68</v>
      </c>
      <c r="H2182" t="s">
        <v>239</v>
      </c>
      <c r="I2182" t="s">
        <v>2117</v>
      </c>
    </row>
    <row r="2183" spans="1:9" x14ac:dyDescent="0.35">
      <c r="A2183">
        <v>601510</v>
      </c>
      <c r="B2183" t="s">
        <v>795</v>
      </c>
      <c r="C2183" s="1">
        <v>43055</v>
      </c>
      <c r="D2183">
        <v>1856</v>
      </c>
      <c r="E2183" t="b">
        <v>0</v>
      </c>
      <c r="F2183">
        <v>312</v>
      </c>
      <c r="G2183" t="s">
        <v>68</v>
      </c>
      <c r="H2183" t="s">
        <v>132</v>
      </c>
      <c r="I2183" t="s">
        <v>2117</v>
      </c>
    </row>
    <row r="2184" spans="1:9" x14ac:dyDescent="0.35">
      <c r="A2184">
        <v>601510</v>
      </c>
      <c r="B2184" t="s">
        <v>795</v>
      </c>
      <c r="C2184" s="1">
        <v>43055</v>
      </c>
      <c r="D2184">
        <v>1856</v>
      </c>
      <c r="E2184" t="b">
        <v>0</v>
      </c>
      <c r="F2184">
        <v>312</v>
      </c>
      <c r="G2184" t="s">
        <v>68</v>
      </c>
      <c r="H2184" t="s">
        <v>124</v>
      </c>
      <c r="I2184" t="s">
        <v>2116</v>
      </c>
    </row>
    <row r="2185" spans="1:9" x14ac:dyDescent="0.35">
      <c r="A2185">
        <v>601510</v>
      </c>
      <c r="B2185" t="s">
        <v>795</v>
      </c>
      <c r="C2185" s="1">
        <v>43055</v>
      </c>
      <c r="D2185">
        <v>1856</v>
      </c>
      <c r="E2185" t="b">
        <v>0</v>
      </c>
      <c r="F2185">
        <v>312</v>
      </c>
      <c r="G2185" t="s">
        <v>68</v>
      </c>
      <c r="H2185" t="s">
        <v>1510</v>
      </c>
      <c r="I2185" t="s">
        <v>2116</v>
      </c>
    </row>
    <row r="2186" spans="1:9" x14ac:dyDescent="0.35">
      <c r="A2186">
        <v>200210</v>
      </c>
      <c r="B2186" t="s">
        <v>797</v>
      </c>
      <c r="C2186" s="1">
        <v>40959</v>
      </c>
      <c r="D2186">
        <v>1853</v>
      </c>
      <c r="E2186" t="b">
        <v>1</v>
      </c>
      <c r="F2186">
        <v>313</v>
      </c>
      <c r="G2186" t="s">
        <v>2084</v>
      </c>
      <c r="H2186" t="s">
        <v>49</v>
      </c>
      <c r="I2186" t="s">
        <v>2116</v>
      </c>
    </row>
    <row r="2187" spans="1:9" x14ac:dyDescent="0.35">
      <c r="A2187">
        <v>200210</v>
      </c>
      <c r="B2187" t="s">
        <v>797</v>
      </c>
      <c r="C2187" s="1">
        <v>40959</v>
      </c>
      <c r="D2187">
        <v>1853</v>
      </c>
      <c r="E2187" t="b">
        <v>1</v>
      </c>
      <c r="F2187">
        <v>313</v>
      </c>
      <c r="G2187" t="s">
        <v>2084</v>
      </c>
      <c r="H2187" t="s">
        <v>792</v>
      </c>
      <c r="I2187" t="s">
        <v>2116</v>
      </c>
    </row>
    <row r="2188" spans="1:9" x14ac:dyDescent="0.35">
      <c r="A2188">
        <v>200210</v>
      </c>
      <c r="B2188" t="s">
        <v>797</v>
      </c>
      <c r="C2188" s="1">
        <v>40959</v>
      </c>
      <c r="D2188">
        <v>1853</v>
      </c>
      <c r="E2188" t="b">
        <v>1</v>
      </c>
      <c r="F2188">
        <v>313</v>
      </c>
      <c r="G2188" t="s">
        <v>2084</v>
      </c>
      <c r="H2188" t="s">
        <v>346</v>
      </c>
      <c r="I2188" t="s">
        <v>2116</v>
      </c>
    </row>
    <row r="2189" spans="1:9" x14ac:dyDescent="0.35">
      <c r="A2189">
        <v>200210</v>
      </c>
      <c r="B2189" t="s">
        <v>797</v>
      </c>
      <c r="C2189" s="1">
        <v>40959</v>
      </c>
      <c r="D2189">
        <v>1853</v>
      </c>
      <c r="E2189" t="b">
        <v>1</v>
      </c>
      <c r="F2189">
        <v>313</v>
      </c>
      <c r="G2189" t="s">
        <v>2084</v>
      </c>
      <c r="H2189" t="s">
        <v>239</v>
      </c>
      <c r="I2189" t="s">
        <v>2117</v>
      </c>
    </row>
    <row r="2190" spans="1:9" x14ac:dyDescent="0.35">
      <c r="A2190">
        <v>200210</v>
      </c>
      <c r="B2190" t="s">
        <v>797</v>
      </c>
      <c r="C2190" s="1">
        <v>40959</v>
      </c>
      <c r="D2190">
        <v>1853</v>
      </c>
      <c r="E2190" t="b">
        <v>1</v>
      </c>
      <c r="F2190">
        <v>313</v>
      </c>
      <c r="G2190" t="s">
        <v>2084</v>
      </c>
      <c r="H2190" t="s">
        <v>132</v>
      </c>
      <c r="I2190" t="s">
        <v>2116</v>
      </c>
    </row>
    <row r="2191" spans="1:9" x14ac:dyDescent="0.35">
      <c r="A2191">
        <v>200210</v>
      </c>
      <c r="B2191" t="s">
        <v>797</v>
      </c>
      <c r="C2191" s="1">
        <v>40959</v>
      </c>
      <c r="D2191">
        <v>1853</v>
      </c>
      <c r="E2191" t="b">
        <v>1</v>
      </c>
      <c r="F2191">
        <v>313</v>
      </c>
      <c r="G2191" t="s">
        <v>2084</v>
      </c>
      <c r="H2191" t="s">
        <v>124</v>
      </c>
      <c r="I2191" t="s">
        <v>2117</v>
      </c>
    </row>
    <row r="2192" spans="1:9" x14ac:dyDescent="0.35">
      <c r="A2192">
        <v>200210</v>
      </c>
      <c r="B2192" t="s">
        <v>797</v>
      </c>
      <c r="C2192" s="1">
        <v>40959</v>
      </c>
      <c r="D2192">
        <v>1853</v>
      </c>
      <c r="E2192" t="b">
        <v>1</v>
      </c>
      <c r="F2192">
        <v>313</v>
      </c>
      <c r="G2192" t="s">
        <v>2084</v>
      </c>
      <c r="H2192" t="s">
        <v>1510</v>
      </c>
      <c r="I2192" t="s">
        <v>2116</v>
      </c>
    </row>
    <row r="2193" spans="1:9" x14ac:dyDescent="0.35">
      <c r="A2193">
        <v>386360</v>
      </c>
      <c r="B2193" t="s">
        <v>799</v>
      </c>
      <c r="C2193" s="1">
        <v>42255</v>
      </c>
      <c r="D2193">
        <v>1853</v>
      </c>
      <c r="E2193" t="b">
        <v>0</v>
      </c>
      <c r="F2193">
        <v>313</v>
      </c>
      <c r="G2193" t="s">
        <v>2091</v>
      </c>
      <c r="H2193" t="s">
        <v>49</v>
      </c>
      <c r="I2193" t="s">
        <v>2116</v>
      </c>
    </row>
    <row r="2194" spans="1:9" x14ac:dyDescent="0.35">
      <c r="A2194">
        <v>386360</v>
      </c>
      <c r="B2194" t="s">
        <v>799</v>
      </c>
      <c r="C2194" s="1">
        <v>42255</v>
      </c>
      <c r="D2194">
        <v>1853</v>
      </c>
      <c r="E2194" t="b">
        <v>0</v>
      </c>
      <c r="F2194">
        <v>313</v>
      </c>
      <c r="G2194" t="s">
        <v>2091</v>
      </c>
      <c r="H2194" t="s">
        <v>792</v>
      </c>
      <c r="I2194" t="s">
        <v>2116</v>
      </c>
    </row>
    <row r="2195" spans="1:9" x14ac:dyDescent="0.35">
      <c r="A2195">
        <v>386360</v>
      </c>
      <c r="B2195" t="s">
        <v>799</v>
      </c>
      <c r="C2195" s="1">
        <v>42255</v>
      </c>
      <c r="D2195">
        <v>1853</v>
      </c>
      <c r="E2195" t="b">
        <v>0</v>
      </c>
      <c r="F2195">
        <v>313</v>
      </c>
      <c r="G2195" t="s">
        <v>2091</v>
      </c>
      <c r="H2195" t="s">
        <v>346</v>
      </c>
      <c r="I2195" t="s">
        <v>2116</v>
      </c>
    </row>
    <row r="2196" spans="1:9" x14ac:dyDescent="0.35">
      <c r="A2196">
        <v>386360</v>
      </c>
      <c r="B2196" t="s">
        <v>799</v>
      </c>
      <c r="C2196" s="1">
        <v>42255</v>
      </c>
      <c r="D2196">
        <v>1853</v>
      </c>
      <c r="E2196" t="b">
        <v>0</v>
      </c>
      <c r="F2196">
        <v>313</v>
      </c>
      <c r="G2196" t="s">
        <v>2091</v>
      </c>
      <c r="H2196" t="s">
        <v>239</v>
      </c>
      <c r="I2196" t="s">
        <v>2116</v>
      </c>
    </row>
    <row r="2197" spans="1:9" x14ac:dyDescent="0.35">
      <c r="A2197">
        <v>386360</v>
      </c>
      <c r="B2197" t="s">
        <v>799</v>
      </c>
      <c r="C2197" s="1">
        <v>42255</v>
      </c>
      <c r="D2197">
        <v>1853</v>
      </c>
      <c r="E2197" t="b">
        <v>0</v>
      </c>
      <c r="F2197">
        <v>313</v>
      </c>
      <c r="G2197" t="s">
        <v>2091</v>
      </c>
      <c r="H2197" t="s">
        <v>132</v>
      </c>
      <c r="I2197" t="s">
        <v>2116</v>
      </c>
    </row>
    <row r="2198" spans="1:9" x14ac:dyDescent="0.35">
      <c r="A2198">
        <v>386360</v>
      </c>
      <c r="B2198" t="s">
        <v>799</v>
      </c>
      <c r="C2198" s="1">
        <v>42255</v>
      </c>
      <c r="D2198">
        <v>1853</v>
      </c>
      <c r="E2198" t="b">
        <v>0</v>
      </c>
      <c r="F2198">
        <v>313</v>
      </c>
      <c r="G2198" t="s">
        <v>2091</v>
      </c>
      <c r="H2198" t="s">
        <v>124</v>
      </c>
      <c r="I2198" t="s">
        <v>2116</v>
      </c>
    </row>
    <row r="2199" spans="1:9" x14ac:dyDescent="0.35">
      <c r="A2199">
        <v>386360</v>
      </c>
      <c r="B2199" t="s">
        <v>799</v>
      </c>
      <c r="C2199" s="1">
        <v>42255</v>
      </c>
      <c r="D2199">
        <v>1853</v>
      </c>
      <c r="E2199" t="b">
        <v>0</v>
      </c>
      <c r="F2199">
        <v>313</v>
      </c>
      <c r="G2199" t="s">
        <v>2091</v>
      </c>
      <c r="H2199" t="s">
        <v>1510</v>
      </c>
      <c r="I2199" t="s">
        <v>2116</v>
      </c>
    </row>
    <row r="2200" spans="1:9" x14ac:dyDescent="0.35">
      <c r="A2200">
        <v>220200</v>
      </c>
      <c r="B2200" t="s">
        <v>802</v>
      </c>
      <c r="C2200" s="1">
        <v>42121</v>
      </c>
      <c r="D2200">
        <v>1844</v>
      </c>
      <c r="E2200" t="b">
        <v>1</v>
      </c>
      <c r="F2200">
        <v>315</v>
      </c>
      <c r="G2200" t="s">
        <v>2084</v>
      </c>
      <c r="H2200" t="s">
        <v>49</v>
      </c>
      <c r="I2200" t="s">
        <v>2117</v>
      </c>
    </row>
    <row r="2201" spans="1:9" x14ac:dyDescent="0.35">
      <c r="A2201">
        <v>220200</v>
      </c>
      <c r="B2201" t="s">
        <v>802</v>
      </c>
      <c r="C2201" s="1">
        <v>42121</v>
      </c>
      <c r="D2201">
        <v>1844</v>
      </c>
      <c r="E2201" t="b">
        <v>1</v>
      </c>
      <c r="F2201">
        <v>315</v>
      </c>
      <c r="G2201" t="s">
        <v>2084</v>
      </c>
      <c r="H2201" t="s">
        <v>792</v>
      </c>
      <c r="I2201" t="s">
        <v>2116</v>
      </c>
    </row>
    <row r="2202" spans="1:9" x14ac:dyDescent="0.35">
      <c r="A2202">
        <v>220200</v>
      </c>
      <c r="B2202" t="s">
        <v>802</v>
      </c>
      <c r="C2202" s="1">
        <v>42121</v>
      </c>
      <c r="D2202">
        <v>1844</v>
      </c>
      <c r="E2202" t="b">
        <v>1</v>
      </c>
      <c r="F2202">
        <v>315</v>
      </c>
      <c r="G2202" t="s">
        <v>2084</v>
      </c>
      <c r="H2202" t="s">
        <v>346</v>
      </c>
      <c r="I2202" t="s">
        <v>2117</v>
      </c>
    </row>
    <row r="2203" spans="1:9" x14ac:dyDescent="0.35">
      <c r="A2203">
        <v>220200</v>
      </c>
      <c r="B2203" t="s">
        <v>802</v>
      </c>
      <c r="C2203" s="1">
        <v>42121</v>
      </c>
      <c r="D2203">
        <v>1844</v>
      </c>
      <c r="E2203" t="b">
        <v>1</v>
      </c>
      <c r="F2203">
        <v>315</v>
      </c>
      <c r="G2203" t="s">
        <v>2084</v>
      </c>
      <c r="H2203" t="s">
        <v>239</v>
      </c>
      <c r="I2203" t="s">
        <v>2116</v>
      </c>
    </row>
    <row r="2204" spans="1:9" x14ac:dyDescent="0.35">
      <c r="A2204">
        <v>220200</v>
      </c>
      <c r="B2204" t="s">
        <v>802</v>
      </c>
      <c r="C2204" s="1">
        <v>42121</v>
      </c>
      <c r="D2204">
        <v>1844</v>
      </c>
      <c r="E2204" t="b">
        <v>1</v>
      </c>
      <c r="F2204">
        <v>315</v>
      </c>
      <c r="G2204" t="s">
        <v>2084</v>
      </c>
      <c r="H2204" t="s">
        <v>132</v>
      </c>
      <c r="I2204" t="s">
        <v>2117</v>
      </c>
    </row>
    <row r="2205" spans="1:9" x14ac:dyDescent="0.35">
      <c r="A2205">
        <v>220200</v>
      </c>
      <c r="B2205" t="s">
        <v>802</v>
      </c>
      <c r="C2205" s="1">
        <v>42121</v>
      </c>
      <c r="D2205">
        <v>1844</v>
      </c>
      <c r="E2205" t="b">
        <v>1</v>
      </c>
      <c r="F2205">
        <v>315</v>
      </c>
      <c r="G2205" t="s">
        <v>2084</v>
      </c>
      <c r="H2205" t="s">
        <v>124</v>
      </c>
      <c r="I2205" t="s">
        <v>2117</v>
      </c>
    </row>
    <row r="2206" spans="1:9" x14ac:dyDescent="0.35">
      <c r="A2206">
        <v>220200</v>
      </c>
      <c r="B2206" t="s">
        <v>802</v>
      </c>
      <c r="C2206" s="1">
        <v>42121</v>
      </c>
      <c r="D2206">
        <v>1844</v>
      </c>
      <c r="E2206" t="b">
        <v>1</v>
      </c>
      <c r="F2206">
        <v>315</v>
      </c>
      <c r="G2206" t="s">
        <v>2084</v>
      </c>
      <c r="H2206" t="s">
        <v>1510</v>
      </c>
      <c r="I2206" t="s">
        <v>2117</v>
      </c>
    </row>
    <row r="2207" spans="1:9" x14ac:dyDescent="0.35">
      <c r="A2207">
        <v>1145350</v>
      </c>
      <c r="B2207" t="s">
        <v>804</v>
      </c>
      <c r="C2207" s="1">
        <v>45925</v>
      </c>
      <c r="D2207">
        <v>1838</v>
      </c>
      <c r="E2207" t="b">
        <v>1</v>
      </c>
      <c r="F2207">
        <v>316</v>
      </c>
      <c r="G2207" t="s">
        <v>36</v>
      </c>
      <c r="H2207" t="s">
        <v>49</v>
      </c>
      <c r="I2207" t="s">
        <v>2116</v>
      </c>
    </row>
    <row r="2208" spans="1:9" x14ac:dyDescent="0.35">
      <c r="A2208">
        <v>1145350</v>
      </c>
      <c r="B2208" t="s">
        <v>804</v>
      </c>
      <c r="C2208" s="1">
        <v>45925</v>
      </c>
      <c r="D2208">
        <v>1838</v>
      </c>
      <c r="E2208" t="b">
        <v>1</v>
      </c>
      <c r="F2208">
        <v>316</v>
      </c>
      <c r="G2208" t="s">
        <v>36</v>
      </c>
      <c r="H2208" t="s">
        <v>792</v>
      </c>
      <c r="I2208" t="s">
        <v>2116</v>
      </c>
    </row>
    <row r="2209" spans="1:9" x14ac:dyDescent="0.35">
      <c r="A2209">
        <v>1145350</v>
      </c>
      <c r="B2209" t="s">
        <v>804</v>
      </c>
      <c r="C2209" s="1">
        <v>45925</v>
      </c>
      <c r="D2209">
        <v>1838</v>
      </c>
      <c r="E2209" t="b">
        <v>1</v>
      </c>
      <c r="F2209">
        <v>316</v>
      </c>
      <c r="G2209" t="s">
        <v>36</v>
      </c>
      <c r="H2209" t="s">
        <v>346</v>
      </c>
      <c r="I2209" t="s">
        <v>2117</v>
      </c>
    </row>
    <row r="2210" spans="1:9" x14ac:dyDescent="0.35">
      <c r="A2210">
        <v>1145350</v>
      </c>
      <c r="B2210" t="s">
        <v>804</v>
      </c>
      <c r="C2210" s="1">
        <v>45925</v>
      </c>
      <c r="D2210">
        <v>1838</v>
      </c>
      <c r="E2210" t="b">
        <v>1</v>
      </c>
      <c r="F2210">
        <v>316</v>
      </c>
      <c r="G2210" t="s">
        <v>36</v>
      </c>
      <c r="H2210" t="s">
        <v>239</v>
      </c>
      <c r="I2210" t="s">
        <v>2117</v>
      </c>
    </row>
    <row r="2211" spans="1:9" x14ac:dyDescent="0.35">
      <c r="A2211">
        <v>1145350</v>
      </c>
      <c r="B2211" t="s">
        <v>804</v>
      </c>
      <c r="C2211" s="1">
        <v>45925</v>
      </c>
      <c r="D2211">
        <v>1838</v>
      </c>
      <c r="E2211" t="b">
        <v>1</v>
      </c>
      <c r="F2211">
        <v>316</v>
      </c>
      <c r="G2211" t="s">
        <v>36</v>
      </c>
      <c r="H2211" t="s">
        <v>132</v>
      </c>
      <c r="I2211" t="s">
        <v>2116</v>
      </c>
    </row>
    <row r="2212" spans="1:9" x14ac:dyDescent="0.35">
      <c r="A2212">
        <v>1145350</v>
      </c>
      <c r="B2212" t="s">
        <v>804</v>
      </c>
      <c r="C2212" s="1">
        <v>45925</v>
      </c>
      <c r="D2212">
        <v>1838</v>
      </c>
      <c r="E2212" t="b">
        <v>1</v>
      </c>
      <c r="F2212">
        <v>316</v>
      </c>
      <c r="G2212" t="s">
        <v>36</v>
      </c>
      <c r="H2212" t="s">
        <v>124</v>
      </c>
      <c r="I2212" t="s">
        <v>2117</v>
      </c>
    </row>
    <row r="2213" spans="1:9" x14ac:dyDescent="0.35">
      <c r="A2213">
        <v>1145350</v>
      </c>
      <c r="B2213" t="s">
        <v>804</v>
      </c>
      <c r="C2213" s="1">
        <v>45925</v>
      </c>
      <c r="D2213">
        <v>1838</v>
      </c>
      <c r="E2213" t="b">
        <v>1</v>
      </c>
      <c r="F2213">
        <v>316</v>
      </c>
      <c r="G2213" t="s">
        <v>36</v>
      </c>
      <c r="H2213" t="s">
        <v>1510</v>
      </c>
      <c r="I2213" t="s">
        <v>2117</v>
      </c>
    </row>
    <row r="2214" spans="1:9" x14ac:dyDescent="0.35">
      <c r="A2214">
        <v>3218710</v>
      </c>
      <c r="B2214" t="s">
        <v>806</v>
      </c>
      <c r="C2214" s="1">
        <v>45785</v>
      </c>
      <c r="D2214">
        <v>1838</v>
      </c>
      <c r="E2214" t="b">
        <v>1</v>
      </c>
      <c r="F2214">
        <v>316</v>
      </c>
      <c r="G2214" t="s">
        <v>304</v>
      </c>
      <c r="H2214" t="s">
        <v>49</v>
      </c>
      <c r="I2214" t="s">
        <v>2116</v>
      </c>
    </row>
    <row r="2215" spans="1:9" x14ac:dyDescent="0.35">
      <c r="A2215">
        <v>3218710</v>
      </c>
      <c r="B2215" t="s">
        <v>806</v>
      </c>
      <c r="C2215" s="1">
        <v>45785</v>
      </c>
      <c r="D2215">
        <v>1838</v>
      </c>
      <c r="E2215" t="b">
        <v>1</v>
      </c>
      <c r="F2215">
        <v>316</v>
      </c>
      <c r="G2215" t="s">
        <v>304</v>
      </c>
      <c r="H2215" t="s">
        <v>792</v>
      </c>
      <c r="I2215" t="s">
        <v>2117</v>
      </c>
    </row>
    <row r="2216" spans="1:9" x14ac:dyDescent="0.35">
      <c r="A2216">
        <v>3218710</v>
      </c>
      <c r="B2216" t="s">
        <v>806</v>
      </c>
      <c r="C2216" s="1">
        <v>45785</v>
      </c>
      <c r="D2216">
        <v>1838</v>
      </c>
      <c r="E2216" t="b">
        <v>1</v>
      </c>
      <c r="F2216">
        <v>316</v>
      </c>
      <c r="G2216" t="s">
        <v>304</v>
      </c>
      <c r="H2216" t="s">
        <v>346</v>
      </c>
      <c r="I2216" t="s">
        <v>2116</v>
      </c>
    </row>
    <row r="2217" spans="1:9" x14ac:dyDescent="0.35">
      <c r="A2217">
        <v>3218710</v>
      </c>
      <c r="B2217" t="s">
        <v>806</v>
      </c>
      <c r="C2217" s="1">
        <v>45785</v>
      </c>
      <c r="D2217">
        <v>1838</v>
      </c>
      <c r="E2217" t="b">
        <v>1</v>
      </c>
      <c r="F2217">
        <v>316</v>
      </c>
      <c r="G2217" t="s">
        <v>304</v>
      </c>
      <c r="H2217" t="s">
        <v>239</v>
      </c>
      <c r="I2217" t="s">
        <v>2117</v>
      </c>
    </row>
    <row r="2218" spans="1:9" x14ac:dyDescent="0.35">
      <c r="A2218">
        <v>3218710</v>
      </c>
      <c r="B2218" t="s">
        <v>806</v>
      </c>
      <c r="C2218" s="1">
        <v>45785</v>
      </c>
      <c r="D2218">
        <v>1838</v>
      </c>
      <c r="E2218" t="b">
        <v>1</v>
      </c>
      <c r="F2218">
        <v>316</v>
      </c>
      <c r="G2218" t="s">
        <v>304</v>
      </c>
      <c r="H2218" t="s">
        <v>132</v>
      </c>
      <c r="I2218" t="s">
        <v>2116</v>
      </c>
    </row>
    <row r="2219" spans="1:9" x14ac:dyDescent="0.35">
      <c r="A2219">
        <v>3218710</v>
      </c>
      <c r="B2219" t="s">
        <v>806</v>
      </c>
      <c r="C2219" s="1">
        <v>45785</v>
      </c>
      <c r="D2219">
        <v>1838</v>
      </c>
      <c r="E2219" t="b">
        <v>1</v>
      </c>
      <c r="F2219">
        <v>316</v>
      </c>
      <c r="G2219" t="s">
        <v>304</v>
      </c>
      <c r="H2219" t="s">
        <v>124</v>
      </c>
      <c r="I2219" t="s">
        <v>2116</v>
      </c>
    </row>
    <row r="2220" spans="1:9" x14ac:dyDescent="0.35">
      <c r="A2220">
        <v>3218710</v>
      </c>
      <c r="B2220" t="s">
        <v>806</v>
      </c>
      <c r="C2220" s="1">
        <v>45785</v>
      </c>
      <c r="D2220">
        <v>1838</v>
      </c>
      <c r="E2220" t="b">
        <v>1</v>
      </c>
      <c r="F2220">
        <v>316</v>
      </c>
      <c r="G2220" t="s">
        <v>304</v>
      </c>
      <c r="H2220" t="s">
        <v>1510</v>
      </c>
      <c r="I2220" t="s">
        <v>2116</v>
      </c>
    </row>
    <row r="2221" spans="1:9" x14ac:dyDescent="0.35">
      <c r="A2221">
        <v>872410</v>
      </c>
      <c r="B2221" t="s">
        <v>809</v>
      </c>
      <c r="C2221" s="1">
        <v>43845</v>
      </c>
      <c r="D2221">
        <v>1827</v>
      </c>
      <c r="E2221" t="b">
        <v>0</v>
      </c>
      <c r="F2221">
        <v>318</v>
      </c>
      <c r="G2221" t="s">
        <v>53</v>
      </c>
      <c r="H2221" t="s">
        <v>49</v>
      </c>
      <c r="I2221" t="s">
        <v>2117</v>
      </c>
    </row>
    <row r="2222" spans="1:9" x14ac:dyDescent="0.35">
      <c r="A2222">
        <v>872410</v>
      </c>
      <c r="B2222" t="s">
        <v>809</v>
      </c>
      <c r="C2222" s="1">
        <v>43845</v>
      </c>
      <c r="D2222">
        <v>1827</v>
      </c>
      <c r="E2222" t="b">
        <v>0</v>
      </c>
      <c r="F2222">
        <v>318</v>
      </c>
      <c r="G2222" t="s">
        <v>53</v>
      </c>
      <c r="H2222" t="s">
        <v>792</v>
      </c>
      <c r="I2222" t="s">
        <v>2117</v>
      </c>
    </row>
    <row r="2223" spans="1:9" x14ac:dyDescent="0.35">
      <c r="A2223">
        <v>872410</v>
      </c>
      <c r="B2223" t="s">
        <v>809</v>
      </c>
      <c r="C2223" s="1">
        <v>43845</v>
      </c>
      <c r="D2223">
        <v>1827</v>
      </c>
      <c r="E2223" t="b">
        <v>0</v>
      </c>
      <c r="F2223">
        <v>318</v>
      </c>
      <c r="G2223" t="s">
        <v>53</v>
      </c>
      <c r="H2223" t="s">
        <v>346</v>
      </c>
      <c r="I2223" t="s">
        <v>2117</v>
      </c>
    </row>
    <row r="2224" spans="1:9" x14ac:dyDescent="0.35">
      <c r="A2224">
        <v>872410</v>
      </c>
      <c r="B2224" t="s">
        <v>809</v>
      </c>
      <c r="C2224" s="1">
        <v>43845</v>
      </c>
      <c r="D2224">
        <v>1827</v>
      </c>
      <c r="E2224" t="b">
        <v>0</v>
      </c>
      <c r="F2224">
        <v>318</v>
      </c>
      <c r="G2224" t="s">
        <v>53</v>
      </c>
      <c r="H2224" t="s">
        <v>239</v>
      </c>
      <c r="I2224" t="s">
        <v>2116</v>
      </c>
    </row>
    <row r="2225" spans="1:9" x14ac:dyDescent="0.35">
      <c r="A2225">
        <v>872410</v>
      </c>
      <c r="B2225" t="s">
        <v>809</v>
      </c>
      <c r="C2225" s="1">
        <v>43845</v>
      </c>
      <c r="D2225">
        <v>1827</v>
      </c>
      <c r="E2225" t="b">
        <v>0</v>
      </c>
      <c r="F2225">
        <v>318</v>
      </c>
      <c r="G2225" t="s">
        <v>53</v>
      </c>
      <c r="H2225" t="s">
        <v>132</v>
      </c>
      <c r="I2225" t="s">
        <v>2117</v>
      </c>
    </row>
    <row r="2226" spans="1:9" x14ac:dyDescent="0.35">
      <c r="A2226">
        <v>872410</v>
      </c>
      <c r="B2226" t="s">
        <v>809</v>
      </c>
      <c r="C2226" s="1">
        <v>43845</v>
      </c>
      <c r="D2226">
        <v>1827</v>
      </c>
      <c r="E2226" t="b">
        <v>0</v>
      </c>
      <c r="F2226">
        <v>318</v>
      </c>
      <c r="G2226" t="s">
        <v>53</v>
      </c>
      <c r="H2226" t="s">
        <v>124</v>
      </c>
      <c r="I2226" t="s">
        <v>2117</v>
      </c>
    </row>
    <row r="2227" spans="1:9" x14ac:dyDescent="0.35">
      <c r="A2227">
        <v>872410</v>
      </c>
      <c r="B2227" t="s">
        <v>809</v>
      </c>
      <c r="C2227" s="1">
        <v>43845</v>
      </c>
      <c r="D2227">
        <v>1827</v>
      </c>
      <c r="E2227" t="b">
        <v>0</v>
      </c>
      <c r="F2227">
        <v>318</v>
      </c>
      <c r="G2227" t="s">
        <v>53</v>
      </c>
      <c r="H2227" t="s">
        <v>1510</v>
      </c>
      <c r="I2227" t="s">
        <v>2117</v>
      </c>
    </row>
    <row r="2228" spans="1:9" x14ac:dyDescent="0.35">
      <c r="A2228">
        <v>581320</v>
      </c>
      <c r="B2228" t="s">
        <v>811</v>
      </c>
      <c r="C2228" s="1">
        <v>43446</v>
      </c>
      <c r="D2228">
        <v>1826</v>
      </c>
      <c r="E2228" t="b">
        <v>0</v>
      </c>
      <c r="F2228">
        <v>319</v>
      </c>
      <c r="G2228" t="s">
        <v>438</v>
      </c>
      <c r="H2228" t="s">
        <v>49</v>
      </c>
      <c r="I2228" t="s">
        <v>2116</v>
      </c>
    </row>
    <row r="2229" spans="1:9" x14ac:dyDescent="0.35">
      <c r="A2229">
        <v>581320</v>
      </c>
      <c r="B2229" t="s">
        <v>811</v>
      </c>
      <c r="C2229" s="1">
        <v>43446</v>
      </c>
      <c r="D2229">
        <v>1826</v>
      </c>
      <c r="E2229" t="b">
        <v>0</v>
      </c>
      <c r="F2229">
        <v>319</v>
      </c>
      <c r="G2229" t="s">
        <v>438</v>
      </c>
      <c r="H2229" t="s">
        <v>792</v>
      </c>
      <c r="I2229" t="s">
        <v>2117</v>
      </c>
    </row>
    <row r="2230" spans="1:9" x14ac:dyDescent="0.35">
      <c r="A2230">
        <v>581320</v>
      </c>
      <c r="B2230" t="s">
        <v>811</v>
      </c>
      <c r="C2230" s="1">
        <v>43446</v>
      </c>
      <c r="D2230">
        <v>1826</v>
      </c>
      <c r="E2230" t="b">
        <v>0</v>
      </c>
      <c r="F2230">
        <v>319</v>
      </c>
      <c r="G2230" t="s">
        <v>438</v>
      </c>
      <c r="H2230" t="s">
        <v>346</v>
      </c>
      <c r="I2230" t="s">
        <v>2117</v>
      </c>
    </row>
    <row r="2231" spans="1:9" x14ac:dyDescent="0.35">
      <c r="A2231">
        <v>581320</v>
      </c>
      <c r="B2231" t="s">
        <v>811</v>
      </c>
      <c r="C2231" s="1">
        <v>43446</v>
      </c>
      <c r="D2231">
        <v>1826</v>
      </c>
      <c r="E2231" t="b">
        <v>0</v>
      </c>
      <c r="F2231">
        <v>319</v>
      </c>
      <c r="G2231" t="s">
        <v>438</v>
      </c>
      <c r="H2231" t="s">
        <v>239</v>
      </c>
      <c r="I2231" t="s">
        <v>2117</v>
      </c>
    </row>
    <row r="2232" spans="1:9" x14ac:dyDescent="0.35">
      <c r="A2232">
        <v>581320</v>
      </c>
      <c r="B2232" t="s">
        <v>811</v>
      </c>
      <c r="C2232" s="1">
        <v>43446</v>
      </c>
      <c r="D2232">
        <v>1826</v>
      </c>
      <c r="E2232" t="b">
        <v>0</v>
      </c>
      <c r="F2232">
        <v>319</v>
      </c>
      <c r="G2232" t="s">
        <v>438</v>
      </c>
      <c r="H2232" t="s">
        <v>132</v>
      </c>
      <c r="I2232" t="s">
        <v>2117</v>
      </c>
    </row>
    <row r="2233" spans="1:9" x14ac:dyDescent="0.35">
      <c r="A2233">
        <v>581320</v>
      </c>
      <c r="B2233" t="s">
        <v>811</v>
      </c>
      <c r="C2233" s="1">
        <v>43446</v>
      </c>
      <c r="D2233">
        <v>1826</v>
      </c>
      <c r="E2233" t="b">
        <v>0</v>
      </c>
      <c r="F2233">
        <v>319</v>
      </c>
      <c r="G2233" t="s">
        <v>438</v>
      </c>
      <c r="H2233" t="s">
        <v>124</v>
      </c>
      <c r="I2233" t="s">
        <v>2117</v>
      </c>
    </row>
    <row r="2234" spans="1:9" x14ac:dyDescent="0.35">
      <c r="A2234">
        <v>581320</v>
      </c>
      <c r="B2234" t="s">
        <v>811</v>
      </c>
      <c r="C2234" s="1">
        <v>43446</v>
      </c>
      <c r="D2234">
        <v>1826</v>
      </c>
      <c r="E2234" t="b">
        <v>0</v>
      </c>
      <c r="F2234">
        <v>319</v>
      </c>
      <c r="G2234" t="s">
        <v>438</v>
      </c>
      <c r="H2234" t="s">
        <v>1510</v>
      </c>
      <c r="I2234" t="s">
        <v>2117</v>
      </c>
    </row>
    <row r="2235" spans="1:9" x14ac:dyDescent="0.35">
      <c r="A2235">
        <v>2582560</v>
      </c>
      <c r="B2235" t="s">
        <v>813</v>
      </c>
      <c r="C2235" s="1">
        <v>45519</v>
      </c>
      <c r="D2235">
        <v>1823</v>
      </c>
      <c r="E2235" t="b">
        <v>0</v>
      </c>
      <c r="F2235">
        <v>320</v>
      </c>
      <c r="G2235" t="s">
        <v>29</v>
      </c>
      <c r="H2235" t="s">
        <v>49</v>
      </c>
      <c r="I2235" t="s">
        <v>2117</v>
      </c>
    </row>
    <row r="2236" spans="1:9" x14ac:dyDescent="0.35">
      <c r="A2236">
        <v>2582560</v>
      </c>
      <c r="B2236" t="s">
        <v>813</v>
      </c>
      <c r="C2236" s="1">
        <v>45519</v>
      </c>
      <c r="D2236">
        <v>1823</v>
      </c>
      <c r="E2236" t="b">
        <v>0</v>
      </c>
      <c r="F2236">
        <v>320</v>
      </c>
      <c r="G2236" t="s">
        <v>29</v>
      </c>
      <c r="H2236" t="s">
        <v>792</v>
      </c>
      <c r="I2236" t="s">
        <v>2117</v>
      </c>
    </row>
    <row r="2237" spans="1:9" x14ac:dyDescent="0.35">
      <c r="A2237">
        <v>2582560</v>
      </c>
      <c r="B2237" t="s">
        <v>813</v>
      </c>
      <c r="C2237" s="1">
        <v>45519</v>
      </c>
      <c r="D2237">
        <v>1823</v>
      </c>
      <c r="E2237" t="b">
        <v>0</v>
      </c>
      <c r="F2237">
        <v>320</v>
      </c>
      <c r="G2237" t="s">
        <v>29</v>
      </c>
      <c r="H2237" t="s">
        <v>346</v>
      </c>
      <c r="I2237" t="s">
        <v>2117</v>
      </c>
    </row>
    <row r="2238" spans="1:9" x14ac:dyDescent="0.35">
      <c r="A2238">
        <v>2582560</v>
      </c>
      <c r="B2238" t="s">
        <v>813</v>
      </c>
      <c r="C2238" s="1">
        <v>45519</v>
      </c>
      <c r="D2238">
        <v>1823</v>
      </c>
      <c r="E2238" t="b">
        <v>0</v>
      </c>
      <c r="F2238">
        <v>320</v>
      </c>
      <c r="G2238" t="s">
        <v>29</v>
      </c>
      <c r="H2238" t="s">
        <v>239</v>
      </c>
      <c r="I2238" t="s">
        <v>2116</v>
      </c>
    </row>
    <row r="2239" spans="1:9" x14ac:dyDescent="0.35">
      <c r="A2239">
        <v>2582560</v>
      </c>
      <c r="B2239" t="s">
        <v>813</v>
      </c>
      <c r="C2239" s="1">
        <v>45519</v>
      </c>
      <c r="D2239">
        <v>1823</v>
      </c>
      <c r="E2239" t="b">
        <v>0</v>
      </c>
      <c r="F2239">
        <v>320</v>
      </c>
      <c r="G2239" t="s">
        <v>29</v>
      </c>
      <c r="H2239" t="s">
        <v>132</v>
      </c>
      <c r="I2239" t="s">
        <v>2117</v>
      </c>
    </row>
    <row r="2240" spans="1:9" x14ac:dyDescent="0.35">
      <c r="A2240">
        <v>2582560</v>
      </c>
      <c r="B2240" t="s">
        <v>813</v>
      </c>
      <c r="C2240" s="1">
        <v>45519</v>
      </c>
      <c r="D2240">
        <v>1823</v>
      </c>
      <c r="E2240" t="b">
        <v>0</v>
      </c>
      <c r="F2240">
        <v>320</v>
      </c>
      <c r="G2240" t="s">
        <v>29</v>
      </c>
      <c r="H2240" t="s">
        <v>124</v>
      </c>
      <c r="I2240" t="s">
        <v>2116</v>
      </c>
    </row>
    <row r="2241" spans="1:9" x14ac:dyDescent="0.35">
      <c r="A2241">
        <v>2582560</v>
      </c>
      <c r="B2241" t="s">
        <v>813</v>
      </c>
      <c r="C2241" s="1">
        <v>45519</v>
      </c>
      <c r="D2241">
        <v>1823</v>
      </c>
      <c r="E2241" t="b">
        <v>0</v>
      </c>
      <c r="F2241">
        <v>320</v>
      </c>
      <c r="G2241" t="s">
        <v>29</v>
      </c>
      <c r="H2241" t="s">
        <v>1510</v>
      </c>
      <c r="I2241" t="s">
        <v>2117</v>
      </c>
    </row>
    <row r="2242" spans="1:9" x14ac:dyDescent="0.35">
      <c r="A2242">
        <v>2909400</v>
      </c>
      <c r="B2242" t="s">
        <v>815</v>
      </c>
      <c r="C2242" s="1">
        <v>45680</v>
      </c>
      <c r="D2242">
        <v>1818</v>
      </c>
      <c r="E2242" t="b">
        <v>0</v>
      </c>
      <c r="F2242">
        <v>321</v>
      </c>
      <c r="G2242" t="s">
        <v>816</v>
      </c>
      <c r="H2242" t="s">
        <v>49</v>
      </c>
      <c r="I2242" t="s">
        <v>2116</v>
      </c>
    </row>
    <row r="2243" spans="1:9" x14ac:dyDescent="0.35">
      <c r="A2243">
        <v>2909400</v>
      </c>
      <c r="B2243" t="s">
        <v>815</v>
      </c>
      <c r="C2243" s="1">
        <v>45680</v>
      </c>
      <c r="D2243">
        <v>1818</v>
      </c>
      <c r="E2243" t="b">
        <v>0</v>
      </c>
      <c r="F2243">
        <v>321</v>
      </c>
      <c r="G2243" t="s">
        <v>816</v>
      </c>
      <c r="H2243" t="s">
        <v>792</v>
      </c>
      <c r="I2243" t="s">
        <v>2117</v>
      </c>
    </row>
    <row r="2244" spans="1:9" x14ac:dyDescent="0.35">
      <c r="A2244">
        <v>2909400</v>
      </c>
      <c r="B2244" t="s">
        <v>815</v>
      </c>
      <c r="C2244" s="1">
        <v>45680</v>
      </c>
      <c r="D2244">
        <v>1818</v>
      </c>
      <c r="E2244" t="b">
        <v>0</v>
      </c>
      <c r="F2244">
        <v>321</v>
      </c>
      <c r="G2244" t="s">
        <v>816</v>
      </c>
      <c r="H2244" t="s">
        <v>346</v>
      </c>
      <c r="I2244" t="s">
        <v>2116</v>
      </c>
    </row>
    <row r="2245" spans="1:9" x14ac:dyDescent="0.35">
      <c r="A2245">
        <v>2909400</v>
      </c>
      <c r="B2245" t="s">
        <v>815</v>
      </c>
      <c r="C2245" s="1">
        <v>45680</v>
      </c>
      <c r="D2245">
        <v>1818</v>
      </c>
      <c r="E2245" t="b">
        <v>0</v>
      </c>
      <c r="F2245">
        <v>321</v>
      </c>
      <c r="G2245" t="s">
        <v>816</v>
      </c>
      <c r="H2245" t="s">
        <v>239</v>
      </c>
      <c r="I2245" t="s">
        <v>2117</v>
      </c>
    </row>
    <row r="2246" spans="1:9" x14ac:dyDescent="0.35">
      <c r="A2246">
        <v>2909400</v>
      </c>
      <c r="B2246" t="s">
        <v>815</v>
      </c>
      <c r="C2246" s="1">
        <v>45680</v>
      </c>
      <c r="D2246">
        <v>1818</v>
      </c>
      <c r="E2246" t="b">
        <v>0</v>
      </c>
      <c r="F2246">
        <v>321</v>
      </c>
      <c r="G2246" t="s">
        <v>816</v>
      </c>
      <c r="H2246" t="s">
        <v>132</v>
      </c>
      <c r="I2246" t="s">
        <v>2116</v>
      </c>
    </row>
    <row r="2247" spans="1:9" x14ac:dyDescent="0.35">
      <c r="A2247">
        <v>2909400</v>
      </c>
      <c r="B2247" t="s">
        <v>815</v>
      </c>
      <c r="C2247" s="1">
        <v>45680</v>
      </c>
      <c r="D2247">
        <v>1818</v>
      </c>
      <c r="E2247" t="b">
        <v>0</v>
      </c>
      <c r="F2247">
        <v>321</v>
      </c>
      <c r="G2247" t="s">
        <v>816</v>
      </c>
      <c r="H2247" t="s">
        <v>124</v>
      </c>
      <c r="I2247" t="s">
        <v>2117</v>
      </c>
    </row>
    <row r="2248" spans="1:9" x14ac:dyDescent="0.35">
      <c r="A2248">
        <v>2909400</v>
      </c>
      <c r="B2248" t="s">
        <v>815</v>
      </c>
      <c r="C2248" s="1">
        <v>45680</v>
      </c>
      <c r="D2248">
        <v>1818</v>
      </c>
      <c r="E2248" t="b">
        <v>0</v>
      </c>
      <c r="F2248">
        <v>321</v>
      </c>
      <c r="G2248" t="s">
        <v>816</v>
      </c>
      <c r="H2248" t="s">
        <v>1510</v>
      </c>
      <c r="I2248" t="s">
        <v>2117</v>
      </c>
    </row>
    <row r="2249" spans="1:9" x14ac:dyDescent="0.35">
      <c r="A2249">
        <v>961200</v>
      </c>
      <c r="B2249" t="s">
        <v>817</v>
      </c>
      <c r="C2249" s="1">
        <v>45524</v>
      </c>
      <c r="D2249">
        <v>1816</v>
      </c>
      <c r="E2249" t="b">
        <v>0</v>
      </c>
      <c r="F2249">
        <v>322</v>
      </c>
      <c r="G2249" t="s">
        <v>184</v>
      </c>
      <c r="H2249" t="s">
        <v>49</v>
      </c>
      <c r="I2249" t="s">
        <v>2116</v>
      </c>
    </row>
    <row r="2250" spans="1:9" x14ac:dyDescent="0.35">
      <c r="A2250">
        <v>961200</v>
      </c>
      <c r="B2250" t="s">
        <v>817</v>
      </c>
      <c r="C2250" s="1">
        <v>45524</v>
      </c>
      <c r="D2250">
        <v>1816</v>
      </c>
      <c r="E2250" t="b">
        <v>0</v>
      </c>
      <c r="F2250">
        <v>322</v>
      </c>
      <c r="G2250" t="s">
        <v>184</v>
      </c>
      <c r="H2250" t="s">
        <v>792</v>
      </c>
      <c r="I2250" t="s">
        <v>2117</v>
      </c>
    </row>
    <row r="2251" spans="1:9" x14ac:dyDescent="0.35">
      <c r="A2251">
        <v>961200</v>
      </c>
      <c r="B2251" t="s">
        <v>817</v>
      </c>
      <c r="C2251" s="1">
        <v>45524</v>
      </c>
      <c r="D2251">
        <v>1816</v>
      </c>
      <c r="E2251" t="b">
        <v>0</v>
      </c>
      <c r="F2251">
        <v>322</v>
      </c>
      <c r="G2251" t="s">
        <v>184</v>
      </c>
      <c r="H2251" t="s">
        <v>346</v>
      </c>
      <c r="I2251" t="s">
        <v>2117</v>
      </c>
    </row>
    <row r="2252" spans="1:9" x14ac:dyDescent="0.35">
      <c r="A2252">
        <v>961200</v>
      </c>
      <c r="B2252" t="s">
        <v>817</v>
      </c>
      <c r="C2252" s="1">
        <v>45524</v>
      </c>
      <c r="D2252">
        <v>1816</v>
      </c>
      <c r="E2252" t="b">
        <v>0</v>
      </c>
      <c r="F2252">
        <v>322</v>
      </c>
      <c r="G2252" t="s">
        <v>184</v>
      </c>
      <c r="H2252" t="s">
        <v>239</v>
      </c>
      <c r="I2252" t="s">
        <v>2117</v>
      </c>
    </row>
    <row r="2253" spans="1:9" x14ac:dyDescent="0.35">
      <c r="A2253">
        <v>961200</v>
      </c>
      <c r="B2253" t="s">
        <v>817</v>
      </c>
      <c r="C2253" s="1">
        <v>45524</v>
      </c>
      <c r="D2253">
        <v>1816</v>
      </c>
      <c r="E2253" t="b">
        <v>0</v>
      </c>
      <c r="F2253">
        <v>322</v>
      </c>
      <c r="G2253" t="s">
        <v>184</v>
      </c>
      <c r="H2253" t="s">
        <v>132</v>
      </c>
      <c r="I2253" t="s">
        <v>2117</v>
      </c>
    </row>
    <row r="2254" spans="1:9" x14ac:dyDescent="0.35">
      <c r="A2254">
        <v>961200</v>
      </c>
      <c r="B2254" t="s">
        <v>817</v>
      </c>
      <c r="C2254" s="1">
        <v>45524</v>
      </c>
      <c r="D2254">
        <v>1816</v>
      </c>
      <c r="E2254" t="b">
        <v>0</v>
      </c>
      <c r="F2254">
        <v>322</v>
      </c>
      <c r="G2254" t="s">
        <v>184</v>
      </c>
      <c r="H2254" t="s">
        <v>124</v>
      </c>
      <c r="I2254" t="s">
        <v>2116</v>
      </c>
    </row>
    <row r="2255" spans="1:9" x14ac:dyDescent="0.35">
      <c r="A2255">
        <v>961200</v>
      </c>
      <c r="B2255" t="s">
        <v>817</v>
      </c>
      <c r="C2255" s="1">
        <v>45524</v>
      </c>
      <c r="D2255">
        <v>1816</v>
      </c>
      <c r="E2255" t="b">
        <v>0</v>
      </c>
      <c r="F2255">
        <v>322</v>
      </c>
      <c r="G2255" t="s">
        <v>184</v>
      </c>
      <c r="H2255" t="s">
        <v>1510</v>
      </c>
      <c r="I2255" t="s">
        <v>2116</v>
      </c>
    </row>
    <row r="2256" spans="1:9" x14ac:dyDescent="0.35">
      <c r="A2256">
        <v>2427700</v>
      </c>
      <c r="B2256" t="s">
        <v>819</v>
      </c>
      <c r="C2256" s="1">
        <v>45821</v>
      </c>
      <c r="D2256">
        <v>1806</v>
      </c>
      <c r="E2256" t="b">
        <v>0</v>
      </c>
      <c r="F2256">
        <v>324</v>
      </c>
      <c r="G2256" t="s">
        <v>53</v>
      </c>
      <c r="H2256" t="s">
        <v>49</v>
      </c>
      <c r="I2256" t="s">
        <v>2117</v>
      </c>
    </row>
    <row r="2257" spans="1:9" x14ac:dyDescent="0.35">
      <c r="A2257">
        <v>2427700</v>
      </c>
      <c r="B2257" t="s">
        <v>819</v>
      </c>
      <c r="C2257" s="1">
        <v>45821</v>
      </c>
      <c r="D2257">
        <v>1806</v>
      </c>
      <c r="E2257" t="b">
        <v>0</v>
      </c>
      <c r="F2257">
        <v>324</v>
      </c>
      <c r="G2257" t="s">
        <v>53</v>
      </c>
      <c r="H2257" t="s">
        <v>792</v>
      </c>
      <c r="I2257" t="s">
        <v>2117</v>
      </c>
    </row>
    <row r="2258" spans="1:9" x14ac:dyDescent="0.35">
      <c r="A2258">
        <v>2427700</v>
      </c>
      <c r="B2258" t="s">
        <v>819</v>
      </c>
      <c r="C2258" s="1">
        <v>45821</v>
      </c>
      <c r="D2258">
        <v>1806</v>
      </c>
      <c r="E2258" t="b">
        <v>0</v>
      </c>
      <c r="F2258">
        <v>324</v>
      </c>
      <c r="G2258" t="s">
        <v>53</v>
      </c>
      <c r="H2258" t="s">
        <v>346</v>
      </c>
      <c r="I2258" t="s">
        <v>2117</v>
      </c>
    </row>
    <row r="2259" spans="1:9" x14ac:dyDescent="0.35">
      <c r="A2259">
        <v>2427700</v>
      </c>
      <c r="B2259" t="s">
        <v>819</v>
      </c>
      <c r="C2259" s="1">
        <v>45821</v>
      </c>
      <c r="D2259">
        <v>1806</v>
      </c>
      <c r="E2259" t="b">
        <v>0</v>
      </c>
      <c r="F2259">
        <v>324</v>
      </c>
      <c r="G2259" t="s">
        <v>53</v>
      </c>
      <c r="H2259" t="s">
        <v>239</v>
      </c>
      <c r="I2259" t="s">
        <v>2117</v>
      </c>
    </row>
    <row r="2260" spans="1:9" x14ac:dyDescent="0.35">
      <c r="A2260">
        <v>2427700</v>
      </c>
      <c r="B2260" t="s">
        <v>819</v>
      </c>
      <c r="C2260" s="1">
        <v>45821</v>
      </c>
      <c r="D2260">
        <v>1806</v>
      </c>
      <c r="E2260" t="b">
        <v>0</v>
      </c>
      <c r="F2260">
        <v>324</v>
      </c>
      <c r="G2260" t="s">
        <v>53</v>
      </c>
      <c r="H2260" t="s">
        <v>132</v>
      </c>
      <c r="I2260" t="s">
        <v>2117</v>
      </c>
    </row>
    <row r="2261" spans="1:9" x14ac:dyDescent="0.35">
      <c r="A2261">
        <v>2427700</v>
      </c>
      <c r="B2261" t="s">
        <v>819</v>
      </c>
      <c r="C2261" s="1">
        <v>45821</v>
      </c>
      <c r="D2261">
        <v>1806</v>
      </c>
      <c r="E2261" t="b">
        <v>0</v>
      </c>
      <c r="F2261">
        <v>324</v>
      </c>
      <c r="G2261" t="s">
        <v>53</v>
      </c>
      <c r="H2261" t="s">
        <v>124</v>
      </c>
      <c r="I2261" t="s">
        <v>2116</v>
      </c>
    </row>
    <row r="2262" spans="1:9" x14ac:dyDescent="0.35">
      <c r="A2262">
        <v>2427700</v>
      </c>
      <c r="B2262" t="s">
        <v>819</v>
      </c>
      <c r="C2262" s="1">
        <v>45821</v>
      </c>
      <c r="D2262">
        <v>1806</v>
      </c>
      <c r="E2262" t="b">
        <v>0</v>
      </c>
      <c r="F2262">
        <v>324</v>
      </c>
      <c r="G2262" t="s">
        <v>53</v>
      </c>
      <c r="H2262" t="s">
        <v>1510</v>
      </c>
      <c r="I2262" t="s">
        <v>2117</v>
      </c>
    </row>
    <row r="2263" spans="1:9" x14ac:dyDescent="0.35">
      <c r="A2263">
        <v>2385530</v>
      </c>
      <c r="B2263" t="s">
        <v>821</v>
      </c>
      <c r="C2263" s="1">
        <v>45715</v>
      </c>
      <c r="D2263">
        <v>1789</v>
      </c>
      <c r="E2263" t="b">
        <v>0</v>
      </c>
      <c r="F2263">
        <v>325</v>
      </c>
      <c r="G2263" t="s">
        <v>147</v>
      </c>
      <c r="H2263" t="s">
        <v>49</v>
      </c>
      <c r="I2263" t="s">
        <v>2117</v>
      </c>
    </row>
    <row r="2264" spans="1:9" x14ac:dyDescent="0.35">
      <c r="A2264">
        <v>2385530</v>
      </c>
      <c r="B2264" t="s">
        <v>821</v>
      </c>
      <c r="C2264" s="1">
        <v>45715</v>
      </c>
      <c r="D2264">
        <v>1789</v>
      </c>
      <c r="E2264" t="b">
        <v>0</v>
      </c>
      <c r="F2264">
        <v>325</v>
      </c>
      <c r="G2264" t="s">
        <v>147</v>
      </c>
      <c r="H2264" t="s">
        <v>792</v>
      </c>
      <c r="I2264" t="s">
        <v>2117</v>
      </c>
    </row>
    <row r="2265" spans="1:9" x14ac:dyDescent="0.35">
      <c r="A2265">
        <v>2385530</v>
      </c>
      <c r="B2265" t="s">
        <v>821</v>
      </c>
      <c r="C2265" s="1">
        <v>45715</v>
      </c>
      <c r="D2265">
        <v>1789</v>
      </c>
      <c r="E2265" t="b">
        <v>0</v>
      </c>
      <c r="F2265">
        <v>325</v>
      </c>
      <c r="G2265" t="s">
        <v>147</v>
      </c>
      <c r="H2265" t="s">
        <v>346</v>
      </c>
      <c r="I2265" t="s">
        <v>2117</v>
      </c>
    </row>
    <row r="2266" spans="1:9" x14ac:dyDescent="0.35">
      <c r="A2266">
        <v>2385530</v>
      </c>
      <c r="B2266" t="s">
        <v>821</v>
      </c>
      <c r="C2266" s="1">
        <v>45715</v>
      </c>
      <c r="D2266">
        <v>1789</v>
      </c>
      <c r="E2266" t="b">
        <v>0</v>
      </c>
      <c r="F2266">
        <v>325</v>
      </c>
      <c r="G2266" t="s">
        <v>147</v>
      </c>
      <c r="H2266" t="s">
        <v>239</v>
      </c>
      <c r="I2266" t="s">
        <v>2116</v>
      </c>
    </row>
    <row r="2267" spans="1:9" x14ac:dyDescent="0.35">
      <c r="A2267">
        <v>2385530</v>
      </c>
      <c r="B2267" t="s">
        <v>821</v>
      </c>
      <c r="C2267" s="1">
        <v>45715</v>
      </c>
      <c r="D2267">
        <v>1789</v>
      </c>
      <c r="E2267" t="b">
        <v>0</v>
      </c>
      <c r="F2267">
        <v>325</v>
      </c>
      <c r="G2267" t="s">
        <v>147</v>
      </c>
      <c r="H2267" t="s">
        <v>132</v>
      </c>
      <c r="I2267" t="s">
        <v>2116</v>
      </c>
    </row>
    <row r="2268" spans="1:9" x14ac:dyDescent="0.35">
      <c r="A2268">
        <v>2385530</v>
      </c>
      <c r="B2268" t="s">
        <v>821</v>
      </c>
      <c r="C2268" s="1">
        <v>45715</v>
      </c>
      <c r="D2268">
        <v>1789</v>
      </c>
      <c r="E2268" t="b">
        <v>0</v>
      </c>
      <c r="F2268">
        <v>325</v>
      </c>
      <c r="G2268" t="s">
        <v>147</v>
      </c>
      <c r="H2268" t="s">
        <v>124</v>
      </c>
      <c r="I2268" t="s">
        <v>2117</v>
      </c>
    </row>
    <row r="2269" spans="1:9" x14ac:dyDescent="0.35">
      <c r="A2269">
        <v>2385530</v>
      </c>
      <c r="B2269" t="s">
        <v>821</v>
      </c>
      <c r="C2269" s="1">
        <v>45715</v>
      </c>
      <c r="D2269">
        <v>1789</v>
      </c>
      <c r="E2269" t="b">
        <v>0</v>
      </c>
      <c r="F2269">
        <v>325</v>
      </c>
      <c r="G2269" t="s">
        <v>147</v>
      </c>
      <c r="H2269" t="s">
        <v>1510</v>
      </c>
      <c r="I2269" t="s">
        <v>2117</v>
      </c>
    </row>
    <row r="2270" spans="1:9" x14ac:dyDescent="0.35">
      <c r="A2270">
        <v>1013320</v>
      </c>
      <c r="B2270" t="s">
        <v>824</v>
      </c>
      <c r="C2270" s="1">
        <v>45383</v>
      </c>
      <c r="D2270">
        <v>1785</v>
      </c>
      <c r="E2270" t="b">
        <v>1</v>
      </c>
      <c r="F2270">
        <v>326</v>
      </c>
      <c r="G2270" t="s">
        <v>14</v>
      </c>
      <c r="H2270" t="s">
        <v>49</v>
      </c>
      <c r="I2270" t="s">
        <v>2117</v>
      </c>
    </row>
    <row r="2271" spans="1:9" x14ac:dyDescent="0.35">
      <c r="A2271">
        <v>1013320</v>
      </c>
      <c r="B2271" t="s">
        <v>824</v>
      </c>
      <c r="C2271" s="1">
        <v>45383</v>
      </c>
      <c r="D2271">
        <v>1785</v>
      </c>
      <c r="E2271" t="b">
        <v>1</v>
      </c>
      <c r="F2271">
        <v>326</v>
      </c>
      <c r="G2271" t="s">
        <v>14</v>
      </c>
      <c r="H2271" t="s">
        <v>792</v>
      </c>
      <c r="I2271" t="s">
        <v>2116</v>
      </c>
    </row>
    <row r="2272" spans="1:9" x14ac:dyDescent="0.35">
      <c r="A2272">
        <v>1013320</v>
      </c>
      <c r="B2272" t="s">
        <v>824</v>
      </c>
      <c r="C2272" s="1">
        <v>45383</v>
      </c>
      <c r="D2272">
        <v>1785</v>
      </c>
      <c r="E2272" t="b">
        <v>1</v>
      </c>
      <c r="F2272">
        <v>326</v>
      </c>
      <c r="G2272" t="s">
        <v>14</v>
      </c>
      <c r="H2272" t="s">
        <v>346</v>
      </c>
      <c r="I2272" t="s">
        <v>2117</v>
      </c>
    </row>
    <row r="2273" spans="1:9" x14ac:dyDescent="0.35">
      <c r="A2273">
        <v>1013320</v>
      </c>
      <c r="B2273" t="s">
        <v>824</v>
      </c>
      <c r="C2273" s="1">
        <v>45383</v>
      </c>
      <c r="D2273">
        <v>1785</v>
      </c>
      <c r="E2273" t="b">
        <v>1</v>
      </c>
      <c r="F2273">
        <v>326</v>
      </c>
      <c r="G2273" t="s">
        <v>14</v>
      </c>
      <c r="H2273" t="s">
        <v>239</v>
      </c>
      <c r="I2273" t="s">
        <v>2117</v>
      </c>
    </row>
    <row r="2274" spans="1:9" x14ac:dyDescent="0.35">
      <c r="A2274">
        <v>1013320</v>
      </c>
      <c r="B2274" t="s">
        <v>824</v>
      </c>
      <c r="C2274" s="1">
        <v>45383</v>
      </c>
      <c r="D2274">
        <v>1785</v>
      </c>
      <c r="E2274" t="b">
        <v>1</v>
      </c>
      <c r="F2274">
        <v>326</v>
      </c>
      <c r="G2274" t="s">
        <v>14</v>
      </c>
      <c r="H2274" t="s">
        <v>132</v>
      </c>
      <c r="I2274" t="s">
        <v>2116</v>
      </c>
    </row>
    <row r="2275" spans="1:9" x14ac:dyDescent="0.35">
      <c r="A2275">
        <v>1013320</v>
      </c>
      <c r="B2275" t="s">
        <v>824</v>
      </c>
      <c r="C2275" s="1">
        <v>45383</v>
      </c>
      <c r="D2275">
        <v>1785</v>
      </c>
      <c r="E2275" t="b">
        <v>1</v>
      </c>
      <c r="F2275">
        <v>326</v>
      </c>
      <c r="G2275" t="s">
        <v>14</v>
      </c>
      <c r="H2275" t="s">
        <v>124</v>
      </c>
      <c r="I2275" t="s">
        <v>2117</v>
      </c>
    </row>
    <row r="2276" spans="1:9" x14ac:dyDescent="0.35">
      <c r="A2276">
        <v>1013320</v>
      </c>
      <c r="B2276" t="s">
        <v>824</v>
      </c>
      <c r="C2276" s="1">
        <v>45383</v>
      </c>
      <c r="D2276">
        <v>1785</v>
      </c>
      <c r="E2276" t="b">
        <v>1</v>
      </c>
      <c r="F2276">
        <v>326</v>
      </c>
      <c r="G2276" t="s">
        <v>14</v>
      </c>
      <c r="H2276" t="s">
        <v>1510</v>
      </c>
      <c r="I2276" t="s">
        <v>2116</v>
      </c>
    </row>
    <row r="2277" spans="1:9" x14ac:dyDescent="0.35">
      <c r="A2277">
        <v>1943950</v>
      </c>
      <c r="B2277" t="s">
        <v>827</v>
      </c>
      <c r="C2277" s="1">
        <v>45953</v>
      </c>
      <c r="D2277">
        <v>1756</v>
      </c>
      <c r="E2277" t="b">
        <v>0</v>
      </c>
      <c r="F2277">
        <v>327</v>
      </c>
      <c r="G2277" t="s">
        <v>36</v>
      </c>
      <c r="H2277" t="s">
        <v>49</v>
      </c>
      <c r="I2277" t="s">
        <v>2116</v>
      </c>
    </row>
    <row r="2278" spans="1:9" x14ac:dyDescent="0.35">
      <c r="A2278">
        <v>1943950</v>
      </c>
      <c r="B2278" t="s">
        <v>827</v>
      </c>
      <c r="C2278" s="1">
        <v>45953</v>
      </c>
      <c r="D2278">
        <v>1756</v>
      </c>
      <c r="E2278" t="b">
        <v>0</v>
      </c>
      <c r="F2278">
        <v>327</v>
      </c>
      <c r="G2278" t="s">
        <v>36</v>
      </c>
      <c r="H2278" t="s">
        <v>792</v>
      </c>
      <c r="I2278" t="s">
        <v>2116</v>
      </c>
    </row>
    <row r="2279" spans="1:9" x14ac:dyDescent="0.35">
      <c r="A2279">
        <v>1943950</v>
      </c>
      <c r="B2279" t="s">
        <v>827</v>
      </c>
      <c r="C2279" s="1">
        <v>45953</v>
      </c>
      <c r="D2279">
        <v>1756</v>
      </c>
      <c r="E2279" t="b">
        <v>0</v>
      </c>
      <c r="F2279">
        <v>327</v>
      </c>
      <c r="G2279" t="s">
        <v>36</v>
      </c>
      <c r="H2279" t="s">
        <v>346</v>
      </c>
      <c r="I2279" t="s">
        <v>2117</v>
      </c>
    </row>
    <row r="2280" spans="1:9" x14ac:dyDescent="0.35">
      <c r="A2280">
        <v>1943950</v>
      </c>
      <c r="B2280" t="s">
        <v>827</v>
      </c>
      <c r="C2280" s="1">
        <v>45953</v>
      </c>
      <c r="D2280">
        <v>1756</v>
      </c>
      <c r="E2280" t="b">
        <v>0</v>
      </c>
      <c r="F2280">
        <v>327</v>
      </c>
      <c r="G2280" t="s">
        <v>36</v>
      </c>
      <c r="H2280" t="s">
        <v>239</v>
      </c>
      <c r="I2280" t="s">
        <v>2117</v>
      </c>
    </row>
    <row r="2281" spans="1:9" x14ac:dyDescent="0.35">
      <c r="A2281">
        <v>1943950</v>
      </c>
      <c r="B2281" t="s">
        <v>827</v>
      </c>
      <c r="C2281" s="1">
        <v>45953</v>
      </c>
      <c r="D2281">
        <v>1756</v>
      </c>
      <c r="E2281" t="b">
        <v>0</v>
      </c>
      <c r="F2281">
        <v>327</v>
      </c>
      <c r="G2281" t="s">
        <v>36</v>
      </c>
      <c r="H2281" t="s">
        <v>132</v>
      </c>
      <c r="I2281" t="s">
        <v>2117</v>
      </c>
    </row>
    <row r="2282" spans="1:9" x14ac:dyDescent="0.35">
      <c r="A2282">
        <v>1943950</v>
      </c>
      <c r="B2282" t="s">
        <v>827</v>
      </c>
      <c r="C2282" s="1">
        <v>45953</v>
      </c>
      <c r="D2282">
        <v>1756</v>
      </c>
      <c r="E2282" t="b">
        <v>0</v>
      </c>
      <c r="F2282">
        <v>327</v>
      </c>
      <c r="G2282" t="s">
        <v>36</v>
      </c>
      <c r="H2282" t="s">
        <v>124</v>
      </c>
      <c r="I2282" t="s">
        <v>2117</v>
      </c>
    </row>
    <row r="2283" spans="1:9" x14ac:dyDescent="0.35">
      <c r="A2283">
        <v>1943950</v>
      </c>
      <c r="B2283" t="s">
        <v>827</v>
      </c>
      <c r="C2283" s="1">
        <v>45953</v>
      </c>
      <c r="D2283">
        <v>1756</v>
      </c>
      <c r="E2283" t="b">
        <v>0</v>
      </c>
      <c r="F2283">
        <v>327</v>
      </c>
      <c r="G2283" t="s">
        <v>36</v>
      </c>
      <c r="H2283" t="s">
        <v>1510</v>
      </c>
      <c r="I2283" t="s">
        <v>2117</v>
      </c>
    </row>
    <row r="2284" spans="1:9" x14ac:dyDescent="0.35">
      <c r="A2284">
        <v>2679460</v>
      </c>
      <c r="B2284" t="s">
        <v>829</v>
      </c>
      <c r="C2284" s="1">
        <v>45575</v>
      </c>
      <c r="D2284">
        <v>1753</v>
      </c>
      <c r="E2284" t="b">
        <v>0</v>
      </c>
      <c r="F2284">
        <v>328</v>
      </c>
      <c r="G2284" t="s">
        <v>33</v>
      </c>
      <c r="H2284" t="s">
        <v>49</v>
      </c>
      <c r="I2284" t="s">
        <v>2116</v>
      </c>
    </row>
    <row r="2285" spans="1:9" x14ac:dyDescent="0.35">
      <c r="A2285">
        <v>2679460</v>
      </c>
      <c r="B2285" t="s">
        <v>829</v>
      </c>
      <c r="C2285" s="1">
        <v>45575</v>
      </c>
      <c r="D2285">
        <v>1753</v>
      </c>
      <c r="E2285" t="b">
        <v>0</v>
      </c>
      <c r="F2285">
        <v>328</v>
      </c>
      <c r="G2285" t="s">
        <v>33</v>
      </c>
      <c r="H2285" t="s">
        <v>792</v>
      </c>
      <c r="I2285" t="s">
        <v>2117</v>
      </c>
    </row>
    <row r="2286" spans="1:9" x14ac:dyDescent="0.35">
      <c r="A2286">
        <v>2679460</v>
      </c>
      <c r="B2286" t="s">
        <v>829</v>
      </c>
      <c r="C2286" s="1">
        <v>45575</v>
      </c>
      <c r="D2286">
        <v>1753</v>
      </c>
      <c r="E2286" t="b">
        <v>0</v>
      </c>
      <c r="F2286">
        <v>328</v>
      </c>
      <c r="G2286" t="s">
        <v>33</v>
      </c>
      <c r="H2286" t="s">
        <v>346</v>
      </c>
      <c r="I2286" t="s">
        <v>2116</v>
      </c>
    </row>
    <row r="2287" spans="1:9" x14ac:dyDescent="0.35">
      <c r="A2287">
        <v>2679460</v>
      </c>
      <c r="B2287" t="s">
        <v>829</v>
      </c>
      <c r="C2287" s="1">
        <v>45575</v>
      </c>
      <c r="D2287">
        <v>1753</v>
      </c>
      <c r="E2287" t="b">
        <v>0</v>
      </c>
      <c r="F2287">
        <v>328</v>
      </c>
      <c r="G2287" t="s">
        <v>33</v>
      </c>
      <c r="H2287" t="s">
        <v>239</v>
      </c>
      <c r="I2287" t="s">
        <v>2117</v>
      </c>
    </row>
    <row r="2288" spans="1:9" x14ac:dyDescent="0.35">
      <c r="A2288">
        <v>2679460</v>
      </c>
      <c r="B2288" t="s">
        <v>829</v>
      </c>
      <c r="C2288" s="1">
        <v>45575</v>
      </c>
      <c r="D2288">
        <v>1753</v>
      </c>
      <c r="E2288" t="b">
        <v>0</v>
      </c>
      <c r="F2288">
        <v>328</v>
      </c>
      <c r="G2288" t="s">
        <v>33</v>
      </c>
      <c r="H2288" t="s">
        <v>132</v>
      </c>
      <c r="I2288" t="s">
        <v>2116</v>
      </c>
    </row>
    <row r="2289" spans="1:9" x14ac:dyDescent="0.35">
      <c r="A2289">
        <v>2679460</v>
      </c>
      <c r="B2289" t="s">
        <v>829</v>
      </c>
      <c r="C2289" s="1">
        <v>45575</v>
      </c>
      <c r="D2289">
        <v>1753</v>
      </c>
      <c r="E2289" t="b">
        <v>0</v>
      </c>
      <c r="F2289">
        <v>328</v>
      </c>
      <c r="G2289" t="s">
        <v>33</v>
      </c>
      <c r="H2289" t="s">
        <v>124</v>
      </c>
      <c r="I2289" t="s">
        <v>2117</v>
      </c>
    </row>
    <row r="2290" spans="1:9" x14ac:dyDescent="0.35">
      <c r="A2290">
        <v>2679460</v>
      </c>
      <c r="B2290" t="s">
        <v>829</v>
      </c>
      <c r="C2290" s="1">
        <v>45575</v>
      </c>
      <c r="D2290">
        <v>1753</v>
      </c>
      <c r="E2290" t="b">
        <v>0</v>
      </c>
      <c r="F2290">
        <v>328</v>
      </c>
      <c r="G2290" t="s">
        <v>33</v>
      </c>
      <c r="H2290" t="s">
        <v>1510</v>
      </c>
      <c r="I2290" t="s">
        <v>2117</v>
      </c>
    </row>
    <row r="2291" spans="1:9" x14ac:dyDescent="0.35">
      <c r="A2291">
        <v>669330</v>
      </c>
      <c r="B2291" t="s">
        <v>831</v>
      </c>
      <c r="C2291" s="1">
        <v>45561</v>
      </c>
      <c r="D2291">
        <v>1748</v>
      </c>
      <c r="E2291" t="b">
        <v>0</v>
      </c>
      <c r="F2291">
        <v>329</v>
      </c>
      <c r="G2291" t="s">
        <v>833</v>
      </c>
      <c r="H2291" t="s">
        <v>49</v>
      </c>
      <c r="I2291" t="s">
        <v>2116</v>
      </c>
    </row>
    <row r="2292" spans="1:9" x14ac:dyDescent="0.35">
      <c r="A2292">
        <v>669330</v>
      </c>
      <c r="B2292" t="s">
        <v>831</v>
      </c>
      <c r="C2292" s="1">
        <v>45561</v>
      </c>
      <c r="D2292">
        <v>1748</v>
      </c>
      <c r="E2292" t="b">
        <v>0</v>
      </c>
      <c r="F2292">
        <v>329</v>
      </c>
      <c r="G2292" t="s">
        <v>833</v>
      </c>
      <c r="H2292" t="s">
        <v>792</v>
      </c>
      <c r="I2292" t="s">
        <v>2116</v>
      </c>
    </row>
    <row r="2293" spans="1:9" x14ac:dyDescent="0.35">
      <c r="A2293">
        <v>669330</v>
      </c>
      <c r="B2293" t="s">
        <v>831</v>
      </c>
      <c r="C2293" s="1">
        <v>45561</v>
      </c>
      <c r="D2293">
        <v>1748</v>
      </c>
      <c r="E2293" t="b">
        <v>0</v>
      </c>
      <c r="F2293">
        <v>329</v>
      </c>
      <c r="G2293" t="s">
        <v>833</v>
      </c>
      <c r="H2293" t="s">
        <v>346</v>
      </c>
      <c r="I2293" t="s">
        <v>2117</v>
      </c>
    </row>
    <row r="2294" spans="1:9" x14ac:dyDescent="0.35">
      <c r="A2294">
        <v>669330</v>
      </c>
      <c r="B2294" t="s">
        <v>831</v>
      </c>
      <c r="C2294" s="1">
        <v>45561</v>
      </c>
      <c r="D2294">
        <v>1748</v>
      </c>
      <c r="E2294" t="b">
        <v>0</v>
      </c>
      <c r="F2294">
        <v>329</v>
      </c>
      <c r="G2294" t="s">
        <v>833</v>
      </c>
      <c r="H2294" t="s">
        <v>239</v>
      </c>
      <c r="I2294" t="s">
        <v>2116</v>
      </c>
    </row>
    <row r="2295" spans="1:9" x14ac:dyDescent="0.35">
      <c r="A2295">
        <v>669330</v>
      </c>
      <c r="B2295" t="s">
        <v>831</v>
      </c>
      <c r="C2295" s="1">
        <v>45561</v>
      </c>
      <c r="D2295">
        <v>1748</v>
      </c>
      <c r="E2295" t="b">
        <v>0</v>
      </c>
      <c r="F2295">
        <v>329</v>
      </c>
      <c r="G2295" t="s">
        <v>833</v>
      </c>
      <c r="H2295" t="s">
        <v>132</v>
      </c>
      <c r="I2295" t="s">
        <v>2117</v>
      </c>
    </row>
    <row r="2296" spans="1:9" x14ac:dyDescent="0.35">
      <c r="A2296">
        <v>669330</v>
      </c>
      <c r="B2296" t="s">
        <v>831</v>
      </c>
      <c r="C2296" s="1">
        <v>45561</v>
      </c>
      <c r="D2296">
        <v>1748</v>
      </c>
      <c r="E2296" t="b">
        <v>0</v>
      </c>
      <c r="F2296">
        <v>329</v>
      </c>
      <c r="G2296" t="s">
        <v>833</v>
      </c>
      <c r="H2296" t="s">
        <v>124</v>
      </c>
      <c r="I2296" t="s">
        <v>2116</v>
      </c>
    </row>
    <row r="2297" spans="1:9" x14ac:dyDescent="0.35">
      <c r="A2297">
        <v>669330</v>
      </c>
      <c r="B2297" t="s">
        <v>831</v>
      </c>
      <c r="C2297" s="1">
        <v>45561</v>
      </c>
      <c r="D2297">
        <v>1748</v>
      </c>
      <c r="E2297" t="b">
        <v>0</v>
      </c>
      <c r="F2297">
        <v>329</v>
      </c>
      <c r="G2297" t="s">
        <v>833</v>
      </c>
      <c r="H2297" t="s">
        <v>1510</v>
      </c>
      <c r="I2297" t="s">
        <v>2117</v>
      </c>
    </row>
    <row r="2298" spans="1:9" x14ac:dyDescent="0.35">
      <c r="A2298">
        <v>2113850</v>
      </c>
      <c r="B2298" t="s">
        <v>834</v>
      </c>
      <c r="C2298" s="1">
        <v>45390</v>
      </c>
      <c r="D2298">
        <v>1742</v>
      </c>
      <c r="E2298" t="b">
        <v>1</v>
      </c>
      <c r="F2298">
        <v>330</v>
      </c>
      <c r="G2298" t="s">
        <v>53</v>
      </c>
      <c r="H2298" t="s">
        <v>49</v>
      </c>
      <c r="I2298" t="s">
        <v>2117</v>
      </c>
    </row>
    <row r="2299" spans="1:9" x14ac:dyDescent="0.35">
      <c r="A2299">
        <v>2113850</v>
      </c>
      <c r="B2299" t="s">
        <v>834</v>
      </c>
      <c r="C2299" s="1">
        <v>45390</v>
      </c>
      <c r="D2299">
        <v>1742</v>
      </c>
      <c r="E2299" t="b">
        <v>1</v>
      </c>
      <c r="F2299">
        <v>330</v>
      </c>
      <c r="G2299" t="s">
        <v>53</v>
      </c>
      <c r="H2299" t="s">
        <v>792</v>
      </c>
      <c r="I2299" t="s">
        <v>2116</v>
      </c>
    </row>
    <row r="2300" spans="1:9" x14ac:dyDescent="0.35">
      <c r="A2300">
        <v>2113850</v>
      </c>
      <c r="B2300" t="s">
        <v>834</v>
      </c>
      <c r="C2300" s="1">
        <v>45390</v>
      </c>
      <c r="D2300">
        <v>1742</v>
      </c>
      <c r="E2300" t="b">
        <v>1</v>
      </c>
      <c r="F2300">
        <v>330</v>
      </c>
      <c r="G2300" t="s">
        <v>53</v>
      </c>
      <c r="H2300" t="s">
        <v>346</v>
      </c>
      <c r="I2300" t="s">
        <v>2117</v>
      </c>
    </row>
    <row r="2301" spans="1:9" x14ac:dyDescent="0.35">
      <c r="A2301">
        <v>2113850</v>
      </c>
      <c r="B2301" t="s">
        <v>834</v>
      </c>
      <c r="C2301" s="1">
        <v>45390</v>
      </c>
      <c r="D2301">
        <v>1742</v>
      </c>
      <c r="E2301" t="b">
        <v>1</v>
      </c>
      <c r="F2301">
        <v>330</v>
      </c>
      <c r="G2301" t="s">
        <v>53</v>
      </c>
      <c r="H2301" t="s">
        <v>239</v>
      </c>
      <c r="I2301" t="s">
        <v>2116</v>
      </c>
    </row>
    <row r="2302" spans="1:9" x14ac:dyDescent="0.35">
      <c r="A2302">
        <v>2113850</v>
      </c>
      <c r="B2302" t="s">
        <v>834</v>
      </c>
      <c r="C2302" s="1">
        <v>45390</v>
      </c>
      <c r="D2302">
        <v>1742</v>
      </c>
      <c r="E2302" t="b">
        <v>1</v>
      </c>
      <c r="F2302">
        <v>330</v>
      </c>
      <c r="G2302" t="s">
        <v>53</v>
      </c>
      <c r="H2302" t="s">
        <v>132</v>
      </c>
      <c r="I2302" t="s">
        <v>2117</v>
      </c>
    </row>
    <row r="2303" spans="1:9" x14ac:dyDescent="0.35">
      <c r="A2303">
        <v>2113850</v>
      </c>
      <c r="B2303" t="s">
        <v>834</v>
      </c>
      <c r="C2303" s="1">
        <v>45390</v>
      </c>
      <c r="D2303">
        <v>1742</v>
      </c>
      <c r="E2303" t="b">
        <v>1</v>
      </c>
      <c r="F2303">
        <v>330</v>
      </c>
      <c r="G2303" t="s">
        <v>53</v>
      </c>
      <c r="H2303" t="s">
        <v>124</v>
      </c>
      <c r="I2303" t="s">
        <v>2117</v>
      </c>
    </row>
    <row r="2304" spans="1:9" x14ac:dyDescent="0.35">
      <c r="A2304">
        <v>2113850</v>
      </c>
      <c r="B2304" t="s">
        <v>834</v>
      </c>
      <c r="C2304" s="1">
        <v>45390</v>
      </c>
      <c r="D2304">
        <v>1742</v>
      </c>
      <c r="E2304" t="b">
        <v>1</v>
      </c>
      <c r="F2304">
        <v>330</v>
      </c>
      <c r="G2304" t="s">
        <v>53</v>
      </c>
      <c r="H2304" t="s">
        <v>1510</v>
      </c>
      <c r="I2304" t="s">
        <v>2117</v>
      </c>
    </row>
    <row r="2305" spans="1:9" x14ac:dyDescent="0.35">
      <c r="A2305">
        <v>1569040</v>
      </c>
      <c r="B2305" t="s">
        <v>836</v>
      </c>
      <c r="C2305" s="1">
        <v>44509</v>
      </c>
      <c r="D2305">
        <v>1742</v>
      </c>
      <c r="E2305" t="b">
        <v>1</v>
      </c>
      <c r="F2305">
        <v>330</v>
      </c>
      <c r="G2305" t="s">
        <v>161</v>
      </c>
      <c r="H2305" t="s">
        <v>49</v>
      </c>
      <c r="I2305" t="s">
        <v>2117</v>
      </c>
    </row>
    <row r="2306" spans="1:9" x14ac:dyDescent="0.35">
      <c r="A2306">
        <v>1569040</v>
      </c>
      <c r="B2306" t="s">
        <v>836</v>
      </c>
      <c r="C2306" s="1">
        <v>44509</v>
      </c>
      <c r="D2306">
        <v>1742</v>
      </c>
      <c r="E2306" t="b">
        <v>1</v>
      </c>
      <c r="F2306">
        <v>330</v>
      </c>
      <c r="G2306" t="s">
        <v>161</v>
      </c>
      <c r="H2306" t="s">
        <v>792</v>
      </c>
      <c r="I2306" t="s">
        <v>2117</v>
      </c>
    </row>
    <row r="2307" spans="1:9" x14ac:dyDescent="0.35">
      <c r="A2307">
        <v>1569040</v>
      </c>
      <c r="B2307" t="s">
        <v>836</v>
      </c>
      <c r="C2307" s="1">
        <v>44509</v>
      </c>
      <c r="D2307">
        <v>1742</v>
      </c>
      <c r="E2307" t="b">
        <v>1</v>
      </c>
      <c r="F2307">
        <v>330</v>
      </c>
      <c r="G2307" t="s">
        <v>161</v>
      </c>
      <c r="H2307" t="s">
        <v>346</v>
      </c>
      <c r="I2307" t="s">
        <v>2117</v>
      </c>
    </row>
    <row r="2308" spans="1:9" x14ac:dyDescent="0.35">
      <c r="A2308">
        <v>1569040</v>
      </c>
      <c r="B2308" t="s">
        <v>836</v>
      </c>
      <c r="C2308" s="1">
        <v>44509</v>
      </c>
      <c r="D2308">
        <v>1742</v>
      </c>
      <c r="E2308" t="b">
        <v>1</v>
      </c>
      <c r="F2308">
        <v>330</v>
      </c>
      <c r="G2308" t="s">
        <v>161</v>
      </c>
      <c r="H2308" t="s">
        <v>239</v>
      </c>
      <c r="I2308" t="s">
        <v>2116</v>
      </c>
    </row>
    <row r="2309" spans="1:9" x14ac:dyDescent="0.35">
      <c r="A2309">
        <v>1569040</v>
      </c>
      <c r="B2309" t="s">
        <v>836</v>
      </c>
      <c r="C2309" s="1">
        <v>44509</v>
      </c>
      <c r="D2309">
        <v>1742</v>
      </c>
      <c r="E2309" t="b">
        <v>1</v>
      </c>
      <c r="F2309">
        <v>330</v>
      </c>
      <c r="G2309" t="s">
        <v>161</v>
      </c>
      <c r="H2309" t="s">
        <v>132</v>
      </c>
      <c r="I2309" t="s">
        <v>2117</v>
      </c>
    </row>
    <row r="2310" spans="1:9" x14ac:dyDescent="0.35">
      <c r="A2310">
        <v>1569040</v>
      </c>
      <c r="B2310" t="s">
        <v>836</v>
      </c>
      <c r="C2310" s="1">
        <v>44509</v>
      </c>
      <c r="D2310">
        <v>1742</v>
      </c>
      <c r="E2310" t="b">
        <v>1</v>
      </c>
      <c r="F2310">
        <v>330</v>
      </c>
      <c r="G2310" t="s">
        <v>161</v>
      </c>
      <c r="H2310" t="s">
        <v>124</v>
      </c>
      <c r="I2310" t="s">
        <v>2117</v>
      </c>
    </row>
    <row r="2311" spans="1:9" x14ac:dyDescent="0.35">
      <c r="A2311">
        <v>1569040</v>
      </c>
      <c r="B2311" t="s">
        <v>836</v>
      </c>
      <c r="C2311" s="1">
        <v>44509</v>
      </c>
      <c r="D2311">
        <v>1742</v>
      </c>
      <c r="E2311" t="b">
        <v>1</v>
      </c>
      <c r="F2311">
        <v>330</v>
      </c>
      <c r="G2311" t="s">
        <v>161</v>
      </c>
      <c r="H2311" t="s">
        <v>1510</v>
      </c>
      <c r="I2311" t="s">
        <v>2117</v>
      </c>
    </row>
    <row r="2312" spans="1:9" x14ac:dyDescent="0.35">
      <c r="A2312">
        <v>2157560</v>
      </c>
      <c r="B2312" t="s">
        <v>837</v>
      </c>
      <c r="C2312" s="1">
        <v>45273</v>
      </c>
      <c r="D2312">
        <v>1736</v>
      </c>
      <c r="E2312" t="b">
        <v>0</v>
      </c>
      <c r="F2312">
        <v>332</v>
      </c>
      <c r="G2312" t="s">
        <v>133</v>
      </c>
      <c r="H2312" t="s">
        <v>49</v>
      </c>
      <c r="I2312" t="s">
        <v>2116</v>
      </c>
    </row>
    <row r="2313" spans="1:9" x14ac:dyDescent="0.35">
      <c r="A2313">
        <v>2157560</v>
      </c>
      <c r="B2313" t="s">
        <v>837</v>
      </c>
      <c r="C2313" s="1">
        <v>45273</v>
      </c>
      <c r="D2313">
        <v>1736</v>
      </c>
      <c r="E2313" t="b">
        <v>0</v>
      </c>
      <c r="F2313">
        <v>332</v>
      </c>
      <c r="G2313" t="s">
        <v>133</v>
      </c>
      <c r="H2313" t="s">
        <v>792</v>
      </c>
      <c r="I2313" t="s">
        <v>2117</v>
      </c>
    </row>
    <row r="2314" spans="1:9" x14ac:dyDescent="0.35">
      <c r="A2314">
        <v>2157560</v>
      </c>
      <c r="B2314" t="s">
        <v>837</v>
      </c>
      <c r="C2314" s="1">
        <v>45273</v>
      </c>
      <c r="D2314">
        <v>1736</v>
      </c>
      <c r="E2314" t="b">
        <v>0</v>
      </c>
      <c r="F2314">
        <v>332</v>
      </c>
      <c r="G2314" t="s">
        <v>133</v>
      </c>
      <c r="H2314" t="s">
        <v>346</v>
      </c>
      <c r="I2314" t="s">
        <v>2117</v>
      </c>
    </row>
    <row r="2315" spans="1:9" x14ac:dyDescent="0.35">
      <c r="A2315">
        <v>2157560</v>
      </c>
      <c r="B2315" t="s">
        <v>837</v>
      </c>
      <c r="C2315" s="1">
        <v>45273</v>
      </c>
      <c r="D2315">
        <v>1736</v>
      </c>
      <c r="E2315" t="b">
        <v>0</v>
      </c>
      <c r="F2315">
        <v>332</v>
      </c>
      <c r="G2315" t="s">
        <v>133</v>
      </c>
      <c r="H2315" t="s">
        <v>239</v>
      </c>
      <c r="I2315" t="s">
        <v>2117</v>
      </c>
    </row>
    <row r="2316" spans="1:9" x14ac:dyDescent="0.35">
      <c r="A2316">
        <v>2157560</v>
      </c>
      <c r="B2316" t="s">
        <v>837</v>
      </c>
      <c r="C2316" s="1">
        <v>45273</v>
      </c>
      <c r="D2316">
        <v>1736</v>
      </c>
      <c r="E2316" t="b">
        <v>0</v>
      </c>
      <c r="F2316">
        <v>332</v>
      </c>
      <c r="G2316" t="s">
        <v>133</v>
      </c>
      <c r="H2316" t="s">
        <v>132</v>
      </c>
      <c r="I2316" t="s">
        <v>2117</v>
      </c>
    </row>
    <row r="2317" spans="1:9" x14ac:dyDescent="0.35">
      <c r="A2317">
        <v>2157560</v>
      </c>
      <c r="B2317" t="s">
        <v>837</v>
      </c>
      <c r="C2317" s="1">
        <v>45273</v>
      </c>
      <c r="D2317">
        <v>1736</v>
      </c>
      <c r="E2317" t="b">
        <v>0</v>
      </c>
      <c r="F2317">
        <v>332</v>
      </c>
      <c r="G2317" t="s">
        <v>133</v>
      </c>
      <c r="H2317" t="s">
        <v>124</v>
      </c>
      <c r="I2317" t="s">
        <v>2117</v>
      </c>
    </row>
    <row r="2318" spans="1:9" x14ac:dyDescent="0.35">
      <c r="A2318">
        <v>2157560</v>
      </c>
      <c r="B2318" t="s">
        <v>837</v>
      </c>
      <c r="C2318" s="1">
        <v>45273</v>
      </c>
      <c r="D2318">
        <v>1736</v>
      </c>
      <c r="E2318" t="b">
        <v>0</v>
      </c>
      <c r="F2318">
        <v>332</v>
      </c>
      <c r="G2318" t="s">
        <v>133</v>
      </c>
      <c r="H2318" t="s">
        <v>1510</v>
      </c>
      <c r="I2318" t="s">
        <v>2117</v>
      </c>
    </row>
    <row r="2319" spans="1:9" x14ac:dyDescent="0.35">
      <c r="A2319">
        <v>824270</v>
      </c>
      <c r="B2319" t="s">
        <v>839</v>
      </c>
      <c r="C2319" s="1">
        <v>43193</v>
      </c>
      <c r="D2319">
        <v>1719</v>
      </c>
      <c r="E2319" t="b">
        <v>0</v>
      </c>
      <c r="F2319">
        <v>333</v>
      </c>
      <c r="G2319" t="s">
        <v>40</v>
      </c>
      <c r="H2319" t="s">
        <v>49</v>
      </c>
      <c r="I2319" t="s">
        <v>2116</v>
      </c>
    </row>
    <row r="2320" spans="1:9" x14ac:dyDescent="0.35">
      <c r="A2320">
        <v>824270</v>
      </c>
      <c r="B2320" t="s">
        <v>839</v>
      </c>
      <c r="C2320" s="1">
        <v>43193</v>
      </c>
      <c r="D2320">
        <v>1719</v>
      </c>
      <c r="E2320" t="b">
        <v>0</v>
      </c>
      <c r="F2320">
        <v>333</v>
      </c>
      <c r="G2320" t="s">
        <v>40</v>
      </c>
      <c r="H2320" t="s">
        <v>792</v>
      </c>
      <c r="I2320" t="s">
        <v>2116</v>
      </c>
    </row>
    <row r="2321" spans="1:9" x14ac:dyDescent="0.35">
      <c r="A2321">
        <v>824270</v>
      </c>
      <c r="B2321" t="s">
        <v>839</v>
      </c>
      <c r="C2321" s="1">
        <v>43193</v>
      </c>
      <c r="D2321">
        <v>1719</v>
      </c>
      <c r="E2321" t="b">
        <v>0</v>
      </c>
      <c r="F2321">
        <v>333</v>
      </c>
      <c r="G2321" t="s">
        <v>40</v>
      </c>
      <c r="H2321" t="s">
        <v>346</v>
      </c>
      <c r="I2321" t="s">
        <v>2117</v>
      </c>
    </row>
    <row r="2322" spans="1:9" x14ac:dyDescent="0.35">
      <c r="A2322">
        <v>824270</v>
      </c>
      <c r="B2322" t="s">
        <v>839</v>
      </c>
      <c r="C2322" s="1">
        <v>43193</v>
      </c>
      <c r="D2322">
        <v>1719</v>
      </c>
      <c r="E2322" t="b">
        <v>0</v>
      </c>
      <c r="F2322">
        <v>333</v>
      </c>
      <c r="G2322" t="s">
        <v>40</v>
      </c>
      <c r="H2322" t="s">
        <v>239</v>
      </c>
      <c r="I2322" t="s">
        <v>2116</v>
      </c>
    </row>
    <row r="2323" spans="1:9" x14ac:dyDescent="0.35">
      <c r="A2323">
        <v>824270</v>
      </c>
      <c r="B2323" t="s">
        <v>839</v>
      </c>
      <c r="C2323" s="1">
        <v>43193</v>
      </c>
      <c r="D2323">
        <v>1719</v>
      </c>
      <c r="E2323" t="b">
        <v>0</v>
      </c>
      <c r="F2323">
        <v>333</v>
      </c>
      <c r="G2323" t="s">
        <v>40</v>
      </c>
      <c r="H2323" t="s">
        <v>132</v>
      </c>
      <c r="I2323" t="s">
        <v>2117</v>
      </c>
    </row>
    <row r="2324" spans="1:9" x14ac:dyDescent="0.35">
      <c r="A2324">
        <v>824270</v>
      </c>
      <c r="B2324" t="s">
        <v>839</v>
      </c>
      <c r="C2324" s="1">
        <v>43193</v>
      </c>
      <c r="D2324">
        <v>1719</v>
      </c>
      <c r="E2324" t="b">
        <v>0</v>
      </c>
      <c r="F2324">
        <v>333</v>
      </c>
      <c r="G2324" t="s">
        <v>40</v>
      </c>
      <c r="H2324" t="s">
        <v>124</v>
      </c>
      <c r="I2324" t="s">
        <v>2117</v>
      </c>
    </row>
    <row r="2325" spans="1:9" x14ac:dyDescent="0.35">
      <c r="A2325">
        <v>824270</v>
      </c>
      <c r="B2325" t="s">
        <v>839</v>
      </c>
      <c r="C2325" s="1">
        <v>43193</v>
      </c>
      <c r="D2325">
        <v>1719</v>
      </c>
      <c r="E2325" t="b">
        <v>0</v>
      </c>
      <c r="F2325">
        <v>333</v>
      </c>
      <c r="G2325" t="s">
        <v>40</v>
      </c>
      <c r="H2325" t="s">
        <v>1510</v>
      </c>
      <c r="I2325" t="s">
        <v>2117</v>
      </c>
    </row>
    <row r="2326" spans="1:9" x14ac:dyDescent="0.35">
      <c r="A2326">
        <v>1669000</v>
      </c>
      <c r="B2326" t="s">
        <v>842</v>
      </c>
      <c r="C2326" s="1">
        <v>45048</v>
      </c>
      <c r="D2326">
        <v>1707</v>
      </c>
      <c r="E2326" t="b">
        <v>0</v>
      </c>
      <c r="F2326">
        <v>334</v>
      </c>
      <c r="G2326" t="s">
        <v>266</v>
      </c>
      <c r="H2326" t="s">
        <v>49</v>
      </c>
      <c r="I2326" t="s">
        <v>2117</v>
      </c>
    </row>
    <row r="2327" spans="1:9" x14ac:dyDescent="0.35">
      <c r="A2327">
        <v>1669000</v>
      </c>
      <c r="B2327" t="s">
        <v>842</v>
      </c>
      <c r="C2327" s="1">
        <v>45048</v>
      </c>
      <c r="D2327">
        <v>1707</v>
      </c>
      <c r="E2327" t="b">
        <v>0</v>
      </c>
      <c r="F2327">
        <v>334</v>
      </c>
      <c r="G2327" t="s">
        <v>266</v>
      </c>
      <c r="H2327" t="s">
        <v>792</v>
      </c>
      <c r="I2327" t="s">
        <v>2117</v>
      </c>
    </row>
    <row r="2328" spans="1:9" x14ac:dyDescent="0.35">
      <c r="A2328">
        <v>1669000</v>
      </c>
      <c r="B2328" t="s">
        <v>842</v>
      </c>
      <c r="C2328" s="1">
        <v>45048</v>
      </c>
      <c r="D2328">
        <v>1707</v>
      </c>
      <c r="E2328" t="b">
        <v>0</v>
      </c>
      <c r="F2328">
        <v>334</v>
      </c>
      <c r="G2328" t="s">
        <v>266</v>
      </c>
      <c r="H2328" t="s">
        <v>346</v>
      </c>
      <c r="I2328" t="s">
        <v>2117</v>
      </c>
    </row>
    <row r="2329" spans="1:9" x14ac:dyDescent="0.35">
      <c r="A2329">
        <v>1669000</v>
      </c>
      <c r="B2329" t="s">
        <v>842</v>
      </c>
      <c r="C2329" s="1">
        <v>45048</v>
      </c>
      <c r="D2329">
        <v>1707</v>
      </c>
      <c r="E2329" t="b">
        <v>0</v>
      </c>
      <c r="F2329">
        <v>334</v>
      </c>
      <c r="G2329" t="s">
        <v>266</v>
      </c>
      <c r="H2329" t="s">
        <v>239</v>
      </c>
      <c r="I2329" t="s">
        <v>2117</v>
      </c>
    </row>
    <row r="2330" spans="1:9" x14ac:dyDescent="0.35">
      <c r="A2330">
        <v>1669000</v>
      </c>
      <c r="B2330" t="s">
        <v>842</v>
      </c>
      <c r="C2330" s="1">
        <v>45048</v>
      </c>
      <c r="D2330">
        <v>1707</v>
      </c>
      <c r="E2330" t="b">
        <v>0</v>
      </c>
      <c r="F2330">
        <v>334</v>
      </c>
      <c r="G2330" t="s">
        <v>266</v>
      </c>
      <c r="H2330" t="s">
        <v>132</v>
      </c>
      <c r="I2330" t="s">
        <v>2116</v>
      </c>
    </row>
    <row r="2331" spans="1:9" x14ac:dyDescent="0.35">
      <c r="A2331">
        <v>1669000</v>
      </c>
      <c r="B2331" t="s">
        <v>842</v>
      </c>
      <c r="C2331" s="1">
        <v>45048</v>
      </c>
      <c r="D2331">
        <v>1707</v>
      </c>
      <c r="E2331" t="b">
        <v>0</v>
      </c>
      <c r="F2331">
        <v>334</v>
      </c>
      <c r="G2331" t="s">
        <v>266</v>
      </c>
      <c r="H2331" t="s">
        <v>124</v>
      </c>
      <c r="I2331" t="s">
        <v>2116</v>
      </c>
    </row>
    <row r="2332" spans="1:9" x14ac:dyDescent="0.35">
      <c r="A2332">
        <v>1669000</v>
      </c>
      <c r="B2332" t="s">
        <v>842</v>
      </c>
      <c r="C2332" s="1">
        <v>45048</v>
      </c>
      <c r="D2332">
        <v>1707</v>
      </c>
      <c r="E2332" t="b">
        <v>0</v>
      </c>
      <c r="F2332">
        <v>334</v>
      </c>
      <c r="G2332" t="s">
        <v>266</v>
      </c>
      <c r="H2332" t="s">
        <v>1510</v>
      </c>
      <c r="I2332" t="s">
        <v>2117</v>
      </c>
    </row>
    <row r="2333" spans="1:9" x14ac:dyDescent="0.35">
      <c r="A2333">
        <v>323190</v>
      </c>
      <c r="B2333" t="s">
        <v>845</v>
      </c>
      <c r="C2333" s="1">
        <v>43214</v>
      </c>
      <c r="D2333">
        <v>1699</v>
      </c>
      <c r="E2333" t="b">
        <v>1</v>
      </c>
      <c r="F2333">
        <v>335</v>
      </c>
      <c r="G2333" t="s">
        <v>18</v>
      </c>
      <c r="H2333" t="s">
        <v>49</v>
      </c>
      <c r="I2333" t="s">
        <v>2117</v>
      </c>
    </row>
    <row r="2334" spans="1:9" x14ac:dyDescent="0.35">
      <c r="A2334">
        <v>323190</v>
      </c>
      <c r="B2334" t="s">
        <v>845</v>
      </c>
      <c r="C2334" s="1">
        <v>43214</v>
      </c>
      <c r="D2334">
        <v>1699</v>
      </c>
      <c r="E2334" t="b">
        <v>1</v>
      </c>
      <c r="F2334">
        <v>335</v>
      </c>
      <c r="G2334" t="s">
        <v>18</v>
      </c>
      <c r="H2334" t="s">
        <v>792</v>
      </c>
      <c r="I2334" t="s">
        <v>2117</v>
      </c>
    </row>
    <row r="2335" spans="1:9" x14ac:dyDescent="0.35">
      <c r="A2335">
        <v>323190</v>
      </c>
      <c r="B2335" t="s">
        <v>845</v>
      </c>
      <c r="C2335" s="1">
        <v>43214</v>
      </c>
      <c r="D2335">
        <v>1699</v>
      </c>
      <c r="E2335" t="b">
        <v>1</v>
      </c>
      <c r="F2335">
        <v>335</v>
      </c>
      <c r="G2335" t="s">
        <v>18</v>
      </c>
      <c r="H2335" t="s">
        <v>346</v>
      </c>
      <c r="I2335" t="s">
        <v>2117</v>
      </c>
    </row>
    <row r="2336" spans="1:9" x14ac:dyDescent="0.35">
      <c r="A2336">
        <v>323190</v>
      </c>
      <c r="B2336" t="s">
        <v>845</v>
      </c>
      <c r="C2336" s="1">
        <v>43214</v>
      </c>
      <c r="D2336">
        <v>1699</v>
      </c>
      <c r="E2336" t="b">
        <v>1</v>
      </c>
      <c r="F2336">
        <v>335</v>
      </c>
      <c r="G2336" t="s">
        <v>18</v>
      </c>
      <c r="H2336" t="s">
        <v>239</v>
      </c>
      <c r="I2336" t="s">
        <v>2116</v>
      </c>
    </row>
    <row r="2337" spans="1:9" x14ac:dyDescent="0.35">
      <c r="A2337">
        <v>323190</v>
      </c>
      <c r="B2337" t="s">
        <v>845</v>
      </c>
      <c r="C2337" s="1">
        <v>43214</v>
      </c>
      <c r="D2337">
        <v>1699</v>
      </c>
      <c r="E2337" t="b">
        <v>1</v>
      </c>
      <c r="F2337">
        <v>335</v>
      </c>
      <c r="G2337" t="s">
        <v>18</v>
      </c>
      <c r="H2337" t="s">
        <v>132</v>
      </c>
      <c r="I2337" t="s">
        <v>2117</v>
      </c>
    </row>
    <row r="2338" spans="1:9" x14ac:dyDescent="0.35">
      <c r="A2338">
        <v>323190</v>
      </c>
      <c r="B2338" t="s">
        <v>845</v>
      </c>
      <c r="C2338" s="1">
        <v>43214</v>
      </c>
      <c r="D2338">
        <v>1699</v>
      </c>
      <c r="E2338" t="b">
        <v>1</v>
      </c>
      <c r="F2338">
        <v>335</v>
      </c>
      <c r="G2338" t="s">
        <v>18</v>
      </c>
      <c r="H2338" t="s">
        <v>124</v>
      </c>
      <c r="I2338" t="s">
        <v>2116</v>
      </c>
    </row>
    <row r="2339" spans="1:9" x14ac:dyDescent="0.35">
      <c r="A2339">
        <v>323190</v>
      </c>
      <c r="B2339" t="s">
        <v>845</v>
      </c>
      <c r="C2339" s="1">
        <v>43214</v>
      </c>
      <c r="D2339">
        <v>1699</v>
      </c>
      <c r="E2339" t="b">
        <v>1</v>
      </c>
      <c r="F2339">
        <v>335</v>
      </c>
      <c r="G2339" t="s">
        <v>18</v>
      </c>
      <c r="H2339" t="s">
        <v>1510</v>
      </c>
      <c r="I2339" t="s">
        <v>2117</v>
      </c>
    </row>
    <row r="2340" spans="1:9" x14ac:dyDescent="0.35">
      <c r="A2340">
        <v>2161700</v>
      </c>
      <c r="B2340" t="s">
        <v>847</v>
      </c>
      <c r="C2340" s="1">
        <v>45323</v>
      </c>
      <c r="D2340">
        <v>1683</v>
      </c>
      <c r="E2340" t="b">
        <v>0</v>
      </c>
      <c r="F2340">
        <v>336</v>
      </c>
      <c r="G2340" t="s">
        <v>513</v>
      </c>
      <c r="H2340" t="s">
        <v>49</v>
      </c>
      <c r="I2340" t="s">
        <v>2117</v>
      </c>
    </row>
    <row r="2341" spans="1:9" x14ac:dyDescent="0.35">
      <c r="A2341">
        <v>2161700</v>
      </c>
      <c r="B2341" t="s">
        <v>847</v>
      </c>
      <c r="C2341" s="1">
        <v>45323</v>
      </c>
      <c r="D2341">
        <v>1683</v>
      </c>
      <c r="E2341" t="b">
        <v>0</v>
      </c>
      <c r="F2341">
        <v>336</v>
      </c>
      <c r="G2341" t="s">
        <v>513</v>
      </c>
      <c r="H2341" t="s">
        <v>792</v>
      </c>
      <c r="I2341" t="s">
        <v>2117</v>
      </c>
    </row>
    <row r="2342" spans="1:9" x14ac:dyDescent="0.35">
      <c r="A2342">
        <v>2161700</v>
      </c>
      <c r="B2342" t="s">
        <v>847</v>
      </c>
      <c r="C2342" s="1">
        <v>45323</v>
      </c>
      <c r="D2342">
        <v>1683</v>
      </c>
      <c r="E2342" t="b">
        <v>0</v>
      </c>
      <c r="F2342">
        <v>336</v>
      </c>
      <c r="G2342" t="s">
        <v>513</v>
      </c>
      <c r="H2342" t="s">
        <v>346</v>
      </c>
      <c r="I2342" t="s">
        <v>2116</v>
      </c>
    </row>
    <row r="2343" spans="1:9" x14ac:dyDescent="0.35">
      <c r="A2343">
        <v>2161700</v>
      </c>
      <c r="B2343" t="s">
        <v>847</v>
      </c>
      <c r="C2343" s="1">
        <v>45323</v>
      </c>
      <c r="D2343">
        <v>1683</v>
      </c>
      <c r="E2343" t="b">
        <v>0</v>
      </c>
      <c r="F2343">
        <v>336</v>
      </c>
      <c r="G2343" t="s">
        <v>513</v>
      </c>
      <c r="H2343" t="s">
        <v>239</v>
      </c>
      <c r="I2343" t="s">
        <v>2117</v>
      </c>
    </row>
    <row r="2344" spans="1:9" x14ac:dyDescent="0.35">
      <c r="A2344">
        <v>2161700</v>
      </c>
      <c r="B2344" t="s">
        <v>847</v>
      </c>
      <c r="C2344" s="1">
        <v>45323</v>
      </c>
      <c r="D2344">
        <v>1683</v>
      </c>
      <c r="E2344" t="b">
        <v>0</v>
      </c>
      <c r="F2344">
        <v>336</v>
      </c>
      <c r="G2344" t="s">
        <v>513</v>
      </c>
      <c r="H2344" t="s">
        <v>132</v>
      </c>
      <c r="I2344" t="s">
        <v>2116</v>
      </c>
    </row>
    <row r="2345" spans="1:9" x14ac:dyDescent="0.35">
      <c r="A2345">
        <v>2161700</v>
      </c>
      <c r="B2345" t="s">
        <v>847</v>
      </c>
      <c r="C2345" s="1">
        <v>45323</v>
      </c>
      <c r="D2345">
        <v>1683</v>
      </c>
      <c r="E2345" t="b">
        <v>0</v>
      </c>
      <c r="F2345">
        <v>336</v>
      </c>
      <c r="G2345" t="s">
        <v>513</v>
      </c>
      <c r="H2345" t="s">
        <v>124</v>
      </c>
      <c r="I2345" t="s">
        <v>2116</v>
      </c>
    </row>
    <row r="2346" spans="1:9" x14ac:dyDescent="0.35">
      <c r="A2346">
        <v>2161700</v>
      </c>
      <c r="B2346" t="s">
        <v>847</v>
      </c>
      <c r="C2346" s="1">
        <v>45323</v>
      </c>
      <c r="D2346">
        <v>1683</v>
      </c>
      <c r="E2346" t="b">
        <v>0</v>
      </c>
      <c r="F2346">
        <v>336</v>
      </c>
      <c r="G2346" t="s">
        <v>513</v>
      </c>
      <c r="H2346" t="s">
        <v>1510</v>
      </c>
      <c r="I2346" t="s">
        <v>2117</v>
      </c>
    </row>
    <row r="2347" spans="1:9" x14ac:dyDescent="0.35">
      <c r="A2347">
        <v>2619650</v>
      </c>
      <c r="B2347" t="s">
        <v>849</v>
      </c>
      <c r="C2347" s="1">
        <v>45798</v>
      </c>
      <c r="D2347">
        <v>1682</v>
      </c>
      <c r="E2347" t="b">
        <v>0</v>
      </c>
      <c r="F2347">
        <v>337</v>
      </c>
      <c r="G2347" t="s">
        <v>14</v>
      </c>
      <c r="H2347" t="s">
        <v>49</v>
      </c>
      <c r="I2347" t="s">
        <v>2117</v>
      </c>
    </row>
    <row r="2348" spans="1:9" x14ac:dyDescent="0.35">
      <c r="A2348">
        <v>2619650</v>
      </c>
      <c r="B2348" t="s">
        <v>849</v>
      </c>
      <c r="C2348" s="1">
        <v>45798</v>
      </c>
      <c r="D2348">
        <v>1682</v>
      </c>
      <c r="E2348" t="b">
        <v>0</v>
      </c>
      <c r="F2348">
        <v>337</v>
      </c>
      <c r="G2348" t="s">
        <v>14</v>
      </c>
      <c r="H2348" t="s">
        <v>792</v>
      </c>
      <c r="I2348" t="s">
        <v>2116</v>
      </c>
    </row>
    <row r="2349" spans="1:9" x14ac:dyDescent="0.35">
      <c r="A2349">
        <v>2619650</v>
      </c>
      <c r="B2349" t="s">
        <v>849</v>
      </c>
      <c r="C2349" s="1">
        <v>45798</v>
      </c>
      <c r="D2349">
        <v>1682</v>
      </c>
      <c r="E2349" t="b">
        <v>0</v>
      </c>
      <c r="F2349">
        <v>337</v>
      </c>
      <c r="G2349" t="s">
        <v>14</v>
      </c>
      <c r="H2349" t="s">
        <v>346</v>
      </c>
      <c r="I2349" t="s">
        <v>2116</v>
      </c>
    </row>
    <row r="2350" spans="1:9" x14ac:dyDescent="0.35">
      <c r="A2350">
        <v>2619650</v>
      </c>
      <c r="B2350" t="s">
        <v>849</v>
      </c>
      <c r="C2350" s="1">
        <v>45798</v>
      </c>
      <c r="D2350">
        <v>1682</v>
      </c>
      <c r="E2350" t="b">
        <v>0</v>
      </c>
      <c r="F2350">
        <v>337</v>
      </c>
      <c r="G2350" t="s">
        <v>14</v>
      </c>
      <c r="H2350" t="s">
        <v>239</v>
      </c>
      <c r="I2350" t="s">
        <v>2116</v>
      </c>
    </row>
    <row r="2351" spans="1:9" x14ac:dyDescent="0.35">
      <c r="A2351">
        <v>2619650</v>
      </c>
      <c r="B2351" t="s">
        <v>849</v>
      </c>
      <c r="C2351" s="1">
        <v>45798</v>
      </c>
      <c r="D2351">
        <v>1682</v>
      </c>
      <c r="E2351" t="b">
        <v>0</v>
      </c>
      <c r="F2351">
        <v>337</v>
      </c>
      <c r="G2351" t="s">
        <v>14</v>
      </c>
      <c r="H2351" t="s">
        <v>132</v>
      </c>
      <c r="I2351" t="s">
        <v>2116</v>
      </c>
    </row>
    <row r="2352" spans="1:9" x14ac:dyDescent="0.35">
      <c r="A2352">
        <v>2619650</v>
      </c>
      <c r="B2352" t="s">
        <v>849</v>
      </c>
      <c r="C2352" s="1">
        <v>45798</v>
      </c>
      <c r="D2352">
        <v>1682</v>
      </c>
      <c r="E2352" t="b">
        <v>0</v>
      </c>
      <c r="F2352">
        <v>337</v>
      </c>
      <c r="G2352" t="s">
        <v>14</v>
      </c>
      <c r="H2352" t="s">
        <v>124</v>
      </c>
      <c r="I2352" t="s">
        <v>2116</v>
      </c>
    </row>
    <row r="2353" spans="1:9" x14ac:dyDescent="0.35">
      <c r="A2353">
        <v>2619650</v>
      </c>
      <c r="B2353" t="s">
        <v>849</v>
      </c>
      <c r="C2353" s="1">
        <v>45798</v>
      </c>
      <c r="D2353">
        <v>1682</v>
      </c>
      <c r="E2353" t="b">
        <v>0</v>
      </c>
      <c r="F2353">
        <v>337</v>
      </c>
      <c r="G2353" t="s">
        <v>14</v>
      </c>
      <c r="H2353" t="s">
        <v>1510</v>
      </c>
      <c r="I2353" t="s">
        <v>2117</v>
      </c>
    </row>
    <row r="2354" spans="1:9" x14ac:dyDescent="0.35">
      <c r="A2354">
        <v>1876890</v>
      </c>
      <c r="B2354" t="s">
        <v>852</v>
      </c>
      <c r="C2354" s="1">
        <v>45183</v>
      </c>
      <c r="D2354">
        <v>1679</v>
      </c>
      <c r="E2354" t="b">
        <v>0</v>
      </c>
      <c r="F2354">
        <v>338</v>
      </c>
      <c r="G2354" t="s">
        <v>18</v>
      </c>
      <c r="H2354" t="s">
        <v>49</v>
      </c>
      <c r="I2354" t="s">
        <v>2117</v>
      </c>
    </row>
    <row r="2355" spans="1:9" x14ac:dyDescent="0.35">
      <c r="A2355">
        <v>1876890</v>
      </c>
      <c r="B2355" t="s">
        <v>852</v>
      </c>
      <c r="C2355" s="1">
        <v>45183</v>
      </c>
      <c r="D2355">
        <v>1679</v>
      </c>
      <c r="E2355" t="b">
        <v>0</v>
      </c>
      <c r="F2355">
        <v>338</v>
      </c>
      <c r="G2355" t="s">
        <v>18</v>
      </c>
      <c r="H2355" t="s">
        <v>792</v>
      </c>
      <c r="I2355" t="s">
        <v>2116</v>
      </c>
    </row>
    <row r="2356" spans="1:9" x14ac:dyDescent="0.35">
      <c r="A2356">
        <v>1876890</v>
      </c>
      <c r="B2356" t="s">
        <v>852</v>
      </c>
      <c r="C2356" s="1">
        <v>45183</v>
      </c>
      <c r="D2356">
        <v>1679</v>
      </c>
      <c r="E2356" t="b">
        <v>0</v>
      </c>
      <c r="F2356">
        <v>338</v>
      </c>
      <c r="G2356" t="s">
        <v>18</v>
      </c>
      <c r="H2356" t="s">
        <v>346</v>
      </c>
      <c r="I2356" t="s">
        <v>2116</v>
      </c>
    </row>
    <row r="2357" spans="1:9" x14ac:dyDescent="0.35">
      <c r="A2357">
        <v>1876890</v>
      </c>
      <c r="B2357" t="s">
        <v>852</v>
      </c>
      <c r="C2357" s="1">
        <v>45183</v>
      </c>
      <c r="D2357">
        <v>1679</v>
      </c>
      <c r="E2357" t="b">
        <v>0</v>
      </c>
      <c r="F2357">
        <v>338</v>
      </c>
      <c r="G2357" t="s">
        <v>18</v>
      </c>
      <c r="H2357" t="s">
        <v>239</v>
      </c>
      <c r="I2357" t="s">
        <v>2117</v>
      </c>
    </row>
    <row r="2358" spans="1:9" x14ac:dyDescent="0.35">
      <c r="A2358">
        <v>1876890</v>
      </c>
      <c r="B2358" t="s">
        <v>852</v>
      </c>
      <c r="C2358" s="1">
        <v>45183</v>
      </c>
      <c r="D2358">
        <v>1679</v>
      </c>
      <c r="E2358" t="b">
        <v>0</v>
      </c>
      <c r="F2358">
        <v>338</v>
      </c>
      <c r="G2358" t="s">
        <v>18</v>
      </c>
      <c r="H2358" t="s">
        <v>132</v>
      </c>
      <c r="I2358" t="s">
        <v>2116</v>
      </c>
    </row>
    <row r="2359" spans="1:9" x14ac:dyDescent="0.35">
      <c r="A2359">
        <v>1876890</v>
      </c>
      <c r="B2359" t="s">
        <v>852</v>
      </c>
      <c r="C2359" s="1">
        <v>45183</v>
      </c>
      <c r="D2359">
        <v>1679</v>
      </c>
      <c r="E2359" t="b">
        <v>0</v>
      </c>
      <c r="F2359">
        <v>338</v>
      </c>
      <c r="G2359" t="s">
        <v>18</v>
      </c>
      <c r="H2359" t="s">
        <v>124</v>
      </c>
      <c r="I2359" t="s">
        <v>2116</v>
      </c>
    </row>
    <row r="2360" spans="1:9" x14ac:dyDescent="0.35">
      <c r="A2360">
        <v>1876890</v>
      </c>
      <c r="B2360" t="s">
        <v>852</v>
      </c>
      <c r="C2360" s="1">
        <v>45183</v>
      </c>
      <c r="D2360">
        <v>1679</v>
      </c>
      <c r="E2360" t="b">
        <v>0</v>
      </c>
      <c r="F2360">
        <v>338</v>
      </c>
      <c r="G2360" t="s">
        <v>18</v>
      </c>
      <c r="H2360" t="s">
        <v>1510</v>
      </c>
      <c r="I2360" t="s">
        <v>2117</v>
      </c>
    </row>
    <row r="2361" spans="1:9" x14ac:dyDescent="0.35">
      <c r="A2361">
        <v>699130</v>
      </c>
      <c r="B2361" t="s">
        <v>854</v>
      </c>
      <c r="C2361" s="1">
        <v>44460</v>
      </c>
      <c r="D2361">
        <v>1663</v>
      </c>
      <c r="E2361" t="b">
        <v>0</v>
      </c>
      <c r="F2361">
        <v>339</v>
      </c>
      <c r="G2361" t="s">
        <v>133</v>
      </c>
      <c r="H2361" t="s">
        <v>49</v>
      </c>
      <c r="I2361" t="s">
        <v>2116</v>
      </c>
    </row>
    <row r="2362" spans="1:9" x14ac:dyDescent="0.35">
      <c r="A2362">
        <v>699130</v>
      </c>
      <c r="B2362" t="s">
        <v>854</v>
      </c>
      <c r="C2362" s="1">
        <v>44460</v>
      </c>
      <c r="D2362">
        <v>1663</v>
      </c>
      <c r="E2362" t="b">
        <v>0</v>
      </c>
      <c r="F2362">
        <v>339</v>
      </c>
      <c r="G2362" t="s">
        <v>133</v>
      </c>
      <c r="H2362" t="s">
        <v>792</v>
      </c>
      <c r="I2362" t="s">
        <v>2117</v>
      </c>
    </row>
    <row r="2363" spans="1:9" x14ac:dyDescent="0.35">
      <c r="A2363">
        <v>699130</v>
      </c>
      <c r="B2363" t="s">
        <v>854</v>
      </c>
      <c r="C2363" s="1">
        <v>44460</v>
      </c>
      <c r="D2363">
        <v>1663</v>
      </c>
      <c r="E2363" t="b">
        <v>0</v>
      </c>
      <c r="F2363">
        <v>339</v>
      </c>
      <c r="G2363" t="s">
        <v>133</v>
      </c>
      <c r="H2363" t="s">
        <v>346</v>
      </c>
      <c r="I2363" t="s">
        <v>2117</v>
      </c>
    </row>
    <row r="2364" spans="1:9" x14ac:dyDescent="0.35">
      <c r="A2364">
        <v>699130</v>
      </c>
      <c r="B2364" t="s">
        <v>854</v>
      </c>
      <c r="C2364" s="1">
        <v>44460</v>
      </c>
      <c r="D2364">
        <v>1663</v>
      </c>
      <c r="E2364" t="b">
        <v>0</v>
      </c>
      <c r="F2364">
        <v>339</v>
      </c>
      <c r="G2364" t="s">
        <v>133</v>
      </c>
      <c r="H2364" t="s">
        <v>239</v>
      </c>
      <c r="I2364" t="s">
        <v>2117</v>
      </c>
    </row>
    <row r="2365" spans="1:9" x14ac:dyDescent="0.35">
      <c r="A2365">
        <v>699130</v>
      </c>
      <c r="B2365" t="s">
        <v>854</v>
      </c>
      <c r="C2365" s="1">
        <v>44460</v>
      </c>
      <c r="D2365">
        <v>1663</v>
      </c>
      <c r="E2365" t="b">
        <v>0</v>
      </c>
      <c r="F2365">
        <v>339</v>
      </c>
      <c r="G2365" t="s">
        <v>133</v>
      </c>
      <c r="H2365" t="s">
        <v>132</v>
      </c>
      <c r="I2365" t="s">
        <v>2117</v>
      </c>
    </row>
    <row r="2366" spans="1:9" x14ac:dyDescent="0.35">
      <c r="A2366">
        <v>699130</v>
      </c>
      <c r="B2366" t="s">
        <v>854</v>
      </c>
      <c r="C2366" s="1">
        <v>44460</v>
      </c>
      <c r="D2366">
        <v>1663</v>
      </c>
      <c r="E2366" t="b">
        <v>0</v>
      </c>
      <c r="F2366">
        <v>339</v>
      </c>
      <c r="G2366" t="s">
        <v>133</v>
      </c>
      <c r="H2366" t="s">
        <v>124</v>
      </c>
      <c r="I2366" t="s">
        <v>2117</v>
      </c>
    </row>
    <row r="2367" spans="1:9" x14ac:dyDescent="0.35">
      <c r="A2367">
        <v>699130</v>
      </c>
      <c r="B2367" t="s">
        <v>854</v>
      </c>
      <c r="C2367" s="1">
        <v>44460</v>
      </c>
      <c r="D2367">
        <v>1663</v>
      </c>
      <c r="E2367" t="b">
        <v>0</v>
      </c>
      <c r="F2367">
        <v>339</v>
      </c>
      <c r="G2367" t="s">
        <v>133</v>
      </c>
      <c r="H2367" t="s">
        <v>1510</v>
      </c>
      <c r="I2367" t="s">
        <v>2117</v>
      </c>
    </row>
    <row r="2368" spans="1:9" x14ac:dyDescent="0.35">
      <c r="A2368">
        <v>3070070</v>
      </c>
      <c r="B2368" t="s">
        <v>856</v>
      </c>
      <c r="C2368" s="1">
        <v>45550</v>
      </c>
      <c r="D2368">
        <v>1661</v>
      </c>
      <c r="E2368" t="b">
        <v>0</v>
      </c>
      <c r="F2368">
        <v>340</v>
      </c>
      <c r="G2368" t="s">
        <v>25</v>
      </c>
      <c r="H2368" t="s">
        <v>49</v>
      </c>
      <c r="I2368" t="s">
        <v>2117</v>
      </c>
    </row>
    <row r="2369" spans="1:9" x14ac:dyDescent="0.35">
      <c r="A2369">
        <v>3070070</v>
      </c>
      <c r="B2369" t="s">
        <v>856</v>
      </c>
      <c r="C2369" s="1">
        <v>45550</v>
      </c>
      <c r="D2369">
        <v>1661</v>
      </c>
      <c r="E2369" t="b">
        <v>0</v>
      </c>
      <c r="F2369">
        <v>340</v>
      </c>
      <c r="G2369" t="s">
        <v>25</v>
      </c>
      <c r="H2369" t="s">
        <v>792</v>
      </c>
      <c r="I2369" t="s">
        <v>2117</v>
      </c>
    </row>
    <row r="2370" spans="1:9" x14ac:dyDescent="0.35">
      <c r="A2370">
        <v>3070070</v>
      </c>
      <c r="B2370" t="s">
        <v>856</v>
      </c>
      <c r="C2370" s="1">
        <v>45550</v>
      </c>
      <c r="D2370">
        <v>1661</v>
      </c>
      <c r="E2370" t="b">
        <v>0</v>
      </c>
      <c r="F2370">
        <v>340</v>
      </c>
      <c r="G2370" t="s">
        <v>25</v>
      </c>
      <c r="H2370" t="s">
        <v>346</v>
      </c>
      <c r="I2370" t="s">
        <v>2117</v>
      </c>
    </row>
    <row r="2371" spans="1:9" x14ac:dyDescent="0.35">
      <c r="A2371">
        <v>3070070</v>
      </c>
      <c r="B2371" t="s">
        <v>856</v>
      </c>
      <c r="C2371" s="1">
        <v>45550</v>
      </c>
      <c r="D2371">
        <v>1661</v>
      </c>
      <c r="E2371" t="b">
        <v>0</v>
      </c>
      <c r="F2371">
        <v>340</v>
      </c>
      <c r="G2371" t="s">
        <v>25</v>
      </c>
      <c r="H2371" t="s">
        <v>239</v>
      </c>
      <c r="I2371" t="s">
        <v>2116</v>
      </c>
    </row>
    <row r="2372" spans="1:9" x14ac:dyDescent="0.35">
      <c r="A2372">
        <v>3070070</v>
      </c>
      <c r="B2372" t="s">
        <v>856</v>
      </c>
      <c r="C2372" s="1">
        <v>45550</v>
      </c>
      <c r="D2372">
        <v>1661</v>
      </c>
      <c r="E2372" t="b">
        <v>0</v>
      </c>
      <c r="F2372">
        <v>340</v>
      </c>
      <c r="G2372" t="s">
        <v>25</v>
      </c>
      <c r="H2372" t="s">
        <v>132</v>
      </c>
      <c r="I2372" t="s">
        <v>2117</v>
      </c>
    </row>
    <row r="2373" spans="1:9" x14ac:dyDescent="0.35">
      <c r="A2373">
        <v>3070070</v>
      </c>
      <c r="B2373" t="s">
        <v>856</v>
      </c>
      <c r="C2373" s="1">
        <v>45550</v>
      </c>
      <c r="D2373">
        <v>1661</v>
      </c>
      <c r="E2373" t="b">
        <v>0</v>
      </c>
      <c r="F2373">
        <v>340</v>
      </c>
      <c r="G2373" t="s">
        <v>25</v>
      </c>
      <c r="H2373" t="s">
        <v>124</v>
      </c>
      <c r="I2373" t="s">
        <v>2117</v>
      </c>
    </row>
    <row r="2374" spans="1:9" x14ac:dyDescent="0.35">
      <c r="A2374">
        <v>3070070</v>
      </c>
      <c r="B2374" t="s">
        <v>856</v>
      </c>
      <c r="C2374" s="1">
        <v>45550</v>
      </c>
      <c r="D2374">
        <v>1661</v>
      </c>
      <c r="E2374" t="b">
        <v>0</v>
      </c>
      <c r="F2374">
        <v>340</v>
      </c>
      <c r="G2374" t="s">
        <v>25</v>
      </c>
      <c r="H2374" t="s">
        <v>1510</v>
      </c>
      <c r="I2374" t="s">
        <v>2117</v>
      </c>
    </row>
    <row r="2375" spans="1:9" x14ac:dyDescent="0.35">
      <c r="A2375">
        <v>635260</v>
      </c>
      <c r="B2375" t="s">
        <v>859</v>
      </c>
      <c r="C2375" s="1">
        <v>43056</v>
      </c>
      <c r="D2375">
        <v>1658</v>
      </c>
      <c r="E2375" t="b">
        <v>0</v>
      </c>
      <c r="F2375">
        <v>341</v>
      </c>
      <c r="G2375" t="s">
        <v>53</v>
      </c>
      <c r="H2375" t="s">
        <v>49</v>
      </c>
      <c r="I2375" t="s">
        <v>2117</v>
      </c>
    </row>
    <row r="2376" spans="1:9" x14ac:dyDescent="0.35">
      <c r="A2376">
        <v>635260</v>
      </c>
      <c r="B2376" t="s">
        <v>859</v>
      </c>
      <c r="C2376" s="1">
        <v>43056</v>
      </c>
      <c r="D2376">
        <v>1658</v>
      </c>
      <c r="E2376" t="b">
        <v>0</v>
      </c>
      <c r="F2376">
        <v>341</v>
      </c>
      <c r="G2376" t="s">
        <v>53</v>
      </c>
      <c r="H2376" t="s">
        <v>792</v>
      </c>
      <c r="I2376" t="s">
        <v>2117</v>
      </c>
    </row>
    <row r="2377" spans="1:9" x14ac:dyDescent="0.35">
      <c r="A2377">
        <v>635260</v>
      </c>
      <c r="B2377" t="s">
        <v>859</v>
      </c>
      <c r="C2377" s="1">
        <v>43056</v>
      </c>
      <c r="D2377">
        <v>1658</v>
      </c>
      <c r="E2377" t="b">
        <v>0</v>
      </c>
      <c r="F2377">
        <v>341</v>
      </c>
      <c r="G2377" t="s">
        <v>53</v>
      </c>
      <c r="H2377" t="s">
        <v>346</v>
      </c>
      <c r="I2377" t="s">
        <v>2117</v>
      </c>
    </row>
    <row r="2378" spans="1:9" x14ac:dyDescent="0.35">
      <c r="A2378">
        <v>635260</v>
      </c>
      <c r="B2378" t="s">
        <v>859</v>
      </c>
      <c r="C2378" s="1">
        <v>43056</v>
      </c>
      <c r="D2378">
        <v>1658</v>
      </c>
      <c r="E2378" t="b">
        <v>0</v>
      </c>
      <c r="F2378">
        <v>341</v>
      </c>
      <c r="G2378" t="s">
        <v>53</v>
      </c>
      <c r="H2378" t="s">
        <v>239</v>
      </c>
      <c r="I2378" t="s">
        <v>2116</v>
      </c>
    </row>
    <row r="2379" spans="1:9" x14ac:dyDescent="0.35">
      <c r="A2379">
        <v>635260</v>
      </c>
      <c r="B2379" t="s">
        <v>859</v>
      </c>
      <c r="C2379" s="1">
        <v>43056</v>
      </c>
      <c r="D2379">
        <v>1658</v>
      </c>
      <c r="E2379" t="b">
        <v>0</v>
      </c>
      <c r="F2379">
        <v>341</v>
      </c>
      <c r="G2379" t="s">
        <v>53</v>
      </c>
      <c r="H2379" t="s">
        <v>132</v>
      </c>
      <c r="I2379" t="s">
        <v>2117</v>
      </c>
    </row>
    <row r="2380" spans="1:9" x14ac:dyDescent="0.35">
      <c r="A2380">
        <v>635260</v>
      </c>
      <c r="B2380" t="s">
        <v>859</v>
      </c>
      <c r="C2380" s="1">
        <v>43056</v>
      </c>
      <c r="D2380">
        <v>1658</v>
      </c>
      <c r="E2380" t="b">
        <v>0</v>
      </c>
      <c r="F2380">
        <v>341</v>
      </c>
      <c r="G2380" t="s">
        <v>53</v>
      </c>
      <c r="H2380" t="s">
        <v>124</v>
      </c>
      <c r="I2380" t="s">
        <v>2117</v>
      </c>
    </row>
    <row r="2381" spans="1:9" x14ac:dyDescent="0.35">
      <c r="A2381">
        <v>635260</v>
      </c>
      <c r="B2381" t="s">
        <v>859</v>
      </c>
      <c r="C2381" s="1">
        <v>43056</v>
      </c>
      <c r="D2381">
        <v>1658</v>
      </c>
      <c r="E2381" t="b">
        <v>0</v>
      </c>
      <c r="F2381">
        <v>341</v>
      </c>
      <c r="G2381" t="s">
        <v>53</v>
      </c>
      <c r="H2381" t="s">
        <v>1510</v>
      </c>
      <c r="I2381" t="s">
        <v>2117</v>
      </c>
    </row>
    <row r="2382" spans="1:9" x14ac:dyDescent="0.35">
      <c r="A2382">
        <v>815370</v>
      </c>
      <c r="B2382" t="s">
        <v>862</v>
      </c>
      <c r="C2382" s="1">
        <v>43713</v>
      </c>
      <c r="D2382">
        <v>1656</v>
      </c>
      <c r="E2382" t="b">
        <v>0</v>
      </c>
      <c r="F2382">
        <v>342</v>
      </c>
      <c r="G2382" t="s">
        <v>18</v>
      </c>
      <c r="H2382" t="s">
        <v>49</v>
      </c>
      <c r="I2382" t="s">
        <v>2116</v>
      </c>
    </row>
    <row r="2383" spans="1:9" x14ac:dyDescent="0.35">
      <c r="A2383">
        <v>815370</v>
      </c>
      <c r="B2383" t="s">
        <v>862</v>
      </c>
      <c r="C2383" s="1">
        <v>43713</v>
      </c>
      <c r="D2383">
        <v>1656</v>
      </c>
      <c r="E2383" t="b">
        <v>0</v>
      </c>
      <c r="F2383">
        <v>342</v>
      </c>
      <c r="G2383" t="s">
        <v>18</v>
      </c>
      <c r="H2383" t="s">
        <v>792</v>
      </c>
      <c r="I2383" t="s">
        <v>2116</v>
      </c>
    </row>
    <row r="2384" spans="1:9" x14ac:dyDescent="0.35">
      <c r="A2384">
        <v>815370</v>
      </c>
      <c r="B2384" t="s">
        <v>862</v>
      </c>
      <c r="C2384" s="1">
        <v>43713</v>
      </c>
      <c r="D2384">
        <v>1656</v>
      </c>
      <c r="E2384" t="b">
        <v>0</v>
      </c>
      <c r="F2384">
        <v>342</v>
      </c>
      <c r="G2384" t="s">
        <v>18</v>
      </c>
      <c r="H2384" t="s">
        <v>346</v>
      </c>
      <c r="I2384" t="s">
        <v>2116</v>
      </c>
    </row>
    <row r="2385" spans="1:9" x14ac:dyDescent="0.35">
      <c r="A2385">
        <v>815370</v>
      </c>
      <c r="B2385" t="s">
        <v>862</v>
      </c>
      <c r="C2385" s="1">
        <v>43713</v>
      </c>
      <c r="D2385">
        <v>1656</v>
      </c>
      <c r="E2385" t="b">
        <v>0</v>
      </c>
      <c r="F2385">
        <v>342</v>
      </c>
      <c r="G2385" t="s">
        <v>18</v>
      </c>
      <c r="H2385" t="s">
        <v>239</v>
      </c>
      <c r="I2385" t="s">
        <v>2116</v>
      </c>
    </row>
    <row r="2386" spans="1:9" x14ac:dyDescent="0.35">
      <c r="A2386">
        <v>815370</v>
      </c>
      <c r="B2386" t="s">
        <v>862</v>
      </c>
      <c r="C2386" s="1">
        <v>43713</v>
      </c>
      <c r="D2386">
        <v>1656</v>
      </c>
      <c r="E2386" t="b">
        <v>0</v>
      </c>
      <c r="F2386">
        <v>342</v>
      </c>
      <c r="G2386" t="s">
        <v>18</v>
      </c>
      <c r="H2386" t="s">
        <v>132</v>
      </c>
      <c r="I2386" t="s">
        <v>2117</v>
      </c>
    </row>
    <row r="2387" spans="1:9" x14ac:dyDescent="0.35">
      <c r="A2387">
        <v>815370</v>
      </c>
      <c r="B2387" t="s">
        <v>862</v>
      </c>
      <c r="C2387" s="1">
        <v>43713</v>
      </c>
      <c r="D2387">
        <v>1656</v>
      </c>
      <c r="E2387" t="b">
        <v>0</v>
      </c>
      <c r="F2387">
        <v>342</v>
      </c>
      <c r="G2387" t="s">
        <v>18</v>
      </c>
      <c r="H2387" t="s">
        <v>124</v>
      </c>
      <c r="I2387" t="s">
        <v>2117</v>
      </c>
    </row>
    <row r="2388" spans="1:9" x14ac:dyDescent="0.35">
      <c r="A2388">
        <v>815370</v>
      </c>
      <c r="B2388" t="s">
        <v>862</v>
      </c>
      <c r="C2388" s="1">
        <v>43713</v>
      </c>
      <c r="D2388">
        <v>1656</v>
      </c>
      <c r="E2388" t="b">
        <v>0</v>
      </c>
      <c r="F2388">
        <v>342</v>
      </c>
      <c r="G2388" t="s">
        <v>18</v>
      </c>
      <c r="H2388" t="s">
        <v>1510</v>
      </c>
      <c r="I2388" t="s">
        <v>2117</v>
      </c>
    </row>
    <row r="2389" spans="1:9" x14ac:dyDescent="0.35">
      <c r="A2389">
        <v>2503770</v>
      </c>
      <c r="B2389" t="s">
        <v>864</v>
      </c>
      <c r="C2389" s="1">
        <v>45791</v>
      </c>
      <c r="D2389">
        <v>1635</v>
      </c>
      <c r="E2389" t="b">
        <v>0</v>
      </c>
      <c r="F2389">
        <v>343</v>
      </c>
      <c r="G2389" t="s">
        <v>36</v>
      </c>
      <c r="H2389" t="s">
        <v>49</v>
      </c>
      <c r="I2389" t="s">
        <v>2117</v>
      </c>
    </row>
    <row r="2390" spans="1:9" x14ac:dyDescent="0.35">
      <c r="A2390">
        <v>2503770</v>
      </c>
      <c r="B2390" t="s">
        <v>864</v>
      </c>
      <c r="C2390" s="1">
        <v>45791</v>
      </c>
      <c r="D2390">
        <v>1635</v>
      </c>
      <c r="E2390" t="b">
        <v>0</v>
      </c>
      <c r="F2390">
        <v>343</v>
      </c>
      <c r="G2390" t="s">
        <v>36</v>
      </c>
      <c r="H2390" t="s">
        <v>792</v>
      </c>
      <c r="I2390" t="s">
        <v>2117</v>
      </c>
    </row>
    <row r="2391" spans="1:9" x14ac:dyDescent="0.35">
      <c r="A2391">
        <v>2503770</v>
      </c>
      <c r="B2391" t="s">
        <v>864</v>
      </c>
      <c r="C2391" s="1">
        <v>45791</v>
      </c>
      <c r="D2391">
        <v>1635</v>
      </c>
      <c r="E2391" t="b">
        <v>0</v>
      </c>
      <c r="F2391">
        <v>343</v>
      </c>
      <c r="G2391" t="s">
        <v>36</v>
      </c>
      <c r="H2391" t="s">
        <v>346</v>
      </c>
      <c r="I2391" t="s">
        <v>2116</v>
      </c>
    </row>
    <row r="2392" spans="1:9" x14ac:dyDescent="0.35">
      <c r="A2392">
        <v>2503770</v>
      </c>
      <c r="B2392" t="s">
        <v>864</v>
      </c>
      <c r="C2392" s="1">
        <v>45791</v>
      </c>
      <c r="D2392">
        <v>1635</v>
      </c>
      <c r="E2392" t="b">
        <v>0</v>
      </c>
      <c r="F2392">
        <v>343</v>
      </c>
      <c r="G2392" t="s">
        <v>36</v>
      </c>
      <c r="H2392" t="s">
        <v>239</v>
      </c>
      <c r="I2392" t="s">
        <v>2116</v>
      </c>
    </row>
    <row r="2393" spans="1:9" x14ac:dyDescent="0.35">
      <c r="A2393">
        <v>2503770</v>
      </c>
      <c r="B2393" t="s">
        <v>864</v>
      </c>
      <c r="C2393" s="1">
        <v>45791</v>
      </c>
      <c r="D2393">
        <v>1635</v>
      </c>
      <c r="E2393" t="b">
        <v>0</v>
      </c>
      <c r="F2393">
        <v>343</v>
      </c>
      <c r="G2393" t="s">
        <v>36</v>
      </c>
      <c r="H2393" t="s">
        <v>132</v>
      </c>
      <c r="I2393" t="s">
        <v>2116</v>
      </c>
    </row>
    <row r="2394" spans="1:9" x14ac:dyDescent="0.35">
      <c r="A2394">
        <v>2503770</v>
      </c>
      <c r="B2394" t="s">
        <v>864</v>
      </c>
      <c r="C2394" s="1">
        <v>45791</v>
      </c>
      <c r="D2394">
        <v>1635</v>
      </c>
      <c r="E2394" t="b">
        <v>0</v>
      </c>
      <c r="F2394">
        <v>343</v>
      </c>
      <c r="G2394" t="s">
        <v>36</v>
      </c>
      <c r="H2394" t="s">
        <v>124</v>
      </c>
      <c r="I2394" t="s">
        <v>2116</v>
      </c>
    </row>
    <row r="2395" spans="1:9" x14ac:dyDescent="0.35">
      <c r="A2395">
        <v>2503770</v>
      </c>
      <c r="B2395" t="s">
        <v>864</v>
      </c>
      <c r="C2395" s="1">
        <v>45791</v>
      </c>
      <c r="D2395">
        <v>1635</v>
      </c>
      <c r="E2395" t="b">
        <v>0</v>
      </c>
      <c r="F2395">
        <v>343</v>
      </c>
      <c r="G2395" t="s">
        <v>36</v>
      </c>
      <c r="H2395" t="s">
        <v>1510</v>
      </c>
      <c r="I2395" t="s">
        <v>2117</v>
      </c>
    </row>
    <row r="2396" spans="1:9" x14ac:dyDescent="0.35">
      <c r="A2396">
        <v>1527950</v>
      </c>
      <c r="B2396" t="s">
        <v>866</v>
      </c>
      <c r="C2396" s="1">
        <v>45028</v>
      </c>
      <c r="D2396">
        <v>1632</v>
      </c>
      <c r="E2396" t="b">
        <v>0</v>
      </c>
      <c r="F2396">
        <v>344</v>
      </c>
      <c r="G2396" t="s">
        <v>371</v>
      </c>
      <c r="H2396" t="s">
        <v>49</v>
      </c>
      <c r="I2396" t="s">
        <v>2117</v>
      </c>
    </row>
    <row r="2397" spans="1:9" x14ac:dyDescent="0.35">
      <c r="A2397">
        <v>1527950</v>
      </c>
      <c r="B2397" t="s">
        <v>866</v>
      </c>
      <c r="C2397" s="1">
        <v>45028</v>
      </c>
      <c r="D2397">
        <v>1632</v>
      </c>
      <c r="E2397" t="b">
        <v>0</v>
      </c>
      <c r="F2397">
        <v>344</v>
      </c>
      <c r="G2397" t="s">
        <v>371</v>
      </c>
      <c r="H2397" t="s">
        <v>792</v>
      </c>
      <c r="I2397" t="s">
        <v>2116</v>
      </c>
    </row>
    <row r="2398" spans="1:9" x14ac:dyDescent="0.35">
      <c r="A2398">
        <v>1527950</v>
      </c>
      <c r="B2398" t="s">
        <v>866</v>
      </c>
      <c r="C2398" s="1">
        <v>45028</v>
      </c>
      <c r="D2398">
        <v>1632</v>
      </c>
      <c r="E2398" t="b">
        <v>0</v>
      </c>
      <c r="F2398">
        <v>344</v>
      </c>
      <c r="G2398" t="s">
        <v>371</v>
      </c>
      <c r="H2398" t="s">
        <v>346</v>
      </c>
      <c r="I2398" t="s">
        <v>2116</v>
      </c>
    </row>
    <row r="2399" spans="1:9" x14ac:dyDescent="0.35">
      <c r="A2399">
        <v>1527950</v>
      </c>
      <c r="B2399" t="s">
        <v>866</v>
      </c>
      <c r="C2399" s="1">
        <v>45028</v>
      </c>
      <c r="D2399">
        <v>1632</v>
      </c>
      <c r="E2399" t="b">
        <v>0</v>
      </c>
      <c r="F2399">
        <v>344</v>
      </c>
      <c r="G2399" t="s">
        <v>371</v>
      </c>
      <c r="H2399" t="s">
        <v>239</v>
      </c>
      <c r="I2399" t="s">
        <v>2117</v>
      </c>
    </row>
    <row r="2400" spans="1:9" x14ac:dyDescent="0.35">
      <c r="A2400">
        <v>1527950</v>
      </c>
      <c r="B2400" t="s">
        <v>866</v>
      </c>
      <c r="C2400" s="1">
        <v>45028</v>
      </c>
      <c r="D2400">
        <v>1632</v>
      </c>
      <c r="E2400" t="b">
        <v>0</v>
      </c>
      <c r="F2400">
        <v>344</v>
      </c>
      <c r="G2400" t="s">
        <v>371</v>
      </c>
      <c r="H2400" t="s">
        <v>132</v>
      </c>
      <c r="I2400" t="s">
        <v>2116</v>
      </c>
    </row>
    <row r="2401" spans="1:9" x14ac:dyDescent="0.35">
      <c r="A2401">
        <v>1527950</v>
      </c>
      <c r="B2401" t="s">
        <v>866</v>
      </c>
      <c r="C2401" s="1">
        <v>45028</v>
      </c>
      <c r="D2401">
        <v>1632</v>
      </c>
      <c r="E2401" t="b">
        <v>0</v>
      </c>
      <c r="F2401">
        <v>344</v>
      </c>
      <c r="G2401" t="s">
        <v>371</v>
      </c>
      <c r="H2401" t="s">
        <v>124</v>
      </c>
      <c r="I2401" t="s">
        <v>2116</v>
      </c>
    </row>
    <row r="2402" spans="1:9" x14ac:dyDescent="0.35">
      <c r="A2402">
        <v>1527950</v>
      </c>
      <c r="B2402" t="s">
        <v>866</v>
      </c>
      <c r="C2402" s="1">
        <v>45028</v>
      </c>
      <c r="D2402">
        <v>1632</v>
      </c>
      <c r="E2402" t="b">
        <v>0</v>
      </c>
      <c r="F2402">
        <v>344</v>
      </c>
      <c r="G2402" t="s">
        <v>371</v>
      </c>
      <c r="H2402" t="s">
        <v>1510</v>
      </c>
      <c r="I2402" t="s">
        <v>2117</v>
      </c>
    </row>
    <row r="2403" spans="1:9" x14ac:dyDescent="0.35">
      <c r="A2403">
        <v>2537590</v>
      </c>
      <c r="B2403" t="s">
        <v>867</v>
      </c>
      <c r="C2403" s="1">
        <v>45615</v>
      </c>
      <c r="D2403">
        <v>1622</v>
      </c>
      <c r="E2403" t="b">
        <v>0</v>
      </c>
      <c r="F2403">
        <v>345</v>
      </c>
      <c r="G2403" t="s">
        <v>57</v>
      </c>
      <c r="H2403" t="s">
        <v>49</v>
      </c>
      <c r="I2403" t="s">
        <v>2117</v>
      </c>
    </row>
    <row r="2404" spans="1:9" x14ac:dyDescent="0.35">
      <c r="A2404">
        <v>2537590</v>
      </c>
      <c r="B2404" t="s">
        <v>867</v>
      </c>
      <c r="C2404" s="1">
        <v>45615</v>
      </c>
      <c r="D2404">
        <v>1622</v>
      </c>
      <c r="E2404" t="b">
        <v>0</v>
      </c>
      <c r="F2404">
        <v>345</v>
      </c>
      <c r="G2404" t="s">
        <v>57</v>
      </c>
      <c r="H2404" t="s">
        <v>792</v>
      </c>
      <c r="I2404" t="s">
        <v>2117</v>
      </c>
    </row>
    <row r="2405" spans="1:9" x14ac:dyDescent="0.35">
      <c r="A2405">
        <v>2537590</v>
      </c>
      <c r="B2405" t="s">
        <v>867</v>
      </c>
      <c r="C2405" s="1">
        <v>45615</v>
      </c>
      <c r="D2405">
        <v>1622</v>
      </c>
      <c r="E2405" t="b">
        <v>0</v>
      </c>
      <c r="F2405">
        <v>345</v>
      </c>
      <c r="G2405" t="s">
        <v>57</v>
      </c>
      <c r="H2405" t="s">
        <v>346</v>
      </c>
      <c r="I2405" t="s">
        <v>2117</v>
      </c>
    </row>
    <row r="2406" spans="1:9" x14ac:dyDescent="0.35">
      <c r="A2406">
        <v>2537590</v>
      </c>
      <c r="B2406" t="s">
        <v>867</v>
      </c>
      <c r="C2406" s="1">
        <v>45615</v>
      </c>
      <c r="D2406">
        <v>1622</v>
      </c>
      <c r="E2406" t="b">
        <v>0</v>
      </c>
      <c r="F2406">
        <v>345</v>
      </c>
      <c r="G2406" t="s">
        <v>57</v>
      </c>
      <c r="H2406" t="s">
        <v>239</v>
      </c>
      <c r="I2406" t="s">
        <v>2116</v>
      </c>
    </row>
    <row r="2407" spans="1:9" x14ac:dyDescent="0.35">
      <c r="A2407">
        <v>2537590</v>
      </c>
      <c r="B2407" t="s">
        <v>867</v>
      </c>
      <c r="C2407" s="1">
        <v>45615</v>
      </c>
      <c r="D2407">
        <v>1622</v>
      </c>
      <c r="E2407" t="b">
        <v>0</v>
      </c>
      <c r="F2407">
        <v>345</v>
      </c>
      <c r="G2407" t="s">
        <v>57</v>
      </c>
      <c r="H2407" t="s">
        <v>132</v>
      </c>
      <c r="I2407" t="s">
        <v>2117</v>
      </c>
    </row>
    <row r="2408" spans="1:9" x14ac:dyDescent="0.35">
      <c r="A2408">
        <v>2537590</v>
      </c>
      <c r="B2408" t="s">
        <v>867</v>
      </c>
      <c r="C2408" s="1">
        <v>45615</v>
      </c>
      <c r="D2408">
        <v>1622</v>
      </c>
      <c r="E2408" t="b">
        <v>0</v>
      </c>
      <c r="F2408">
        <v>345</v>
      </c>
      <c r="G2408" t="s">
        <v>57</v>
      </c>
      <c r="H2408" t="s">
        <v>124</v>
      </c>
      <c r="I2408" t="s">
        <v>2117</v>
      </c>
    </row>
    <row r="2409" spans="1:9" x14ac:dyDescent="0.35">
      <c r="A2409">
        <v>2537590</v>
      </c>
      <c r="B2409" t="s">
        <v>867</v>
      </c>
      <c r="C2409" s="1">
        <v>45615</v>
      </c>
      <c r="D2409">
        <v>1622</v>
      </c>
      <c r="E2409" t="b">
        <v>0</v>
      </c>
      <c r="F2409">
        <v>345</v>
      </c>
      <c r="G2409" t="s">
        <v>57</v>
      </c>
      <c r="H2409" t="s">
        <v>1510</v>
      </c>
      <c r="I2409" t="s">
        <v>2117</v>
      </c>
    </row>
    <row r="2410" spans="1:9" x14ac:dyDescent="0.35">
      <c r="A2410">
        <v>1468260</v>
      </c>
      <c r="B2410" t="s">
        <v>869</v>
      </c>
      <c r="C2410" s="1">
        <v>44169</v>
      </c>
      <c r="D2410">
        <v>1621</v>
      </c>
      <c r="E2410" t="b">
        <v>0</v>
      </c>
      <c r="F2410">
        <v>346</v>
      </c>
      <c r="G2410" t="s">
        <v>14</v>
      </c>
      <c r="H2410" t="s">
        <v>49</v>
      </c>
      <c r="I2410" t="s">
        <v>2117</v>
      </c>
    </row>
    <row r="2411" spans="1:9" x14ac:dyDescent="0.35">
      <c r="A2411">
        <v>1468260</v>
      </c>
      <c r="B2411" t="s">
        <v>869</v>
      </c>
      <c r="C2411" s="1">
        <v>44169</v>
      </c>
      <c r="D2411">
        <v>1621</v>
      </c>
      <c r="E2411" t="b">
        <v>0</v>
      </c>
      <c r="F2411">
        <v>346</v>
      </c>
      <c r="G2411" t="s">
        <v>14</v>
      </c>
      <c r="H2411" t="s">
        <v>792</v>
      </c>
      <c r="I2411" t="s">
        <v>2116</v>
      </c>
    </row>
    <row r="2412" spans="1:9" x14ac:dyDescent="0.35">
      <c r="A2412">
        <v>1468260</v>
      </c>
      <c r="B2412" t="s">
        <v>869</v>
      </c>
      <c r="C2412" s="1">
        <v>44169</v>
      </c>
      <c r="D2412">
        <v>1621</v>
      </c>
      <c r="E2412" t="b">
        <v>0</v>
      </c>
      <c r="F2412">
        <v>346</v>
      </c>
      <c r="G2412" t="s">
        <v>14</v>
      </c>
      <c r="H2412" t="s">
        <v>346</v>
      </c>
      <c r="I2412" t="s">
        <v>2117</v>
      </c>
    </row>
    <row r="2413" spans="1:9" x14ac:dyDescent="0.35">
      <c r="A2413">
        <v>1468260</v>
      </c>
      <c r="B2413" t="s">
        <v>869</v>
      </c>
      <c r="C2413" s="1">
        <v>44169</v>
      </c>
      <c r="D2413">
        <v>1621</v>
      </c>
      <c r="E2413" t="b">
        <v>0</v>
      </c>
      <c r="F2413">
        <v>346</v>
      </c>
      <c r="G2413" t="s">
        <v>14</v>
      </c>
      <c r="H2413" t="s">
        <v>239</v>
      </c>
      <c r="I2413" t="s">
        <v>2117</v>
      </c>
    </row>
    <row r="2414" spans="1:9" x14ac:dyDescent="0.35">
      <c r="A2414">
        <v>1468260</v>
      </c>
      <c r="B2414" t="s">
        <v>869</v>
      </c>
      <c r="C2414" s="1">
        <v>44169</v>
      </c>
      <c r="D2414">
        <v>1621</v>
      </c>
      <c r="E2414" t="b">
        <v>0</v>
      </c>
      <c r="F2414">
        <v>346</v>
      </c>
      <c r="G2414" t="s">
        <v>14</v>
      </c>
      <c r="H2414" t="s">
        <v>132</v>
      </c>
      <c r="I2414" t="s">
        <v>2117</v>
      </c>
    </row>
    <row r="2415" spans="1:9" x14ac:dyDescent="0.35">
      <c r="A2415">
        <v>1468260</v>
      </c>
      <c r="B2415" t="s">
        <v>869</v>
      </c>
      <c r="C2415" s="1">
        <v>44169</v>
      </c>
      <c r="D2415">
        <v>1621</v>
      </c>
      <c r="E2415" t="b">
        <v>0</v>
      </c>
      <c r="F2415">
        <v>346</v>
      </c>
      <c r="G2415" t="s">
        <v>14</v>
      </c>
      <c r="H2415" t="s">
        <v>124</v>
      </c>
      <c r="I2415" t="s">
        <v>2117</v>
      </c>
    </row>
    <row r="2416" spans="1:9" x14ac:dyDescent="0.35">
      <c r="A2416">
        <v>1468260</v>
      </c>
      <c r="B2416" t="s">
        <v>869</v>
      </c>
      <c r="C2416" s="1">
        <v>44169</v>
      </c>
      <c r="D2416">
        <v>1621</v>
      </c>
      <c r="E2416" t="b">
        <v>0</v>
      </c>
      <c r="F2416">
        <v>346</v>
      </c>
      <c r="G2416" t="s">
        <v>14</v>
      </c>
      <c r="H2416" t="s">
        <v>1510</v>
      </c>
      <c r="I2416" t="s">
        <v>2116</v>
      </c>
    </row>
    <row r="2417" spans="1:9" x14ac:dyDescent="0.35">
      <c r="A2417">
        <v>2142790</v>
      </c>
      <c r="B2417" t="s">
        <v>872</v>
      </c>
      <c r="C2417" s="1">
        <v>45509</v>
      </c>
      <c r="D2417">
        <v>1616</v>
      </c>
      <c r="E2417" t="b">
        <v>0</v>
      </c>
      <c r="F2417">
        <v>347</v>
      </c>
      <c r="G2417" t="s">
        <v>293</v>
      </c>
      <c r="H2417" t="s">
        <v>49</v>
      </c>
      <c r="I2417" t="s">
        <v>2117</v>
      </c>
    </row>
    <row r="2418" spans="1:9" x14ac:dyDescent="0.35">
      <c r="A2418">
        <v>2142790</v>
      </c>
      <c r="B2418" t="s">
        <v>872</v>
      </c>
      <c r="C2418" s="1">
        <v>45509</v>
      </c>
      <c r="D2418">
        <v>1616</v>
      </c>
      <c r="E2418" t="b">
        <v>0</v>
      </c>
      <c r="F2418">
        <v>347</v>
      </c>
      <c r="G2418" t="s">
        <v>293</v>
      </c>
      <c r="H2418" t="s">
        <v>792</v>
      </c>
      <c r="I2418" t="s">
        <v>2116</v>
      </c>
    </row>
    <row r="2419" spans="1:9" x14ac:dyDescent="0.35">
      <c r="A2419">
        <v>2142790</v>
      </c>
      <c r="B2419" t="s">
        <v>872</v>
      </c>
      <c r="C2419" s="1">
        <v>45509</v>
      </c>
      <c r="D2419">
        <v>1616</v>
      </c>
      <c r="E2419" t="b">
        <v>0</v>
      </c>
      <c r="F2419">
        <v>347</v>
      </c>
      <c r="G2419" t="s">
        <v>293</v>
      </c>
      <c r="H2419" t="s">
        <v>346</v>
      </c>
      <c r="I2419" t="s">
        <v>2117</v>
      </c>
    </row>
    <row r="2420" spans="1:9" x14ac:dyDescent="0.35">
      <c r="A2420">
        <v>2142790</v>
      </c>
      <c r="B2420" t="s">
        <v>872</v>
      </c>
      <c r="C2420" s="1">
        <v>45509</v>
      </c>
      <c r="D2420">
        <v>1616</v>
      </c>
      <c r="E2420" t="b">
        <v>0</v>
      </c>
      <c r="F2420">
        <v>347</v>
      </c>
      <c r="G2420" t="s">
        <v>293</v>
      </c>
      <c r="H2420" t="s">
        <v>239</v>
      </c>
      <c r="I2420" t="s">
        <v>2116</v>
      </c>
    </row>
    <row r="2421" spans="1:9" x14ac:dyDescent="0.35">
      <c r="A2421">
        <v>2142790</v>
      </c>
      <c r="B2421" t="s">
        <v>872</v>
      </c>
      <c r="C2421" s="1">
        <v>45509</v>
      </c>
      <c r="D2421">
        <v>1616</v>
      </c>
      <c r="E2421" t="b">
        <v>0</v>
      </c>
      <c r="F2421">
        <v>347</v>
      </c>
      <c r="G2421" t="s">
        <v>293</v>
      </c>
      <c r="H2421" t="s">
        <v>132</v>
      </c>
      <c r="I2421" t="s">
        <v>2116</v>
      </c>
    </row>
    <row r="2422" spans="1:9" x14ac:dyDescent="0.35">
      <c r="A2422">
        <v>2142790</v>
      </c>
      <c r="B2422" t="s">
        <v>872</v>
      </c>
      <c r="C2422" s="1">
        <v>45509</v>
      </c>
      <c r="D2422">
        <v>1616</v>
      </c>
      <c r="E2422" t="b">
        <v>0</v>
      </c>
      <c r="F2422">
        <v>347</v>
      </c>
      <c r="G2422" t="s">
        <v>293</v>
      </c>
      <c r="H2422" t="s">
        <v>124</v>
      </c>
      <c r="I2422" t="s">
        <v>2117</v>
      </c>
    </row>
    <row r="2423" spans="1:9" x14ac:dyDescent="0.35">
      <c r="A2423">
        <v>2142790</v>
      </c>
      <c r="B2423" t="s">
        <v>872</v>
      </c>
      <c r="C2423" s="1">
        <v>45509</v>
      </c>
      <c r="D2423">
        <v>1616</v>
      </c>
      <c r="E2423" t="b">
        <v>0</v>
      </c>
      <c r="F2423">
        <v>347</v>
      </c>
      <c r="G2423" t="s">
        <v>293</v>
      </c>
      <c r="H2423" t="s">
        <v>1510</v>
      </c>
      <c r="I2423" t="s">
        <v>2117</v>
      </c>
    </row>
    <row r="2424" spans="1:9" x14ac:dyDescent="0.35">
      <c r="A2424">
        <v>335300</v>
      </c>
      <c r="B2424" t="s">
        <v>874</v>
      </c>
      <c r="C2424" s="1">
        <v>42095</v>
      </c>
      <c r="D2424">
        <v>1612</v>
      </c>
      <c r="E2424" t="b">
        <v>0</v>
      </c>
      <c r="F2424">
        <v>348</v>
      </c>
      <c r="G2424" t="s">
        <v>2091</v>
      </c>
      <c r="H2424" t="s">
        <v>49</v>
      </c>
      <c r="I2424" t="s">
        <v>2116</v>
      </c>
    </row>
    <row r="2425" spans="1:9" x14ac:dyDescent="0.35">
      <c r="A2425">
        <v>335300</v>
      </c>
      <c r="B2425" t="s">
        <v>874</v>
      </c>
      <c r="C2425" s="1">
        <v>42095</v>
      </c>
      <c r="D2425">
        <v>1612</v>
      </c>
      <c r="E2425" t="b">
        <v>0</v>
      </c>
      <c r="F2425">
        <v>348</v>
      </c>
      <c r="G2425" t="s">
        <v>2091</v>
      </c>
      <c r="H2425" t="s">
        <v>792</v>
      </c>
      <c r="I2425" t="s">
        <v>2117</v>
      </c>
    </row>
    <row r="2426" spans="1:9" x14ac:dyDescent="0.35">
      <c r="A2426">
        <v>335300</v>
      </c>
      <c r="B2426" t="s">
        <v>874</v>
      </c>
      <c r="C2426" s="1">
        <v>42095</v>
      </c>
      <c r="D2426">
        <v>1612</v>
      </c>
      <c r="E2426" t="b">
        <v>0</v>
      </c>
      <c r="F2426">
        <v>348</v>
      </c>
      <c r="G2426" t="s">
        <v>2091</v>
      </c>
      <c r="H2426" t="s">
        <v>346</v>
      </c>
      <c r="I2426" t="s">
        <v>2117</v>
      </c>
    </row>
    <row r="2427" spans="1:9" x14ac:dyDescent="0.35">
      <c r="A2427">
        <v>335300</v>
      </c>
      <c r="B2427" t="s">
        <v>874</v>
      </c>
      <c r="C2427" s="1">
        <v>42095</v>
      </c>
      <c r="D2427">
        <v>1612</v>
      </c>
      <c r="E2427" t="b">
        <v>0</v>
      </c>
      <c r="F2427">
        <v>348</v>
      </c>
      <c r="G2427" t="s">
        <v>2091</v>
      </c>
      <c r="H2427" t="s">
        <v>239</v>
      </c>
      <c r="I2427" t="s">
        <v>2117</v>
      </c>
    </row>
    <row r="2428" spans="1:9" x14ac:dyDescent="0.35">
      <c r="A2428">
        <v>335300</v>
      </c>
      <c r="B2428" t="s">
        <v>874</v>
      </c>
      <c r="C2428" s="1">
        <v>42095</v>
      </c>
      <c r="D2428">
        <v>1612</v>
      </c>
      <c r="E2428" t="b">
        <v>0</v>
      </c>
      <c r="F2428">
        <v>348</v>
      </c>
      <c r="G2428" t="s">
        <v>2091</v>
      </c>
      <c r="H2428" t="s">
        <v>132</v>
      </c>
      <c r="I2428" t="s">
        <v>2116</v>
      </c>
    </row>
    <row r="2429" spans="1:9" x14ac:dyDescent="0.35">
      <c r="A2429">
        <v>335300</v>
      </c>
      <c r="B2429" t="s">
        <v>874</v>
      </c>
      <c r="C2429" s="1">
        <v>42095</v>
      </c>
      <c r="D2429">
        <v>1612</v>
      </c>
      <c r="E2429" t="b">
        <v>0</v>
      </c>
      <c r="F2429">
        <v>348</v>
      </c>
      <c r="G2429" t="s">
        <v>2091</v>
      </c>
      <c r="H2429" t="s">
        <v>124</v>
      </c>
      <c r="I2429" t="s">
        <v>2117</v>
      </c>
    </row>
    <row r="2430" spans="1:9" x14ac:dyDescent="0.35">
      <c r="A2430">
        <v>335300</v>
      </c>
      <c r="B2430" t="s">
        <v>874</v>
      </c>
      <c r="C2430" s="1">
        <v>42095</v>
      </c>
      <c r="D2430">
        <v>1612</v>
      </c>
      <c r="E2430" t="b">
        <v>0</v>
      </c>
      <c r="F2430">
        <v>348</v>
      </c>
      <c r="G2430" t="s">
        <v>2091</v>
      </c>
      <c r="H2430" t="s">
        <v>1510</v>
      </c>
      <c r="I2430" t="s">
        <v>2117</v>
      </c>
    </row>
    <row r="2431" spans="1:9" x14ac:dyDescent="0.35">
      <c r="A2431">
        <v>786520</v>
      </c>
      <c r="B2431" t="s">
        <v>876</v>
      </c>
      <c r="C2431" s="1">
        <v>43173</v>
      </c>
      <c r="D2431">
        <v>1608</v>
      </c>
      <c r="E2431" t="b">
        <v>0</v>
      </c>
      <c r="F2431">
        <v>349</v>
      </c>
      <c r="G2431" t="s">
        <v>14</v>
      </c>
      <c r="H2431" t="s">
        <v>49</v>
      </c>
      <c r="I2431" t="s">
        <v>2117</v>
      </c>
    </row>
    <row r="2432" spans="1:9" x14ac:dyDescent="0.35">
      <c r="A2432">
        <v>786520</v>
      </c>
      <c r="B2432" t="s">
        <v>876</v>
      </c>
      <c r="C2432" s="1">
        <v>43173</v>
      </c>
      <c r="D2432">
        <v>1608</v>
      </c>
      <c r="E2432" t="b">
        <v>0</v>
      </c>
      <c r="F2432">
        <v>349</v>
      </c>
      <c r="G2432" t="s">
        <v>14</v>
      </c>
      <c r="H2432" t="s">
        <v>792</v>
      </c>
      <c r="I2432" t="s">
        <v>2117</v>
      </c>
    </row>
    <row r="2433" spans="1:9" x14ac:dyDescent="0.35">
      <c r="A2433">
        <v>786520</v>
      </c>
      <c r="B2433" t="s">
        <v>876</v>
      </c>
      <c r="C2433" s="1">
        <v>43173</v>
      </c>
      <c r="D2433">
        <v>1608</v>
      </c>
      <c r="E2433" t="b">
        <v>0</v>
      </c>
      <c r="F2433">
        <v>349</v>
      </c>
      <c r="G2433" t="s">
        <v>14</v>
      </c>
      <c r="H2433" t="s">
        <v>346</v>
      </c>
      <c r="I2433" t="s">
        <v>2117</v>
      </c>
    </row>
    <row r="2434" spans="1:9" x14ac:dyDescent="0.35">
      <c r="A2434">
        <v>786520</v>
      </c>
      <c r="B2434" t="s">
        <v>876</v>
      </c>
      <c r="C2434" s="1">
        <v>43173</v>
      </c>
      <c r="D2434">
        <v>1608</v>
      </c>
      <c r="E2434" t="b">
        <v>0</v>
      </c>
      <c r="F2434">
        <v>349</v>
      </c>
      <c r="G2434" t="s">
        <v>14</v>
      </c>
      <c r="H2434" t="s">
        <v>239</v>
      </c>
      <c r="I2434" t="s">
        <v>2117</v>
      </c>
    </row>
    <row r="2435" spans="1:9" x14ac:dyDescent="0.35">
      <c r="A2435">
        <v>786520</v>
      </c>
      <c r="B2435" t="s">
        <v>876</v>
      </c>
      <c r="C2435" s="1">
        <v>43173</v>
      </c>
      <c r="D2435">
        <v>1608</v>
      </c>
      <c r="E2435" t="b">
        <v>0</v>
      </c>
      <c r="F2435">
        <v>349</v>
      </c>
      <c r="G2435" t="s">
        <v>14</v>
      </c>
      <c r="H2435" t="s">
        <v>132</v>
      </c>
      <c r="I2435" t="s">
        <v>2117</v>
      </c>
    </row>
    <row r="2436" spans="1:9" x14ac:dyDescent="0.35">
      <c r="A2436">
        <v>786520</v>
      </c>
      <c r="B2436" t="s">
        <v>876</v>
      </c>
      <c r="C2436" s="1">
        <v>43173</v>
      </c>
      <c r="D2436">
        <v>1608</v>
      </c>
      <c r="E2436" t="b">
        <v>0</v>
      </c>
      <c r="F2436">
        <v>349</v>
      </c>
      <c r="G2436" t="s">
        <v>14</v>
      </c>
      <c r="H2436" t="s">
        <v>124</v>
      </c>
      <c r="I2436" t="s">
        <v>2117</v>
      </c>
    </row>
    <row r="2437" spans="1:9" x14ac:dyDescent="0.35">
      <c r="A2437">
        <v>786520</v>
      </c>
      <c r="B2437" t="s">
        <v>876</v>
      </c>
      <c r="C2437" s="1">
        <v>43173</v>
      </c>
      <c r="D2437">
        <v>1608</v>
      </c>
      <c r="E2437" t="b">
        <v>0</v>
      </c>
      <c r="F2437">
        <v>349</v>
      </c>
      <c r="G2437" t="s">
        <v>14</v>
      </c>
      <c r="H2437" t="s">
        <v>1510</v>
      </c>
      <c r="I2437" t="s">
        <v>2117</v>
      </c>
    </row>
    <row r="2438" spans="1:9" x14ac:dyDescent="0.35">
      <c r="A2438">
        <v>1850570</v>
      </c>
      <c r="B2438" t="s">
        <v>879</v>
      </c>
      <c r="C2438" s="1">
        <v>44650</v>
      </c>
      <c r="D2438">
        <v>1604</v>
      </c>
      <c r="E2438" t="b">
        <v>0</v>
      </c>
      <c r="F2438">
        <v>350</v>
      </c>
      <c r="G2438" t="s">
        <v>53</v>
      </c>
      <c r="H2438" t="s">
        <v>49</v>
      </c>
      <c r="I2438" t="s">
        <v>2116</v>
      </c>
    </row>
    <row r="2439" spans="1:9" x14ac:dyDescent="0.35">
      <c r="A2439">
        <v>1850570</v>
      </c>
      <c r="B2439" t="s">
        <v>879</v>
      </c>
      <c r="C2439" s="1">
        <v>44650</v>
      </c>
      <c r="D2439">
        <v>1604</v>
      </c>
      <c r="E2439" t="b">
        <v>0</v>
      </c>
      <c r="F2439">
        <v>350</v>
      </c>
      <c r="G2439" t="s">
        <v>53</v>
      </c>
      <c r="H2439" t="s">
        <v>792</v>
      </c>
      <c r="I2439" t="s">
        <v>2117</v>
      </c>
    </row>
    <row r="2440" spans="1:9" x14ac:dyDescent="0.35">
      <c r="A2440">
        <v>1850570</v>
      </c>
      <c r="B2440" t="s">
        <v>879</v>
      </c>
      <c r="C2440" s="1">
        <v>44650</v>
      </c>
      <c r="D2440">
        <v>1604</v>
      </c>
      <c r="E2440" t="b">
        <v>0</v>
      </c>
      <c r="F2440">
        <v>350</v>
      </c>
      <c r="G2440" t="s">
        <v>53</v>
      </c>
      <c r="H2440" t="s">
        <v>346</v>
      </c>
      <c r="I2440" t="s">
        <v>2116</v>
      </c>
    </row>
    <row r="2441" spans="1:9" x14ac:dyDescent="0.35">
      <c r="A2441">
        <v>1850570</v>
      </c>
      <c r="B2441" t="s">
        <v>879</v>
      </c>
      <c r="C2441" s="1">
        <v>44650</v>
      </c>
      <c r="D2441">
        <v>1604</v>
      </c>
      <c r="E2441" t="b">
        <v>0</v>
      </c>
      <c r="F2441">
        <v>350</v>
      </c>
      <c r="G2441" t="s">
        <v>53</v>
      </c>
      <c r="H2441" t="s">
        <v>239</v>
      </c>
      <c r="I2441" t="s">
        <v>2117</v>
      </c>
    </row>
    <row r="2442" spans="1:9" x14ac:dyDescent="0.35">
      <c r="A2442">
        <v>1850570</v>
      </c>
      <c r="B2442" t="s">
        <v>879</v>
      </c>
      <c r="C2442" s="1">
        <v>44650</v>
      </c>
      <c r="D2442">
        <v>1604</v>
      </c>
      <c r="E2442" t="b">
        <v>0</v>
      </c>
      <c r="F2442">
        <v>350</v>
      </c>
      <c r="G2442" t="s">
        <v>53</v>
      </c>
      <c r="H2442" t="s">
        <v>132</v>
      </c>
      <c r="I2442" t="s">
        <v>2117</v>
      </c>
    </row>
    <row r="2443" spans="1:9" x14ac:dyDescent="0.35">
      <c r="A2443">
        <v>1850570</v>
      </c>
      <c r="B2443" t="s">
        <v>879</v>
      </c>
      <c r="C2443" s="1">
        <v>44650</v>
      </c>
      <c r="D2443">
        <v>1604</v>
      </c>
      <c r="E2443" t="b">
        <v>0</v>
      </c>
      <c r="F2443">
        <v>350</v>
      </c>
      <c r="G2443" t="s">
        <v>53</v>
      </c>
      <c r="H2443" t="s">
        <v>124</v>
      </c>
      <c r="I2443" t="s">
        <v>2117</v>
      </c>
    </row>
    <row r="2444" spans="1:9" x14ac:dyDescent="0.35">
      <c r="A2444">
        <v>1850570</v>
      </c>
      <c r="B2444" t="s">
        <v>879</v>
      </c>
      <c r="C2444" s="1">
        <v>44650</v>
      </c>
      <c r="D2444">
        <v>1604</v>
      </c>
      <c r="E2444" t="b">
        <v>0</v>
      </c>
      <c r="F2444">
        <v>350</v>
      </c>
      <c r="G2444" t="s">
        <v>53</v>
      </c>
      <c r="H2444" t="s">
        <v>1510</v>
      </c>
      <c r="I2444" t="s">
        <v>2117</v>
      </c>
    </row>
    <row r="2445" spans="1:9" x14ac:dyDescent="0.35">
      <c r="A2445">
        <v>582160</v>
      </c>
      <c r="B2445" t="s">
        <v>881</v>
      </c>
      <c r="C2445" s="1">
        <v>43034</v>
      </c>
      <c r="D2445">
        <v>1604</v>
      </c>
      <c r="E2445" t="b">
        <v>0</v>
      </c>
      <c r="F2445">
        <v>350</v>
      </c>
      <c r="G2445" t="s">
        <v>304</v>
      </c>
      <c r="H2445" t="s">
        <v>49</v>
      </c>
      <c r="I2445" t="s">
        <v>2116</v>
      </c>
    </row>
    <row r="2446" spans="1:9" x14ac:dyDescent="0.35">
      <c r="A2446">
        <v>582160</v>
      </c>
      <c r="B2446" t="s">
        <v>881</v>
      </c>
      <c r="C2446" s="1">
        <v>43034</v>
      </c>
      <c r="D2446">
        <v>1604</v>
      </c>
      <c r="E2446" t="b">
        <v>0</v>
      </c>
      <c r="F2446">
        <v>350</v>
      </c>
      <c r="G2446" t="s">
        <v>304</v>
      </c>
      <c r="H2446" t="s">
        <v>792</v>
      </c>
      <c r="I2446" t="s">
        <v>2117</v>
      </c>
    </row>
    <row r="2447" spans="1:9" x14ac:dyDescent="0.35">
      <c r="A2447">
        <v>582160</v>
      </c>
      <c r="B2447" t="s">
        <v>881</v>
      </c>
      <c r="C2447" s="1">
        <v>43034</v>
      </c>
      <c r="D2447">
        <v>1604</v>
      </c>
      <c r="E2447" t="b">
        <v>0</v>
      </c>
      <c r="F2447">
        <v>350</v>
      </c>
      <c r="G2447" t="s">
        <v>304</v>
      </c>
      <c r="H2447" t="s">
        <v>346</v>
      </c>
      <c r="I2447" t="s">
        <v>2116</v>
      </c>
    </row>
    <row r="2448" spans="1:9" x14ac:dyDescent="0.35">
      <c r="A2448">
        <v>582160</v>
      </c>
      <c r="B2448" t="s">
        <v>881</v>
      </c>
      <c r="C2448" s="1">
        <v>43034</v>
      </c>
      <c r="D2448">
        <v>1604</v>
      </c>
      <c r="E2448" t="b">
        <v>0</v>
      </c>
      <c r="F2448">
        <v>350</v>
      </c>
      <c r="G2448" t="s">
        <v>304</v>
      </c>
      <c r="H2448" t="s">
        <v>239</v>
      </c>
      <c r="I2448" t="s">
        <v>2117</v>
      </c>
    </row>
    <row r="2449" spans="1:9" x14ac:dyDescent="0.35">
      <c r="A2449">
        <v>582160</v>
      </c>
      <c r="B2449" t="s">
        <v>881</v>
      </c>
      <c r="C2449" s="1">
        <v>43034</v>
      </c>
      <c r="D2449">
        <v>1604</v>
      </c>
      <c r="E2449" t="b">
        <v>0</v>
      </c>
      <c r="F2449">
        <v>350</v>
      </c>
      <c r="G2449" t="s">
        <v>304</v>
      </c>
      <c r="H2449" t="s">
        <v>132</v>
      </c>
      <c r="I2449" t="s">
        <v>2116</v>
      </c>
    </row>
    <row r="2450" spans="1:9" x14ac:dyDescent="0.35">
      <c r="A2450">
        <v>582160</v>
      </c>
      <c r="B2450" t="s">
        <v>881</v>
      </c>
      <c r="C2450" s="1">
        <v>43034</v>
      </c>
      <c r="D2450">
        <v>1604</v>
      </c>
      <c r="E2450" t="b">
        <v>0</v>
      </c>
      <c r="F2450">
        <v>350</v>
      </c>
      <c r="G2450" t="s">
        <v>304</v>
      </c>
      <c r="H2450" t="s">
        <v>124</v>
      </c>
      <c r="I2450" t="s">
        <v>2117</v>
      </c>
    </row>
    <row r="2451" spans="1:9" x14ac:dyDescent="0.35">
      <c r="A2451">
        <v>582160</v>
      </c>
      <c r="B2451" t="s">
        <v>881</v>
      </c>
      <c r="C2451" s="1">
        <v>43034</v>
      </c>
      <c r="D2451">
        <v>1604</v>
      </c>
      <c r="E2451" t="b">
        <v>0</v>
      </c>
      <c r="F2451">
        <v>350</v>
      </c>
      <c r="G2451" t="s">
        <v>304</v>
      </c>
      <c r="H2451" t="s">
        <v>1510</v>
      </c>
      <c r="I2451" t="s">
        <v>2117</v>
      </c>
    </row>
    <row r="2452" spans="1:9" x14ac:dyDescent="0.35">
      <c r="A2452">
        <v>1259420</v>
      </c>
      <c r="B2452" t="s">
        <v>883</v>
      </c>
      <c r="C2452" s="1">
        <v>44333</v>
      </c>
      <c r="D2452">
        <v>1600</v>
      </c>
      <c r="E2452" t="b">
        <v>0</v>
      </c>
      <c r="F2452">
        <v>352</v>
      </c>
      <c r="G2452" t="s">
        <v>18</v>
      </c>
      <c r="H2452" t="s">
        <v>49</v>
      </c>
      <c r="I2452" t="s">
        <v>2116</v>
      </c>
    </row>
    <row r="2453" spans="1:9" x14ac:dyDescent="0.35">
      <c r="A2453">
        <v>1259420</v>
      </c>
      <c r="B2453" t="s">
        <v>883</v>
      </c>
      <c r="C2453" s="1">
        <v>44333</v>
      </c>
      <c r="D2453">
        <v>1600</v>
      </c>
      <c r="E2453" t="b">
        <v>0</v>
      </c>
      <c r="F2453">
        <v>352</v>
      </c>
      <c r="G2453" t="s">
        <v>18</v>
      </c>
      <c r="H2453" t="s">
        <v>792</v>
      </c>
      <c r="I2453" t="s">
        <v>2117</v>
      </c>
    </row>
    <row r="2454" spans="1:9" x14ac:dyDescent="0.35">
      <c r="A2454">
        <v>1259420</v>
      </c>
      <c r="B2454" t="s">
        <v>883</v>
      </c>
      <c r="C2454" s="1">
        <v>44333</v>
      </c>
      <c r="D2454">
        <v>1600</v>
      </c>
      <c r="E2454" t="b">
        <v>0</v>
      </c>
      <c r="F2454">
        <v>352</v>
      </c>
      <c r="G2454" t="s">
        <v>18</v>
      </c>
      <c r="H2454" t="s">
        <v>346</v>
      </c>
      <c r="I2454" t="s">
        <v>2116</v>
      </c>
    </row>
    <row r="2455" spans="1:9" x14ac:dyDescent="0.35">
      <c r="A2455">
        <v>1259420</v>
      </c>
      <c r="B2455" t="s">
        <v>883</v>
      </c>
      <c r="C2455" s="1">
        <v>44333</v>
      </c>
      <c r="D2455">
        <v>1600</v>
      </c>
      <c r="E2455" t="b">
        <v>0</v>
      </c>
      <c r="F2455">
        <v>352</v>
      </c>
      <c r="G2455" t="s">
        <v>18</v>
      </c>
      <c r="H2455" t="s">
        <v>239</v>
      </c>
      <c r="I2455" t="s">
        <v>2117</v>
      </c>
    </row>
    <row r="2456" spans="1:9" x14ac:dyDescent="0.35">
      <c r="A2456">
        <v>1259420</v>
      </c>
      <c r="B2456" t="s">
        <v>883</v>
      </c>
      <c r="C2456" s="1">
        <v>44333</v>
      </c>
      <c r="D2456">
        <v>1600</v>
      </c>
      <c r="E2456" t="b">
        <v>0</v>
      </c>
      <c r="F2456">
        <v>352</v>
      </c>
      <c r="G2456" t="s">
        <v>18</v>
      </c>
      <c r="H2456" t="s">
        <v>132</v>
      </c>
      <c r="I2456" t="s">
        <v>2117</v>
      </c>
    </row>
    <row r="2457" spans="1:9" x14ac:dyDescent="0.35">
      <c r="A2457">
        <v>1259420</v>
      </c>
      <c r="B2457" t="s">
        <v>883</v>
      </c>
      <c r="C2457" s="1">
        <v>44333</v>
      </c>
      <c r="D2457">
        <v>1600</v>
      </c>
      <c r="E2457" t="b">
        <v>0</v>
      </c>
      <c r="F2457">
        <v>352</v>
      </c>
      <c r="G2457" t="s">
        <v>18</v>
      </c>
      <c r="H2457" t="s">
        <v>124</v>
      </c>
      <c r="I2457" t="s">
        <v>2117</v>
      </c>
    </row>
    <row r="2458" spans="1:9" x14ac:dyDescent="0.35">
      <c r="A2458">
        <v>1259420</v>
      </c>
      <c r="B2458" t="s">
        <v>883</v>
      </c>
      <c r="C2458" s="1">
        <v>44333</v>
      </c>
      <c r="D2458">
        <v>1600</v>
      </c>
      <c r="E2458" t="b">
        <v>0</v>
      </c>
      <c r="F2458">
        <v>352</v>
      </c>
      <c r="G2458" t="s">
        <v>18</v>
      </c>
      <c r="H2458" t="s">
        <v>1510</v>
      </c>
      <c r="I2458" t="s">
        <v>2117</v>
      </c>
    </row>
    <row r="2459" spans="1:9" x14ac:dyDescent="0.35">
      <c r="A2459">
        <v>2322010</v>
      </c>
      <c r="B2459" t="s">
        <v>885</v>
      </c>
      <c r="C2459" s="1">
        <v>45554</v>
      </c>
      <c r="D2459">
        <v>1591</v>
      </c>
      <c r="E2459" t="b">
        <v>0</v>
      </c>
      <c r="F2459">
        <v>353</v>
      </c>
      <c r="G2459" t="s">
        <v>147</v>
      </c>
      <c r="H2459" t="s">
        <v>49</v>
      </c>
      <c r="I2459" t="s">
        <v>2116</v>
      </c>
    </row>
    <row r="2460" spans="1:9" x14ac:dyDescent="0.35">
      <c r="A2460">
        <v>2322010</v>
      </c>
      <c r="B2460" t="s">
        <v>885</v>
      </c>
      <c r="C2460" s="1">
        <v>45554</v>
      </c>
      <c r="D2460">
        <v>1591</v>
      </c>
      <c r="E2460" t="b">
        <v>0</v>
      </c>
      <c r="F2460">
        <v>353</v>
      </c>
      <c r="G2460" t="s">
        <v>147</v>
      </c>
      <c r="H2460" t="s">
        <v>792</v>
      </c>
      <c r="I2460" t="s">
        <v>2117</v>
      </c>
    </row>
    <row r="2461" spans="1:9" x14ac:dyDescent="0.35">
      <c r="A2461">
        <v>2322010</v>
      </c>
      <c r="B2461" t="s">
        <v>885</v>
      </c>
      <c r="C2461" s="1">
        <v>45554</v>
      </c>
      <c r="D2461">
        <v>1591</v>
      </c>
      <c r="E2461" t="b">
        <v>0</v>
      </c>
      <c r="F2461">
        <v>353</v>
      </c>
      <c r="G2461" t="s">
        <v>147</v>
      </c>
      <c r="H2461" t="s">
        <v>346</v>
      </c>
      <c r="I2461" t="s">
        <v>2116</v>
      </c>
    </row>
    <row r="2462" spans="1:9" x14ac:dyDescent="0.35">
      <c r="A2462">
        <v>2322010</v>
      </c>
      <c r="B2462" t="s">
        <v>885</v>
      </c>
      <c r="C2462" s="1">
        <v>45554</v>
      </c>
      <c r="D2462">
        <v>1591</v>
      </c>
      <c r="E2462" t="b">
        <v>0</v>
      </c>
      <c r="F2462">
        <v>353</v>
      </c>
      <c r="G2462" t="s">
        <v>147</v>
      </c>
      <c r="H2462" t="s">
        <v>239</v>
      </c>
      <c r="I2462" t="s">
        <v>2117</v>
      </c>
    </row>
    <row r="2463" spans="1:9" x14ac:dyDescent="0.35">
      <c r="A2463">
        <v>2322010</v>
      </c>
      <c r="B2463" t="s">
        <v>885</v>
      </c>
      <c r="C2463" s="1">
        <v>45554</v>
      </c>
      <c r="D2463">
        <v>1591</v>
      </c>
      <c r="E2463" t="b">
        <v>0</v>
      </c>
      <c r="F2463">
        <v>353</v>
      </c>
      <c r="G2463" t="s">
        <v>147</v>
      </c>
      <c r="H2463" t="s">
        <v>132</v>
      </c>
      <c r="I2463" t="s">
        <v>2116</v>
      </c>
    </row>
    <row r="2464" spans="1:9" x14ac:dyDescent="0.35">
      <c r="A2464">
        <v>2322010</v>
      </c>
      <c r="B2464" t="s">
        <v>885</v>
      </c>
      <c r="C2464" s="1">
        <v>45554</v>
      </c>
      <c r="D2464">
        <v>1591</v>
      </c>
      <c r="E2464" t="b">
        <v>0</v>
      </c>
      <c r="F2464">
        <v>353</v>
      </c>
      <c r="G2464" t="s">
        <v>147</v>
      </c>
      <c r="H2464" t="s">
        <v>124</v>
      </c>
      <c r="I2464" t="s">
        <v>2117</v>
      </c>
    </row>
    <row r="2465" spans="1:9" x14ac:dyDescent="0.35">
      <c r="A2465">
        <v>2322010</v>
      </c>
      <c r="B2465" t="s">
        <v>885</v>
      </c>
      <c r="C2465" s="1">
        <v>45554</v>
      </c>
      <c r="D2465">
        <v>1591</v>
      </c>
      <c r="E2465" t="b">
        <v>0</v>
      </c>
      <c r="F2465">
        <v>353</v>
      </c>
      <c r="G2465" t="s">
        <v>147</v>
      </c>
      <c r="H2465" t="s">
        <v>1510</v>
      </c>
      <c r="I2465" t="s">
        <v>2117</v>
      </c>
    </row>
    <row r="2466" spans="1:9" x14ac:dyDescent="0.35">
      <c r="A2466">
        <v>379720</v>
      </c>
      <c r="B2466" t="s">
        <v>887</v>
      </c>
      <c r="C2466" s="1">
        <v>42502</v>
      </c>
      <c r="D2466">
        <v>1590</v>
      </c>
      <c r="E2466" t="b">
        <v>0</v>
      </c>
      <c r="F2466">
        <v>354</v>
      </c>
      <c r="G2466" t="s">
        <v>33</v>
      </c>
      <c r="H2466" t="s">
        <v>49</v>
      </c>
      <c r="I2466" t="s">
        <v>2116</v>
      </c>
    </row>
    <row r="2467" spans="1:9" x14ac:dyDescent="0.35">
      <c r="A2467">
        <v>379720</v>
      </c>
      <c r="B2467" t="s">
        <v>887</v>
      </c>
      <c r="C2467" s="1">
        <v>42502</v>
      </c>
      <c r="D2467">
        <v>1590</v>
      </c>
      <c r="E2467" t="b">
        <v>0</v>
      </c>
      <c r="F2467">
        <v>354</v>
      </c>
      <c r="G2467" t="s">
        <v>33</v>
      </c>
      <c r="H2467" t="s">
        <v>792</v>
      </c>
      <c r="I2467" t="s">
        <v>2117</v>
      </c>
    </row>
    <row r="2468" spans="1:9" x14ac:dyDescent="0.35">
      <c r="A2468">
        <v>379720</v>
      </c>
      <c r="B2468" t="s">
        <v>887</v>
      </c>
      <c r="C2468" s="1">
        <v>42502</v>
      </c>
      <c r="D2468">
        <v>1590</v>
      </c>
      <c r="E2468" t="b">
        <v>0</v>
      </c>
      <c r="F2468">
        <v>354</v>
      </c>
      <c r="G2468" t="s">
        <v>33</v>
      </c>
      <c r="H2468" t="s">
        <v>346</v>
      </c>
      <c r="I2468" t="s">
        <v>2117</v>
      </c>
    </row>
    <row r="2469" spans="1:9" x14ac:dyDescent="0.35">
      <c r="A2469">
        <v>379720</v>
      </c>
      <c r="B2469" t="s">
        <v>887</v>
      </c>
      <c r="C2469" s="1">
        <v>42502</v>
      </c>
      <c r="D2469">
        <v>1590</v>
      </c>
      <c r="E2469" t="b">
        <v>0</v>
      </c>
      <c r="F2469">
        <v>354</v>
      </c>
      <c r="G2469" t="s">
        <v>33</v>
      </c>
      <c r="H2469" t="s">
        <v>239</v>
      </c>
      <c r="I2469" t="s">
        <v>2117</v>
      </c>
    </row>
    <row r="2470" spans="1:9" x14ac:dyDescent="0.35">
      <c r="A2470">
        <v>379720</v>
      </c>
      <c r="B2470" t="s">
        <v>887</v>
      </c>
      <c r="C2470" s="1">
        <v>42502</v>
      </c>
      <c r="D2470">
        <v>1590</v>
      </c>
      <c r="E2470" t="b">
        <v>0</v>
      </c>
      <c r="F2470">
        <v>354</v>
      </c>
      <c r="G2470" t="s">
        <v>33</v>
      </c>
      <c r="H2470" t="s">
        <v>132</v>
      </c>
      <c r="I2470" t="s">
        <v>2117</v>
      </c>
    </row>
    <row r="2471" spans="1:9" x14ac:dyDescent="0.35">
      <c r="A2471">
        <v>379720</v>
      </c>
      <c r="B2471" t="s">
        <v>887</v>
      </c>
      <c r="C2471" s="1">
        <v>42502</v>
      </c>
      <c r="D2471">
        <v>1590</v>
      </c>
      <c r="E2471" t="b">
        <v>0</v>
      </c>
      <c r="F2471">
        <v>354</v>
      </c>
      <c r="G2471" t="s">
        <v>33</v>
      </c>
      <c r="H2471" t="s">
        <v>124</v>
      </c>
      <c r="I2471" t="s">
        <v>2117</v>
      </c>
    </row>
    <row r="2472" spans="1:9" x14ac:dyDescent="0.35">
      <c r="A2472">
        <v>379720</v>
      </c>
      <c r="B2472" t="s">
        <v>887</v>
      </c>
      <c r="C2472" s="1">
        <v>42502</v>
      </c>
      <c r="D2472">
        <v>1590</v>
      </c>
      <c r="E2472" t="b">
        <v>0</v>
      </c>
      <c r="F2472">
        <v>354</v>
      </c>
      <c r="G2472" t="s">
        <v>33</v>
      </c>
      <c r="H2472" t="s">
        <v>1510</v>
      </c>
      <c r="I2472" t="s">
        <v>2117</v>
      </c>
    </row>
    <row r="2473" spans="1:9" x14ac:dyDescent="0.35">
      <c r="A2473">
        <v>1206560</v>
      </c>
      <c r="B2473" t="s">
        <v>889</v>
      </c>
      <c r="C2473" s="1">
        <v>44532</v>
      </c>
      <c r="D2473">
        <v>1589</v>
      </c>
      <c r="E2473" t="b">
        <v>1</v>
      </c>
      <c r="F2473">
        <v>355</v>
      </c>
      <c r="G2473" t="s">
        <v>14</v>
      </c>
      <c r="H2473" t="s">
        <v>49</v>
      </c>
      <c r="I2473" t="s">
        <v>2117</v>
      </c>
    </row>
    <row r="2474" spans="1:9" x14ac:dyDescent="0.35">
      <c r="A2474">
        <v>1206560</v>
      </c>
      <c r="B2474" t="s">
        <v>889</v>
      </c>
      <c r="C2474" s="1">
        <v>44532</v>
      </c>
      <c r="D2474">
        <v>1589</v>
      </c>
      <c r="E2474" t="b">
        <v>1</v>
      </c>
      <c r="F2474">
        <v>355</v>
      </c>
      <c r="G2474" t="s">
        <v>14</v>
      </c>
      <c r="H2474" t="s">
        <v>792</v>
      </c>
      <c r="I2474" t="s">
        <v>2116</v>
      </c>
    </row>
    <row r="2475" spans="1:9" x14ac:dyDescent="0.35">
      <c r="A2475">
        <v>1206560</v>
      </c>
      <c r="B2475" t="s">
        <v>889</v>
      </c>
      <c r="C2475" s="1">
        <v>44532</v>
      </c>
      <c r="D2475">
        <v>1589</v>
      </c>
      <c r="E2475" t="b">
        <v>1</v>
      </c>
      <c r="F2475">
        <v>355</v>
      </c>
      <c r="G2475" t="s">
        <v>14</v>
      </c>
      <c r="H2475" t="s">
        <v>346</v>
      </c>
      <c r="I2475" t="s">
        <v>2117</v>
      </c>
    </row>
    <row r="2476" spans="1:9" x14ac:dyDescent="0.35">
      <c r="A2476">
        <v>1206560</v>
      </c>
      <c r="B2476" t="s">
        <v>889</v>
      </c>
      <c r="C2476" s="1">
        <v>44532</v>
      </c>
      <c r="D2476">
        <v>1589</v>
      </c>
      <c r="E2476" t="b">
        <v>1</v>
      </c>
      <c r="F2476">
        <v>355</v>
      </c>
      <c r="G2476" t="s">
        <v>14</v>
      </c>
      <c r="H2476" t="s">
        <v>239</v>
      </c>
      <c r="I2476" t="s">
        <v>2116</v>
      </c>
    </row>
    <row r="2477" spans="1:9" x14ac:dyDescent="0.35">
      <c r="A2477">
        <v>1206560</v>
      </c>
      <c r="B2477" t="s">
        <v>889</v>
      </c>
      <c r="C2477" s="1">
        <v>44532</v>
      </c>
      <c r="D2477">
        <v>1589</v>
      </c>
      <c r="E2477" t="b">
        <v>1</v>
      </c>
      <c r="F2477">
        <v>355</v>
      </c>
      <c r="G2477" t="s">
        <v>14</v>
      </c>
      <c r="H2477" t="s">
        <v>132</v>
      </c>
      <c r="I2477" t="s">
        <v>2117</v>
      </c>
    </row>
    <row r="2478" spans="1:9" x14ac:dyDescent="0.35">
      <c r="A2478">
        <v>1206560</v>
      </c>
      <c r="B2478" t="s">
        <v>889</v>
      </c>
      <c r="C2478" s="1">
        <v>44532</v>
      </c>
      <c r="D2478">
        <v>1589</v>
      </c>
      <c r="E2478" t="b">
        <v>1</v>
      </c>
      <c r="F2478">
        <v>355</v>
      </c>
      <c r="G2478" t="s">
        <v>14</v>
      </c>
      <c r="H2478" t="s">
        <v>124</v>
      </c>
      <c r="I2478" t="s">
        <v>2117</v>
      </c>
    </row>
    <row r="2479" spans="1:9" x14ac:dyDescent="0.35">
      <c r="A2479">
        <v>1206560</v>
      </c>
      <c r="B2479" t="s">
        <v>889</v>
      </c>
      <c r="C2479" s="1">
        <v>44532</v>
      </c>
      <c r="D2479">
        <v>1589</v>
      </c>
      <c r="E2479" t="b">
        <v>1</v>
      </c>
      <c r="F2479">
        <v>355</v>
      </c>
      <c r="G2479" t="s">
        <v>14</v>
      </c>
      <c r="H2479" t="s">
        <v>1510</v>
      </c>
      <c r="I2479" t="s">
        <v>2117</v>
      </c>
    </row>
    <row r="2480" spans="1:9" x14ac:dyDescent="0.35">
      <c r="A2480">
        <v>208650</v>
      </c>
      <c r="B2480" t="s">
        <v>892</v>
      </c>
      <c r="C2480" s="1">
        <v>42178</v>
      </c>
      <c r="D2480">
        <v>1587</v>
      </c>
      <c r="E2480" t="b">
        <v>0</v>
      </c>
      <c r="F2480">
        <v>356</v>
      </c>
      <c r="G2480" t="s">
        <v>2087</v>
      </c>
      <c r="H2480" t="s">
        <v>49</v>
      </c>
      <c r="I2480" t="s">
        <v>2116</v>
      </c>
    </row>
    <row r="2481" spans="1:9" x14ac:dyDescent="0.35">
      <c r="A2481">
        <v>208650</v>
      </c>
      <c r="B2481" t="s">
        <v>892</v>
      </c>
      <c r="C2481" s="1">
        <v>42178</v>
      </c>
      <c r="D2481">
        <v>1587</v>
      </c>
      <c r="E2481" t="b">
        <v>0</v>
      </c>
      <c r="F2481">
        <v>356</v>
      </c>
      <c r="G2481" t="s">
        <v>2087</v>
      </c>
      <c r="H2481" t="s">
        <v>792</v>
      </c>
      <c r="I2481" t="s">
        <v>2117</v>
      </c>
    </row>
    <row r="2482" spans="1:9" x14ac:dyDescent="0.35">
      <c r="A2482">
        <v>208650</v>
      </c>
      <c r="B2482" t="s">
        <v>892</v>
      </c>
      <c r="C2482" s="1">
        <v>42178</v>
      </c>
      <c r="D2482">
        <v>1587</v>
      </c>
      <c r="E2482" t="b">
        <v>0</v>
      </c>
      <c r="F2482">
        <v>356</v>
      </c>
      <c r="G2482" t="s">
        <v>2087</v>
      </c>
      <c r="H2482" t="s">
        <v>346</v>
      </c>
      <c r="I2482" t="s">
        <v>2116</v>
      </c>
    </row>
    <row r="2483" spans="1:9" x14ac:dyDescent="0.35">
      <c r="A2483">
        <v>208650</v>
      </c>
      <c r="B2483" t="s">
        <v>892</v>
      </c>
      <c r="C2483" s="1">
        <v>42178</v>
      </c>
      <c r="D2483">
        <v>1587</v>
      </c>
      <c r="E2483" t="b">
        <v>0</v>
      </c>
      <c r="F2483">
        <v>356</v>
      </c>
      <c r="G2483" t="s">
        <v>2087</v>
      </c>
      <c r="H2483" t="s">
        <v>239</v>
      </c>
      <c r="I2483" t="s">
        <v>2117</v>
      </c>
    </row>
    <row r="2484" spans="1:9" x14ac:dyDescent="0.35">
      <c r="A2484">
        <v>208650</v>
      </c>
      <c r="B2484" t="s">
        <v>892</v>
      </c>
      <c r="C2484" s="1">
        <v>42178</v>
      </c>
      <c r="D2484">
        <v>1587</v>
      </c>
      <c r="E2484" t="b">
        <v>0</v>
      </c>
      <c r="F2484">
        <v>356</v>
      </c>
      <c r="G2484" t="s">
        <v>2087</v>
      </c>
      <c r="H2484" t="s">
        <v>132</v>
      </c>
      <c r="I2484" t="s">
        <v>2117</v>
      </c>
    </row>
    <row r="2485" spans="1:9" x14ac:dyDescent="0.35">
      <c r="A2485">
        <v>208650</v>
      </c>
      <c r="B2485" t="s">
        <v>892</v>
      </c>
      <c r="C2485" s="1">
        <v>42178</v>
      </c>
      <c r="D2485">
        <v>1587</v>
      </c>
      <c r="E2485" t="b">
        <v>0</v>
      </c>
      <c r="F2485">
        <v>356</v>
      </c>
      <c r="G2485" t="s">
        <v>2087</v>
      </c>
      <c r="H2485" t="s">
        <v>124</v>
      </c>
      <c r="I2485" t="s">
        <v>2117</v>
      </c>
    </row>
    <row r="2486" spans="1:9" x14ac:dyDescent="0.35">
      <c r="A2486">
        <v>208650</v>
      </c>
      <c r="B2486" t="s">
        <v>892</v>
      </c>
      <c r="C2486" s="1">
        <v>42178</v>
      </c>
      <c r="D2486">
        <v>1587</v>
      </c>
      <c r="E2486" t="b">
        <v>0</v>
      </c>
      <c r="F2486">
        <v>356</v>
      </c>
      <c r="G2486" t="s">
        <v>2087</v>
      </c>
      <c r="H2486" t="s">
        <v>1510</v>
      </c>
      <c r="I2486" t="s">
        <v>2117</v>
      </c>
    </row>
    <row r="2487" spans="1:9" x14ac:dyDescent="0.35">
      <c r="A2487">
        <v>1227890</v>
      </c>
      <c r="B2487" t="s">
        <v>894</v>
      </c>
      <c r="C2487" s="1">
        <v>43996</v>
      </c>
      <c r="D2487">
        <v>1585</v>
      </c>
      <c r="E2487" t="b">
        <v>0</v>
      </c>
      <c r="F2487">
        <v>357</v>
      </c>
      <c r="G2487" t="s">
        <v>110</v>
      </c>
      <c r="H2487" t="s">
        <v>49</v>
      </c>
      <c r="I2487" t="s">
        <v>2117</v>
      </c>
    </row>
    <row r="2488" spans="1:9" x14ac:dyDescent="0.35">
      <c r="A2488">
        <v>1227890</v>
      </c>
      <c r="B2488" t="s">
        <v>894</v>
      </c>
      <c r="C2488" s="1">
        <v>43996</v>
      </c>
      <c r="D2488">
        <v>1585</v>
      </c>
      <c r="E2488" t="b">
        <v>0</v>
      </c>
      <c r="F2488">
        <v>357</v>
      </c>
      <c r="G2488" t="s">
        <v>110</v>
      </c>
      <c r="H2488" t="s">
        <v>792</v>
      </c>
      <c r="I2488" t="s">
        <v>2117</v>
      </c>
    </row>
    <row r="2489" spans="1:9" x14ac:dyDescent="0.35">
      <c r="A2489">
        <v>1227890</v>
      </c>
      <c r="B2489" t="s">
        <v>894</v>
      </c>
      <c r="C2489" s="1">
        <v>43996</v>
      </c>
      <c r="D2489">
        <v>1585</v>
      </c>
      <c r="E2489" t="b">
        <v>0</v>
      </c>
      <c r="F2489">
        <v>357</v>
      </c>
      <c r="G2489" t="s">
        <v>110</v>
      </c>
      <c r="H2489" t="s">
        <v>346</v>
      </c>
      <c r="I2489" t="s">
        <v>2116</v>
      </c>
    </row>
    <row r="2490" spans="1:9" x14ac:dyDescent="0.35">
      <c r="A2490">
        <v>1227890</v>
      </c>
      <c r="B2490" t="s">
        <v>894</v>
      </c>
      <c r="C2490" s="1">
        <v>43996</v>
      </c>
      <c r="D2490">
        <v>1585</v>
      </c>
      <c r="E2490" t="b">
        <v>0</v>
      </c>
      <c r="F2490">
        <v>357</v>
      </c>
      <c r="G2490" t="s">
        <v>110</v>
      </c>
      <c r="H2490" t="s">
        <v>239</v>
      </c>
      <c r="I2490" t="s">
        <v>2117</v>
      </c>
    </row>
    <row r="2491" spans="1:9" x14ac:dyDescent="0.35">
      <c r="A2491">
        <v>1227890</v>
      </c>
      <c r="B2491" t="s">
        <v>894</v>
      </c>
      <c r="C2491" s="1">
        <v>43996</v>
      </c>
      <c r="D2491">
        <v>1585</v>
      </c>
      <c r="E2491" t="b">
        <v>0</v>
      </c>
      <c r="F2491">
        <v>357</v>
      </c>
      <c r="G2491" t="s">
        <v>110</v>
      </c>
      <c r="H2491" t="s">
        <v>132</v>
      </c>
      <c r="I2491" t="s">
        <v>2116</v>
      </c>
    </row>
    <row r="2492" spans="1:9" x14ac:dyDescent="0.35">
      <c r="A2492">
        <v>1227890</v>
      </c>
      <c r="B2492" t="s">
        <v>894</v>
      </c>
      <c r="C2492" s="1">
        <v>43996</v>
      </c>
      <c r="D2492">
        <v>1585</v>
      </c>
      <c r="E2492" t="b">
        <v>0</v>
      </c>
      <c r="F2492">
        <v>357</v>
      </c>
      <c r="G2492" t="s">
        <v>110</v>
      </c>
      <c r="H2492" t="s">
        <v>124</v>
      </c>
      <c r="I2492" t="s">
        <v>2117</v>
      </c>
    </row>
    <row r="2493" spans="1:9" x14ac:dyDescent="0.35">
      <c r="A2493">
        <v>1227890</v>
      </c>
      <c r="B2493" t="s">
        <v>894</v>
      </c>
      <c r="C2493" s="1">
        <v>43996</v>
      </c>
      <c r="D2493">
        <v>1585</v>
      </c>
      <c r="E2493" t="b">
        <v>0</v>
      </c>
      <c r="F2493">
        <v>357</v>
      </c>
      <c r="G2493" t="s">
        <v>110</v>
      </c>
      <c r="H2493" t="s">
        <v>1510</v>
      </c>
      <c r="I2493" t="s">
        <v>2117</v>
      </c>
    </row>
    <row r="2494" spans="1:9" x14ac:dyDescent="0.35">
      <c r="A2494">
        <v>1282100</v>
      </c>
      <c r="B2494" t="s">
        <v>897</v>
      </c>
      <c r="C2494" s="1">
        <v>45132</v>
      </c>
      <c r="D2494">
        <v>1573</v>
      </c>
      <c r="E2494" t="b">
        <v>0</v>
      </c>
      <c r="F2494">
        <v>358</v>
      </c>
      <c r="G2494" t="s">
        <v>36</v>
      </c>
      <c r="H2494" t="s">
        <v>49</v>
      </c>
      <c r="I2494" t="s">
        <v>2116</v>
      </c>
    </row>
    <row r="2495" spans="1:9" x14ac:dyDescent="0.35">
      <c r="A2495">
        <v>1282100</v>
      </c>
      <c r="B2495" t="s">
        <v>897</v>
      </c>
      <c r="C2495" s="1">
        <v>45132</v>
      </c>
      <c r="D2495">
        <v>1573</v>
      </c>
      <c r="E2495" t="b">
        <v>0</v>
      </c>
      <c r="F2495">
        <v>358</v>
      </c>
      <c r="G2495" t="s">
        <v>36</v>
      </c>
      <c r="H2495" t="s">
        <v>792</v>
      </c>
      <c r="I2495" t="s">
        <v>2117</v>
      </c>
    </row>
    <row r="2496" spans="1:9" x14ac:dyDescent="0.35">
      <c r="A2496">
        <v>1282100</v>
      </c>
      <c r="B2496" t="s">
        <v>897</v>
      </c>
      <c r="C2496" s="1">
        <v>45132</v>
      </c>
      <c r="D2496">
        <v>1573</v>
      </c>
      <c r="E2496" t="b">
        <v>0</v>
      </c>
      <c r="F2496">
        <v>358</v>
      </c>
      <c r="G2496" t="s">
        <v>36</v>
      </c>
      <c r="H2496" t="s">
        <v>346</v>
      </c>
      <c r="I2496" t="s">
        <v>2116</v>
      </c>
    </row>
    <row r="2497" spans="1:9" x14ac:dyDescent="0.35">
      <c r="A2497">
        <v>1282100</v>
      </c>
      <c r="B2497" t="s">
        <v>897</v>
      </c>
      <c r="C2497" s="1">
        <v>45132</v>
      </c>
      <c r="D2497">
        <v>1573</v>
      </c>
      <c r="E2497" t="b">
        <v>0</v>
      </c>
      <c r="F2497">
        <v>358</v>
      </c>
      <c r="G2497" t="s">
        <v>36</v>
      </c>
      <c r="H2497" t="s">
        <v>239</v>
      </c>
      <c r="I2497" t="s">
        <v>2117</v>
      </c>
    </row>
    <row r="2498" spans="1:9" x14ac:dyDescent="0.35">
      <c r="A2498">
        <v>1282100</v>
      </c>
      <c r="B2498" t="s">
        <v>897</v>
      </c>
      <c r="C2498" s="1">
        <v>45132</v>
      </c>
      <c r="D2498">
        <v>1573</v>
      </c>
      <c r="E2498" t="b">
        <v>0</v>
      </c>
      <c r="F2498">
        <v>358</v>
      </c>
      <c r="G2498" t="s">
        <v>36</v>
      </c>
      <c r="H2498" t="s">
        <v>132</v>
      </c>
      <c r="I2498" t="s">
        <v>2116</v>
      </c>
    </row>
    <row r="2499" spans="1:9" x14ac:dyDescent="0.35">
      <c r="A2499">
        <v>1282100</v>
      </c>
      <c r="B2499" t="s">
        <v>897</v>
      </c>
      <c r="C2499" s="1">
        <v>45132</v>
      </c>
      <c r="D2499">
        <v>1573</v>
      </c>
      <c r="E2499" t="b">
        <v>0</v>
      </c>
      <c r="F2499">
        <v>358</v>
      </c>
      <c r="G2499" t="s">
        <v>36</v>
      </c>
      <c r="H2499" t="s">
        <v>124</v>
      </c>
      <c r="I2499" t="s">
        <v>2117</v>
      </c>
    </row>
    <row r="2500" spans="1:9" x14ac:dyDescent="0.35">
      <c r="A2500">
        <v>1282100</v>
      </c>
      <c r="B2500" t="s">
        <v>897</v>
      </c>
      <c r="C2500" s="1">
        <v>45132</v>
      </c>
      <c r="D2500">
        <v>1573</v>
      </c>
      <c r="E2500" t="b">
        <v>0</v>
      </c>
      <c r="F2500">
        <v>358</v>
      </c>
      <c r="G2500" t="s">
        <v>36</v>
      </c>
      <c r="H2500" t="s">
        <v>1510</v>
      </c>
      <c r="I2500" t="s">
        <v>2117</v>
      </c>
    </row>
    <row r="2501" spans="1:9" x14ac:dyDescent="0.35">
      <c r="A2501">
        <v>2853590</v>
      </c>
      <c r="B2501" t="s">
        <v>898</v>
      </c>
      <c r="C2501" s="1">
        <v>45810</v>
      </c>
      <c r="D2501">
        <v>1571</v>
      </c>
      <c r="E2501" t="b">
        <v>0</v>
      </c>
      <c r="F2501">
        <v>359</v>
      </c>
      <c r="G2501" t="s">
        <v>14</v>
      </c>
      <c r="H2501" t="s">
        <v>49</v>
      </c>
      <c r="I2501" t="s">
        <v>2117</v>
      </c>
    </row>
    <row r="2502" spans="1:9" x14ac:dyDescent="0.35">
      <c r="A2502">
        <v>2853590</v>
      </c>
      <c r="B2502" t="s">
        <v>898</v>
      </c>
      <c r="C2502" s="1">
        <v>45810</v>
      </c>
      <c r="D2502">
        <v>1571</v>
      </c>
      <c r="E2502" t="b">
        <v>0</v>
      </c>
      <c r="F2502">
        <v>359</v>
      </c>
      <c r="G2502" t="s">
        <v>14</v>
      </c>
      <c r="H2502" t="s">
        <v>792</v>
      </c>
      <c r="I2502" t="s">
        <v>2116</v>
      </c>
    </row>
    <row r="2503" spans="1:9" x14ac:dyDescent="0.35">
      <c r="A2503">
        <v>2853590</v>
      </c>
      <c r="B2503" t="s">
        <v>898</v>
      </c>
      <c r="C2503" s="1">
        <v>45810</v>
      </c>
      <c r="D2503">
        <v>1571</v>
      </c>
      <c r="E2503" t="b">
        <v>0</v>
      </c>
      <c r="F2503">
        <v>359</v>
      </c>
      <c r="G2503" t="s">
        <v>14</v>
      </c>
      <c r="H2503" t="s">
        <v>346</v>
      </c>
      <c r="I2503" t="s">
        <v>2116</v>
      </c>
    </row>
    <row r="2504" spans="1:9" x14ac:dyDescent="0.35">
      <c r="A2504">
        <v>2853590</v>
      </c>
      <c r="B2504" t="s">
        <v>898</v>
      </c>
      <c r="C2504" s="1">
        <v>45810</v>
      </c>
      <c r="D2504">
        <v>1571</v>
      </c>
      <c r="E2504" t="b">
        <v>0</v>
      </c>
      <c r="F2504">
        <v>359</v>
      </c>
      <c r="G2504" t="s">
        <v>14</v>
      </c>
      <c r="H2504" t="s">
        <v>239</v>
      </c>
      <c r="I2504" t="s">
        <v>2116</v>
      </c>
    </row>
    <row r="2505" spans="1:9" x14ac:dyDescent="0.35">
      <c r="A2505">
        <v>2853590</v>
      </c>
      <c r="B2505" t="s">
        <v>898</v>
      </c>
      <c r="C2505" s="1">
        <v>45810</v>
      </c>
      <c r="D2505">
        <v>1571</v>
      </c>
      <c r="E2505" t="b">
        <v>0</v>
      </c>
      <c r="F2505">
        <v>359</v>
      </c>
      <c r="G2505" t="s">
        <v>14</v>
      </c>
      <c r="H2505" t="s">
        <v>132</v>
      </c>
      <c r="I2505" t="s">
        <v>2116</v>
      </c>
    </row>
    <row r="2506" spans="1:9" x14ac:dyDescent="0.35">
      <c r="A2506">
        <v>2853590</v>
      </c>
      <c r="B2506" t="s">
        <v>898</v>
      </c>
      <c r="C2506" s="1">
        <v>45810</v>
      </c>
      <c r="D2506">
        <v>1571</v>
      </c>
      <c r="E2506" t="b">
        <v>0</v>
      </c>
      <c r="F2506">
        <v>359</v>
      </c>
      <c r="G2506" t="s">
        <v>14</v>
      </c>
      <c r="H2506" t="s">
        <v>124</v>
      </c>
      <c r="I2506" t="s">
        <v>2116</v>
      </c>
    </row>
    <row r="2507" spans="1:9" x14ac:dyDescent="0.35">
      <c r="A2507">
        <v>2853590</v>
      </c>
      <c r="B2507" t="s">
        <v>898</v>
      </c>
      <c r="C2507" s="1">
        <v>45810</v>
      </c>
      <c r="D2507">
        <v>1571</v>
      </c>
      <c r="E2507" t="b">
        <v>0</v>
      </c>
      <c r="F2507">
        <v>359</v>
      </c>
      <c r="G2507" t="s">
        <v>14</v>
      </c>
      <c r="H2507" t="s">
        <v>1510</v>
      </c>
      <c r="I2507" t="s">
        <v>2117</v>
      </c>
    </row>
    <row r="2508" spans="1:9" x14ac:dyDescent="0.35">
      <c r="A2508">
        <v>212680</v>
      </c>
      <c r="B2508" t="s">
        <v>899</v>
      </c>
      <c r="C2508" s="1">
        <v>41166</v>
      </c>
      <c r="D2508">
        <v>1566</v>
      </c>
      <c r="E2508" t="b">
        <v>1</v>
      </c>
      <c r="F2508">
        <v>360</v>
      </c>
      <c r="G2508" t="s">
        <v>2084</v>
      </c>
      <c r="H2508" t="s">
        <v>49</v>
      </c>
      <c r="I2508" t="s">
        <v>2117</v>
      </c>
    </row>
    <row r="2509" spans="1:9" x14ac:dyDescent="0.35">
      <c r="A2509">
        <v>212680</v>
      </c>
      <c r="B2509" t="s">
        <v>899</v>
      </c>
      <c r="C2509" s="1">
        <v>41166</v>
      </c>
      <c r="D2509">
        <v>1566</v>
      </c>
      <c r="E2509" t="b">
        <v>1</v>
      </c>
      <c r="F2509">
        <v>360</v>
      </c>
      <c r="G2509" t="s">
        <v>2084</v>
      </c>
      <c r="H2509" t="s">
        <v>792</v>
      </c>
      <c r="I2509" t="s">
        <v>2116</v>
      </c>
    </row>
    <row r="2510" spans="1:9" x14ac:dyDescent="0.35">
      <c r="A2510">
        <v>212680</v>
      </c>
      <c r="B2510" t="s">
        <v>899</v>
      </c>
      <c r="C2510" s="1">
        <v>41166</v>
      </c>
      <c r="D2510">
        <v>1566</v>
      </c>
      <c r="E2510" t="b">
        <v>1</v>
      </c>
      <c r="F2510">
        <v>360</v>
      </c>
      <c r="G2510" t="s">
        <v>2084</v>
      </c>
      <c r="H2510" t="s">
        <v>346</v>
      </c>
      <c r="I2510" t="s">
        <v>2117</v>
      </c>
    </row>
    <row r="2511" spans="1:9" x14ac:dyDescent="0.35">
      <c r="A2511">
        <v>212680</v>
      </c>
      <c r="B2511" t="s">
        <v>899</v>
      </c>
      <c r="C2511" s="1">
        <v>41166</v>
      </c>
      <c r="D2511">
        <v>1566</v>
      </c>
      <c r="E2511" t="b">
        <v>1</v>
      </c>
      <c r="F2511">
        <v>360</v>
      </c>
      <c r="G2511" t="s">
        <v>2084</v>
      </c>
      <c r="H2511" t="s">
        <v>239</v>
      </c>
      <c r="I2511" t="s">
        <v>2116</v>
      </c>
    </row>
    <row r="2512" spans="1:9" x14ac:dyDescent="0.35">
      <c r="A2512">
        <v>212680</v>
      </c>
      <c r="B2512" t="s">
        <v>899</v>
      </c>
      <c r="C2512" s="1">
        <v>41166</v>
      </c>
      <c r="D2512">
        <v>1566</v>
      </c>
      <c r="E2512" t="b">
        <v>1</v>
      </c>
      <c r="F2512">
        <v>360</v>
      </c>
      <c r="G2512" t="s">
        <v>2084</v>
      </c>
      <c r="H2512" t="s">
        <v>132</v>
      </c>
      <c r="I2512" t="s">
        <v>2117</v>
      </c>
    </row>
    <row r="2513" spans="1:9" x14ac:dyDescent="0.35">
      <c r="A2513">
        <v>212680</v>
      </c>
      <c r="B2513" t="s">
        <v>899</v>
      </c>
      <c r="C2513" s="1">
        <v>41166</v>
      </c>
      <c r="D2513">
        <v>1566</v>
      </c>
      <c r="E2513" t="b">
        <v>1</v>
      </c>
      <c r="F2513">
        <v>360</v>
      </c>
      <c r="G2513" t="s">
        <v>2084</v>
      </c>
      <c r="H2513" t="s">
        <v>124</v>
      </c>
      <c r="I2513" t="s">
        <v>2116</v>
      </c>
    </row>
    <row r="2514" spans="1:9" x14ac:dyDescent="0.35">
      <c r="A2514">
        <v>212680</v>
      </c>
      <c r="B2514" t="s">
        <v>899</v>
      </c>
      <c r="C2514" s="1">
        <v>41166</v>
      </c>
      <c r="D2514">
        <v>1566</v>
      </c>
      <c r="E2514" t="b">
        <v>1</v>
      </c>
      <c r="F2514">
        <v>360</v>
      </c>
      <c r="G2514" t="s">
        <v>2084</v>
      </c>
      <c r="H2514" t="s">
        <v>1510</v>
      </c>
      <c r="I2514" t="s">
        <v>2117</v>
      </c>
    </row>
    <row r="2515" spans="1:9" x14ac:dyDescent="0.35">
      <c r="A2515">
        <v>1824220</v>
      </c>
      <c r="B2515" t="s">
        <v>901</v>
      </c>
      <c r="C2515" s="1">
        <v>44724</v>
      </c>
      <c r="D2515">
        <v>1565</v>
      </c>
      <c r="E2515" t="b">
        <v>0</v>
      </c>
      <c r="F2515">
        <v>361</v>
      </c>
      <c r="G2515" t="s">
        <v>25</v>
      </c>
      <c r="H2515" t="s">
        <v>49</v>
      </c>
      <c r="I2515" t="s">
        <v>2116</v>
      </c>
    </row>
    <row r="2516" spans="1:9" x14ac:dyDescent="0.35">
      <c r="A2516">
        <v>1824220</v>
      </c>
      <c r="B2516" t="s">
        <v>901</v>
      </c>
      <c r="C2516" s="1">
        <v>44724</v>
      </c>
      <c r="D2516">
        <v>1565</v>
      </c>
      <c r="E2516" t="b">
        <v>0</v>
      </c>
      <c r="F2516">
        <v>361</v>
      </c>
      <c r="G2516" t="s">
        <v>25</v>
      </c>
      <c r="H2516" t="s">
        <v>792</v>
      </c>
      <c r="I2516" t="s">
        <v>2117</v>
      </c>
    </row>
    <row r="2517" spans="1:9" x14ac:dyDescent="0.35">
      <c r="A2517">
        <v>1824220</v>
      </c>
      <c r="B2517" t="s">
        <v>901</v>
      </c>
      <c r="C2517" s="1">
        <v>44724</v>
      </c>
      <c r="D2517">
        <v>1565</v>
      </c>
      <c r="E2517" t="b">
        <v>0</v>
      </c>
      <c r="F2517">
        <v>361</v>
      </c>
      <c r="G2517" t="s">
        <v>25</v>
      </c>
      <c r="H2517" t="s">
        <v>346</v>
      </c>
      <c r="I2517" t="s">
        <v>2117</v>
      </c>
    </row>
    <row r="2518" spans="1:9" x14ac:dyDescent="0.35">
      <c r="A2518">
        <v>1824220</v>
      </c>
      <c r="B2518" t="s">
        <v>901</v>
      </c>
      <c r="C2518" s="1">
        <v>44724</v>
      </c>
      <c r="D2518">
        <v>1565</v>
      </c>
      <c r="E2518" t="b">
        <v>0</v>
      </c>
      <c r="F2518">
        <v>361</v>
      </c>
      <c r="G2518" t="s">
        <v>25</v>
      </c>
      <c r="H2518" t="s">
        <v>239</v>
      </c>
      <c r="I2518" t="s">
        <v>2117</v>
      </c>
    </row>
    <row r="2519" spans="1:9" x14ac:dyDescent="0.35">
      <c r="A2519">
        <v>1824220</v>
      </c>
      <c r="B2519" t="s">
        <v>901</v>
      </c>
      <c r="C2519" s="1">
        <v>44724</v>
      </c>
      <c r="D2519">
        <v>1565</v>
      </c>
      <c r="E2519" t="b">
        <v>0</v>
      </c>
      <c r="F2519">
        <v>361</v>
      </c>
      <c r="G2519" t="s">
        <v>25</v>
      </c>
      <c r="H2519" t="s">
        <v>132</v>
      </c>
      <c r="I2519" t="s">
        <v>2117</v>
      </c>
    </row>
    <row r="2520" spans="1:9" x14ac:dyDescent="0.35">
      <c r="A2520">
        <v>1824220</v>
      </c>
      <c r="B2520" t="s">
        <v>901</v>
      </c>
      <c r="C2520" s="1">
        <v>44724</v>
      </c>
      <c r="D2520">
        <v>1565</v>
      </c>
      <c r="E2520" t="b">
        <v>0</v>
      </c>
      <c r="F2520">
        <v>361</v>
      </c>
      <c r="G2520" t="s">
        <v>25</v>
      </c>
      <c r="H2520" t="s">
        <v>124</v>
      </c>
      <c r="I2520" t="s">
        <v>2117</v>
      </c>
    </row>
    <row r="2521" spans="1:9" x14ac:dyDescent="0.35">
      <c r="A2521">
        <v>1824220</v>
      </c>
      <c r="B2521" t="s">
        <v>901</v>
      </c>
      <c r="C2521" s="1">
        <v>44724</v>
      </c>
      <c r="D2521">
        <v>1565</v>
      </c>
      <c r="E2521" t="b">
        <v>0</v>
      </c>
      <c r="F2521">
        <v>361</v>
      </c>
      <c r="G2521" t="s">
        <v>25</v>
      </c>
      <c r="H2521" t="s">
        <v>1510</v>
      </c>
      <c r="I2521" t="s">
        <v>2117</v>
      </c>
    </row>
    <row r="2522" spans="1:9" x14ac:dyDescent="0.35">
      <c r="A2522">
        <v>1934680</v>
      </c>
      <c r="B2522" t="s">
        <v>903</v>
      </c>
      <c r="C2522" s="1">
        <v>45539</v>
      </c>
      <c r="D2522">
        <v>1559</v>
      </c>
      <c r="E2522" t="b">
        <v>0</v>
      </c>
      <c r="F2522">
        <v>362</v>
      </c>
      <c r="G2522" t="s">
        <v>33</v>
      </c>
      <c r="H2522" t="s">
        <v>49</v>
      </c>
      <c r="I2522" t="s">
        <v>2117</v>
      </c>
    </row>
    <row r="2523" spans="1:9" x14ac:dyDescent="0.35">
      <c r="A2523">
        <v>1934680</v>
      </c>
      <c r="B2523" t="s">
        <v>903</v>
      </c>
      <c r="C2523" s="1">
        <v>45539</v>
      </c>
      <c r="D2523">
        <v>1559</v>
      </c>
      <c r="E2523" t="b">
        <v>0</v>
      </c>
      <c r="F2523">
        <v>362</v>
      </c>
      <c r="G2523" t="s">
        <v>33</v>
      </c>
      <c r="H2523" t="s">
        <v>792</v>
      </c>
      <c r="I2523" t="s">
        <v>2117</v>
      </c>
    </row>
    <row r="2524" spans="1:9" x14ac:dyDescent="0.35">
      <c r="A2524">
        <v>1934680</v>
      </c>
      <c r="B2524" t="s">
        <v>903</v>
      </c>
      <c r="C2524" s="1">
        <v>45539</v>
      </c>
      <c r="D2524">
        <v>1559</v>
      </c>
      <c r="E2524" t="b">
        <v>0</v>
      </c>
      <c r="F2524">
        <v>362</v>
      </c>
      <c r="G2524" t="s">
        <v>33</v>
      </c>
      <c r="H2524" t="s">
        <v>346</v>
      </c>
      <c r="I2524" t="s">
        <v>2117</v>
      </c>
    </row>
    <row r="2525" spans="1:9" x14ac:dyDescent="0.35">
      <c r="A2525">
        <v>1934680</v>
      </c>
      <c r="B2525" t="s">
        <v>903</v>
      </c>
      <c r="C2525" s="1">
        <v>45539</v>
      </c>
      <c r="D2525">
        <v>1559</v>
      </c>
      <c r="E2525" t="b">
        <v>0</v>
      </c>
      <c r="F2525">
        <v>362</v>
      </c>
      <c r="G2525" t="s">
        <v>33</v>
      </c>
      <c r="H2525" t="s">
        <v>239</v>
      </c>
      <c r="I2525" t="s">
        <v>2117</v>
      </c>
    </row>
    <row r="2526" spans="1:9" x14ac:dyDescent="0.35">
      <c r="A2526">
        <v>1934680</v>
      </c>
      <c r="B2526" t="s">
        <v>903</v>
      </c>
      <c r="C2526" s="1">
        <v>45539</v>
      </c>
      <c r="D2526">
        <v>1559</v>
      </c>
      <c r="E2526" t="b">
        <v>0</v>
      </c>
      <c r="F2526">
        <v>362</v>
      </c>
      <c r="G2526" t="s">
        <v>33</v>
      </c>
      <c r="H2526" t="s">
        <v>132</v>
      </c>
      <c r="I2526" t="s">
        <v>2117</v>
      </c>
    </row>
    <row r="2527" spans="1:9" x14ac:dyDescent="0.35">
      <c r="A2527">
        <v>1934680</v>
      </c>
      <c r="B2527" t="s">
        <v>903</v>
      </c>
      <c r="C2527" s="1">
        <v>45539</v>
      </c>
      <c r="D2527">
        <v>1559</v>
      </c>
      <c r="E2527" t="b">
        <v>0</v>
      </c>
      <c r="F2527">
        <v>362</v>
      </c>
      <c r="G2527" t="s">
        <v>33</v>
      </c>
      <c r="H2527" t="s">
        <v>124</v>
      </c>
      <c r="I2527" t="s">
        <v>2116</v>
      </c>
    </row>
    <row r="2528" spans="1:9" x14ac:dyDescent="0.35">
      <c r="A2528">
        <v>1934680</v>
      </c>
      <c r="B2528" t="s">
        <v>903</v>
      </c>
      <c r="C2528" s="1">
        <v>45539</v>
      </c>
      <c r="D2528">
        <v>1559</v>
      </c>
      <c r="E2528" t="b">
        <v>0</v>
      </c>
      <c r="F2528">
        <v>362</v>
      </c>
      <c r="G2528" t="s">
        <v>33</v>
      </c>
      <c r="H2528" t="s">
        <v>1510</v>
      </c>
      <c r="I2528" t="s">
        <v>2117</v>
      </c>
    </row>
    <row r="2529" spans="1:9" x14ac:dyDescent="0.35">
      <c r="A2529">
        <v>220</v>
      </c>
      <c r="B2529" t="s">
        <v>905</v>
      </c>
      <c r="C2529" s="1">
        <v>38307</v>
      </c>
      <c r="D2529">
        <v>1555</v>
      </c>
      <c r="E2529" t="b">
        <v>0</v>
      </c>
      <c r="F2529">
        <v>363</v>
      </c>
      <c r="G2529" t="s">
        <v>2083</v>
      </c>
      <c r="H2529" t="s">
        <v>49</v>
      </c>
      <c r="I2529" t="s">
        <v>2116</v>
      </c>
    </row>
    <row r="2530" spans="1:9" x14ac:dyDescent="0.35">
      <c r="A2530">
        <v>220</v>
      </c>
      <c r="B2530" t="s">
        <v>905</v>
      </c>
      <c r="C2530" s="1">
        <v>38307</v>
      </c>
      <c r="D2530">
        <v>1555</v>
      </c>
      <c r="E2530" t="b">
        <v>0</v>
      </c>
      <c r="F2530">
        <v>363</v>
      </c>
      <c r="G2530" t="s">
        <v>2083</v>
      </c>
      <c r="H2530" t="s">
        <v>792</v>
      </c>
      <c r="I2530" t="s">
        <v>2117</v>
      </c>
    </row>
    <row r="2531" spans="1:9" x14ac:dyDescent="0.35">
      <c r="A2531">
        <v>220</v>
      </c>
      <c r="B2531" t="s">
        <v>905</v>
      </c>
      <c r="C2531" s="1">
        <v>38307</v>
      </c>
      <c r="D2531">
        <v>1555</v>
      </c>
      <c r="E2531" t="b">
        <v>0</v>
      </c>
      <c r="F2531">
        <v>363</v>
      </c>
      <c r="G2531" t="s">
        <v>2083</v>
      </c>
      <c r="H2531" t="s">
        <v>346</v>
      </c>
      <c r="I2531" t="s">
        <v>2117</v>
      </c>
    </row>
    <row r="2532" spans="1:9" x14ac:dyDescent="0.35">
      <c r="A2532">
        <v>220</v>
      </c>
      <c r="B2532" t="s">
        <v>905</v>
      </c>
      <c r="C2532" s="1">
        <v>38307</v>
      </c>
      <c r="D2532">
        <v>1555</v>
      </c>
      <c r="E2532" t="b">
        <v>0</v>
      </c>
      <c r="F2532">
        <v>363</v>
      </c>
      <c r="G2532" t="s">
        <v>2083</v>
      </c>
      <c r="H2532" t="s">
        <v>239</v>
      </c>
      <c r="I2532" t="s">
        <v>2117</v>
      </c>
    </row>
    <row r="2533" spans="1:9" x14ac:dyDescent="0.35">
      <c r="A2533">
        <v>220</v>
      </c>
      <c r="B2533" t="s">
        <v>905</v>
      </c>
      <c r="C2533" s="1">
        <v>38307</v>
      </c>
      <c r="D2533">
        <v>1555</v>
      </c>
      <c r="E2533" t="b">
        <v>0</v>
      </c>
      <c r="F2533">
        <v>363</v>
      </c>
      <c r="G2533" t="s">
        <v>2083</v>
      </c>
      <c r="H2533" t="s">
        <v>132</v>
      </c>
      <c r="I2533" t="s">
        <v>2117</v>
      </c>
    </row>
    <row r="2534" spans="1:9" x14ac:dyDescent="0.35">
      <c r="A2534">
        <v>220</v>
      </c>
      <c r="B2534" t="s">
        <v>905</v>
      </c>
      <c r="C2534" s="1">
        <v>38307</v>
      </c>
      <c r="D2534">
        <v>1555</v>
      </c>
      <c r="E2534" t="b">
        <v>0</v>
      </c>
      <c r="F2534">
        <v>363</v>
      </c>
      <c r="G2534" t="s">
        <v>2083</v>
      </c>
      <c r="H2534" t="s">
        <v>124</v>
      </c>
      <c r="I2534" t="s">
        <v>2117</v>
      </c>
    </row>
    <row r="2535" spans="1:9" x14ac:dyDescent="0.35">
      <c r="A2535">
        <v>220</v>
      </c>
      <c r="B2535" t="s">
        <v>905</v>
      </c>
      <c r="C2535" s="1">
        <v>38307</v>
      </c>
      <c r="D2535">
        <v>1555</v>
      </c>
      <c r="E2535" t="b">
        <v>0</v>
      </c>
      <c r="F2535">
        <v>363</v>
      </c>
      <c r="G2535" t="s">
        <v>2083</v>
      </c>
      <c r="H2535" t="s">
        <v>1510</v>
      </c>
      <c r="I2535" t="s">
        <v>2117</v>
      </c>
    </row>
    <row r="2536" spans="1:9" x14ac:dyDescent="0.35">
      <c r="A2536">
        <v>2617700</v>
      </c>
      <c r="B2536" t="s">
        <v>907</v>
      </c>
      <c r="C2536" s="1">
        <v>45800</v>
      </c>
      <c r="D2536">
        <v>1543</v>
      </c>
      <c r="E2536" t="b">
        <v>0</v>
      </c>
      <c r="F2536">
        <v>364</v>
      </c>
      <c r="G2536" t="s">
        <v>33</v>
      </c>
      <c r="H2536" t="s">
        <v>49</v>
      </c>
      <c r="I2536" t="s">
        <v>2116</v>
      </c>
    </row>
    <row r="2537" spans="1:9" x14ac:dyDescent="0.35">
      <c r="A2537">
        <v>2617700</v>
      </c>
      <c r="B2537" t="s">
        <v>907</v>
      </c>
      <c r="C2537" s="1">
        <v>45800</v>
      </c>
      <c r="D2537">
        <v>1543</v>
      </c>
      <c r="E2537" t="b">
        <v>0</v>
      </c>
      <c r="F2537">
        <v>364</v>
      </c>
      <c r="G2537" t="s">
        <v>33</v>
      </c>
      <c r="H2537" t="s">
        <v>792</v>
      </c>
      <c r="I2537" t="s">
        <v>2116</v>
      </c>
    </row>
    <row r="2538" spans="1:9" x14ac:dyDescent="0.35">
      <c r="A2538">
        <v>2617700</v>
      </c>
      <c r="B2538" t="s">
        <v>907</v>
      </c>
      <c r="C2538" s="1">
        <v>45800</v>
      </c>
      <c r="D2538">
        <v>1543</v>
      </c>
      <c r="E2538" t="b">
        <v>0</v>
      </c>
      <c r="F2538">
        <v>364</v>
      </c>
      <c r="G2538" t="s">
        <v>33</v>
      </c>
      <c r="H2538" t="s">
        <v>346</v>
      </c>
      <c r="I2538" t="s">
        <v>2116</v>
      </c>
    </row>
    <row r="2539" spans="1:9" x14ac:dyDescent="0.35">
      <c r="A2539">
        <v>2617700</v>
      </c>
      <c r="B2539" t="s">
        <v>907</v>
      </c>
      <c r="C2539" s="1">
        <v>45800</v>
      </c>
      <c r="D2539">
        <v>1543</v>
      </c>
      <c r="E2539" t="b">
        <v>0</v>
      </c>
      <c r="F2539">
        <v>364</v>
      </c>
      <c r="G2539" t="s">
        <v>33</v>
      </c>
      <c r="H2539" t="s">
        <v>239</v>
      </c>
      <c r="I2539" t="s">
        <v>2116</v>
      </c>
    </row>
    <row r="2540" spans="1:9" x14ac:dyDescent="0.35">
      <c r="A2540">
        <v>2617700</v>
      </c>
      <c r="B2540" t="s">
        <v>907</v>
      </c>
      <c r="C2540" s="1">
        <v>45800</v>
      </c>
      <c r="D2540">
        <v>1543</v>
      </c>
      <c r="E2540" t="b">
        <v>0</v>
      </c>
      <c r="F2540">
        <v>364</v>
      </c>
      <c r="G2540" t="s">
        <v>33</v>
      </c>
      <c r="H2540" t="s">
        <v>132</v>
      </c>
      <c r="I2540" t="s">
        <v>2116</v>
      </c>
    </row>
    <row r="2541" spans="1:9" x14ac:dyDescent="0.35">
      <c r="A2541">
        <v>2617700</v>
      </c>
      <c r="B2541" t="s">
        <v>907</v>
      </c>
      <c r="C2541" s="1">
        <v>45800</v>
      </c>
      <c r="D2541">
        <v>1543</v>
      </c>
      <c r="E2541" t="b">
        <v>0</v>
      </c>
      <c r="F2541">
        <v>364</v>
      </c>
      <c r="G2541" t="s">
        <v>33</v>
      </c>
      <c r="H2541" t="s">
        <v>124</v>
      </c>
      <c r="I2541" t="s">
        <v>2116</v>
      </c>
    </row>
    <row r="2542" spans="1:9" x14ac:dyDescent="0.35">
      <c r="A2542">
        <v>2617700</v>
      </c>
      <c r="B2542" t="s">
        <v>907</v>
      </c>
      <c r="C2542" s="1">
        <v>45800</v>
      </c>
      <c r="D2542">
        <v>1543</v>
      </c>
      <c r="E2542" t="b">
        <v>0</v>
      </c>
      <c r="F2542">
        <v>364</v>
      </c>
      <c r="G2542" t="s">
        <v>33</v>
      </c>
      <c r="H2542" t="s">
        <v>1510</v>
      </c>
      <c r="I2542" t="s">
        <v>2117</v>
      </c>
    </row>
    <row r="2543" spans="1:9" x14ac:dyDescent="0.35">
      <c r="A2543">
        <v>1029690</v>
      </c>
      <c r="B2543" t="s">
        <v>909</v>
      </c>
      <c r="C2543" s="1">
        <v>44706</v>
      </c>
      <c r="D2543">
        <v>1538</v>
      </c>
      <c r="E2543" t="b">
        <v>0</v>
      </c>
      <c r="F2543">
        <v>365</v>
      </c>
      <c r="G2543" t="s">
        <v>36</v>
      </c>
      <c r="H2543" t="s">
        <v>49</v>
      </c>
      <c r="I2543" t="s">
        <v>2116</v>
      </c>
    </row>
    <row r="2544" spans="1:9" x14ac:dyDescent="0.35">
      <c r="A2544">
        <v>1029690</v>
      </c>
      <c r="B2544" t="s">
        <v>909</v>
      </c>
      <c r="C2544" s="1">
        <v>44706</v>
      </c>
      <c r="D2544">
        <v>1538</v>
      </c>
      <c r="E2544" t="b">
        <v>0</v>
      </c>
      <c r="F2544">
        <v>365</v>
      </c>
      <c r="G2544" t="s">
        <v>36</v>
      </c>
      <c r="H2544" t="s">
        <v>792</v>
      </c>
      <c r="I2544" t="s">
        <v>2117</v>
      </c>
    </row>
    <row r="2545" spans="1:9" x14ac:dyDescent="0.35">
      <c r="A2545">
        <v>1029690</v>
      </c>
      <c r="B2545" t="s">
        <v>909</v>
      </c>
      <c r="C2545" s="1">
        <v>44706</v>
      </c>
      <c r="D2545">
        <v>1538</v>
      </c>
      <c r="E2545" t="b">
        <v>0</v>
      </c>
      <c r="F2545">
        <v>365</v>
      </c>
      <c r="G2545" t="s">
        <v>36</v>
      </c>
      <c r="H2545" t="s">
        <v>346</v>
      </c>
      <c r="I2545" t="s">
        <v>2116</v>
      </c>
    </row>
    <row r="2546" spans="1:9" x14ac:dyDescent="0.35">
      <c r="A2546">
        <v>1029690</v>
      </c>
      <c r="B2546" t="s">
        <v>909</v>
      </c>
      <c r="C2546" s="1">
        <v>44706</v>
      </c>
      <c r="D2546">
        <v>1538</v>
      </c>
      <c r="E2546" t="b">
        <v>0</v>
      </c>
      <c r="F2546">
        <v>365</v>
      </c>
      <c r="G2546" t="s">
        <v>36</v>
      </c>
      <c r="H2546" t="s">
        <v>239</v>
      </c>
      <c r="I2546" t="s">
        <v>2117</v>
      </c>
    </row>
    <row r="2547" spans="1:9" x14ac:dyDescent="0.35">
      <c r="A2547">
        <v>1029690</v>
      </c>
      <c r="B2547" t="s">
        <v>909</v>
      </c>
      <c r="C2547" s="1">
        <v>44706</v>
      </c>
      <c r="D2547">
        <v>1538</v>
      </c>
      <c r="E2547" t="b">
        <v>0</v>
      </c>
      <c r="F2547">
        <v>365</v>
      </c>
      <c r="G2547" t="s">
        <v>36</v>
      </c>
      <c r="H2547" t="s">
        <v>132</v>
      </c>
      <c r="I2547" t="s">
        <v>2117</v>
      </c>
    </row>
    <row r="2548" spans="1:9" x14ac:dyDescent="0.35">
      <c r="A2548">
        <v>1029690</v>
      </c>
      <c r="B2548" t="s">
        <v>909</v>
      </c>
      <c r="C2548" s="1">
        <v>44706</v>
      </c>
      <c r="D2548">
        <v>1538</v>
      </c>
      <c r="E2548" t="b">
        <v>0</v>
      </c>
      <c r="F2548">
        <v>365</v>
      </c>
      <c r="G2548" t="s">
        <v>36</v>
      </c>
      <c r="H2548" t="s">
        <v>124</v>
      </c>
      <c r="I2548" t="s">
        <v>2117</v>
      </c>
    </row>
    <row r="2549" spans="1:9" x14ac:dyDescent="0.35">
      <c r="A2549">
        <v>1029690</v>
      </c>
      <c r="B2549" t="s">
        <v>909</v>
      </c>
      <c r="C2549" s="1">
        <v>44706</v>
      </c>
      <c r="D2549">
        <v>1538</v>
      </c>
      <c r="E2549" t="b">
        <v>0</v>
      </c>
      <c r="F2549">
        <v>365</v>
      </c>
      <c r="G2549" t="s">
        <v>36</v>
      </c>
      <c r="H2549" t="s">
        <v>1510</v>
      </c>
      <c r="I2549" t="s">
        <v>2117</v>
      </c>
    </row>
    <row r="2550" spans="1:9" x14ac:dyDescent="0.35">
      <c r="A2550">
        <v>1313140</v>
      </c>
      <c r="B2550" t="s">
        <v>911</v>
      </c>
      <c r="C2550" s="1">
        <v>44784</v>
      </c>
      <c r="D2550">
        <v>1535</v>
      </c>
      <c r="E2550" t="b">
        <v>1</v>
      </c>
      <c r="F2550">
        <v>366</v>
      </c>
      <c r="G2550" t="s">
        <v>304</v>
      </c>
      <c r="H2550" t="s">
        <v>49</v>
      </c>
      <c r="I2550" t="s">
        <v>2116</v>
      </c>
    </row>
    <row r="2551" spans="1:9" x14ac:dyDescent="0.35">
      <c r="A2551">
        <v>1313140</v>
      </c>
      <c r="B2551" t="s">
        <v>911</v>
      </c>
      <c r="C2551" s="1">
        <v>44784</v>
      </c>
      <c r="D2551">
        <v>1535</v>
      </c>
      <c r="E2551" t="b">
        <v>1</v>
      </c>
      <c r="F2551">
        <v>366</v>
      </c>
      <c r="G2551" t="s">
        <v>304</v>
      </c>
      <c r="H2551" t="s">
        <v>792</v>
      </c>
      <c r="I2551" t="s">
        <v>2116</v>
      </c>
    </row>
    <row r="2552" spans="1:9" x14ac:dyDescent="0.35">
      <c r="A2552">
        <v>1313140</v>
      </c>
      <c r="B2552" t="s">
        <v>911</v>
      </c>
      <c r="C2552" s="1">
        <v>44784</v>
      </c>
      <c r="D2552">
        <v>1535</v>
      </c>
      <c r="E2552" t="b">
        <v>1</v>
      </c>
      <c r="F2552">
        <v>366</v>
      </c>
      <c r="G2552" t="s">
        <v>304</v>
      </c>
      <c r="H2552" t="s">
        <v>346</v>
      </c>
      <c r="I2552" t="s">
        <v>2116</v>
      </c>
    </row>
    <row r="2553" spans="1:9" x14ac:dyDescent="0.35">
      <c r="A2553">
        <v>1313140</v>
      </c>
      <c r="B2553" t="s">
        <v>911</v>
      </c>
      <c r="C2553" s="1">
        <v>44784</v>
      </c>
      <c r="D2553">
        <v>1535</v>
      </c>
      <c r="E2553" t="b">
        <v>1</v>
      </c>
      <c r="F2553">
        <v>366</v>
      </c>
      <c r="G2553" t="s">
        <v>304</v>
      </c>
      <c r="H2553" t="s">
        <v>239</v>
      </c>
      <c r="I2553" t="s">
        <v>2117</v>
      </c>
    </row>
    <row r="2554" spans="1:9" x14ac:dyDescent="0.35">
      <c r="A2554">
        <v>1313140</v>
      </c>
      <c r="B2554" t="s">
        <v>911</v>
      </c>
      <c r="C2554" s="1">
        <v>44784</v>
      </c>
      <c r="D2554">
        <v>1535</v>
      </c>
      <c r="E2554" t="b">
        <v>1</v>
      </c>
      <c r="F2554">
        <v>366</v>
      </c>
      <c r="G2554" t="s">
        <v>304</v>
      </c>
      <c r="H2554" t="s">
        <v>132</v>
      </c>
      <c r="I2554" t="s">
        <v>2117</v>
      </c>
    </row>
    <row r="2555" spans="1:9" x14ac:dyDescent="0.35">
      <c r="A2555">
        <v>1313140</v>
      </c>
      <c r="B2555" t="s">
        <v>911</v>
      </c>
      <c r="C2555" s="1">
        <v>44784</v>
      </c>
      <c r="D2555">
        <v>1535</v>
      </c>
      <c r="E2555" t="b">
        <v>1</v>
      </c>
      <c r="F2555">
        <v>366</v>
      </c>
      <c r="G2555" t="s">
        <v>304</v>
      </c>
      <c r="H2555" t="s">
        <v>124</v>
      </c>
      <c r="I2555" t="s">
        <v>2116</v>
      </c>
    </row>
    <row r="2556" spans="1:9" x14ac:dyDescent="0.35">
      <c r="A2556">
        <v>1313140</v>
      </c>
      <c r="B2556" t="s">
        <v>911</v>
      </c>
      <c r="C2556" s="1">
        <v>44784</v>
      </c>
      <c r="D2556">
        <v>1535</v>
      </c>
      <c r="E2556" t="b">
        <v>1</v>
      </c>
      <c r="F2556">
        <v>366</v>
      </c>
      <c r="G2556" t="s">
        <v>304</v>
      </c>
      <c r="H2556" t="s">
        <v>1510</v>
      </c>
      <c r="I2556" t="s">
        <v>2117</v>
      </c>
    </row>
    <row r="2557" spans="1:9" x14ac:dyDescent="0.35">
      <c r="A2557">
        <v>568220</v>
      </c>
      <c r="B2557" t="s">
        <v>914</v>
      </c>
      <c r="C2557" s="1">
        <v>43199</v>
      </c>
      <c r="D2557">
        <v>1524</v>
      </c>
      <c r="E2557" t="b">
        <v>0</v>
      </c>
      <c r="F2557">
        <v>367</v>
      </c>
      <c r="G2557" t="s">
        <v>14</v>
      </c>
      <c r="H2557" t="s">
        <v>49</v>
      </c>
      <c r="I2557" t="s">
        <v>2117</v>
      </c>
    </row>
    <row r="2558" spans="1:9" x14ac:dyDescent="0.35">
      <c r="A2558">
        <v>568220</v>
      </c>
      <c r="B2558" t="s">
        <v>914</v>
      </c>
      <c r="C2558" s="1">
        <v>43199</v>
      </c>
      <c r="D2558">
        <v>1524</v>
      </c>
      <c r="E2558" t="b">
        <v>0</v>
      </c>
      <c r="F2558">
        <v>367</v>
      </c>
      <c r="G2558" t="s">
        <v>14</v>
      </c>
      <c r="H2558" t="s">
        <v>792</v>
      </c>
      <c r="I2558" t="s">
        <v>2116</v>
      </c>
    </row>
    <row r="2559" spans="1:9" x14ac:dyDescent="0.35">
      <c r="A2559">
        <v>568220</v>
      </c>
      <c r="B2559" t="s">
        <v>914</v>
      </c>
      <c r="C2559" s="1">
        <v>43199</v>
      </c>
      <c r="D2559">
        <v>1524</v>
      </c>
      <c r="E2559" t="b">
        <v>0</v>
      </c>
      <c r="F2559">
        <v>367</v>
      </c>
      <c r="G2559" t="s">
        <v>14</v>
      </c>
      <c r="H2559" t="s">
        <v>346</v>
      </c>
      <c r="I2559" t="s">
        <v>2117</v>
      </c>
    </row>
    <row r="2560" spans="1:9" x14ac:dyDescent="0.35">
      <c r="A2560">
        <v>568220</v>
      </c>
      <c r="B2560" t="s">
        <v>914</v>
      </c>
      <c r="C2560" s="1">
        <v>43199</v>
      </c>
      <c r="D2560">
        <v>1524</v>
      </c>
      <c r="E2560" t="b">
        <v>0</v>
      </c>
      <c r="F2560">
        <v>367</v>
      </c>
      <c r="G2560" t="s">
        <v>14</v>
      </c>
      <c r="H2560" t="s">
        <v>239</v>
      </c>
      <c r="I2560" t="s">
        <v>2116</v>
      </c>
    </row>
    <row r="2561" spans="1:9" x14ac:dyDescent="0.35">
      <c r="A2561">
        <v>568220</v>
      </c>
      <c r="B2561" t="s">
        <v>914</v>
      </c>
      <c r="C2561" s="1">
        <v>43199</v>
      </c>
      <c r="D2561">
        <v>1524</v>
      </c>
      <c r="E2561" t="b">
        <v>0</v>
      </c>
      <c r="F2561">
        <v>367</v>
      </c>
      <c r="G2561" t="s">
        <v>14</v>
      </c>
      <c r="H2561" t="s">
        <v>132</v>
      </c>
      <c r="I2561" t="s">
        <v>2117</v>
      </c>
    </row>
    <row r="2562" spans="1:9" x14ac:dyDescent="0.35">
      <c r="A2562">
        <v>568220</v>
      </c>
      <c r="B2562" t="s">
        <v>914</v>
      </c>
      <c r="C2562" s="1">
        <v>43199</v>
      </c>
      <c r="D2562">
        <v>1524</v>
      </c>
      <c r="E2562" t="b">
        <v>0</v>
      </c>
      <c r="F2562">
        <v>367</v>
      </c>
      <c r="G2562" t="s">
        <v>14</v>
      </c>
      <c r="H2562" t="s">
        <v>124</v>
      </c>
      <c r="I2562" t="s">
        <v>2117</v>
      </c>
    </row>
    <row r="2563" spans="1:9" x14ac:dyDescent="0.35">
      <c r="A2563">
        <v>568220</v>
      </c>
      <c r="B2563" t="s">
        <v>914</v>
      </c>
      <c r="C2563" s="1">
        <v>43199</v>
      </c>
      <c r="D2563">
        <v>1524</v>
      </c>
      <c r="E2563" t="b">
        <v>0</v>
      </c>
      <c r="F2563">
        <v>367</v>
      </c>
      <c r="G2563" t="s">
        <v>14</v>
      </c>
      <c r="H2563" t="s">
        <v>1510</v>
      </c>
      <c r="I2563" t="s">
        <v>2117</v>
      </c>
    </row>
    <row r="2564" spans="1:9" x14ac:dyDescent="0.35">
      <c r="A2564">
        <v>3014080</v>
      </c>
      <c r="B2564" t="s">
        <v>917</v>
      </c>
      <c r="C2564" s="1">
        <v>45770</v>
      </c>
      <c r="D2564">
        <v>1518</v>
      </c>
      <c r="E2564" t="b">
        <v>0</v>
      </c>
      <c r="F2564">
        <v>369</v>
      </c>
      <c r="G2564" t="s">
        <v>304</v>
      </c>
      <c r="H2564" t="s">
        <v>49</v>
      </c>
      <c r="I2564" t="s">
        <v>2117</v>
      </c>
    </row>
    <row r="2565" spans="1:9" x14ac:dyDescent="0.35">
      <c r="A2565">
        <v>3014080</v>
      </c>
      <c r="B2565" t="s">
        <v>917</v>
      </c>
      <c r="C2565" s="1">
        <v>45770</v>
      </c>
      <c r="D2565">
        <v>1518</v>
      </c>
      <c r="E2565" t="b">
        <v>0</v>
      </c>
      <c r="F2565">
        <v>369</v>
      </c>
      <c r="G2565" t="s">
        <v>304</v>
      </c>
      <c r="H2565" t="s">
        <v>792</v>
      </c>
      <c r="I2565" t="s">
        <v>2117</v>
      </c>
    </row>
    <row r="2566" spans="1:9" x14ac:dyDescent="0.35">
      <c r="A2566">
        <v>3014080</v>
      </c>
      <c r="B2566" t="s">
        <v>917</v>
      </c>
      <c r="C2566" s="1">
        <v>45770</v>
      </c>
      <c r="D2566">
        <v>1518</v>
      </c>
      <c r="E2566" t="b">
        <v>0</v>
      </c>
      <c r="F2566">
        <v>369</v>
      </c>
      <c r="G2566" t="s">
        <v>304</v>
      </c>
      <c r="H2566" t="s">
        <v>346</v>
      </c>
      <c r="I2566" t="s">
        <v>2116</v>
      </c>
    </row>
    <row r="2567" spans="1:9" x14ac:dyDescent="0.35">
      <c r="A2567">
        <v>3014080</v>
      </c>
      <c r="B2567" t="s">
        <v>917</v>
      </c>
      <c r="C2567" s="1">
        <v>45770</v>
      </c>
      <c r="D2567">
        <v>1518</v>
      </c>
      <c r="E2567" t="b">
        <v>0</v>
      </c>
      <c r="F2567">
        <v>369</v>
      </c>
      <c r="G2567" t="s">
        <v>304</v>
      </c>
      <c r="H2567" t="s">
        <v>239</v>
      </c>
      <c r="I2567" t="s">
        <v>2116</v>
      </c>
    </row>
    <row r="2568" spans="1:9" x14ac:dyDescent="0.35">
      <c r="A2568">
        <v>3014080</v>
      </c>
      <c r="B2568" t="s">
        <v>917</v>
      </c>
      <c r="C2568" s="1">
        <v>45770</v>
      </c>
      <c r="D2568">
        <v>1518</v>
      </c>
      <c r="E2568" t="b">
        <v>0</v>
      </c>
      <c r="F2568">
        <v>369</v>
      </c>
      <c r="G2568" t="s">
        <v>304</v>
      </c>
      <c r="H2568" t="s">
        <v>132</v>
      </c>
      <c r="I2568" t="s">
        <v>2117</v>
      </c>
    </row>
    <row r="2569" spans="1:9" x14ac:dyDescent="0.35">
      <c r="A2569">
        <v>3014080</v>
      </c>
      <c r="B2569" t="s">
        <v>917</v>
      </c>
      <c r="C2569" s="1">
        <v>45770</v>
      </c>
      <c r="D2569">
        <v>1518</v>
      </c>
      <c r="E2569" t="b">
        <v>0</v>
      </c>
      <c r="F2569">
        <v>369</v>
      </c>
      <c r="G2569" t="s">
        <v>304</v>
      </c>
      <c r="H2569" t="s">
        <v>124</v>
      </c>
      <c r="I2569" t="s">
        <v>2117</v>
      </c>
    </row>
    <row r="2570" spans="1:9" x14ac:dyDescent="0.35">
      <c r="A2570">
        <v>3014080</v>
      </c>
      <c r="B2570" t="s">
        <v>917</v>
      </c>
      <c r="C2570" s="1">
        <v>45770</v>
      </c>
      <c r="D2570">
        <v>1518</v>
      </c>
      <c r="E2570" t="b">
        <v>0</v>
      </c>
      <c r="F2570">
        <v>369</v>
      </c>
      <c r="G2570" t="s">
        <v>304</v>
      </c>
      <c r="H2570" t="s">
        <v>1510</v>
      </c>
      <c r="I2570" t="s">
        <v>2117</v>
      </c>
    </row>
    <row r="2571" spans="1:9" x14ac:dyDescent="0.35">
      <c r="A2571">
        <v>471710</v>
      </c>
      <c r="B2571" t="s">
        <v>918</v>
      </c>
      <c r="C2571" s="1">
        <v>44441</v>
      </c>
      <c r="D2571">
        <v>1510</v>
      </c>
      <c r="E2571" t="b">
        <v>0</v>
      </c>
      <c r="F2571">
        <v>370</v>
      </c>
      <c r="G2571" t="s">
        <v>438</v>
      </c>
      <c r="H2571" t="s">
        <v>49</v>
      </c>
      <c r="I2571" t="s">
        <v>2117</v>
      </c>
    </row>
    <row r="2572" spans="1:9" x14ac:dyDescent="0.35">
      <c r="A2572">
        <v>471710</v>
      </c>
      <c r="B2572" t="s">
        <v>918</v>
      </c>
      <c r="C2572" s="1">
        <v>44441</v>
      </c>
      <c r="D2572">
        <v>1510</v>
      </c>
      <c r="E2572" t="b">
        <v>0</v>
      </c>
      <c r="F2572">
        <v>370</v>
      </c>
      <c r="G2572" t="s">
        <v>438</v>
      </c>
      <c r="H2572" t="s">
        <v>792</v>
      </c>
      <c r="I2572" t="s">
        <v>2117</v>
      </c>
    </row>
    <row r="2573" spans="1:9" x14ac:dyDescent="0.35">
      <c r="A2573">
        <v>471710</v>
      </c>
      <c r="B2573" t="s">
        <v>918</v>
      </c>
      <c r="C2573" s="1">
        <v>44441</v>
      </c>
      <c r="D2573">
        <v>1510</v>
      </c>
      <c r="E2573" t="b">
        <v>0</v>
      </c>
      <c r="F2573">
        <v>370</v>
      </c>
      <c r="G2573" t="s">
        <v>438</v>
      </c>
      <c r="H2573" t="s">
        <v>346</v>
      </c>
      <c r="I2573" t="s">
        <v>2116</v>
      </c>
    </row>
    <row r="2574" spans="1:9" x14ac:dyDescent="0.35">
      <c r="A2574">
        <v>471710</v>
      </c>
      <c r="B2574" t="s">
        <v>918</v>
      </c>
      <c r="C2574" s="1">
        <v>44441</v>
      </c>
      <c r="D2574">
        <v>1510</v>
      </c>
      <c r="E2574" t="b">
        <v>0</v>
      </c>
      <c r="F2574">
        <v>370</v>
      </c>
      <c r="G2574" t="s">
        <v>438</v>
      </c>
      <c r="H2574" t="s">
        <v>239</v>
      </c>
      <c r="I2574" t="s">
        <v>2117</v>
      </c>
    </row>
    <row r="2575" spans="1:9" x14ac:dyDescent="0.35">
      <c r="A2575">
        <v>471710</v>
      </c>
      <c r="B2575" t="s">
        <v>918</v>
      </c>
      <c r="C2575" s="1">
        <v>44441</v>
      </c>
      <c r="D2575">
        <v>1510</v>
      </c>
      <c r="E2575" t="b">
        <v>0</v>
      </c>
      <c r="F2575">
        <v>370</v>
      </c>
      <c r="G2575" t="s">
        <v>438</v>
      </c>
      <c r="H2575" t="s">
        <v>132</v>
      </c>
      <c r="I2575" t="s">
        <v>2117</v>
      </c>
    </row>
    <row r="2576" spans="1:9" x14ac:dyDescent="0.35">
      <c r="A2576">
        <v>471710</v>
      </c>
      <c r="B2576" t="s">
        <v>918</v>
      </c>
      <c r="C2576" s="1">
        <v>44441</v>
      </c>
      <c r="D2576">
        <v>1510</v>
      </c>
      <c r="E2576" t="b">
        <v>0</v>
      </c>
      <c r="F2576">
        <v>370</v>
      </c>
      <c r="G2576" t="s">
        <v>438</v>
      </c>
      <c r="H2576" t="s">
        <v>124</v>
      </c>
      <c r="I2576" t="s">
        <v>2117</v>
      </c>
    </row>
    <row r="2577" spans="1:9" x14ac:dyDescent="0.35">
      <c r="A2577">
        <v>471710</v>
      </c>
      <c r="B2577" t="s">
        <v>918</v>
      </c>
      <c r="C2577" s="1">
        <v>44441</v>
      </c>
      <c r="D2577">
        <v>1510</v>
      </c>
      <c r="E2577" t="b">
        <v>0</v>
      </c>
      <c r="F2577">
        <v>370</v>
      </c>
      <c r="G2577" t="s">
        <v>438</v>
      </c>
      <c r="H2577" t="s">
        <v>1510</v>
      </c>
      <c r="I2577" t="s">
        <v>2116</v>
      </c>
    </row>
    <row r="2578" spans="1:9" x14ac:dyDescent="0.35">
      <c r="A2578">
        <v>1084600</v>
      </c>
      <c r="B2578" t="s">
        <v>921</v>
      </c>
      <c r="C2578" s="1">
        <v>45232</v>
      </c>
      <c r="D2578">
        <v>1501</v>
      </c>
      <c r="E2578" t="b">
        <v>0</v>
      </c>
      <c r="F2578">
        <v>371</v>
      </c>
      <c r="G2578" t="s">
        <v>53</v>
      </c>
      <c r="H2578" t="s">
        <v>49</v>
      </c>
      <c r="I2578" t="s">
        <v>2117</v>
      </c>
    </row>
    <row r="2579" spans="1:9" x14ac:dyDescent="0.35">
      <c r="A2579">
        <v>1084600</v>
      </c>
      <c r="B2579" t="s">
        <v>921</v>
      </c>
      <c r="C2579" s="1">
        <v>45232</v>
      </c>
      <c r="D2579">
        <v>1501</v>
      </c>
      <c r="E2579" t="b">
        <v>0</v>
      </c>
      <c r="F2579">
        <v>371</v>
      </c>
      <c r="G2579" t="s">
        <v>53</v>
      </c>
      <c r="H2579" t="s">
        <v>792</v>
      </c>
      <c r="I2579" t="s">
        <v>2116</v>
      </c>
    </row>
    <row r="2580" spans="1:9" x14ac:dyDescent="0.35">
      <c r="A2580">
        <v>1084600</v>
      </c>
      <c r="B2580" t="s">
        <v>921</v>
      </c>
      <c r="C2580" s="1">
        <v>45232</v>
      </c>
      <c r="D2580">
        <v>1501</v>
      </c>
      <c r="E2580" t="b">
        <v>0</v>
      </c>
      <c r="F2580">
        <v>371</v>
      </c>
      <c r="G2580" t="s">
        <v>53</v>
      </c>
      <c r="H2580" t="s">
        <v>346</v>
      </c>
      <c r="I2580" t="s">
        <v>2116</v>
      </c>
    </row>
    <row r="2581" spans="1:9" x14ac:dyDescent="0.35">
      <c r="A2581">
        <v>1084600</v>
      </c>
      <c r="B2581" t="s">
        <v>921</v>
      </c>
      <c r="C2581" s="1">
        <v>45232</v>
      </c>
      <c r="D2581">
        <v>1501</v>
      </c>
      <c r="E2581" t="b">
        <v>0</v>
      </c>
      <c r="F2581">
        <v>371</v>
      </c>
      <c r="G2581" t="s">
        <v>53</v>
      </c>
      <c r="H2581" t="s">
        <v>239</v>
      </c>
      <c r="I2581" t="s">
        <v>2116</v>
      </c>
    </row>
    <row r="2582" spans="1:9" x14ac:dyDescent="0.35">
      <c r="A2582">
        <v>1084600</v>
      </c>
      <c r="B2582" t="s">
        <v>921</v>
      </c>
      <c r="C2582" s="1">
        <v>45232</v>
      </c>
      <c r="D2582">
        <v>1501</v>
      </c>
      <c r="E2582" t="b">
        <v>0</v>
      </c>
      <c r="F2582">
        <v>371</v>
      </c>
      <c r="G2582" t="s">
        <v>53</v>
      </c>
      <c r="H2582" t="s">
        <v>132</v>
      </c>
      <c r="I2582" t="s">
        <v>2116</v>
      </c>
    </row>
    <row r="2583" spans="1:9" x14ac:dyDescent="0.35">
      <c r="A2583">
        <v>1084600</v>
      </c>
      <c r="B2583" t="s">
        <v>921</v>
      </c>
      <c r="C2583" s="1">
        <v>45232</v>
      </c>
      <c r="D2583">
        <v>1501</v>
      </c>
      <c r="E2583" t="b">
        <v>0</v>
      </c>
      <c r="F2583">
        <v>371</v>
      </c>
      <c r="G2583" t="s">
        <v>53</v>
      </c>
      <c r="H2583" t="s">
        <v>124</v>
      </c>
      <c r="I2583" t="s">
        <v>2117</v>
      </c>
    </row>
    <row r="2584" spans="1:9" x14ac:dyDescent="0.35">
      <c r="A2584">
        <v>1084600</v>
      </c>
      <c r="B2584" t="s">
        <v>921</v>
      </c>
      <c r="C2584" s="1">
        <v>45232</v>
      </c>
      <c r="D2584">
        <v>1501</v>
      </c>
      <c r="E2584" t="b">
        <v>0</v>
      </c>
      <c r="F2584">
        <v>371</v>
      </c>
      <c r="G2584" t="s">
        <v>53</v>
      </c>
      <c r="H2584" t="s">
        <v>1510</v>
      </c>
      <c r="I2584" t="s">
        <v>2117</v>
      </c>
    </row>
    <row r="2585" spans="1:9" x14ac:dyDescent="0.35">
      <c r="A2585">
        <v>246620</v>
      </c>
      <c r="B2585" t="s">
        <v>922</v>
      </c>
      <c r="C2585" s="1">
        <v>42418</v>
      </c>
      <c r="D2585">
        <v>1494</v>
      </c>
      <c r="E2585" t="b">
        <v>1</v>
      </c>
      <c r="F2585">
        <v>372</v>
      </c>
      <c r="G2585" t="s">
        <v>110</v>
      </c>
      <c r="H2585" t="s">
        <v>49</v>
      </c>
      <c r="I2585" t="s">
        <v>2117</v>
      </c>
    </row>
    <row r="2586" spans="1:9" x14ac:dyDescent="0.35">
      <c r="A2586">
        <v>246620</v>
      </c>
      <c r="B2586" t="s">
        <v>922</v>
      </c>
      <c r="C2586" s="1">
        <v>42418</v>
      </c>
      <c r="D2586">
        <v>1494</v>
      </c>
      <c r="E2586" t="b">
        <v>1</v>
      </c>
      <c r="F2586">
        <v>372</v>
      </c>
      <c r="G2586" t="s">
        <v>110</v>
      </c>
      <c r="H2586" t="s">
        <v>792</v>
      </c>
      <c r="I2586" t="s">
        <v>2116</v>
      </c>
    </row>
    <row r="2587" spans="1:9" x14ac:dyDescent="0.35">
      <c r="A2587">
        <v>246620</v>
      </c>
      <c r="B2587" t="s">
        <v>922</v>
      </c>
      <c r="C2587" s="1">
        <v>42418</v>
      </c>
      <c r="D2587">
        <v>1494</v>
      </c>
      <c r="E2587" t="b">
        <v>1</v>
      </c>
      <c r="F2587">
        <v>372</v>
      </c>
      <c r="G2587" t="s">
        <v>110</v>
      </c>
      <c r="H2587" t="s">
        <v>346</v>
      </c>
      <c r="I2587" t="s">
        <v>2117</v>
      </c>
    </row>
    <row r="2588" spans="1:9" x14ac:dyDescent="0.35">
      <c r="A2588">
        <v>246620</v>
      </c>
      <c r="B2588" t="s">
        <v>922</v>
      </c>
      <c r="C2588" s="1">
        <v>42418</v>
      </c>
      <c r="D2588">
        <v>1494</v>
      </c>
      <c r="E2588" t="b">
        <v>1</v>
      </c>
      <c r="F2588">
        <v>372</v>
      </c>
      <c r="G2588" t="s">
        <v>110</v>
      </c>
      <c r="H2588" t="s">
        <v>239</v>
      </c>
      <c r="I2588" t="s">
        <v>2116</v>
      </c>
    </row>
    <row r="2589" spans="1:9" x14ac:dyDescent="0.35">
      <c r="A2589">
        <v>246620</v>
      </c>
      <c r="B2589" t="s">
        <v>922</v>
      </c>
      <c r="C2589" s="1">
        <v>42418</v>
      </c>
      <c r="D2589">
        <v>1494</v>
      </c>
      <c r="E2589" t="b">
        <v>1</v>
      </c>
      <c r="F2589">
        <v>372</v>
      </c>
      <c r="G2589" t="s">
        <v>110</v>
      </c>
      <c r="H2589" t="s">
        <v>132</v>
      </c>
      <c r="I2589" t="s">
        <v>2117</v>
      </c>
    </row>
    <row r="2590" spans="1:9" x14ac:dyDescent="0.35">
      <c r="A2590">
        <v>246620</v>
      </c>
      <c r="B2590" t="s">
        <v>922</v>
      </c>
      <c r="C2590" s="1">
        <v>42418</v>
      </c>
      <c r="D2590">
        <v>1494</v>
      </c>
      <c r="E2590" t="b">
        <v>1</v>
      </c>
      <c r="F2590">
        <v>372</v>
      </c>
      <c r="G2590" t="s">
        <v>110</v>
      </c>
      <c r="H2590" t="s">
        <v>124</v>
      </c>
      <c r="I2590" t="s">
        <v>2116</v>
      </c>
    </row>
    <row r="2591" spans="1:9" x14ac:dyDescent="0.35">
      <c r="A2591">
        <v>246620</v>
      </c>
      <c r="B2591" t="s">
        <v>922</v>
      </c>
      <c r="C2591" s="1">
        <v>42418</v>
      </c>
      <c r="D2591">
        <v>1494</v>
      </c>
      <c r="E2591" t="b">
        <v>1</v>
      </c>
      <c r="F2591">
        <v>372</v>
      </c>
      <c r="G2591" t="s">
        <v>110</v>
      </c>
      <c r="H2591" t="s">
        <v>1510</v>
      </c>
      <c r="I2591" t="s">
        <v>2117</v>
      </c>
    </row>
    <row r="2592" spans="1:9" x14ac:dyDescent="0.35">
      <c r="A2592">
        <v>1149460</v>
      </c>
      <c r="B2592" t="s">
        <v>924</v>
      </c>
      <c r="C2592" s="1">
        <v>44533</v>
      </c>
      <c r="D2592">
        <v>1492</v>
      </c>
      <c r="E2592" t="b">
        <v>0</v>
      </c>
      <c r="F2592">
        <v>373</v>
      </c>
      <c r="G2592" t="s">
        <v>113</v>
      </c>
      <c r="H2592" t="s">
        <v>49</v>
      </c>
      <c r="I2592" t="s">
        <v>2116</v>
      </c>
    </row>
    <row r="2593" spans="1:9" x14ac:dyDescent="0.35">
      <c r="A2593">
        <v>1149460</v>
      </c>
      <c r="B2593" t="s">
        <v>924</v>
      </c>
      <c r="C2593" s="1">
        <v>44533</v>
      </c>
      <c r="D2593">
        <v>1492</v>
      </c>
      <c r="E2593" t="b">
        <v>0</v>
      </c>
      <c r="F2593">
        <v>373</v>
      </c>
      <c r="G2593" t="s">
        <v>113</v>
      </c>
      <c r="H2593" t="s">
        <v>792</v>
      </c>
      <c r="I2593" t="s">
        <v>2117</v>
      </c>
    </row>
    <row r="2594" spans="1:9" x14ac:dyDescent="0.35">
      <c r="A2594">
        <v>1149460</v>
      </c>
      <c r="B2594" t="s">
        <v>924</v>
      </c>
      <c r="C2594" s="1">
        <v>44533</v>
      </c>
      <c r="D2594">
        <v>1492</v>
      </c>
      <c r="E2594" t="b">
        <v>0</v>
      </c>
      <c r="F2594">
        <v>373</v>
      </c>
      <c r="G2594" t="s">
        <v>113</v>
      </c>
      <c r="H2594" t="s">
        <v>346</v>
      </c>
      <c r="I2594" t="s">
        <v>2116</v>
      </c>
    </row>
    <row r="2595" spans="1:9" x14ac:dyDescent="0.35">
      <c r="A2595">
        <v>1149460</v>
      </c>
      <c r="B2595" t="s">
        <v>924</v>
      </c>
      <c r="C2595" s="1">
        <v>44533</v>
      </c>
      <c r="D2595">
        <v>1492</v>
      </c>
      <c r="E2595" t="b">
        <v>0</v>
      </c>
      <c r="F2595">
        <v>373</v>
      </c>
      <c r="G2595" t="s">
        <v>113</v>
      </c>
      <c r="H2595" t="s">
        <v>239</v>
      </c>
      <c r="I2595" t="s">
        <v>2116</v>
      </c>
    </row>
    <row r="2596" spans="1:9" x14ac:dyDescent="0.35">
      <c r="A2596">
        <v>1149460</v>
      </c>
      <c r="B2596" t="s">
        <v>924</v>
      </c>
      <c r="C2596" s="1">
        <v>44533</v>
      </c>
      <c r="D2596">
        <v>1492</v>
      </c>
      <c r="E2596" t="b">
        <v>0</v>
      </c>
      <c r="F2596">
        <v>373</v>
      </c>
      <c r="G2596" t="s">
        <v>113</v>
      </c>
      <c r="H2596" t="s">
        <v>132</v>
      </c>
      <c r="I2596" t="s">
        <v>2117</v>
      </c>
    </row>
    <row r="2597" spans="1:9" x14ac:dyDescent="0.35">
      <c r="A2597">
        <v>1149460</v>
      </c>
      <c r="B2597" t="s">
        <v>924</v>
      </c>
      <c r="C2597" s="1">
        <v>44533</v>
      </c>
      <c r="D2597">
        <v>1492</v>
      </c>
      <c r="E2597" t="b">
        <v>0</v>
      </c>
      <c r="F2597">
        <v>373</v>
      </c>
      <c r="G2597" t="s">
        <v>113</v>
      </c>
      <c r="H2597" t="s">
        <v>124</v>
      </c>
      <c r="I2597" t="s">
        <v>2117</v>
      </c>
    </row>
    <row r="2598" spans="1:9" x14ac:dyDescent="0.35">
      <c r="A2598">
        <v>1149460</v>
      </c>
      <c r="B2598" t="s">
        <v>924</v>
      </c>
      <c r="C2598" s="1">
        <v>44533</v>
      </c>
      <c r="D2598">
        <v>1492</v>
      </c>
      <c r="E2598" t="b">
        <v>0</v>
      </c>
      <c r="F2598">
        <v>373</v>
      </c>
      <c r="G2598" t="s">
        <v>113</v>
      </c>
      <c r="H2598" t="s">
        <v>1510</v>
      </c>
      <c r="I2598" t="s">
        <v>2117</v>
      </c>
    </row>
    <row r="2599" spans="1:9" x14ac:dyDescent="0.35">
      <c r="A2599">
        <v>2776450</v>
      </c>
      <c r="B2599" t="s">
        <v>927</v>
      </c>
      <c r="C2599" s="1">
        <v>45884</v>
      </c>
      <c r="D2599">
        <v>1492</v>
      </c>
      <c r="E2599" t="b">
        <v>0</v>
      </c>
      <c r="F2599">
        <v>373</v>
      </c>
      <c r="G2599" t="s">
        <v>14</v>
      </c>
      <c r="H2599" t="s">
        <v>49</v>
      </c>
      <c r="I2599" t="s">
        <v>2117</v>
      </c>
    </row>
    <row r="2600" spans="1:9" x14ac:dyDescent="0.35">
      <c r="A2600">
        <v>2776450</v>
      </c>
      <c r="B2600" t="s">
        <v>927</v>
      </c>
      <c r="C2600" s="1">
        <v>45884</v>
      </c>
      <c r="D2600">
        <v>1492</v>
      </c>
      <c r="E2600" t="b">
        <v>0</v>
      </c>
      <c r="F2600">
        <v>373</v>
      </c>
      <c r="G2600" t="s">
        <v>14</v>
      </c>
      <c r="H2600" t="s">
        <v>792</v>
      </c>
      <c r="I2600" t="s">
        <v>2116</v>
      </c>
    </row>
    <row r="2601" spans="1:9" x14ac:dyDescent="0.35">
      <c r="A2601">
        <v>2776450</v>
      </c>
      <c r="B2601" t="s">
        <v>927</v>
      </c>
      <c r="C2601" s="1">
        <v>45884</v>
      </c>
      <c r="D2601">
        <v>1492</v>
      </c>
      <c r="E2601" t="b">
        <v>0</v>
      </c>
      <c r="F2601">
        <v>373</v>
      </c>
      <c r="G2601" t="s">
        <v>14</v>
      </c>
      <c r="H2601" t="s">
        <v>346</v>
      </c>
      <c r="I2601" t="s">
        <v>2116</v>
      </c>
    </row>
    <row r="2602" spans="1:9" x14ac:dyDescent="0.35">
      <c r="A2602">
        <v>2776450</v>
      </c>
      <c r="B2602" t="s">
        <v>927</v>
      </c>
      <c r="C2602" s="1">
        <v>45884</v>
      </c>
      <c r="D2602">
        <v>1492</v>
      </c>
      <c r="E2602" t="b">
        <v>0</v>
      </c>
      <c r="F2602">
        <v>373</v>
      </c>
      <c r="G2602" t="s">
        <v>14</v>
      </c>
      <c r="H2602" t="s">
        <v>239</v>
      </c>
      <c r="I2602" t="s">
        <v>2116</v>
      </c>
    </row>
    <row r="2603" spans="1:9" x14ac:dyDescent="0.35">
      <c r="A2603">
        <v>2776450</v>
      </c>
      <c r="B2603" t="s">
        <v>927</v>
      </c>
      <c r="C2603" s="1">
        <v>45884</v>
      </c>
      <c r="D2603">
        <v>1492</v>
      </c>
      <c r="E2603" t="b">
        <v>0</v>
      </c>
      <c r="F2603">
        <v>373</v>
      </c>
      <c r="G2603" t="s">
        <v>14</v>
      </c>
      <c r="H2603" t="s">
        <v>132</v>
      </c>
      <c r="I2603" t="s">
        <v>2116</v>
      </c>
    </row>
    <row r="2604" spans="1:9" x14ac:dyDescent="0.35">
      <c r="A2604">
        <v>2776450</v>
      </c>
      <c r="B2604" t="s">
        <v>927</v>
      </c>
      <c r="C2604" s="1">
        <v>45884</v>
      </c>
      <c r="D2604">
        <v>1492</v>
      </c>
      <c r="E2604" t="b">
        <v>0</v>
      </c>
      <c r="F2604">
        <v>373</v>
      </c>
      <c r="G2604" t="s">
        <v>14</v>
      </c>
      <c r="H2604" t="s">
        <v>124</v>
      </c>
      <c r="I2604" t="s">
        <v>2116</v>
      </c>
    </row>
    <row r="2605" spans="1:9" x14ac:dyDescent="0.35">
      <c r="A2605">
        <v>2776450</v>
      </c>
      <c r="B2605" t="s">
        <v>927</v>
      </c>
      <c r="C2605" s="1">
        <v>45884</v>
      </c>
      <c r="D2605">
        <v>1492</v>
      </c>
      <c r="E2605" t="b">
        <v>0</v>
      </c>
      <c r="F2605">
        <v>373</v>
      </c>
      <c r="G2605" t="s">
        <v>14</v>
      </c>
      <c r="H2605" t="s">
        <v>1510</v>
      </c>
      <c r="I2605" t="s">
        <v>2117</v>
      </c>
    </row>
    <row r="2606" spans="1:9" x14ac:dyDescent="0.35">
      <c r="A2606">
        <v>1119730</v>
      </c>
      <c r="B2606" t="s">
        <v>928</v>
      </c>
      <c r="C2606" s="1">
        <v>45233</v>
      </c>
      <c r="D2606">
        <v>1488</v>
      </c>
      <c r="E2606" t="b">
        <v>0</v>
      </c>
      <c r="F2606">
        <v>375</v>
      </c>
      <c r="G2606" t="s">
        <v>18</v>
      </c>
      <c r="H2606" t="s">
        <v>49</v>
      </c>
      <c r="I2606" t="s">
        <v>2117</v>
      </c>
    </row>
    <row r="2607" spans="1:9" x14ac:dyDescent="0.35">
      <c r="A2607">
        <v>1119730</v>
      </c>
      <c r="B2607" t="s">
        <v>928</v>
      </c>
      <c r="C2607" s="1">
        <v>45233</v>
      </c>
      <c r="D2607">
        <v>1488</v>
      </c>
      <c r="E2607" t="b">
        <v>0</v>
      </c>
      <c r="F2607">
        <v>375</v>
      </c>
      <c r="G2607" t="s">
        <v>18</v>
      </c>
      <c r="H2607" t="s">
        <v>792</v>
      </c>
      <c r="I2607" t="s">
        <v>2117</v>
      </c>
    </row>
    <row r="2608" spans="1:9" x14ac:dyDescent="0.35">
      <c r="A2608">
        <v>1119730</v>
      </c>
      <c r="B2608" t="s">
        <v>928</v>
      </c>
      <c r="C2608" s="1">
        <v>45233</v>
      </c>
      <c r="D2608">
        <v>1488</v>
      </c>
      <c r="E2608" t="b">
        <v>0</v>
      </c>
      <c r="F2608">
        <v>375</v>
      </c>
      <c r="G2608" t="s">
        <v>18</v>
      </c>
      <c r="H2608" t="s">
        <v>346</v>
      </c>
      <c r="I2608" t="s">
        <v>2117</v>
      </c>
    </row>
    <row r="2609" spans="1:9" x14ac:dyDescent="0.35">
      <c r="A2609">
        <v>1119730</v>
      </c>
      <c r="B2609" t="s">
        <v>928</v>
      </c>
      <c r="C2609" s="1">
        <v>45233</v>
      </c>
      <c r="D2609">
        <v>1488</v>
      </c>
      <c r="E2609" t="b">
        <v>0</v>
      </c>
      <c r="F2609">
        <v>375</v>
      </c>
      <c r="G2609" t="s">
        <v>18</v>
      </c>
      <c r="H2609" t="s">
        <v>239</v>
      </c>
      <c r="I2609" t="s">
        <v>2116</v>
      </c>
    </row>
    <row r="2610" spans="1:9" x14ac:dyDescent="0.35">
      <c r="A2610">
        <v>1119730</v>
      </c>
      <c r="B2610" t="s">
        <v>928</v>
      </c>
      <c r="C2610" s="1">
        <v>45233</v>
      </c>
      <c r="D2610">
        <v>1488</v>
      </c>
      <c r="E2610" t="b">
        <v>0</v>
      </c>
      <c r="F2610">
        <v>375</v>
      </c>
      <c r="G2610" t="s">
        <v>18</v>
      </c>
      <c r="H2610" t="s">
        <v>132</v>
      </c>
      <c r="I2610" t="s">
        <v>2117</v>
      </c>
    </row>
    <row r="2611" spans="1:9" x14ac:dyDescent="0.35">
      <c r="A2611">
        <v>1119730</v>
      </c>
      <c r="B2611" t="s">
        <v>928</v>
      </c>
      <c r="C2611" s="1">
        <v>45233</v>
      </c>
      <c r="D2611">
        <v>1488</v>
      </c>
      <c r="E2611" t="b">
        <v>0</v>
      </c>
      <c r="F2611">
        <v>375</v>
      </c>
      <c r="G2611" t="s">
        <v>18</v>
      </c>
      <c r="H2611" t="s">
        <v>124</v>
      </c>
      <c r="I2611" t="s">
        <v>2117</v>
      </c>
    </row>
    <row r="2612" spans="1:9" x14ac:dyDescent="0.35">
      <c r="A2612">
        <v>1119730</v>
      </c>
      <c r="B2612" t="s">
        <v>928</v>
      </c>
      <c r="C2612" s="1">
        <v>45233</v>
      </c>
      <c r="D2612">
        <v>1488</v>
      </c>
      <c r="E2612" t="b">
        <v>0</v>
      </c>
      <c r="F2612">
        <v>375</v>
      </c>
      <c r="G2612" t="s">
        <v>18</v>
      </c>
      <c r="H2612" t="s">
        <v>1510</v>
      </c>
      <c r="I2612" t="s">
        <v>2117</v>
      </c>
    </row>
    <row r="2613" spans="1:9" x14ac:dyDescent="0.35">
      <c r="A2613">
        <v>573090</v>
      </c>
      <c r="B2613" t="s">
        <v>930</v>
      </c>
      <c r="C2613" s="1">
        <v>44091</v>
      </c>
      <c r="D2613">
        <v>1488</v>
      </c>
      <c r="E2613" t="b">
        <v>1</v>
      </c>
      <c r="F2613">
        <v>375</v>
      </c>
      <c r="G2613" t="s">
        <v>932</v>
      </c>
      <c r="H2613" t="s">
        <v>49</v>
      </c>
      <c r="I2613" t="s">
        <v>2117</v>
      </c>
    </row>
    <row r="2614" spans="1:9" x14ac:dyDescent="0.35">
      <c r="A2614">
        <v>573090</v>
      </c>
      <c r="B2614" t="s">
        <v>930</v>
      </c>
      <c r="C2614" s="1">
        <v>44091</v>
      </c>
      <c r="D2614">
        <v>1488</v>
      </c>
      <c r="E2614" t="b">
        <v>1</v>
      </c>
      <c r="F2614">
        <v>375</v>
      </c>
      <c r="G2614" t="s">
        <v>932</v>
      </c>
      <c r="H2614" t="s">
        <v>792</v>
      </c>
      <c r="I2614" t="s">
        <v>2117</v>
      </c>
    </row>
    <row r="2615" spans="1:9" x14ac:dyDescent="0.35">
      <c r="A2615">
        <v>573090</v>
      </c>
      <c r="B2615" t="s">
        <v>930</v>
      </c>
      <c r="C2615" s="1">
        <v>44091</v>
      </c>
      <c r="D2615">
        <v>1488</v>
      </c>
      <c r="E2615" t="b">
        <v>1</v>
      </c>
      <c r="F2615">
        <v>375</v>
      </c>
      <c r="G2615" t="s">
        <v>932</v>
      </c>
      <c r="H2615" t="s">
        <v>346</v>
      </c>
      <c r="I2615" t="s">
        <v>2117</v>
      </c>
    </row>
    <row r="2616" spans="1:9" x14ac:dyDescent="0.35">
      <c r="A2616">
        <v>573090</v>
      </c>
      <c r="B2616" t="s">
        <v>930</v>
      </c>
      <c r="C2616" s="1">
        <v>44091</v>
      </c>
      <c r="D2616">
        <v>1488</v>
      </c>
      <c r="E2616" t="b">
        <v>1</v>
      </c>
      <c r="F2616">
        <v>375</v>
      </c>
      <c r="G2616" t="s">
        <v>932</v>
      </c>
      <c r="H2616" t="s">
        <v>239</v>
      </c>
      <c r="I2616" t="s">
        <v>2116</v>
      </c>
    </row>
    <row r="2617" spans="1:9" x14ac:dyDescent="0.35">
      <c r="A2617">
        <v>573090</v>
      </c>
      <c r="B2617" t="s">
        <v>930</v>
      </c>
      <c r="C2617" s="1">
        <v>44091</v>
      </c>
      <c r="D2617">
        <v>1488</v>
      </c>
      <c r="E2617" t="b">
        <v>1</v>
      </c>
      <c r="F2617">
        <v>375</v>
      </c>
      <c r="G2617" t="s">
        <v>932</v>
      </c>
      <c r="H2617" t="s">
        <v>132</v>
      </c>
      <c r="I2617" t="s">
        <v>2117</v>
      </c>
    </row>
    <row r="2618" spans="1:9" x14ac:dyDescent="0.35">
      <c r="A2618">
        <v>573090</v>
      </c>
      <c r="B2618" t="s">
        <v>930</v>
      </c>
      <c r="C2618" s="1">
        <v>44091</v>
      </c>
      <c r="D2618">
        <v>1488</v>
      </c>
      <c r="E2618" t="b">
        <v>1</v>
      </c>
      <c r="F2618">
        <v>375</v>
      </c>
      <c r="G2618" t="s">
        <v>932</v>
      </c>
      <c r="H2618" t="s">
        <v>124</v>
      </c>
      <c r="I2618" t="s">
        <v>2117</v>
      </c>
    </row>
    <row r="2619" spans="1:9" x14ac:dyDescent="0.35">
      <c r="A2619">
        <v>573090</v>
      </c>
      <c r="B2619" t="s">
        <v>930</v>
      </c>
      <c r="C2619" s="1">
        <v>44091</v>
      </c>
      <c r="D2619">
        <v>1488</v>
      </c>
      <c r="E2619" t="b">
        <v>1</v>
      </c>
      <c r="F2619">
        <v>375</v>
      </c>
      <c r="G2619" t="s">
        <v>932</v>
      </c>
      <c r="H2619" t="s">
        <v>1510</v>
      </c>
      <c r="I2619" t="s">
        <v>2117</v>
      </c>
    </row>
    <row r="2620" spans="1:9" x14ac:dyDescent="0.35">
      <c r="A2620">
        <v>805550</v>
      </c>
      <c r="B2620" t="s">
        <v>933</v>
      </c>
      <c r="C2620" s="1">
        <v>43614</v>
      </c>
      <c r="D2620">
        <v>1479</v>
      </c>
      <c r="E2620" t="b">
        <v>0</v>
      </c>
      <c r="F2620">
        <v>377</v>
      </c>
      <c r="G2620" t="s">
        <v>25</v>
      </c>
      <c r="H2620" t="s">
        <v>49</v>
      </c>
      <c r="I2620" t="s">
        <v>2117</v>
      </c>
    </row>
    <row r="2621" spans="1:9" x14ac:dyDescent="0.35">
      <c r="A2621">
        <v>805550</v>
      </c>
      <c r="B2621" t="s">
        <v>933</v>
      </c>
      <c r="C2621" s="1">
        <v>43614</v>
      </c>
      <c r="D2621">
        <v>1479</v>
      </c>
      <c r="E2621" t="b">
        <v>0</v>
      </c>
      <c r="F2621">
        <v>377</v>
      </c>
      <c r="G2621" t="s">
        <v>25</v>
      </c>
      <c r="H2621" t="s">
        <v>792</v>
      </c>
      <c r="I2621" t="s">
        <v>2117</v>
      </c>
    </row>
    <row r="2622" spans="1:9" x14ac:dyDescent="0.35">
      <c r="A2622">
        <v>805550</v>
      </c>
      <c r="B2622" t="s">
        <v>933</v>
      </c>
      <c r="C2622" s="1">
        <v>43614</v>
      </c>
      <c r="D2622">
        <v>1479</v>
      </c>
      <c r="E2622" t="b">
        <v>0</v>
      </c>
      <c r="F2622">
        <v>377</v>
      </c>
      <c r="G2622" t="s">
        <v>25</v>
      </c>
      <c r="H2622" t="s">
        <v>346</v>
      </c>
      <c r="I2622" t="s">
        <v>2117</v>
      </c>
    </row>
    <row r="2623" spans="1:9" x14ac:dyDescent="0.35">
      <c r="A2623">
        <v>805550</v>
      </c>
      <c r="B2623" t="s">
        <v>933</v>
      </c>
      <c r="C2623" s="1">
        <v>43614</v>
      </c>
      <c r="D2623">
        <v>1479</v>
      </c>
      <c r="E2623" t="b">
        <v>0</v>
      </c>
      <c r="F2623">
        <v>377</v>
      </c>
      <c r="G2623" t="s">
        <v>25</v>
      </c>
      <c r="H2623" t="s">
        <v>239</v>
      </c>
      <c r="I2623" t="s">
        <v>2116</v>
      </c>
    </row>
    <row r="2624" spans="1:9" x14ac:dyDescent="0.35">
      <c r="A2624">
        <v>805550</v>
      </c>
      <c r="B2624" t="s">
        <v>933</v>
      </c>
      <c r="C2624" s="1">
        <v>43614</v>
      </c>
      <c r="D2624">
        <v>1479</v>
      </c>
      <c r="E2624" t="b">
        <v>0</v>
      </c>
      <c r="F2624">
        <v>377</v>
      </c>
      <c r="G2624" t="s">
        <v>25</v>
      </c>
      <c r="H2624" t="s">
        <v>132</v>
      </c>
      <c r="I2624" t="s">
        <v>2117</v>
      </c>
    </row>
    <row r="2625" spans="1:9" x14ac:dyDescent="0.35">
      <c r="A2625">
        <v>805550</v>
      </c>
      <c r="B2625" t="s">
        <v>933</v>
      </c>
      <c r="C2625" s="1">
        <v>43614</v>
      </c>
      <c r="D2625">
        <v>1479</v>
      </c>
      <c r="E2625" t="b">
        <v>0</v>
      </c>
      <c r="F2625">
        <v>377</v>
      </c>
      <c r="G2625" t="s">
        <v>25</v>
      </c>
      <c r="H2625" t="s">
        <v>124</v>
      </c>
      <c r="I2625" t="s">
        <v>2117</v>
      </c>
    </row>
    <row r="2626" spans="1:9" x14ac:dyDescent="0.35">
      <c r="A2626">
        <v>805550</v>
      </c>
      <c r="B2626" t="s">
        <v>933</v>
      </c>
      <c r="C2626" s="1">
        <v>43614</v>
      </c>
      <c r="D2626">
        <v>1479</v>
      </c>
      <c r="E2626" t="b">
        <v>0</v>
      </c>
      <c r="F2626">
        <v>377</v>
      </c>
      <c r="G2626" t="s">
        <v>25</v>
      </c>
      <c r="H2626" t="s">
        <v>1510</v>
      </c>
      <c r="I2626" t="s">
        <v>2117</v>
      </c>
    </row>
    <row r="2627" spans="1:9" x14ac:dyDescent="0.35">
      <c r="A2627">
        <v>219740</v>
      </c>
      <c r="B2627" t="s">
        <v>935</v>
      </c>
      <c r="C2627" s="1">
        <v>41387</v>
      </c>
      <c r="D2627">
        <v>1472</v>
      </c>
      <c r="E2627" t="b">
        <v>1</v>
      </c>
      <c r="F2627">
        <v>378</v>
      </c>
      <c r="G2627" t="s">
        <v>2084</v>
      </c>
      <c r="H2627" t="s">
        <v>49</v>
      </c>
      <c r="I2627" t="s">
        <v>2117</v>
      </c>
    </row>
    <row r="2628" spans="1:9" x14ac:dyDescent="0.35">
      <c r="A2628">
        <v>219740</v>
      </c>
      <c r="B2628" t="s">
        <v>935</v>
      </c>
      <c r="C2628" s="1">
        <v>41387</v>
      </c>
      <c r="D2628">
        <v>1472</v>
      </c>
      <c r="E2628" t="b">
        <v>1</v>
      </c>
      <c r="F2628">
        <v>378</v>
      </c>
      <c r="G2628" t="s">
        <v>2084</v>
      </c>
      <c r="H2628" t="s">
        <v>792</v>
      </c>
      <c r="I2628" t="s">
        <v>2116</v>
      </c>
    </row>
    <row r="2629" spans="1:9" x14ac:dyDescent="0.35">
      <c r="A2629">
        <v>219740</v>
      </c>
      <c r="B2629" t="s">
        <v>935</v>
      </c>
      <c r="C2629" s="1">
        <v>41387</v>
      </c>
      <c r="D2629">
        <v>1472</v>
      </c>
      <c r="E2629" t="b">
        <v>1</v>
      </c>
      <c r="F2629">
        <v>378</v>
      </c>
      <c r="G2629" t="s">
        <v>2084</v>
      </c>
      <c r="H2629" t="s">
        <v>346</v>
      </c>
      <c r="I2629" t="s">
        <v>2116</v>
      </c>
    </row>
    <row r="2630" spans="1:9" x14ac:dyDescent="0.35">
      <c r="A2630">
        <v>219740</v>
      </c>
      <c r="B2630" t="s">
        <v>935</v>
      </c>
      <c r="C2630" s="1">
        <v>41387</v>
      </c>
      <c r="D2630">
        <v>1472</v>
      </c>
      <c r="E2630" t="b">
        <v>1</v>
      </c>
      <c r="F2630">
        <v>378</v>
      </c>
      <c r="G2630" t="s">
        <v>2084</v>
      </c>
      <c r="H2630" t="s">
        <v>239</v>
      </c>
      <c r="I2630" t="s">
        <v>2116</v>
      </c>
    </row>
    <row r="2631" spans="1:9" x14ac:dyDescent="0.35">
      <c r="A2631">
        <v>219740</v>
      </c>
      <c r="B2631" t="s">
        <v>935</v>
      </c>
      <c r="C2631" s="1">
        <v>41387</v>
      </c>
      <c r="D2631">
        <v>1472</v>
      </c>
      <c r="E2631" t="b">
        <v>1</v>
      </c>
      <c r="F2631">
        <v>378</v>
      </c>
      <c r="G2631" t="s">
        <v>2084</v>
      </c>
      <c r="H2631" t="s">
        <v>132</v>
      </c>
      <c r="I2631" t="s">
        <v>2117</v>
      </c>
    </row>
    <row r="2632" spans="1:9" x14ac:dyDescent="0.35">
      <c r="A2632">
        <v>219740</v>
      </c>
      <c r="B2632" t="s">
        <v>935</v>
      </c>
      <c r="C2632" s="1">
        <v>41387</v>
      </c>
      <c r="D2632">
        <v>1472</v>
      </c>
      <c r="E2632" t="b">
        <v>1</v>
      </c>
      <c r="F2632">
        <v>378</v>
      </c>
      <c r="G2632" t="s">
        <v>2084</v>
      </c>
      <c r="H2632" t="s">
        <v>124</v>
      </c>
      <c r="I2632" t="s">
        <v>2117</v>
      </c>
    </row>
    <row r="2633" spans="1:9" x14ac:dyDescent="0.35">
      <c r="A2633">
        <v>219740</v>
      </c>
      <c r="B2633" t="s">
        <v>935</v>
      </c>
      <c r="C2633" s="1">
        <v>41387</v>
      </c>
      <c r="D2633">
        <v>1472</v>
      </c>
      <c r="E2633" t="b">
        <v>1</v>
      </c>
      <c r="F2633">
        <v>378</v>
      </c>
      <c r="G2633" t="s">
        <v>2084</v>
      </c>
      <c r="H2633" t="s">
        <v>1510</v>
      </c>
      <c r="I2633" t="s">
        <v>2117</v>
      </c>
    </row>
    <row r="2634" spans="1:9" x14ac:dyDescent="0.35">
      <c r="A2634">
        <v>2918150</v>
      </c>
      <c r="B2634" t="s">
        <v>937</v>
      </c>
      <c r="C2634" s="1">
        <v>45558</v>
      </c>
      <c r="D2634">
        <v>1469</v>
      </c>
      <c r="E2634" t="b">
        <v>0</v>
      </c>
      <c r="F2634">
        <v>379</v>
      </c>
      <c r="G2634" t="s">
        <v>304</v>
      </c>
      <c r="H2634" t="s">
        <v>49</v>
      </c>
      <c r="I2634" t="s">
        <v>2116</v>
      </c>
    </row>
    <row r="2635" spans="1:9" x14ac:dyDescent="0.35">
      <c r="A2635">
        <v>2918150</v>
      </c>
      <c r="B2635" t="s">
        <v>937</v>
      </c>
      <c r="C2635" s="1">
        <v>45558</v>
      </c>
      <c r="D2635">
        <v>1469</v>
      </c>
      <c r="E2635" t="b">
        <v>0</v>
      </c>
      <c r="F2635">
        <v>379</v>
      </c>
      <c r="G2635" t="s">
        <v>304</v>
      </c>
      <c r="H2635" t="s">
        <v>792</v>
      </c>
      <c r="I2635" t="s">
        <v>2117</v>
      </c>
    </row>
    <row r="2636" spans="1:9" x14ac:dyDescent="0.35">
      <c r="A2636">
        <v>2918150</v>
      </c>
      <c r="B2636" t="s">
        <v>937</v>
      </c>
      <c r="C2636" s="1">
        <v>45558</v>
      </c>
      <c r="D2636">
        <v>1469</v>
      </c>
      <c r="E2636" t="b">
        <v>0</v>
      </c>
      <c r="F2636">
        <v>379</v>
      </c>
      <c r="G2636" t="s">
        <v>304</v>
      </c>
      <c r="H2636" t="s">
        <v>346</v>
      </c>
      <c r="I2636" t="s">
        <v>2117</v>
      </c>
    </row>
    <row r="2637" spans="1:9" x14ac:dyDescent="0.35">
      <c r="A2637">
        <v>2918150</v>
      </c>
      <c r="B2637" t="s">
        <v>937</v>
      </c>
      <c r="C2637" s="1">
        <v>45558</v>
      </c>
      <c r="D2637">
        <v>1469</v>
      </c>
      <c r="E2637" t="b">
        <v>0</v>
      </c>
      <c r="F2637">
        <v>379</v>
      </c>
      <c r="G2637" t="s">
        <v>304</v>
      </c>
      <c r="H2637" t="s">
        <v>239</v>
      </c>
      <c r="I2637" t="s">
        <v>2117</v>
      </c>
    </row>
    <row r="2638" spans="1:9" x14ac:dyDescent="0.35">
      <c r="A2638">
        <v>2918150</v>
      </c>
      <c r="B2638" t="s">
        <v>937</v>
      </c>
      <c r="C2638" s="1">
        <v>45558</v>
      </c>
      <c r="D2638">
        <v>1469</v>
      </c>
      <c r="E2638" t="b">
        <v>0</v>
      </c>
      <c r="F2638">
        <v>379</v>
      </c>
      <c r="G2638" t="s">
        <v>304</v>
      </c>
      <c r="H2638" t="s">
        <v>132</v>
      </c>
      <c r="I2638" t="s">
        <v>2117</v>
      </c>
    </row>
    <row r="2639" spans="1:9" x14ac:dyDescent="0.35">
      <c r="A2639">
        <v>2918150</v>
      </c>
      <c r="B2639" t="s">
        <v>937</v>
      </c>
      <c r="C2639" s="1">
        <v>45558</v>
      </c>
      <c r="D2639">
        <v>1469</v>
      </c>
      <c r="E2639" t="b">
        <v>0</v>
      </c>
      <c r="F2639">
        <v>379</v>
      </c>
      <c r="G2639" t="s">
        <v>304</v>
      </c>
      <c r="H2639" t="s">
        <v>124</v>
      </c>
      <c r="I2639" t="s">
        <v>2117</v>
      </c>
    </row>
    <row r="2640" spans="1:9" x14ac:dyDescent="0.35">
      <c r="A2640">
        <v>2918150</v>
      </c>
      <c r="B2640" t="s">
        <v>937</v>
      </c>
      <c r="C2640" s="1">
        <v>45558</v>
      </c>
      <c r="D2640">
        <v>1469</v>
      </c>
      <c r="E2640" t="b">
        <v>0</v>
      </c>
      <c r="F2640">
        <v>379</v>
      </c>
      <c r="G2640" t="s">
        <v>304</v>
      </c>
      <c r="H2640" t="s">
        <v>1510</v>
      </c>
      <c r="I2640" t="s">
        <v>2116</v>
      </c>
    </row>
    <row r="2641" spans="1:9" x14ac:dyDescent="0.35">
      <c r="A2641">
        <v>594570</v>
      </c>
      <c r="B2641" t="s">
        <v>939</v>
      </c>
      <c r="C2641" s="1">
        <v>43006</v>
      </c>
      <c r="D2641">
        <v>1464</v>
      </c>
      <c r="E2641" t="b">
        <v>1</v>
      </c>
      <c r="F2641">
        <v>380</v>
      </c>
      <c r="G2641" t="s">
        <v>133</v>
      </c>
      <c r="H2641" t="s">
        <v>49</v>
      </c>
      <c r="I2641" t="s">
        <v>2116</v>
      </c>
    </row>
    <row r="2642" spans="1:9" x14ac:dyDescent="0.35">
      <c r="A2642">
        <v>594570</v>
      </c>
      <c r="B2642" t="s">
        <v>939</v>
      </c>
      <c r="C2642" s="1">
        <v>43006</v>
      </c>
      <c r="D2642">
        <v>1464</v>
      </c>
      <c r="E2642" t="b">
        <v>1</v>
      </c>
      <c r="F2642">
        <v>380</v>
      </c>
      <c r="G2642" t="s">
        <v>133</v>
      </c>
      <c r="H2642" t="s">
        <v>792</v>
      </c>
      <c r="I2642" t="s">
        <v>2117</v>
      </c>
    </row>
    <row r="2643" spans="1:9" x14ac:dyDescent="0.35">
      <c r="A2643">
        <v>594570</v>
      </c>
      <c r="B2643" t="s">
        <v>939</v>
      </c>
      <c r="C2643" s="1">
        <v>43006</v>
      </c>
      <c r="D2643">
        <v>1464</v>
      </c>
      <c r="E2643" t="b">
        <v>1</v>
      </c>
      <c r="F2643">
        <v>380</v>
      </c>
      <c r="G2643" t="s">
        <v>133</v>
      </c>
      <c r="H2643" t="s">
        <v>346</v>
      </c>
      <c r="I2643" t="s">
        <v>2117</v>
      </c>
    </row>
    <row r="2644" spans="1:9" x14ac:dyDescent="0.35">
      <c r="A2644">
        <v>594570</v>
      </c>
      <c r="B2644" t="s">
        <v>939</v>
      </c>
      <c r="C2644" s="1">
        <v>43006</v>
      </c>
      <c r="D2644">
        <v>1464</v>
      </c>
      <c r="E2644" t="b">
        <v>1</v>
      </c>
      <c r="F2644">
        <v>380</v>
      </c>
      <c r="G2644" t="s">
        <v>133</v>
      </c>
      <c r="H2644" t="s">
        <v>239</v>
      </c>
      <c r="I2644" t="s">
        <v>2117</v>
      </c>
    </row>
    <row r="2645" spans="1:9" x14ac:dyDescent="0.35">
      <c r="A2645">
        <v>594570</v>
      </c>
      <c r="B2645" t="s">
        <v>939</v>
      </c>
      <c r="C2645" s="1">
        <v>43006</v>
      </c>
      <c r="D2645">
        <v>1464</v>
      </c>
      <c r="E2645" t="b">
        <v>1</v>
      </c>
      <c r="F2645">
        <v>380</v>
      </c>
      <c r="G2645" t="s">
        <v>133</v>
      </c>
      <c r="H2645" t="s">
        <v>132</v>
      </c>
      <c r="I2645" t="s">
        <v>2117</v>
      </c>
    </row>
    <row r="2646" spans="1:9" x14ac:dyDescent="0.35">
      <c r="A2646">
        <v>594570</v>
      </c>
      <c r="B2646" t="s">
        <v>939</v>
      </c>
      <c r="C2646" s="1">
        <v>43006</v>
      </c>
      <c r="D2646">
        <v>1464</v>
      </c>
      <c r="E2646" t="b">
        <v>1</v>
      </c>
      <c r="F2646">
        <v>380</v>
      </c>
      <c r="G2646" t="s">
        <v>133</v>
      </c>
      <c r="H2646" t="s">
        <v>124</v>
      </c>
      <c r="I2646" t="s">
        <v>2116</v>
      </c>
    </row>
    <row r="2647" spans="1:9" x14ac:dyDescent="0.35">
      <c r="A2647">
        <v>594570</v>
      </c>
      <c r="B2647" t="s">
        <v>939</v>
      </c>
      <c r="C2647" s="1">
        <v>43006</v>
      </c>
      <c r="D2647">
        <v>1464</v>
      </c>
      <c r="E2647" t="b">
        <v>1</v>
      </c>
      <c r="F2647">
        <v>380</v>
      </c>
      <c r="G2647" t="s">
        <v>133</v>
      </c>
      <c r="H2647" t="s">
        <v>1510</v>
      </c>
      <c r="I2647" t="s">
        <v>2117</v>
      </c>
    </row>
    <row r="2648" spans="1:9" x14ac:dyDescent="0.35">
      <c r="A2648">
        <v>72850</v>
      </c>
      <c r="B2648" t="s">
        <v>941</v>
      </c>
      <c r="C2648" s="1">
        <v>40857</v>
      </c>
      <c r="D2648">
        <v>1463</v>
      </c>
      <c r="E2648" t="b">
        <v>0</v>
      </c>
      <c r="F2648">
        <v>381</v>
      </c>
      <c r="G2648" t="s">
        <v>2082</v>
      </c>
      <c r="H2648" t="s">
        <v>49</v>
      </c>
      <c r="I2648" t="s">
        <v>2117</v>
      </c>
    </row>
    <row r="2649" spans="1:9" x14ac:dyDescent="0.35">
      <c r="A2649">
        <v>72850</v>
      </c>
      <c r="B2649" t="s">
        <v>941</v>
      </c>
      <c r="C2649" s="1">
        <v>40857</v>
      </c>
      <c r="D2649">
        <v>1463</v>
      </c>
      <c r="E2649" t="b">
        <v>0</v>
      </c>
      <c r="F2649">
        <v>381</v>
      </c>
      <c r="G2649" t="s">
        <v>2082</v>
      </c>
      <c r="H2649" t="s">
        <v>792</v>
      </c>
      <c r="I2649" t="s">
        <v>2117</v>
      </c>
    </row>
    <row r="2650" spans="1:9" x14ac:dyDescent="0.35">
      <c r="A2650">
        <v>72850</v>
      </c>
      <c r="B2650" t="s">
        <v>941</v>
      </c>
      <c r="C2650" s="1">
        <v>40857</v>
      </c>
      <c r="D2650">
        <v>1463</v>
      </c>
      <c r="E2650" t="b">
        <v>0</v>
      </c>
      <c r="F2650">
        <v>381</v>
      </c>
      <c r="G2650" t="s">
        <v>2082</v>
      </c>
      <c r="H2650" t="s">
        <v>346</v>
      </c>
      <c r="I2650" t="s">
        <v>2117</v>
      </c>
    </row>
    <row r="2651" spans="1:9" x14ac:dyDescent="0.35">
      <c r="A2651">
        <v>72850</v>
      </c>
      <c r="B2651" t="s">
        <v>941</v>
      </c>
      <c r="C2651" s="1">
        <v>40857</v>
      </c>
      <c r="D2651">
        <v>1463</v>
      </c>
      <c r="E2651" t="b">
        <v>0</v>
      </c>
      <c r="F2651">
        <v>381</v>
      </c>
      <c r="G2651" t="s">
        <v>2082</v>
      </c>
      <c r="H2651" t="s">
        <v>239</v>
      </c>
      <c r="I2651" t="s">
        <v>2117</v>
      </c>
    </row>
    <row r="2652" spans="1:9" x14ac:dyDescent="0.35">
      <c r="A2652">
        <v>72850</v>
      </c>
      <c r="B2652" t="s">
        <v>941</v>
      </c>
      <c r="C2652" s="1">
        <v>40857</v>
      </c>
      <c r="D2652">
        <v>1463</v>
      </c>
      <c r="E2652" t="b">
        <v>0</v>
      </c>
      <c r="F2652">
        <v>381</v>
      </c>
      <c r="G2652" t="s">
        <v>2082</v>
      </c>
      <c r="H2652" t="s">
        <v>132</v>
      </c>
      <c r="I2652" t="s">
        <v>2116</v>
      </c>
    </row>
    <row r="2653" spans="1:9" x14ac:dyDescent="0.35">
      <c r="A2653">
        <v>72850</v>
      </c>
      <c r="B2653" t="s">
        <v>941</v>
      </c>
      <c r="C2653" s="1">
        <v>40857</v>
      </c>
      <c r="D2653">
        <v>1463</v>
      </c>
      <c r="E2653" t="b">
        <v>0</v>
      </c>
      <c r="F2653">
        <v>381</v>
      </c>
      <c r="G2653" t="s">
        <v>2082</v>
      </c>
      <c r="H2653" t="s">
        <v>124</v>
      </c>
      <c r="I2653" t="s">
        <v>2117</v>
      </c>
    </row>
    <row r="2654" spans="1:9" x14ac:dyDescent="0.35">
      <c r="A2654">
        <v>72850</v>
      </c>
      <c r="B2654" t="s">
        <v>941</v>
      </c>
      <c r="C2654" s="1">
        <v>40857</v>
      </c>
      <c r="D2654">
        <v>1463</v>
      </c>
      <c r="E2654" t="b">
        <v>0</v>
      </c>
      <c r="F2654">
        <v>381</v>
      </c>
      <c r="G2654" t="s">
        <v>2082</v>
      </c>
      <c r="H2654" t="s">
        <v>1510</v>
      </c>
      <c r="I2654" t="s">
        <v>2117</v>
      </c>
    </row>
    <row r="2655" spans="1:9" x14ac:dyDescent="0.35">
      <c r="A2655">
        <v>427410</v>
      </c>
      <c r="B2655" t="s">
        <v>943</v>
      </c>
      <c r="C2655" s="1">
        <v>45860</v>
      </c>
      <c r="D2655">
        <v>1458</v>
      </c>
      <c r="E2655" t="b">
        <v>0</v>
      </c>
      <c r="F2655">
        <v>382</v>
      </c>
      <c r="G2655" t="s">
        <v>405</v>
      </c>
      <c r="H2655" t="s">
        <v>49</v>
      </c>
      <c r="I2655" t="s">
        <v>2116</v>
      </c>
    </row>
    <row r="2656" spans="1:9" x14ac:dyDescent="0.35">
      <c r="A2656">
        <v>427410</v>
      </c>
      <c r="B2656" t="s">
        <v>943</v>
      </c>
      <c r="C2656" s="1">
        <v>45860</v>
      </c>
      <c r="D2656">
        <v>1458</v>
      </c>
      <c r="E2656" t="b">
        <v>0</v>
      </c>
      <c r="F2656">
        <v>382</v>
      </c>
      <c r="G2656" t="s">
        <v>405</v>
      </c>
      <c r="H2656" t="s">
        <v>792</v>
      </c>
      <c r="I2656" t="s">
        <v>2117</v>
      </c>
    </row>
    <row r="2657" spans="1:9" x14ac:dyDescent="0.35">
      <c r="A2657">
        <v>427410</v>
      </c>
      <c r="B2657" t="s">
        <v>943</v>
      </c>
      <c r="C2657" s="1">
        <v>45860</v>
      </c>
      <c r="D2657">
        <v>1458</v>
      </c>
      <c r="E2657" t="b">
        <v>0</v>
      </c>
      <c r="F2657">
        <v>382</v>
      </c>
      <c r="G2657" t="s">
        <v>405</v>
      </c>
      <c r="H2657" t="s">
        <v>346</v>
      </c>
      <c r="I2657" t="s">
        <v>2116</v>
      </c>
    </row>
    <row r="2658" spans="1:9" x14ac:dyDescent="0.35">
      <c r="A2658">
        <v>427410</v>
      </c>
      <c r="B2658" t="s">
        <v>943</v>
      </c>
      <c r="C2658" s="1">
        <v>45860</v>
      </c>
      <c r="D2658">
        <v>1458</v>
      </c>
      <c r="E2658" t="b">
        <v>0</v>
      </c>
      <c r="F2658">
        <v>382</v>
      </c>
      <c r="G2658" t="s">
        <v>405</v>
      </c>
      <c r="H2658" t="s">
        <v>239</v>
      </c>
      <c r="I2658" t="s">
        <v>2116</v>
      </c>
    </row>
    <row r="2659" spans="1:9" x14ac:dyDescent="0.35">
      <c r="A2659">
        <v>427410</v>
      </c>
      <c r="B2659" t="s">
        <v>943</v>
      </c>
      <c r="C2659" s="1">
        <v>45860</v>
      </c>
      <c r="D2659">
        <v>1458</v>
      </c>
      <c r="E2659" t="b">
        <v>0</v>
      </c>
      <c r="F2659">
        <v>382</v>
      </c>
      <c r="G2659" t="s">
        <v>405</v>
      </c>
      <c r="H2659" t="s">
        <v>132</v>
      </c>
      <c r="I2659" t="s">
        <v>2116</v>
      </c>
    </row>
    <row r="2660" spans="1:9" x14ac:dyDescent="0.35">
      <c r="A2660">
        <v>427410</v>
      </c>
      <c r="B2660" t="s">
        <v>943</v>
      </c>
      <c r="C2660" s="1">
        <v>45860</v>
      </c>
      <c r="D2660">
        <v>1458</v>
      </c>
      <c r="E2660" t="b">
        <v>0</v>
      </c>
      <c r="F2660">
        <v>382</v>
      </c>
      <c r="G2660" t="s">
        <v>405</v>
      </c>
      <c r="H2660" t="s">
        <v>124</v>
      </c>
      <c r="I2660" t="s">
        <v>2117</v>
      </c>
    </row>
    <row r="2661" spans="1:9" x14ac:dyDescent="0.35">
      <c r="A2661">
        <v>427410</v>
      </c>
      <c r="B2661" t="s">
        <v>943</v>
      </c>
      <c r="C2661" s="1">
        <v>45860</v>
      </c>
      <c r="D2661">
        <v>1458</v>
      </c>
      <c r="E2661" t="b">
        <v>0</v>
      </c>
      <c r="F2661">
        <v>382</v>
      </c>
      <c r="G2661" t="s">
        <v>405</v>
      </c>
      <c r="H2661" t="s">
        <v>1510</v>
      </c>
      <c r="I2661" t="s">
        <v>2117</v>
      </c>
    </row>
    <row r="2662" spans="1:9" x14ac:dyDescent="0.35">
      <c r="A2662">
        <v>637090</v>
      </c>
      <c r="B2662" t="s">
        <v>946</v>
      </c>
      <c r="C2662" s="1">
        <v>43214</v>
      </c>
      <c r="D2662">
        <v>1446</v>
      </c>
      <c r="E2662" t="b">
        <v>1</v>
      </c>
      <c r="F2662">
        <v>383</v>
      </c>
      <c r="G2662" t="s">
        <v>133</v>
      </c>
      <c r="H2662" t="s">
        <v>49</v>
      </c>
      <c r="I2662" t="s">
        <v>2116</v>
      </c>
    </row>
    <row r="2663" spans="1:9" x14ac:dyDescent="0.35">
      <c r="A2663">
        <v>637090</v>
      </c>
      <c r="B2663" t="s">
        <v>946</v>
      </c>
      <c r="C2663" s="1">
        <v>43214</v>
      </c>
      <c r="D2663">
        <v>1446</v>
      </c>
      <c r="E2663" t="b">
        <v>1</v>
      </c>
      <c r="F2663">
        <v>383</v>
      </c>
      <c r="G2663" t="s">
        <v>133</v>
      </c>
      <c r="H2663" t="s">
        <v>792</v>
      </c>
      <c r="I2663" t="s">
        <v>2117</v>
      </c>
    </row>
    <row r="2664" spans="1:9" x14ac:dyDescent="0.35">
      <c r="A2664">
        <v>637090</v>
      </c>
      <c r="B2664" t="s">
        <v>946</v>
      </c>
      <c r="C2664" s="1">
        <v>43214</v>
      </c>
      <c r="D2664">
        <v>1446</v>
      </c>
      <c r="E2664" t="b">
        <v>1</v>
      </c>
      <c r="F2664">
        <v>383</v>
      </c>
      <c r="G2664" t="s">
        <v>133</v>
      </c>
      <c r="H2664" t="s">
        <v>346</v>
      </c>
      <c r="I2664" t="s">
        <v>2116</v>
      </c>
    </row>
    <row r="2665" spans="1:9" x14ac:dyDescent="0.35">
      <c r="A2665">
        <v>637090</v>
      </c>
      <c r="B2665" t="s">
        <v>946</v>
      </c>
      <c r="C2665" s="1">
        <v>43214</v>
      </c>
      <c r="D2665">
        <v>1446</v>
      </c>
      <c r="E2665" t="b">
        <v>1</v>
      </c>
      <c r="F2665">
        <v>383</v>
      </c>
      <c r="G2665" t="s">
        <v>133</v>
      </c>
      <c r="H2665" t="s">
        <v>239</v>
      </c>
      <c r="I2665" t="s">
        <v>2117</v>
      </c>
    </row>
    <row r="2666" spans="1:9" x14ac:dyDescent="0.35">
      <c r="A2666">
        <v>637090</v>
      </c>
      <c r="B2666" t="s">
        <v>946</v>
      </c>
      <c r="C2666" s="1">
        <v>43214</v>
      </c>
      <c r="D2666">
        <v>1446</v>
      </c>
      <c r="E2666" t="b">
        <v>1</v>
      </c>
      <c r="F2666">
        <v>383</v>
      </c>
      <c r="G2666" t="s">
        <v>133</v>
      </c>
      <c r="H2666" t="s">
        <v>132</v>
      </c>
      <c r="I2666" t="s">
        <v>2117</v>
      </c>
    </row>
    <row r="2667" spans="1:9" x14ac:dyDescent="0.35">
      <c r="A2667">
        <v>637090</v>
      </c>
      <c r="B2667" t="s">
        <v>946</v>
      </c>
      <c r="C2667" s="1">
        <v>43214</v>
      </c>
      <c r="D2667">
        <v>1446</v>
      </c>
      <c r="E2667" t="b">
        <v>1</v>
      </c>
      <c r="F2667">
        <v>383</v>
      </c>
      <c r="G2667" t="s">
        <v>133</v>
      </c>
      <c r="H2667" t="s">
        <v>124</v>
      </c>
      <c r="I2667" t="s">
        <v>2116</v>
      </c>
    </row>
    <row r="2668" spans="1:9" x14ac:dyDescent="0.35">
      <c r="A2668">
        <v>637090</v>
      </c>
      <c r="B2668" t="s">
        <v>946</v>
      </c>
      <c r="C2668" s="1">
        <v>43214</v>
      </c>
      <c r="D2668">
        <v>1446</v>
      </c>
      <c r="E2668" t="b">
        <v>1</v>
      </c>
      <c r="F2668">
        <v>383</v>
      </c>
      <c r="G2668" t="s">
        <v>133</v>
      </c>
      <c r="H2668" t="s">
        <v>1510</v>
      </c>
      <c r="I2668" t="s">
        <v>2117</v>
      </c>
    </row>
    <row r="2669" spans="1:9" x14ac:dyDescent="0.35">
      <c r="A2669">
        <v>460930</v>
      </c>
      <c r="B2669" t="s">
        <v>949</v>
      </c>
      <c r="C2669" s="1">
        <v>42800</v>
      </c>
      <c r="D2669">
        <v>1441</v>
      </c>
      <c r="E2669" t="b">
        <v>0</v>
      </c>
      <c r="F2669">
        <v>384</v>
      </c>
      <c r="G2669" t="s">
        <v>33</v>
      </c>
      <c r="H2669" t="s">
        <v>49</v>
      </c>
      <c r="I2669" t="s">
        <v>2116</v>
      </c>
    </row>
    <row r="2670" spans="1:9" x14ac:dyDescent="0.35">
      <c r="A2670">
        <v>460930</v>
      </c>
      <c r="B2670" t="s">
        <v>949</v>
      </c>
      <c r="C2670" s="1">
        <v>42800</v>
      </c>
      <c r="D2670">
        <v>1441</v>
      </c>
      <c r="E2670" t="b">
        <v>0</v>
      </c>
      <c r="F2670">
        <v>384</v>
      </c>
      <c r="G2670" t="s">
        <v>33</v>
      </c>
      <c r="H2670" t="s">
        <v>792</v>
      </c>
      <c r="I2670" t="s">
        <v>2117</v>
      </c>
    </row>
    <row r="2671" spans="1:9" x14ac:dyDescent="0.35">
      <c r="A2671">
        <v>460930</v>
      </c>
      <c r="B2671" t="s">
        <v>949</v>
      </c>
      <c r="C2671" s="1">
        <v>42800</v>
      </c>
      <c r="D2671">
        <v>1441</v>
      </c>
      <c r="E2671" t="b">
        <v>0</v>
      </c>
      <c r="F2671">
        <v>384</v>
      </c>
      <c r="G2671" t="s">
        <v>33</v>
      </c>
      <c r="H2671" t="s">
        <v>346</v>
      </c>
      <c r="I2671" t="s">
        <v>2116</v>
      </c>
    </row>
    <row r="2672" spans="1:9" x14ac:dyDescent="0.35">
      <c r="A2672">
        <v>460930</v>
      </c>
      <c r="B2672" t="s">
        <v>949</v>
      </c>
      <c r="C2672" s="1">
        <v>42800</v>
      </c>
      <c r="D2672">
        <v>1441</v>
      </c>
      <c r="E2672" t="b">
        <v>0</v>
      </c>
      <c r="F2672">
        <v>384</v>
      </c>
      <c r="G2672" t="s">
        <v>33</v>
      </c>
      <c r="H2672" t="s">
        <v>239</v>
      </c>
      <c r="I2672" t="s">
        <v>2117</v>
      </c>
    </row>
    <row r="2673" spans="1:9" x14ac:dyDescent="0.35">
      <c r="A2673">
        <v>460930</v>
      </c>
      <c r="B2673" t="s">
        <v>949</v>
      </c>
      <c r="C2673" s="1">
        <v>42800</v>
      </c>
      <c r="D2673">
        <v>1441</v>
      </c>
      <c r="E2673" t="b">
        <v>0</v>
      </c>
      <c r="F2673">
        <v>384</v>
      </c>
      <c r="G2673" t="s">
        <v>33</v>
      </c>
      <c r="H2673" t="s">
        <v>132</v>
      </c>
      <c r="I2673" t="s">
        <v>2117</v>
      </c>
    </row>
    <row r="2674" spans="1:9" x14ac:dyDescent="0.35">
      <c r="A2674">
        <v>460930</v>
      </c>
      <c r="B2674" t="s">
        <v>949</v>
      </c>
      <c r="C2674" s="1">
        <v>42800</v>
      </c>
      <c r="D2674">
        <v>1441</v>
      </c>
      <c r="E2674" t="b">
        <v>0</v>
      </c>
      <c r="F2674">
        <v>384</v>
      </c>
      <c r="G2674" t="s">
        <v>33</v>
      </c>
      <c r="H2674" t="s">
        <v>124</v>
      </c>
      <c r="I2674" t="s">
        <v>2117</v>
      </c>
    </row>
    <row r="2675" spans="1:9" x14ac:dyDescent="0.35">
      <c r="A2675">
        <v>460930</v>
      </c>
      <c r="B2675" t="s">
        <v>949</v>
      </c>
      <c r="C2675" s="1">
        <v>42800</v>
      </c>
      <c r="D2675">
        <v>1441</v>
      </c>
      <c r="E2675" t="b">
        <v>0</v>
      </c>
      <c r="F2675">
        <v>384</v>
      </c>
      <c r="G2675" t="s">
        <v>33</v>
      </c>
      <c r="H2675" t="s">
        <v>1510</v>
      </c>
      <c r="I2675" t="s">
        <v>2117</v>
      </c>
    </row>
    <row r="2676" spans="1:9" x14ac:dyDescent="0.35">
      <c r="A2676">
        <v>1325200</v>
      </c>
      <c r="B2676" t="s">
        <v>951</v>
      </c>
      <c r="C2676" s="1">
        <v>44232</v>
      </c>
      <c r="D2676">
        <v>1441</v>
      </c>
      <c r="E2676" t="b">
        <v>0</v>
      </c>
      <c r="F2676">
        <v>384</v>
      </c>
      <c r="G2676" t="s">
        <v>171</v>
      </c>
      <c r="H2676" t="s">
        <v>49</v>
      </c>
      <c r="I2676" t="s">
        <v>2116</v>
      </c>
    </row>
    <row r="2677" spans="1:9" x14ac:dyDescent="0.35">
      <c r="A2677">
        <v>1325200</v>
      </c>
      <c r="B2677" t="s">
        <v>951</v>
      </c>
      <c r="C2677" s="1">
        <v>44232</v>
      </c>
      <c r="D2677">
        <v>1441</v>
      </c>
      <c r="E2677" t="b">
        <v>0</v>
      </c>
      <c r="F2677">
        <v>384</v>
      </c>
      <c r="G2677" t="s">
        <v>171</v>
      </c>
      <c r="H2677" t="s">
        <v>792</v>
      </c>
      <c r="I2677" t="s">
        <v>2117</v>
      </c>
    </row>
    <row r="2678" spans="1:9" x14ac:dyDescent="0.35">
      <c r="A2678">
        <v>1325200</v>
      </c>
      <c r="B2678" t="s">
        <v>951</v>
      </c>
      <c r="C2678" s="1">
        <v>44232</v>
      </c>
      <c r="D2678">
        <v>1441</v>
      </c>
      <c r="E2678" t="b">
        <v>0</v>
      </c>
      <c r="F2678">
        <v>384</v>
      </c>
      <c r="G2678" t="s">
        <v>171</v>
      </c>
      <c r="H2678" t="s">
        <v>346</v>
      </c>
      <c r="I2678" t="s">
        <v>2117</v>
      </c>
    </row>
    <row r="2679" spans="1:9" x14ac:dyDescent="0.35">
      <c r="A2679">
        <v>1325200</v>
      </c>
      <c r="B2679" t="s">
        <v>951</v>
      </c>
      <c r="C2679" s="1">
        <v>44232</v>
      </c>
      <c r="D2679">
        <v>1441</v>
      </c>
      <c r="E2679" t="b">
        <v>0</v>
      </c>
      <c r="F2679">
        <v>384</v>
      </c>
      <c r="G2679" t="s">
        <v>171</v>
      </c>
      <c r="H2679" t="s">
        <v>239</v>
      </c>
      <c r="I2679" t="s">
        <v>2117</v>
      </c>
    </row>
    <row r="2680" spans="1:9" x14ac:dyDescent="0.35">
      <c r="A2680">
        <v>1325200</v>
      </c>
      <c r="B2680" t="s">
        <v>951</v>
      </c>
      <c r="C2680" s="1">
        <v>44232</v>
      </c>
      <c r="D2680">
        <v>1441</v>
      </c>
      <c r="E2680" t="b">
        <v>0</v>
      </c>
      <c r="F2680">
        <v>384</v>
      </c>
      <c r="G2680" t="s">
        <v>171</v>
      </c>
      <c r="H2680" t="s">
        <v>132</v>
      </c>
      <c r="I2680" t="s">
        <v>2116</v>
      </c>
    </row>
    <row r="2681" spans="1:9" x14ac:dyDescent="0.35">
      <c r="A2681">
        <v>1325200</v>
      </c>
      <c r="B2681" t="s">
        <v>951</v>
      </c>
      <c r="C2681" s="1">
        <v>44232</v>
      </c>
      <c r="D2681">
        <v>1441</v>
      </c>
      <c r="E2681" t="b">
        <v>0</v>
      </c>
      <c r="F2681">
        <v>384</v>
      </c>
      <c r="G2681" t="s">
        <v>171</v>
      </c>
      <c r="H2681" t="s">
        <v>124</v>
      </c>
      <c r="I2681" t="s">
        <v>2117</v>
      </c>
    </row>
    <row r="2682" spans="1:9" x14ac:dyDescent="0.35">
      <c r="A2682">
        <v>1325200</v>
      </c>
      <c r="B2682" t="s">
        <v>951</v>
      </c>
      <c r="C2682" s="1">
        <v>44232</v>
      </c>
      <c r="D2682">
        <v>1441</v>
      </c>
      <c r="E2682" t="b">
        <v>0</v>
      </c>
      <c r="F2682">
        <v>384</v>
      </c>
      <c r="G2682" t="s">
        <v>171</v>
      </c>
      <c r="H2682" t="s">
        <v>1510</v>
      </c>
      <c r="I2682" t="s">
        <v>2117</v>
      </c>
    </row>
    <row r="2683" spans="1:9" x14ac:dyDescent="0.35">
      <c r="A2683">
        <v>2231380</v>
      </c>
      <c r="B2683" t="s">
        <v>953</v>
      </c>
      <c r="C2683" s="1">
        <v>44949</v>
      </c>
      <c r="D2683">
        <v>1430</v>
      </c>
      <c r="E2683" t="b">
        <v>0</v>
      </c>
      <c r="F2683">
        <v>386</v>
      </c>
      <c r="G2683" t="s">
        <v>293</v>
      </c>
      <c r="H2683" t="s">
        <v>49</v>
      </c>
      <c r="I2683" t="s">
        <v>2116</v>
      </c>
    </row>
    <row r="2684" spans="1:9" x14ac:dyDescent="0.35">
      <c r="A2684">
        <v>2231380</v>
      </c>
      <c r="B2684" t="s">
        <v>953</v>
      </c>
      <c r="C2684" s="1">
        <v>44949</v>
      </c>
      <c r="D2684">
        <v>1430</v>
      </c>
      <c r="E2684" t="b">
        <v>0</v>
      </c>
      <c r="F2684">
        <v>386</v>
      </c>
      <c r="G2684" t="s">
        <v>293</v>
      </c>
      <c r="H2684" t="s">
        <v>792</v>
      </c>
      <c r="I2684" t="s">
        <v>2117</v>
      </c>
    </row>
    <row r="2685" spans="1:9" x14ac:dyDescent="0.35">
      <c r="A2685">
        <v>2231380</v>
      </c>
      <c r="B2685" t="s">
        <v>953</v>
      </c>
      <c r="C2685" s="1">
        <v>44949</v>
      </c>
      <c r="D2685">
        <v>1430</v>
      </c>
      <c r="E2685" t="b">
        <v>0</v>
      </c>
      <c r="F2685">
        <v>386</v>
      </c>
      <c r="G2685" t="s">
        <v>293</v>
      </c>
      <c r="H2685" t="s">
        <v>346</v>
      </c>
      <c r="I2685" t="s">
        <v>2116</v>
      </c>
    </row>
    <row r="2686" spans="1:9" x14ac:dyDescent="0.35">
      <c r="A2686">
        <v>2231380</v>
      </c>
      <c r="B2686" t="s">
        <v>953</v>
      </c>
      <c r="C2686" s="1">
        <v>44949</v>
      </c>
      <c r="D2686">
        <v>1430</v>
      </c>
      <c r="E2686" t="b">
        <v>0</v>
      </c>
      <c r="F2686">
        <v>386</v>
      </c>
      <c r="G2686" t="s">
        <v>293</v>
      </c>
      <c r="H2686" t="s">
        <v>239</v>
      </c>
      <c r="I2686" t="s">
        <v>2117</v>
      </c>
    </row>
    <row r="2687" spans="1:9" x14ac:dyDescent="0.35">
      <c r="A2687">
        <v>2231380</v>
      </c>
      <c r="B2687" t="s">
        <v>953</v>
      </c>
      <c r="C2687" s="1">
        <v>44949</v>
      </c>
      <c r="D2687">
        <v>1430</v>
      </c>
      <c r="E2687" t="b">
        <v>0</v>
      </c>
      <c r="F2687">
        <v>386</v>
      </c>
      <c r="G2687" t="s">
        <v>293</v>
      </c>
      <c r="H2687" t="s">
        <v>132</v>
      </c>
      <c r="I2687" t="s">
        <v>2117</v>
      </c>
    </row>
    <row r="2688" spans="1:9" x14ac:dyDescent="0.35">
      <c r="A2688">
        <v>2231380</v>
      </c>
      <c r="B2688" t="s">
        <v>953</v>
      </c>
      <c r="C2688" s="1">
        <v>44949</v>
      </c>
      <c r="D2688">
        <v>1430</v>
      </c>
      <c r="E2688" t="b">
        <v>0</v>
      </c>
      <c r="F2688">
        <v>386</v>
      </c>
      <c r="G2688" t="s">
        <v>293</v>
      </c>
      <c r="H2688" t="s">
        <v>124</v>
      </c>
      <c r="I2688" t="s">
        <v>2117</v>
      </c>
    </row>
    <row r="2689" spans="1:9" x14ac:dyDescent="0.35">
      <c r="A2689">
        <v>2231380</v>
      </c>
      <c r="B2689" t="s">
        <v>953</v>
      </c>
      <c r="C2689" s="1">
        <v>44949</v>
      </c>
      <c r="D2689">
        <v>1430</v>
      </c>
      <c r="E2689" t="b">
        <v>0</v>
      </c>
      <c r="F2689">
        <v>386</v>
      </c>
      <c r="G2689" t="s">
        <v>293</v>
      </c>
      <c r="H2689" t="s">
        <v>1510</v>
      </c>
      <c r="I2689" t="s">
        <v>2117</v>
      </c>
    </row>
    <row r="2690" spans="1:9" x14ac:dyDescent="0.35">
      <c r="A2690">
        <v>1217060</v>
      </c>
      <c r="B2690" t="s">
        <v>955</v>
      </c>
      <c r="C2690" s="1">
        <v>44517</v>
      </c>
      <c r="D2690">
        <v>1428</v>
      </c>
      <c r="E2690" t="b">
        <v>0</v>
      </c>
      <c r="F2690">
        <v>387</v>
      </c>
      <c r="G2690" t="s">
        <v>53</v>
      </c>
      <c r="H2690" t="s">
        <v>49</v>
      </c>
      <c r="I2690" t="s">
        <v>2116</v>
      </c>
    </row>
    <row r="2691" spans="1:9" x14ac:dyDescent="0.35">
      <c r="A2691">
        <v>1217060</v>
      </c>
      <c r="B2691" t="s">
        <v>955</v>
      </c>
      <c r="C2691" s="1">
        <v>44517</v>
      </c>
      <c r="D2691">
        <v>1428</v>
      </c>
      <c r="E2691" t="b">
        <v>0</v>
      </c>
      <c r="F2691">
        <v>387</v>
      </c>
      <c r="G2691" t="s">
        <v>53</v>
      </c>
      <c r="H2691" t="s">
        <v>792</v>
      </c>
      <c r="I2691" t="s">
        <v>2116</v>
      </c>
    </row>
    <row r="2692" spans="1:9" x14ac:dyDescent="0.35">
      <c r="A2692">
        <v>1217060</v>
      </c>
      <c r="B2692" t="s">
        <v>955</v>
      </c>
      <c r="C2692" s="1">
        <v>44517</v>
      </c>
      <c r="D2692">
        <v>1428</v>
      </c>
      <c r="E2692" t="b">
        <v>0</v>
      </c>
      <c r="F2692">
        <v>387</v>
      </c>
      <c r="G2692" t="s">
        <v>53</v>
      </c>
      <c r="H2692" t="s">
        <v>346</v>
      </c>
      <c r="I2692" t="s">
        <v>2116</v>
      </c>
    </row>
    <row r="2693" spans="1:9" x14ac:dyDescent="0.35">
      <c r="A2693">
        <v>1217060</v>
      </c>
      <c r="B2693" t="s">
        <v>955</v>
      </c>
      <c r="C2693" s="1">
        <v>44517</v>
      </c>
      <c r="D2693">
        <v>1428</v>
      </c>
      <c r="E2693" t="b">
        <v>0</v>
      </c>
      <c r="F2693">
        <v>387</v>
      </c>
      <c r="G2693" t="s">
        <v>53</v>
      </c>
      <c r="H2693" t="s">
        <v>239</v>
      </c>
      <c r="I2693" t="s">
        <v>2117</v>
      </c>
    </row>
    <row r="2694" spans="1:9" x14ac:dyDescent="0.35">
      <c r="A2694">
        <v>1217060</v>
      </c>
      <c r="B2694" t="s">
        <v>955</v>
      </c>
      <c r="C2694" s="1">
        <v>44517</v>
      </c>
      <c r="D2694">
        <v>1428</v>
      </c>
      <c r="E2694" t="b">
        <v>0</v>
      </c>
      <c r="F2694">
        <v>387</v>
      </c>
      <c r="G2694" t="s">
        <v>53</v>
      </c>
      <c r="H2694" t="s">
        <v>132</v>
      </c>
      <c r="I2694" t="s">
        <v>2116</v>
      </c>
    </row>
    <row r="2695" spans="1:9" x14ac:dyDescent="0.35">
      <c r="A2695">
        <v>1217060</v>
      </c>
      <c r="B2695" t="s">
        <v>955</v>
      </c>
      <c r="C2695" s="1">
        <v>44517</v>
      </c>
      <c r="D2695">
        <v>1428</v>
      </c>
      <c r="E2695" t="b">
        <v>0</v>
      </c>
      <c r="F2695">
        <v>387</v>
      </c>
      <c r="G2695" t="s">
        <v>53</v>
      </c>
      <c r="H2695" t="s">
        <v>124</v>
      </c>
      <c r="I2695" t="s">
        <v>2117</v>
      </c>
    </row>
    <row r="2696" spans="1:9" x14ac:dyDescent="0.35">
      <c r="A2696">
        <v>1217060</v>
      </c>
      <c r="B2696" t="s">
        <v>955</v>
      </c>
      <c r="C2696" s="1">
        <v>44517</v>
      </c>
      <c r="D2696">
        <v>1428</v>
      </c>
      <c r="E2696" t="b">
        <v>0</v>
      </c>
      <c r="F2696">
        <v>387</v>
      </c>
      <c r="G2696" t="s">
        <v>53</v>
      </c>
      <c r="H2696" t="s">
        <v>1510</v>
      </c>
      <c r="I2696" t="s">
        <v>2117</v>
      </c>
    </row>
    <row r="2697" spans="1:9" x14ac:dyDescent="0.35">
      <c r="A2697">
        <v>3226530</v>
      </c>
      <c r="B2697" t="s">
        <v>957</v>
      </c>
      <c r="C2697" s="1">
        <v>45784</v>
      </c>
      <c r="D2697">
        <v>1427</v>
      </c>
      <c r="E2697" t="b">
        <v>0</v>
      </c>
      <c r="F2697">
        <v>388</v>
      </c>
      <c r="G2697" t="s">
        <v>958</v>
      </c>
      <c r="H2697" t="s">
        <v>49</v>
      </c>
      <c r="I2697" t="s">
        <v>2117</v>
      </c>
    </row>
    <row r="2698" spans="1:9" x14ac:dyDescent="0.35">
      <c r="A2698">
        <v>3226530</v>
      </c>
      <c r="B2698" t="s">
        <v>957</v>
      </c>
      <c r="C2698" s="1">
        <v>45784</v>
      </c>
      <c r="D2698">
        <v>1427</v>
      </c>
      <c r="E2698" t="b">
        <v>0</v>
      </c>
      <c r="F2698">
        <v>388</v>
      </c>
      <c r="G2698" t="s">
        <v>958</v>
      </c>
      <c r="H2698" t="s">
        <v>792</v>
      </c>
      <c r="I2698" t="s">
        <v>2117</v>
      </c>
    </row>
    <row r="2699" spans="1:9" x14ac:dyDescent="0.35">
      <c r="A2699">
        <v>3226530</v>
      </c>
      <c r="B2699" t="s">
        <v>957</v>
      </c>
      <c r="C2699" s="1">
        <v>45784</v>
      </c>
      <c r="D2699">
        <v>1427</v>
      </c>
      <c r="E2699" t="b">
        <v>0</v>
      </c>
      <c r="F2699">
        <v>388</v>
      </c>
      <c r="G2699" t="s">
        <v>958</v>
      </c>
      <c r="H2699" t="s">
        <v>346</v>
      </c>
      <c r="I2699" t="s">
        <v>2117</v>
      </c>
    </row>
    <row r="2700" spans="1:9" x14ac:dyDescent="0.35">
      <c r="A2700">
        <v>3226530</v>
      </c>
      <c r="B2700" t="s">
        <v>957</v>
      </c>
      <c r="C2700" s="1">
        <v>45784</v>
      </c>
      <c r="D2700">
        <v>1427</v>
      </c>
      <c r="E2700" t="b">
        <v>0</v>
      </c>
      <c r="F2700">
        <v>388</v>
      </c>
      <c r="G2700" t="s">
        <v>958</v>
      </c>
      <c r="H2700" t="s">
        <v>239</v>
      </c>
      <c r="I2700" t="s">
        <v>2117</v>
      </c>
    </row>
    <row r="2701" spans="1:9" x14ac:dyDescent="0.35">
      <c r="A2701">
        <v>3226530</v>
      </c>
      <c r="B2701" t="s">
        <v>957</v>
      </c>
      <c r="C2701" s="1">
        <v>45784</v>
      </c>
      <c r="D2701">
        <v>1427</v>
      </c>
      <c r="E2701" t="b">
        <v>0</v>
      </c>
      <c r="F2701">
        <v>388</v>
      </c>
      <c r="G2701" t="s">
        <v>958</v>
      </c>
      <c r="H2701" t="s">
        <v>132</v>
      </c>
      <c r="I2701" t="s">
        <v>2117</v>
      </c>
    </row>
    <row r="2702" spans="1:9" x14ac:dyDescent="0.35">
      <c r="A2702">
        <v>3226530</v>
      </c>
      <c r="B2702" t="s">
        <v>957</v>
      </c>
      <c r="C2702" s="1">
        <v>45784</v>
      </c>
      <c r="D2702">
        <v>1427</v>
      </c>
      <c r="E2702" t="b">
        <v>0</v>
      </c>
      <c r="F2702">
        <v>388</v>
      </c>
      <c r="G2702" t="s">
        <v>958</v>
      </c>
      <c r="H2702" t="s">
        <v>124</v>
      </c>
      <c r="I2702" t="s">
        <v>2116</v>
      </c>
    </row>
    <row r="2703" spans="1:9" x14ac:dyDescent="0.35">
      <c r="A2703">
        <v>3226530</v>
      </c>
      <c r="B2703" t="s">
        <v>957</v>
      </c>
      <c r="C2703" s="1">
        <v>45784</v>
      </c>
      <c r="D2703">
        <v>1427</v>
      </c>
      <c r="E2703" t="b">
        <v>0</v>
      </c>
      <c r="F2703">
        <v>388</v>
      </c>
      <c r="G2703" t="s">
        <v>958</v>
      </c>
      <c r="H2703" t="s">
        <v>1510</v>
      </c>
      <c r="I2703" t="s">
        <v>2117</v>
      </c>
    </row>
    <row r="2704" spans="1:9" x14ac:dyDescent="0.35">
      <c r="A2704">
        <v>325610</v>
      </c>
      <c r="B2704" t="s">
        <v>959</v>
      </c>
      <c r="C2704" s="1">
        <v>42052</v>
      </c>
      <c r="D2704">
        <v>1422</v>
      </c>
      <c r="E2704" t="b">
        <v>0</v>
      </c>
      <c r="F2704">
        <v>389</v>
      </c>
      <c r="G2704" t="s">
        <v>2091</v>
      </c>
      <c r="H2704" t="s">
        <v>49</v>
      </c>
      <c r="I2704" t="s">
        <v>2117</v>
      </c>
    </row>
    <row r="2705" spans="1:9" x14ac:dyDescent="0.35">
      <c r="A2705">
        <v>325610</v>
      </c>
      <c r="B2705" t="s">
        <v>959</v>
      </c>
      <c r="C2705" s="1">
        <v>42052</v>
      </c>
      <c r="D2705">
        <v>1422</v>
      </c>
      <c r="E2705" t="b">
        <v>0</v>
      </c>
      <c r="F2705">
        <v>389</v>
      </c>
      <c r="G2705" t="s">
        <v>2091</v>
      </c>
      <c r="H2705" t="s">
        <v>792</v>
      </c>
      <c r="I2705" t="s">
        <v>2117</v>
      </c>
    </row>
    <row r="2706" spans="1:9" x14ac:dyDescent="0.35">
      <c r="A2706">
        <v>325610</v>
      </c>
      <c r="B2706" t="s">
        <v>959</v>
      </c>
      <c r="C2706" s="1">
        <v>42052</v>
      </c>
      <c r="D2706">
        <v>1422</v>
      </c>
      <c r="E2706" t="b">
        <v>0</v>
      </c>
      <c r="F2706">
        <v>389</v>
      </c>
      <c r="G2706" t="s">
        <v>2091</v>
      </c>
      <c r="H2706" t="s">
        <v>346</v>
      </c>
      <c r="I2706" t="s">
        <v>2117</v>
      </c>
    </row>
    <row r="2707" spans="1:9" x14ac:dyDescent="0.35">
      <c r="A2707">
        <v>325610</v>
      </c>
      <c r="B2707" t="s">
        <v>959</v>
      </c>
      <c r="C2707" s="1">
        <v>42052</v>
      </c>
      <c r="D2707">
        <v>1422</v>
      </c>
      <c r="E2707" t="b">
        <v>0</v>
      </c>
      <c r="F2707">
        <v>389</v>
      </c>
      <c r="G2707" t="s">
        <v>2091</v>
      </c>
      <c r="H2707" t="s">
        <v>239</v>
      </c>
      <c r="I2707" t="s">
        <v>2117</v>
      </c>
    </row>
    <row r="2708" spans="1:9" x14ac:dyDescent="0.35">
      <c r="A2708">
        <v>325610</v>
      </c>
      <c r="B2708" t="s">
        <v>959</v>
      </c>
      <c r="C2708" s="1">
        <v>42052</v>
      </c>
      <c r="D2708">
        <v>1422</v>
      </c>
      <c r="E2708" t="b">
        <v>0</v>
      </c>
      <c r="F2708">
        <v>389</v>
      </c>
      <c r="G2708" t="s">
        <v>2091</v>
      </c>
      <c r="H2708" t="s">
        <v>132</v>
      </c>
      <c r="I2708" t="s">
        <v>2117</v>
      </c>
    </row>
    <row r="2709" spans="1:9" x14ac:dyDescent="0.35">
      <c r="A2709">
        <v>325610</v>
      </c>
      <c r="B2709" t="s">
        <v>959</v>
      </c>
      <c r="C2709" s="1">
        <v>42052</v>
      </c>
      <c r="D2709">
        <v>1422</v>
      </c>
      <c r="E2709" t="b">
        <v>0</v>
      </c>
      <c r="F2709">
        <v>389</v>
      </c>
      <c r="G2709" t="s">
        <v>2091</v>
      </c>
      <c r="H2709" t="s">
        <v>124</v>
      </c>
      <c r="I2709" t="s">
        <v>2116</v>
      </c>
    </row>
    <row r="2710" spans="1:9" x14ac:dyDescent="0.35">
      <c r="A2710">
        <v>325610</v>
      </c>
      <c r="B2710" t="s">
        <v>959</v>
      </c>
      <c r="C2710" s="1">
        <v>42052</v>
      </c>
      <c r="D2710">
        <v>1422</v>
      </c>
      <c r="E2710" t="b">
        <v>0</v>
      </c>
      <c r="F2710">
        <v>389</v>
      </c>
      <c r="G2710" t="s">
        <v>2091</v>
      </c>
      <c r="H2710" t="s">
        <v>1510</v>
      </c>
      <c r="I2710" t="s">
        <v>2117</v>
      </c>
    </row>
    <row r="2711" spans="1:9" x14ac:dyDescent="0.35">
      <c r="A2711">
        <v>389430</v>
      </c>
      <c r="B2711" t="s">
        <v>961</v>
      </c>
      <c r="C2711" s="1">
        <v>42394</v>
      </c>
      <c r="D2711">
        <v>1421</v>
      </c>
      <c r="E2711" t="b">
        <v>0</v>
      </c>
      <c r="F2711">
        <v>390</v>
      </c>
      <c r="G2711" t="s">
        <v>110</v>
      </c>
      <c r="H2711" t="s">
        <v>49</v>
      </c>
      <c r="I2711" t="s">
        <v>2116</v>
      </c>
    </row>
    <row r="2712" spans="1:9" x14ac:dyDescent="0.35">
      <c r="A2712">
        <v>389430</v>
      </c>
      <c r="B2712" t="s">
        <v>961</v>
      </c>
      <c r="C2712" s="1">
        <v>42394</v>
      </c>
      <c r="D2712">
        <v>1421</v>
      </c>
      <c r="E2712" t="b">
        <v>0</v>
      </c>
      <c r="F2712">
        <v>390</v>
      </c>
      <c r="G2712" t="s">
        <v>110</v>
      </c>
      <c r="H2712" t="s">
        <v>792</v>
      </c>
      <c r="I2712" t="s">
        <v>2117</v>
      </c>
    </row>
    <row r="2713" spans="1:9" x14ac:dyDescent="0.35">
      <c r="A2713">
        <v>389430</v>
      </c>
      <c r="B2713" t="s">
        <v>961</v>
      </c>
      <c r="C2713" s="1">
        <v>42394</v>
      </c>
      <c r="D2713">
        <v>1421</v>
      </c>
      <c r="E2713" t="b">
        <v>0</v>
      </c>
      <c r="F2713">
        <v>390</v>
      </c>
      <c r="G2713" t="s">
        <v>110</v>
      </c>
      <c r="H2713" t="s">
        <v>346</v>
      </c>
      <c r="I2713" t="s">
        <v>2116</v>
      </c>
    </row>
    <row r="2714" spans="1:9" x14ac:dyDescent="0.35">
      <c r="A2714">
        <v>389430</v>
      </c>
      <c r="B2714" t="s">
        <v>961</v>
      </c>
      <c r="C2714" s="1">
        <v>42394</v>
      </c>
      <c r="D2714">
        <v>1421</v>
      </c>
      <c r="E2714" t="b">
        <v>0</v>
      </c>
      <c r="F2714">
        <v>390</v>
      </c>
      <c r="G2714" t="s">
        <v>110</v>
      </c>
      <c r="H2714" t="s">
        <v>239</v>
      </c>
      <c r="I2714" t="s">
        <v>2117</v>
      </c>
    </row>
    <row r="2715" spans="1:9" x14ac:dyDescent="0.35">
      <c r="A2715">
        <v>389430</v>
      </c>
      <c r="B2715" t="s">
        <v>961</v>
      </c>
      <c r="C2715" s="1">
        <v>42394</v>
      </c>
      <c r="D2715">
        <v>1421</v>
      </c>
      <c r="E2715" t="b">
        <v>0</v>
      </c>
      <c r="F2715">
        <v>390</v>
      </c>
      <c r="G2715" t="s">
        <v>110</v>
      </c>
      <c r="H2715" t="s">
        <v>132</v>
      </c>
      <c r="I2715" t="s">
        <v>2116</v>
      </c>
    </row>
    <row r="2716" spans="1:9" x14ac:dyDescent="0.35">
      <c r="A2716">
        <v>389430</v>
      </c>
      <c r="B2716" t="s">
        <v>961</v>
      </c>
      <c r="C2716" s="1">
        <v>42394</v>
      </c>
      <c r="D2716">
        <v>1421</v>
      </c>
      <c r="E2716" t="b">
        <v>0</v>
      </c>
      <c r="F2716">
        <v>390</v>
      </c>
      <c r="G2716" t="s">
        <v>110</v>
      </c>
      <c r="H2716" t="s">
        <v>124</v>
      </c>
      <c r="I2716" t="s">
        <v>2117</v>
      </c>
    </row>
    <row r="2717" spans="1:9" x14ac:dyDescent="0.35">
      <c r="A2717">
        <v>389430</v>
      </c>
      <c r="B2717" t="s">
        <v>961</v>
      </c>
      <c r="C2717" s="1">
        <v>42394</v>
      </c>
      <c r="D2717">
        <v>1421</v>
      </c>
      <c r="E2717" t="b">
        <v>0</v>
      </c>
      <c r="F2717">
        <v>390</v>
      </c>
      <c r="G2717" t="s">
        <v>110</v>
      </c>
      <c r="H2717" t="s">
        <v>1510</v>
      </c>
      <c r="I2717" t="s">
        <v>2116</v>
      </c>
    </row>
    <row r="2718" spans="1:9" x14ac:dyDescent="0.35">
      <c r="A2718">
        <v>1881610</v>
      </c>
      <c r="B2718" t="s">
        <v>964</v>
      </c>
      <c r="C2718" s="1">
        <v>45535</v>
      </c>
      <c r="D2718">
        <v>1416</v>
      </c>
      <c r="E2718" t="b">
        <v>0</v>
      </c>
      <c r="F2718">
        <v>391</v>
      </c>
      <c r="G2718" t="s">
        <v>967</v>
      </c>
      <c r="H2718" t="s">
        <v>49</v>
      </c>
      <c r="I2718" t="s">
        <v>2116</v>
      </c>
    </row>
    <row r="2719" spans="1:9" x14ac:dyDescent="0.35">
      <c r="A2719">
        <v>1881610</v>
      </c>
      <c r="B2719" t="s">
        <v>964</v>
      </c>
      <c r="C2719" s="1">
        <v>45535</v>
      </c>
      <c r="D2719">
        <v>1416</v>
      </c>
      <c r="E2719" t="b">
        <v>0</v>
      </c>
      <c r="F2719">
        <v>391</v>
      </c>
      <c r="G2719" t="s">
        <v>967</v>
      </c>
      <c r="H2719" t="s">
        <v>792</v>
      </c>
      <c r="I2719" t="s">
        <v>2116</v>
      </c>
    </row>
    <row r="2720" spans="1:9" x14ac:dyDescent="0.35">
      <c r="A2720">
        <v>1881610</v>
      </c>
      <c r="B2720" t="s">
        <v>964</v>
      </c>
      <c r="C2720" s="1">
        <v>45535</v>
      </c>
      <c r="D2720">
        <v>1416</v>
      </c>
      <c r="E2720" t="b">
        <v>0</v>
      </c>
      <c r="F2720">
        <v>391</v>
      </c>
      <c r="G2720" t="s">
        <v>967</v>
      </c>
      <c r="H2720" t="s">
        <v>346</v>
      </c>
      <c r="I2720" t="s">
        <v>2116</v>
      </c>
    </row>
    <row r="2721" spans="1:9" x14ac:dyDescent="0.35">
      <c r="A2721">
        <v>1881610</v>
      </c>
      <c r="B2721" t="s">
        <v>964</v>
      </c>
      <c r="C2721" s="1">
        <v>45535</v>
      </c>
      <c r="D2721">
        <v>1416</v>
      </c>
      <c r="E2721" t="b">
        <v>0</v>
      </c>
      <c r="F2721">
        <v>391</v>
      </c>
      <c r="G2721" t="s">
        <v>967</v>
      </c>
      <c r="H2721" t="s">
        <v>239</v>
      </c>
      <c r="I2721" t="s">
        <v>2117</v>
      </c>
    </row>
    <row r="2722" spans="1:9" x14ac:dyDescent="0.35">
      <c r="A2722">
        <v>1881610</v>
      </c>
      <c r="B2722" t="s">
        <v>964</v>
      </c>
      <c r="C2722" s="1">
        <v>45535</v>
      </c>
      <c r="D2722">
        <v>1416</v>
      </c>
      <c r="E2722" t="b">
        <v>0</v>
      </c>
      <c r="F2722">
        <v>391</v>
      </c>
      <c r="G2722" t="s">
        <v>967</v>
      </c>
      <c r="H2722" t="s">
        <v>132</v>
      </c>
      <c r="I2722" t="s">
        <v>2117</v>
      </c>
    </row>
    <row r="2723" spans="1:9" x14ac:dyDescent="0.35">
      <c r="A2723">
        <v>1881610</v>
      </c>
      <c r="B2723" t="s">
        <v>964</v>
      </c>
      <c r="C2723" s="1">
        <v>45535</v>
      </c>
      <c r="D2723">
        <v>1416</v>
      </c>
      <c r="E2723" t="b">
        <v>0</v>
      </c>
      <c r="F2723">
        <v>391</v>
      </c>
      <c r="G2723" t="s">
        <v>967</v>
      </c>
      <c r="H2723" t="s">
        <v>124</v>
      </c>
      <c r="I2723" t="s">
        <v>2117</v>
      </c>
    </row>
    <row r="2724" spans="1:9" x14ac:dyDescent="0.35">
      <c r="A2724">
        <v>1881610</v>
      </c>
      <c r="B2724" t="s">
        <v>964</v>
      </c>
      <c r="C2724" s="1">
        <v>45535</v>
      </c>
      <c r="D2724">
        <v>1416</v>
      </c>
      <c r="E2724" t="b">
        <v>0</v>
      </c>
      <c r="F2724">
        <v>391</v>
      </c>
      <c r="G2724" t="s">
        <v>967</v>
      </c>
      <c r="H2724" t="s">
        <v>1510</v>
      </c>
      <c r="I2724" t="s">
        <v>2116</v>
      </c>
    </row>
    <row r="2725" spans="1:9" x14ac:dyDescent="0.35">
      <c r="A2725">
        <v>1244460</v>
      </c>
      <c r="B2725" t="s">
        <v>968</v>
      </c>
      <c r="C2725" s="1">
        <v>44509</v>
      </c>
      <c r="D2725">
        <v>1413</v>
      </c>
      <c r="E2725" t="b">
        <v>0</v>
      </c>
      <c r="F2725">
        <v>392</v>
      </c>
      <c r="G2725" t="s">
        <v>25</v>
      </c>
      <c r="H2725" t="s">
        <v>49</v>
      </c>
      <c r="I2725" t="s">
        <v>2117</v>
      </c>
    </row>
    <row r="2726" spans="1:9" x14ac:dyDescent="0.35">
      <c r="A2726">
        <v>1244460</v>
      </c>
      <c r="B2726" t="s">
        <v>968</v>
      </c>
      <c r="C2726" s="1">
        <v>44509</v>
      </c>
      <c r="D2726">
        <v>1413</v>
      </c>
      <c r="E2726" t="b">
        <v>0</v>
      </c>
      <c r="F2726">
        <v>392</v>
      </c>
      <c r="G2726" t="s">
        <v>25</v>
      </c>
      <c r="H2726" t="s">
        <v>792</v>
      </c>
      <c r="I2726" t="s">
        <v>2117</v>
      </c>
    </row>
    <row r="2727" spans="1:9" x14ac:dyDescent="0.35">
      <c r="A2727">
        <v>1244460</v>
      </c>
      <c r="B2727" t="s">
        <v>968</v>
      </c>
      <c r="C2727" s="1">
        <v>44509</v>
      </c>
      <c r="D2727">
        <v>1413</v>
      </c>
      <c r="E2727" t="b">
        <v>0</v>
      </c>
      <c r="F2727">
        <v>392</v>
      </c>
      <c r="G2727" t="s">
        <v>25</v>
      </c>
      <c r="H2727" t="s">
        <v>346</v>
      </c>
      <c r="I2727" t="s">
        <v>2117</v>
      </c>
    </row>
    <row r="2728" spans="1:9" x14ac:dyDescent="0.35">
      <c r="A2728">
        <v>1244460</v>
      </c>
      <c r="B2728" t="s">
        <v>968</v>
      </c>
      <c r="C2728" s="1">
        <v>44509</v>
      </c>
      <c r="D2728">
        <v>1413</v>
      </c>
      <c r="E2728" t="b">
        <v>0</v>
      </c>
      <c r="F2728">
        <v>392</v>
      </c>
      <c r="G2728" t="s">
        <v>25</v>
      </c>
      <c r="H2728" t="s">
        <v>239</v>
      </c>
      <c r="I2728" t="s">
        <v>2116</v>
      </c>
    </row>
    <row r="2729" spans="1:9" x14ac:dyDescent="0.35">
      <c r="A2729">
        <v>1244460</v>
      </c>
      <c r="B2729" t="s">
        <v>968</v>
      </c>
      <c r="C2729" s="1">
        <v>44509</v>
      </c>
      <c r="D2729">
        <v>1413</v>
      </c>
      <c r="E2729" t="b">
        <v>0</v>
      </c>
      <c r="F2729">
        <v>392</v>
      </c>
      <c r="G2729" t="s">
        <v>25</v>
      </c>
      <c r="H2729" t="s">
        <v>132</v>
      </c>
      <c r="I2729" t="s">
        <v>2117</v>
      </c>
    </row>
    <row r="2730" spans="1:9" x14ac:dyDescent="0.35">
      <c r="A2730">
        <v>1244460</v>
      </c>
      <c r="B2730" t="s">
        <v>968</v>
      </c>
      <c r="C2730" s="1">
        <v>44509</v>
      </c>
      <c r="D2730">
        <v>1413</v>
      </c>
      <c r="E2730" t="b">
        <v>0</v>
      </c>
      <c r="F2730">
        <v>392</v>
      </c>
      <c r="G2730" t="s">
        <v>25</v>
      </c>
      <c r="H2730" t="s">
        <v>124</v>
      </c>
      <c r="I2730" t="s">
        <v>2116</v>
      </c>
    </row>
    <row r="2731" spans="1:9" x14ac:dyDescent="0.35">
      <c r="A2731">
        <v>1244460</v>
      </c>
      <c r="B2731" t="s">
        <v>968</v>
      </c>
      <c r="C2731" s="1">
        <v>44509</v>
      </c>
      <c r="D2731">
        <v>1413</v>
      </c>
      <c r="E2731" t="b">
        <v>0</v>
      </c>
      <c r="F2731">
        <v>392</v>
      </c>
      <c r="G2731" t="s">
        <v>25</v>
      </c>
      <c r="H2731" t="s">
        <v>1510</v>
      </c>
      <c r="I2731" t="s">
        <v>2117</v>
      </c>
    </row>
    <row r="2732" spans="1:9" x14ac:dyDescent="0.35">
      <c r="A2732">
        <v>356190</v>
      </c>
      <c r="B2732" t="s">
        <v>970</v>
      </c>
      <c r="C2732" s="1">
        <v>43017</v>
      </c>
      <c r="D2732">
        <v>1405</v>
      </c>
      <c r="E2732" t="b">
        <v>0</v>
      </c>
      <c r="F2732">
        <v>393</v>
      </c>
      <c r="G2732" t="s">
        <v>293</v>
      </c>
      <c r="H2732" t="s">
        <v>49</v>
      </c>
      <c r="I2732" t="s">
        <v>2116</v>
      </c>
    </row>
    <row r="2733" spans="1:9" x14ac:dyDescent="0.35">
      <c r="A2733">
        <v>356190</v>
      </c>
      <c r="B2733" t="s">
        <v>970</v>
      </c>
      <c r="C2733" s="1">
        <v>43017</v>
      </c>
      <c r="D2733">
        <v>1405</v>
      </c>
      <c r="E2733" t="b">
        <v>0</v>
      </c>
      <c r="F2733">
        <v>393</v>
      </c>
      <c r="G2733" t="s">
        <v>293</v>
      </c>
      <c r="H2733" t="s">
        <v>792</v>
      </c>
      <c r="I2733" t="s">
        <v>2117</v>
      </c>
    </row>
    <row r="2734" spans="1:9" x14ac:dyDescent="0.35">
      <c r="A2734">
        <v>356190</v>
      </c>
      <c r="B2734" t="s">
        <v>970</v>
      </c>
      <c r="C2734" s="1">
        <v>43017</v>
      </c>
      <c r="D2734">
        <v>1405</v>
      </c>
      <c r="E2734" t="b">
        <v>0</v>
      </c>
      <c r="F2734">
        <v>393</v>
      </c>
      <c r="G2734" t="s">
        <v>293</v>
      </c>
      <c r="H2734" t="s">
        <v>346</v>
      </c>
      <c r="I2734" t="s">
        <v>2116</v>
      </c>
    </row>
    <row r="2735" spans="1:9" x14ac:dyDescent="0.35">
      <c r="A2735">
        <v>356190</v>
      </c>
      <c r="B2735" t="s">
        <v>970</v>
      </c>
      <c r="C2735" s="1">
        <v>43017</v>
      </c>
      <c r="D2735">
        <v>1405</v>
      </c>
      <c r="E2735" t="b">
        <v>0</v>
      </c>
      <c r="F2735">
        <v>393</v>
      </c>
      <c r="G2735" t="s">
        <v>293</v>
      </c>
      <c r="H2735" t="s">
        <v>239</v>
      </c>
      <c r="I2735" t="s">
        <v>2117</v>
      </c>
    </row>
    <row r="2736" spans="1:9" x14ac:dyDescent="0.35">
      <c r="A2736">
        <v>356190</v>
      </c>
      <c r="B2736" t="s">
        <v>970</v>
      </c>
      <c r="C2736" s="1">
        <v>43017</v>
      </c>
      <c r="D2736">
        <v>1405</v>
      </c>
      <c r="E2736" t="b">
        <v>0</v>
      </c>
      <c r="F2736">
        <v>393</v>
      </c>
      <c r="G2736" t="s">
        <v>293</v>
      </c>
      <c r="H2736" t="s">
        <v>132</v>
      </c>
      <c r="I2736" t="s">
        <v>2116</v>
      </c>
    </row>
    <row r="2737" spans="1:9" x14ac:dyDescent="0.35">
      <c r="A2737">
        <v>356190</v>
      </c>
      <c r="B2737" t="s">
        <v>970</v>
      </c>
      <c r="C2737" s="1">
        <v>43017</v>
      </c>
      <c r="D2737">
        <v>1405</v>
      </c>
      <c r="E2737" t="b">
        <v>0</v>
      </c>
      <c r="F2737">
        <v>393</v>
      </c>
      <c r="G2737" t="s">
        <v>293</v>
      </c>
      <c r="H2737" t="s">
        <v>124</v>
      </c>
      <c r="I2737" t="s">
        <v>2117</v>
      </c>
    </row>
    <row r="2738" spans="1:9" x14ac:dyDescent="0.35">
      <c r="A2738">
        <v>356190</v>
      </c>
      <c r="B2738" t="s">
        <v>970</v>
      </c>
      <c r="C2738" s="1">
        <v>43017</v>
      </c>
      <c r="D2738">
        <v>1405</v>
      </c>
      <c r="E2738" t="b">
        <v>0</v>
      </c>
      <c r="F2738">
        <v>393</v>
      </c>
      <c r="G2738" t="s">
        <v>293</v>
      </c>
      <c r="H2738" t="s">
        <v>1510</v>
      </c>
      <c r="I2738" t="s">
        <v>2117</v>
      </c>
    </row>
    <row r="2739" spans="1:9" x14ac:dyDescent="0.35">
      <c r="A2739">
        <v>1056640</v>
      </c>
      <c r="B2739" t="s">
        <v>972</v>
      </c>
      <c r="C2739" s="1">
        <v>44048</v>
      </c>
      <c r="D2739">
        <v>1400</v>
      </c>
      <c r="E2739" t="b">
        <v>0</v>
      </c>
      <c r="F2739">
        <v>394</v>
      </c>
      <c r="G2739" t="s">
        <v>276</v>
      </c>
      <c r="H2739" t="s">
        <v>49</v>
      </c>
      <c r="I2739" t="s">
        <v>2116</v>
      </c>
    </row>
    <row r="2740" spans="1:9" x14ac:dyDescent="0.35">
      <c r="A2740">
        <v>1056640</v>
      </c>
      <c r="B2740" t="s">
        <v>972</v>
      </c>
      <c r="C2740" s="1">
        <v>44048</v>
      </c>
      <c r="D2740">
        <v>1400</v>
      </c>
      <c r="E2740" t="b">
        <v>0</v>
      </c>
      <c r="F2740">
        <v>394</v>
      </c>
      <c r="G2740" t="s">
        <v>276</v>
      </c>
      <c r="H2740" t="s">
        <v>792</v>
      </c>
      <c r="I2740" t="s">
        <v>2117</v>
      </c>
    </row>
    <row r="2741" spans="1:9" x14ac:dyDescent="0.35">
      <c r="A2741">
        <v>1056640</v>
      </c>
      <c r="B2741" t="s">
        <v>972</v>
      </c>
      <c r="C2741" s="1">
        <v>44048</v>
      </c>
      <c r="D2741">
        <v>1400</v>
      </c>
      <c r="E2741" t="b">
        <v>0</v>
      </c>
      <c r="F2741">
        <v>394</v>
      </c>
      <c r="G2741" t="s">
        <v>276</v>
      </c>
      <c r="H2741" t="s">
        <v>346</v>
      </c>
      <c r="I2741" t="s">
        <v>2117</v>
      </c>
    </row>
    <row r="2742" spans="1:9" x14ac:dyDescent="0.35">
      <c r="A2742">
        <v>1056640</v>
      </c>
      <c r="B2742" t="s">
        <v>972</v>
      </c>
      <c r="C2742" s="1">
        <v>44048</v>
      </c>
      <c r="D2742">
        <v>1400</v>
      </c>
      <c r="E2742" t="b">
        <v>0</v>
      </c>
      <c r="F2742">
        <v>394</v>
      </c>
      <c r="G2742" t="s">
        <v>276</v>
      </c>
      <c r="H2742" t="s">
        <v>239</v>
      </c>
      <c r="I2742" t="s">
        <v>2117</v>
      </c>
    </row>
    <row r="2743" spans="1:9" x14ac:dyDescent="0.35">
      <c r="A2743">
        <v>1056640</v>
      </c>
      <c r="B2743" t="s">
        <v>972</v>
      </c>
      <c r="C2743" s="1">
        <v>44048</v>
      </c>
      <c r="D2743">
        <v>1400</v>
      </c>
      <c r="E2743" t="b">
        <v>0</v>
      </c>
      <c r="F2743">
        <v>394</v>
      </c>
      <c r="G2743" t="s">
        <v>276</v>
      </c>
      <c r="H2743" t="s">
        <v>132</v>
      </c>
      <c r="I2743" t="s">
        <v>2116</v>
      </c>
    </row>
    <row r="2744" spans="1:9" x14ac:dyDescent="0.35">
      <c r="A2744">
        <v>1056640</v>
      </c>
      <c r="B2744" t="s">
        <v>972</v>
      </c>
      <c r="C2744" s="1">
        <v>44048</v>
      </c>
      <c r="D2744">
        <v>1400</v>
      </c>
      <c r="E2744" t="b">
        <v>0</v>
      </c>
      <c r="F2744">
        <v>394</v>
      </c>
      <c r="G2744" t="s">
        <v>276</v>
      </c>
      <c r="H2744" t="s">
        <v>124</v>
      </c>
      <c r="I2744" t="s">
        <v>2117</v>
      </c>
    </row>
    <row r="2745" spans="1:9" x14ac:dyDescent="0.35">
      <c r="A2745">
        <v>1056640</v>
      </c>
      <c r="B2745" t="s">
        <v>972</v>
      </c>
      <c r="C2745" s="1">
        <v>44048</v>
      </c>
      <c r="D2745">
        <v>1400</v>
      </c>
      <c r="E2745" t="b">
        <v>0</v>
      </c>
      <c r="F2745">
        <v>394</v>
      </c>
      <c r="G2745" t="s">
        <v>276</v>
      </c>
      <c r="H2745" t="s">
        <v>1510</v>
      </c>
      <c r="I2745" t="s">
        <v>2116</v>
      </c>
    </row>
    <row r="2746" spans="1:9" x14ac:dyDescent="0.35">
      <c r="A2746">
        <v>8800</v>
      </c>
      <c r="B2746" t="s">
        <v>975</v>
      </c>
      <c r="C2746" s="1">
        <v>39287</v>
      </c>
      <c r="D2746">
        <v>1395</v>
      </c>
      <c r="E2746" t="b">
        <v>1</v>
      </c>
      <c r="F2746">
        <v>395</v>
      </c>
      <c r="G2746" t="s">
        <v>2084</v>
      </c>
      <c r="H2746" t="s">
        <v>49</v>
      </c>
      <c r="I2746" t="s">
        <v>2117</v>
      </c>
    </row>
    <row r="2747" spans="1:9" x14ac:dyDescent="0.35">
      <c r="A2747">
        <v>8800</v>
      </c>
      <c r="B2747" t="s">
        <v>975</v>
      </c>
      <c r="C2747" s="1">
        <v>39287</v>
      </c>
      <c r="D2747">
        <v>1395</v>
      </c>
      <c r="E2747" t="b">
        <v>1</v>
      </c>
      <c r="F2747">
        <v>395</v>
      </c>
      <c r="G2747" t="s">
        <v>2084</v>
      </c>
      <c r="H2747" t="s">
        <v>792</v>
      </c>
      <c r="I2747" t="s">
        <v>2117</v>
      </c>
    </row>
    <row r="2748" spans="1:9" x14ac:dyDescent="0.35">
      <c r="A2748">
        <v>8800</v>
      </c>
      <c r="B2748" t="s">
        <v>975</v>
      </c>
      <c r="C2748" s="1">
        <v>39287</v>
      </c>
      <c r="D2748">
        <v>1395</v>
      </c>
      <c r="E2748" t="b">
        <v>1</v>
      </c>
      <c r="F2748">
        <v>395</v>
      </c>
      <c r="G2748" t="s">
        <v>2084</v>
      </c>
      <c r="H2748" t="s">
        <v>346</v>
      </c>
      <c r="I2748" t="s">
        <v>2117</v>
      </c>
    </row>
    <row r="2749" spans="1:9" x14ac:dyDescent="0.35">
      <c r="A2749">
        <v>8800</v>
      </c>
      <c r="B2749" t="s">
        <v>975</v>
      </c>
      <c r="C2749" s="1">
        <v>39287</v>
      </c>
      <c r="D2749">
        <v>1395</v>
      </c>
      <c r="E2749" t="b">
        <v>1</v>
      </c>
      <c r="F2749">
        <v>395</v>
      </c>
      <c r="G2749" t="s">
        <v>2084</v>
      </c>
      <c r="H2749" t="s">
        <v>239</v>
      </c>
      <c r="I2749" t="s">
        <v>2117</v>
      </c>
    </row>
    <row r="2750" spans="1:9" x14ac:dyDescent="0.35">
      <c r="A2750">
        <v>8800</v>
      </c>
      <c r="B2750" t="s">
        <v>975</v>
      </c>
      <c r="C2750" s="1">
        <v>39287</v>
      </c>
      <c r="D2750">
        <v>1395</v>
      </c>
      <c r="E2750" t="b">
        <v>1</v>
      </c>
      <c r="F2750">
        <v>395</v>
      </c>
      <c r="G2750" t="s">
        <v>2084</v>
      </c>
      <c r="H2750" t="s">
        <v>132</v>
      </c>
      <c r="I2750" t="s">
        <v>2117</v>
      </c>
    </row>
    <row r="2751" spans="1:9" x14ac:dyDescent="0.35">
      <c r="A2751">
        <v>8800</v>
      </c>
      <c r="B2751" t="s">
        <v>975</v>
      </c>
      <c r="C2751" s="1">
        <v>39287</v>
      </c>
      <c r="D2751">
        <v>1395</v>
      </c>
      <c r="E2751" t="b">
        <v>1</v>
      </c>
      <c r="F2751">
        <v>395</v>
      </c>
      <c r="G2751" t="s">
        <v>2084</v>
      </c>
      <c r="H2751" t="s">
        <v>124</v>
      </c>
      <c r="I2751" t="s">
        <v>2116</v>
      </c>
    </row>
    <row r="2752" spans="1:9" x14ac:dyDescent="0.35">
      <c r="A2752">
        <v>8800</v>
      </c>
      <c r="B2752" t="s">
        <v>975</v>
      </c>
      <c r="C2752" s="1">
        <v>39287</v>
      </c>
      <c r="D2752">
        <v>1395</v>
      </c>
      <c r="E2752" t="b">
        <v>1</v>
      </c>
      <c r="F2752">
        <v>395</v>
      </c>
      <c r="G2752" t="s">
        <v>2084</v>
      </c>
      <c r="H2752" t="s">
        <v>1510</v>
      </c>
      <c r="I2752" t="s">
        <v>2117</v>
      </c>
    </row>
    <row r="2753" spans="1:9" x14ac:dyDescent="0.35">
      <c r="A2753">
        <v>1449560</v>
      </c>
      <c r="B2753" t="s">
        <v>976</v>
      </c>
      <c r="C2753" s="1">
        <v>43875</v>
      </c>
      <c r="D2753">
        <v>1391</v>
      </c>
      <c r="E2753" t="b">
        <v>1</v>
      </c>
      <c r="F2753">
        <v>396</v>
      </c>
      <c r="G2753" t="s">
        <v>25</v>
      </c>
      <c r="H2753" t="s">
        <v>49</v>
      </c>
      <c r="I2753" t="s">
        <v>2116</v>
      </c>
    </row>
    <row r="2754" spans="1:9" x14ac:dyDescent="0.35">
      <c r="A2754">
        <v>1449560</v>
      </c>
      <c r="B2754" t="s">
        <v>976</v>
      </c>
      <c r="C2754" s="1">
        <v>43875</v>
      </c>
      <c r="D2754">
        <v>1391</v>
      </c>
      <c r="E2754" t="b">
        <v>1</v>
      </c>
      <c r="F2754">
        <v>396</v>
      </c>
      <c r="G2754" t="s">
        <v>25</v>
      </c>
      <c r="H2754" t="s">
        <v>792</v>
      </c>
      <c r="I2754" t="s">
        <v>2117</v>
      </c>
    </row>
    <row r="2755" spans="1:9" x14ac:dyDescent="0.35">
      <c r="A2755">
        <v>1449560</v>
      </c>
      <c r="B2755" t="s">
        <v>976</v>
      </c>
      <c r="C2755" s="1">
        <v>43875</v>
      </c>
      <c r="D2755">
        <v>1391</v>
      </c>
      <c r="E2755" t="b">
        <v>1</v>
      </c>
      <c r="F2755">
        <v>396</v>
      </c>
      <c r="G2755" t="s">
        <v>25</v>
      </c>
      <c r="H2755" t="s">
        <v>346</v>
      </c>
      <c r="I2755" t="s">
        <v>2117</v>
      </c>
    </row>
    <row r="2756" spans="1:9" x14ac:dyDescent="0.35">
      <c r="A2756">
        <v>1449560</v>
      </c>
      <c r="B2756" t="s">
        <v>976</v>
      </c>
      <c r="C2756" s="1">
        <v>43875</v>
      </c>
      <c r="D2756">
        <v>1391</v>
      </c>
      <c r="E2756" t="b">
        <v>1</v>
      </c>
      <c r="F2756">
        <v>396</v>
      </c>
      <c r="G2756" t="s">
        <v>25</v>
      </c>
      <c r="H2756" t="s">
        <v>239</v>
      </c>
      <c r="I2756" t="s">
        <v>2117</v>
      </c>
    </row>
    <row r="2757" spans="1:9" x14ac:dyDescent="0.35">
      <c r="A2757">
        <v>1449560</v>
      </c>
      <c r="B2757" t="s">
        <v>976</v>
      </c>
      <c r="C2757" s="1">
        <v>43875</v>
      </c>
      <c r="D2757">
        <v>1391</v>
      </c>
      <c r="E2757" t="b">
        <v>1</v>
      </c>
      <c r="F2757">
        <v>396</v>
      </c>
      <c r="G2757" t="s">
        <v>25</v>
      </c>
      <c r="H2757" t="s">
        <v>132</v>
      </c>
      <c r="I2757" t="s">
        <v>2117</v>
      </c>
    </row>
    <row r="2758" spans="1:9" x14ac:dyDescent="0.35">
      <c r="A2758">
        <v>1449560</v>
      </c>
      <c r="B2758" t="s">
        <v>976</v>
      </c>
      <c r="C2758" s="1">
        <v>43875</v>
      </c>
      <c r="D2758">
        <v>1391</v>
      </c>
      <c r="E2758" t="b">
        <v>1</v>
      </c>
      <c r="F2758">
        <v>396</v>
      </c>
      <c r="G2758" t="s">
        <v>25</v>
      </c>
      <c r="H2758" t="s">
        <v>124</v>
      </c>
      <c r="I2758" t="s">
        <v>2117</v>
      </c>
    </row>
    <row r="2759" spans="1:9" x14ac:dyDescent="0.35">
      <c r="A2759">
        <v>1449560</v>
      </c>
      <c r="B2759" t="s">
        <v>976</v>
      </c>
      <c r="C2759" s="1">
        <v>43875</v>
      </c>
      <c r="D2759">
        <v>1391</v>
      </c>
      <c r="E2759" t="b">
        <v>1</v>
      </c>
      <c r="F2759">
        <v>396</v>
      </c>
      <c r="G2759" t="s">
        <v>25</v>
      </c>
      <c r="H2759" t="s">
        <v>1510</v>
      </c>
      <c r="I2759" t="s">
        <v>2117</v>
      </c>
    </row>
    <row r="2760" spans="1:9" x14ac:dyDescent="0.35">
      <c r="A2760">
        <v>438040</v>
      </c>
      <c r="B2760" t="s">
        <v>977</v>
      </c>
      <c r="C2760" s="1">
        <v>42424</v>
      </c>
      <c r="D2760">
        <v>1389</v>
      </c>
      <c r="E2760" t="b">
        <v>1</v>
      </c>
      <c r="F2760">
        <v>397</v>
      </c>
      <c r="G2760" t="s">
        <v>110</v>
      </c>
      <c r="H2760" t="s">
        <v>49</v>
      </c>
      <c r="I2760" t="s">
        <v>2117</v>
      </c>
    </row>
    <row r="2761" spans="1:9" x14ac:dyDescent="0.35">
      <c r="A2761">
        <v>438040</v>
      </c>
      <c r="B2761" t="s">
        <v>977</v>
      </c>
      <c r="C2761" s="1">
        <v>42424</v>
      </c>
      <c r="D2761">
        <v>1389</v>
      </c>
      <c r="E2761" t="b">
        <v>1</v>
      </c>
      <c r="F2761">
        <v>397</v>
      </c>
      <c r="G2761" t="s">
        <v>110</v>
      </c>
      <c r="H2761" t="s">
        <v>792</v>
      </c>
      <c r="I2761" t="s">
        <v>2116</v>
      </c>
    </row>
    <row r="2762" spans="1:9" x14ac:dyDescent="0.35">
      <c r="A2762">
        <v>438040</v>
      </c>
      <c r="B2762" t="s">
        <v>977</v>
      </c>
      <c r="C2762" s="1">
        <v>42424</v>
      </c>
      <c r="D2762">
        <v>1389</v>
      </c>
      <c r="E2762" t="b">
        <v>1</v>
      </c>
      <c r="F2762">
        <v>397</v>
      </c>
      <c r="G2762" t="s">
        <v>110</v>
      </c>
      <c r="H2762" t="s">
        <v>346</v>
      </c>
      <c r="I2762" t="s">
        <v>2116</v>
      </c>
    </row>
    <row r="2763" spans="1:9" x14ac:dyDescent="0.35">
      <c r="A2763">
        <v>438040</v>
      </c>
      <c r="B2763" t="s">
        <v>977</v>
      </c>
      <c r="C2763" s="1">
        <v>42424</v>
      </c>
      <c r="D2763">
        <v>1389</v>
      </c>
      <c r="E2763" t="b">
        <v>1</v>
      </c>
      <c r="F2763">
        <v>397</v>
      </c>
      <c r="G2763" t="s">
        <v>110</v>
      </c>
      <c r="H2763" t="s">
        <v>239</v>
      </c>
      <c r="I2763" t="s">
        <v>2117</v>
      </c>
    </row>
    <row r="2764" spans="1:9" x14ac:dyDescent="0.35">
      <c r="A2764">
        <v>438040</v>
      </c>
      <c r="B2764" t="s">
        <v>977</v>
      </c>
      <c r="C2764" s="1">
        <v>42424</v>
      </c>
      <c r="D2764">
        <v>1389</v>
      </c>
      <c r="E2764" t="b">
        <v>1</v>
      </c>
      <c r="F2764">
        <v>397</v>
      </c>
      <c r="G2764" t="s">
        <v>110</v>
      </c>
      <c r="H2764" t="s">
        <v>132</v>
      </c>
      <c r="I2764" t="s">
        <v>2116</v>
      </c>
    </row>
    <row r="2765" spans="1:9" x14ac:dyDescent="0.35">
      <c r="A2765">
        <v>438040</v>
      </c>
      <c r="B2765" t="s">
        <v>977</v>
      </c>
      <c r="C2765" s="1">
        <v>42424</v>
      </c>
      <c r="D2765">
        <v>1389</v>
      </c>
      <c r="E2765" t="b">
        <v>1</v>
      </c>
      <c r="F2765">
        <v>397</v>
      </c>
      <c r="G2765" t="s">
        <v>110</v>
      </c>
      <c r="H2765" t="s">
        <v>124</v>
      </c>
      <c r="I2765" t="s">
        <v>2116</v>
      </c>
    </row>
    <row r="2766" spans="1:9" x14ac:dyDescent="0.35">
      <c r="A2766">
        <v>438040</v>
      </c>
      <c r="B2766" t="s">
        <v>977</v>
      </c>
      <c r="C2766" s="1">
        <v>42424</v>
      </c>
      <c r="D2766">
        <v>1389</v>
      </c>
      <c r="E2766" t="b">
        <v>1</v>
      </c>
      <c r="F2766">
        <v>397</v>
      </c>
      <c r="G2766" t="s">
        <v>110</v>
      </c>
      <c r="H2766" t="s">
        <v>1510</v>
      </c>
      <c r="I2766" t="s">
        <v>2116</v>
      </c>
    </row>
    <row r="2767" spans="1:9" x14ac:dyDescent="0.35">
      <c r="A2767">
        <v>1222680</v>
      </c>
      <c r="B2767" t="s">
        <v>980</v>
      </c>
      <c r="C2767" s="1">
        <v>43986</v>
      </c>
      <c r="D2767">
        <v>1385</v>
      </c>
      <c r="E2767" t="b">
        <v>0</v>
      </c>
      <c r="F2767">
        <v>398</v>
      </c>
      <c r="G2767" t="s">
        <v>293</v>
      </c>
      <c r="H2767" t="s">
        <v>49</v>
      </c>
      <c r="I2767" t="s">
        <v>2116</v>
      </c>
    </row>
    <row r="2768" spans="1:9" x14ac:dyDescent="0.35">
      <c r="A2768">
        <v>1222680</v>
      </c>
      <c r="B2768" t="s">
        <v>980</v>
      </c>
      <c r="C2768" s="1">
        <v>43986</v>
      </c>
      <c r="D2768">
        <v>1385</v>
      </c>
      <c r="E2768" t="b">
        <v>0</v>
      </c>
      <c r="F2768">
        <v>398</v>
      </c>
      <c r="G2768" t="s">
        <v>293</v>
      </c>
      <c r="H2768" t="s">
        <v>792</v>
      </c>
      <c r="I2768" t="s">
        <v>2117</v>
      </c>
    </row>
    <row r="2769" spans="1:9" x14ac:dyDescent="0.35">
      <c r="A2769">
        <v>1222680</v>
      </c>
      <c r="B2769" t="s">
        <v>980</v>
      </c>
      <c r="C2769" s="1">
        <v>43986</v>
      </c>
      <c r="D2769">
        <v>1385</v>
      </c>
      <c r="E2769" t="b">
        <v>0</v>
      </c>
      <c r="F2769">
        <v>398</v>
      </c>
      <c r="G2769" t="s">
        <v>293</v>
      </c>
      <c r="H2769" t="s">
        <v>346</v>
      </c>
      <c r="I2769" t="s">
        <v>2116</v>
      </c>
    </row>
    <row r="2770" spans="1:9" x14ac:dyDescent="0.35">
      <c r="A2770">
        <v>1222680</v>
      </c>
      <c r="B2770" t="s">
        <v>980</v>
      </c>
      <c r="C2770" s="1">
        <v>43986</v>
      </c>
      <c r="D2770">
        <v>1385</v>
      </c>
      <c r="E2770" t="b">
        <v>0</v>
      </c>
      <c r="F2770">
        <v>398</v>
      </c>
      <c r="G2770" t="s">
        <v>293</v>
      </c>
      <c r="H2770" t="s">
        <v>239</v>
      </c>
      <c r="I2770" t="s">
        <v>2117</v>
      </c>
    </row>
    <row r="2771" spans="1:9" x14ac:dyDescent="0.35">
      <c r="A2771">
        <v>1222680</v>
      </c>
      <c r="B2771" t="s">
        <v>980</v>
      </c>
      <c r="C2771" s="1">
        <v>43986</v>
      </c>
      <c r="D2771">
        <v>1385</v>
      </c>
      <c r="E2771" t="b">
        <v>0</v>
      </c>
      <c r="F2771">
        <v>398</v>
      </c>
      <c r="G2771" t="s">
        <v>293</v>
      </c>
      <c r="H2771" t="s">
        <v>132</v>
      </c>
      <c r="I2771" t="s">
        <v>2117</v>
      </c>
    </row>
    <row r="2772" spans="1:9" x14ac:dyDescent="0.35">
      <c r="A2772">
        <v>1222680</v>
      </c>
      <c r="B2772" t="s">
        <v>980</v>
      </c>
      <c r="C2772" s="1">
        <v>43986</v>
      </c>
      <c r="D2772">
        <v>1385</v>
      </c>
      <c r="E2772" t="b">
        <v>0</v>
      </c>
      <c r="F2772">
        <v>398</v>
      </c>
      <c r="G2772" t="s">
        <v>293</v>
      </c>
      <c r="H2772" t="s">
        <v>124</v>
      </c>
      <c r="I2772" t="s">
        <v>2117</v>
      </c>
    </row>
    <row r="2773" spans="1:9" x14ac:dyDescent="0.35">
      <c r="A2773">
        <v>1222680</v>
      </c>
      <c r="B2773" t="s">
        <v>980</v>
      </c>
      <c r="C2773" s="1">
        <v>43986</v>
      </c>
      <c r="D2773">
        <v>1385</v>
      </c>
      <c r="E2773" t="b">
        <v>0</v>
      </c>
      <c r="F2773">
        <v>398</v>
      </c>
      <c r="G2773" t="s">
        <v>293</v>
      </c>
      <c r="H2773" t="s">
        <v>1510</v>
      </c>
      <c r="I2773" t="s">
        <v>2117</v>
      </c>
    </row>
    <row r="2774" spans="1:9" x14ac:dyDescent="0.35">
      <c r="A2774">
        <v>3910</v>
      </c>
      <c r="B2774" t="s">
        <v>983</v>
      </c>
      <c r="C2774" s="1">
        <v>39015</v>
      </c>
      <c r="D2774">
        <v>1383</v>
      </c>
      <c r="E2774" t="b">
        <v>0</v>
      </c>
      <c r="F2774">
        <v>399</v>
      </c>
      <c r="G2774" t="s">
        <v>2083</v>
      </c>
      <c r="H2774" t="s">
        <v>49</v>
      </c>
      <c r="I2774" t="s">
        <v>2117</v>
      </c>
    </row>
    <row r="2775" spans="1:9" x14ac:dyDescent="0.35">
      <c r="A2775">
        <v>3910</v>
      </c>
      <c r="B2775" t="s">
        <v>983</v>
      </c>
      <c r="C2775" s="1">
        <v>39015</v>
      </c>
      <c r="D2775">
        <v>1383</v>
      </c>
      <c r="E2775" t="b">
        <v>0</v>
      </c>
      <c r="F2775">
        <v>399</v>
      </c>
      <c r="G2775" t="s">
        <v>2083</v>
      </c>
      <c r="H2775" t="s">
        <v>792</v>
      </c>
      <c r="I2775" t="s">
        <v>2117</v>
      </c>
    </row>
    <row r="2776" spans="1:9" x14ac:dyDescent="0.35">
      <c r="A2776">
        <v>3910</v>
      </c>
      <c r="B2776" t="s">
        <v>983</v>
      </c>
      <c r="C2776" s="1">
        <v>39015</v>
      </c>
      <c r="D2776">
        <v>1383</v>
      </c>
      <c r="E2776" t="b">
        <v>0</v>
      </c>
      <c r="F2776">
        <v>399</v>
      </c>
      <c r="G2776" t="s">
        <v>2083</v>
      </c>
      <c r="H2776" t="s">
        <v>346</v>
      </c>
      <c r="I2776" t="s">
        <v>2117</v>
      </c>
    </row>
    <row r="2777" spans="1:9" x14ac:dyDescent="0.35">
      <c r="A2777">
        <v>3910</v>
      </c>
      <c r="B2777" t="s">
        <v>983</v>
      </c>
      <c r="C2777" s="1">
        <v>39015</v>
      </c>
      <c r="D2777">
        <v>1383</v>
      </c>
      <c r="E2777" t="b">
        <v>0</v>
      </c>
      <c r="F2777">
        <v>399</v>
      </c>
      <c r="G2777" t="s">
        <v>2083</v>
      </c>
      <c r="H2777" t="s">
        <v>239</v>
      </c>
      <c r="I2777" t="s">
        <v>2117</v>
      </c>
    </row>
    <row r="2778" spans="1:9" x14ac:dyDescent="0.35">
      <c r="A2778">
        <v>3910</v>
      </c>
      <c r="B2778" t="s">
        <v>983</v>
      </c>
      <c r="C2778" s="1">
        <v>39015</v>
      </c>
      <c r="D2778">
        <v>1383</v>
      </c>
      <c r="E2778" t="b">
        <v>0</v>
      </c>
      <c r="F2778">
        <v>399</v>
      </c>
      <c r="G2778" t="s">
        <v>2083</v>
      </c>
      <c r="H2778" t="s">
        <v>132</v>
      </c>
      <c r="I2778" t="s">
        <v>2117</v>
      </c>
    </row>
    <row r="2779" spans="1:9" x14ac:dyDescent="0.35">
      <c r="A2779">
        <v>3910</v>
      </c>
      <c r="B2779" t="s">
        <v>983</v>
      </c>
      <c r="C2779" s="1">
        <v>39015</v>
      </c>
      <c r="D2779">
        <v>1383</v>
      </c>
      <c r="E2779" t="b">
        <v>0</v>
      </c>
      <c r="F2779">
        <v>399</v>
      </c>
      <c r="G2779" t="s">
        <v>2083</v>
      </c>
      <c r="H2779" t="s">
        <v>124</v>
      </c>
      <c r="I2779" t="s">
        <v>2116</v>
      </c>
    </row>
    <row r="2780" spans="1:9" x14ac:dyDescent="0.35">
      <c r="A2780">
        <v>3910</v>
      </c>
      <c r="B2780" t="s">
        <v>983</v>
      </c>
      <c r="C2780" s="1">
        <v>39015</v>
      </c>
      <c r="D2780">
        <v>1383</v>
      </c>
      <c r="E2780" t="b">
        <v>0</v>
      </c>
      <c r="F2780">
        <v>399</v>
      </c>
      <c r="G2780" t="s">
        <v>2083</v>
      </c>
      <c r="H2780" t="s">
        <v>1510</v>
      </c>
      <c r="I2780" t="s">
        <v>2117</v>
      </c>
    </row>
    <row r="2781" spans="1:9" x14ac:dyDescent="0.35">
      <c r="A2781">
        <v>1593500</v>
      </c>
      <c r="B2781" t="s">
        <v>985</v>
      </c>
      <c r="C2781" s="1">
        <v>44575</v>
      </c>
      <c r="D2781">
        <v>1380</v>
      </c>
      <c r="E2781" t="b">
        <v>0</v>
      </c>
      <c r="F2781">
        <v>400</v>
      </c>
      <c r="G2781" t="s">
        <v>53</v>
      </c>
      <c r="H2781" t="s">
        <v>49</v>
      </c>
      <c r="I2781" t="s">
        <v>2116</v>
      </c>
    </row>
    <row r="2782" spans="1:9" x14ac:dyDescent="0.35">
      <c r="A2782">
        <v>1593500</v>
      </c>
      <c r="B2782" t="s">
        <v>985</v>
      </c>
      <c r="C2782" s="1">
        <v>44575</v>
      </c>
      <c r="D2782">
        <v>1380</v>
      </c>
      <c r="E2782" t="b">
        <v>0</v>
      </c>
      <c r="F2782">
        <v>400</v>
      </c>
      <c r="G2782" t="s">
        <v>53</v>
      </c>
      <c r="H2782" t="s">
        <v>792</v>
      </c>
      <c r="I2782" t="s">
        <v>2117</v>
      </c>
    </row>
    <row r="2783" spans="1:9" x14ac:dyDescent="0.35">
      <c r="A2783">
        <v>1593500</v>
      </c>
      <c r="B2783" t="s">
        <v>985</v>
      </c>
      <c r="C2783" s="1">
        <v>44575</v>
      </c>
      <c r="D2783">
        <v>1380</v>
      </c>
      <c r="E2783" t="b">
        <v>0</v>
      </c>
      <c r="F2783">
        <v>400</v>
      </c>
      <c r="G2783" t="s">
        <v>53</v>
      </c>
      <c r="H2783" t="s">
        <v>346</v>
      </c>
      <c r="I2783" t="s">
        <v>2116</v>
      </c>
    </row>
    <row r="2784" spans="1:9" x14ac:dyDescent="0.35">
      <c r="A2784">
        <v>1593500</v>
      </c>
      <c r="B2784" t="s">
        <v>985</v>
      </c>
      <c r="C2784" s="1">
        <v>44575</v>
      </c>
      <c r="D2784">
        <v>1380</v>
      </c>
      <c r="E2784" t="b">
        <v>0</v>
      </c>
      <c r="F2784">
        <v>400</v>
      </c>
      <c r="G2784" t="s">
        <v>53</v>
      </c>
      <c r="H2784" t="s">
        <v>239</v>
      </c>
      <c r="I2784" t="s">
        <v>2117</v>
      </c>
    </row>
    <row r="2785" spans="1:9" x14ac:dyDescent="0.35">
      <c r="A2785">
        <v>1593500</v>
      </c>
      <c r="B2785" t="s">
        <v>985</v>
      </c>
      <c r="C2785" s="1">
        <v>44575</v>
      </c>
      <c r="D2785">
        <v>1380</v>
      </c>
      <c r="E2785" t="b">
        <v>0</v>
      </c>
      <c r="F2785">
        <v>400</v>
      </c>
      <c r="G2785" t="s">
        <v>53</v>
      </c>
      <c r="H2785" t="s">
        <v>132</v>
      </c>
      <c r="I2785" t="s">
        <v>2116</v>
      </c>
    </row>
    <row r="2786" spans="1:9" x14ac:dyDescent="0.35">
      <c r="A2786">
        <v>1593500</v>
      </c>
      <c r="B2786" t="s">
        <v>985</v>
      </c>
      <c r="C2786" s="1">
        <v>44575</v>
      </c>
      <c r="D2786">
        <v>1380</v>
      </c>
      <c r="E2786" t="b">
        <v>0</v>
      </c>
      <c r="F2786">
        <v>400</v>
      </c>
      <c r="G2786" t="s">
        <v>53</v>
      </c>
      <c r="H2786" t="s">
        <v>124</v>
      </c>
      <c r="I2786" t="s">
        <v>2117</v>
      </c>
    </row>
    <row r="2787" spans="1:9" x14ac:dyDescent="0.35">
      <c r="A2787">
        <v>1593500</v>
      </c>
      <c r="B2787" t="s">
        <v>985</v>
      </c>
      <c r="C2787" s="1">
        <v>44575</v>
      </c>
      <c r="D2787">
        <v>1380</v>
      </c>
      <c r="E2787" t="b">
        <v>0</v>
      </c>
      <c r="F2787">
        <v>400</v>
      </c>
      <c r="G2787" t="s">
        <v>53</v>
      </c>
      <c r="H2787" t="s">
        <v>1510</v>
      </c>
      <c r="I2787" t="s">
        <v>2117</v>
      </c>
    </row>
    <row r="2788" spans="1:9" x14ac:dyDescent="0.35">
      <c r="A2788">
        <v>2208920</v>
      </c>
      <c r="B2788" t="s">
        <v>987</v>
      </c>
      <c r="C2788" s="1">
        <v>44901</v>
      </c>
      <c r="D2788">
        <v>1379</v>
      </c>
      <c r="E2788" t="b">
        <v>0</v>
      </c>
      <c r="F2788">
        <v>401</v>
      </c>
      <c r="G2788" t="s">
        <v>133</v>
      </c>
      <c r="H2788" t="s">
        <v>49</v>
      </c>
      <c r="I2788" t="s">
        <v>2116</v>
      </c>
    </row>
    <row r="2789" spans="1:9" x14ac:dyDescent="0.35">
      <c r="A2789">
        <v>2208920</v>
      </c>
      <c r="B2789" t="s">
        <v>987</v>
      </c>
      <c r="C2789" s="1">
        <v>44901</v>
      </c>
      <c r="D2789">
        <v>1379</v>
      </c>
      <c r="E2789" t="b">
        <v>0</v>
      </c>
      <c r="F2789">
        <v>401</v>
      </c>
      <c r="G2789" t="s">
        <v>133</v>
      </c>
      <c r="H2789" t="s">
        <v>792</v>
      </c>
      <c r="I2789" t="s">
        <v>2117</v>
      </c>
    </row>
    <row r="2790" spans="1:9" x14ac:dyDescent="0.35">
      <c r="A2790">
        <v>2208920</v>
      </c>
      <c r="B2790" t="s">
        <v>987</v>
      </c>
      <c r="C2790" s="1">
        <v>44901</v>
      </c>
      <c r="D2790">
        <v>1379</v>
      </c>
      <c r="E2790" t="b">
        <v>0</v>
      </c>
      <c r="F2790">
        <v>401</v>
      </c>
      <c r="G2790" t="s">
        <v>133</v>
      </c>
      <c r="H2790" t="s">
        <v>346</v>
      </c>
      <c r="I2790" t="s">
        <v>2116</v>
      </c>
    </row>
    <row r="2791" spans="1:9" x14ac:dyDescent="0.35">
      <c r="A2791">
        <v>2208920</v>
      </c>
      <c r="B2791" t="s">
        <v>987</v>
      </c>
      <c r="C2791" s="1">
        <v>44901</v>
      </c>
      <c r="D2791">
        <v>1379</v>
      </c>
      <c r="E2791" t="b">
        <v>0</v>
      </c>
      <c r="F2791">
        <v>401</v>
      </c>
      <c r="G2791" t="s">
        <v>133</v>
      </c>
      <c r="H2791" t="s">
        <v>239</v>
      </c>
      <c r="I2791" t="s">
        <v>2117</v>
      </c>
    </row>
    <row r="2792" spans="1:9" x14ac:dyDescent="0.35">
      <c r="A2792">
        <v>2208920</v>
      </c>
      <c r="B2792" t="s">
        <v>987</v>
      </c>
      <c r="C2792" s="1">
        <v>44901</v>
      </c>
      <c r="D2792">
        <v>1379</v>
      </c>
      <c r="E2792" t="b">
        <v>0</v>
      </c>
      <c r="F2792">
        <v>401</v>
      </c>
      <c r="G2792" t="s">
        <v>133</v>
      </c>
      <c r="H2792" t="s">
        <v>132</v>
      </c>
      <c r="I2792" t="s">
        <v>2116</v>
      </c>
    </row>
    <row r="2793" spans="1:9" x14ac:dyDescent="0.35">
      <c r="A2793">
        <v>2208920</v>
      </c>
      <c r="B2793" t="s">
        <v>987</v>
      </c>
      <c r="C2793" s="1">
        <v>44901</v>
      </c>
      <c r="D2793">
        <v>1379</v>
      </c>
      <c r="E2793" t="b">
        <v>0</v>
      </c>
      <c r="F2793">
        <v>401</v>
      </c>
      <c r="G2793" t="s">
        <v>133</v>
      </c>
      <c r="H2793" t="s">
        <v>124</v>
      </c>
      <c r="I2793" t="s">
        <v>2117</v>
      </c>
    </row>
    <row r="2794" spans="1:9" x14ac:dyDescent="0.35">
      <c r="A2794">
        <v>2208920</v>
      </c>
      <c r="B2794" t="s">
        <v>987</v>
      </c>
      <c r="C2794" s="1">
        <v>44901</v>
      </c>
      <c r="D2794">
        <v>1379</v>
      </c>
      <c r="E2794" t="b">
        <v>0</v>
      </c>
      <c r="F2794">
        <v>401</v>
      </c>
      <c r="G2794" t="s">
        <v>133</v>
      </c>
      <c r="H2794" t="s">
        <v>1510</v>
      </c>
      <c r="I2794" t="s">
        <v>2117</v>
      </c>
    </row>
    <row r="2795" spans="1:9" x14ac:dyDescent="0.35">
      <c r="A2795">
        <v>203770</v>
      </c>
      <c r="B2795" t="s">
        <v>989</v>
      </c>
      <c r="C2795" s="1">
        <v>40953</v>
      </c>
      <c r="D2795">
        <v>1373</v>
      </c>
      <c r="E2795" t="b">
        <v>1</v>
      </c>
      <c r="F2795">
        <v>402</v>
      </c>
      <c r="G2795" t="s">
        <v>2084</v>
      </c>
      <c r="H2795" t="s">
        <v>49</v>
      </c>
      <c r="I2795" t="s">
        <v>2117</v>
      </c>
    </row>
    <row r="2796" spans="1:9" x14ac:dyDescent="0.35">
      <c r="A2796">
        <v>203770</v>
      </c>
      <c r="B2796" t="s">
        <v>989</v>
      </c>
      <c r="C2796" s="1">
        <v>40953</v>
      </c>
      <c r="D2796">
        <v>1373</v>
      </c>
      <c r="E2796" t="b">
        <v>1</v>
      </c>
      <c r="F2796">
        <v>402</v>
      </c>
      <c r="G2796" t="s">
        <v>2084</v>
      </c>
      <c r="H2796" t="s">
        <v>792</v>
      </c>
      <c r="I2796" t="s">
        <v>2117</v>
      </c>
    </row>
    <row r="2797" spans="1:9" x14ac:dyDescent="0.35">
      <c r="A2797">
        <v>203770</v>
      </c>
      <c r="B2797" t="s">
        <v>989</v>
      </c>
      <c r="C2797" s="1">
        <v>40953</v>
      </c>
      <c r="D2797">
        <v>1373</v>
      </c>
      <c r="E2797" t="b">
        <v>1</v>
      </c>
      <c r="F2797">
        <v>402</v>
      </c>
      <c r="G2797" t="s">
        <v>2084</v>
      </c>
      <c r="H2797" t="s">
        <v>346</v>
      </c>
      <c r="I2797" t="s">
        <v>2117</v>
      </c>
    </row>
    <row r="2798" spans="1:9" x14ac:dyDescent="0.35">
      <c r="A2798">
        <v>203770</v>
      </c>
      <c r="B2798" t="s">
        <v>989</v>
      </c>
      <c r="C2798" s="1">
        <v>40953</v>
      </c>
      <c r="D2798">
        <v>1373</v>
      </c>
      <c r="E2798" t="b">
        <v>1</v>
      </c>
      <c r="F2798">
        <v>402</v>
      </c>
      <c r="G2798" t="s">
        <v>2084</v>
      </c>
      <c r="H2798" t="s">
        <v>239</v>
      </c>
      <c r="I2798" t="s">
        <v>2116</v>
      </c>
    </row>
    <row r="2799" spans="1:9" x14ac:dyDescent="0.35">
      <c r="A2799">
        <v>203770</v>
      </c>
      <c r="B2799" t="s">
        <v>989</v>
      </c>
      <c r="C2799" s="1">
        <v>40953</v>
      </c>
      <c r="D2799">
        <v>1373</v>
      </c>
      <c r="E2799" t="b">
        <v>1</v>
      </c>
      <c r="F2799">
        <v>402</v>
      </c>
      <c r="G2799" t="s">
        <v>2084</v>
      </c>
      <c r="H2799" t="s">
        <v>132</v>
      </c>
      <c r="I2799" t="s">
        <v>2116</v>
      </c>
    </row>
    <row r="2800" spans="1:9" x14ac:dyDescent="0.35">
      <c r="A2800">
        <v>203770</v>
      </c>
      <c r="B2800" t="s">
        <v>989</v>
      </c>
      <c r="C2800" s="1">
        <v>40953</v>
      </c>
      <c r="D2800">
        <v>1373</v>
      </c>
      <c r="E2800" t="b">
        <v>1</v>
      </c>
      <c r="F2800">
        <v>402</v>
      </c>
      <c r="G2800" t="s">
        <v>2084</v>
      </c>
      <c r="H2800" t="s">
        <v>124</v>
      </c>
      <c r="I2800" t="s">
        <v>2116</v>
      </c>
    </row>
    <row r="2801" spans="1:9" x14ac:dyDescent="0.35">
      <c r="A2801">
        <v>203770</v>
      </c>
      <c r="B2801" t="s">
        <v>989</v>
      </c>
      <c r="C2801" s="1">
        <v>40953</v>
      </c>
      <c r="D2801">
        <v>1373</v>
      </c>
      <c r="E2801" t="b">
        <v>1</v>
      </c>
      <c r="F2801">
        <v>402</v>
      </c>
      <c r="G2801" t="s">
        <v>2084</v>
      </c>
      <c r="H2801" t="s">
        <v>1510</v>
      </c>
      <c r="I2801" t="s">
        <v>2116</v>
      </c>
    </row>
    <row r="2802" spans="1:9" x14ac:dyDescent="0.35">
      <c r="A2802">
        <v>1129580</v>
      </c>
      <c r="B2802" t="s">
        <v>992</v>
      </c>
      <c r="C2802" s="1">
        <v>44462</v>
      </c>
      <c r="D2802">
        <v>1366</v>
      </c>
      <c r="E2802" t="b">
        <v>0</v>
      </c>
      <c r="F2802">
        <v>403</v>
      </c>
      <c r="G2802" t="s">
        <v>175</v>
      </c>
      <c r="H2802" t="s">
        <v>49</v>
      </c>
      <c r="I2802" t="s">
        <v>2116</v>
      </c>
    </row>
    <row r="2803" spans="1:9" x14ac:dyDescent="0.35">
      <c r="A2803">
        <v>1129580</v>
      </c>
      <c r="B2803" t="s">
        <v>992</v>
      </c>
      <c r="C2803" s="1">
        <v>44462</v>
      </c>
      <c r="D2803">
        <v>1366</v>
      </c>
      <c r="E2803" t="b">
        <v>0</v>
      </c>
      <c r="F2803">
        <v>403</v>
      </c>
      <c r="G2803" t="s">
        <v>175</v>
      </c>
      <c r="H2803" t="s">
        <v>792</v>
      </c>
      <c r="I2803" t="s">
        <v>2116</v>
      </c>
    </row>
    <row r="2804" spans="1:9" x14ac:dyDescent="0.35">
      <c r="A2804">
        <v>1129580</v>
      </c>
      <c r="B2804" t="s">
        <v>992</v>
      </c>
      <c r="C2804" s="1">
        <v>44462</v>
      </c>
      <c r="D2804">
        <v>1366</v>
      </c>
      <c r="E2804" t="b">
        <v>0</v>
      </c>
      <c r="F2804">
        <v>403</v>
      </c>
      <c r="G2804" t="s">
        <v>175</v>
      </c>
      <c r="H2804" t="s">
        <v>346</v>
      </c>
      <c r="I2804" t="s">
        <v>2116</v>
      </c>
    </row>
    <row r="2805" spans="1:9" x14ac:dyDescent="0.35">
      <c r="A2805">
        <v>1129580</v>
      </c>
      <c r="B2805" t="s">
        <v>992</v>
      </c>
      <c r="C2805" s="1">
        <v>44462</v>
      </c>
      <c r="D2805">
        <v>1366</v>
      </c>
      <c r="E2805" t="b">
        <v>0</v>
      </c>
      <c r="F2805">
        <v>403</v>
      </c>
      <c r="G2805" t="s">
        <v>175</v>
      </c>
      <c r="H2805" t="s">
        <v>239</v>
      </c>
      <c r="I2805" t="s">
        <v>2116</v>
      </c>
    </row>
    <row r="2806" spans="1:9" x14ac:dyDescent="0.35">
      <c r="A2806">
        <v>1129580</v>
      </c>
      <c r="B2806" t="s">
        <v>992</v>
      </c>
      <c r="C2806" s="1">
        <v>44462</v>
      </c>
      <c r="D2806">
        <v>1366</v>
      </c>
      <c r="E2806" t="b">
        <v>0</v>
      </c>
      <c r="F2806">
        <v>403</v>
      </c>
      <c r="G2806" t="s">
        <v>175</v>
      </c>
      <c r="H2806" t="s">
        <v>132</v>
      </c>
      <c r="I2806" t="s">
        <v>2116</v>
      </c>
    </row>
    <row r="2807" spans="1:9" x14ac:dyDescent="0.35">
      <c r="A2807">
        <v>1129580</v>
      </c>
      <c r="B2807" t="s">
        <v>992</v>
      </c>
      <c r="C2807" s="1">
        <v>44462</v>
      </c>
      <c r="D2807">
        <v>1366</v>
      </c>
      <c r="E2807" t="b">
        <v>0</v>
      </c>
      <c r="F2807">
        <v>403</v>
      </c>
      <c r="G2807" t="s">
        <v>175</v>
      </c>
      <c r="H2807" t="s">
        <v>124</v>
      </c>
      <c r="I2807" t="s">
        <v>2117</v>
      </c>
    </row>
    <row r="2808" spans="1:9" x14ac:dyDescent="0.35">
      <c r="A2808">
        <v>1129580</v>
      </c>
      <c r="B2808" t="s">
        <v>992</v>
      </c>
      <c r="C2808" s="1">
        <v>44462</v>
      </c>
      <c r="D2808">
        <v>1366</v>
      </c>
      <c r="E2808" t="b">
        <v>0</v>
      </c>
      <c r="F2808">
        <v>403</v>
      </c>
      <c r="G2808" t="s">
        <v>175</v>
      </c>
      <c r="H2808" t="s">
        <v>1510</v>
      </c>
      <c r="I2808" t="s">
        <v>2117</v>
      </c>
    </row>
    <row r="2809" spans="1:9" x14ac:dyDescent="0.35">
      <c r="A2809">
        <v>1627720</v>
      </c>
      <c r="B2809" t="s">
        <v>994</v>
      </c>
      <c r="C2809" s="1">
        <v>45187</v>
      </c>
      <c r="D2809">
        <v>1363</v>
      </c>
      <c r="E2809" t="b">
        <v>1</v>
      </c>
      <c r="F2809">
        <v>404</v>
      </c>
      <c r="G2809" t="s">
        <v>996</v>
      </c>
      <c r="H2809" t="s">
        <v>49</v>
      </c>
      <c r="I2809" t="s">
        <v>2116</v>
      </c>
    </row>
    <row r="2810" spans="1:9" x14ac:dyDescent="0.35">
      <c r="A2810">
        <v>1627720</v>
      </c>
      <c r="B2810" t="s">
        <v>994</v>
      </c>
      <c r="C2810" s="1">
        <v>45187</v>
      </c>
      <c r="D2810">
        <v>1363</v>
      </c>
      <c r="E2810" t="b">
        <v>1</v>
      </c>
      <c r="F2810">
        <v>404</v>
      </c>
      <c r="G2810" t="s">
        <v>996</v>
      </c>
      <c r="H2810" t="s">
        <v>792</v>
      </c>
      <c r="I2810" t="s">
        <v>2117</v>
      </c>
    </row>
    <row r="2811" spans="1:9" x14ac:dyDescent="0.35">
      <c r="A2811">
        <v>1627720</v>
      </c>
      <c r="B2811" t="s">
        <v>994</v>
      </c>
      <c r="C2811" s="1">
        <v>45187</v>
      </c>
      <c r="D2811">
        <v>1363</v>
      </c>
      <c r="E2811" t="b">
        <v>1</v>
      </c>
      <c r="F2811">
        <v>404</v>
      </c>
      <c r="G2811" t="s">
        <v>996</v>
      </c>
      <c r="H2811" t="s">
        <v>346</v>
      </c>
      <c r="I2811" t="s">
        <v>2116</v>
      </c>
    </row>
    <row r="2812" spans="1:9" x14ac:dyDescent="0.35">
      <c r="A2812">
        <v>1627720</v>
      </c>
      <c r="B2812" t="s">
        <v>994</v>
      </c>
      <c r="C2812" s="1">
        <v>45187</v>
      </c>
      <c r="D2812">
        <v>1363</v>
      </c>
      <c r="E2812" t="b">
        <v>1</v>
      </c>
      <c r="F2812">
        <v>404</v>
      </c>
      <c r="G2812" t="s">
        <v>996</v>
      </c>
      <c r="H2812" t="s">
        <v>239</v>
      </c>
      <c r="I2812" t="s">
        <v>2117</v>
      </c>
    </row>
    <row r="2813" spans="1:9" x14ac:dyDescent="0.35">
      <c r="A2813">
        <v>1627720</v>
      </c>
      <c r="B2813" t="s">
        <v>994</v>
      </c>
      <c r="C2813" s="1">
        <v>45187</v>
      </c>
      <c r="D2813">
        <v>1363</v>
      </c>
      <c r="E2813" t="b">
        <v>1</v>
      </c>
      <c r="F2813">
        <v>404</v>
      </c>
      <c r="G2813" t="s">
        <v>996</v>
      </c>
      <c r="H2813" t="s">
        <v>132</v>
      </c>
      <c r="I2813" t="s">
        <v>2116</v>
      </c>
    </row>
    <row r="2814" spans="1:9" x14ac:dyDescent="0.35">
      <c r="A2814">
        <v>1627720</v>
      </c>
      <c r="B2814" t="s">
        <v>994</v>
      </c>
      <c r="C2814" s="1">
        <v>45187</v>
      </c>
      <c r="D2814">
        <v>1363</v>
      </c>
      <c r="E2814" t="b">
        <v>1</v>
      </c>
      <c r="F2814">
        <v>404</v>
      </c>
      <c r="G2814" t="s">
        <v>996</v>
      </c>
      <c r="H2814" t="s">
        <v>124</v>
      </c>
      <c r="I2814" t="s">
        <v>2117</v>
      </c>
    </row>
    <row r="2815" spans="1:9" x14ac:dyDescent="0.35">
      <c r="A2815">
        <v>1627720</v>
      </c>
      <c r="B2815" t="s">
        <v>994</v>
      </c>
      <c r="C2815" s="1">
        <v>45187</v>
      </c>
      <c r="D2815">
        <v>1363</v>
      </c>
      <c r="E2815" t="b">
        <v>1</v>
      </c>
      <c r="F2815">
        <v>404</v>
      </c>
      <c r="G2815" t="s">
        <v>996</v>
      </c>
      <c r="H2815" t="s">
        <v>1510</v>
      </c>
      <c r="I2815" t="s">
        <v>2117</v>
      </c>
    </row>
    <row r="2816" spans="1:9" x14ac:dyDescent="0.35">
      <c r="A2816">
        <v>1172380</v>
      </c>
      <c r="B2816" t="s">
        <v>997</v>
      </c>
      <c r="C2816" s="1">
        <v>43783</v>
      </c>
      <c r="D2816">
        <v>1354</v>
      </c>
      <c r="E2816" t="b">
        <v>0</v>
      </c>
      <c r="F2816">
        <v>405</v>
      </c>
      <c r="G2816" t="s">
        <v>25</v>
      </c>
      <c r="H2816" t="s">
        <v>49</v>
      </c>
      <c r="I2816" t="s">
        <v>2116</v>
      </c>
    </row>
    <row r="2817" spans="1:9" x14ac:dyDescent="0.35">
      <c r="A2817">
        <v>1172380</v>
      </c>
      <c r="B2817" t="s">
        <v>997</v>
      </c>
      <c r="C2817" s="1">
        <v>43783</v>
      </c>
      <c r="D2817">
        <v>1354</v>
      </c>
      <c r="E2817" t="b">
        <v>0</v>
      </c>
      <c r="F2817">
        <v>405</v>
      </c>
      <c r="G2817" t="s">
        <v>25</v>
      </c>
      <c r="H2817" t="s">
        <v>792</v>
      </c>
      <c r="I2817" t="s">
        <v>2117</v>
      </c>
    </row>
    <row r="2818" spans="1:9" x14ac:dyDescent="0.35">
      <c r="A2818">
        <v>1172380</v>
      </c>
      <c r="B2818" t="s">
        <v>997</v>
      </c>
      <c r="C2818" s="1">
        <v>43783</v>
      </c>
      <c r="D2818">
        <v>1354</v>
      </c>
      <c r="E2818" t="b">
        <v>0</v>
      </c>
      <c r="F2818">
        <v>405</v>
      </c>
      <c r="G2818" t="s">
        <v>25</v>
      </c>
      <c r="H2818" t="s">
        <v>346</v>
      </c>
      <c r="I2818" t="s">
        <v>2116</v>
      </c>
    </row>
    <row r="2819" spans="1:9" x14ac:dyDescent="0.35">
      <c r="A2819">
        <v>1172380</v>
      </c>
      <c r="B2819" t="s">
        <v>997</v>
      </c>
      <c r="C2819" s="1">
        <v>43783</v>
      </c>
      <c r="D2819">
        <v>1354</v>
      </c>
      <c r="E2819" t="b">
        <v>0</v>
      </c>
      <c r="F2819">
        <v>405</v>
      </c>
      <c r="G2819" t="s">
        <v>25</v>
      </c>
      <c r="H2819" t="s">
        <v>239</v>
      </c>
      <c r="I2819" t="s">
        <v>2117</v>
      </c>
    </row>
    <row r="2820" spans="1:9" x14ac:dyDescent="0.35">
      <c r="A2820">
        <v>1172380</v>
      </c>
      <c r="B2820" t="s">
        <v>997</v>
      </c>
      <c r="C2820" s="1">
        <v>43783</v>
      </c>
      <c r="D2820">
        <v>1354</v>
      </c>
      <c r="E2820" t="b">
        <v>0</v>
      </c>
      <c r="F2820">
        <v>405</v>
      </c>
      <c r="G2820" t="s">
        <v>25</v>
      </c>
      <c r="H2820" t="s">
        <v>132</v>
      </c>
      <c r="I2820" t="s">
        <v>2117</v>
      </c>
    </row>
    <row r="2821" spans="1:9" x14ac:dyDescent="0.35">
      <c r="A2821">
        <v>1172380</v>
      </c>
      <c r="B2821" t="s">
        <v>997</v>
      </c>
      <c r="C2821" s="1">
        <v>43783</v>
      </c>
      <c r="D2821">
        <v>1354</v>
      </c>
      <c r="E2821" t="b">
        <v>0</v>
      </c>
      <c r="F2821">
        <v>405</v>
      </c>
      <c r="G2821" t="s">
        <v>25</v>
      </c>
      <c r="H2821" t="s">
        <v>124</v>
      </c>
      <c r="I2821" t="s">
        <v>2117</v>
      </c>
    </row>
    <row r="2822" spans="1:9" x14ac:dyDescent="0.35">
      <c r="A2822">
        <v>1172380</v>
      </c>
      <c r="B2822" t="s">
        <v>997</v>
      </c>
      <c r="C2822" s="1">
        <v>43783</v>
      </c>
      <c r="D2822">
        <v>1354</v>
      </c>
      <c r="E2822" t="b">
        <v>0</v>
      </c>
      <c r="F2822">
        <v>405</v>
      </c>
      <c r="G2822" t="s">
        <v>25</v>
      </c>
      <c r="H2822" t="s">
        <v>1510</v>
      </c>
      <c r="I2822" t="s">
        <v>2117</v>
      </c>
    </row>
    <row r="2823" spans="1:9" x14ac:dyDescent="0.35">
      <c r="A2823">
        <v>1201240</v>
      </c>
      <c r="B2823" t="s">
        <v>999</v>
      </c>
      <c r="C2823" s="1">
        <v>44060</v>
      </c>
      <c r="D2823">
        <v>1349</v>
      </c>
      <c r="E2823" t="b">
        <v>0</v>
      </c>
      <c r="F2823">
        <v>406</v>
      </c>
      <c r="G2823" t="s">
        <v>40</v>
      </c>
      <c r="H2823" t="s">
        <v>49</v>
      </c>
      <c r="I2823" t="s">
        <v>2116</v>
      </c>
    </row>
    <row r="2824" spans="1:9" x14ac:dyDescent="0.35">
      <c r="A2824">
        <v>1201240</v>
      </c>
      <c r="B2824" t="s">
        <v>999</v>
      </c>
      <c r="C2824" s="1">
        <v>44060</v>
      </c>
      <c r="D2824">
        <v>1349</v>
      </c>
      <c r="E2824" t="b">
        <v>0</v>
      </c>
      <c r="F2824">
        <v>406</v>
      </c>
      <c r="G2824" t="s">
        <v>40</v>
      </c>
      <c r="H2824" t="s">
        <v>792</v>
      </c>
      <c r="I2824" t="s">
        <v>2117</v>
      </c>
    </row>
    <row r="2825" spans="1:9" x14ac:dyDescent="0.35">
      <c r="A2825">
        <v>1201240</v>
      </c>
      <c r="B2825" t="s">
        <v>999</v>
      </c>
      <c r="C2825" s="1">
        <v>44060</v>
      </c>
      <c r="D2825">
        <v>1349</v>
      </c>
      <c r="E2825" t="b">
        <v>0</v>
      </c>
      <c r="F2825">
        <v>406</v>
      </c>
      <c r="G2825" t="s">
        <v>40</v>
      </c>
      <c r="H2825" t="s">
        <v>346</v>
      </c>
      <c r="I2825" t="s">
        <v>2117</v>
      </c>
    </row>
    <row r="2826" spans="1:9" x14ac:dyDescent="0.35">
      <c r="A2826">
        <v>1201240</v>
      </c>
      <c r="B2826" t="s">
        <v>999</v>
      </c>
      <c r="C2826" s="1">
        <v>44060</v>
      </c>
      <c r="D2826">
        <v>1349</v>
      </c>
      <c r="E2826" t="b">
        <v>0</v>
      </c>
      <c r="F2826">
        <v>406</v>
      </c>
      <c r="G2826" t="s">
        <v>40</v>
      </c>
      <c r="H2826" t="s">
        <v>239</v>
      </c>
      <c r="I2826" t="s">
        <v>2117</v>
      </c>
    </row>
    <row r="2827" spans="1:9" x14ac:dyDescent="0.35">
      <c r="A2827">
        <v>1201240</v>
      </c>
      <c r="B2827" t="s">
        <v>999</v>
      </c>
      <c r="C2827" s="1">
        <v>44060</v>
      </c>
      <c r="D2827">
        <v>1349</v>
      </c>
      <c r="E2827" t="b">
        <v>0</v>
      </c>
      <c r="F2827">
        <v>406</v>
      </c>
      <c r="G2827" t="s">
        <v>40</v>
      </c>
      <c r="H2827" t="s">
        <v>132</v>
      </c>
      <c r="I2827" t="s">
        <v>2116</v>
      </c>
    </row>
    <row r="2828" spans="1:9" x14ac:dyDescent="0.35">
      <c r="A2828">
        <v>1201240</v>
      </c>
      <c r="B2828" t="s">
        <v>999</v>
      </c>
      <c r="C2828" s="1">
        <v>44060</v>
      </c>
      <c r="D2828">
        <v>1349</v>
      </c>
      <c r="E2828" t="b">
        <v>0</v>
      </c>
      <c r="F2828">
        <v>406</v>
      </c>
      <c r="G2828" t="s">
        <v>40</v>
      </c>
      <c r="H2828" t="s">
        <v>124</v>
      </c>
      <c r="I2828" t="s">
        <v>2117</v>
      </c>
    </row>
    <row r="2829" spans="1:9" x14ac:dyDescent="0.35">
      <c r="A2829">
        <v>1201240</v>
      </c>
      <c r="B2829" t="s">
        <v>999</v>
      </c>
      <c r="C2829" s="1">
        <v>44060</v>
      </c>
      <c r="D2829">
        <v>1349</v>
      </c>
      <c r="E2829" t="b">
        <v>0</v>
      </c>
      <c r="F2829">
        <v>406</v>
      </c>
      <c r="G2829" t="s">
        <v>40</v>
      </c>
      <c r="H2829" t="s">
        <v>1510</v>
      </c>
      <c r="I2829" t="s">
        <v>2116</v>
      </c>
    </row>
    <row r="2830" spans="1:9" x14ac:dyDescent="0.35">
      <c r="A2830">
        <v>2651280</v>
      </c>
      <c r="B2830" t="s">
        <v>1002</v>
      </c>
      <c r="C2830" s="1">
        <v>45687</v>
      </c>
      <c r="D2830">
        <v>1348</v>
      </c>
      <c r="E2830" t="b">
        <v>0</v>
      </c>
      <c r="F2830">
        <v>407</v>
      </c>
      <c r="G2830" t="s">
        <v>29</v>
      </c>
      <c r="H2830" t="s">
        <v>49</v>
      </c>
      <c r="I2830" t="s">
        <v>2116</v>
      </c>
    </row>
    <row r="2831" spans="1:9" x14ac:dyDescent="0.35">
      <c r="A2831">
        <v>2651280</v>
      </c>
      <c r="B2831" t="s">
        <v>1002</v>
      </c>
      <c r="C2831" s="1">
        <v>45687</v>
      </c>
      <c r="D2831">
        <v>1348</v>
      </c>
      <c r="E2831" t="b">
        <v>0</v>
      </c>
      <c r="F2831">
        <v>407</v>
      </c>
      <c r="G2831" t="s">
        <v>29</v>
      </c>
      <c r="H2831" t="s">
        <v>792</v>
      </c>
      <c r="I2831" t="s">
        <v>2117</v>
      </c>
    </row>
    <row r="2832" spans="1:9" x14ac:dyDescent="0.35">
      <c r="A2832">
        <v>2651280</v>
      </c>
      <c r="B2832" t="s">
        <v>1002</v>
      </c>
      <c r="C2832" s="1">
        <v>45687</v>
      </c>
      <c r="D2832">
        <v>1348</v>
      </c>
      <c r="E2832" t="b">
        <v>0</v>
      </c>
      <c r="F2832">
        <v>407</v>
      </c>
      <c r="G2832" t="s">
        <v>29</v>
      </c>
      <c r="H2832" t="s">
        <v>346</v>
      </c>
      <c r="I2832" t="s">
        <v>2116</v>
      </c>
    </row>
    <row r="2833" spans="1:9" x14ac:dyDescent="0.35">
      <c r="A2833">
        <v>2651280</v>
      </c>
      <c r="B2833" t="s">
        <v>1002</v>
      </c>
      <c r="C2833" s="1">
        <v>45687</v>
      </c>
      <c r="D2833">
        <v>1348</v>
      </c>
      <c r="E2833" t="b">
        <v>0</v>
      </c>
      <c r="F2833">
        <v>407</v>
      </c>
      <c r="G2833" t="s">
        <v>29</v>
      </c>
      <c r="H2833" t="s">
        <v>239</v>
      </c>
      <c r="I2833" t="s">
        <v>2117</v>
      </c>
    </row>
    <row r="2834" spans="1:9" x14ac:dyDescent="0.35">
      <c r="A2834">
        <v>2651280</v>
      </c>
      <c r="B2834" t="s">
        <v>1002</v>
      </c>
      <c r="C2834" s="1">
        <v>45687</v>
      </c>
      <c r="D2834">
        <v>1348</v>
      </c>
      <c r="E2834" t="b">
        <v>0</v>
      </c>
      <c r="F2834">
        <v>407</v>
      </c>
      <c r="G2834" t="s">
        <v>29</v>
      </c>
      <c r="H2834" t="s">
        <v>132</v>
      </c>
      <c r="I2834" t="s">
        <v>2117</v>
      </c>
    </row>
    <row r="2835" spans="1:9" x14ac:dyDescent="0.35">
      <c r="A2835">
        <v>2651280</v>
      </c>
      <c r="B2835" t="s">
        <v>1002</v>
      </c>
      <c r="C2835" s="1">
        <v>45687</v>
      </c>
      <c r="D2835">
        <v>1348</v>
      </c>
      <c r="E2835" t="b">
        <v>0</v>
      </c>
      <c r="F2835">
        <v>407</v>
      </c>
      <c r="G2835" t="s">
        <v>29</v>
      </c>
      <c r="H2835" t="s">
        <v>124</v>
      </c>
      <c r="I2835" t="s">
        <v>2117</v>
      </c>
    </row>
    <row r="2836" spans="1:9" x14ac:dyDescent="0.35">
      <c r="A2836">
        <v>2651280</v>
      </c>
      <c r="B2836" t="s">
        <v>1002</v>
      </c>
      <c r="C2836" s="1">
        <v>45687</v>
      </c>
      <c r="D2836">
        <v>1348</v>
      </c>
      <c r="E2836" t="b">
        <v>0</v>
      </c>
      <c r="F2836">
        <v>407</v>
      </c>
      <c r="G2836" t="s">
        <v>29</v>
      </c>
      <c r="H2836" t="s">
        <v>1510</v>
      </c>
      <c r="I2836" t="s">
        <v>2117</v>
      </c>
    </row>
    <row r="2837" spans="1:9" x14ac:dyDescent="0.35">
      <c r="A2837">
        <v>1190000</v>
      </c>
      <c r="B2837" t="s">
        <v>1003</v>
      </c>
      <c r="C2837" s="1">
        <v>44419</v>
      </c>
      <c r="D2837">
        <v>1343</v>
      </c>
      <c r="E2837" t="b">
        <v>0</v>
      </c>
      <c r="F2837">
        <v>408</v>
      </c>
      <c r="G2837" t="s">
        <v>25</v>
      </c>
      <c r="H2837" t="s">
        <v>49</v>
      </c>
      <c r="I2837" t="s">
        <v>2117</v>
      </c>
    </row>
    <row r="2838" spans="1:9" x14ac:dyDescent="0.35">
      <c r="A2838">
        <v>1190000</v>
      </c>
      <c r="B2838" t="s">
        <v>1003</v>
      </c>
      <c r="C2838" s="1">
        <v>44419</v>
      </c>
      <c r="D2838">
        <v>1343</v>
      </c>
      <c r="E2838" t="b">
        <v>0</v>
      </c>
      <c r="F2838">
        <v>408</v>
      </c>
      <c r="G2838" t="s">
        <v>25</v>
      </c>
      <c r="H2838" t="s">
        <v>792</v>
      </c>
      <c r="I2838" t="s">
        <v>2117</v>
      </c>
    </row>
    <row r="2839" spans="1:9" x14ac:dyDescent="0.35">
      <c r="A2839">
        <v>1190000</v>
      </c>
      <c r="B2839" t="s">
        <v>1003</v>
      </c>
      <c r="C2839" s="1">
        <v>44419</v>
      </c>
      <c r="D2839">
        <v>1343</v>
      </c>
      <c r="E2839" t="b">
        <v>0</v>
      </c>
      <c r="F2839">
        <v>408</v>
      </c>
      <c r="G2839" t="s">
        <v>25</v>
      </c>
      <c r="H2839" t="s">
        <v>346</v>
      </c>
      <c r="I2839" t="s">
        <v>2117</v>
      </c>
    </row>
    <row r="2840" spans="1:9" x14ac:dyDescent="0.35">
      <c r="A2840">
        <v>1190000</v>
      </c>
      <c r="B2840" t="s">
        <v>1003</v>
      </c>
      <c r="C2840" s="1">
        <v>44419</v>
      </c>
      <c r="D2840">
        <v>1343</v>
      </c>
      <c r="E2840" t="b">
        <v>0</v>
      </c>
      <c r="F2840">
        <v>408</v>
      </c>
      <c r="G2840" t="s">
        <v>25</v>
      </c>
      <c r="H2840" t="s">
        <v>239</v>
      </c>
      <c r="I2840" t="s">
        <v>2116</v>
      </c>
    </row>
    <row r="2841" spans="1:9" x14ac:dyDescent="0.35">
      <c r="A2841">
        <v>1190000</v>
      </c>
      <c r="B2841" t="s">
        <v>1003</v>
      </c>
      <c r="C2841" s="1">
        <v>44419</v>
      </c>
      <c r="D2841">
        <v>1343</v>
      </c>
      <c r="E2841" t="b">
        <v>0</v>
      </c>
      <c r="F2841">
        <v>408</v>
      </c>
      <c r="G2841" t="s">
        <v>25</v>
      </c>
      <c r="H2841" t="s">
        <v>132</v>
      </c>
      <c r="I2841" t="s">
        <v>2117</v>
      </c>
    </row>
    <row r="2842" spans="1:9" x14ac:dyDescent="0.35">
      <c r="A2842">
        <v>1190000</v>
      </c>
      <c r="B2842" t="s">
        <v>1003</v>
      </c>
      <c r="C2842" s="1">
        <v>44419</v>
      </c>
      <c r="D2842">
        <v>1343</v>
      </c>
      <c r="E2842" t="b">
        <v>0</v>
      </c>
      <c r="F2842">
        <v>408</v>
      </c>
      <c r="G2842" t="s">
        <v>25</v>
      </c>
      <c r="H2842" t="s">
        <v>124</v>
      </c>
      <c r="I2842" t="s">
        <v>2117</v>
      </c>
    </row>
    <row r="2843" spans="1:9" x14ac:dyDescent="0.35">
      <c r="A2843">
        <v>1190000</v>
      </c>
      <c r="B2843" t="s">
        <v>1003</v>
      </c>
      <c r="C2843" s="1">
        <v>44419</v>
      </c>
      <c r="D2843">
        <v>1343</v>
      </c>
      <c r="E2843" t="b">
        <v>0</v>
      </c>
      <c r="F2843">
        <v>408</v>
      </c>
      <c r="G2843" t="s">
        <v>25</v>
      </c>
      <c r="H2843" t="s">
        <v>1510</v>
      </c>
      <c r="I2843" t="s">
        <v>2117</v>
      </c>
    </row>
    <row r="2844" spans="1:9" x14ac:dyDescent="0.35">
      <c r="A2844">
        <v>287700</v>
      </c>
      <c r="B2844" t="s">
        <v>1006</v>
      </c>
      <c r="C2844" s="1">
        <v>42248</v>
      </c>
      <c r="D2844">
        <v>1333</v>
      </c>
      <c r="E2844" t="b">
        <v>0</v>
      </c>
      <c r="F2844">
        <v>409</v>
      </c>
      <c r="G2844" t="s">
        <v>2087</v>
      </c>
      <c r="H2844" t="s">
        <v>49</v>
      </c>
      <c r="I2844" t="s">
        <v>2116</v>
      </c>
    </row>
    <row r="2845" spans="1:9" x14ac:dyDescent="0.35">
      <c r="A2845">
        <v>287700</v>
      </c>
      <c r="B2845" t="s">
        <v>1006</v>
      </c>
      <c r="C2845" s="1">
        <v>42248</v>
      </c>
      <c r="D2845">
        <v>1333</v>
      </c>
      <c r="E2845" t="b">
        <v>0</v>
      </c>
      <c r="F2845">
        <v>409</v>
      </c>
      <c r="G2845" t="s">
        <v>2087</v>
      </c>
      <c r="H2845" t="s">
        <v>792</v>
      </c>
      <c r="I2845" t="s">
        <v>2117</v>
      </c>
    </row>
    <row r="2846" spans="1:9" x14ac:dyDescent="0.35">
      <c r="A2846">
        <v>287700</v>
      </c>
      <c r="B2846" t="s">
        <v>1006</v>
      </c>
      <c r="C2846" s="1">
        <v>42248</v>
      </c>
      <c r="D2846">
        <v>1333</v>
      </c>
      <c r="E2846" t="b">
        <v>0</v>
      </c>
      <c r="F2846">
        <v>409</v>
      </c>
      <c r="G2846" t="s">
        <v>2087</v>
      </c>
      <c r="H2846" t="s">
        <v>346</v>
      </c>
      <c r="I2846" t="s">
        <v>2116</v>
      </c>
    </row>
    <row r="2847" spans="1:9" x14ac:dyDescent="0.35">
      <c r="A2847">
        <v>287700</v>
      </c>
      <c r="B2847" t="s">
        <v>1006</v>
      </c>
      <c r="C2847" s="1">
        <v>42248</v>
      </c>
      <c r="D2847">
        <v>1333</v>
      </c>
      <c r="E2847" t="b">
        <v>0</v>
      </c>
      <c r="F2847">
        <v>409</v>
      </c>
      <c r="G2847" t="s">
        <v>2087</v>
      </c>
      <c r="H2847" t="s">
        <v>239</v>
      </c>
      <c r="I2847" t="s">
        <v>2117</v>
      </c>
    </row>
    <row r="2848" spans="1:9" x14ac:dyDescent="0.35">
      <c r="A2848">
        <v>287700</v>
      </c>
      <c r="B2848" t="s">
        <v>1006</v>
      </c>
      <c r="C2848" s="1">
        <v>42248</v>
      </c>
      <c r="D2848">
        <v>1333</v>
      </c>
      <c r="E2848" t="b">
        <v>0</v>
      </c>
      <c r="F2848">
        <v>409</v>
      </c>
      <c r="G2848" t="s">
        <v>2087</v>
      </c>
      <c r="H2848" t="s">
        <v>132</v>
      </c>
      <c r="I2848" t="s">
        <v>2117</v>
      </c>
    </row>
    <row r="2849" spans="1:9" x14ac:dyDescent="0.35">
      <c r="A2849">
        <v>287700</v>
      </c>
      <c r="B2849" t="s">
        <v>1006</v>
      </c>
      <c r="C2849" s="1">
        <v>42248</v>
      </c>
      <c r="D2849">
        <v>1333</v>
      </c>
      <c r="E2849" t="b">
        <v>0</v>
      </c>
      <c r="F2849">
        <v>409</v>
      </c>
      <c r="G2849" t="s">
        <v>2087</v>
      </c>
      <c r="H2849" t="s">
        <v>124</v>
      </c>
      <c r="I2849" t="s">
        <v>2117</v>
      </c>
    </row>
    <row r="2850" spans="1:9" x14ac:dyDescent="0.35">
      <c r="A2850">
        <v>287700</v>
      </c>
      <c r="B2850" t="s">
        <v>1006</v>
      </c>
      <c r="C2850" s="1">
        <v>42248</v>
      </c>
      <c r="D2850">
        <v>1333</v>
      </c>
      <c r="E2850" t="b">
        <v>0</v>
      </c>
      <c r="F2850">
        <v>409</v>
      </c>
      <c r="G2850" t="s">
        <v>2087</v>
      </c>
      <c r="H2850" t="s">
        <v>1510</v>
      </c>
      <c r="I2850" t="s">
        <v>2117</v>
      </c>
    </row>
    <row r="2851" spans="1:9" x14ac:dyDescent="0.35">
      <c r="A2851">
        <v>1158160</v>
      </c>
      <c r="B2851" t="s">
        <v>1008</v>
      </c>
      <c r="C2851" s="1">
        <v>45244</v>
      </c>
      <c r="D2851">
        <v>1328</v>
      </c>
      <c r="E2851" t="b">
        <v>0</v>
      </c>
      <c r="F2851">
        <v>410</v>
      </c>
      <c r="G2851" t="s">
        <v>133</v>
      </c>
      <c r="H2851" t="s">
        <v>49</v>
      </c>
      <c r="I2851" t="s">
        <v>2117</v>
      </c>
    </row>
    <row r="2852" spans="1:9" x14ac:dyDescent="0.35">
      <c r="A2852">
        <v>1158160</v>
      </c>
      <c r="B2852" t="s">
        <v>1008</v>
      </c>
      <c r="C2852" s="1">
        <v>45244</v>
      </c>
      <c r="D2852">
        <v>1328</v>
      </c>
      <c r="E2852" t="b">
        <v>0</v>
      </c>
      <c r="F2852">
        <v>410</v>
      </c>
      <c r="G2852" t="s">
        <v>133</v>
      </c>
      <c r="H2852" t="s">
        <v>792</v>
      </c>
      <c r="I2852" t="s">
        <v>2116</v>
      </c>
    </row>
    <row r="2853" spans="1:9" x14ac:dyDescent="0.35">
      <c r="A2853">
        <v>1158160</v>
      </c>
      <c r="B2853" t="s">
        <v>1008</v>
      </c>
      <c r="C2853" s="1">
        <v>45244</v>
      </c>
      <c r="D2853">
        <v>1328</v>
      </c>
      <c r="E2853" t="b">
        <v>0</v>
      </c>
      <c r="F2853">
        <v>410</v>
      </c>
      <c r="G2853" t="s">
        <v>133</v>
      </c>
      <c r="H2853" t="s">
        <v>346</v>
      </c>
      <c r="I2853" t="s">
        <v>2116</v>
      </c>
    </row>
    <row r="2854" spans="1:9" x14ac:dyDescent="0.35">
      <c r="A2854">
        <v>1158160</v>
      </c>
      <c r="B2854" t="s">
        <v>1008</v>
      </c>
      <c r="C2854" s="1">
        <v>45244</v>
      </c>
      <c r="D2854">
        <v>1328</v>
      </c>
      <c r="E2854" t="b">
        <v>0</v>
      </c>
      <c r="F2854">
        <v>410</v>
      </c>
      <c r="G2854" t="s">
        <v>133</v>
      </c>
      <c r="H2854" t="s">
        <v>239</v>
      </c>
      <c r="I2854" t="s">
        <v>2116</v>
      </c>
    </row>
    <row r="2855" spans="1:9" x14ac:dyDescent="0.35">
      <c r="A2855">
        <v>1158160</v>
      </c>
      <c r="B2855" t="s">
        <v>1008</v>
      </c>
      <c r="C2855" s="1">
        <v>45244</v>
      </c>
      <c r="D2855">
        <v>1328</v>
      </c>
      <c r="E2855" t="b">
        <v>0</v>
      </c>
      <c r="F2855">
        <v>410</v>
      </c>
      <c r="G2855" t="s">
        <v>133</v>
      </c>
      <c r="H2855" t="s">
        <v>132</v>
      </c>
      <c r="I2855" t="s">
        <v>2116</v>
      </c>
    </row>
    <row r="2856" spans="1:9" x14ac:dyDescent="0.35">
      <c r="A2856">
        <v>1158160</v>
      </c>
      <c r="B2856" t="s">
        <v>1008</v>
      </c>
      <c r="C2856" s="1">
        <v>45244</v>
      </c>
      <c r="D2856">
        <v>1328</v>
      </c>
      <c r="E2856" t="b">
        <v>0</v>
      </c>
      <c r="F2856">
        <v>410</v>
      </c>
      <c r="G2856" t="s">
        <v>133</v>
      </c>
      <c r="H2856" t="s">
        <v>124</v>
      </c>
      <c r="I2856" t="s">
        <v>2116</v>
      </c>
    </row>
    <row r="2857" spans="1:9" x14ac:dyDescent="0.35">
      <c r="A2857">
        <v>1158160</v>
      </c>
      <c r="B2857" t="s">
        <v>1008</v>
      </c>
      <c r="C2857" s="1">
        <v>45244</v>
      </c>
      <c r="D2857">
        <v>1328</v>
      </c>
      <c r="E2857" t="b">
        <v>0</v>
      </c>
      <c r="F2857">
        <v>410</v>
      </c>
      <c r="G2857" t="s">
        <v>133</v>
      </c>
      <c r="H2857" t="s">
        <v>1510</v>
      </c>
      <c r="I2857" t="s">
        <v>2117</v>
      </c>
    </row>
    <row r="2858" spans="1:9" x14ac:dyDescent="0.35">
      <c r="A2858">
        <v>489630</v>
      </c>
      <c r="B2858" t="s">
        <v>1010</v>
      </c>
      <c r="C2858" s="1">
        <v>43293</v>
      </c>
      <c r="D2858">
        <v>1326</v>
      </c>
      <c r="E2858" t="b">
        <v>0</v>
      </c>
      <c r="F2858">
        <v>411</v>
      </c>
      <c r="G2858" t="s">
        <v>293</v>
      </c>
      <c r="H2858" t="s">
        <v>49</v>
      </c>
      <c r="I2858" t="s">
        <v>2117</v>
      </c>
    </row>
    <row r="2859" spans="1:9" x14ac:dyDescent="0.35">
      <c r="A2859">
        <v>489630</v>
      </c>
      <c r="B2859" t="s">
        <v>1010</v>
      </c>
      <c r="C2859" s="1">
        <v>43293</v>
      </c>
      <c r="D2859">
        <v>1326</v>
      </c>
      <c r="E2859" t="b">
        <v>0</v>
      </c>
      <c r="F2859">
        <v>411</v>
      </c>
      <c r="G2859" t="s">
        <v>293</v>
      </c>
      <c r="H2859" t="s">
        <v>792</v>
      </c>
      <c r="I2859" t="s">
        <v>2117</v>
      </c>
    </row>
    <row r="2860" spans="1:9" x14ac:dyDescent="0.35">
      <c r="A2860">
        <v>489630</v>
      </c>
      <c r="B2860" t="s">
        <v>1010</v>
      </c>
      <c r="C2860" s="1">
        <v>43293</v>
      </c>
      <c r="D2860">
        <v>1326</v>
      </c>
      <c r="E2860" t="b">
        <v>0</v>
      </c>
      <c r="F2860">
        <v>411</v>
      </c>
      <c r="G2860" t="s">
        <v>293</v>
      </c>
      <c r="H2860" t="s">
        <v>346</v>
      </c>
      <c r="I2860" t="s">
        <v>2117</v>
      </c>
    </row>
    <row r="2861" spans="1:9" x14ac:dyDescent="0.35">
      <c r="A2861">
        <v>489630</v>
      </c>
      <c r="B2861" t="s">
        <v>1010</v>
      </c>
      <c r="C2861" s="1">
        <v>43293</v>
      </c>
      <c r="D2861">
        <v>1326</v>
      </c>
      <c r="E2861" t="b">
        <v>0</v>
      </c>
      <c r="F2861">
        <v>411</v>
      </c>
      <c r="G2861" t="s">
        <v>293</v>
      </c>
      <c r="H2861" t="s">
        <v>239</v>
      </c>
      <c r="I2861" t="s">
        <v>2117</v>
      </c>
    </row>
    <row r="2862" spans="1:9" x14ac:dyDescent="0.35">
      <c r="A2862">
        <v>489630</v>
      </c>
      <c r="B2862" t="s">
        <v>1010</v>
      </c>
      <c r="C2862" s="1">
        <v>43293</v>
      </c>
      <c r="D2862">
        <v>1326</v>
      </c>
      <c r="E2862" t="b">
        <v>0</v>
      </c>
      <c r="F2862">
        <v>411</v>
      </c>
      <c r="G2862" t="s">
        <v>293</v>
      </c>
      <c r="H2862" t="s">
        <v>132</v>
      </c>
      <c r="I2862" t="s">
        <v>2117</v>
      </c>
    </row>
    <row r="2863" spans="1:9" x14ac:dyDescent="0.35">
      <c r="A2863">
        <v>489630</v>
      </c>
      <c r="B2863" t="s">
        <v>1010</v>
      </c>
      <c r="C2863" s="1">
        <v>43293</v>
      </c>
      <c r="D2863">
        <v>1326</v>
      </c>
      <c r="E2863" t="b">
        <v>0</v>
      </c>
      <c r="F2863">
        <v>411</v>
      </c>
      <c r="G2863" t="s">
        <v>293</v>
      </c>
      <c r="H2863" t="s">
        <v>124</v>
      </c>
      <c r="I2863" t="s">
        <v>2116</v>
      </c>
    </row>
    <row r="2864" spans="1:9" x14ac:dyDescent="0.35">
      <c r="A2864">
        <v>489630</v>
      </c>
      <c r="B2864" t="s">
        <v>1010</v>
      </c>
      <c r="C2864" s="1">
        <v>43293</v>
      </c>
      <c r="D2864">
        <v>1326</v>
      </c>
      <c r="E2864" t="b">
        <v>0</v>
      </c>
      <c r="F2864">
        <v>411</v>
      </c>
      <c r="G2864" t="s">
        <v>293</v>
      </c>
      <c r="H2864" t="s">
        <v>1510</v>
      </c>
      <c r="I2864" t="s">
        <v>2117</v>
      </c>
    </row>
    <row r="2865" spans="1:9" x14ac:dyDescent="0.35">
      <c r="A2865">
        <v>1506830</v>
      </c>
      <c r="B2865" t="s">
        <v>1012</v>
      </c>
      <c r="C2865" s="1">
        <v>44470</v>
      </c>
      <c r="D2865">
        <v>1319</v>
      </c>
      <c r="E2865" t="b">
        <v>0</v>
      </c>
      <c r="F2865">
        <v>412</v>
      </c>
      <c r="G2865" t="s">
        <v>133</v>
      </c>
      <c r="H2865" t="s">
        <v>49</v>
      </c>
      <c r="I2865" t="s">
        <v>2117</v>
      </c>
    </row>
    <row r="2866" spans="1:9" x14ac:dyDescent="0.35">
      <c r="A2866">
        <v>1506830</v>
      </c>
      <c r="B2866" t="s">
        <v>1012</v>
      </c>
      <c r="C2866" s="1">
        <v>44470</v>
      </c>
      <c r="D2866">
        <v>1319</v>
      </c>
      <c r="E2866" t="b">
        <v>0</v>
      </c>
      <c r="F2866">
        <v>412</v>
      </c>
      <c r="G2866" t="s">
        <v>133</v>
      </c>
      <c r="H2866" t="s">
        <v>792</v>
      </c>
      <c r="I2866" t="s">
        <v>2117</v>
      </c>
    </row>
    <row r="2867" spans="1:9" x14ac:dyDescent="0.35">
      <c r="A2867">
        <v>1506830</v>
      </c>
      <c r="B2867" t="s">
        <v>1012</v>
      </c>
      <c r="C2867" s="1">
        <v>44470</v>
      </c>
      <c r="D2867">
        <v>1319</v>
      </c>
      <c r="E2867" t="b">
        <v>0</v>
      </c>
      <c r="F2867">
        <v>412</v>
      </c>
      <c r="G2867" t="s">
        <v>133</v>
      </c>
      <c r="H2867" t="s">
        <v>346</v>
      </c>
      <c r="I2867" t="s">
        <v>2117</v>
      </c>
    </row>
    <row r="2868" spans="1:9" x14ac:dyDescent="0.35">
      <c r="A2868">
        <v>1506830</v>
      </c>
      <c r="B2868" t="s">
        <v>1012</v>
      </c>
      <c r="C2868" s="1">
        <v>44470</v>
      </c>
      <c r="D2868">
        <v>1319</v>
      </c>
      <c r="E2868" t="b">
        <v>0</v>
      </c>
      <c r="F2868">
        <v>412</v>
      </c>
      <c r="G2868" t="s">
        <v>133</v>
      </c>
      <c r="H2868" t="s">
        <v>239</v>
      </c>
      <c r="I2868" t="s">
        <v>2116</v>
      </c>
    </row>
    <row r="2869" spans="1:9" x14ac:dyDescent="0.35">
      <c r="A2869">
        <v>1506830</v>
      </c>
      <c r="B2869" t="s">
        <v>1012</v>
      </c>
      <c r="C2869" s="1">
        <v>44470</v>
      </c>
      <c r="D2869">
        <v>1319</v>
      </c>
      <c r="E2869" t="b">
        <v>0</v>
      </c>
      <c r="F2869">
        <v>412</v>
      </c>
      <c r="G2869" t="s">
        <v>133</v>
      </c>
      <c r="H2869" t="s">
        <v>132</v>
      </c>
      <c r="I2869" t="s">
        <v>2117</v>
      </c>
    </row>
    <row r="2870" spans="1:9" x14ac:dyDescent="0.35">
      <c r="A2870">
        <v>1506830</v>
      </c>
      <c r="B2870" t="s">
        <v>1012</v>
      </c>
      <c r="C2870" s="1">
        <v>44470</v>
      </c>
      <c r="D2870">
        <v>1319</v>
      </c>
      <c r="E2870" t="b">
        <v>0</v>
      </c>
      <c r="F2870">
        <v>412</v>
      </c>
      <c r="G2870" t="s">
        <v>133</v>
      </c>
      <c r="H2870" t="s">
        <v>124</v>
      </c>
      <c r="I2870" t="s">
        <v>2117</v>
      </c>
    </row>
    <row r="2871" spans="1:9" x14ac:dyDescent="0.35">
      <c r="A2871">
        <v>1506830</v>
      </c>
      <c r="B2871" t="s">
        <v>1012</v>
      </c>
      <c r="C2871" s="1">
        <v>44470</v>
      </c>
      <c r="D2871">
        <v>1319</v>
      </c>
      <c r="E2871" t="b">
        <v>0</v>
      </c>
      <c r="F2871">
        <v>412</v>
      </c>
      <c r="G2871" t="s">
        <v>133</v>
      </c>
      <c r="H2871" t="s">
        <v>1510</v>
      </c>
      <c r="I2871" t="s">
        <v>2117</v>
      </c>
    </row>
    <row r="2872" spans="1:9" x14ac:dyDescent="0.35">
      <c r="A2872">
        <v>2384580</v>
      </c>
      <c r="B2872" t="s">
        <v>1014</v>
      </c>
      <c r="C2872" s="1">
        <v>45673</v>
      </c>
      <c r="D2872">
        <v>1314</v>
      </c>
      <c r="E2872" t="b">
        <v>0</v>
      </c>
      <c r="F2872">
        <v>413</v>
      </c>
      <c r="G2872" t="s">
        <v>119</v>
      </c>
      <c r="H2872" t="s">
        <v>49</v>
      </c>
      <c r="I2872" t="s">
        <v>2116</v>
      </c>
    </row>
    <row r="2873" spans="1:9" x14ac:dyDescent="0.35">
      <c r="A2873">
        <v>2384580</v>
      </c>
      <c r="B2873" t="s">
        <v>1014</v>
      </c>
      <c r="C2873" s="1">
        <v>45673</v>
      </c>
      <c r="D2873">
        <v>1314</v>
      </c>
      <c r="E2873" t="b">
        <v>0</v>
      </c>
      <c r="F2873">
        <v>413</v>
      </c>
      <c r="G2873" t="s">
        <v>119</v>
      </c>
      <c r="H2873" t="s">
        <v>792</v>
      </c>
      <c r="I2873" t="s">
        <v>2117</v>
      </c>
    </row>
    <row r="2874" spans="1:9" x14ac:dyDescent="0.35">
      <c r="A2874">
        <v>2384580</v>
      </c>
      <c r="B2874" t="s">
        <v>1014</v>
      </c>
      <c r="C2874" s="1">
        <v>45673</v>
      </c>
      <c r="D2874">
        <v>1314</v>
      </c>
      <c r="E2874" t="b">
        <v>0</v>
      </c>
      <c r="F2874">
        <v>413</v>
      </c>
      <c r="G2874" t="s">
        <v>119</v>
      </c>
      <c r="H2874" t="s">
        <v>346</v>
      </c>
      <c r="I2874" t="s">
        <v>2117</v>
      </c>
    </row>
    <row r="2875" spans="1:9" x14ac:dyDescent="0.35">
      <c r="A2875">
        <v>2384580</v>
      </c>
      <c r="B2875" t="s">
        <v>1014</v>
      </c>
      <c r="C2875" s="1">
        <v>45673</v>
      </c>
      <c r="D2875">
        <v>1314</v>
      </c>
      <c r="E2875" t="b">
        <v>0</v>
      </c>
      <c r="F2875">
        <v>413</v>
      </c>
      <c r="G2875" t="s">
        <v>119</v>
      </c>
      <c r="H2875" t="s">
        <v>239</v>
      </c>
      <c r="I2875" t="s">
        <v>2117</v>
      </c>
    </row>
    <row r="2876" spans="1:9" x14ac:dyDescent="0.35">
      <c r="A2876">
        <v>2384580</v>
      </c>
      <c r="B2876" t="s">
        <v>1014</v>
      </c>
      <c r="C2876" s="1">
        <v>45673</v>
      </c>
      <c r="D2876">
        <v>1314</v>
      </c>
      <c r="E2876" t="b">
        <v>0</v>
      </c>
      <c r="F2876">
        <v>413</v>
      </c>
      <c r="G2876" t="s">
        <v>119</v>
      </c>
      <c r="H2876" t="s">
        <v>132</v>
      </c>
      <c r="I2876" t="s">
        <v>2116</v>
      </c>
    </row>
    <row r="2877" spans="1:9" x14ac:dyDescent="0.35">
      <c r="A2877">
        <v>2384580</v>
      </c>
      <c r="B2877" t="s">
        <v>1014</v>
      </c>
      <c r="C2877" s="1">
        <v>45673</v>
      </c>
      <c r="D2877">
        <v>1314</v>
      </c>
      <c r="E2877" t="b">
        <v>0</v>
      </c>
      <c r="F2877">
        <v>413</v>
      </c>
      <c r="G2877" t="s">
        <v>119</v>
      </c>
      <c r="H2877" t="s">
        <v>124</v>
      </c>
      <c r="I2877" t="s">
        <v>2116</v>
      </c>
    </row>
    <row r="2878" spans="1:9" x14ac:dyDescent="0.35">
      <c r="A2878">
        <v>2384580</v>
      </c>
      <c r="B2878" t="s">
        <v>1014</v>
      </c>
      <c r="C2878" s="1">
        <v>45673</v>
      </c>
      <c r="D2878">
        <v>1314</v>
      </c>
      <c r="E2878" t="b">
        <v>0</v>
      </c>
      <c r="F2878">
        <v>413</v>
      </c>
      <c r="G2878" t="s">
        <v>119</v>
      </c>
      <c r="H2878" t="s">
        <v>1510</v>
      </c>
      <c r="I2878" t="s">
        <v>2117</v>
      </c>
    </row>
    <row r="2879" spans="1:9" x14ac:dyDescent="0.35">
      <c r="A2879">
        <v>663090</v>
      </c>
      <c r="B2879" t="s">
        <v>1017</v>
      </c>
      <c r="C2879" s="1">
        <v>43023</v>
      </c>
      <c r="D2879">
        <v>1313</v>
      </c>
      <c r="E2879" t="b">
        <v>0</v>
      </c>
      <c r="F2879">
        <v>414</v>
      </c>
      <c r="G2879" t="s">
        <v>110</v>
      </c>
      <c r="H2879" t="s">
        <v>49</v>
      </c>
      <c r="I2879" t="s">
        <v>2117</v>
      </c>
    </row>
    <row r="2880" spans="1:9" x14ac:dyDescent="0.35">
      <c r="A2880">
        <v>663090</v>
      </c>
      <c r="B2880" t="s">
        <v>1017</v>
      </c>
      <c r="C2880" s="1">
        <v>43023</v>
      </c>
      <c r="D2880">
        <v>1313</v>
      </c>
      <c r="E2880" t="b">
        <v>0</v>
      </c>
      <c r="F2880">
        <v>414</v>
      </c>
      <c r="G2880" t="s">
        <v>110</v>
      </c>
      <c r="H2880" t="s">
        <v>792</v>
      </c>
      <c r="I2880" t="s">
        <v>2117</v>
      </c>
    </row>
    <row r="2881" spans="1:9" x14ac:dyDescent="0.35">
      <c r="A2881">
        <v>663090</v>
      </c>
      <c r="B2881" t="s">
        <v>1017</v>
      </c>
      <c r="C2881" s="1">
        <v>43023</v>
      </c>
      <c r="D2881">
        <v>1313</v>
      </c>
      <c r="E2881" t="b">
        <v>0</v>
      </c>
      <c r="F2881">
        <v>414</v>
      </c>
      <c r="G2881" t="s">
        <v>110</v>
      </c>
      <c r="H2881" t="s">
        <v>346</v>
      </c>
      <c r="I2881" t="s">
        <v>2117</v>
      </c>
    </row>
    <row r="2882" spans="1:9" x14ac:dyDescent="0.35">
      <c r="A2882">
        <v>663090</v>
      </c>
      <c r="B2882" t="s">
        <v>1017</v>
      </c>
      <c r="C2882" s="1">
        <v>43023</v>
      </c>
      <c r="D2882">
        <v>1313</v>
      </c>
      <c r="E2882" t="b">
        <v>0</v>
      </c>
      <c r="F2882">
        <v>414</v>
      </c>
      <c r="G2882" t="s">
        <v>110</v>
      </c>
      <c r="H2882" t="s">
        <v>239</v>
      </c>
      <c r="I2882" t="s">
        <v>2117</v>
      </c>
    </row>
    <row r="2883" spans="1:9" x14ac:dyDescent="0.35">
      <c r="A2883">
        <v>663090</v>
      </c>
      <c r="B2883" t="s">
        <v>1017</v>
      </c>
      <c r="C2883" s="1">
        <v>43023</v>
      </c>
      <c r="D2883">
        <v>1313</v>
      </c>
      <c r="E2883" t="b">
        <v>0</v>
      </c>
      <c r="F2883">
        <v>414</v>
      </c>
      <c r="G2883" t="s">
        <v>110</v>
      </c>
      <c r="H2883" t="s">
        <v>132</v>
      </c>
      <c r="I2883" t="s">
        <v>2116</v>
      </c>
    </row>
    <row r="2884" spans="1:9" x14ac:dyDescent="0.35">
      <c r="A2884">
        <v>663090</v>
      </c>
      <c r="B2884" t="s">
        <v>1017</v>
      </c>
      <c r="C2884" s="1">
        <v>43023</v>
      </c>
      <c r="D2884">
        <v>1313</v>
      </c>
      <c r="E2884" t="b">
        <v>0</v>
      </c>
      <c r="F2884">
        <v>414</v>
      </c>
      <c r="G2884" t="s">
        <v>110</v>
      </c>
      <c r="H2884" t="s">
        <v>124</v>
      </c>
      <c r="I2884" t="s">
        <v>2117</v>
      </c>
    </row>
    <row r="2885" spans="1:9" x14ac:dyDescent="0.35">
      <c r="A2885">
        <v>663090</v>
      </c>
      <c r="B2885" t="s">
        <v>1017</v>
      </c>
      <c r="C2885" s="1">
        <v>43023</v>
      </c>
      <c r="D2885">
        <v>1313</v>
      </c>
      <c r="E2885" t="b">
        <v>0</v>
      </c>
      <c r="F2885">
        <v>414</v>
      </c>
      <c r="G2885" t="s">
        <v>110</v>
      </c>
      <c r="H2885" t="s">
        <v>1510</v>
      </c>
      <c r="I2885" t="s">
        <v>2116</v>
      </c>
    </row>
    <row r="2886" spans="1:9" x14ac:dyDescent="0.35">
      <c r="A2886">
        <v>613100</v>
      </c>
      <c r="B2886" t="s">
        <v>1019</v>
      </c>
      <c r="C2886" s="1">
        <v>43237</v>
      </c>
      <c r="D2886">
        <v>1311</v>
      </c>
      <c r="E2886" t="b">
        <v>1</v>
      </c>
      <c r="F2886">
        <v>415</v>
      </c>
      <c r="G2886" t="s">
        <v>33</v>
      </c>
      <c r="H2886" t="s">
        <v>49</v>
      </c>
      <c r="I2886" t="s">
        <v>2117</v>
      </c>
    </row>
    <row r="2887" spans="1:9" x14ac:dyDescent="0.35">
      <c r="A2887">
        <v>613100</v>
      </c>
      <c r="B2887" t="s">
        <v>1019</v>
      </c>
      <c r="C2887" s="1">
        <v>43237</v>
      </c>
      <c r="D2887">
        <v>1311</v>
      </c>
      <c r="E2887" t="b">
        <v>1</v>
      </c>
      <c r="F2887">
        <v>415</v>
      </c>
      <c r="G2887" t="s">
        <v>33</v>
      </c>
      <c r="H2887" t="s">
        <v>792</v>
      </c>
      <c r="I2887" t="s">
        <v>2116</v>
      </c>
    </row>
    <row r="2888" spans="1:9" x14ac:dyDescent="0.35">
      <c r="A2888">
        <v>613100</v>
      </c>
      <c r="B2888" t="s">
        <v>1019</v>
      </c>
      <c r="C2888" s="1">
        <v>43237</v>
      </c>
      <c r="D2888">
        <v>1311</v>
      </c>
      <c r="E2888" t="b">
        <v>1</v>
      </c>
      <c r="F2888">
        <v>415</v>
      </c>
      <c r="G2888" t="s">
        <v>33</v>
      </c>
      <c r="H2888" t="s">
        <v>346</v>
      </c>
      <c r="I2888" t="s">
        <v>2117</v>
      </c>
    </row>
    <row r="2889" spans="1:9" x14ac:dyDescent="0.35">
      <c r="A2889">
        <v>613100</v>
      </c>
      <c r="B2889" t="s">
        <v>1019</v>
      </c>
      <c r="C2889" s="1">
        <v>43237</v>
      </c>
      <c r="D2889">
        <v>1311</v>
      </c>
      <c r="E2889" t="b">
        <v>1</v>
      </c>
      <c r="F2889">
        <v>415</v>
      </c>
      <c r="G2889" t="s">
        <v>33</v>
      </c>
      <c r="H2889" t="s">
        <v>239</v>
      </c>
      <c r="I2889" t="s">
        <v>2116</v>
      </c>
    </row>
    <row r="2890" spans="1:9" x14ac:dyDescent="0.35">
      <c r="A2890">
        <v>613100</v>
      </c>
      <c r="B2890" t="s">
        <v>1019</v>
      </c>
      <c r="C2890" s="1">
        <v>43237</v>
      </c>
      <c r="D2890">
        <v>1311</v>
      </c>
      <c r="E2890" t="b">
        <v>1</v>
      </c>
      <c r="F2890">
        <v>415</v>
      </c>
      <c r="G2890" t="s">
        <v>33</v>
      </c>
      <c r="H2890" t="s">
        <v>132</v>
      </c>
      <c r="I2890" t="s">
        <v>2117</v>
      </c>
    </row>
    <row r="2891" spans="1:9" x14ac:dyDescent="0.35">
      <c r="A2891">
        <v>613100</v>
      </c>
      <c r="B2891" t="s">
        <v>1019</v>
      </c>
      <c r="C2891" s="1">
        <v>43237</v>
      </c>
      <c r="D2891">
        <v>1311</v>
      </c>
      <c r="E2891" t="b">
        <v>1</v>
      </c>
      <c r="F2891">
        <v>415</v>
      </c>
      <c r="G2891" t="s">
        <v>33</v>
      </c>
      <c r="H2891" t="s">
        <v>124</v>
      </c>
      <c r="I2891" t="s">
        <v>2117</v>
      </c>
    </row>
    <row r="2892" spans="1:9" x14ac:dyDescent="0.35">
      <c r="A2892">
        <v>613100</v>
      </c>
      <c r="B2892" t="s">
        <v>1019</v>
      </c>
      <c r="C2892" s="1">
        <v>43237</v>
      </c>
      <c r="D2892">
        <v>1311</v>
      </c>
      <c r="E2892" t="b">
        <v>1</v>
      </c>
      <c r="F2892">
        <v>415</v>
      </c>
      <c r="G2892" t="s">
        <v>33</v>
      </c>
      <c r="H2892" t="s">
        <v>1510</v>
      </c>
      <c r="I2892" t="s">
        <v>2117</v>
      </c>
    </row>
    <row r="2893" spans="1:9" x14ac:dyDescent="0.35">
      <c r="A2893">
        <v>701160</v>
      </c>
      <c r="B2893" t="s">
        <v>1021</v>
      </c>
      <c r="C2893" s="1">
        <v>43445</v>
      </c>
      <c r="D2893">
        <v>1305</v>
      </c>
      <c r="E2893" t="b">
        <v>1</v>
      </c>
      <c r="F2893">
        <v>416</v>
      </c>
      <c r="G2893" t="s">
        <v>2082</v>
      </c>
      <c r="H2893" t="s">
        <v>49</v>
      </c>
      <c r="I2893" t="s">
        <v>2117</v>
      </c>
    </row>
    <row r="2894" spans="1:9" x14ac:dyDescent="0.35">
      <c r="A2894">
        <v>701160</v>
      </c>
      <c r="B2894" t="s">
        <v>1021</v>
      </c>
      <c r="C2894" s="1">
        <v>43445</v>
      </c>
      <c r="D2894">
        <v>1305</v>
      </c>
      <c r="E2894" t="b">
        <v>1</v>
      </c>
      <c r="F2894">
        <v>416</v>
      </c>
      <c r="G2894" t="s">
        <v>2082</v>
      </c>
      <c r="H2894" t="s">
        <v>792</v>
      </c>
      <c r="I2894" t="s">
        <v>2116</v>
      </c>
    </row>
    <row r="2895" spans="1:9" x14ac:dyDescent="0.35">
      <c r="A2895">
        <v>701160</v>
      </c>
      <c r="B2895" t="s">
        <v>1021</v>
      </c>
      <c r="C2895" s="1">
        <v>43445</v>
      </c>
      <c r="D2895">
        <v>1305</v>
      </c>
      <c r="E2895" t="b">
        <v>1</v>
      </c>
      <c r="F2895">
        <v>416</v>
      </c>
      <c r="G2895" t="s">
        <v>2082</v>
      </c>
      <c r="H2895" t="s">
        <v>346</v>
      </c>
      <c r="I2895" t="s">
        <v>2116</v>
      </c>
    </row>
    <row r="2896" spans="1:9" x14ac:dyDescent="0.35">
      <c r="A2896">
        <v>701160</v>
      </c>
      <c r="B2896" t="s">
        <v>1021</v>
      </c>
      <c r="C2896" s="1">
        <v>43445</v>
      </c>
      <c r="D2896">
        <v>1305</v>
      </c>
      <c r="E2896" t="b">
        <v>1</v>
      </c>
      <c r="F2896">
        <v>416</v>
      </c>
      <c r="G2896" t="s">
        <v>2082</v>
      </c>
      <c r="H2896" t="s">
        <v>239</v>
      </c>
      <c r="I2896" t="s">
        <v>2116</v>
      </c>
    </row>
    <row r="2897" spans="1:9" x14ac:dyDescent="0.35">
      <c r="A2897">
        <v>701160</v>
      </c>
      <c r="B2897" t="s">
        <v>1021</v>
      </c>
      <c r="C2897" s="1">
        <v>43445</v>
      </c>
      <c r="D2897">
        <v>1305</v>
      </c>
      <c r="E2897" t="b">
        <v>1</v>
      </c>
      <c r="F2897">
        <v>416</v>
      </c>
      <c r="G2897" t="s">
        <v>2082</v>
      </c>
      <c r="H2897" t="s">
        <v>132</v>
      </c>
      <c r="I2897" t="s">
        <v>2117</v>
      </c>
    </row>
    <row r="2898" spans="1:9" x14ac:dyDescent="0.35">
      <c r="A2898">
        <v>701160</v>
      </c>
      <c r="B2898" t="s">
        <v>1021</v>
      </c>
      <c r="C2898" s="1">
        <v>43445</v>
      </c>
      <c r="D2898">
        <v>1305</v>
      </c>
      <c r="E2898" t="b">
        <v>1</v>
      </c>
      <c r="F2898">
        <v>416</v>
      </c>
      <c r="G2898" t="s">
        <v>2082</v>
      </c>
      <c r="H2898" t="s">
        <v>124</v>
      </c>
      <c r="I2898" t="s">
        <v>2116</v>
      </c>
    </row>
    <row r="2899" spans="1:9" x14ac:dyDescent="0.35">
      <c r="A2899">
        <v>701160</v>
      </c>
      <c r="B2899" t="s">
        <v>1021</v>
      </c>
      <c r="C2899" s="1">
        <v>43445</v>
      </c>
      <c r="D2899">
        <v>1305</v>
      </c>
      <c r="E2899" t="b">
        <v>1</v>
      </c>
      <c r="F2899">
        <v>416</v>
      </c>
      <c r="G2899" t="s">
        <v>2082</v>
      </c>
      <c r="H2899" t="s">
        <v>1510</v>
      </c>
      <c r="I2899" t="s">
        <v>2117</v>
      </c>
    </row>
    <row r="2900" spans="1:9" x14ac:dyDescent="0.35">
      <c r="A2900">
        <v>1092790</v>
      </c>
      <c r="B2900" t="s">
        <v>1023</v>
      </c>
      <c r="C2900" s="1">
        <v>44488</v>
      </c>
      <c r="D2900">
        <v>1301</v>
      </c>
      <c r="E2900" t="b">
        <v>1</v>
      </c>
      <c r="F2900">
        <v>417</v>
      </c>
      <c r="G2900" t="s">
        <v>304</v>
      </c>
      <c r="H2900" t="s">
        <v>49</v>
      </c>
      <c r="I2900" t="s">
        <v>2117</v>
      </c>
    </row>
    <row r="2901" spans="1:9" x14ac:dyDescent="0.35">
      <c r="A2901">
        <v>1092790</v>
      </c>
      <c r="B2901" t="s">
        <v>1023</v>
      </c>
      <c r="C2901" s="1">
        <v>44488</v>
      </c>
      <c r="D2901">
        <v>1301</v>
      </c>
      <c r="E2901" t="b">
        <v>1</v>
      </c>
      <c r="F2901">
        <v>417</v>
      </c>
      <c r="G2901" t="s">
        <v>304</v>
      </c>
      <c r="H2901" t="s">
        <v>792</v>
      </c>
      <c r="I2901" t="s">
        <v>2116</v>
      </c>
    </row>
    <row r="2902" spans="1:9" x14ac:dyDescent="0.35">
      <c r="A2902">
        <v>1092790</v>
      </c>
      <c r="B2902" t="s">
        <v>1023</v>
      </c>
      <c r="C2902" s="1">
        <v>44488</v>
      </c>
      <c r="D2902">
        <v>1301</v>
      </c>
      <c r="E2902" t="b">
        <v>1</v>
      </c>
      <c r="F2902">
        <v>417</v>
      </c>
      <c r="G2902" t="s">
        <v>304</v>
      </c>
      <c r="H2902" t="s">
        <v>346</v>
      </c>
      <c r="I2902" t="s">
        <v>2116</v>
      </c>
    </row>
    <row r="2903" spans="1:9" x14ac:dyDescent="0.35">
      <c r="A2903">
        <v>1092790</v>
      </c>
      <c r="B2903" t="s">
        <v>1023</v>
      </c>
      <c r="C2903" s="1">
        <v>44488</v>
      </c>
      <c r="D2903">
        <v>1301</v>
      </c>
      <c r="E2903" t="b">
        <v>1</v>
      </c>
      <c r="F2903">
        <v>417</v>
      </c>
      <c r="G2903" t="s">
        <v>304</v>
      </c>
      <c r="H2903" t="s">
        <v>239</v>
      </c>
      <c r="I2903" t="s">
        <v>2117</v>
      </c>
    </row>
    <row r="2904" spans="1:9" x14ac:dyDescent="0.35">
      <c r="A2904">
        <v>1092790</v>
      </c>
      <c r="B2904" t="s">
        <v>1023</v>
      </c>
      <c r="C2904" s="1">
        <v>44488</v>
      </c>
      <c r="D2904">
        <v>1301</v>
      </c>
      <c r="E2904" t="b">
        <v>1</v>
      </c>
      <c r="F2904">
        <v>417</v>
      </c>
      <c r="G2904" t="s">
        <v>304</v>
      </c>
      <c r="H2904" t="s">
        <v>132</v>
      </c>
      <c r="I2904" t="s">
        <v>2117</v>
      </c>
    </row>
    <row r="2905" spans="1:9" x14ac:dyDescent="0.35">
      <c r="A2905">
        <v>1092790</v>
      </c>
      <c r="B2905" t="s">
        <v>1023</v>
      </c>
      <c r="C2905" s="1">
        <v>44488</v>
      </c>
      <c r="D2905">
        <v>1301</v>
      </c>
      <c r="E2905" t="b">
        <v>1</v>
      </c>
      <c r="F2905">
        <v>417</v>
      </c>
      <c r="G2905" t="s">
        <v>304</v>
      </c>
      <c r="H2905" t="s">
        <v>124</v>
      </c>
      <c r="I2905" t="s">
        <v>2116</v>
      </c>
    </row>
    <row r="2906" spans="1:9" x14ac:dyDescent="0.35">
      <c r="A2906">
        <v>1092790</v>
      </c>
      <c r="B2906" t="s">
        <v>1023</v>
      </c>
      <c r="C2906" s="1">
        <v>44488</v>
      </c>
      <c r="D2906">
        <v>1301</v>
      </c>
      <c r="E2906" t="b">
        <v>1</v>
      </c>
      <c r="F2906">
        <v>417</v>
      </c>
      <c r="G2906" t="s">
        <v>304</v>
      </c>
      <c r="H2906" t="s">
        <v>1510</v>
      </c>
      <c r="I2906" t="s">
        <v>2117</v>
      </c>
    </row>
    <row r="2907" spans="1:9" x14ac:dyDescent="0.35">
      <c r="A2907">
        <v>1353300</v>
      </c>
      <c r="B2907" t="s">
        <v>1024</v>
      </c>
      <c r="C2907" s="1">
        <v>44186</v>
      </c>
      <c r="D2907">
        <v>1300</v>
      </c>
      <c r="E2907" t="b">
        <v>0</v>
      </c>
      <c r="F2907">
        <v>418</v>
      </c>
      <c r="G2907" t="s">
        <v>14</v>
      </c>
      <c r="H2907" t="s">
        <v>49</v>
      </c>
      <c r="I2907" t="s">
        <v>2117</v>
      </c>
    </row>
    <row r="2908" spans="1:9" x14ac:dyDescent="0.35">
      <c r="A2908">
        <v>1353300</v>
      </c>
      <c r="B2908" t="s">
        <v>1024</v>
      </c>
      <c r="C2908" s="1">
        <v>44186</v>
      </c>
      <c r="D2908">
        <v>1300</v>
      </c>
      <c r="E2908" t="b">
        <v>0</v>
      </c>
      <c r="F2908">
        <v>418</v>
      </c>
      <c r="G2908" t="s">
        <v>14</v>
      </c>
      <c r="H2908" t="s">
        <v>792</v>
      </c>
      <c r="I2908" t="s">
        <v>2116</v>
      </c>
    </row>
    <row r="2909" spans="1:9" x14ac:dyDescent="0.35">
      <c r="A2909">
        <v>1353300</v>
      </c>
      <c r="B2909" t="s">
        <v>1024</v>
      </c>
      <c r="C2909" s="1">
        <v>44186</v>
      </c>
      <c r="D2909">
        <v>1300</v>
      </c>
      <c r="E2909" t="b">
        <v>0</v>
      </c>
      <c r="F2909">
        <v>418</v>
      </c>
      <c r="G2909" t="s">
        <v>14</v>
      </c>
      <c r="H2909" t="s">
        <v>346</v>
      </c>
      <c r="I2909" t="s">
        <v>2117</v>
      </c>
    </row>
    <row r="2910" spans="1:9" x14ac:dyDescent="0.35">
      <c r="A2910">
        <v>1353300</v>
      </c>
      <c r="B2910" t="s">
        <v>1024</v>
      </c>
      <c r="C2910" s="1">
        <v>44186</v>
      </c>
      <c r="D2910">
        <v>1300</v>
      </c>
      <c r="E2910" t="b">
        <v>0</v>
      </c>
      <c r="F2910">
        <v>418</v>
      </c>
      <c r="G2910" t="s">
        <v>14</v>
      </c>
      <c r="H2910" t="s">
        <v>239</v>
      </c>
      <c r="I2910" t="s">
        <v>2117</v>
      </c>
    </row>
    <row r="2911" spans="1:9" x14ac:dyDescent="0.35">
      <c r="A2911">
        <v>1353300</v>
      </c>
      <c r="B2911" t="s">
        <v>1024</v>
      </c>
      <c r="C2911" s="1">
        <v>44186</v>
      </c>
      <c r="D2911">
        <v>1300</v>
      </c>
      <c r="E2911" t="b">
        <v>0</v>
      </c>
      <c r="F2911">
        <v>418</v>
      </c>
      <c r="G2911" t="s">
        <v>14</v>
      </c>
      <c r="H2911" t="s">
        <v>132</v>
      </c>
      <c r="I2911" t="s">
        <v>2117</v>
      </c>
    </row>
    <row r="2912" spans="1:9" x14ac:dyDescent="0.35">
      <c r="A2912">
        <v>1353300</v>
      </c>
      <c r="B2912" t="s">
        <v>1024</v>
      </c>
      <c r="C2912" s="1">
        <v>44186</v>
      </c>
      <c r="D2912">
        <v>1300</v>
      </c>
      <c r="E2912" t="b">
        <v>0</v>
      </c>
      <c r="F2912">
        <v>418</v>
      </c>
      <c r="G2912" t="s">
        <v>14</v>
      </c>
      <c r="H2912" t="s">
        <v>124</v>
      </c>
      <c r="I2912" t="s">
        <v>2116</v>
      </c>
    </row>
    <row r="2913" spans="1:9" x14ac:dyDescent="0.35">
      <c r="A2913">
        <v>1353300</v>
      </c>
      <c r="B2913" t="s">
        <v>1024</v>
      </c>
      <c r="C2913" s="1">
        <v>44186</v>
      </c>
      <c r="D2913">
        <v>1300</v>
      </c>
      <c r="E2913" t="b">
        <v>0</v>
      </c>
      <c r="F2913">
        <v>418</v>
      </c>
      <c r="G2913" t="s">
        <v>14</v>
      </c>
      <c r="H2913" t="s">
        <v>1510</v>
      </c>
      <c r="I2913" t="s">
        <v>2116</v>
      </c>
    </row>
    <row r="2914" spans="1:9" x14ac:dyDescent="0.35">
      <c r="A2914">
        <v>2321470</v>
      </c>
      <c r="B2914" t="s">
        <v>1026</v>
      </c>
      <c r="C2914" s="1">
        <v>45917</v>
      </c>
      <c r="D2914">
        <v>1300</v>
      </c>
      <c r="E2914" t="b">
        <v>0</v>
      </c>
      <c r="F2914">
        <v>418</v>
      </c>
      <c r="G2914" t="s">
        <v>304</v>
      </c>
      <c r="H2914" t="s">
        <v>49</v>
      </c>
      <c r="I2914" t="s">
        <v>2116</v>
      </c>
    </row>
    <row r="2915" spans="1:9" x14ac:dyDescent="0.35">
      <c r="A2915">
        <v>2321470</v>
      </c>
      <c r="B2915" t="s">
        <v>1026</v>
      </c>
      <c r="C2915" s="1">
        <v>45917</v>
      </c>
      <c r="D2915">
        <v>1300</v>
      </c>
      <c r="E2915" t="b">
        <v>0</v>
      </c>
      <c r="F2915">
        <v>418</v>
      </c>
      <c r="G2915" t="s">
        <v>304</v>
      </c>
      <c r="H2915" t="s">
        <v>792</v>
      </c>
      <c r="I2915" t="s">
        <v>2117</v>
      </c>
    </row>
    <row r="2916" spans="1:9" x14ac:dyDescent="0.35">
      <c r="A2916">
        <v>2321470</v>
      </c>
      <c r="B2916" t="s">
        <v>1026</v>
      </c>
      <c r="C2916" s="1">
        <v>45917</v>
      </c>
      <c r="D2916">
        <v>1300</v>
      </c>
      <c r="E2916" t="b">
        <v>0</v>
      </c>
      <c r="F2916">
        <v>418</v>
      </c>
      <c r="G2916" t="s">
        <v>304</v>
      </c>
      <c r="H2916" t="s">
        <v>346</v>
      </c>
      <c r="I2916" t="s">
        <v>2117</v>
      </c>
    </row>
    <row r="2917" spans="1:9" x14ac:dyDescent="0.35">
      <c r="A2917">
        <v>2321470</v>
      </c>
      <c r="B2917" t="s">
        <v>1026</v>
      </c>
      <c r="C2917" s="1">
        <v>45917</v>
      </c>
      <c r="D2917">
        <v>1300</v>
      </c>
      <c r="E2917" t="b">
        <v>0</v>
      </c>
      <c r="F2917">
        <v>418</v>
      </c>
      <c r="G2917" t="s">
        <v>304</v>
      </c>
      <c r="H2917" t="s">
        <v>239</v>
      </c>
      <c r="I2917" t="s">
        <v>2117</v>
      </c>
    </row>
    <row r="2918" spans="1:9" x14ac:dyDescent="0.35">
      <c r="A2918">
        <v>2321470</v>
      </c>
      <c r="B2918" t="s">
        <v>1026</v>
      </c>
      <c r="C2918" s="1">
        <v>45917</v>
      </c>
      <c r="D2918">
        <v>1300</v>
      </c>
      <c r="E2918" t="b">
        <v>0</v>
      </c>
      <c r="F2918">
        <v>418</v>
      </c>
      <c r="G2918" t="s">
        <v>304</v>
      </c>
      <c r="H2918" t="s">
        <v>132</v>
      </c>
      <c r="I2918" t="s">
        <v>2117</v>
      </c>
    </row>
    <row r="2919" spans="1:9" x14ac:dyDescent="0.35">
      <c r="A2919">
        <v>2321470</v>
      </c>
      <c r="B2919" t="s">
        <v>1026</v>
      </c>
      <c r="C2919" s="1">
        <v>45917</v>
      </c>
      <c r="D2919">
        <v>1300</v>
      </c>
      <c r="E2919" t="b">
        <v>0</v>
      </c>
      <c r="F2919">
        <v>418</v>
      </c>
      <c r="G2919" t="s">
        <v>304</v>
      </c>
      <c r="H2919" t="s">
        <v>124</v>
      </c>
      <c r="I2919" t="s">
        <v>2117</v>
      </c>
    </row>
    <row r="2920" spans="1:9" x14ac:dyDescent="0.35">
      <c r="A2920">
        <v>2321470</v>
      </c>
      <c r="B2920" t="s">
        <v>1026</v>
      </c>
      <c r="C2920" s="1">
        <v>45917</v>
      </c>
      <c r="D2920">
        <v>1300</v>
      </c>
      <c r="E2920" t="b">
        <v>0</v>
      </c>
      <c r="F2920">
        <v>418</v>
      </c>
      <c r="G2920" t="s">
        <v>304</v>
      </c>
      <c r="H2920" t="s">
        <v>1510</v>
      </c>
      <c r="I2920" t="s">
        <v>2117</v>
      </c>
    </row>
    <row r="2921" spans="1:9" x14ac:dyDescent="0.35">
      <c r="A2921">
        <v>508440</v>
      </c>
      <c r="B2921" t="s">
        <v>1028</v>
      </c>
      <c r="C2921" s="1">
        <v>44287</v>
      </c>
      <c r="D2921">
        <v>1299</v>
      </c>
      <c r="E2921" t="b">
        <v>1</v>
      </c>
      <c r="F2921">
        <v>420</v>
      </c>
      <c r="G2921" t="s">
        <v>33</v>
      </c>
      <c r="H2921" t="s">
        <v>49</v>
      </c>
      <c r="I2921" t="s">
        <v>2117</v>
      </c>
    </row>
    <row r="2922" spans="1:9" x14ac:dyDescent="0.35">
      <c r="A2922">
        <v>508440</v>
      </c>
      <c r="B2922" t="s">
        <v>1028</v>
      </c>
      <c r="C2922" s="1">
        <v>44287</v>
      </c>
      <c r="D2922">
        <v>1299</v>
      </c>
      <c r="E2922" t="b">
        <v>1</v>
      </c>
      <c r="F2922">
        <v>420</v>
      </c>
      <c r="G2922" t="s">
        <v>33</v>
      </c>
      <c r="H2922" t="s">
        <v>792</v>
      </c>
      <c r="I2922" t="s">
        <v>2116</v>
      </c>
    </row>
    <row r="2923" spans="1:9" x14ac:dyDescent="0.35">
      <c r="A2923">
        <v>508440</v>
      </c>
      <c r="B2923" t="s">
        <v>1028</v>
      </c>
      <c r="C2923" s="1">
        <v>44287</v>
      </c>
      <c r="D2923">
        <v>1299</v>
      </c>
      <c r="E2923" t="b">
        <v>1</v>
      </c>
      <c r="F2923">
        <v>420</v>
      </c>
      <c r="G2923" t="s">
        <v>33</v>
      </c>
      <c r="H2923" t="s">
        <v>346</v>
      </c>
      <c r="I2923" t="s">
        <v>2117</v>
      </c>
    </row>
    <row r="2924" spans="1:9" x14ac:dyDescent="0.35">
      <c r="A2924">
        <v>508440</v>
      </c>
      <c r="B2924" t="s">
        <v>1028</v>
      </c>
      <c r="C2924" s="1">
        <v>44287</v>
      </c>
      <c r="D2924">
        <v>1299</v>
      </c>
      <c r="E2924" t="b">
        <v>1</v>
      </c>
      <c r="F2924">
        <v>420</v>
      </c>
      <c r="G2924" t="s">
        <v>33</v>
      </c>
      <c r="H2924" t="s">
        <v>239</v>
      </c>
      <c r="I2924" t="s">
        <v>2116</v>
      </c>
    </row>
    <row r="2925" spans="1:9" x14ac:dyDescent="0.35">
      <c r="A2925">
        <v>508440</v>
      </c>
      <c r="B2925" t="s">
        <v>1028</v>
      </c>
      <c r="C2925" s="1">
        <v>44287</v>
      </c>
      <c r="D2925">
        <v>1299</v>
      </c>
      <c r="E2925" t="b">
        <v>1</v>
      </c>
      <c r="F2925">
        <v>420</v>
      </c>
      <c r="G2925" t="s">
        <v>33</v>
      </c>
      <c r="H2925" t="s">
        <v>132</v>
      </c>
      <c r="I2925" t="s">
        <v>2117</v>
      </c>
    </row>
    <row r="2926" spans="1:9" x14ac:dyDescent="0.35">
      <c r="A2926">
        <v>508440</v>
      </c>
      <c r="B2926" t="s">
        <v>1028</v>
      </c>
      <c r="C2926" s="1">
        <v>44287</v>
      </c>
      <c r="D2926">
        <v>1299</v>
      </c>
      <c r="E2926" t="b">
        <v>1</v>
      </c>
      <c r="F2926">
        <v>420</v>
      </c>
      <c r="G2926" t="s">
        <v>33</v>
      </c>
      <c r="H2926" t="s">
        <v>124</v>
      </c>
      <c r="I2926" t="s">
        <v>2116</v>
      </c>
    </row>
    <row r="2927" spans="1:9" x14ac:dyDescent="0.35">
      <c r="A2927">
        <v>508440</v>
      </c>
      <c r="B2927" t="s">
        <v>1028</v>
      </c>
      <c r="C2927" s="1">
        <v>44287</v>
      </c>
      <c r="D2927">
        <v>1299</v>
      </c>
      <c r="E2927" t="b">
        <v>1</v>
      </c>
      <c r="F2927">
        <v>420</v>
      </c>
      <c r="G2927" t="s">
        <v>33</v>
      </c>
      <c r="H2927" t="s">
        <v>1510</v>
      </c>
      <c r="I2927" t="s">
        <v>2117</v>
      </c>
    </row>
    <row r="2928" spans="1:9" x14ac:dyDescent="0.35">
      <c r="A2928">
        <v>1256670</v>
      </c>
      <c r="B2928" t="s">
        <v>1030</v>
      </c>
      <c r="C2928" s="1">
        <v>44418</v>
      </c>
      <c r="D2928">
        <v>1299</v>
      </c>
      <c r="E2928" t="b">
        <v>0</v>
      </c>
      <c r="F2928">
        <v>420</v>
      </c>
      <c r="G2928" t="s">
        <v>2082</v>
      </c>
      <c r="H2928" t="s">
        <v>49</v>
      </c>
      <c r="I2928" t="s">
        <v>2117</v>
      </c>
    </row>
    <row r="2929" spans="1:9" x14ac:dyDescent="0.35">
      <c r="A2929">
        <v>1256670</v>
      </c>
      <c r="B2929" t="s">
        <v>1030</v>
      </c>
      <c r="C2929" s="1">
        <v>44418</v>
      </c>
      <c r="D2929">
        <v>1299</v>
      </c>
      <c r="E2929" t="b">
        <v>0</v>
      </c>
      <c r="F2929">
        <v>420</v>
      </c>
      <c r="G2929" t="s">
        <v>2082</v>
      </c>
      <c r="H2929" t="s">
        <v>792</v>
      </c>
      <c r="I2929" t="s">
        <v>2116</v>
      </c>
    </row>
    <row r="2930" spans="1:9" x14ac:dyDescent="0.35">
      <c r="A2930">
        <v>1256670</v>
      </c>
      <c r="B2930" t="s">
        <v>1030</v>
      </c>
      <c r="C2930" s="1">
        <v>44418</v>
      </c>
      <c r="D2930">
        <v>1299</v>
      </c>
      <c r="E2930" t="b">
        <v>0</v>
      </c>
      <c r="F2930">
        <v>420</v>
      </c>
      <c r="G2930" t="s">
        <v>2082</v>
      </c>
      <c r="H2930" t="s">
        <v>346</v>
      </c>
      <c r="I2930" t="s">
        <v>2117</v>
      </c>
    </row>
    <row r="2931" spans="1:9" x14ac:dyDescent="0.35">
      <c r="A2931">
        <v>1256670</v>
      </c>
      <c r="B2931" t="s">
        <v>1030</v>
      </c>
      <c r="C2931" s="1">
        <v>44418</v>
      </c>
      <c r="D2931">
        <v>1299</v>
      </c>
      <c r="E2931" t="b">
        <v>0</v>
      </c>
      <c r="F2931">
        <v>420</v>
      </c>
      <c r="G2931" t="s">
        <v>2082</v>
      </c>
      <c r="H2931" t="s">
        <v>239</v>
      </c>
      <c r="I2931" t="s">
        <v>2117</v>
      </c>
    </row>
    <row r="2932" spans="1:9" x14ac:dyDescent="0.35">
      <c r="A2932">
        <v>1256670</v>
      </c>
      <c r="B2932" t="s">
        <v>1030</v>
      </c>
      <c r="C2932" s="1">
        <v>44418</v>
      </c>
      <c r="D2932">
        <v>1299</v>
      </c>
      <c r="E2932" t="b">
        <v>0</v>
      </c>
      <c r="F2932">
        <v>420</v>
      </c>
      <c r="G2932" t="s">
        <v>2082</v>
      </c>
      <c r="H2932" t="s">
        <v>132</v>
      </c>
      <c r="I2932" t="s">
        <v>2116</v>
      </c>
    </row>
    <row r="2933" spans="1:9" x14ac:dyDescent="0.35">
      <c r="A2933">
        <v>1256670</v>
      </c>
      <c r="B2933" t="s">
        <v>1030</v>
      </c>
      <c r="C2933" s="1">
        <v>44418</v>
      </c>
      <c r="D2933">
        <v>1299</v>
      </c>
      <c r="E2933" t="b">
        <v>0</v>
      </c>
      <c r="F2933">
        <v>420</v>
      </c>
      <c r="G2933" t="s">
        <v>2082</v>
      </c>
      <c r="H2933" t="s">
        <v>124</v>
      </c>
      <c r="I2933" t="s">
        <v>2116</v>
      </c>
    </row>
    <row r="2934" spans="1:9" x14ac:dyDescent="0.35">
      <c r="A2934">
        <v>1256670</v>
      </c>
      <c r="B2934" t="s">
        <v>1030</v>
      </c>
      <c r="C2934" s="1">
        <v>44418</v>
      </c>
      <c r="D2934">
        <v>1299</v>
      </c>
      <c r="E2934" t="b">
        <v>0</v>
      </c>
      <c r="F2934">
        <v>420</v>
      </c>
      <c r="G2934" t="s">
        <v>2082</v>
      </c>
      <c r="H2934" t="s">
        <v>1510</v>
      </c>
      <c r="I2934" t="s">
        <v>2117</v>
      </c>
    </row>
    <row r="2935" spans="1:9" x14ac:dyDescent="0.35">
      <c r="A2935">
        <v>552520</v>
      </c>
      <c r="B2935" t="s">
        <v>1032</v>
      </c>
      <c r="C2935" s="1">
        <v>43185</v>
      </c>
      <c r="D2935">
        <v>1297</v>
      </c>
      <c r="E2935" t="b">
        <v>0</v>
      </c>
      <c r="F2935">
        <v>422</v>
      </c>
      <c r="G2935" t="s">
        <v>33</v>
      </c>
      <c r="H2935" t="s">
        <v>49</v>
      </c>
      <c r="I2935" t="s">
        <v>2116</v>
      </c>
    </row>
    <row r="2936" spans="1:9" x14ac:dyDescent="0.35">
      <c r="A2936">
        <v>552520</v>
      </c>
      <c r="B2936" t="s">
        <v>1032</v>
      </c>
      <c r="C2936" s="1">
        <v>43185</v>
      </c>
      <c r="D2936">
        <v>1297</v>
      </c>
      <c r="E2936" t="b">
        <v>0</v>
      </c>
      <c r="F2936">
        <v>422</v>
      </c>
      <c r="G2936" t="s">
        <v>33</v>
      </c>
      <c r="H2936" t="s">
        <v>792</v>
      </c>
      <c r="I2936" t="s">
        <v>2117</v>
      </c>
    </row>
    <row r="2937" spans="1:9" x14ac:dyDescent="0.35">
      <c r="A2937">
        <v>552520</v>
      </c>
      <c r="B2937" t="s">
        <v>1032</v>
      </c>
      <c r="C2937" s="1">
        <v>43185</v>
      </c>
      <c r="D2937">
        <v>1297</v>
      </c>
      <c r="E2937" t="b">
        <v>0</v>
      </c>
      <c r="F2937">
        <v>422</v>
      </c>
      <c r="G2937" t="s">
        <v>33</v>
      </c>
      <c r="H2937" t="s">
        <v>346</v>
      </c>
      <c r="I2937" t="s">
        <v>2116</v>
      </c>
    </row>
    <row r="2938" spans="1:9" x14ac:dyDescent="0.35">
      <c r="A2938">
        <v>552520</v>
      </c>
      <c r="B2938" t="s">
        <v>1032</v>
      </c>
      <c r="C2938" s="1">
        <v>43185</v>
      </c>
      <c r="D2938">
        <v>1297</v>
      </c>
      <c r="E2938" t="b">
        <v>0</v>
      </c>
      <c r="F2938">
        <v>422</v>
      </c>
      <c r="G2938" t="s">
        <v>33</v>
      </c>
      <c r="H2938" t="s">
        <v>239</v>
      </c>
      <c r="I2938" t="s">
        <v>2117</v>
      </c>
    </row>
    <row r="2939" spans="1:9" x14ac:dyDescent="0.35">
      <c r="A2939">
        <v>552520</v>
      </c>
      <c r="B2939" t="s">
        <v>1032</v>
      </c>
      <c r="C2939" s="1">
        <v>43185</v>
      </c>
      <c r="D2939">
        <v>1297</v>
      </c>
      <c r="E2939" t="b">
        <v>0</v>
      </c>
      <c r="F2939">
        <v>422</v>
      </c>
      <c r="G2939" t="s">
        <v>33</v>
      </c>
      <c r="H2939" t="s">
        <v>132</v>
      </c>
      <c r="I2939" t="s">
        <v>2117</v>
      </c>
    </row>
    <row r="2940" spans="1:9" x14ac:dyDescent="0.35">
      <c r="A2940">
        <v>552520</v>
      </c>
      <c r="B2940" t="s">
        <v>1032</v>
      </c>
      <c r="C2940" s="1">
        <v>43185</v>
      </c>
      <c r="D2940">
        <v>1297</v>
      </c>
      <c r="E2940" t="b">
        <v>0</v>
      </c>
      <c r="F2940">
        <v>422</v>
      </c>
      <c r="G2940" t="s">
        <v>33</v>
      </c>
      <c r="H2940" t="s">
        <v>124</v>
      </c>
      <c r="I2940" t="s">
        <v>2117</v>
      </c>
    </row>
    <row r="2941" spans="1:9" x14ac:dyDescent="0.35">
      <c r="A2941">
        <v>552520</v>
      </c>
      <c r="B2941" t="s">
        <v>1032</v>
      </c>
      <c r="C2941" s="1">
        <v>43185</v>
      </c>
      <c r="D2941">
        <v>1297</v>
      </c>
      <c r="E2941" t="b">
        <v>0</v>
      </c>
      <c r="F2941">
        <v>422</v>
      </c>
      <c r="G2941" t="s">
        <v>33</v>
      </c>
      <c r="H2941" t="s">
        <v>1510</v>
      </c>
      <c r="I2941" t="s">
        <v>2117</v>
      </c>
    </row>
    <row r="2942" spans="1:9" x14ac:dyDescent="0.35">
      <c r="A2942">
        <v>924970</v>
      </c>
      <c r="B2942" t="s">
        <v>1034</v>
      </c>
      <c r="C2942" s="1">
        <v>44481</v>
      </c>
      <c r="D2942">
        <v>1288</v>
      </c>
      <c r="E2942" t="b">
        <v>0</v>
      </c>
      <c r="F2942">
        <v>423</v>
      </c>
      <c r="G2942" t="s">
        <v>33</v>
      </c>
      <c r="H2942" t="s">
        <v>49</v>
      </c>
      <c r="I2942" t="s">
        <v>2116</v>
      </c>
    </row>
    <row r="2943" spans="1:9" x14ac:dyDescent="0.35">
      <c r="A2943">
        <v>924970</v>
      </c>
      <c r="B2943" t="s">
        <v>1034</v>
      </c>
      <c r="C2943" s="1">
        <v>44481</v>
      </c>
      <c r="D2943">
        <v>1288</v>
      </c>
      <c r="E2943" t="b">
        <v>0</v>
      </c>
      <c r="F2943">
        <v>423</v>
      </c>
      <c r="G2943" t="s">
        <v>33</v>
      </c>
      <c r="H2943" t="s">
        <v>792</v>
      </c>
      <c r="I2943" t="s">
        <v>2117</v>
      </c>
    </row>
    <row r="2944" spans="1:9" x14ac:dyDescent="0.35">
      <c r="A2944">
        <v>924970</v>
      </c>
      <c r="B2944" t="s">
        <v>1034</v>
      </c>
      <c r="C2944" s="1">
        <v>44481</v>
      </c>
      <c r="D2944">
        <v>1288</v>
      </c>
      <c r="E2944" t="b">
        <v>0</v>
      </c>
      <c r="F2944">
        <v>423</v>
      </c>
      <c r="G2944" t="s">
        <v>33</v>
      </c>
      <c r="H2944" t="s">
        <v>346</v>
      </c>
      <c r="I2944" t="s">
        <v>2117</v>
      </c>
    </row>
    <row r="2945" spans="1:9" x14ac:dyDescent="0.35">
      <c r="A2945">
        <v>924970</v>
      </c>
      <c r="B2945" t="s">
        <v>1034</v>
      </c>
      <c r="C2945" s="1">
        <v>44481</v>
      </c>
      <c r="D2945">
        <v>1288</v>
      </c>
      <c r="E2945" t="b">
        <v>0</v>
      </c>
      <c r="F2945">
        <v>423</v>
      </c>
      <c r="G2945" t="s">
        <v>33</v>
      </c>
      <c r="H2945" t="s">
        <v>239</v>
      </c>
      <c r="I2945" t="s">
        <v>2117</v>
      </c>
    </row>
    <row r="2946" spans="1:9" x14ac:dyDescent="0.35">
      <c r="A2946">
        <v>924970</v>
      </c>
      <c r="B2946" t="s">
        <v>1034</v>
      </c>
      <c r="C2946" s="1">
        <v>44481</v>
      </c>
      <c r="D2946">
        <v>1288</v>
      </c>
      <c r="E2946" t="b">
        <v>0</v>
      </c>
      <c r="F2946">
        <v>423</v>
      </c>
      <c r="G2946" t="s">
        <v>33</v>
      </c>
      <c r="H2946" t="s">
        <v>132</v>
      </c>
      <c r="I2946" t="s">
        <v>2117</v>
      </c>
    </row>
    <row r="2947" spans="1:9" x14ac:dyDescent="0.35">
      <c r="A2947">
        <v>924970</v>
      </c>
      <c r="B2947" t="s">
        <v>1034</v>
      </c>
      <c r="C2947" s="1">
        <v>44481</v>
      </c>
      <c r="D2947">
        <v>1288</v>
      </c>
      <c r="E2947" t="b">
        <v>0</v>
      </c>
      <c r="F2947">
        <v>423</v>
      </c>
      <c r="G2947" t="s">
        <v>33</v>
      </c>
      <c r="H2947" t="s">
        <v>124</v>
      </c>
      <c r="I2947" t="s">
        <v>2117</v>
      </c>
    </row>
    <row r="2948" spans="1:9" x14ac:dyDescent="0.35">
      <c r="A2948">
        <v>924970</v>
      </c>
      <c r="B2948" t="s">
        <v>1034</v>
      </c>
      <c r="C2948" s="1">
        <v>44481</v>
      </c>
      <c r="D2948">
        <v>1288</v>
      </c>
      <c r="E2948" t="b">
        <v>0</v>
      </c>
      <c r="F2948">
        <v>423</v>
      </c>
      <c r="G2948" t="s">
        <v>33</v>
      </c>
      <c r="H2948" t="s">
        <v>1510</v>
      </c>
      <c r="I2948" t="s">
        <v>2117</v>
      </c>
    </row>
    <row r="2949" spans="1:9" x14ac:dyDescent="0.35">
      <c r="A2949">
        <v>1196590</v>
      </c>
      <c r="B2949" t="s">
        <v>1036</v>
      </c>
      <c r="C2949" s="1">
        <v>44322</v>
      </c>
      <c r="D2949">
        <v>1284</v>
      </c>
      <c r="E2949" t="b">
        <v>0</v>
      </c>
      <c r="F2949">
        <v>424</v>
      </c>
      <c r="G2949" t="s">
        <v>486</v>
      </c>
      <c r="H2949" t="s">
        <v>49</v>
      </c>
      <c r="I2949" t="s">
        <v>2116</v>
      </c>
    </row>
    <row r="2950" spans="1:9" x14ac:dyDescent="0.35">
      <c r="A2950">
        <v>1196590</v>
      </c>
      <c r="B2950" t="s">
        <v>1036</v>
      </c>
      <c r="C2950" s="1">
        <v>44322</v>
      </c>
      <c r="D2950">
        <v>1284</v>
      </c>
      <c r="E2950" t="b">
        <v>0</v>
      </c>
      <c r="F2950">
        <v>424</v>
      </c>
      <c r="G2950" t="s">
        <v>486</v>
      </c>
      <c r="H2950" t="s">
        <v>792</v>
      </c>
      <c r="I2950" t="s">
        <v>2117</v>
      </c>
    </row>
    <row r="2951" spans="1:9" x14ac:dyDescent="0.35">
      <c r="A2951">
        <v>1196590</v>
      </c>
      <c r="B2951" t="s">
        <v>1036</v>
      </c>
      <c r="C2951" s="1">
        <v>44322</v>
      </c>
      <c r="D2951">
        <v>1284</v>
      </c>
      <c r="E2951" t="b">
        <v>0</v>
      </c>
      <c r="F2951">
        <v>424</v>
      </c>
      <c r="G2951" t="s">
        <v>486</v>
      </c>
      <c r="H2951" t="s">
        <v>346</v>
      </c>
      <c r="I2951" t="s">
        <v>2117</v>
      </c>
    </row>
    <row r="2952" spans="1:9" x14ac:dyDescent="0.35">
      <c r="A2952">
        <v>1196590</v>
      </c>
      <c r="B2952" t="s">
        <v>1036</v>
      </c>
      <c r="C2952" s="1">
        <v>44322</v>
      </c>
      <c r="D2952">
        <v>1284</v>
      </c>
      <c r="E2952" t="b">
        <v>0</v>
      </c>
      <c r="F2952">
        <v>424</v>
      </c>
      <c r="G2952" t="s">
        <v>486</v>
      </c>
      <c r="H2952" t="s">
        <v>239</v>
      </c>
      <c r="I2952" t="s">
        <v>2117</v>
      </c>
    </row>
    <row r="2953" spans="1:9" x14ac:dyDescent="0.35">
      <c r="A2953">
        <v>1196590</v>
      </c>
      <c r="B2953" t="s">
        <v>1036</v>
      </c>
      <c r="C2953" s="1">
        <v>44322</v>
      </c>
      <c r="D2953">
        <v>1284</v>
      </c>
      <c r="E2953" t="b">
        <v>0</v>
      </c>
      <c r="F2953">
        <v>424</v>
      </c>
      <c r="G2953" t="s">
        <v>486</v>
      </c>
      <c r="H2953" t="s">
        <v>132</v>
      </c>
      <c r="I2953" t="s">
        <v>2117</v>
      </c>
    </row>
    <row r="2954" spans="1:9" x14ac:dyDescent="0.35">
      <c r="A2954">
        <v>1196590</v>
      </c>
      <c r="B2954" t="s">
        <v>1036</v>
      </c>
      <c r="C2954" s="1">
        <v>44322</v>
      </c>
      <c r="D2954">
        <v>1284</v>
      </c>
      <c r="E2954" t="b">
        <v>0</v>
      </c>
      <c r="F2954">
        <v>424</v>
      </c>
      <c r="G2954" t="s">
        <v>486</v>
      </c>
      <c r="H2954" t="s">
        <v>124</v>
      </c>
      <c r="I2954" t="s">
        <v>2117</v>
      </c>
    </row>
    <row r="2955" spans="1:9" x14ac:dyDescent="0.35">
      <c r="A2955">
        <v>1196590</v>
      </c>
      <c r="B2955" t="s">
        <v>1036</v>
      </c>
      <c r="C2955" s="1">
        <v>44322</v>
      </c>
      <c r="D2955">
        <v>1284</v>
      </c>
      <c r="E2955" t="b">
        <v>0</v>
      </c>
      <c r="F2955">
        <v>424</v>
      </c>
      <c r="G2955" t="s">
        <v>486</v>
      </c>
      <c r="H2955" t="s">
        <v>1510</v>
      </c>
      <c r="I2955" t="s">
        <v>2117</v>
      </c>
    </row>
    <row r="2956" spans="1:9" x14ac:dyDescent="0.35">
      <c r="A2956">
        <v>335240</v>
      </c>
      <c r="B2956" t="s">
        <v>1037</v>
      </c>
      <c r="C2956" s="1">
        <v>42034</v>
      </c>
      <c r="D2956">
        <v>1284</v>
      </c>
      <c r="E2956" t="b">
        <v>1</v>
      </c>
      <c r="F2956">
        <v>424</v>
      </c>
      <c r="G2956" t="s">
        <v>2084</v>
      </c>
      <c r="H2956" t="s">
        <v>49</v>
      </c>
      <c r="I2956" t="s">
        <v>2117</v>
      </c>
    </row>
    <row r="2957" spans="1:9" x14ac:dyDescent="0.35">
      <c r="A2957">
        <v>335240</v>
      </c>
      <c r="B2957" t="s">
        <v>1037</v>
      </c>
      <c r="C2957" s="1">
        <v>42034</v>
      </c>
      <c r="D2957">
        <v>1284</v>
      </c>
      <c r="E2957" t="b">
        <v>1</v>
      </c>
      <c r="F2957">
        <v>424</v>
      </c>
      <c r="G2957" t="s">
        <v>2084</v>
      </c>
      <c r="H2957" t="s">
        <v>792</v>
      </c>
      <c r="I2957" t="s">
        <v>2116</v>
      </c>
    </row>
    <row r="2958" spans="1:9" x14ac:dyDescent="0.35">
      <c r="A2958">
        <v>335240</v>
      </c>
      <c r="B2958" t="s">
        <v>1037</v>
      </c>
      <c r="C2958" s="1">
        <v>42034</v>
      </c>
      <c r="D2958">
        <v>1284</v>
      </c>
      <c r="E2958" t="b">
        <v>1</v>
      </c>
      <c r="F2958">
        <v>424</v>
      </c>
      <c r="G2958" t="s">
        <v>2084</v>
      </c>
      <c r="H2958" t="s">
        <v>346</v>
      </c>
      <c r="I2958" t="s">
        <v>2117</v>
      </c>
    </row>
    <row r="2959" spans="1:9" x14ac:dyDescent="0.35">
      <c r="A2959">
        <v>335240</v>
      </c>
      <c r="B2959" t="s">
        <v>1037</v>
      </c>
      <c r="C2959" s="1">
        <v>42034</v>
      </c>
      <c r="D2959">
        <v>1284</v>
      </c>
      <c r="E2959" t="b">
        <v>1</v>
      </c>
      <c r="F2959">
        <v>424</v>
      </c>
      <c r="G2959" t="s">
        <v>2084</v>
      </c>
      <c r="H2959" t="s">
        <v>239</v>
      </c>
      <c r="I2959" t="s">
        <v>2117</v>
      </c>
    </row>
    <row r="2960" spans="1:9" x14ac:dyDescent="0.35">
      <c r="A2960">
        <v>335240</v>
      </c>
      <c r="B2960" t="s">
        <v>1037</v>
      </c>
      <c r="C2960" s="1">
        <v>42034</v>
      </c>
      <c r="D2960">
        <v>1284</v>
      </c>
      <c r="E2960" t="b">
        <v>1</v>
      </c>
      <c r="F2960">
        <v>424</v>
      </c>
      <c r="G2960" t="s">
        <v>2084</v>
      </c>
      <c r="H2960" t="s">
        <v>132</v>
      </c>
      <c r="I2960" t="s">
        <v>2117</v>
      </c>
    </row>
    <row r="2961" spans="1:9" x14ac:dyDescent="0.35">
      <c r="A2961">
        <v>335240</v>
      </c>
      <c r="B2961" t="s">
        <v>1037</v>
      </c>
      <c r="C2961" s="1">
        <v>42034</v>
      </c>
      <c r="D2961">
        <v>1284</v>
      </c>
      <c r="E2961" t="b">
        <v>1</v>
      </c>
      <c r="F2961">
        <v>424</v>
      </c>
      <c r="G2961" t="s">
        <v>2084</v>
      </c>
      <c r="H2961" t="s">
        <v>124</v>
      </c>
      <c r="I2961" t="s">
        <v>2117</v>
      </c>
    </row>
    <row r="2962" spans="1:9" x14ac:dyDescent="0.35">
      <c r="A2962">
        <v>335240</v>
      </c>
      <c r="B2962" t="s">
        <v>1037</v>
      </c>
      <c r="C2962" s="1">
        <v>42034</v>
      </c>
      <c r="D2962">
        <v>1284</v>
      </c>
      <c r="E2962" t="b">
        <v>1</v>
      </c>
      <c r="F2962">
        <v>424</v>
      </c>
      <c r="G2962" t="s">
        <v>2084</v>
      </c>
      <c r="H2962" t="s">
        <v>1510</v>
      </c>
      <c r="I2962" t="s">
        <v>2116</v>
      </c>
    </row>
    <row r="2963" spans="1:9" x14ac:dyDescent="0.35">
      <c r="A2963">
        <v>963330</v>
      </c>
      <c r="B2963" t="s">
        <v>1040</v>
      </c>
      <c r="C2963" s="1">
        <v>43442</v>
      </c>
      <c r="D2963">
        <v>1281</v>
      </c>
      <c r="E2963" t="b">
        <v>0</v>
      </c>
      <c r="F2963">
        <v>426</v>
      </c>
      <c r="G2963" t="s">
        <v>304</v>
      </c>
      <c r="H2963" t="s">
        <v>49</v>
      </c>
      <c r="I2963" t="s">
        <v>2117</v>
      </c>
    </row>
    <row r="2964" spans="1:9" x14ac:dyDescent="0.35">
      <c r="A2964">
        <v>963330</v>
      </c>
      <c r="B2964" t="s">
        <v>1040</v>
      </c>
      <c r="C2964" s="1">
        <v>43442</v>
      </c>
      <c r="D2964">
        <v>1281</v>
      </c>
      <c r="E2964" t="b">
        <v>0</v>
      </c>
      <c r="F2964">
        <v>426</v>
      </c>
      <c r="G2964" t="s">
        <v>304</v>
      </c>
      <c r="H2964" t="s">
        <v>792</v>
      </c>
      <c r="I2964" t="s">
        <v>2116</v>
      </c>
    </row>
    <row r="2965" spans="1:9" x14ac:dyDescent="0.35">
      <c r="A2965">
        <v>963330</v>
      </c>
      <c r="B2965" t="s">
        <v>1040</v>
      </c>
      <c r="C2965" s="1">
        <v>43442</v>
      </c>
      <c r="D2965">
        <v>1281</v>
      </c>
      <c r="E2965" t="b">
        <v>0</v>
      </c>
      <c r="F2965">
        <v>426</v>
      </c>
      <c r="G2965" t="s">
        <v>304</v>
      </c>
      <c r="H2965" t="s">
        <v>346</v>
      </c>
      <c r="I2965" t="s">
        <v>2117</v>
      </c>
    </row>
    <row r="2966" spans="1:9" x14ac:dyDescent="0.35">
      <c r="A2966">
        <v>963330</v>
      </c>
      <c r="B2966" t="s">
        <v>1040</v>
      </c>
      <c r="C2966" s="1">
        <v>43442</v>
      </c>
      <c r="D2966">
        <v>1281</v>
      </c>
      <c r="E2966" t="b">
        <v>0</v>
      </c>
      <c r="F2966">
        <v>426</v>
      </c>
      <c r="G2966" t="s">
        <v>304</v>
      </c>
      <c r="H2966" t="s">
        <v>239</v>
      </c>
      <c r="I2966" t="s">
        <v>2117</v>
      </c>
    </row>
    <row r="2967" spans="1:9" x14ac:dyDescent="0.35">
      <c r="A2967">
        <v>963330</v>
      </c>
      <c r="B2967" t="s">
        <v>1040</v>
      </c>
      <c r="C2967" s="1">
        <v>43442</v>
      </c>
      <c r="D2967">
        <v>1281</v>
      </c>
      <c r="E2967" t="b">
        <v>0</v>
      </c>
      <c r="F2967">
        <v>426</v>
      </c>
      <c r="G2967" t="s">
        <v>304</v>
      </c>
      <c r="H2967" t="s">
        <v>132</v>
      </c>
      <c r="I2967" t="s">
        <v>2117</v>
      </c>
    </row>
    <row r="2968" spans="1:9" x14ac:dyDescent="0.35">
      <c r="A2968">
        <v>963330</v>
      </c>
      <c r="B2968" t="s">
        <v>1040</v>
      </c>
      <c r="C2968" s="1">
        <v>43442</v>
      </c>
      <c r="D2968">
        <v>1281</v>
      </c>
      <c r="E2968" t="b">
        <v>0</v>
      </c>
      <c r="F2968">
        <v>426</v>
      </c>
      <c r="G2968" t="s">
        <v>304</v>
      </c>
      <c r="H2968" t="s">
        <v>124</v>
      </c>
      <c r="I2968" t="s">
        <v>2117</v>
      </c>
    </row>
    <row r="2969" spans="1:9" x14ac:dyDescent="0.35">
      <c r="A2969">
        <v>963330</v>
      </c>
      <c r="B2969" t="s">
        <v>1040</v>
      </c>
      <c r="C2969" s="1">
        <v>43442</v>
      </c>
      <c r="D2969">
        <v>1281</v>
      </c>
      <c r="E2969" t="b">
        <v>0</v>
      </c>
      <c r="F2969">
        <v>426</v>
      </c>
      <c r="G2969" t="s">
        <v>304</v>
      </c>
      <c r="H2969" t="s">
        <v>1510</v>
      </c>
      <c r="I2969" t="s">
        <v>2117</v>
      </c>
    </row>
    <row r="2970" spans="1:9" x14ac:dyDescent="0.35">
      <c r="A2970">
        <v>495420</v>
      </c>
      <c r="B2970" t="s">
        <v>1042</v>
      </c>
      <c r="C2970" s="1">
        <v>43903</v>
      </c>
      <c r="D2970">
        <v>1281</v>
      </c>
      <c r="E2970" t="b">
        <v>0</v>
      </c>
      <c r="F2970">
        <v>426</v>
      </c>
      <c r="G2970" t="s">
        <v>513</v>
      </c>
      <c r="H2970" t="s">
        <v>49</v>
      </c>
      <c r="I2970" t="s">
        <v>2116</v>
      </c>
    </row>
    <row r="2971" spans="1:9" x14ac:dyDescent="0.35">
      <c r="A2971">
        <v>495420</v>
      </c>
      <c r="B2971" t="s">
        <v>1042</v>
      </c>
      <c r="C2971" s="1">
        <v>43903</v>
      </c>
      <c r="D2971">
        <v>1281</v>
      </c>
      <c r="E2971" t="b">
        <v>0</v>
      </c>
      <c r="F2971">
        <v>426</v>
      </c>
      <c r="G2971" t="s">
        <v>513</v>
      </c>
      <c r="H2971" t="s">
        <v>792</v>
      </c>
      <c r="I2971" t="s">
        <v>2117</v>
      </c>
    </row>
    <row r="2972" spans="1:9" x14ac:dyDescent="0.35">
      <c r="A2972">
        <v>495420</v>
      </c>
      <c r="B2972" t="s">
        <v>1042</v>
      </c>
      <c r="C2972" s="1">
        <v>43903</v>
      </c>
      <c r="D2972">
        <v>1281</v>
      </c>
      <c r="E2972" t="b">
        <v>0</v>
      </c>
      <c r="F2972">
        <v>426</v>
      </c>
      <c r="G2972" t="s">
        <v>513</v>
      </c>
      <c r="H2972" t="s">
        <v>346</v>
      </c>
      <c r="I2972" t="s">
        <v>2117</v>
      </c>
    </row>
    <row r="2973" spans="1:9" x14ac:dyDescent="0.35">
      <c r="A2973">
        <v>495420</v>
      </c>
      <c r="B2973" t="s">
        <v>1042</v>
      </c>
      <c r="C2973" s="1">
        <v>43903</v>
      </c>
      <c r="D2973">
        <v>1281</v>
      </c>
      <c r="E2973" t="b">
        <v>0</v>
      </c>
      <c r="F2973">
        <v>426</v>
      </c>
      <c r="G2973" t="s">
        <v>513</v>
      </c>
      <c r="H2973" t="s">
        <v>239</v>
      </c>
      <c r="I2973" t="s">
        <v>2116</v>
      </c>
    </row>
    <row r="2974" spans="1:9" x14ac:dyDescent="0.35">
      <c r="A2974">
        <v>495420</v>
      </c>
      <c r="B2974" t="s">
        <v>1042</v>
      </c>
      <c r="C2974" s="1">
        <v>43903</v>
      </c>
      <c r="D2974">
        <v>1281</v>
      </c>
      <c r="E2974" t="b">
        <v>0</v>
      </c>
      <c r="F2974">
        <v>426</v>
      </c>
      <c r="G2974" t="s">
        <v>513</v>
      </c>
      <c r="H2974" t="s">
        <v>132</v>
      </c>
      <c r="I2974" t="s">
        <v>2116</v>
      </c>
    </row>
    <row r="2975" spans="1:9" x14ac:dyDescent="0.35">
      <c r="A2975">
        <v>495420</v>
      </c>
      <c r="B2975" t="s">
        <v>1042</v>
      </c>
      <c r="C2975" s="1">
        <v>43903</v>
      </c>
      <c r="D2975">
        <v>1281</v>
      </c>
      <c r="E2975" t="b">
        <v>0</v>
      </c>
      <c r="F2975">
        <v>426</v>
      </c>
      <c r="G2975" t="s">
        <v>513</v>
      </c>
      <c r="H2975" t="s">
        <v>124</v>
      </c>
      <c r="I2975" t="s">
        <v>2117</v>
      </c>
    </row>
    <row r="2976" spans="1:9" x14ac:dyDescent="0.35">
      <c r="A2976">
        <v>495420</v>
      </c>
      <c r="B2976" t="s">
        <v>1042</v>
      </c>
      <c r="C2976" s="1">
        <v>43903</v>
      </c>
      <c r="D2976">
        <v>1281</v>
      </c>
      <c r="E2976" t="b">
        <v>0</v>
      </c>
      <c r="F2976">
        <v>426</v>
      </c>
      <c r="G2976" t="s">
        <v>513</v>
      </c>
      <c r="H2976" t="s">
        <v>1510</v>
      </c>
      <c r="I2976" t="s">
        <v>2117</v>
      </c>
    </row>
    <row r="2977" spans="1:9" x14ac:dyDescent="0.35">
      <c r="A2977">
        <v>767560</v>
      </c>
      <c r="B2977" t="s">
        <v>1045</v>
      </c>
      <c r="C2977" s="1">
        <v>43194</v>
      </c>
      <c r="D2977">
        <v>1280</v>
      </c>
      <c r="E2977" t="b">
        <v>0</v>
      </c>
      <c r="F2977">
        <v>428</v>
      </c>
      <c r="G2977" t="s">
        <v>133</v>
      </c>
      <c r="H2977" t="s">
        <v>49</v>
      </c>
      <c r="I2977" t="s">
        <v>2116</v>
      </c>
    </row>
    <row r="2978" spans="1:9" x14ac:dyDescent="0.35">
      <c r="A2978">
        <v>767560</v>
      </c>
      <c r="B2978" t="s">
        <v>1045</v>
      </c>
      <c r="C2978" s="1">
        <v>43194</v>
      </c>
      <c r="D2978">
        <v>1280</v>
      </c>
      <c r="E2978" t="b">
        <v>0</v>
      </c>
      <c r="F2978">
        <v>428</v>
      </c>
      <c r="G2978" t="s">
        <v>133</v>
      </c>
      <c r="H2978" t="s">
        <v>792</v>
      </c>
      <c r="I2978" t="s">
        <v>2117</v>
      </c>
    </row>
    <row r="2979" spans="1:9" x14ac:dyDescent="0.35">
      <c r="A2979">
        <v>767560</v>
      </c>
      <c r="B2979" t="s">
        <v>1045</v>
      </c>
      <c r="C2979" s="1">
        <v>43194</v>
      </c>
      <c r="D2979">
        <v>1280</v>
      </c>
      <c r="E2979" t="b">
        <v>0</v>
      </c>
      <c r="F2979">
        <v>428</v>
      </c>
      <c r="G2979" t="s">
        <v>133</v>
      </c>
      <c r="H2979" t="s">
        <v>346</v>
      </c>
      <c r="I2979" t="s">
        <v>2117</v>
      </c>
    </row>
    <row r="2980" spans="1:9" x14ac:dyDescent="0.35">
      <c r="A2980">
        <v>767560</v>
      </c>
      <c r="B2980" t="s">
        <v>1045</v>
      </c>
      <c r="C2980" s="1">
        <v>43194</v>
      </c>
      <c r="D2980">
        <v>1280</v>
      </c>
      <c r="E2980" t="b">
        <v>0</v>
      </c>
      <c r="F2980">
        <v>428</v>
      </c>
      <c r="G2980" t="s">
        <v>133</v>
      </c>
      <c r="H2980" t="s">
        <v>239</v>
      </c>
      <c r="I2980" t="s">
        <v>2117</v>
      </c>
    </row>
    <row r="2981" spans="1:9" x14ac:dyDescent="0.35">
      <c r="A2981">
        <v>767560</v>
      </c>
      <c r="B2981" t="s">
        <v>1045</v>
      </c>
      <c r="C2981" s="1">
        <v>43194</v>
      </c>
      <c r="D2981">
        <v>1280</v>
      </c>
      <c r="E2981" t="b">
        <v>0</v>
      </c>
      <c r="F2981">
        <v>428</v>
      </c>
      <c r="G2981" t="s">
        <v>133</v>
      </c>
      <c r="H2981" t="s">
        <v>132</v>
      </c>
      <c r="I2981" t="s">
        <v>2117</v>
      </c>
    </row>
    <row r="2982" spans="1:9" x14ac:dyDescent="0.35">
      <c r="A2982">
        <v>767560</v>
      </c>
      <c r="B2982" t="s">
        <v>1045</v>
      </c>
      <c r="C2982" s="1">
        <v>43194</v>
      </c>
      <c r="D2982">
        <v>1280</v>
      </c>
      <c r="E2982" t="b">
        <v>0</v>
      </c>
      <c r="F2982">
        <v>428</v>
      </c>
      <c r="G2982" t="s">
        <v>133</v>
      </c>
      <c r="H2982" t="s">
        <v>124</v>
      </c>
      <c r="I2982" t="s">
        <v>2117</v>
      </c>
    </row>
    <row r="2983" spans="1:9" x14ac:dyDescent="0.35">
      <c r="A2983">
        <v>767560</v>
      </c>
      <c r="B2983" t="s">
        <v>1045</v>
      </c>
      <c r="C2983" s="1">
        <v>43194</v>
      </c>
      <c r="D2983">
        <v>1280</v>
      </c>
      <c r="E2983" t="b">
        <v>0</v>
      </c>
      <c r="F2983">
        <v>428</v>
      </c>
      <c r="G2983" t="s">
        <v>133</v>
      </c>
      <c r="H2983" t="s">
        <v>1510</v>
      </c>
      <c r="I2983" t="s">
        <v>2116</v>
      </c>
    </row>
    <row r="2984" spans="1:9" x14ac:dyDescent="0.35">
      <c r="A2984">
        <v>1811260</v>
      </c>
      <c r="B2984" t="s">
        <v>1047</v>
      </c>
      <c r="C2984" s="1">
        <v>44834</v>
      </c>
      <c r="D2984">
        <v>1280</v>
      </c>
      <c r="E2984" t="b">
        <v>0</v>
      </c>
      <c r="F2984">
        <v>428</v>
      </c>
      <c r="G2984" t="s">
        <v>175</v>
      </c>
      <c r="H2984" t="s">
        <v>49</v>
      </c>
      <c r="I2984" t="s">
        <v>2117</v>
      </c>
    </row>
    <row r="2985" spans="1:9" x14ac:dyDescent="0.35">
      <c r="A2985">
        <v>1811260</v>
      </c>
      <c r="B2985" t="s">
        <v>1047</v>
      </c>
      <c r="C2985" s="1">
        <v>44834</v>
      </c>
      <c r="D2985">
        <v>1280</v>
      </c>
      <c r="E2985" t="b">
        <v>0</v>
      </c>
      <c r="F2985">
        <v>428</v>
      </c>
      <c r="G2985" t="s">
        <v>175</v>
      </c>
      <c r="H2985" t="s">
        <v>792</v>
      </c>
      <c r="I2985" t="s">
        <v>2117</v>
      </c>
    </row>
    <row r="2986" spans="1:9" x14ac:dyDescent="0.35">
      <c r="A2986">
        <v>1811260</v>
      </c>
      <c r="B2986" t="s">
        <v>1047</v>
      </c>
      <c r="C2986" s="1">
        <v>44834</v>
      </c>
      <c r="D2986">
        <v>1280</v>
      </c>
      <c r="E2986" t="b">
        <v>0</v>
      </c>
      <c r="F2986">
        <v>428</v>
      </c>
      <c r="G2986" t="s">
        <v>175</v>
      </c>
      <c r="H2986" t="s">
        <v>346</v>
      </c>
      <c r="I2986" t="s">
        <v>2117</v>
      </c>
    </row>
    <row r="2987" spans="1:9" x14ac:dyDescent="0.35">
      <c r="A2987">
        <v>1811260</v>
      </c>
      <c r="B2987" t="s">
        <v>1047</v>
      </c>
      <c r="C2987" s="1">
        <v>44834</v>
      </c>
      <c r="D2987">
        <v>1280</v>
      </c>
      <c r="E2987" t="b">
        <v>0</v>
      </c>
      <c r="F2987">
        <v>428</v>
      </c>
      <c r="G2987" t="s">
        <v>175</v>
      </c>
      <c r="H2987" t="s">
        <v>239</v>
      </c>
      <c r="I2987" t="s">
        <v>2116</v>
      </c>
    </row>
    <row r="2988" spans="1:9" x14ac:dyDescent="0.35">
      <c r="A2988">
        <v>1811260</v>
      </c>
      <c r="B2988" t="s">
        <v>1047</v>
      </c>
      <c r="C2988" s="1">
        <v>44834</v>
      </c>
      <c r="D2988">
        <v>1280</v>
      </c>
      <c r="E2988" t="b">
        <v>0</v>
      </c>
      <c r="F2988">
        <v>428</v>
      </c>
      <c r="G2988" t="s">
        <v>175</v>
      </c>
      <c r="H2988" t="s">
        <v>132</v>
      </c>
      <c r="I2988" t="s">
        <v>2117</v>
      </c>
    </row>
    <row r="2989" spans="1:9" x14ac:dyDescent="0.35">
      <c r="A2989">
        <v>1811260</v>
      </c>
      <c r="B2989" t="s">
        <v>1047</v>
      </c>
      <c r="C2989" s="1">
        <v>44834</v>
      </c>
      <c r="D2989">
        <v>1280</v>
      </c>
      <c r="E2989" t="b">
        <v>0</v>
      </c>
      <c r="F2989">
        <v>428</v>
      </c>
      <c r="G2989" t="s">
        <v>175</v>
      </c>
      <c r="H2989" t="s">
        <v>124</v>
      </c>
      <c r="I2989" t="s">
        <v>2117</v>
      </c>
    </row>
    <row r="2990" spans="1:9" x14ac:dyDescent="0.35">
      <c r="A2990">
        <v>1811260</v>
      </c>
      <c r="B2990" t="s">
        <v>1047</v>
      </c>
      <c r="C2990" s="1">
        <v>44834</v>
      </c>
      <c r="D2990">
        <v>1280</v>
      </c>
      <c r="E2990" t="b">
        <v>0</v>
      </c>
      <c r="F2990">
        <v>428</v>
      </c>
      <c r="G2990" t="s">
        <v>175</v>
      </c>
      <c r="H2990" t="s">
        <v>1510</v>
      </c>
      <c r="I2990" t="s">
        <v>2117</v>
      </c>
    </row>
    <row r="2991" spans="1:9" x14ac:dyDescent="0.35">
      <c r="A2991">
        <v>2135150</v>
      </c>
      <c r="B2991" t="s">
        <v>1049</v>
      </c>
      <c r="C2991" s="1">
        <v>45597</v>
      </c>
      <c r="D2991">
        <v>1277</v>
      </c>
      <c r="E2991" t="b">
        <v>0</v>
      </c>
      <c r="F2991">
        <v>430</v>
      </c>
      <c r="G2991" t="s">
        <v>161</v>
      </c>
      <c r="H2991" t="s">
        <v>49</v>
      </c>
      <c r="I2991" t="s">
        <v>2117</v>
      </c>
    </row>
    <row r="2992" spans="1:9" x14ac:dyDescent="0.35">
      <c r="A2992">
        <v>2135150</v>
      </c>
      <c r="B2992" t="s">
        <v>1049</v>
      </c>
      <c r="C2992" s="1">
        <v>45597</v>
      </c>
      <c r="D2992">
        <v>1277</v>
      </c>
      <c r="E2992" t="b">
        <v>0</v>
      </c>
      <c r="F2992">
        <v>430</v>
      </c>
      <c r="G2992" t="s">
        <v>161</v>
      </c>
      <c r="H2992" t="s">
        <v>792</v>
      </c>
      <c r="I2992" t="s">
        <v>2116</v>
      </c>
    </row>
    <row r="2993" spans="1:9" x14ac:dyDescent="0.35">
      <c r="A2993">
        <v>2135150</v>
      </c>
      <c r="B2993" t="s">
        <v>1049</v>
      </c>
      <c r="C2993" s="1">
        <v>45597</v>
      </c>
      <c r="D2993">
        <v>1277</v>
      </c>
      <c r="E2993" t="b">
        <v>0</v>
      </c>
      <c r="F2993">
        <v>430</v>
      </c>
      <c r="G2993" t="s">
        <v>161</v>
      </c>
      <c r="H2993" t="s">
        <v>346</v>
      </c>
      <c r="I2993" t="s">
        <v>2117</v>
      </c>
    </row>
    <row r="2994" spans="1:9" x14ac:dyDescent="0.35">
      <c r="A2994">
        <v>2135150</v>
      </c>
      <c r="B2994" t="s">
        <v>1049</v>
      </c>
      <c r="C2994" s="1">
        <v>45597</v>
      </c>
      <c r="D2994">
        <v>1277</v>
      </c>
      <c r="E2994" t="b">
        <v>0</v>
      </c>
      <c r="F2994">
        <v>430</v>
      </c>
      <c r="G2994" t="s">
        <v>161</v>
      </c>
      <c r="H2994" t="s">
        <v>239</v>
      </c>
      <c r="I2994" t="s">
        <v>2116</v>
      </c>
    </row>
    <row r="2995" spans="1:9" x14ac:dyDescent="0.35">
      <c r="A2995">
        <v>2135150</v>
      </c>
      <c r="B2995" t="s">
        <v>1049</v>
      </c>
      <c r="C2995" s="1">
        <v>45597</v>
      </c>
      <c r="D2995">
        <v>1277</v>
      </c>
      <c r="E2995" t="b">
        <v>0</v>
      </c>
      <c r="F2995">
        <v>430</v>
      </c>
      <c r="G2995" t="s">
        <v>161</v>
      </c>
      <c r="H2995" t="s">
        <v>132</v>
      </c>
      <c r="I2995" t="s">
        <v>2116</v>
      </c>
    </row>
    <row r="2996" spans="1:9" x14ac:dyDescent="0.35">
      <c r="A2996">
        <v>2135150</v>
      </c>
      <c r="B2996" t="s">
        <v>1049</v>
      </c>
      <c r="C2996" s="1">
        <v>45597</v>
      </c>
      <c r="D2996">
        <v>1277</v>
      </c>
      <c r="E2996" t="b">
        <v>0</v>
      </c>
      <c r="F2996">
        <v>430</v>
      </c>
      <c r="G2996" t="s">
        <v>161</v>
      </c>
      <c r="H2996" t="s">
        <v>124</v>
      </c>
      <c r="I2996" t="s">
        <v>2116</v>
      </c>
    </row>
    <row r="2997" spans="1:9" x14ac:dyDescent="0.35">
      <c r="A2997">
        <v>2135150</v>
      </c>
      <c r="B2997" t="s">
        <v>1049</v>
      </c>
      <c r="C2997" s="1">
        <v>45597</v>
      </c>
      <c r="D2997">
        <v>1277</v>
      </c>
      <c r="E2997" t="b">
        <v>0</v>
      </c>
      <c r="F2997">
        <v>430</v>
      </c>
      <c r="G2997" t="s">
        <v>161</v>
      </c>
      <c r="H2997" t="s">
        <v>1510</v>
      </c>
      <c r="I2997" t="s">
        <v>2117</v>
      </c>
    </row>
    <row r="2998" spans="1:9" x14ac:dyDescent="0.35">
      <c r="A2998">
        <v>47890</v>
      </c>
      <c r="B2998" t="s">
        <v>1051</v>
      </c>
      <c r="C2998" s="1">
        <v>40570</v>
      </c>
      <c r="D2998">
        <v>1264</v>
      </c>
      <c r="E2998" t="b">
        <v>0</v>
      </c>
      <c r="F2998">
        <v>431</v>
      </c>
      <c r="G2998" t="s">
        <v>2084</v>
      </c>
      <c r="H2998" t="s">
        <v>49</v>
      </c>
      <c r="I2998" t="s">
        <v>2117</v>
      </c>
    </row>
    <row r="2999" spans="1:9" x14ac:dyDescent="0.35">
      <c r="A2999">
        <v>47890</v>
      </c>
      <c r="B2999" t="s">
        <v>1051</v>
      </c>
      <c r="C2999" s="1">
        <v>40570</v>
      </c>
      <c r="D2999">
        <v>1264</v>
      </c>
      <c r="E2999" t="b">
        <v>0</v>
      </c>
      <c r="F2999">
        <v>431</v>
      </c>
      <c r="G2999" t="s">
        <v>2084</v>
      </c>
      <c r="H2999" t="s">
        <v>792</v>
      </c>
      <c r="I2999" t="s">
        <v>2117</v>
      </c>
    </row>
    <row r="3000" spans="1:9" x14ac:dyDescent="0.35">
      <c r="A3000">
        <v>47890</v>
      </c>
      <c r="B3000" t="s">
        <v>1051</v>
      </c>
      <c r="C3000" s="1">
        <v>40570</v>
      </c>
      <c r="D3000">
        <v>1264</v>
      </c>
      <c r="E3000" t="b">
        <v>0</v>
      </c>
      <c r="F3000">
        <v>431</v>
      </c>
      <c r="G3000" t="s">
        <v>2084</v>
      </c>
      <c r="H3000" t="s">
        <v>346</v>
      </c>
      <c r="I3000" t="s">
        <v>2117</v>
      </c>
    </row>
    <row r="3001" spans="1:9" x14ac:dyDescent="0.35">
      <c r="A3001">
        <v>47890</v>
      </c>
      <c r="B3001" t="s">
        <v>1051</v>
      </c>
      <c r="C3001" s="1">
        <v>40570</v>
      </c>
      <c r="D3001">
        <v>1264</v>
      </c>
      <c r="E3001" t="b">
        <v>0</v>
      </c>
      <c r="F3001">
        <v>431</v>
      </c>
      <c r="G3001" t="s">
        <v>2084</v>
      </c>
      <c r="H3001" t="s">
        <v>239</v>
      </c>
      <c r="I3001" t="s">
        <v>2116</v>
      </c>
    </row>
    <row r="3002" spans="1:9" x14ac:dyDescent="0.35">
      <c r="A3002">
        <v>47890</v>
      </c>
      <c r="B3002" t="s">
        <v>1051</v>
      </c>
      <c r="C3002" s="1">
        <v>40570</v>
      </c>
      <c r="D3002">
        <v>1264</v>
      </c>
      <c r="E3002" t="b">
        <v>0</v>
      </c>
      <c r="F3002">
        <v>431</v>
      </c>
      <c r="G3002" t="s">
        <v>2084</v>
      </c>
      <c r="H3002" t="s">
        <v>132</v>
      </c>
      <c r="I3002" t="s">
        <v>2117</v>
      </c>
    </row>
    <row r="3003" spans="1:9" x14ac:dyDescent="0.35">
      <c r="A3003">
        <v>47890</v>
      </c>
      <c r="B3003" t="s">
        <v>1051</v>
      </c>
      <c r="C3003" s="1">
        <v>40570</v>
      </c>
      <c r="D3003">
        <v>1264</v>
      </c>
      <c r="E3003" t="b">
        <v>0</v>
      </c>
      <c r="F3003">
        <v>431</v>
      </c>
      <c r="G3003" t="s">
        <v>2084</v>
      </c>
      <c r="H3003" t="s">
        <v>124</v>
      </c>
      <c r="I3003" t="s">
        <v>2117</v>
      </c>
    </row>
    <row r="3004" spans="1:9" x14ac:dyDescent="0.35">
      <c r="A3004">
        <v>47890</v>
      </c>
      <c r="B3004" t="s">
        <v>1051</v>
      </c>
      <c r="C3004" s="1">
        <v>40570</v>
      </c>
      <c r="D3004">
        <v>1264</v>
      </c>
      <c r="E3004" t="b">
        <v>0</v>
      </c>
      <c r="F3004">
        <v>431</v>
      </c>
      <c r="G3004" t="s">
        <v>2084</v>
      </c>
      <c r="H3004" t="s">
        <v>1510</v>
      </c>
      <c r="I3004" t="s">
        <v>2117</v>
      </c>
    </row>
    <row r="3005" spans="1:9" x14ac:dyDescent="0.35">
      <c r="A3005">
        <v>2591280</v>
      </c>
      <c r="B3005" t="s">
        <v>1052</v>
      </c>
      <c r="C3005" s="1">
        <v>45496</v>
      </c>
      <c r="D3005">
        <v>1262</v>
      </c>
      <c r="E3005" t="b">
        <v>0</v>
      </c>
      <c r="F3005">
        <v>432</v>
      </c>
      <c r="G3005" t="s">
        <v>371</v>
      </c>
      <c r="H3005" t="s">
        <v>49</v>
      </c>
      <c r="I3005" t="s">
        <v>2117</v>
      </c>
    </row>
    <row r="3006" spans="1:9" x14ac:dyDescent="0.35">
      <c r="A3006">
        <v>2591280</v>
      </c>
      <c r="B3006" t="s">
        <v>1052</v>
      </c>
      <c r="C3006" s="1">
        <v>45496</v>
      </c>
      <c r="D3006">
        <v>1262</v>
      </c>
      <c r="E3006" t="b">
        <v>0</v>
      </c>
      <c r="F3006">
        <v>432</v>
      </c>
      <c r="G3006" t="s">
        <v>371</v>
      </c>
      <c r="H3006" t="s">
        <v>792</v>
      </c>
      <c r="I3006" t="s">
        <v>2117</v>
      </c>
    </row>
    <row r="3007" spans="1:9" x14ac:dyDescent="0.35">
      <c r="A3007">
        <v>2591280</v>
      </c>
      <c r="B3007" t="s">
        <v>1052</v>
      </c>
      <c r="C3007" s="1">
        <v>45496</v>
      </c>
      <c r="D3007">
        <v>1262</v>
      </c>
      <c r="E3007" t="b">
        <v>0</v>
      </c>
      <c r="F3007">
        <v>432</v>
      </c>
      <c r="G3007" t="s">
        <v>371</v>
      </c>
      <c r="H3007" t="s">
        <v>346</v>
      </c>
      <c r="I3007" t="s">
        <v>2117</v>
      </c>
    </row>
    <row r="3008" spans="1:9" x14ac:dyDescent="0.35">
      <c r="A3008">
        <v>2591280</v>
      </c>
      <c r="B3008" t="s">
        <v>1052</v>
      </c>
      <c r="C3008" s="1">
        <v>45496</v>
      </c>
      <c r="D3008">
        <v>1262</v>
      </c>
      <c r="E3008" t="b">
        <v>0</v>
      </c>
      <c r="F3008">
        <v>432</v>
      </c>
      <c r="G3008" t="s">
        <v>371</v>
      </c>
      <c r="H3008" t="s">
        <v>239</v>
      </c>
      <c r="I3008" t="s">
        <v>2116</v>
      </c>
    </row>
    <row r="3009" spans="1:9" x14ac:dyDescent="0.35">
      <c r="A3009">
        <v>2591280</v>
      </c>
      <c r="B3009" t="s">
        <v>1052</v>
      </c>
      <c r="C3009" s="1">
        <v>45496</v>
      </c>
      <c r="D3009">
        <v>1262</v>
      </c>
      <c r="E3009" t="b">
        <v>0</v>
      </c>
      <c r="F3009">
        <v>432</v>
      </c>
      <c r="G3009" t="s">
        <v>371</v>
      </c>
      <c r="H3009" t="s">
        <v>132</v>
      </c>
      <c r="I3009" t="s">
        <v>2117</v>
      </c>
    </row>
    <row r="3010" spans="1:9" x14ac:dyDescent="0.35">
      <c r="A3010">
        <v>2591280</v>
      </c>
      <c r="B3010" t="s">
        <v>1052</v>
      </c>
      <c r="C3010" s="1">
        <v>45496</v>
      </c>
      <c r="D3010">
        <v>1262</v>
      </c>
      <c r="E3010" t="b">
        <v>0</v>
      </c>
      <c r="F3010">
        <v>432</v>
      </c>
      <c r="G3010" t="s">
        <v>371</v>
      </c>
      <c r="H3010" t="s">
        <v>124</v>
      </c>
      <c r="I3010" t="s">
        <v>2116</v>
      </c>
    </row>
    <row r="3011" spans="1:9" x14ac:dyDescent="0.35">
      <c r="A3011">
        <v>2591280</v>
      </c>
      <c r="B3011" t="s">
        <v>1052</v>
      </c>
      <c r="C3011" s="1">
        <v>45496</v>
      </c>
      <c r="D3011">
        <v>1262</v>
      </c>
      <c r="E3011" t="b">
        <v>0</v>
      </c>
      <c r="F3011">
        <v>432</v>
      </c>
      <c r="G3011" t="s">
        <v>371</v>
      </c>
      <c r="H3011" t="s">
        <v>1510</v>
      </c>
      <c r="I3011" t="s">
        <v>2117</v>
      </c>
    </row>
    <row r="3012" spans="1:9" x14ac:dyDescent="0.35">
      <c r="A3012">
        <v>3228590</v>
      </c>
      <c r="B3012" t="s">
        <v>1054</v>
      </c>
      <c r="C3012" s="1">
        <v>45880</v>
      </c>
      <c r="D3012">
        <v>1261</v>
      </c>
      <c r="E3012" t="b">
        <v>0</v>
      </c>
      <c r="F3012">
        <v>433</v>
      </c>
      <c r="G3012" t="s">
        <v>833</v>
      </c>
      <c r="H3012" t="s">
        <v>49</v>
      </c>
      <c r="I3012" t="s">
        <v>2116</v>
      </c>
    </row>
    <row r="3013" spans="1:9" x14ac:dyDescent="0.35">
      <c r="A3013">
        <v>3228590</v>
      </c>
      <c r="B3013" t="s">
        <v>1054</v>
      </c>
      <c r="C3013" s="1">
        <v>45880</v>
      </c>
      <c r="D3013">
        <v>1261</v>
      </c>
      <c r="E3013" t="b">
        <v>0</v>
      </c>
      <c r="F3013">
        <v>433</v>
      </c>
      <c r="G3013" t="s">
        <v>833</v>
      </c>
      <c r="H3013" t="s">
        <v>792</v>
      </c>
      <c r="I3013" t="s">
        <v>2117</v>
      </c>
    </row>
    <row r="3014" spans="1:9" x14ac:dyDescent="0.35">
      <c r="A3014">
        <v>3228590</v>
      </c>
      <c r="B3014" t="s">
        <v>1054</v>
      </c>
      <c r="C3014" s="1">
        <v>45880</v>
      </c>
      <c r="D3014">
        <v>1261</v>
      </c>
      <c r="E3014" t="b">
        <v>0</v>
      </c>
      <c r="F3014">
        <v>433</v>
      </c>
      <c r="G3014" t="s">
        <v>833</v>
      </c>
      <c r="H3014" t="s">
        <v>346</v>
      </c>
      <c r="I3014" t="s">
        <v>2117</v>
      </c>
    </row>
    <row r="3015" spans="1:9" x14ac:dyDescent="0.35">
      <c r="A3015">
        <v>3228590</v>
      </c>
      <c r="B3015" t="s">
        <v>1054</v>
      </c>
      <c r="C3015" s="1">
        <v>45880</v>
      </c>
      <c r="D3015">
        <v>1261</v>
      </c>
      <c r="E3015" t="b">
        <v>0</v>
      </c>
      <c r="F3015">
        <v>433</v>
      </c>
      <c r="G3015" t="s">
        <v>833</v>
      </c>
      <c r="H3015" t="s">
        <v>239</v>
      </c>
      <c r="I3015" t="s">
        <v>2117</v>
      </c>
    </row>
    <row r="3016" spans="1:9" x14ac:dyDescent="0.35">
      <c r="A3016">
        <v>3228590</v>
      </c>
      <c r="B3016" t="s">
        <v>1054</v>
      </c>
      <c r="C3016" s="1">
        <v>45880</v>
      </c>
      <c r="D3016">
        <v>1261</v>
      </c>
      <c r="E3016" t="b">
        <v>0</v>
      </c>
      <c r="F3016">
        <v>433</v>
      </c>
      <c r="G3016" t="s">
        <v>833</v>
      </c>
      <c r="H3016" t="s">
        <v>132</v>
      </c>
      <c r="I3016" t="s">
        <v>2117</v>
      </c>
    </row>
    <row r="3017" spans="1:9" x14ac:dyDescent="0.35">
      <c r="A3017">
        <v>3228590</v>
      </c>
      <c r="B3017" t="s">
        <v>1054</v>
      </c>
      <c r="C3017" s="1">
        <v>45880</v>
      </c>
      <c r="D3017">
        <v>1261</v>
      </c>
      <c r="E3017" t="b">
        <v>0</v>
      </c>
      <c r="F3017">
        <v>433</v>
      </c>
      <c r="G3017" t="s">
        <v>833</v>
      </c>
      <c r="H3017" t="s">
        <v>124</v>
      </c>
      <c r="I3017" t="s">
        <v>2117</v>
      </c>
    </row>
    <row r="3018" spans="1:9" x14ac:dyDescent="0.35">
      <c r="A3018">
        <v>3228590</v>
      </c>
      <c r="B3018" t="s">
        <v>1054</v>
      </c>
      <c r="C3018" s="1">
        <v>45880</v>
      </c>
      <c r="D3018">
        <v>1261</v>
      </c>
      <c r="E3018" t="b">
        <v>0</v>
      </c>
      <c r="F3018">
        <v>433</v>
      </c>
      <c r="G3018" t="s">
        <v>833</v>
      </c>
      <c r="H3018" t="s">
        <v>1510</v>
      </c>
      <c r="I3018" t="s">
        <v>2117</v>
      </c>
    </row>
    <row r="3019" spans="1:9" x14ac:dyDescent="0.35">
      <c r="A3019">
        <v>3150440</v>
      </c>
      <c r="B3019" t="s">
        <v>1056</v>
      </c>
      <c r="C3019" s="1">
        <v>45635</v>
      </c>
      <c r="D3019">
        <v>1256</v>
      </c>
      <c r="E3019" t="b">
        <v>0</v>
      </c>
      <c r="F3019">
        <v>434</v>
      </c>
      <c r="G3019" t="s">
        <v>133</v>
      </c>
      <c r="H3019" t="s">
        <v>49</v>
      </c>
      <c r="I3019" t="s">
        <v>2117</v>
      </c>
    </row>
    <row r="3020" spans="1:9" x14ac:dyDescent="0.35">
      <c r="A3020">
        <v>3150440</v>
      </c>
      <c r="B3020" t="s">
        <v>1056</v>
      </c>
      <c r="C3020" s="1">
        <v>45635</v>
      </c>
      <c r="D3020">
        <v>1256</v>
      </c>
      <c r="E3020" t="b">
        <v>0</v>
      </c>
      <c r="F3020">
        <v>434</v>
      </c>
      <c r="G3020" t="s">
        <v>133</v>
      </c>
      <c r="H3020" t="s">
        <v>792</v>
      </c>
      <c r="I3020" t="s">
        <v>2116</v>
      </c>
    </row>
    <row r="3021" spans="1:9" x14ac:dyDescent="0.35">
      <c r="A3021">
        <v>3150440</v>
      </c>
      <c r="B3021" t="s">
        <v>1056</v>
      </c>
      <c r="C3021" s="1">
        <v>45635</v>
      </c>
      <c r="D3021">
        <v>1256</v>
      </c>
      <c r="E3021" t="b">
        <v>0</v>
      </c>
      <c r="F3021">
        <v>434</v>
      </c>
      <c r="G3021" t="s">
        <v>133</v>
      </c>
      <c r="H3021" t="s">
        <v>346</v>
      </c>
      <c r="I3021" t="s">
        <v>2117</v>
      </c>
    </row>
    <row r="3022" spans="1:9" x14ac:dyDescent="0.35">
      <c r="A3022">
        <v>3150440</v>
      </c>
      <c r="B3022" t="s">
        <v>1056</v>
      </c>
      <c r="C3022" s="1">
        <v>45635</v>
      </c>
      <c r="D3022">
        <v>1256</v>
      </c>
      <c r="E3022" t="b">
        <v>0</v>
      </c>
      <c r="F3022">
        <v>434</v>
      </c>
      <c r="G3022" t="s">
        <v>133</v>
      </c>
      <c r="H3022" t="s">
        <v>239</v>
      </c>
      <c r="I3022" t="s">
        <v>2116</v>
      </c>
    </row>
    <row r="3023" spans="1:9" x14ac:dyDescent="0.35">
      <c r="A3023">
        <v>3150440</v>
      </c>
      <c r="B3023" t="s">
        <v>1056</v>
      </c>
      <c r="C3023" s="1">
        <v>45635</v>
      </c>
      <c r="D3023">
        <v>1256</v>
      </c>
      <c r="E3023" t="b">
        <v>0</v>
      </c>
      <c r="F3023">
        <v>434</v>
      </c>
      <c r="G3023" t="s">
        <v>133</v>
      </c>
      <c r="H3023" t="s">
        <v>132</v>
      </c>
      <c r="I3023" t="s">
        <v>2117</v>
      </c>
    </row>
    <row r="3024" spans="1:9" x14ac:dyDescent="0.35">
      <c r="A3024">
        <v>3150440</v>
      </c>
      <c r="B3024" t="s">
        <v>1056</v>
      </c>
      <c r="C3024" s="1">
        <v>45635</v>
      </c>
      <c r="D3024">
        <v>1256</v>
      </c>
      <c r="E3024" t="b">
        <v>0</v>
      </c>
      <c r="F3024">
        <v>434</v>
      </c>
      <c r="G3024" t="s">
        <v>133</v>
      </c>
      <c r="H3024" t="s">
        <v>124</v>
      </c>
      <c r="I3024" t="s">
        <v>2117</v>
      </c>
    </row>
    <row r="3025" spans="1:9" x14ac:dyDescent="0.35">
      <c r="A3025">
        <v>3150440</v>
      </c>
      <c r="B3025" t="s">
        <v>1056</v>
      </c>
      <c r="C3025" s="1">
        <v>45635</v>
      </c>
      <c r="D3025">
        <v>1256</v>
      </c>
      <c r="E3025" t="b">
        <v>0</v>
      </c>
      <c r="F3025">
        <v>434</v>
      </c>
      <c r="G3025" t="s">
        <v>133</v>
      </c>
      <c r="H3025" t="s">
        <v>1510</v>
      </c>
      <c r="I3025" t="s">
        <v>2117</v>
      </c>
    </row>
    <row r="3026" spans="1:9" x14ac:dyDescent="0.35">
      <c r="A3026">
        <v>2680010</v>
      </c>
      <c r="B3026" t="s">
        <v>1057</v>
      </c>
      <c r="C3026" s="1">
        <v>45743</v>
      </c>
      <c r="D3026">
        <v>1253</v>
      </c>
      <c r="E3026" t="b">
        <v>0</v>
      </c>
      <c r="F3026">
        <v>435</v>
      </c>
      <c r="G3026" t="s">
        <v>119</v>
      </c>
      <c r="H3026" t="s">
        <v>49</v>
      </c>
      <c r="I3026" t="s">
        <v>2116</v>
      </c>
    </row>
    <row r="3027" spans="1:9" x14ac:dyDescent="0.35">
      <c r="A3027">
        <v>2680010</v>
      </c>
      <c r="B3027" t="s">
        <v>1057</v>
      </c>
      <c r="C3027" s="1">
        <v>45743</v>
      </c>
      <c r="D3027">
        <v>1253</v>
      </c>
      <c r="E3027" t="b">
        <v>0</v>
      </c>
      <c r="F3027">
        <v>435</v>
      </c>
      <c r="G3027" t="s">
        <v>119</v>
      </c>
      <c r="H3027" t="s">
        <v>792</v>
      </c>
      <c r="I3027" t="s">
        <v>2117</v>
      </c>
    </row>
    <row r="3028" spans="1:9" x14ac:dyDescent="0.35">
      <c r="A3028">
        <v>2680010</v>
      </c>
      <c r="B3028" t="s">
        <v>1057</v>
      </c>
      <c r="C3028" s="1">
        <v>45743</v>
      </c>
      <c r="D3028">
        <v>1253</v>
      </c>
      <c r="E3028" t="b">
        <v>0</v>
      </c>
      <c r="F3028">
        <v>435</v>
      </c>
      <c r="G3028" t="s">
        <v>119</v>
      </c>
      <c r="H3028" t="s">
        <v>346</v>
      </c>
      <c r="I3028" t="s">
        <v>2116</v>
      </c>
    </row>
    <row r="3029" spans="1:9" x14ac:dyDescent="0.35">
      <c r="A3029">
        <v>2680010</v>
      </c>
      <c r="B3029" t="s">
        <v>1057</v>
      </c>
      <c r="C3029" s="1">
        <v>45743</v>
      </c>
      <c r="D3029">
        <v>1253</v>
      </c>
      <c r="E3029" t="b">
        <v>0</v>
      </c>
      <c r="F3029">
        <v>435</v>
      </c>
      <c r="G3029" t="s">
        <v>119</v>
      </c>
      <c r="H3029" t="s">
        <v>239</v>
      </c>
      <c r="I3029" t="s">
        <v>2117</v>
      </c>
    </row>
    <row r="3030" spans="1:9" x14ac:dyDescent="0.35">
      <c r="A3030">
        <v>2680010</v>
      </c>
      <c r="B3030" t="s">
        <v>1057</v>
      </c>
      <c r="C3030" s="1">
        <v>45743</v>
      </c>
      <c r="D3030">
        <v>1253</v>
      </c>
      <c r="E3030" t="b">
        <v>0</v>
      </c>
      <c r="F3030">
        <v>435</v>
      </c>
      <c r="G3030" t="s">
        <v>119</v>
      </c>
      <c r="H3030" t="s">
        <v>132</v>
      </c>
      <c r="I3030" t="s">
        <v>2116</v>
      </c>
    </row>
    <row r="3031" spans="1:9" x14ac:dyDescent="0.35">
      <c r="A3031">
        <v>2680010</v>
      </c>
      <c r="B3031" t="s">
        <v>1057</v>
      </c>
      <c r="C3031" s="1">
        <v>45743</v>
      </c>
      <c r="D3031">
        <v>1253</v>
      </c>
      <c r="E3031" t="b">
        <v>0</v>
      </c>
      <c r="F3031">
        <v>435</v>
      </c>
      <c r="G3031" t="s">
        <v>119</v>
      </c>
      <c r="H3031" t="s">
        <v>124</v>
      </c>
      <c r="I3031" t="s">
        <v>2117</v>
      </c>
    </row>
    <row r="3032" spans="1:9" x14ac:dyDescent="0.35">
      <c r="A3032">
        <v>2680010</v>
      </c>
      <c r="B3032" t="s">
        <v>1057</v>
      </c>
      <c r="C3032" s="1">
        <v>45743</v>
      </c>
      <c r="D3032">
        <v>1253</v>
      </c>
      <c r="E3032" t="b">
        <v>0</v>
      </c>
      <c r="F3032">
        <v>435</v>
      </c>
      <c r="G3032" t="s">
        <v>119</v>
      </c>
      <c r="H3032" t="s">
        <v>1510</v>
      </c>
      <c r="I3032" t="s">
        <v>2117</v>
      </c>
    </row>
    <row r="3033" spans="1:9" x14ac:dyDescent="0.35">
      <c r="A3033">
        <v>1812450</v>
      </c>
      <c r="B3033" t="s">
        <v>1058</v>
      </c>
      <c r="C3033" s="1">
        <v>45405</v>
      </c>
      <c r="D3033">
        <v>1252</v>
      </c>
      <c r="E3033" t="b">
        <v>0</v>
      </c>
      <c r="F3033">
        <v>436</v>
      </c>
      <c r="G3033" t="s">
        <v>29</v>
      </c>
      <c r="H3033" t="s">
        <v>49</v>
      </c>
      <c r="I3033" t="s">
        <v>2116</v>
      </c>
    </row>
    <row r="3034" spans="1:9" x14ac:dyDescent="0.35">
      <c r="A3034">
        <v>1812450</v>
      </c>
      <c r="B3034" t="s">
        <v>1058</v>
      </c>
      <c r="C3034" s="1">
        <v>45405</v>
      </c>
      <c r="D3034">
        <v>1252</v>
      </c>
      <c r="E3034" t="b">
        <v>0</v>
      </c>
      <c r="F3034">
        <v>436</v>
      </c>
      <c r="G3034" t="s">
        <v>29</v>
      </c>
      <c r="H3034" t="s">
        <v>792</v>
      </c>
      <c r="I3034" t="s">
        <v>2117</v>
      </c>
    </row>
    <row r="3035" spans="1:9" x14ac:dyDescent="0.35">
      <c r="A3035">
        <v>1812450</v>
      </c>
      <c r="B3035" t="s">
        <v>1058</v>
      </c>
      <c r="C3035" s="1">
        <v>45405</v>
      </c>
      <c r="D3035">
        <v>1252</v>
      </c>
      <c r="E3035" t="b">
        <v>0</v>
      </c>
      <c r="F3035">
        <v>436</v>
      </c>
      <c r="G3035" t="s">
        <v>29</v>
      </c>
      <c r="H3035" t="s">
        <v>346</v>
      </c>
      <c r="I3035" t="s">
        <v>2117</v>
      </c>
    </row>
    <row r="3036" spans="1:9" x14ac:dyDescent="0.35">
      <c r="A3036">
        <v>1812450</v>
      </c>
      <c r="B3036" t="s">
        <v>1058</v>
      </c>
      <c r="C3036" s="1">
        <v>45405</v>
      </c>
      <c r="D3036">
        <v>1252</v>
      </c>
      <c r="E3036" t="b">
        <v>0</v>
      </c>
      <c r="F3036">
        <v>436</v>
      </c>
      <c r="G3036" t="s">
        <v>29</v>
      </c>
      <c r="H3036" t="s">
        <v>239</v>
      </c>
      <c r="I3036" t="s">
        <v>2116</v>
      </c>
    </row>
    <row r="3037" spans="1:9" x14ac:dyDescent="0.35">
      <c r="A3037">
        <v>1812450</v>
      </c>
      <c r="B3037" t="s">
        <v>1058</v>
      </c>
      <c r="C3037" s="1">
        <v>45405</v>
      </c>
      <c r="D3037">
        <v>1252</v>
      </c>
      <c r="E3037" t="b">
        <v>0</v>
      </c>
      <c r="F3037">
        <v>436</v>
      </c>
      <c r="G3037" t="s">
        <v>29</v>
      </c>
      <c r="H3037" t="s">
        <v>132</v>
      </c>
      <c r="I3037" t="s">
        <v>2116</v>
      </c>
    </row>
    <row r="3038" spans="1:9" x14ac:dyDescent="0.35">
      <c r="A3038">
        <v>1812450</v>
      </c>
      <c r="B3038" t="s">
        <v>1058</v>
      </c>
      <c r="C3038" s="1">
        <v>45405</v>
      </c>
      <c r="D3038">
        <v>1252</v>
      </c>
      <c r="E3038" t="b">
        <v>0</v>
      </c>
      <c r="F3038">
        <v>436</v>
      </c>
      <c r="G3038" t="s">
        <v>29</v>
      </c>
      <c r="H3038" t="s">
        <v>124</v>
      </c>
      <c r="I3038" t="s">
        <v>2116</v>
      </c>
    </row>
    <row r="3039" spans="1:9" x14ac:dyDescent="0.35">
      <c r="A3039">
        <v>1812450</v>
      </c>
      <c r="B3039" t="s">
        <v>1058</v>
      </c>
      <c r="C3039" s="1">
        <v>45405</v>
      </c>
      <c r="D3039">
        <v>1252</v>
      </c>
      <c r="E3039" t="b">
        <v>0</v>
      </c>
      <c r="F3039">
        <v>436</v>
      </c>
      <c r="G3039" t="s">
        <v>29</v>
      </c>
      <c r="H3039" t="s">
        <v>1510</v>
      </c>
      <c r="I3039" t="s">
        <v>2117</v>
      </c>
    </row>
    <row r="3040" spans="1:9" x14ac:dyDescent="0.35">
      <c r="A3040">
        <v>665300</v>
      </c>
      <c r="B3040" t="s">
        <v>1061</v>
      </c>
      <c r="C3040" s="1">
        <v>42942</v>
      </c>
      <c r="D3040">
        <v>1214</v>
      </c>
      <c r="E3040" t="b">
        <v>1</v>
      </c>
      <c r="F3040">
        <v>437</v>
      </c>
      <c r="G3040" t="s">
        <v>133</v>
      </c>
      <c r="H3040" t="s">
        <v>49</v>
      </c>
      <c r="I3040" t="s">
        <v>2117</v>
      </c>
    </row>
    <row r="3041" spans="1:9" x14ac:dyDescent="0.35">
      <c r="A3041">
        <v>665300</v>
      </c>
      <c r="B3041" t="s">
        <v>1061</v>
      </c>
      <c r="C3041" s="1">
        <v>42942</v>
      </c>
      <c r="D3041">
        <v>1214</v>
      </c>
      <c r="E3041" t="b">
        <v>1</v>
      </c>
      <c r="F3041">
        <v>437</v>
      </c>
      <c r="G3041" t="s">
        <v>133</v>
      </c>
      <c r="H3041" t="s">
        <v>792</v>
      </c>
      <c r="I3041" t="s">
        <v>2117</v>
      </c>
    </row>
    <row r="3042" spans="1:9" x14ac:dyDescent="0.35">
      <c r="A3042">
        <v>665300</v>
      </c>
      <c r="B3042" t="s">
        <v>1061</v>
      </c>
      <c r="C3042" s="1">
        <v>42942</v>
      </c>
      <c r="D3042">
        <v>1214</v>
      </c>
      <c r="E3042" t="b">
        <v>1</v>
      </c>
      <c r="F3042">
        <v>437</v>
      </c>
      <c r="G3042" t="s">
        <v>133</v>
      </c>
      <c r="H3042" t="s">
        <v>346</v>
      </c>
      <c r="I3042" t="s">
        <v>2117</v>
      </c>
    </row>
    <row r="3043" spans="1:9" x14ac:dyDescent="0.35">
      <c r="A3043">
        <v>665300</v>
      </c>
      <c r="B3043" t="s">
        <v>1061</v>
      </c>
      <c r="C3043" s="1">
        <v>42942</v>
      </c>
      <c r="D3043">
        <v>1214</v>
      </c>
      <c r="E3043" t="b">
        <v>1</v>
      </c>
      <c r="F3043">
        <v>437</v>
      </c>
      <c r="G3043" t="s">
        <v>133</v>
      </c>
      <c r="H3043" t="s">
        <v>239</v>
      </c>
      <c r="I3043" t="s">
        <v>2117</v>
      </c>
    </row>
    <row r="3044" spans="1:9" x14ac:dyDescent="0.35">
      <c r="A3044">
        <v>665300</v>
      </c>
      <c r="B3044" t="s">
        <v>1061</v>
      </c>
      <c r="C3044" s="1">
        <v>42942</v>
      </c>
      <c r="D3044">
        <v>1214</v>
      </c>
      <c r="E3044" t="b">
        <v>1</v>
      </c>
      <c r="F3044">
        <v>437</v>
      </c>
      <c r="G3044" t="s">
        <v>133</v>
      </c>
      <c r="H3044" t="s">
        <v>132</v>
      </c>
      <c r="I3044" t="s">
        <v>2117</v>
      </c>
    </row>
    <row r="3045" spans="1:9" x14ac:dyDescent="0.35">
      <c r="A3045">
        <v>665300</v>
      </c>
      <c r="B3045" t="s">
        <v>1061</v>
      </c>
      <c r="C3045" s="1">
        <v>42942</v>
      </c>
      <c r="D3045">
        <v>1214</v>
      </c>
      <c r="E3045" t="b">
        <v>1</v>
      </c>
      <c r="F3045">
        <v>437</v>
      </c>
      <c r="G3045" t="s">
        <v>133</v>
      </c>
      <c r="H3045" t="s">
        <v>124</v>
      </c>
      <c r="I3045" t="s">
        <v>2117</v>
      </c>
    </row>
    <row r="3046" spans="1:9" x14ac:dyDescent="0.35">
      <c r="A3046">
        <v>665300</v>
      </c>
      <c r="B3046" t="s">
        <v>1061</v>
      </c>
      <c r="C3046" s="1">
        <v>42942</v>
      </c>
      <c r="D3046">
        <v>1214</v>
      </c>
      <c r="E3046" t="b">
        <v>1</v>
      </c>
      <c r="F3046">
        <v>437</v>
      </c>
      <c r="G3046" t="s">
        <v>133</v>
      </c>
      <c r="H3046" t="s">
        <v>1510</v>
      </c>
      <c r="I3046" t="s">
        <v>2117</v>
      </c>
    </row>
    <row r="3047" spans="1:9" x14ac:dyDescent="0.35">
      <c r="A3047">
        <v>2688950</v>
      </c>
      <c r="B3047" t="s">
        <v>1064</v>
      </c>
      <c r="C3047" s="1">
        <v>45602</v>
      </c>
      <c r="D3047">
        <v>1213</v>
      </c>
      <c r="E3047" t="b">
        <v>0</v>
      </c>
      <c r="F3047">
        <v>438</v>
      </c>
      <c r="G3047" t="s">
        <v>276</v>
      </c>
      <c r="H3047" t="s">
        <v>49</v>
      </c>
      <c r="I3047" t="s">
        <v>2117</v>
      </c>
    </row>
    <row r="3048" spans="1:9" x14ac:dyDescent="0.35">
      <c r="A3048">
        <v>2688950</v>
      </c>
      <c r="B3048" t="s">
        <v>1064</v>
      </c>
      <c r="C3048" s="1">
        <v>45602</v>
      </c>
      <c r="D3048">
        <v>1213</v>
      </c>
      <c r="E3048" t="b">
        <v>0</v>
      </c>
      <c r="F3048">
        <v>438</v>
      </c>
      <c r="G3048" t="s">
        <v>276</v>
      </c>
      <c r="H3048" t="s">
        <v>792</v>
      </c>
      <c r="I3048" t="s">
        <v>2117</v>
      </c>
    </row>
    <row r="3049" spans="1:9" x14ac:dyDescent="0.35">
      <c r="A3049">
        <v>2688950</v>
      </c>
      <c r="B3049" t="s">
        <v>1064</v>
      </c>
      <c r="C3049" s="1">
        <v>45602</v>
      </c>
      <c r="D3049">
        <v>1213</v>
      </c>
      <c r="E3049" t="b">
        <v>0</v>
      </c>
      <c r="F3049">
        <v>438</v>
      </c>
      <c r="G3049" t="s">
        <v>276</v>
      </c>
      <c r="H3049" t="s">
        <v>346</v>
      </c>
      <c r="I3049" t="s">
        <v>2117</v>
      </c>
    </row>
    <row r="3050" spans="1:9" x14ac:dyDescent="0.35">
      <c r="A3050">
        <v>2688950</v>
      </c>
      <c r="B3050" t="s">
        <v>1064</v>
      </c>
      <c r="C3050" s="1">
        <v>45602</v>
      </c>
      <c r="D3050">
        <v>1213</v>
      </c>
      <c r="E3050" t="b">
        <v>0</v>
      </c>
      <c r="F3050">
        <v>438</v>
      </c>
      <c r="G3050" t="s">
        <v>276</v>
      </c>
      <c r="H3050" t="s">
        <v>239</v>
      </c>
      <c r="I3050" t="s">
        <v>2116</v>
      </c>
    </row>
    <row r="3051" spans="1:9" x14ac:dyDescent="0.35">
      <c r="A3051">
        <v>2688950</v>
      </c>
      <c r="B3051" t="s">
        <v>1064</v>
      </c>
      <c r="C3051" s="1">
        <v>45602</v>
      </c>
      <c r="D3051">
        <v>1213</v>
      </c>
      <c r="E3051" t="b">
        <v>0</v>
      </c>
      <c r="F3051">
        <v>438</v>
      </c>
      <c r="G3051" t="s">
        <v>276</v>
      </c>
      <c r="H3051" t="s">
        <v>132</v>
      </c>
      <c r="I3051" t="s">
        <v>2117</v>
      </c>
    </row>
    <row r="3052" spans="1:9" x14ac:dyDescent="0.35">
      <c r="A3052">
        <v>2688950</v>
      </c>
      <c r="B3052" t="s">
        <v>1064</v>
      </c>
      <c r="C3052" s="1">
        <v>45602</v>
      </c>
      <c r="D3052">
        <v>1213</v>
      </c>
      <c r="E3052" t="b">
        <v>0</v>
      </c>
      <c r="F3052">
        <v>438</v>
      </c>
      <c r="G3052" t="s">
        <v>276</v>
      </c>
      <c r="H3052" t="s">
        <v>124</v>
      </c>
      <c r="I3052" t="s">
        <v>2116</v>
      </c>
    </row>
    <row r="3053" spans="1:9" x14ac:dyDescent="0.35">
      <c r="A3053">
        <v>2688950</v>
      </c>
      <c r="B3053" t="s">
        <v>1064</v>
      </c>
      <c r="C3053" s="1">
        <v>45602</v>
      </c>
      <c r="D3053">
        <v>1213</v>
      </c>
      <c r="E3053" t="b">
        <v>0</v>
      </c>
      <c r="F3053">
        <v>438</v>
      </c>
      <c r="G3053" t="s">
        <v>276</v>
      </c>
      <c r="H3053" t="s">
        <v>1510</v>
      </c>
      <c r="I3053" t="s">
        <v>2117</v>
      </c>
    </row>
    <row r="3054" spans="1:9" x14ac:dyDescent="0.35">
      <c r="A3054">
        <v>297000</v>
      </c>
      <c r="B3054" t="s">
        <v>1066</v>
      </c>
      <c r="C3054" s="1">
        <v>42032</v>
      </c>
      <c r="D3054">
        <v>1213</v>
      </c>
      <c r="E3054" t="b">
        <v>0</v>
      </c>
      <c r="F3054">
        <v>438</v>
      </c>
      <c r="G3054" t="s">
        <v>2084</v>
      </c>
      <c r="H3054" t="s">
        <v>49</v>
      </c>
      <c r="I3054" t="s">
        <v>2117</v>
      </c>
    </row>
    <row r="3055" spans="1:9" x14ac:dyDescent="0.35">
      <c r="A3055">
        <v>297000</v>
      </c>
      <c r="B3055" t="s">
        <v>1066</v>
      </c>
      <c r="C3055" s="1">
        <v>42032</v>
      </c>
      <c r="D3055">
        <v>1213</v>
      </c>
      <c r="E3055" t="b">
        <v>0</v>
      </c>
      <c r="F3055">
        <v>438</v>
      </c>
      <c r="G3055" t="s">
        <v>2084</v>
      </c>
      <c r="H3055" t="s">
        <v>792</v>
      </c>
      <c r="I3055" t="s">
        <v>2117</v>
      </c>
    </row>
    <row r="3056" spans="1:9" x14ac:dyDescent="0.35">
      <c r="A3056">
        <v>297000</v>
      </c>
      <c r="B3056" t="s">
        <v>1066</v>
      </c>
      <c r="C3056" s="1">
        <v>42032</v>
      </c>
      <c r="D3056">
        <v>1213</v>
      </c>
      <c r="E3056" t="b">
        <v>0</v>
      </c>
      <c r="F3056">
        <v>438</v>
      </c>
      <c r="G3056" t="s">
        <v>2084</v>
      </c>
      <c r="H3056" t="s">
        <v>346</v>
      </c>
      <c r="I3056" t="s">
        <v>2117</v>
      </c>
    </row>
    <row r="3057" spans="1:9" x14ac:dyDescent="0.35">
      <c r="A3057">
        <v>297000</v>
      </c>
      <c r="B3057" t="s">
        <v>1066</v>
      </c>
      <c r="C3057" s="1">
        <v>42032</v>
      </c>
      <c r="D3057">
        <v>1213</v>
      </c>
      <c r="E3057" t="b">
        <v>0</v>
      </c>
      <c r="F3057">
        <v>438</v>
      </c>
      <c r="G3057" t="s">
        <v>2084</v>
      </c>
      <c r="H3057" t="s">
        <v>239</v>
      </c>
      <c r="I3057" t="s">
        <v>2117</v>
      </c>
    </row>
    <row r="3058" spans="1:9" x14ac:dyDescent="0.35">
      <c r="A3058">
        <v>297000</v>
      </c>
      <c r="B3058" t="s">
        <v>1066</v>
      </c>
      <c r="C3058" s="1">
        <v>42032</v>
      </c>
      <c r="D3058">
        <v>1213</v>
      </c>
      <c r="E3058" t="b">
        <v>0</v>
      </c>
      <c r="F3058">
        <v>438</v>
      </c>
      <c r="G3058" t="s">
        <v>2084</v>
      </c>
      <c r="H3058" t="s">
        <v>132</v>
      </c>
      <c r="I3058" t="s">
        <v>2116</v>
      </c>
    </row>
    <row r="3059" spans="1:9" x14ac:dyDescent="0.35">
      <c r="A3059">
        <v>297000</v>
      </c>
      <c r="B3059" t="s">
        <v>1066</v>
      </c>
      <c r="C3059" s="1">
        <v>42032</v>
      </c>
      <c r="D3059">
        <v>1213</v>
      </c>
      <c r="E3059" t="b">
        <v>0</v>
      </c>
      <c r="F3059">
        <v>438</v>
      </c>
      <c r="G3059" t="s">
        <v>2084</v>
      </c>
      <c r="H3059" t="s">
        <v>124</v>
      </c>
      <c r="I3059" t="s">
        <v>2116</v>
      </c>
    </row>
    <row r="3060" spans="1:9" x14ac:dyDescent="0.35">
      <c r="A3060">
        <v>297000</v>
      </c>
      <c r="B3060" t="s">
        <v>1066</v>
      </c>
      <c r="C3060" s="1">
        <v>42032</v>
      </c>
      <c r="D3060">
        <v>1213</v>
      </c>
      <c r="E3060" t="b">
        <v>0</v>
      </c>
      <c r="F3060">
        <v>438</v>
      </c>
      <c r="G3060" t="s">
        <v>2084</v>
      </c>
      <c r="H3060" t="s">
        <v>1510</v>
      </c>
      <c r="I3060" t="s">
        <v>2117</v>
      </c>
    </row>
    <row r="3061" spans="1:9" x14ac:dyDescent="0.35">
      <c r="A3061">
        <v>286690</v>
      </c>
      <c r="B3061" t="s">
        <v>1068</v>
      </c>
      <c r="C3061" s="1">
        <v>41876</v>
      </c>
      <c r="D3061">
        <v>1208</v>
      </c>
      <c r="E3061" t="b">
        <v>1</v>
      </c>
      <c r="F3061">
        <v>440</v>
      </c>
      <c r="G3061" t="s">
        <v>967</v>
      </c>
      <c r="H3061" t="s">
        <v>49</v>
      </c>
      <c r="I3061" t="s">
        <v>2116</v>
      </c>
    </row>
    <row r="3062" spans="1:9" x14ac:dyDescent="0.35">
      <c r="A3062">
        <v>286690</v>
      </c>
      <c r="B3062" t="s">
        <v>1068</v>
      </c>
      <c r="C3062" s="1">
        <v>41876</v>
      </c>
      <c r="D3062">
        <v>1208</v>
      </c>
      <c r="E3062" t="b">
        <v>1</v>
      </c>
      <c r="F3062">
        <v>440</v>
      </c>
      <c r="G3062" t="s">
        <v>967</v>
      </c>
      <c r="H3062" t="s">
        <v>792</v>
      </c>
      <c r="I3062" t="s">
        <v>2117</v>
      </c>
    </row>
    <row r="3063" spans="1:9" x14ac:dyDescent="0.35">
      <c r="A3063">
        <v>286690</v>
      </c>
      <c r="B3063" t="s">
        <v>1068</v>
      </c>
      <c r="C3063" s="1">
        <v>41876</v>
      </c>
      <c r="D3063">
        <v>1208</v>
      </c>
      <c r="E3063" t="b">
        <v>1</v>
      </c>
      <c r="F3063">
        <v>440</v>
      </c>
      <c r="G3063" t="s">
        <v>967</v>
      </c>
      <c r="H3063" t="s">
        <v>346</v>
      </c>
      <c r="I3063" t="s">
        <v>2117</v>
      </c>
    </row>
    <row r="3064" spans="1:9" x14ac:dyDescent="0.35">
      <c r="A3064">
        <v>286690</v>
      </c>
      <c r="B3064" t="s">
        <v>1068</v>
      </c>
      <c r="C3064" s="1">
        <v>41876</v>
      </c>
      <c r="D3064">
        <v>1208</v>
      </c>
      <c r="E3064" t="b">
        <v>1</v>
      </c>
      <c r="F3064">
        <v>440</v>
      </c>
      <c r="G3064" t="s">
        <v>967</v>
      </c>
      <c r="H3064" t="s">
        <v>239</v>
      </c>
      <c r="I3064" t="s">
        <v>2117</v>
      </c>
    </row>
    <row r="3065" spans="1:9" x14ac:dyDescent="0.35">
      <c r="A3065">
        <v>286690</v>
      </c>
      <c r="B3065" t="s">
        <v>1068</v>
      </c>
      <c r="C3065" s="1">
        <v>41876</v>
      </c>
      <c r="D3065">
        <v>1208</v>
      </c>
      <c r="E3065" t="b">
        <v>1</v>
      </c>
      <c r="F3065">
        <v>440</v>
      </c>
      <c r="G3065" t="s">
        <v>967</v>
      </c>
      <c r="H3065" t="s">
        <v>132</v>
      </c>
      <c r="I3065" t="s">
        <v>2117</v>
      </c>
    </row>
    <row r="3066" spans="1:9" x14ac:dyDescent="0.35">
      <c r="A3066">
        <v>286690</v>
      </c>
      <c r="B3066" t="s">
        <v>1068</v>
      </c>
      <c r="C3066" s="1">
        <v>41876</v>
      </c>
      <c r="D3066">
        <v>1208</v>
      </c>
      <c r="E3066" t="b">
        <v>1</v>
      </c>
      <c r="F3066">
        <v>440</v>
      </c>
      <c r="G3066" t="s">
        <v>967</v>
      </c>
      <c r="H3066" t="s">
        <v>124</v>
      </c>
      <c r="I3066" t="s">
        <v>2117</v>
      </c>
    </row>
    <row r="3067" spans="1:9" x14ac:dyDescent="0.35">
      <c r="A3067">
        <v>286690</v>
      </c>
      <c r="B3067" t="s">
        <v>1068</v>
      </c>
      <c r="C3067" s="1">
        <v>41876</v>
      </c>
      <c r="D3067">
        <v>1208</v>
      </c>
      <c r="E3067" t="b">
        <v>1</v>
      </c>
      <c r="F3067">
        <v>440</v>
      </c>
      <c r="G3067" t="s">
        <v>967</v>
      </c>
      <c r="H3067" t="s">
        <v>1510</v>
      </c>
      <c r="I3067" t="s">
        <v>2117</v>
      </c>
    </row>
    <row r="3068" spans="1:9" x14ac:dyDescent="0.35">
      <c r="A3068">
        <v>1147560</v>
      </c>
      <c r="B3068" t="s">
        <v>1069</v>
      </c>
      <c r="C3068" s="1">
        <v>44216</v>
      </c>
      <c r="D3068">
        <v>1205</v>
      </c>
      <c r="E3068" t="b">
        <v>1</v>
      </c>
      <c r="F3068">
        <v>441</v>
      </c>
      <c r="G3068" t="s">
        <v>110</v>
      </c>
      <c r="H3068" t="s">
        <v>49</v>
      </c>
      <c r="I3068" t="s">
        <v>2116</v>
      </c>
    </row>
    <row r="3069" spans="1:9" x14ac:dyDescent="0.35">
      <c r="A3069">
        <v>1147560</v>
      </c>
      <c r="B3069" t="s">
        <v>1069</v>
      </c>
      <c r="C3069" s="1">
        <v>44216</v>
      </c>
      <c r="D3069">
        <v>1205</v>
      </c>
      <c r="E3069" t="b">
        <v>1</v>
      </c>
      <c r="F3069">
        <v>441</v>
      </c>
      <c r="G3069" t="s">
        <v>110</v>
      </c>
      <c r="H3069" t="s">
        <v>792</v>
      </c>
      <c r="I3069" t="s">
        <v>2116</v>
      </c>
    </row>
    <row r="3070" spans="1:9" x14ac:dyDescent="0.35">
      <c r="A3070">
        <v>1147560</v>
      </c>
      <c r="B3070" t="s">
        <v>1069</v>
      </c>
      <c r="C3070" s="1">
        <v>44216</v>
      </c>
      <c r="D3070">
        <v>1205</v>
      </c>
      <c r="E3070" t="b">
        <v>1</v>
      </c>
      <c r="F3070">
        <v>441</v>
      </c>
      <c r="G3070" t="s">
        <v>110</v>
      </c>
      <c r="H3070" t="s">
        <v>346</v>
      </c>
      <c r="I3070" t="s">
        <v>2117</v>
      </c>
    </row>
    <row r="3071" spans="1:9" x14ac:dyDescent="0.35">
      <c r="A3071">
        <v>1147560</v>
      </c>
      <c r="B3071" t="s">
        <v>1069</v>
      </c>
      <c r="C3071" s="1">
        <v>44216</v>
      </c>
      <c r="D3071">
        <v>1205</v>
      </c>
      <c r="E3071" t="b">
        <v>1</v>
      </c>
      <c r="F3071">
        <v>441</v>
      </c>
      <c r="G3071" t="s">
        <v>110</v>
      </c>
      <c r="H3071" t="s">
        <v>239</v>
      </c>
      <c r="I3071" t="s">
        <v>2117</v>
      </c>
    </row>
    <row r="3072" spans="1:9" x14ac:dyDescent="0.35">
      <c r="A3072">
        <v>1147560</v>
      </c>
      <c r="B3072" t="s">
        <v>1069</v>
      </c>
      <c r="C3072" s="1">
        <v>44216</v>
      </c>
      <c r="D3072">
        <v>1205</v>
      </c>
      <c r="E3072" t="b">
        <v>1</v>
      </c>
      <c r="F3072">
        <v>441</v>
      </c>
      <c r="G3072" t="s">
        <v>110</v>
      </c>
      <c r="H3072" t="s">
        <v>132</v>
      </c>
      <c r="I3072" t="s">
        <v>2117</v>
      </c>
    </row>
    <row r="3073" spans="1:9" x14ac:dyDescent="0.35">
      <c r="A3073">
        <v>1147560</v>
      </c>
      <c r="B3073" t="s">
        <v>1069</v>
      </c>
      <c r="C3073" s="1">
        <v>44216</v>
      </c>
      <c r="D3073">
        <v>1205</v>
      </c>
      <c r="E3073" t="b">
        <v>1</v>
      </c>
      <c r="F3073">
        <v>441</v>
      </c>
      <c r="G3073" t="s">
        <v>110</v>
      </c>
      <c r="H3073" t="s">
        <v>124</v>
      </c>
      <c r="I3073" t="s">
        <v>2117</v>
      </c>
    </row>
    <row r="3074" spans="1:9" x14ac:dyDescent="0.35">
      <c r="A3074">
        <v>1147560</v>
      </c>
      <c r="B3074" t="s">
        <v>1069</v>
      </c>
      <c r="C3074" s="1">
        <v>44216</v>
      </c>
      <c r="D3074">
        <v>1205</v>
      </c>
      <c r="E3074" t="b">
        <v>1</v>
      </c>
      <c r="F3074">
        <v>441</v>
      </c>
      <c r="G3074" t="s">
        <v>110</v>
      </c>
      <c r="H3074" t="s">
        <v>1510</v>
      </c>
      <c r="I3074" t="s">
        <v>2117</v>
      </c>
    </row>
    <row r="3075" spans="1:9" x14ac:dyDescent="0.35">
      <c r="A3075">
        <v>1817070</v>
      </c>
      <c r="B3075" t="s">
        <v>1071</v>
      </c>
      <c r="C3075" s="1">
        <v>44785</v>
      </c>
      <c r="D3075">
        <v>1190</v>
      </c>
      <c r="E3075" t="b">
        <v>0</v>
      </c>
      <c r="F3075">
        <v>442</v>
      </c>
      <c r="G3075" t="s">
        <v>18</v>
      </c>
      <c r="H3075" t="s">
        <v>49</v>
      </c>
      <c r="I3075" t="s">
        <v>2116</v>
      </c>
    </row>
    <row r="3076" spans="1:9" x14ac:dyDescent="0.35">
      <c r="A3076">
        <v>1817070</v>
      </c>
      <c r="B3076" t="s">
        <v>1071</v>
      </c>
      <c r="C3076" s="1">
        <v>44785</v>
      </c>
      <c r="D3076">
        <v>1190</v>
      </c>
      <c r="E3076" t="b">
        <v>0</v>
      </c>
      <c r="F3076">
        <v>442</v>
      </c>
      <c r="G3076" t="s">
        <v>18</v>
      </c>
      <c r="H3076" t="s">
        <v>792</v>
      </c>
      <c r="I3076" t="s">
        <v>2117</v>
      </c>
    </row>
    <row r="3077" spans="1:9" x14ac:dyDescent="0.35">
      <c r="A3077">
        <v>1817070</v>
      </c>
      <c r="B3077" t="s">
        <v>1071</v>
      </c>
      <c r="C3077" s="1">
        <v>44785</v>
      </c>
      <c r="D3077">
        <v>1190</v>
      </c>
      <c r="E3077" t="b">
        <v>0</v>
      </c>
      <c r="F3077">
        <v>442</v>
      </c>
      <c r="G3077" t="s">
        <v>18</v>
      </c>
      <c r="H3077" t="s">
        <v>346</v>
      </c>
      <c r="I3077" t="s">
        <v>2116</v>
      </c>
    </row>
    <row r="3078" spans="1:9" x14ac:dyDescent="0.35">
      <c r="A3078">
        <v>1817070</v>
      </c>
      <c r="B3078" t="s">
        <v>1071</v>
      </c>
      <c r="C3078" s="1">
        <v>44785</v>
      </c>
      <c r="D3078">
        <v>1190</v>
      </c>
      <c r="E3078" t="b">
        <v>0</v>
      </c>
      <c r="F3078">
        <v>442</v>
      </c>
      <c r="G3078" t="s">
        <v>18</v>
      </c>
      <c r="H3078" t="s">
        <v>239</v>
      </c>
      <c r="I3078" t="s">
        <v>2117</v>
      </c>
    </row>
    <row r="3079" spans="1:9" x14ac:dyDescent="0.35">
      <c r="A3079">
        <v>1817070</v>
      </c>
      <c r="B3079" t="s">
        <v>1071</v>
      </c>
      <c r="C3079" s="1">
        <v>44785</v>
      </c>
      <c r="D3079">
        <v>1190</v>
      </c>
      <c r="E3079" t="b">
        <v>0</v>
      </c>
      <c r="F3079">
        <v>442</v>
      </c>
      <c r="G3079" t="s">
        <v>18</v>
      </c>
      <c r="H3079" t="s">
        <v>132</v>
      </c>
      <c r="I3079" t="s">
        <v>2117</v>
      </c>
    </row>
    <row r="3080" spans="1:9" x14ac:dyDescent="0.35">
      <c r="A3080">
        <v>1817070</v>
      </c>
      <c r="B3080" t="s">
        <v>1071</v>
      </c>
      <c r="C3080" s="1">
        <v>44785</v>
      </c>
      <c r="D3080">
        <v>1190</v>
      </c>
      <c r="E3080" t="b">
        <v>0</v>
      </c>
      <c r="F3080">
        <v>442</v>
      </c>
      <c r="G3080" t="s">
        <v>18</v>
      </c>
      <c r="H3080" t="s">
        <v>124</v>
      </c>
      <c r="I3080" t="s">
        <v>2117</v>
      </c>
    </row>
    <row r="3081" spans="1:9" x14ac:dyDescent="0.35">
      <c r="A3081">
        <v>1817070</v>
      </c>
      <c r="B3081" t="s">
        <v>1071</v>
      </c>
      <c r="C3081" s="1">
        <v>44785</v>
      </c>
      <c r="D3081">
        <v>1190</v>
      </c>
      <c r="E3081" t="b">
        <v>0</v>
      </c>
      <c r="F3081">
        <v>442</v>
      </c>
      <c r="G3081" t="s">
        <v>18</v>
      </c>
      <c r="H3081" t="s">
        <v>1510</v>
      </c>
      <c r="I3081" t="s">
        <v>2117</v>
      </c>
    </row>
    <row r="3082" spans="1:9" x14ac:dyDescent="0.35">
      <c r="A3082">
        <v>2666510</v>
      </c>
      <c r="B3082" t="s">
        <v>1073</v>
      </c>
      <c r="C3082" s="1">
        <v>45408</v>
      </c>
      <c r="D3082">
        <v>1185</v>
      </c>
      <c r="E3082" t="b">
        <v>1</v>
      </c>
      <c r="F3082">
        <v>443</v>
      </c>
      <c r="G3082" t="s">
        <v>14</v>
      </c>
      <c r="H3082" t="s">
        <v>49</v>
      </c>
      <c r="I3082" t="s">
        <v>2117</v>
      </c>
    </row>
    <row r="3083" spans="1:9" x14ac:dyDescent="0.35">
      <c r="A3083">
        <v>2666510</v>
      </c>
      <c r="B3083" t="s">
        <v>1073</v>
      </c>
      <c r="C3083" s="1">
        <v>45408</v>
      </c>
      <c r="D3083">
        <v>1185</v>
      </c>
      <c r="E3083" t="b">
        <v>1</v>
      </c>
      <c r="F3083">
        <v>443</v>
      </c>
      <c r="G3083" t="s">
        <v>14</v>
      </c>
      <c r="H3083" t="s">
        <v>792</v>
      </c>
      <c r="I3083" t="s">
        <v>2116</v>
      </c>
    </row>
    <row r="3084" spans="1:9" x14ac:dyDescent="0.35">
      <c r="A3084">
        <v>2666510</v>
      </c>
      <c r="B3084" t="s">
        <v>1073</v>
      </c>
      <c r="C3084" s="1">
        <v>45408</v>
      </c>
      <c r="D3084">
        <v>1185</v>
      </c>
      <c r="E3084" t="b">
        <v>1</v>
      </c>
      <c r="F3084">
        <v>443</v>
      </c>
      <c r="G3084" t="s">
        <v>14</v>
      </c>
      <c r="H3084" t="s">
        <v>346</v>
      </c>
      <c r="I3084" t="s">
        <v>2117</v>
      </c>
    </row>
    <row r="3085" spans="1:9" x14ac:dyDescent="0.35">
      <c r="A3085">
        <v>2666510</v>
      </c>
      <c r="B3085" t="s">
        <v>1073</v>
      </c>
      <c r="C3085" s="1">
        <v>45408</v>
      </c>
      <c r="D3085">
        <v>1185</v>
      </c>
      <c r="E3085" t="b">
        <v>1</v>
      </c>
      <c r="F3085">
        <v>443</v>
      </c>
      <c r="G3085" t="s">
        <v>14</v>
      </c>
      <c r="H3085" t="s">
        <v>239</v>
      </c>
      <c r="I3085" t="s">
        <v>2116</v>
      </c>
    </row>
    <row r="3086" spans="1:9" x14ac:dyDescent="0.35">
      <c r="A3086">
        <v>2666510</v>
      </c>
      <c r="B3086" t="s">
        <v>1073</v>
      </c>
      <c r="C3086" s="1">
        <v>45408</v>
      </c>
      <c r="D3086">
        <v>1185</v>
      </c>
      <c r="E3086" t="b">
        <v>1</v>
      </c>
      <c r="F3086">
        <v>443</v>
      </c>
      <c r="G3086" t="s">
        <v>14</v>
      </c>
      <c r="H3086" t="s">
        <v>132</v>
      </c>
      <c r="I3086" t="s">
        <v>2117</v>
      </c>
    </row>
    <row r="3087" spans="1:9" x14ac:dyDescent="0.35">
      <c r="A3087">
        <v>2666510</v>
      </c>
      <c r="B3087" t="s">
        <v>1073</v>
      </c>
      <c r="C3087" s="1">
        <v>45408</v>
      </c>
      <c r="D3087">
        <v>1185</v>
      </c>
      <c r="E3087" t="b">
        <v>1</v>
      </c>
      <c r="F3087">
        <v>443</v>
      </c>
      <c r="G3087" t="s">
        <v>14</v>
      </c>
      <c r="H3087" t="s">
        <v>124</v>
      </c>
      <c r="I3087" t="s">
        <v>2116</v>
      </c>
    </row>
    <row r="3088" spans="1:9" x14ac:dyDescent="0.35">
      <c r="A3088">
        <v>2666510</v>
      </c>
      <c r="B3088" t="s">
        <v>1073</v>
      </c>
      <c r="C3088" s="1">
        <v>45408</v>
      </c>
      <c r="D3088">
        <v>1185</v>
      </c>
      <c r="E3088" t="b">
        <v>1</v>
      </c>
      <c r="F3088">
        <v>443</v>
      </c>
      <c r="G3088" t="s">
        <v>14</v>
      </c>
      <c r="H3088" t="s">
        <v>1510</v>
      </c>
      <c r="I3088" t="s">
        <v>2117</v>
      </c>
    </row>
    <row r="3089" spans="1:9" x14ac:dyDescent="0.35">
      <c r="A3089">
        <v>504230</v>
      </c>
      <c r="B3089" t="s">
        <v>1075</v>
      </c>
      <c r="C3089" s="1">
        <v>43125</v>
      </c>
      <c r="D3089">
        <v>1174</v>
      </c>
      <c r="E3089" t="b">
        <v>1</v>
      </c>
      <c r="F3089">
        <v>444</v>
      </c>
      <c r="G3089" t="s">
        <v>161</v>
      </c>
      <c r="H3089" t="s">
        <v>49</v>
      </c>
      <c r="I3089" t="s">
        <v>2116</v>
      </c>
    </row>
    <row r="3090" spans="1:9" x14ac:dyDescent="0.35">
      <c r="A3090">
        <v>504230</v>
      </c>
      <c r="B3090" t="s">
        <v>1075</v>
      </c>
      <c r="C3090" s="1">
        <v>43125</v>
      </c>
      <c r="D3090">
        <v>1174</v>
      </c>
      <c r="E3090" t="b">
        <v>1</v>
      </c>
      <c r="F3090">
        <v>444</v>
      </c>
      <c r="G3090" t="s">
        <v>161</v>
      </c>
      <c r="H3090" t="s">
        <v>792</v>
      </c>
      <c r="I3090" t="s">
        <v>2116</v>
      </c>
    </row>
    <row r="3091" spans="1:9" x14ac:dyDescent="0.35">
      <c r="A3091">
        <v>504230</v>
      </c>
      <c r="B3091" t="s">
        <v>1075</v>
      </c>
      <c r="C3091" s="1">
        <v>43125</v>
      </c>
      <c r="D3091">
        <v>1174</v>
      </c>
      <c r="E3091" t="b">
        <v>1</v>
      </c>
      <c r="F3091">
        <v>444</v>
      </c>
      <c r="G3091" t="s">
        <v>161</v>
      </c>
      <c r="H3091" t="s">
        <v>346</v>
      </c>
      <c r="I3091" t="s">
        <v>2116</v>
      </c>
    </row>
    <row r="3092" spans="1:9" x14ac:dyDescent="0.35">
      <c r="A3092">
        <v>504230</v>
      </c>
      <c r="B3092" t="s">
        <v>1075</v>
      </c>
      <c r="C3092" s="1">
        <v>43125</v>
      </c>
      <c r="D3092">
        <v>1174</v>
      </c>
      <c r="E3092" t="b">
        <v>1</v>
      </c>
      <c r="F3092">
        <v>444</v>
      </c>
      <c r="G3092" t="s">
        <v>161</v>
      </c>
      <c r="H3092" t="s">
        <v>239</v>
      </c>
      <c r="I3092" t="s">
        <v>2117</v>
      </c>
    </row>
    <row r="3093" spans="1:9" x14ac:dyDescent="0.35">
      <c r="A3093">
        <v>504230</v>
      </c>
      <c r="B3093" t="s">
        <v>1075</v>
      </c>
      <c r="C3093" s="1">
        <v>43125</v>
      </c>
      <c r="D3093">
        <v>1174</v>
      </c>
      <c r="E3093" t="b">
        <v>1</v>
      </c>
      <c r="F3093">
        <v>444</v>
      </c>
      <c r="G3093" t="s">
        <v>161</v>
      </c>
      <c r="H3093" t="s">
        <v>132</v>
      </c>
      <c r="I3093" t="s">
        <v>2117</v>
      </c>
    </row>
    <row r="3094" spans="1:9" x14ac:dyDescent="0.35">
      <c r="A3094">
        <v>504230</v>
      </c>
      <c r="B3094" t="s">
        <v>1075</v>
      </c>
      <c r="C3094" s="1">
        <v>43125</v>
      </c>
      <c r="D3094">
        <v>1174</v>
      </c>
      <c r="E3094" t="b">
        <v>1</v>
      </c>
      <c r="F3094">
        <v>444</v>
      </c>
      <c r="G3094" t="s">
        <v>161</v>
      </c>
      <c r="H3094" t="s">
        <v>124</v>
      </c>
      <c r="I3094" t="s">
        <v>2117</v>
      </c>
    </row>
    <row r="3095" spans="1:9" x14ac:dyDescent="0.35">
      <c r="A3095">
        <v>504230</v>
      </c>
      <c r="B3095" t="s">
        <v>1075</v>
      </c>
      <c r="C3095" s="1">
        <v>43125</v>
      </c>
      <c r="D3095">
        <v>1174</v>
      </c>
      <c r="E3095" t="b">
        <v>1</v>
      </c>
      <c r="F3095">
        <v>444</v>
      </c>
      <c r="G3095" t="s">
        <v>161</v>
      </c>
      <c r="H3095" t="s">
        <v>1510</v>
      </c>
      <c r="I3095" t="s">
        <v>2117</v>
      </c>
    </row>
    <row r="3096" spans="1:9" x14ac:dyDescent="0.35">
      <c r="A3096">
        <v>1237970</v>
      </c>
      <c r="B3096" t="s">
        <v>1076</v>
      </c>
      <c r="C3096" s="1">
        <v>44000</v>
      </c>
      <c r="D3096">
        <v>1173</v>
      </c>
      <c r="E3096" t="b">
        <v>0</v>
      </c>
      <c r="F3096">
        <v>445</v>
      </c>
      <c r="G3096" t="s">
        <v>53</v>
      </c>
      <c r="H3096" t="s">
        <v>49</v>
      </c>
      <c r="I3096" t="s">
        <v>2116</v>
      </c>
    </row>
    <row r="3097" spans="1:9" x14ac:dyDescent="0.35">
      <c r="A3097">
        <v>1237970</v>
      </c>
      <c r="B3097" t="s">
        <v>1076</v>
      </c>
      <c r="C3097" s="1">
        <v>44000</v>
      </c>
      <c r="D3097">
        <v>1173</v>
      </c>
      <c r="E3097" t="b">
        <v>0</v>
      </c>
      <c r="F3097">
        <v>445</v>
      </c>
      <c r="G3097" t="s">
        <v>53</v>
      </c>
      <c r="H3097" t="s">
        <v>792</v>
      </c>
      <c r="I3097" t="s">
        <v>2117</v>
      </c>
    </row>
    <row r="3098" spans="1:9" x14ac:dyDescent="0.35">
      <c r="A3098">
        <v>1237970</v>
      </c>
      <c r="B3098" t="s">
        <v>1076</v>
      </c>
      <c r="C3098" s="1">
        <v>44000</v>
      </c>
      <c r="D3098">
        <v>1173</v>
      </c>
      <c r="E3098" t="b">
        <v>0</v>
      </c>
      <c r="F3098">
        <v>445</v>
      </c>
      <c r="G3098" t="s">
        <v>53</v>
      </c>
      <c r="H3098" t="s">
        <v>346</v>
      </c>
      <c r="I3098" t="s">
        <v>2117</v>
      </c>
    </row>
    <row r="3099" spans="1:9" x14ac:dyDescent="0.35">
      <c r="A3099">
        <v>1237970</v>
      </c>
      <c r="B3099" t="s">
        <v>1076</v>
      </c>
      <c r="C3099" s="1">
        <v>44000</v>
      </c>
      <c r="D3099">
        <v>1173</v>
      </c>
      <c r="E3099" t="b">
        <v>0</v>
      </c>
      <c r="F3099">
        <v>445</v>
      </c>
      <c r="G3099" t="s">
        <v>53</v>
      </c>
      <c r="H3099" t="s">
        <v>239</v>
      </c>
      <c r="I3099" t="s">
        <v>2117</v>
      </c>
    </row>
    <row r="3100" spans="1:9" x14ac:dyDescent="0.35">
      <c r="A3100">
        <v>1237970</v>
      </c>
      <c r="B3100" t="s">
        <v>1076</v>
      </c>
      <c r="C3100" s="1">
        <v>44000</v>
      </c>
      <c r="D3100">
        <v>1173</v>
      </c>
      <c r="E3100" t="b">
        <v>0</v>
      </c>
      <c r="F3100">
        <v>445</v>
      </c>
      <c r="G3100" t="s">
        <v>53</v>
      </c>
      <c r="H3100" t="s">
        <v>132</v>
      </c>
      <c r="I3100" t="s">
        <v>2117</v>
      </c>
    </row>
    <row r="3101" spans="1:9" x14ac:dyDescent="0.35">
      <c r="A3101">
        <v>1237970</v>
      </c>
      <c r="B3101" t="s">
        <v>1076</v>
      </c>
      <c r="C3101" s="1">
        <v>44000</v>
      </c>
      <c r="D3101">
        <v>1173</v>
      </c>
      <c r="E3101" t="b">
        <v>0</v>
      </c>
      <c r="F3101">
        <v>445</v>
      </c>
      <c r="G3101" t="s">
        <v>53</v>
      </c>
      <c r="H3101" t="s">
        <v>124</v>
      </c>
      <c r="I3101" t="s">
        <v>2117</v>
      </c>
    </row>
    <row r="3102" spans="1:9" x14ac:dyDescent="0.35">
      <c r="A3102">
        <v>1237970</v>
      </c>
      <c r="B3102" t="s">
        <v>1076</v>
      </c>
      <c r="C3102" s="1">
        <v>44000</v>
      </c>
      <c r="D3102">
        <v>1173</v>
      </c>
      <c r="E3102" t="b">
        <v>0</v>
      </c>
      <c r="F3102">
        <v>445</v>
      </c>
      <c r="G3102" t="s">
        <v>53</v>
      </c>
      <c r="H3102" t="s">
        <v>1510</v>
      </c>
      <c r="I3102" t="s">
        <v>2117</v>
      </c>
    </row>
    <row r="3103" spans="1:9" x14ac:dyDescent="0.35">
      <c r="A3103">
        <v>311690</v>
      </c>
      <c r="B3103" t="s">
        <v>1078</v>
      </c>
      <c r="C3103" s="1">
        <v>42465</v>
      </c>
      <c r="D3103">
        <v>1165</v>
      </c>
      <c r="E3103" t="b">
        <v>0</v>
      </c>
      <c r="F3103">
        <v>446</v>
      </c>
      <c r="G3103" t="s">
        <v>2084</v>
      </c>
      <c r="H3103" t="s">
        <v>49</v>
      </c>
      <c r="I3103" t="s">
        <v>2116</v>
      </c>
    </row>
    <row r="3104" spans="1:9" x14ac:dyDescent="0.35">
      <c r="A3104">
        <v>311690</v>
      </c>
      <c r="B3104" t="s">
        <v>1078</v>
      </c>
      <c r="C3104" s="1">
        <v>42465</v>
      </c>
      <c r="D3104">
        <v>1165</v>
      </c>
      <c r="E3104" t="b">
        <v>0</v>
      </c>
      <c r="F3104">
        <v>446</v>
      </c>
      <c r="G3104" t="s">
        <v>2084</v>
      </c>
      <c r="H3104" t="s">
        <v>792</v>
      </c>
      <c r="I3104" t="s">
        <v>2116</v>
      </c>
    </row>
    <row r="3105" spans="1:9" x14ac:dyDescent="0.35">
      <c r="A3105">
        <v>311690</v>
      </c>
      <c r="B3105" t="s">
        <v>1078</v>
      </c>
      <c r="C3105" s="1">
        <v>42465</v>
      </c>
      <c r="D3105">
        <v>1165</v>
      </c>
      <c r="E3105" t="b">
        <v>0</v>
      </c>
      <c r="F3105">
        <v>446</v>
      </c>
      <c r="G3105" t="s">
        <v>2084</v>
      </c>
      <c r="H3105" t="s">
        <v>346</v>
      </c>
      <c r="I3105" t="s">
        <v>2116</v>
      </c>
    </row>
    <row r="3106" spans="1:9" x14ac:dyDescent="0.35">
      <c r="A3106">
        <v>311690</v>
      </c>
      <c r="B3106" t="s">
        <v>1078</v>
      </c>
      <c r="C3106" s="1">
        <v>42465</v>
      </c>
      <c r="D3106">
        <v>1165</v>
      </c>
      <c r="E3106" t="b">
        <v>0</v>
      </c>
      <c r="F3106">
        <v>446</v>
      </c>
      <c r="G3106" t="s">
        <v>2084</v>
      </c>
      <c r="H3106" t="s">
        <v>239</v>
      </c>
      <c r="I3106" t="s">
        <v>2117</v>
      </c>
    </row>
    <row r="3107" spans="1:9" x14ac:dyDescent="0.35">
      <c r="A3107">
        <v>311690</v>
      </c>
      <c r="B3107" t="s">
        <v>1078</v>
      </c>
      <c r="C3107" s="1">
        <v>42465</v>
      </c>
      <c r="D3107">
        <v>1165</v>
      </c>
      <c r="E3107" t="b">
        <v>0</v>
      </c>
      <c r="F3107">
        <v>446</v>
      </c>
      <c r="G3107" t="s">
        <v>2084</v>
      </c>
      <c r="H3107" t="s">
        <v>132</v>
      </c>
      <c r="I3107" t="s">
        <v>2117</v>
      </c>
    </row>
    <row r="3108" spans="1:9" x14ac:dyDescent="0.35">
      <c r="A3108">
        <v>311690</v>
      </c>
      <c r="B3108" t="s">
        <v>1078</v>
      </c>
      <c r="C3108" s="1">
        <v>42465</v>
      </c>
      <c r="D3108">
        <v>1165</v>
      </c>
      <c r="E3108" t="b">
        <v>0</v>
      </c>
      <c r="F3108">
        <v>446</v>
      </c>
      <c r="G3108" t="s">
        <v>2084</v>
      </c>
      <c r="H3108" t="s">
        <v>124</v>
      </c>
      <c r="I3108" t="s">
        <v>2117</v>
      </c>
    </row>
    <row r="3109" spans="1:9" x14ac:dyDescent="0.35">
      <c r="A3109">
        <v>311690</v>
      </c>
      <c r="B3109" t="s">
        <v>1078</v>
      </c>
      <c r="C3109" s="1">
        <v>42465</v>
      </c>
      <c r="D3109">
        <v>1165</v>
      </c>
      <c r="E3109" t="b">
        <v>0</v>
      </c>
      <c r="F3109">
        <v>446</v>
      </c>
      <c r="G3109" t="s">
        <v>2084</v>
      </c>
      <c r="H3109" t="s">
        <v>1510</v>
      </c>
      <c r="I3109" t="s">
        <v>2117</v>
      </c>
    </row>
    <row r="3110" spans="1:9" x14ac:dyDescent="0.35">
      <c r="A3110">
        <v>466560</v>
      </c>
      <c r="B3110" t="s">
        <v>1080</v>
      </c>
      <c r="C3110" s="1">
        <v>43166</v>
      </c>
      <c r="D3110">
        <v>1164</v>
      </c>
      <c r="E3110" t="b">
        <v>1</v>
      </c>
      <c r="F3110">
        <v>447</v>
      </c>
      <c r="G3110" t="s">
        <v>40</v>
      </c>
      <c r="H3110" t="s">
        <v>49</v>
      </c>
      <c r="I3110" t="s">
        <v>2117</v>
      </c>
    </row>
    <row r="3111" spans="1:9" x14ac:dyDescent="0.35">
      <c r="A3111">
        <v>466560</v>
      </c>
      <c r="B3111" t="s">
        <v>1080</v>
      </c>
      <c r="C3111" s="1">
        <v>43166</v>
      </c>
      <c r="D3111">
        <v>1164</v>
      </c>
      <c r="E3111" t="b">
        <v>1</v>
      </c>
      <c r="F3111">
        <v>447</v>
      </c>
      <c r="G3111" t="s">
        <v>40</v>
      </c>
      <c r="H3111" t="s">
        <v>792</v>
      </c>
      <c r="I3111" t="s">
        <v>2116</v>
      </c>
    </row>
    <row r="3112" spans="1:9" x14ac:dyDescent="0.35">
      <c r="A3112">
        <v>466560</v>
      </c>
      <c r="B3112" t="s">
        <v>1080</v>
      </c>
      <c r="C3112" s="1">
        <v>43166</v>
      </c>
      <c r="D3112">
        <v>1164</v>
      </c>
      <c r="E3112" t="b">
        <v>1</v>
      </c>
      <c r="F3112">
        <v>447</v>
      </c>
      <c r="G3112" t="s">
        <v>40</v>
      </c>
      <c r="H3112" t="s">
        <v>346</v>
      </c>
      <c r="I3112" t="s">
        <v>2116</v>
      </c>
    </row>
    <row r="3113" spans="1:9" x14ac:dyDescent="0.35">
      <c r="A3113">
        <v>466560</v>
      </c>
      <c r="B3113" t="s">
        <v>1080</v>
      </c>
      <c r="C3113" s="1">
        <v>43166</v>
      </c>
      <c r="D3113">
        <v>1164</v>
      </c>
      <c r="E3113" t="b">
        <v>1</v>
      </c>
      <c r="F3113">
        <v>447</v>
      </c>
      <c r="G3113" t="s">
        <v>40</v>
      </c>
      <c r="H3113" t="s">
        <v>239</v>
      </c>
      <c r="I3113" t="s">
        <v>2116</v>
      </c>
    </row>
    <row r="3114" spans="1:9" x14ac:dyDescent="0.35">
      <c r="A3114">
        <v>466560</v>
      </c>
      <c r="B3114" t="s">
        <v>1080</v>
      </c>
      <c r="C3114" s="1">
        <v>43166</v>
      </c>
      <c r="D3114">
        <v>1164</v>
      </c>
      <c r="E3114" t="b">
        <v>1</v>
      </c>
      <c r="F3114">
        <v>447</v>
      </c>
      <c r="G3114" t="s">
        <v>40</v>
      </c>
      <c r="H3114" t="s">
        <v>132</v>
      </c>
      <c r="I3114" t="s">
        <v>2117</v>
      </c>
    </row>
    <row r="3115" spans="1:9" x14ac:dyDescent="0.35">
      <c r="A3115">
        <v>466560</v>
      </c>
      <c r="B3115" t="s">
        <v>1080</v>
      </c>
      <c r="C3115" s="1">
        <v>43166</v>
      </c>
      <c r="D3115">
        <v>1164</v>
      </c>
      <c r="E3115" t="b">
        <v>1</v>
      </c>
      <c r="F3115">
        <v>447</v>
      </c>
      <c r="G3115" t="s">
        <v>40</v>
      </c>
      <c r="H3115" t="s">
        <v>124</v>
      </c>
      <c r="I3115" t="s">
        <v>2116</v>
      </c>
    </row>
    <row r="3116" spans="1:9" x14ac:dyDescent="0.35">
      <c r="A3116">
        <v>466560</v>
      </c>
      <c r="B3116" t="s">
        <v>1080</v>
      </c>
      <c r="C3116" s="1">
        <v>43166</v>
      </c>
      <c r="D3116">
        <v>1164</v>
      </c>
      <c r="E3116" t="b">
        <v>1</v>
      </c>
      <c r="F3116">
        <v>447</v>
      </c>
      <c r="G3116" t="s">
        <v>40</v>
      </c>
      <c r="H3116" t="s">
        <v>1510</v>
      </c>
      <c r="I3116" t="s">
        <v>2117</v>
      </c>
    </row>
    <row r="3117" spans="1:9" x14ac:dyDescent="0.35">
      <c r="A3117">
        <v>2276930</v>
      </c>
      <c r="B3117" t="s">
        <v>1082</v>
      </c>
      <c r="C3117" s="1">
        <v>45175</v>
      </c>
      <c r="D3117">
        <v>1163</v>
      </c>
      <c r="E3117" t="b">
        <v>1</v>
      </c>
      <c r="F3117">
        <v>448</v>
      </c>
      <c r="G3117" t="s">
        <v>14</v>
      </c>
      <c r="H3117" t="s">
        <v>49</v>
      </c>
      <c r="I3117" t="s">
        <v>2117</v>
      </c>
    </row>
    <row r="3118" spans="1:9" x14ac:dyDescent="0.35">
      <c r="A3118">
        <v>2276930</v>
      </c>
      <c r="B3118" t="s">
        <v>1082</v>
      </c>
      <c r="C3118" s="1">
        <v>45175</v>
      </c>
      <c r="D3118">
        <v>1163</v>
      </c>
      <c r="E3118" t="b">
        <v>1</v>
      </c>
      <c r="F3118">
        <v>448</v>
      </c>
      <c r="G3118" t="s">
        <v>14</v>
      </c>
      <c r="H3118" t="s">
        <v>792</v>
      </c>
      <c r="I3118" t="s">
        <v>2117</v>
      </c>
    </row>
    <row r="3119" spans="1:9" x14ac:dyDescent="0.35">
      <c r="A3119">
        <v>2276930</v>
      </c>
      <c r="B3119" t="s">
        <v>1082</v>
      </c>
      <c r="C3119" s="1">
        <v>45175</v>
      </c>
      <c r="D3119">
        <v>1163</v>
      </c>
      <c r="E3119" t="b">
        <v>1</v>
      </c>
      <c r="F3119">
        <v>448</v>
      </c>
      <c r="G3119" t="s">
        <v>14</v>
      </c>
      <c r="H3119" t="s">
        <v>346</v>
      </c>
      <c r="I3119" t="s">
        <v>2117</v>
      </c>
    </row>
    <row r="3120" spans="1:9" x14ac:dyDescent="0.35">
      <c r="A3120">
        <v>2276930</v>
      </c>
      <c r="B3120" t="s">
        <v>1082</v>
      </c>
      <c r="C3120" s="1">
        <v>45175</v>
      </c>
      <c r="D3120">
        <v>1163</v>
      </c>
      <c r="E3120" t="b">
        <v>1</v>
      </c>
      <c r="F3120">
        <v>448</v>
      </c>
      <c r="G3120" t="s">
        <v>14</v>
      </c>
      <c r="H3120" t="s">
        <v>239</v>
      </c>
      <c r="I3120" t="s">
        <v>2116</v>
      </c>
    </row>
    <row r="3121" spans="1:9" x14ac:dyDescent="0.35">
      <c r="A3121">
        <v>2276930</v>
      </c>
      <c r="B3121" t="s">
        <v>1082</v>
      </c>
      <c r="C3121" s="1">
        <v>45175</v>
      </c>
      <c r="D3121">
        <v>1163</v>
      </c>
      <c r="E3121" t="b">
        <v>1</v>
      </c>
      <c r="F3121">
        <v>448</v>
      </c>
      <c r="G3121" t="s">
        <v>14</v>
      </c>
      <c r="H3121" t="s">
        <v>132</v>
      </c>
      <c r="I3121" t="s">
        <v>2117</v>
      </c>
    </row>
    <row r="3122" spans="1:9" x14ac:dyDescent="0.35">
      <c r="A3122">
        <v>2276930</v>
      </c>
      <c r="B3122" t="s">
        <v>1082</v>
      </c>
      <c r="C3122" s="1">
        <v>45175</v>
      </c>
      <c r="D3122">
        <v>1163</v>
      </c>
      <c r="E3122" t="b">
        <v>1</v>
      </c>
      <c r="F3122">
        <v>448</v>
      </c>
      <c r="G3122" t="s">
        <v>14</v>
      </c>
      <c r="H3122" t="s">
        <v>124</v>
      </c>
      <c r="I3122" t="s">
        <v>2117</v>
      </c>
    </row>
    <row r="3123" spans="1:9" x14ac:dyDescent="0.35">
      <c r="A3123">
        <v>2276930</v>
      </c>
      <c r="B3123" t="s">
        <v>1082</v>
      </c>
      <c r="C3123" s="1">
        <v>45175</v>
      </c>
      <c r="D3123">
        <v>1163</v>
      </c>
      <c r="E3123" t="b">
        <v>1</v>
      </c>
      <c r="F3123">
        <v>448</v>
      </c>
      <c r="G3123" t="s">
        <v>14</v>
      </c>
      <c r="H3123" t="s">
        <v>1510</v>
      </c>
      <c r="I3123" t="s">
        <v>2117</v>
      </c>
    </row>
    <row r="3124" spans="1:9" x14ac:dyDescent="0.35">
      <c r="A3124">
        <v>2336220</v>
      </c>
      <c r="B3124" t="s">
        <v>1084</v>
      </c>
      <c r="C3124" s="1">
        <v>45342</v>
      </c>
      <c r="D3124">
        <v>1161</v>
      </c>
      <c r="E3124" t="b">
        <v>1</v>
      </c>
      <c r="F3124">
        <v>449</v>
      </c>
      <c r="G3124" t="s">
        <v>14</v>
      </c>
      <c r="H3124" t="s">
        <v>49</v>
      </c>
      <c r="I3124" t="s">
        <v>2117</v>
      </c>
    </row>
    <row r="3125" spans="1:9" x14ac:dyDescent="0.35">
      <c r="A3125">
        <v>2336220</v>
      </c>
      <c r="B3125" t="s">
        <v>1084</v>
      </c>
      <c r="C3125" s="1">
        <v>45342</v>
      </c>
      <c r="D3125">
        <v>1161</v>
      </c>
      <c r="E3125" t="b">
        <v>1</v>
      </c>
      <c r="F3125">
        <v>449</v>
      </c>
      <c r="G3125" t="s">
        <v>14</v>
      </c>
      <c r="H3125" t="s">
        <v>792</v>
      </c>
      <c r="I3125" t="s">
        <v>2116</v>
      </c>
    </row>
    <row r="3126" spans="1:9" x14ac:dyDescent="0.35">
      <c r="A3126">
        <v>2336220</v>
      </c>
      <c r="B3126" t="s">
        <v>1084</v>
      </c>
      <c r="C3126" s="1">
        <v>45342</v>
      </c>
      <c r="D3126">
        <v>1161</v>
      </c>
      <c r="E3126" t="b">
        <v>1</v>
      </c>
      <c r="F3126">
        <v>449</v>
      </c>
      <c r="G3126" t="s">
        <v>14</v>
      </c>
      <c r="H3126" t="s">
        <v>346</v>
      </c>
      <c r="I3126" t="s">
        <v>2117</v>
      </c>
    </row>
    <row r="3127" spans="1:9" x14ac:dyDescent="0.35">
      <c r="A3127">
        <v>2336220</v>
      </c>
      <c r="B3127" t="s">
        <v>1084</v>
      </c>
      <c r="C3127" s="1">
        <v>45342</v>
      </c>
      <c r="D3127">
        <v>1161</v>
      </c>
      <c r="E3127" t="b">
        <v>1</v>
      </c>
      <c r="F3127">
        <v>449</v>
      </c>
      <c r="G3127" t="s">
        <v>14</v>
      </c>
      <c r="H3127" t="s">
        <v>239</v>
      </c>
      <c r="I3127" t="s">
        <v>2116</v>
      </c>
    </row>
    <row r="3128" spans="1:9" x14ac:dyDescent="0.35">
      <c r="A3128">
        <v>2336220</v>
      </c>
      <c r="B3128" t="s">
        <v>1084</v>
      </c>
      <c r="C3128" s="1">
        <v>45342</v>
      </c>
      <c r="D3128">
        <v>1161</v>
      </c>
      <c r="E3128" t="b">
        <v>1</v>
      </c>
      <c r="F3128">
        <v>449</v>
      </c>
      <c r="G3128" t="s">
        <v>14</v>
      </c>
      <c r="H3128" t="s">
        <v>132</v>
      </c>
      <c r="I3128" t="s">
        <v>2117</v>
      </c>
    </row>
    <row r="3129" spans="1:9" x14ac:dyDescent="0.35">
      <c r="A3129">
        <v>2336220</v>
      </c>
      <c r="B3129" t="s">
        <v>1084</v>
      </c>
      <c r="C3129" s="1">
        <v>45342</v>
      </c>
      <c r="D3129">
        <v>1161</v>
      </c>
      <c r="E3129" t="b">
        <v>1</v>
      </c>
      <c r="F3129">
        <v>449</v>
      </c>
      <c r="G3129" t="s">
        <v>14</v>
      </c>
      <c r="H3129" t="s">
        <v>124</v>
      </c>
      <c r="I3129" t="s">
        <v>2117</v>
      </c>
    </row>
    <row r="3130" spans="1:9" x14ac:dyDescent="0.35">
      <c r="A3130">
        <v>2336220</v>
      </c>
      <c r="B3130" t="s">
        <v>1084</v>
      </c>
      <c r="C3130" s="1">
        <v>45342</v>
      </c>
      <c r="D3130">
        <v>1161</v>
      </c>
      <c r="E3130" t="b">
        <v>1</v>
      </c>
      <c r="F3130">
        <v>449</v>
      </c>
      <c r="G3130" t="s">
        <v>14</v>
      </c>
      <c r="H3130" t="s">
        <v>1510</v>
      </c>
      <c r="I3130" t="s">
        <v>2117</v>
      </c>
    </row>
    <row r="3131" spans="1:9" x14ac:dyDescent="0.35">
      <c r="A3131">
        <v>466170</v>
      </c>
      <c r="B3131" t="s">
        <v>1087</v>
      </c>
      <c r="C3131" s="1">
        <v>42517</v>
      </c>
      <c r="D3131">
        <v>1157</v>
      </c>
      <c r="E3131" t="b">
        <v>1</v>
      </c>
      <c r="F3131">
        <v>450</v>
      </c>
      <c r="G3131" t="s">
        <v>2084</v>
      </c>
      <c r="H3131" t="s">
        <v>49</v>
      </c>
      <c r="I3131" t="s">
        <v>2117</v>
      </c>
    </row>
    <row r="3132" spans="1:9" x14ac:dyDescent="0.35">
      <c r="A3132">
        <v>466170</v>
      </c>
      <c r="B3132" t="s">
        <v>1087</v>
      </c>
      <c r="C3132" s="1">
        <v>42517</v>
      </c>
      <c r="D3132">
        <v>1157</v>
      </c>
      <c r="E3132" t="b">
        <v>1</v>
      </c>
      <c r="F3132">
        <v>450</v>
      </c>
      <c r="G3132" t="s">
        <v>2084</v>
      </c>
      <c r="H3132" t="s">
        <v>792</v>
      </c>
      <c r="I3132" t="s">
        <v>2116</v>
      </c>
    </row>
    <row r="3133" spans="1:9" x14ac:dyDescent="0.35">
      <c r="A3133">
        <v>466170</v>
      </c>
      <c r="B3133" t="s">
        <v>1087</v>
      </c>
      <c r="C3133" s="1">
        <v>42517</v>
      </c>
      <c r="D3133">
        <v>1157</v>
      </c>
      <c r="E3133" t="b">
        <v>1</v>
      </c>
      <c r="F3133">
        <v>450</v>
      </c>
      <c r="G3133" t="s">
        <v>2084</v>
      </c>
      <c r="H3133" t="s">
        <v>346</v>
      </c>
      <c r="I3133" t="s">
        <v>2117</v>
      </c>
    </row>
    <row r="3134" spans="1:9" x14ac:dyDescent="0.35">
      <c r="A3134">
        <v>466170</v>
      </c>
      <c r="B3134" t="s">
        <v>1087</v>
      </c>
      <c r="C3134" s="1">
        <v>42517</v>
      </c>
      <c r="D3134">
        <v>1157</v>
      </c>
      <c r="E3134" t="b">
        <v>1</v>
      </c>
      <c r="F3134">
        <v>450</v>
      </c>
      <c r="G3134" t="s">
        <v>2084</v>
      </c>
      <c r="H3134" t="s">
        <v>239</v>
      </c>
      <c r="I3134" t="s">
        <v>2116</v>
      </c>
    </row>
    <row r="3135" spans="1:9" x14ac:dyDescent="0.35">
      <c r="A3135">
        <v>466170</v>
      </c>
      <c r="B3135" t="s">
        <v>1087</v>
      </c>
      <c r="C3135" s="1">
        <v>42517</v>
      </c>
      <c r="D3135">
        <v>1157</v>
      </c>
      <c r="E3135" t="b">
        <v>1</v>
      </c>
      <c r="F3135">
        <v>450</v>
      </c>
      <c r="G3135" t="s">
        <v>2084</v>
      </c>
      <c r="H3135" t="s">
        <v>132</v>
      </c>
      <c r="I3135" t="s">
        <v>2117</v>
      </c>
    </row>
    <row r="3136" spans="1:9" x14ac:dyDescent="0.35">
      <c r="A3136">
        <v>466170</v>
      </c>
      <c r="B3136" t="s">
        <v>1087</v>
      </c>
      <c r="C3136" s="1">
        <v>42517</v>
      </c>
      <c r="D3136">
        <v>1157</v>
      </c>
      <c r="E3136" t="b">
        <v>1</v>
      </c>
      <c r="F3136">
        <v>450</v>
      </c>
      <c r="G3136" t="s">
        <v>2084</v>
      </c>
      <c r="H3136" t="s">
        <v>124</v>
      </c>
      <c r="I3136" t="s">
        <v>2116</v>
      </c>
    </row>
    <row r="3137" spans="1:9" x14ac:dyDescent="0.35">
      <c r="A3137">
        <v>466170</v>
      </c>
      <c r="B3137" t="s">
        <v>1087</v>
      </c>
      <c r="C3137" s="1">
        <v>42517</v>
      </c>
      <c r="D3137">
        <v>1157</v>
      </c>
      <c r="E3137" t="b">
        <v>1</v>
      </c>
      <c r="F3137">
        <v>450</v>
      </c>
      <c r="G3137" t="s">
        <v>2084</v>
      </c>
      <c r="H3137" t="s">
        <v>1510</v>
      </c>
      <c r="I3137" t="s">
        <v>2116</v>
      </c>
    </row>
    <row r="3138" spans="1:9" x14ac:dyDescent="0.35">
      <c r="A3138">
        <v>22330</v>
      </c>
      <c r="B3138" t="s">
        <v>1090</v>
      </c>
      <c r="C3138" s="1">
        <v>39980</v>
      </c>
      <c r="D3138">
        <v>1156</v>
      </c>
      <c r="E3138" t="b">
        <v>0</v>
      </c>
      <c r="F3138">
        <v>451</v>
      </c>
      <c r="G3138" t="s">
        <v>2084</v>
      </c>
      <c r="H3138" t="s">
        <v>49</v>
      </c>
      <c r="I3138" t="s">
        <v>2117</v>
      </c>
    </row>
    <row r="3139" spans="1:9" x14ac:dyDescent="0.35">
      <c r="A3139">
        <v>22330</v>
      </c>
      <c r="B3139" t="s">
        <v>1090</v>
      </c>
      <c r="C3139" s="1">
        <v>39980</v>
      </c>
      <c r="D3139">
        <v>1156</v>
      </c>
      <c r="E3139" t="b">
        <v>0</v>
      </c>
      <c r="F3139">
        <v>451</v>
      </c>
      <c r="G3139" t="s">
        <v>2084</v>
      </c>
      <c r="H3139" t="s">
        <v>792</v>
      </c>
      <c r="I3139" t="s">
        <v>2117</v>
      </c>
    </row>
    <row r="3140" spans="1:9" x14ac:dyDescent="0.35">
      <c r="A3140">
        <v>22330</v>
      </c>
      <c r="B3140" t="s">
        <v>1090</v>
      </c>
      <c r="C3140" s="1">
        <v>39980</v>
      </c>
      <c r="D3140">
        <v>1156</v>
      </c>
      <c r="E3140" t="b">
        <v>0</v>
      </c>
      <c r="F3140">
        <v>451</v>
      </c>
      <c r="G3140" t="s">
        <v>2084</v>
      </c>
      <c r="H3140" t="s">
        <v>346</v>
      </c>
      <c r="I3140" t="s">
        <v>2117</v>
      </c>
    </row>
    <row r="3141" spans="1:9" x14ac:dyDescent="0.35">
      <c r="A3141">
        <v>22330</v>
      </c>
      <c r="B3141" t="s">
        <v>1090</v>
      </c>
      <c r="C3141" s="1">
        <v>39980</v>
      </c>
      <c r="D3141">
        <v>1156</v>
      </c>
      <c r="E3141" t="b">
        <v>0</v>
      </c>
      <c r="F3141">
        <v>451</v>
      </c>
      <c r="G3141" t="s">
        <v>2084</v>
      </c>
      <c r="H3141" t="s">
        <v>239</v>
      </c>
      <c r="I3141" t="s">
        <v>2117</v>
      </c>
    </row>
    <row r="3142" spans="1:9" x14ac:dyDescent="0.35">
      <c r="A3142">
        <v>22330</v>
      </c>
      <c r="B3142" t="s">
        <v>1090</v>
      </c>
      <c r="C3142" s="1">
        <v>39980</v>
      </c>
      <c r="D3142">
        <v>1156</v>
      </c>
      <c r="E3142" t="b">
        <v>0</v>
      </c>
      <c r="F3142">
        <v>451</v>
      </c>
      <c r="G3142" t="s">
        <v>2084</v>
      </c>
      <c r="H3142" t="s">
        <v>132</v>
      </c>
      <c r="I3142" t="s">
        <v>2116</v>
      </c>
    </row>
    <row r="3143" spans="1:9" x14ac:dyDescent="0.35">
      <c r="A3143">
        <v>22330</v>
      </c>
      <c r="B3143" t="s">
        <v>1090</v>
      </c>
      <c r="C3143" s="1">
        <v>39980</v>
      </c>
      <c r="D3143">
        <v>1156</v>
      </c>
      <c r="E3143" t="b">
        <v>0</v>
      </c>
      <c r="F3143">
        <v>451</v>
      </c>
      <c r="G3143" t="s">
        <v>2084</v>
      </c>
      <c r="H3143" t="s">
        <v>124</v>
      </c>
      <c r="I3143" t="s">
        <v>2117</v>
      </c>
    </row>
    <row r="3144" spans="1:9" x14ac:dyDescent="0.35">
      <c r="A3144">
        <v>22330</v>
      </c>
      <c r="B3144" t="s">
        <v>1090</v>
      </c>
      <c r="C3144" s="1">
        <v>39980</v>
      </c>
      <c r="D3144">
        <v>1156</v>
      </c>
      <c r="E3144" t="b">
        <v>0</v>
      </c>
      <c r="F3144">
        <v>451</v>
      </c>
      <c r="G3144" t="s">
        <v>2084</v>
      </c>
      <c r="H3144" t="s">
        <v>1510</v>
      </c>
      <c r="I3144" t="s">
        <v>2117</v>
      </c>
    </row>
    <row r="3145" spans="1:9" x14ac:dyDescent="0.35">
      <c r="A3145">
        <v>2567870</v>
      </c>
      <c r="B3145" t="s">
        <v>1092</v>
      </c>
      <c r="C3145" s="1">
        <v>45462</v>
      </c>
      <c r="D3145">
        <v>1154</v>
      </c>
      <c r="E3145" t="b">
        <v>0</v>
      </c>
      <c r="F3145">
        <v>452</v>
      </c>
      <c r="G3145" t="s">
        <v>29</v>
      </c>
      <c r="H3145" t="s">
        <v>49</v>
      </c>
      <c r="I3145" t="s">
        <v>2117</v>
      </c>
    </row>
    <row r="3146" spans="1:9" x14ac:dyDescent="0.35">
      <c r="A3146">
        <v>2567870</v>
      </c>
      <c r="B3146" t="s">
        <v>1092</v>
      </c>
      <c r="C3146" s="1">
        <v>45462</v>
      </c>
      <c r="D3146">
        <v>1154</v>
      </c>
      <c r="E3146" t="b">
        <v>0</v>
      </c>
      <c r="F3146">
        <v>452</v>
      </c>
      <c r="G3146" t="s">
        <v>29</v>
      </c>
      <c r="H3146" t="s">
        <v>792</v>
      </c>
      <c r="I3146" t="s">
        <v>2116</v>
      </c>
    </row>
    <row r="3147" spans="1:9" x14ac:dyDescent="0.35">
      <c r="A3147">
        <v>2567870</v>
      </c>
      <c r="B3147" t="s">
        <v>1092</v>
      </c>
      <c r="C3147" s="1">
        <v>45462</v>
      </c>
      <c r="D3147">
        <v>1154</v>
      </c>
      <c r="E3147" t="b">
        <v>0</v>
      </c>
      <c r="F3147">
        <v>452</v>
      </c>
      <c r="G3147" t="s">
        <v>29</v>
      </c>
      <c r="H3147" t="s">
        <v>346</v>
      </c>
      <c r="I3147" t="s">
        <v>2116</v>
      </c>
    </row>
    <row r="3148" spans="1:9" x14ac:dyDescent="0.35">
      <c r="A3148">
        <v>2567870</v>
      </c>
      <c r="B3148" t="s">
        <v>1092</v>
      </c>
      <c r="C3148" s="1">
        <v>45462</v>
      </c>
      <c r="D3148">
        <v>1154</v>
      </c>
      <c r="E3148" t="b">
        <v>0</v>
      </c>
      <c r="F3148">
        <v>452</v>
      </c>
      <c r="G3148" t="s">
        <v>29</v>
      </c>
      <c r="H3148" t="s">
        <v>239</v>
      </c>
      <c r="I3148" t="s">
        <v>2116</v>
      </c>
    </row>
    <row r="3149" spans="1:9" x14ac:dyDescent="0.35">
      <c r="A3149">
        <v>2567870</v>
      </c>
      <c r="B3149" t="s">
        <v>1092</v>
      </c>
      <c r="C3149" s="1">
        <v>45462</v>
      </c>
      <c r="D3149">
        <v>1154</v>
      </c>
      <c r="E3149" t="b">
        <v>0</v>
      </c>
      <c r="F3149">
        <v>452</v>
      </c>
      <c r="G3149" t="s">
        <v>29</v>
      </c>
      <c r="H3149" t="s">
        <v>132</v>
      </c>
      <c r="I3149" t="s">
        <v>2117</v>
      </c>
    </row>
    <row r="3150" spans="1:9" x14ac:dyDescent="0.35">
      <c r="A3150">
        <v>2567870</v>
      </c>
      <c r="B3150" t="s">
        <v>1092</v>
      </c>
      <c r="C3150" s="1">
        <v>45462</v>
      </c>
      <c r="D3150">
        <v>1154</v>
      </c>
      <c r="E3150" t="b">
        <v>0</v>
      </c>
      <c r="F3150">
        <v>452</v>
      </c>
      <c r="G3150" t="s">
        <v>29</v>
      </c>
      <c r="H3150" t="s">
        <v>124</v>
      </c>
      <c r="I3150" t="s">
        <v>2117</v>
      </c>
    </row>
    <row r="3151" spans="1:9" x14ac:dyDescent="0.35">
      <c r="A3151">
        <v>2567870</v>
      </c>
      <c r="B3151" t="s">
        <v>1092</v>
      </c>
      <c r="C3151" s="1">
        <v>45462</v>
      </c>
      <c r="D3151">
        <v>1154</v>
      </c>
      <c r="E3151" t="b">
        <v>0</v>
      </c>
      <c r="F3151">
        <v>452</v>
      </c>
      <c r="G3151" t="s">
        <v>29</v>
      </c>
      <c r="H3151" t="s">
        <v>1510</v>
      </c>
      <c r="I3151" t="s">
        <v>2117</v>
      </c>
    </row>
    <row r="3152" spans="1:9" x14ac:dyDescent="0.35">
      <c r="A3152">
        <v>1238860</v>
      </c>
      <c r="B3152" t="s">
        <v>1095</v>
      </c>
      <c r="C3152" s="1">
        <v>43993</v>
      </c>
      <c r="D3152">
        <v>1153</v>
      </c>
      <c r="E3152" t="b">
        <v>0</v>
      </c>
      <c r="F3152">
        <v>453</v>
      </c>
      <c r="G3152" t="s">
        <v>40</v>
      </c>
      <c r="H3152" t="s">
        <v>49</v>
      </c>
      <c r="I3152" t="s">
        <v>2116</v>
      </c>
    </row>
    <row r="3153" spans="1:9" x14ac:dyDescent="0.35">
      <c r="A3153">
        <v>1238860</v>
      </c>
      <c r="B3153" t="s">
        <v>1095</v>
      </c>
      <c r="C3153" s="1">
        <v>43993</v>
      </c>
      <c r="D3153">
        <v>1153</v>
      </c>
      <c r="E3153" t="b">
        <v>0</v>
      </c>
      <c r="F3153">
        <v>453</v>
      </c>
      <c r="G3153" t="s">
        <v>40</v>
      </c>
      <c r="H3153" t="s">
        <v>792</v>
      </c>
      <c r="I3153" t="s">
        <v>2117</v>
      </c>
    </row>
    <row r="3154" spans="1:9" x14ac:dyDescent="0.35">
      <c r="A3154">
        <v>1238860</v>
      </c>
      <c r="B3154" t="s">
        <v>1095</v>
      </c>
      <c r="C3154" s="1">
        <v>43993</v>
      </c>
      <c r="D3154">
        <v>1153</v>
      </c>
      <c r="E3154" t="b">
        <v>0</v>
      </c>
      <c r="F3154">
        <v>453</v>
      </c>
      <c r="G3154" t="s">
        <v>40</v>
      </c>
      <c r="H3154" t="s">
        <v>346</v>
      </c>
      <c r="I3154" t="s">
        <v>2117</v>
      </c>
    </row>
    <row r="3155" spans="1:9" x14ac:dyDescent="0.35">
      <c r="A3155">
        <v>1238860</v>
      </c>
      <c r="B3155" t="s">
        <v>1095</v>
      </c>
      <c r="C3155" s="1">
        <v>43993</v>
      </c>
      <c r="D3155">
        <v>1153</v>
      </c>
      <c r="E3155" t="b">
        <v>0</v>
      </c>
      <c r="F3155">
        <v>453</v>
      </c>
      <c r="G3155" t="s">
        <v>40</v>
      </c>
      <c r="H3155" t="s">
        <v>239</v>
      </c>
      <c r="I3155" t="s">
        <v>2117</v>
      </c>
    </row>
    <row r="3156" spans="1:9" x14ac:dyDescent="0.35">
      <c r="A3156">
        <v>1238860</v>
      </c>
      <c r="B3156" t="s">
        <v>1095</v>
      </c>
      <c r="C3156" s="1">
        <v>43993</v>
      </c>
      <c r="D3156">
        <v>1153</v>
      </c>
      <c r="E3156" t="b">
        <v>0</v>
      </c>
      <c r="F3156">
        <v>453</v>
      </c>
      <c r="G3156" t="s">
        <v>40</v>
      </c>
      <c r="H3156" t="s">
        <v>132</v>
      </c>
      <c r="I3156" t="s">
        <v>2117</v>
      </c>
    </row>
    <row r="3157" spans="1:9" x14ac:dyDescent="0.35">
      <c r="A3157">
        <v>1238860</v>
      </c>
      <c r="B3157" t="s">
        <v>1095</v>
      </c>
      <c r="C3157" s="1">
        <v>43993</v>
      </c>
      <c r="D3157">
        <v>1153</v>
      </c>
      <c r="E3157" t="b">
        <v>0</v>
      </c>
      <c r="F3157">
        <v>453</v>
      </c>
      <c r="G3157" t="s">
        <v>40</v>
      </c>
      <c r="H3157" t="s">
        <v>124</v>
      </c>
      <c r="I3157" t="s">
        <v>2117</v>
      </c>
    </row>
    <row r="3158" spans="1:9" x14ac:dyDescent="0.35">
      <c r="A3158">
        <v>1238860</v>
      </c>
      <c r="B3158" t="s">
        <v>1095</v>
      </c>
      <c r="C3158" s="1">
        <v>43993</v>
      </c>
      <c r="D3158">
        <v>1153</v>
      </c>
      <c r="E3158" t="b">
        <v>0</v>
      </c>
      <c r="F3158">
        <v>453</v>
      </c>
      <c r="G3158" t="s">
        <v>40</v>
      </c>
      <c r="H3158" t="s">
        <v>1510</v>
      </c>
      <c r="I3158" t="s">
        <v>2117</v>
      </c>
    </row>
    <row r="3159" spans="1:9" x14ac:dyDescent="0.35">
      <c r="A3159">
        <v>1971870</v>
      </c>
      <c r="B3159" t="s">
        <v>1096</v>
      </c>
      <c r="C3159" s="1">
        <v>45188</v>
      </c>
      <c r="D3159">
        <v>1149</v>
      </c>
      <c r="E3159" t="b">
        <v>0</v>
      </c>
      <c r="F3159">
        <v>454</v>
      </c>
      <c r="G3159" t="s">
        <v>341</v>
      </c>
      <c r="H3159" t="s">
        <v>49</v>
      </c>
      <c r="I3159" t="s">
        <v>2116</v>
      </c>
    </row>
    <row r="3160" spans="1:9" x14ac:dyDescent="0.35">
      <c r="A3160">
        <v>1971870</v>
      </c>
      <c r="B3160" t="s">
        <v>1096</v>
      </c>
      <c r="C3160" s="1">
        <v>45188</v>
      </c>
      <c r="D3160">
        <v>1149</v>
      </c>
      <c r="E3160" t="b">
        <v>0</v>
      </c>
      <c r="F3160">
        <v>454</v>
      </c>
      <c r="G3160" t="s">
        <v>341</v>
      </c>
      <c r="H3160" t="s">
        <v>792</v>
      </c>
      <c r="I3160" t="s">
        <v>2117</v>
      </c>
    </row>
    <row r="3161" spans="1:9" x14ac:dyDescent="0.35">
      <c r="A3161">
        <v>1971870</v>
      </c>
      <c r="B3161" t="s">
        <v>1096</v>
      </c>
      <c r="C3161" s="1">
        <v>45188</v>
      </c>
      <c r="D3161">
        <v>1149</v>
      </c>
      <c r="E3161" t="b">
        <v>0</v>
      </c>
      <c r="F3161">
        <v>454</v>
      </c>
      <c r="G3161" t="s">
        <v>341</v>
      </c>
      <c r="H3161" t="s">
        <v>346</v>
      </c>
      <c r="I3161" t="s">
        <v>2117</v>
      </c>
    </row>
    <row r="3162" spans="1:9" x14ac:dyDescent="0.35">
      <c r="A3162">
        <v>1971870</v>
      </c>
      <c r="B3162" t="s">
        <v>1096</v>
      </c>
      <c r="C3162" s="1">
        <v>45188</v>
      </c>
      <c r="D3162">
        <v>1149</v>
      </c>
      <c r="E3162" t="b">
        <v>0</v>
      </c>
      <c r="F3162">
        <v>454</v>
      </c>
      <c r="G3162" t="s">
        <v>341</v>
      </c>
      <c r="H3162" t="s">
        <v>239</v>
      </c>
      <c r="I3162" t="s">
        <v>2117</v>
      </c>
    </row>
    <row r="3163" spans="1:9" x14ac:dyDescent="0.35">
      <c r="A3163">
        <v>1971870</v>
      </c>
      <c r="B3163" t="s">
        <v>1096</v>
      </c>
      <c r="C3163" s="1">
        <v>45188</v>
      </c>
      <c r="D3163">
        <v>1149</v>
      </c>
      <c r="E3163" t="b">
        <v>0</v>
      </c>
      <c r="F3163">
        <v>454</v>
      </c>
      <c r="G3163" t="s">
        <v>341</v>
      </c>
      <c r="H3163" t="s">
        <v>132</v>
      </c>
      <c r="I3163" t="s">
        <v>2117</v>
      </c>
    </row>
    <row r="3164" spans="1:9" x14ac:dyDescent="0.35">
      <c r="A3164">
        <v>1971870</v>
      </c>
      <c r="B3164" t="s">
        <v>1096</v>
      </c>
      <c r="C3164" s="1">
        <v>45188</v>
      </c>
      <c r="D3164">
        <v>1149</v>
      </c>
      <c r="E3164" t="b">
        <v>0</v>
      </c>
      <c r="F3164">
        <v>454</v>
      </c>
      <c r="G3164" t="s">
        <v>341</v>
      </c>
      <c r="H3164" t="s">
        <v>124</v>
      </c>
      <c r="I3164" t="s">
        <v>2117</v>
      </c>
    </row>
    <row r="3165" spans="1:9" x14ac:dyDescent="0.35">
      <c r="A3165">
        <v>1971870</v>
      </c>
      <c r="B3165" t="s">
        <v>1096</v>
      </c>
      <c r="C3165" s="1">
        <v>45188</v>
      </c>
      <c r="D3165">
        <v>1149</v>
      </c>
      <c r="E3165" t="b">
        <v>0</v>
      </c>
      <c r="F3165">
        <v>454</v>
      </c>
      <c r="G3165" t="s">
        <v>341</v>
      </c>
      <c r="H3165" t="s">
        <v>1510</v>
      </c>
      <c r="I3165" t="s">
        <v>2117</v>
      </c>
    </row>
    <row r="3166" spans="1:9" x14ac:dyDescent="0.35">
      <c r="A3166">
        <v>719890</v>
      </c>
      <c r="B3166" t="s">
        <v>1098</v>
      </c>
      <c r="C3166" s="1">
        <v>43455</v>
      </c>
      <c r="D3166">
        <v>1143</v>
      </c>
      <c r="E3166" t="b">
        <v>0</v>
      </c>
      <c r="F3166">
        <v>455</v>
      </c>
      <c r="G3166" t="s">
        <v>1101</v>
      </c>
      <c r="H3166" t="s">
        <v>49</v>
      </c>
      <c r="I3166" t="s">
        <v>2117</v>
      </c>
    </row>
    <row r="3167" spans="1:9" x14ac:dyDescent="0.35">
      <c r="A3167">
        <v>719890</v>
      </c>
      <c r="B3167" t="s">
        <v>1098</v>
      </c>
      <c r="C3167" s="1">
        <v>43455</v>
      </c>
      <c r="D3167">
        <v>1143</v>
      </c>
      <c r="E3167" t="b">
        <v>0</v>
      </c>
      <c r="F3167">
        <v>455</v>
      </c>
      <c r="G3167" t="s">
        <v>1101</v>
      </c>
      <c r="H3167" t="s">
        <v>792</v>
      </c>
      <c r="I3167" t="s">
        <v>2116</v>
      </c>
    </row>
    <row r="3168" spans="1:9" x14ac:dyDescent="0.35">
      <c r="A3168">
        <v>719890</v>
      </c>
      <c r="B3168" t="s">
        <v>1098</v>
      </c>
      <c r="C3168" s="1">
        <v>43455</v>
      </c>
      <c r="D3168">
        <v>1143</v>
      </c>
      <c r="E3168" t="b">
        <v>0</v>
      </c>
      <c r="F3168">
        <v>455</v>
      </c>
      <c r="G3168" t="s">
        <v>1101</v>
      </c>
      <c r="H3168" t="s">
        <v>346</v>
      </c>
      <c r="I3168" t="s">
        <v>2116</v>
      </c>
    </row>
    <row r="3169" spans="1:9" x14ac:dyDescent="0.35">
      <c r="A3169">
        <v>719890</v>
      </c>
      <c r="B3169" t="s">
        <v>1098</v>
      </c>
      <c r="C3169" s="1">
        <v>43455</v>
      </c>
      <c r="D3169">
        <v>1143</v>
      </c>
      <c r="E3169" t="b">
        <v>0</v>
      </c>
      <c r="F3169">
        <v>455</v>
      </c>
      <c r="G3169" t="s">
        <v>1101</v>
      </c>
      <c r="H3169" t="s">
        <v>239</v>
      </c>
      <c r="I3169" t="s">
        <v>2116</v>
      </c>
    </row>
    <row r="3170" spans="1:9" x14ac:dyDescent="0.35">
      <c r="A3170">
        <v>719890</v>
      </c>
      <c r="B3170" t="s">
        <v>1098</v>
      </c>
      <c r="C3170" s="1">
        <v>43455</v>
      </c>
      <c r="D3170">
        <v>1143</v>
      </c>
      <c r="E3170" t="b">
        <v>0</v>
      </c>
      <c r="F3170">
        <v>455</v>
      </c>
      <c r="G3170" t="s">
        <v>1101</v>
      </c>
      <c r="H3170" t="s">
        <v>132</v>
      </c>
      <c r="I3170" t="s">
        <v>2117</v>
      </c>
    </row>
    <row r="3171" spans="1:9" x14ac:dyDescent="0.35">
      <c r="A3171">
        <v>719890</v>
      </c>
      <c r="B3171" t="s">
        <v>1098</v>
      </c>
      <c r="C3171" s="1">
        <v>43455</v>
      </c>
      <c r="D3171">
        <v>1143</v>
      </c>
      <c r="E3171" t="b">
        <v>0</v>
      </c>
      <c r="F3171">
        <v>455</v>
      </c>
      <c r="G3171" t="s">
        <v>1101</v>
      </c>
      <c r="H3171" t="s">
        <v>124</v>
      </c>
      <c r="I3171" t="s">
        <v>2117</v>
      </c>
    </row>
    <row r="3172" spans="1:9" x14ac:dyDescent="0.35">
      <c r="A3172">
        <v>719890</v>
      </c>
      <c r="B3172" t="s">
        <v>1098</v>
      </c>
      <c r="C3172" s="1">
        <v>43455</v>
      </c>
      <c r="D3172">
        <v>1143</v>
      </c>
      <c r="E3172" t="b">
        <v>0</v>
      </c>
      <c r="F3172">
        <v>455</v>
      </c>
      <c r="G3172" t="s">
        <v>1101</v>
      </c>
      <c r="H3172" t="s">
        <v>1510</v>
      </c>
      <c r="I3172" t="s">
        <v>2117</v>
      </c>
    </row>
    <row r="3173" spans="1:9" x14ac:dyDescent="0.35">
      <c r="A3173">
        <v>628070</v>
      </c>
      <c r="B3173" t="s">
        <v>1102</v>
      </c>
      <c r="C3173" s="1">
        <v>43116</v>
      </c>
      <c r="D3173">
        <v>1130</v>
      </c>
      <c r="E3173" t="b">
        <v>0</v>
      </c>
      <c r="F3173">
        <v>456</v>
      </c>
      <c r="G3173" t="s">
        <v>14</v>
      </c>
      <c r="H3173" t="s">
        <v>49</v>
      </c>
      <c r="I3173" t="s">
        <v>2117</v>
      </c>
    </row>
    <row r="3174" spans="1:9" x14ac:dyDescent="0.35">
      <c r="A3174">
        <v>628070</v>
      </c>
      <c r="B3174" t="s">
        <v>1102</v>
      </c>
      <c r="C3174" s="1">
        <v>43116</v>
      </c>
      <c r="D3174">
        <v>1130</v>
      </c>
      <c r="E3174" t="b">
        <v>0</v>
      </c>
      <c r="F3174">
        <v>456</v>
      </c>
      <c r="G3174" t="s">
        <v>14</v>
      </c>
      <c r="H3174" t="s">
        <v>792</v>
      </c>
      <c r="I3174" t="s">
        <v>2117</v>
      </c>
    </row>
    <row r="3175" spans="1:9" x14ac:dyDescent="0.35">
      <c r="A3175">
        <v>628070</v>
      </c>
      <c r="B3175" t="s">
        <v>1102</v>
      </c>
      <c r="C3175" s="1">
        <v>43116</v>
      </c>
      <c r="D3175">
        <v>1130</v>
      </c>
      <c r="E3175" t="b">
        <v>0</v>
      </c>
      <c r="F3175">
        <v>456</v>
      </c>
      <c r="G3175" t="s">
        <v>14</v>
      </c>
      <c r="H3175" t="s">
        <v>346</v>
      </c>
      <c r="I3175" t="s">
        <v>2117</v>
      </c>
    </row>
    <row r="3176" spans="1:9" x14ac:dyDescent="0.35">
      <c r="A3176">
        <v>628070</v>
      </c>
      <c r="B3176" t="s">
        <v>1102</v>
      </c>
      <c r="C3176" s="1">
        <v>43116</v>
      </c>
      <c r="D3176">
        <v>1130</v>
      </c>
      <c r="E3176" t="b">
        <v>0</v>
      </c>
      <c r="F3176">
        <v>456</v>
      </c>
      <c r="G3176" t="s">
        <v>14</v>
      </c>
      <c r="H3176" t="s">
        <v>239</v>
      </c>
      <c r="I3176" t="s">
        <v>2117</v>
      </c>
    </row>
    <row r="3177" spans="1:9" x14ac:dyDescent="0.35">
      <c r="A3177">
        <v>628070</v>
      </c>
      <c r="B3177" t="s">
        <v>1102</v>
      </c>
      <c r="C3177" s="1">
        <v>43116</v>
      </c>
      <c r="D3177">
        <v>1130</v>
      </c>
      <c r="E3177" t="b">
        <v>0</v>
      </c>
      <c r="F3177">
        <v>456</v>
      </c>
      <c r="G3177" t="s">
        <v>14</v>
      </c>
      <c r="H3177" t="s">
        <v>132</v>
      </c>
      <c r="I3177" t="s">
        <v>2117</v>
      </c>
    </row>
    <row r="3178" spans="1:9" x14ac:dyDescent="0.35">
      <c r="A3178">
        <v>628070</v>
      </c>
      <c r="B3178" t="s">
        <v>1102</v>
      </c>
      <c r="C3178" s="1">
        <v>43116</v>
      </c>
      <c r="D3178">
        <v>1130</v>
      </c>
      <c r="E3178" t="b">
        <v>0</v>
      </c>
      <c r="F3178">
        <v>456</v>
      </c>
      <c r="G3178" t="s">
        <v>14</v>
      </c>
      <c r="H3178" t="s">
        <v>124</v>
      </c>
      <c r="I3178" t="s">
        <v>2116</v>
      </c>
    </row>
    <row r="3179" spans="1:9" x14ac:dyDescent="0.35">
      <c r="A3179">
        <v>628070</v>
      </c>
      <c r="B3179" t="s">
        <v>1102</v>
      </c>
      <c r="C3179" s="1">
        <v>43116</v>
      </c>
      <c r="D3179">
        <v>1130</v>
      </c>
      <c r="E3179" t="b">
        <v>0</v>
      </c>
      <c r="F3179">
        <v>456</v>
      </c>
      <c r="G3179" t="s">
        <v>14</v>
      </c>
      <c r="H3179" t="s">
        <v>1510</v>
      </c>
      <c r="I3179" t="s">
        <v>2117</v>
      </c>
    </row>
    <row r="3180" spans="1:9" x14ac:dyDescent="0.35">
      <c r="A3180">
        <v>2495100</v>
      </c>
      <c r="B3180" t="s">
        <v>1103</v>
      </c>
      <c r="C3180" s="1">
        <v>45687</v>
      </c>
      <c r="D3180">
        <v>1129</v>
      </c>
      <c r="E3180" t="b">
        <v>0</v>
      </c>
      <c r="F3180">
        <v>457</v>
      </c>
      <c r="G3180" t="s">
        <v>133</v>
      </c>
      <c r="H3180" t="s">
        <v>49</v>
      </c>
      <c r="I3180" t="s">
        <v>2116</v>
      </c>
    </row>
    <row r="3181" spans="1:9" x14ac:dyDescent="0.35">
      <c r="A3181">
        <v>2495100</v>
      </c>
      <c r="B3181" t="s">
        <v>1103</v>
      </c>
      <c r="C3181" s="1">
        <v>45687</v>
      </c>
      <c r="D3181">
        <v>1129</v>
      </c>
      <c r="E3181" t="b">
        <v>0</v>
      </c>
      <c r="F3181">
        <v>457</v>
      </c>
      <c r="G3181" t="s">
        <v>133</v>
      </c>
      <c r="H3181" t="s">
        <v>792</v>
      </c>
      <c r="I3181" t="s">
        <v>2116</v>
      </c>
    </row>
    <row r="3182" spans="1:9" x14ac:dyDescent="0.35">
      <c r="A3182">
        <v>2495100</v>
      </c>
      <c r="B3182" t="s">
        <v>1103</v>
      </c>
      <c r="C3182" s="1">
        <v>45687</v>
      </c>
      <c r="D3182">
        <v>1129</v>
      </c>
      <c r="E3182" t="b">
        <v>0</v>
      </c>
      <c r="F3182">
        <v>457</v>
      </c>
      <c r="G3182" t="s">
        <v>133</v>
      </c>
      <c r="H3182" t="s">
        <v>346</v>
      </c>
      <c r="I3182" t="s">
        <v>2116</v>
      </c>
    </row>
    <row r="3183" spans="1:9" x14ac:dyDescent="0.35">
      <c r="A3183">
        <v>2495100</v>
      </c>
      <c r="B3183" t="s">
        <v>1103</v>
      </c>
      <c r="C3183" s="1">
        <v>45687</v>
      </c>
      <c r="D3183">
        <v>1129</v>
      </c>
      <c r="E3183" t="b">
        <v>0</v>
      </c>
      <c r="F3183">
        <v>457</v>
      </c>
      <c r="G3183" t="s">
        <v>133</v>
      </c>
      <c r="H3183" t="s">
        <v>239</v>
      </c>
      <c r="I3183" t="s">
        <v>2116</v>
      </c>
    </row>
    <row r="3184" spans="1:9" x14ac:dyDescent="0.35">
      <c r="A3184">
        <v>2495100</v>
      </c>
      <c r="B3184" t="s">
        <v>1103</v>
      </c>
      <c r="C3184" s="1">
        <v>45687</v>
      </c>
      <c r="D3184">
        <v>1129</v>
      </c>
      <c r="E3184" t="b">
        <v>0</v>
      </c>
      <c r="F3184">
        <v>457</v>
      </c>
      <c r="G3184" t="s">
        <v>133</v>
      </c>
      <c r="H3184" t="s">
        <v>132</v>
      </c>
      <c r="I3184" t="s">
        <v>2116</v>
      </c>
    </row>
    <row r="3185" spans="1:9" x14ac:dyDescent="0.35">
      <c r="A3185">
        <v>2495100</v>
      </c>
      <c r="B3185" t="s">
        <v>1103</v>
      </c>
      <c r="C3185" s="1">
        <v>45687</v>
      </c>
      <c r="D3185">
        <v>1129</v>
      </c>
      <c r="E3185" t="b">
        <v>0</v>
      </c>
      <c r="F3185">
        <v>457</v>
      </c>
      <c r="G3185" t="s">
        <v>133</v>
      </c>
      <c r="H3185" t="s">
        <v>124</v>
      </c>
      <c r="I3185" t="s">
        <v>2117</v>
      </c>
    </row>
    <row r="3186" spans="1:9" x14ac:dyDescent="0.35">
      <c r="A3186">
        <v>2495100</v>
      </c>
      <c r="B3186" t="s">
        <v>1103</v>
      </c>
      <c r="C3186" s="1">
        <v>45687</v>
      </c>
      <c r="D3186">
        <v>1129</v>
      </c>
      <c r="E3186" t="b">
        <v>0</v>
      </c>
      <c r="F3186">
        <v>457</v>
      </c>
      <c r="G3186" t="s">
        <v>133</v>
      </c>
      <c r="H3186" t="s">
        <v>1510</v>
      </c>
      <c r="I3186" t="s">
        <v>2117</v>
      </c>
    </row>
    <row r="3187" spans="1:9" x14ac:dyDescent="0.35">
      <c r="A3187">
        <v>883710</v>
      </c>
      <c r="B3187" t="s">
        <v>1105</v>
      </c>
      <c r="C3187" s="1">
        <v>43489</v>
      </c>
      <c r="D3187">
        <v>1123</v>
      </c>
      <c r="E3187" t="b">
        <v>0</v>
      </c>
      <c r="F3187">
        <v>458</v>
      </c>
      <c r="G3187" t="s">
        <v>53</v>
      </c>
      <c r="H3187" t="s">
        <v>49</v>
      </c>
      <c r="I3187" t="s">
        <v>2116</v>
      </c>
    </row>
    <row r="3188" spans="1:9" x14ac:dyDescent="0.35">
      <c r="A3188">
        <v>883710</v>
      </c>
      <c r="B3188" t="s">
        <v>1105</v>
      </c>
      <c r="C3188" s="1">
        <v>43489</v>
      </c>
      <c r="D3188">
        <v>1123</v>
      </c>
      <c r="E3188" t="b">
        <v>0</v>
      </c>
      <c r="F3188">
        <v>458</v>
      </c>
      <c r="G3188" t="s">
        <v>53</v>
      </c>
      <c r="H3188" t="s">
        <v>792</v>
      </c>
      <c r="I3188" t="s">
        <v>2117</v>
      </c>
    </row>
    <row r="3189" spans="1:9" x14ac:dyDescent="0.35">
      <c r="A3189">
        <v>883710</v>
      </c>
      <c r="B3189" t="s">
        <v>1105</v>
      </c>
      <c r="C3189" s="1">
        <v>43489</v>
      </c>
      <c r="D3189">
        <v>1123</v>
      </c>
      <c r="E3189" t="b">
        <v>0</v>
      </c>
      <c r="F3189">
        <v>458</v>
      </c>
      <c r="G3189" t="s">
        <v>53</v>
      </c>
      <c r="H3189" t="s">
        <v>346</v>
      </c>
      <c r="I3189" t="s">
        <v>2117</v>
      </c>
    </row>
    <row r="3190" spans="1:9" x14ac:dyDescent="0.35">
      <c r="A3190">
        <v>883710</v>
      </c>
      <c r="B3190" t="s">
        <v>1105</v>
      </c>
      <c r="C3190" s="1">
        <v>43489</v>
      </c>
      <c r="D3190">
        <v>1123</v>
      </c>
      <c r="E3190" t="b">
        <v>0</v>
      </c>
      <c r="F3190">
        <v>458</v>
      </c>
      <c r="G3190" t="s">
        <v>53</v>
      </c>
      <c r="H3190" t="s">
        <v>239</v>
      </c>
      <c r="I3190" t="s">
        <v>2117</v>
      </c>
    </row>
    <row r="3191" spans="1:9" x14ac:dyDescent="0.35">
      <c r="A3191">
        <v>883710</v>
      </c>
      <c r="B3191" t="s">
        <v>1105</v>
      </c>
      <c r="C3191" s="1">
        <v>43489</v>
      </c>
      <c r="D3191">
        <v>1123</v>
      </c>
      <c r="E3191" t="b">
        <v>0</v>
      </c>
      <c r="F3191">
        <v>458</v>
      </c>
      <c r="G3191" t="s">
        <v>53</v>
      </c>
      <c r="H3191" t="s">
        <v>132</v>
      </c>
      <c r="I3191" t="s">
        <v>2117</v>
      </c>
    </row>
    <row r="3192" spans="1:9" x14ac:dyDescent="0.35">
      <c r="A3192">
        <v>883710</v>
      </c>
      <c r="B3192" t="s">
        <v>1105</v>
      </c>
      <c r="C3192" s="1">
        <v>43489</v>
      </c>
      <c r="D3192">
        <v>1123</v>
      </c>
      <c r="E3192" t="b">
        <v>0</v>
      </c>
      <c r="F3192">
        <v>458</v>
      </c>
      <c r="G3192" t="s">
        <v>53</v>
      </c>
      <c r="H3192" t="s">
        <v>124</v>
      </c>
      <c r="I3192" t="s">
        <v>2117</v>
      </c>
    </row>
    <row r="3193" spans="1:9" x14ac:dyDescent="0.35">
      <c r="A3193">
        <v>883710</v>
      </c>
      <c r="B3193" t="s">
        <v>1105</v>
      </c>
      <c r="C3193" s="1">
        <v>43489</v>
      </c>
      <c r="D3193">
        <v>1123</v>
      </c>
      <c r="E3193" t="b">
        <v>0</v>
      </c>
      <c r="F3193">
        <v>458</v>
      </c>
      <c r="G3193" t="s">
        <v>53</v>
      </c>
      <c r="H3193" t="s">
        <v>1510</v>
      </c>
      <c r="I3193" t="s">
        <v>2117</v>
      </c>
    </row>
    <row r="3194" spans="1:9" x14ac:dyDescent="0.35">
      <c r="A3194">
        <v>1263850</v>
      </c>
      <c r="B3194" t="s">
        <v>1107</v>
      </c>
      <c r="C3194" s="1">
        <v>44159</v>
      </c>
      <c r="D3194">
        <v>1122</v>
      </c>
      <c r="E3194" t="b">
        <v>1</v>
      </c>
      <c r="F3194">
        <v>459</v>
      </c>
      <c r="G3194" t="s">
        <v>110</v>
      </c>
      <c r="H3194" t="s">
        <v>49</v>
      </c>
      <c r="I3194" t="s">
        <v>2117</v>
      </c>
    </row>
    <row r="3195" spans="1:9" x14ac:dyDescent="0.35">
      <c r="A3195">
        <v>1263850</v>
      </c>
      <c r="B3195" t="s">
        <v>1107</v>
      </c>
      <c r="C3195" s="1">
        <v>44159</v>
      </c>
      <c r="D3195">
        <v>1122</v>
      </c>
      <c r="E3195" t="b">
        <v>1</v>
      </c>
      <c r="F3195">
        <v>459</v>
      </c>
      <c r="G3195" t="s">
        <v>110</v>
      </c>
      <c r="H3195" t="s">
        <v>792</v>
      </c>
      <c r="I3195" t="s">
        <v>2117</v>
      </c>
    </row>
    <row r="3196" spans="1:9" x14ac:dyDescent="0.35">
      <c r="A3196">
        <v>1263850</v>
      </c>
      <c r="B3196" t="s">
        <v>1107</v>
      </c>
      <c r="C3196" s="1">
        <v>44159</v>
      </c>
      <c r="D3196">
        <v>1122</v>
      </c>
      <c r="E3196" t="b">
        <v>1</v>
      </c>
      <c r="F3196">
        <v>459</v>
      </c>
      <c r="G3196" t="s">
        <v>110</v>
      </c>
      <c r="H3196" t="s">
        <v>346</v>
      </c>
      <c r="I3196" t="s">
        <v>2117</v>
      </c>
    </row>
    <row r="3197" spans="1:9" x14ac:dyDescent="0.35">
      <c r="A3197">
        <v>1263850</v>
      </c>
      <c r="B3197" t="s">
        <v>1107</v>
      </c>
      <c r="C3197" s="1">
        <v>44159</v>
      </c>
      <c r="D3197">
        <v>1122</v>
      </c>
      <c r="E3197" t="b">
        <v>1</v>
      </c>
      <c r="F3197">
        <v>459</v>
      </c>
      <c r="G3197" t="s">
        <v>110</v>
      </c>
      <c r="H3197" t="s">
        <v>239</v>
      </c>
      <c r="I3197" t="s">
        <v>2116</v>
      </c>
    </row>
    <row r="3198" spans="1:9" x14ac:dyDescent="0.35">
      <c r="A3198">
        <v>1263850</v>
      </c>
      <c r="B3198" t="s">
        <v>1107</v>
      </c>
      <c r="C3198" s="1">
        <v>44159</v>
      </c>
      <c r="D3198">
        <v>1122</v>
      </c>
      <c r="E3198" t="b">
        <v>1</v>
      </c>
      <c r="F3198">
        <v>459</v>
      </c>
      <c r="G3198" t="s">
        <v>110</v>
      </c>
      <c r="H3198" t="s">
        <v>132</v>
      </c>
      <c r="I3198" t="s">
        <v>2117</v>
      </c>
    </row>
    <row r="3199" spans="1:9" x14ac:dyDescent="0.35">
      <c r="A3199">
        <v>1263850</v>
      </c>
      <c r="B3199" t="s">
        <v>1107</v>
      </c>
      <c r="C3199" s="1">
        <v>44159</v>
      </c>
      <c r="D3199">
        <v>1122</v>
      </c>
      <c r="E3199" t="b">
        <v>1</v>
      </c>
      <c r="F3199">
        <v>459</v>
      </c>
      <c r="G3199" t="s">
        <v>110</v>
      </c>
      <c r="H3199" t="s">
        <v>124</v>
      </c>
      <c r="I3199" t="s">
        <v>2117</v>
      </c>
    </row>
    <row r="3200" spans="1:9" x14ac:dyDescent="0.35">
      <c r="A3200">
        <v>1263850</v>
      </c>
      <c r="B3200" t="s">
        <v>1107</v>
      </c>
      <c r="C3200" s="1">
        <v>44159</v>
      </c>
      <c r="D3200">
        <v>1122</v>
      </c>
      <c r="E3200" t="b">
        <v>1</v>
      </c>
      <c r="F3200">
        <v>459</v>
      </c>
      <c r="G3200" t="s">
        <v>110</v>
      </c>
      <c r="H3200" t="s">
        <v>1510</v>
      </c>
      <c r="I3200" t="s">
        <v>2117</v>
      </c>
    </row>
    <row r="3201" spans="1:9" x14ac:dyDescent="0.35">
      <c r="A3201">
        <v>453480</v>
      </c>
      <c r="B3201" t="s">
        <v>1108</v>
      </c>
      <c r="C3201" s="1">
        <v>42670</v>
      </c>
      <c r="D3201">
        <v>1122</v>
      </c>
      <c r="E3201" t="b">
        <v>1</v>
      </c>
      <c r="F3201">
        <v>459</v>
      </c>
      <c r="G3201" t="s">
        <v>2093</v>
      </c>
      <c r="H3201" t="s">
        <v>49</v>
      </c>
      <c r="I3201" t="s">
        <v>2117</v>
      </c>
    </row>
    <row r="3202" spans="1:9" x14ac:dyDescent="0.35">
      <c r="A3202">
        <v>453480</v>
      </c>
      <c r="B3202" t="s">
        <v>1108</v>
      </c>
      <c r="C3202" s="1">
        <v>42670</v>
      </c>
      <c r="D3202">
        <v>1122</v>
      </c>
      <c r="E3202" t="b">
        <v>1</v>
      </c>
      <c r="F3202">
        <v>459</v>
      </c>
      <c r="G3202" t="s">
        <v>2093</v>
      </c>
      <c r="H3202" t="s">
        <v>792</v>
      </c>
      <c r="I3202" t="s">
        <v>2117</v>
      </c>
    </row>
    <row r="3203" spans="1:9" x14ac:dyDescent="0.35">
      <c r="A3203">
        <v>453480</v>
      </c>
      <c r="B3203" t="s">
        <v>1108</v>
      </c>
      <c r="C3203" s="1">
        <v>42670</v>
      </c>
      <c r="D3203">
        <v>1122</v>
      </c>
      <c r="E3203" t="b">
        <v>1</v>
      </c>
      <c r="F3203">
        <v>459</v>
      </c>
      <c r="G3203" t="s">
        <v>2093</v>
      </c>
      <c r="H3203" t="s">
        <v>346</v>
      </c>
      <c r="I3203" t="s">
        <v>2117</v>
      </c>
    </row>
    <row r="3204" spans="1:9" x14ac:dyDescent="0.35">
      <c r="A3204">
        <v>453480</v>
      </c>
      <c r="B3204" t="s">
        <v>1108</v>
      </c>
      <c r="C3204" s="1">
        <v>42670</v>
      </c>
      <c r="D3204">
        <v>1122</v>
      </c>
      <c r="E3204" t="b">
        <v>1</v>
      </c>
      <c r="F3204">
        <v>459</v>
      </c>
      <c r="G3204" t="s">
        <v>2093</v>
      </c>
      <c r="H3204" t="s">
        <v>239</v>
      </c>
      <c r="I3204" t="s">
        <v>2117</v>
      </c>
    </row>
    <row r="3205" spans="1:9" x14ac:dyDescent="0.35">
      <c r="A3205">
        <v>453480</v>
      </c>
      <c r="B3205" t="s">
        <v>1108</v>
      </c>
      <c r="C3205" s="1">
        <v>42670</v>
      </c>
      <c r="D3205">
        <v>1122</v>
      </c>
      <c r="E3205" t="b">
        <v>1</v>
      </c>
      <c r="F3205">
        <v>459</v>
      </c>
      <c r="G3205" t="s">
        <v>2093</v>
      </c>
      <c r="H3205" t="s">
        <v>132</v>
      </c>
      <c r="I3205" t="s">
        <v>2117</v>
      </c>
    </row>
    <row r="3206" spans="1:9" x14ac:dyDescent="0.35">
      <c r="A3206">
        <v>453480</v>
      </c>
      <c r="B3206" t="s">
        <v>1108</v>
      </c>
      <c r="C3206" s="1">
        <v>42670</v>
      </c>
      <c r="D3206">
        <v>1122</v>
      </c>
      <c r="E3206" t="b">
        <v>1</v>
      </c>
      <c r="F3206">
        <v>459</v>
      </c>
      <c r="G3206" t="s">
        <v>2093</v>
      </c>
      <c r="H3206" t="s">
        <v>124</v>
      </c>
      <c r="I3206" t="s">
        <v>2116</v>
      </c>
    </row>
    <row r="3207" spans="1:9" x14ac:dyDescent="0.35">
      <c r="A3207">
        <v>453480</v>
      </c>
      <c r="B3207" t="s">
        <v>1108</v>
      </c>
      <c r="C3207" s="1">
        <v>42670</v>
      </c>
      <c r="D3207">
        <v>1122</v>
      </c>
      <c r="E3207" t="b">
        <v>1</v>
      </c>
      <c r="F3207">
        <v>459</v>
      </c>
      <c r="G3207" t="s">
        <v>2093</v>
      </c>
      <c r="H3207" t="s">
        <v>1510</v>
      </c>
      <c r="I3207" t="s">
        <v>2116</v>
      </c>
    </row>
    <row r="3208" spans="1:9" x14ac:dyDescent="0.35">
      <c r="A3208">
        <v>2445690</v>
      </c>
      <c r="B3208" t="s">
        <v>1110</v>
      </c>
      <c r="C3208" s="1">
        <v>45497</v>
      </c>
      <c r="D3208">
        <v>1121</v>
      </c>
      <c r="E3208" t="b">
        <v>0</v>
      </c>
      <c r="F3208">
        <v>461</v>
      </c>
      <c r="G3208" t="s">
        <v>110</v>
      </c>
      <c r="H3208" t="s">
        <v>49</v>
      </c>
      <c r="I3208" t="s">
        <v>2116</v>
      </c>
    </row>
    <row r="3209" spans="1:9" x14ac:dyDescent="0.35">
      <c r="A3209">
        <v>2445690</v>
      </c>
      <c r="B3209" t="s">
        <v>1110</v>
      </c>
      <c r="C3209" s="1">
        <v>45497</v>
      </c>
      <c r="D3209">
        <v>1121</v>
      </c>
      <c r="E3209" t="b">
        <v>0</v>
      </c>
      <c r="F3209">
        <v>461</v>
      </c>
      <c r="G3209" t="s">
        <v>110</v>
      </c>
      <c r="H3209" t="s">
        <v>792</v>
      </c>
      <c r="I3209" t="s">
        <v>2116</v>
      </c>
    </row>
    <row r="3210" spans="1:9" x14ac:dyDescent="0.35">
      <c r="A3210">
        <v>2445690</v>
      </c>
      <c r="B3210" t="s">
        <v>1110</v>
      </c>
      <c r="C3210" s="1">
        <v>45497</v>
      </c>
      <c r="D3210">
        <v>1121</v>
      </c>
      <c r="E3210" t="b">
        <v>0</v>
      </c>
      <c r="F3210">
        <v>461</v>
      </c>
      <c r="G3210" t="s">
        <v>110</v>
      </c>
      <c r="H3210" t="s">
        <v>346</v>
      </c>
      <c r="I3210" t="s">
        <v>2116</v>
      </c>
    </row>
    <row r="3211" spans="1:9" x14ac:dyDescent="0.35">
      <c r="A3211">
        <v>2445690</v>
      </c>
      <c r="B3211" t="s">
        <v>1110</v>
      </c>
      <c r="C3211" s="1">
        <v>45497</v>
      </c>
      <c r="D3211">
        <v>1121</v>
      </c>
      <c r="E3211" t="b">
        <v>0</v>
      </c>
      <c r="F3211">
        <v>461</v>
      </c>
      <c r="G3211" t="s">
        <v>110</v>
      </c>
      <c r="H3211" t="s">
        <v>239</v>
      </c>
      <c r="I3211" t="s">
        <v>2117</v>
      </c>
    </row>
    <row r="3212" spans="1:9" x14ac:dyDescent="0.35">
      <c r="A3212">
        <v>2445690</v>
      </c>
      <c r="B3212" t="s">
        <v>1110</v>
      </c>
      <c r="C3212" s="1">
        <v>45497</v>
      </c>
      <c r="D3212">
        <v>1121</v>
      </c>
      <c r="E3212" t="b">
        <v>0</v>
      </c>
      <c r="F3212">
        <v>461</v>
      </c>
      <c r="G3212" t="s">
        <v>110</v>
      </c>
      <c r="H3212" t="s">
        <v>132</v>
      </c>
      <c r="I3212" t="s">
        <v>2116</v>
      </c>
    </row>
    <row r="3213" spans="1:9" x14ac:dyDescent="0.35">
      <c r="A3213">
        <v>2445690</v>
      </c>
      <c r="B3213" t="s">
        <v>1110</v>
      </c>
      <c r="C3213" s="1">
        <v>45497</v>
      </c>
      <c r="D3213">
        <v>1121</v>
      </c>
      <c r="E3213" t="b">
        <v>0</v>
      </c>
      <c r="F3213">
        <v>461</v>
      </c>
      <c r="G3213" t="s">
        <v>110</v>
      </c>
      <c r="H3213" t="s">
        <v>124</v>
      </c>
      <c r="I3213" t="s">
        <v>2117</v>
      </c>
    </row>
    <row r="3214" spans="1:9" x14ac:dyDescent="0.35">
      <c r="A3214">
        <v>2445690</v>
      </c>
      <c r="B3214" t="s">
        <v>1110</v>
      </c>
      <c r="C3214" s="1">
        <v>45497</v>
      </c>
      <c r="D3214">
        <v>1121</v>
      </c>
      <c r="E3214" t="b">
        <v>0</v>
      </c>
      <c r="F3214">
        <v>461</v>
      </c>
      <c r="G3214" t="s">
        <v>110</v>
      </c>
      <c r="H3214" t="s">
        <v>1510</v>
      </c>
      <c r="I3214" t="s">
        <v>2117</v>
      </c>
    </row>
    <row r="3215" spans="1:9" x14ac:dyDescent="0.35">
      <c r="A3215">
        <v>1477830</v>
      </c>
      <c r="B3215" t="s">
        <v>1112</v>
      </c>
      <c r="C3215" s="1">
        <v>44201</v>
      </c>
      <c r="D3215">
        <v>1120</v>
      </c>
      <c r="E3215" t="b">
        <v>0</v>
      </c>
      <c r="F3215">
        <v>462</v>
      </c>
      <c r="G3215" t="s">
        <v>14</v>
      </c>
      <c r="H3215" t="s">
        <v>49</v>
      </c>
      <c r="I3215" t="s">
        <v>2116</v>
      </c>
    </row>
    <row r="3216" spans="1:9" x14ac:dyDescent="0.35">
      <c r="A3216">
        <v>1477830</v>
      </c>
      <c r="B3216" t="s">
        <v>1112</v>
      </c>
      <c r="C3216" s="1">
        <v>44201</v>
      </c>
      <c r="D3216">
        <v>1120</v>
      </c>
      <c r="E3216" t="b">
        <v>0</v>
      </c>
      <c r="F3216">
        <v>462</v>
      </c>
      <c r="G3216" t="s">
        <v>14</v>
      </c>
      <c r="H3216" t="s">
        <v>792</v>
      </c>
      <c r="I3216" t="s">
        <v>2117</v>
      </c>
    </row>
    <row r="3217" spans="1:9" x14ac:dyDescent="0.35">
      <c r="A3217">
        <v>1477830</v>
      </c>
      <c r="B3217" t="s">
        <v>1112</v>
      </c>
      <c r="C3217" s="1">
        <v>44201</v>
      </c>
      <c r="D3217">
        <v>1120</v>
      </c>
      <c r="E3217" t="b">
        <v>0</v>
      </c>
      <c r="F3217">
        <v>462</v>
      </c>
      <c r="G3217" t="s">
        <v>14</v>
      </c>
      <c r="H3217" t="s">
        <v>346</v>
      </c>
      <c r="I3217" t="s">
        <v>2117</v>
      </c>
    </row>
    <row r="3218" spans="1:9" x14ac:dyDescent="0.35">
      <c r="A3218">
        <v>1477830</v>
      </c>
      <c r="B3218" t="s">
        <v>1112</v>
      </c>
      <c r="C3218" s="1">
        <v>44201</v>
      </c>
      <c r="D3218">
        <v>1120</v>
      </c>
      <c r="E3218" t="b">
        <v>0</v>
      </c>
      <c r="F3218">
        <v>462</v>
      </c>
      <c r="G3218" t="s">
        <v>14</v>
      </c>
      <c r="H3218" t="s">
        <v>239</v>
      </c>
      <c r="I3218" t="s">
        <v>2117</v>
      </c>
    </row>
    <row r="3219" spans="1:9" x14ac:dyDescent="0.35">
      <c r="A3219">
        <v>1477830</v>
      </c>
      <c r="B3219" t="s">
        <v>1112</v>
      </c>
      <c r="C3219" s="1">
        <v>44201</v>
      </c>
      <c r="D3219">
        <v>1120</v>
      </c>
      <c r="E3219" t="b">
        <v>0</v>
      </c>
      <c r="F3219">
        <v>462</v>
      </c>
      <c r="G3219" t="s">
        <v>14</v>
      </c>
      <c r="H3219" t="s">
        <v>132</v>
      </c>
      <c r="I3219" t="s">
        <v>2117</v>
      </c>
    </row>
    <row r="3220" spans="1:9" x14ac:dyDescent="0.35">
      <c r="A3220">
        <v>1477830</v>
      </c>
      <c r="B3220" t="s">
        <v>1112</v>
      </c>
      <c r="C3220" s="1">
        <v>44201</v>
      </c>
      <c r="D3220">
        <v>1120</v>
      </c>
      <c r="E3220" t="b">
        <v>0</v>
      </c>
      <c r="F3220">
        <v>462</v>
      </c>
      <c r="G3220" t="s">
        <v>14</v>
      </c>
      <c r="H3220" t="s">
        <v>124</v>
      </c>
      <c r="I3220" t="s">
        <v>2117</v>
      </c>
    </row>
    <row r="3221" spans="1:9" x14ac:dyDescent="0.35">
      <c r="A3221">
        <v>1477830</v>
      </c>
      <c r="B3221" t="s">
        <v>1112</v>
      </c>
      <c r="C3221" s="1">
        <v>44201</v>
      </c>
      <c r="D3221">
        <v>1120</v>
      </c>
      <c r="E3221" t="b">
        <v>0</v>
      </c>
      <c r="F3221">
        <v>462</v>
      </c>
      <c r="G3221" t="s">
        <v>14</v>
      </c>
      <c r="H3221" t="s">
        <v>1510</v>
      </c>
      <c r="I3221" t="s">
        <v>2117</v>
      </c>
    </row>
    <row r="3222" spans="1:9" x14ac:dyDescent="0.35">
      <c r="A3222">
        <v>346900</v>
      </c>
      <c r="B3222" t="s">
        <v>1115</v>
      </c>
      <c r="C3222" s="1">
        <v>42093</v>
      </c>
      <c r="D3222">
        <v>1109</v>
      </c>
      <c r="E3222" t="b">
        <v>1</v>
      </c>
      <c r="F3222">
        <v>463</v>
      </c>
      <c r="G3222" t="s">
        <v>2084</v>
      </c>
      <c r="H3222" t="s">
        <v>49</v>
      </c>
      <c r="I3222" t="s">
        <v>2117</v>
      </c>
    </row>
    <row r="3223" spans="1:9" x14ac:dyDescent="0.35">
      <c r="A3223">
        <v>346900</v>
      </c>
      <c r="B3223" t="s">
        <v>1115</v>
      </c>
      <c r="C3223" s="1">
        <v>42093</v>
      </c>
      <c r="D3223">
        <v>1109</v>
      </c>
      <c r="E3223" t="b">
        <v>1</v>
      </c>
      <c r="F3223">
        <v>463</v>
      </c>
      <c r="G3223" t="s">
        <v>2084</v>
      </c>
      <c r="H3223" t="s">
        <v>792</v>
      </c>
      <c r="I3223" t="s">
        <v>2116</v>
      </c>
    </row>
    <row r="3224" spans="1:9" x14ac:dyDescent="0.35">
      <c r="A3224">
        <v>346900</v>
      </c>
      <c r="B3224" t="s">
        <v>1115</v>
      </c>
      <c r="C3224" s="1">
        <v>42093</v>
      </c>
      <c r="D3224">
        <v>1109</v>
      </c>
      <c r="E3224" t="b">
        <v>1</v>
      </c>
      <c r="F3224">
        <v>463</v>
      </c>
      <c r="G3224" t="s">
        <v>2084</v>
      </c>
      <c r="H3224" t="s">
        <v>346</v>
      </c>
      <c r="I3224" t="s">
        <v>2117</v>
      </c>
    </row>
    <row r="3225" spans="1:9" x14ac:dyDescent="0.35">
      <c r="A3225">
        <v>346900</v>
      </c>
      <c r="B3225" t="s">
        <v>1115</v>
      </c>
      <c r="C3225" s="1">
        <v>42093</v>
      </c>
      <c r="D3225">
        <v>1109</v>
      </c>
      <c r="E3225" t="b">
        <v>1</v>
      </c>
      <c r="F3225">
        <v>463</v>
      </c>
      <c r="G3225" t="s">
        <v>2084</v>
      </c>
      <c r="H3225" t="s">
        <v>239</v>
      </c>
      <c r="I3225" t="s">
        <v>2117</v>
      </c>
    </row>
    <row r="3226" spans="1:9" x14ac:dyDescent="0.35">
      <c r="A3226">
        <v>346900</v>
      </c>
      <c r="B3226" t="s">
        <v>1115</v>
      </c>
      <c r="C3226" s="1">
        <v>42093</v>
      </c>
      <c r="D3226">
        <v>1109</v>
      </c>
      <c r="E3226" t="b">
        <v>1</v>
      </c>
      <c r="F3226">
        <v>463</v>
      </c>
      <c r="G3226" t="s">
        <v>2084</v>
      </c>
      <c r="H3226" t="s">
        <v>132</v>
      </c>
      <c r="I3226" t="s">
        <v>2117</v>
      </c>
    </row>
    <row r="3227" spans="1:9" x14ac:dyDescent="0.35">
      <c r="A3227">
        <v>346900</v>
      </c>
      <c r="B3227" t="s">
        <v>1115</v>
      </c>
      <c r="C3227" s="1">
        <v>42093</v>
      </c>
      <c r="D3227">
        <v>1109</v>
      </c>
      <c r="E3227" t="b">
        <v>1</v>
      </c>
      <c r="F3227">
        <v>463</v>
      </c>
      <c r="G3227" t="s">
        <v>2084</v>
      </c>
      <c r="H3227" t="s">
        <v>124</v>
      </c>
      <c r="I3227" t="s">
        <v>2117</v>
      </c>
    </row>
    <row r="3228" spans="1:9" x14ac:dyDescent="0.35">
      <c r="A3228">
        <v>346900</v>
      </c>
      <c r="B3228" t="s">
        <v>1115</v>
      </c>
      <c r="C3228" s="1">
        <v>42093</v>
      </c>
      <c r="D3228">
        <v>1109</v>
      </c>
      <c r="E3228" t="b">
        <v>1</v>
      </c>
      <c r="F3228">
        <v>463</v>
      </c>
      <c r="G3228" t="s">
        <v>2084</v>
      </c>
      <c r="H3228" t="s">
        <v>1510</v>
      </c>
      <c r="I3228" t="s">
        <v>2116</v>
      </c>
    </row>
    <row r="3229" spans="1:9" x14ac:dyDescent="0.35">
      <c r="A3229">
        <v>3454590</v>
      </c>
      <c r="B3229" t="s">
        <v>1117</v>
      </c>
      <c r="C3229" s="1">
        <v>45768</v>
      </c>
      <c r="D3229">
        <v>1100</v>
      </c>
      <c r="E3229" t="b">
        <v>0</v>
      </c>
      <c r="F3229">
        <v>464</v>
      </c>
      <c r="G3229" t="s">
        <v>14</v>
      </c>
      <c r="H3229" t="s">
        <v>49</v>
      </c>
      <c r="I3229" t="s">
        <v>2117</v>
      </c>
    </row>
    <row r="3230" spans="1:9" x14ac:dyDescent="0.35">
      <c r="A3230">
        <v>3454590</v>
      </c>
      <c r="B3230" t="s">
        <v>1117</v>
      </c>
      <c r="C3230" s="1">
        <v>45768</v>
      </c>
      <c r="D3230">
        <v>1100</v>
      </c>
      <c r="E3230" t="b">
        <v>0</v>
      </c>
      <c r="F3230">
        <v>464</v>
      </c>
      <c r="G3230" t="s">
        <v>14</v>
      </c>
      <c r="H3230" t="s">
        <v>792</v>
      </c>
      <c r="I3230" t="s">
        <v>2116</v>
      </c>
    </row>
    <row r="3231" spans="1:9" x14ac:dyDescent="0.35">
      <c r="A3231">
        <v>3454590</v>
      </c>
      <c r="B3231" t="s">
        <v>1117</v>
      </c>
      <c r="C3231" s="1">
        <v>45768</v>
      </c>
      <c r="D3231">
        <v>1100</v>
      </c>
      <c r="E3231" t="b">
        <v>0</v>
      </c>
      <c r="F3231">
        <v>464</v>
      </c>
      <c r="G3231" t="s">
        <v>14</v>
      </c>
      <c r="H3231" t="s">
        <v>346</v>
      </c>
      <c r="I3231" t="s">
        <v>2117</v>
      </c>
    </row>
    <row r="3232" spans="1:9" x14ac:dyDescent="0.35">
      <c r="A3232">
        <v>3454590</v>
      </c>
      <c r="B3232" t="s">
        <v>1117</v>
      </c>
      <c r="C3232" s="1">
        <v>45768</v>
      </c>
      <c r="D3232">
        <v>1100</v>
      </c>
      <c r="E3232" t="b">
        <v>0</v>
      </c>
      <c r="F3232">
        <v>464</v>
      </c>
      <c r="G3232" t="s">
        <v>14</v>
      </c>
      <c r="H3232" t="s">
        <v>239</v>
      </c>
      <c r="I3232" t="s">
        <v>2116</v>
      </c>
    </row>
    <row r="3233" spans="1:9" x14ac:dyDescent="0.35">
      <c r="A3233">
        <v>3454590</v>
      </c>
      <c r="B3233" t="s">
        <v>1117</v>
      </c>
      <c r="C3233" s="1">
        <v>45768</v>
      </c>
      <c r="D3233">
        <v>1100</v>
      </c>
      <c r="E3233" t="b">
        <v>0</v>
      </c>
      <c r="F3233">
        <v>464</v>
      </c>
      <c r="G3233" t="s">
        <v>14</v>
      </c>
      <c r="H3233" t="s">
        <v>132</v>
      </c>
      <c r="I3233" t="s">
        <v>2117</v>
      </c>
    </row>
    <row r="3234" spans="1:9" x14ac:dyDescent="0.35">
      <c r="A3234">
        <v>3454590</v>
      </c>
      <c r="B3234" t="s">
        <v>1117</v>
      </c>
      <c r="C3234" s="1">
        <v>45768</v>
      </c>
      <c r="D3234">
        <v>1100</v>
      </c>
      <c r="E3234" t="b">
        <v>0</v>
      </c>
      <c r="F3234">
        <v>464</v>
      </c>
      <c r="G3234" t="s">
        <v>14</v>
      </c>
      <c r="H3234" t="s">
        <v>124</v>
      </c>
      <c r="I3234" t="s">
        <v>2117</v>
      </c>
    </row>
    <row r="3235" spans="1:9" x14ac:dyDescent="0.35">
      <c r="A3235">
        <v>3454590</v>
      </c>
      <c r="B3235" t="s">
        <v>1117</v>
      </c>
      <c r="C3235" s="1">
        <v>45768</v>
      </c>
      <c r="D3235">
        <v>1100</v>
      </c>
      <c r="E3235" t="b">
        <v>0</v>
      </c>
      <c r="F3235">
        <v>464</v>
      </c>
      <c r="G3235" t="s">
        <v>14</v>
      </c>
      <c r="H3235" t="s">
        <v>1510</v>
      </c>
      <c r="I3235" t="s">
        <v>2117</v>
      </c>
    </row>
    <row r="3236" spans="1:9" x14ac:dyDescent="0.35">
      <c r="A3236">
        <v>2273430</v>
      </c>
      <c r="B3236" t="s">
        <v>1118</v>
      </c>
      <c r="C3236" s="1">
        <v>45336</v>
      </c>
      <c r="D3236">
        <v>1099</v>
      </c>
      <c r="E3236" t="b">
        <v>1</v>
      </c>
      <c r="F3236">
        <v>465</v>
      </c>
      <c r="G3236" t="s">
        <v>53</v>
      </c>
      <c r="H3236" t="s">
        <v>49</v>
      </c>
      <c r="I3236" t="s">
        <v>2116</v>
      </c>
    </row>
    <row r="3237" spans="1:9" x14ac:dyDescent="0.35">
      <c r="A3237">
        <v>2273430</v>
      </c>
      <c r="B3237" t="s">
        <v>1118</v>
      </c>
      <c r="C3237" s="1">
        <v>45336</v>
      </c>
      <c r="D3237">
        <v>1099</v>
      </c>
      <c r="E3237" t="b">
        <v>1</v>
      </c>
      <c r="F3237">
        <v>465</v>
      </c>
      <c r="G3237" t="s">
        <v>53</v>
      </c>
      <c r="H3237" t="s">
        <v>792</v>
      </c>
      <c r="I3237" t="s">
        <v>2116</v>
      </c>
    </row>
    <row r="3238" spans="1:9" x14ac:dyDescent="0.35">
      <c r="A3238">
        <v>2273430</v>
      </c>
      <c r="B3238" t="s">
        <v>1118</v>
      </c>
      <c r="C3238" s="1">
        <v>45336</v>
      </c>
      <c r="D3238">
        <v>1099</v>
      </c>
      <c r="E3238" t="b">
        <v>1</v>
      </c>
      <c r="F3238">
        <v>465</v>
      </c>
      <c r="G3238" t="s">
        <v>53</v>
      </c>
      <c r="H3238" t="s">
        <v>346</v>
      </c>
      <c r="I3238" t="s">
        <v>2116</v>
      </c>
    </row>
    <row r="3239" spans="1:9" x14ac:dyDescent="0.35">
      <c r="A3239">
        <v>2273430</v>
      </c>
      <c r="B3239" t="s">
        <v>1118</v>
      </c>
      <c r="C3239" s="1">
        <v>45336</v>
      </c>
      <c r="D3239">
        <v>1099</v>
      </c>
      <c r="E3239" t="b">
        <v>1</v>
      </c>
      <c r="F3239">
        <v>465</v>
      </c>
      <c r="G3239" t="s">
        <v>53</v>
      </c>
      <c r="H3239" t="s">
        <v>239</v>
      </c>
      <c r="I3239" t="s">
        <v>2117</v>
      </c>
    </row>
    <row r="3240" spans="1:9" x14ac:dyDescent="0.35">
      <c r="A3240">
        <v>2273430</v>
      </c>
      <c r="B3240" t="s">
        <v>1118</v>
      </c>
      <c r="C3240" s="1">
        <v>45336</v>
      </c>
      <c r="D3240">
        <v>1099</v>
      </c>
      <c r="E3240" t="b">
        <v>1</v>
      </c>
      <c r="F3240">
        <v>465</v>
      </c>
      <c r="G3240" t="s">
        <v>53</v>
      </c>
      <c r="H3240" t="s">
        <v>132</v>
      </c>
      <c r="I3240" t="s">
        <v>2117</v>
      </c>
    </row>
    <row r="3241" spans="1:9" x14ac:dyDescent="0.35">
      <c r="A3241">
        <v>2273430</v>
      </c>
      <c r="B3241" t="s">
        <v>1118</v>
      </c>
      <c r="C3241" s="1">
        <v>45336</v>
      </c>
      <c r="D3241">
        <v>1099</v>
      </c>
      <c r="E3241" t="b">
        <v>1</v>
      </c>
      <c r="F3241">
        <v>465</v>
      </c>
      <c r="G3241" t="s">
        <v>53</v>
      </c>
      <c r="H3241" t="s">
        <v>124</v>
      </c>
      <c r="I3241" t="s">
        <v>2117</v>
      </c>
    </row>
    <row r="3242" spans="1:9" x14ac:dyDescent="0.35">
      <c r="A3242">
        <v>2273430</v>
      </c>
      <c r="B3242" t="s">
        <v>1118</v>
      </c>
      <c r="C3242" s="1">
        <v>45336</v>
      </c>
      <c r="D3242">
        <v>1099</v>
      </c>
      <c r="E3242" t="b">
        <v>1</v>
      </c>
      <c r="F3242">
        <v>465</v>
      </c>
      <c r="G3242" t="s">
        <v>53</v>
      </c>
      <c r="H3242" t="s">
        <v>1510</v>
      </c>
      <c r="I3242" t="s">
        <v>2117</v>
      </c>
    </row>
    <row r="3243" spans="1:9" x14ac:dyDescent="0.35">
      <c r="A3243">
        <v>880940</v>
      </c>
      <c r="B3243" t="s">
        <v>1120</v>
      </c>
      <c r="C3243" s="1">
        <v>43363</v>
      </c>
      <c r="D3243">
        <v>1096</v>
      </c>
      <c r="E3243" t="b">
        <v>0</v>
      </c>
      <c r="F3243">
        <v>466</v>
      </c>
      <c r="G3243" t="s">
        <v>14</v>
      </c>
      <c r="H3243" t="s">
        <v>49</v>
      </c>
      <c r="I3243" t="s">
        <v>2116</v>
      </c>
    </row>
    <row r="3244" spans="1:9" x14ac:dyDescent="0.35">
      <c r="A3244">
        <v>880940</v>
      </c>
      <c r="B3244" t="s">
        <v>1120</v>
      </c>
      <c r="C3244" s="1">
        <v>43363</v>
      </c>
      <c r="D3244">
        <v>1096</v>
      </c>
      <c r="E3244" t="b">
        <v>0</v>
      </c>
      <c r="F3244">
        <v>466</v>
      </c>
      <c r="G3244" t="s">
        <v>14</v>
      </c>
      <c r="H3244" t="s">
        <v>792</v>
      </c>
      <c r="I3244" t="s">
        <v>2116</v>
      </c>
    </row>
    <row r="3245" spans="1:9" x14ac:dyDescent="0.35">
      <c r="A3245">
        <v>880940</v>
      </c>
      <c r="B3245" t="s">
        <v>1120</v>
      </c>
      <c r="C3245" s="1">
        <v>43363</v>
      </c>
      <c r="D3245">
        <v>1096</v>
      </c>
      <c r="E3245" t="b">
        <v>0</v>
      </c>
      <c r="F3245">
        <v>466</v>
      </c>
      <c r="G3245" t="s">
        <v>14</v>
      </c>
      <c r="H3245" t="s">
        <v>346</v>
      </c>
      <c r="I3245" t="s">
        <v>2117</v>
      </c>
    </row>
    <row r="3246" spans="1:9" x14ac:dyDescent="0.35">
      <c r="A3246">
        <v>880940</v>
      </c>
      <c r="B3246" t="s">
        <v>1120</v>
      </c>
      <c r="C3246" s="1">
        <v>43363</v>
      </c>
      <c r="D3246">
        <v>1096</v>
      </c>
      <c r="E3246" t="b">
        <v>0</v>
      </c>
      <c r="F3246">
        <v>466</v>
      </c>
      <c r="G3246" t="s">
        <v>14</v>
      </c>
      <c r="H3246" t="s">
        <v>239</v>
      </c>
      <c r="I3246" t="s">
        <v>2117</v>
      </c>
    </row>
    <row r="3247" spans="1:9" x14ac:dyDescent="0.35">
      <c r="A3247">
        <v>880940</v>
      </c>
      <c r="B3247" t="s">
        <v>1120</v>
      </c>
      <c r="C3247" s="1">
        <v>43363</v>
      </c>
      <c r="D3247">
        <v>1096</v>
      </c>
      <c r="E3247" t="b">
        <v>0</v>
      </c>
      <c r="F3247">
        <v>466</v>
      </c>
      <c r="G3247" t="s">
        <v>14</v>
      </c>
      <c r="H3247" t="s">
        <v>132</v>
      </c>
      <c r="I3247" t="s">
        <v>2117</v>
      </c>
    </row>
    <row r="3248" spans="1:9" x14ac:dyDescent="0.35">
      <c r="A3248">
        <v>880940</v>
      </c>
      <c r="B3248" t="s">
        <v>1120</v>
      </c>
      <c r="C3248" s="1">
        <v>43363</v>
      </c>
      <c r="D3248">
        <v>1096</v>
      </c>
      <c r="E3248" t="b">
        <v>0</v>
      </c>
      <c r="F3248">
        <v>466</v>
      </c>
      <c r="G3248" t="s">
        <v>14</v>
      </c>
      <c r="H3248" t="s">
        <v>124</v>
      </c>
      <c r="I3248" t="s">
        <v>2117</v>
      </c>
    </row>
    <row r="3249" spans="1:9" x14ac:dyDescent="0.35">
      <c r="A3249">
        <v>880940</v>
      </c>
      <c r="B3249" t="s">
        <v>1120</v>
      </c>
      <c r="C3249" s="1">
        <v>43363</v>
      </c>
      <c r="D3249">
        <v>1096</v>
      </c>
      <c r="E3249" t="b">
        <v>0</v>
      </c>
      <c r="F3249">
        <v>466</v>
      </c>
      <c r="G3249" t="s">
        <v>14</v>
      </c>
      <c r="H3249" t="s">
        <v>1510</v>
      </c>
      <c r="I3249" t="s">
        <v>2117</v>
      </c>
    </row>
    <row r="3250" spans="1:9" x14ac:dyDescent="0.35">
      <c r="A3250">
        <v>365360</v>
      </c>
      <c r="B3250" t="s">
        <v>1122</v>
      </c>
      <c r="C3250" s="1">
        <v>42818</v>
      </c>
      <c r="D3250">
        <v>1091</v>
      </c>
      <c r="E3250" t="b">
        <v>0</v>
      </c>
      <c r="F3250">
        <v>467</v>
      </c>
      <c r="G3250" t="s">
        <v>932</v>
      </c>
      <c r="H3250" t="s">
        <v>49</v>
      </c>
      <c r="I3250" t="s">
        <v>2117</v>
      </c>
    </row>
    <row r="3251" spans="1:9" x14ac:dyDescent="0.35">
      <c r="A3251">
        <v>365360</v>
      </c>
      <c r="B3251" t="s">
        <v>1122</v>
      </c>
      <c r="C3251" s="1">
        <v>42818</v>
      </c>
      <c r="D3251">
        <v>1091</v>
      </c>
      <c r="E3251" t="b">
        <v>0</v>
      </c>
      <c r="F3251">
        <v>467</v>
      </c>
      <c r="G3251" t="s">
        <v>932</v>
      </c>
      <c r="H3251" t="s">
        <v>792</v>
      </c>
      <c r="I3251" t="s">
        <v>2117</v>
      </c>
    </row>
    <row r="3252" spans="1:9" x14ac:dyDescent="0.35">
      <c r="A3252">
        <v>365360</v>
      </c>
      <c r="B3252" t="s">
        <v>1122</v>
      </c>
      <c r="C3252" s="1">
        <v>42818</v>
      </c>
      <c r="D3252">
        <v>1091</v>
      </c>
      <c r="E3252" t="b">
        <v>0</v>
      </c>
      <c r="F3252">
        <v>467</v>
      </c>
      <c r="G3252" t="s">
        <v>932</v>
      </c>
      <c r="H3252" t="s">
        <v>346</v>
      </c>
      <c r="I3252" t="s">
        <v>2117</v>
      </c>
    </row>
    <row r="3253" spans="1:9" x14ac:dyDescent="0.35">
      <c r="A3253">
        <v>365360</v>
      </c>
      <c r="B3253" t="s">
        <v>1122</v>
      </c>
      <c r="C3253" s="1">
        <v>42818</v>
      </c>
      <c r="D3253">
        <v>1091</v>
      </c>
      <c r="E3253" t="b">
        <v>0</v>
      </c>
      <c r="F3253">
        <v>467</v>
      </c>
      <c r="G3253" t="s">
        <v>932</v>
      </c>
      <c r="H3253" t="s">
        <v>239</v>
      </c>
      <c r="I3253" t="s">
        <v>2116</v>
      </c>
    </row>
    <row r="3254" spans="1:9" x14ac:dyDescent="0.35">
      <c r="A3254">
        <v>365360</v>
      </c>
      <c r="B3254" t="s">
        <v>1122</v>
      </c>
      <c r="C3254" s="1">
        <v>42818</v>
      </c>
      <c r="D3254">
        <v>1091</v>
      </c>
      <c r="E3254" t="b">
        <v>0</v>
      </c>
      <c r="F3254">
        <v>467</v>
      </c>
      <c r="G3254" t="s">
        <v>932</v>
      </c>
      <c r="H3254" t="s">
        <v>132</v>
      </c>
      <c r="I3254" t="s">
        <v>2116</v>
      </c>
    </row>
    <row r="3255" spans="1:9" x14ac:dyDescent="0.35">
      <c r="A3255">
        <v>365360</v>
      </c>
      <c r="B3255" t="s">
        <v>1122</v>
      </c>
      <c r="C3255" s="1">
        <v>42818</v>
      </c>
      <c r="D3255">
        <v>1091</v>
      </c>
      <c r="E3255" t="b">
        <v>0</v>
      </c>
      <c r="F3255">
        <v>467</v>
      </c>
      <c r="G3255" t="s">
        <v>932</v>
      </c>
      <c r="H3255" t="s">
        <v>124</v>
      </c>
      <c r="I3255" t="s">
        <v>2116</v>
      </c>
    </row>
    <row r="3256" spans="1:9" x14ac:dyDescent="0.35">
      <c r="A3256">
        <v>365360</v>
      </c>
      <c r="B3256" t="s">
        <v>1122</v>
      </c>
      <c r="C3256" s="1">
        <v>42818</v>
      </c>
      <c r="D3256">
        <v>1091</v>
      </c>
      <c r="E3256" t="b">
        <v>0</v>
      </c>
      <c r="F3256">
        <v>467</v>
      </c>
      <c r="G3256" t="s">
        <v>932</v>
      </c>
      <c r="H3256" t="s">
        <v>1510</v>
      </c>
      <c r="I3256" t="s">
        <v>2117</v>
      </c>
    </row>
    <row r="3257" spans="1:9" x14ac:dyDescent="0.35">
      <c r="A3257">
        <v>2418520</v>
      </c>
      <c r="B3257" t="s">
        <v>1124</v>
      </c>
      <c r="C3257" s="1">
        <v>45807</v>
      </c>
      <c r="D3257">
        <v>1080</v>
      </c>
      <c r="E3257" t="b">
        <v>1</v>
      </c>
      <c r="F3257">
        <v>468</v>
      </c>
      <c r="G3257" t="s">
        <v>53</v>
      </c>
      <c r="H3257" t="s">
        <v>49</v>
      </c>
      <c r="I3257" t="s">
        <v>2117</v>
      </c>
    </row>
    <row r="3258" spans="1:9" x14ac:dyDescent="0.35">
      <c r="A3258">
        <v>2418520</v>
      </c>
      <c r="B3258" t="s">
        <v>1124</v>
      </c>
      <c r="C3258" s="1">
        <v>45807</v>
      </c>
      <c r="D3258">
        <v>1080</v>
      </c>
      <c r="E3258" t="b">
        <v>1</v>
      </c>
      <c r="F3258">
        <v>468</v>
      </c>
      <c r="G3258" t="s">
        <v>53</v>
      </c>
      <c r="H3258" t="s">
        <v>792</v>
      </c>
      <c r="I3258" t="s">
        <v>2116</v>
      </c>
    </row>
    <row r="3259" spans="1:9" x14ac:dyDescent="0.35">
      <c r="A3259">
        <v>2418520</v>
      </c>
      <c r="B3259" t="s">
        <v>1124</v>
      </c>
      <c r="C3259" s="1">
        <v>45807</v>
      </c>
      <c r="D3259">
        <v>1080</v>
      </c>
      <c r="E3259" t="b">
        <v>1</v>
      </c>
      <c r="F3259">
        <v>468</v>
      </c>
      <c r="G3259" t="s">
        <v>53</v>
      </c>
      <c r="H3259" t="s">
        <v>346</v>
      </c>
      <c r="I3259" t="s">
        <v>2117</v>
      </c>
    </row>
    <row r="3260" spans="1:9" x14ac:dyDescent="0.35">
      <c r="A3260">
        <v>2418520</v>
      </c>
      <c r="B3260" t="s">
        <v>1124</v>
      </c>
      <c r="C3260" s="1">
        <v>45807</v>
      </c>
      <c r="D3260">
        <v>1080</v>
      </c>
      <c r="E3260" t="b">
        <v>1</v>
      </c>
      <c r="F3260">
        <v>468</v>
      </c>
      <c r="G3260" t="s">
        <v>53</v>
      </c>
      <c r="H3260" t="s">
        <v>239</v>
      </c>
      <c r="I3260" t="s">
        <v>2116</v>
      </c>
    </row>
    <row r="3261" spans="1:9" x14ac:dyDescent="0.35">
      <c r="A3261">
        <v>2418520</v>
      </c>
      <c r="B3261" t="s">
        <v>1124</v>
      </c>
      <c r="C3261" s="1">
        <v>45807</v>
      </c>
      <c r="D3261">
        <v>1080</v>
      </c>
      <c r="E3261" t="b">
        <v>1</v>
      </c>
      <c r="F3261">
        <v>468</v>
      </c>
      <c r="G3261" t="s">
        <v>53</v>
      </c>
      <c r="H3261" t="s">
        <v>132</v>
      </c>
      <c r="I3261" t="s">
        <v>2117</v>
      </c>
    </row>
    <row r="3262" spans="1:9" x14ac:dyDescent="0.35">
      <c r="A3262">
        <v>2418520</v>
      </c>
      <c r="B3262" t="s">
        <v>1124</v>
      </c>
      <c r="C3262" s="1">
        <v>45807</v>
      </c>
      <c r="D3262">
        <v>1080</v>
      </c>
      <c r="E3262" t="b">
        <v>1</v>
      </c>
      <c r="F3262">
        <v>468</v>
      </c>
      <c r="G3262" t="s">
        <v>53</v>
      </c>
      <c r="H3262" t="s">
        <v>124</v>
      </c>
      <c r="I3262" t="s">
        <v>2117</v>
      </c>
    </row>
    <row r="3263" spans="1:9" x14ac:dyDescent="0.35">
      <c r="A3263">
        <v>2418520</v>
      </c>
      <c r="B3263" t="s">
        <v>1124</v>
      </c>
      <c r="C3263" s="1">
        <v>45807</v>
      </c>
      <c r="D3263">
        <v>1080</v>
      </c>
      <c r="E3263" t="b">
        <v>1</v>
      </c>
      <c r="F3263">
        <v>468</v>
      </c>
      <c r="G3263" t="s">
        <v>53</v>
      </c>
      <c r="H3263" t="s">
        <v>1510</v>
      </c>
      <c r="I3263" t="s">
        <v>2117</v>
      </c>
    </row>
    <row r="3264" spans="1:9" x14ac:dyDescent="0.35">
      <c r="A3264">
        <v>1041320</v>
      </c>
      <c r="B3264" t="s">
        <v>1126</v>
      </c>
      <c r="C3264" s="1">
        <v>43618</v>
      </c>
      <c r="D3264">
        <v>1080</v>
      </c>
      <c r="E3264" t="b">
        <v>0</v>
      </c>
      <c r="F3264">
        <v>468</v>
      </c>
      <c r="G3264" t="s">
        <v>14</v>
      </c>
      <c r="H3264" t="s">
        <v>49</v>
      </c>
      <c r="I3264" t="s">
        <v>2117</v>
      </c>
    </row>
    <row r="3265" spans="1:9" x14ac:dyDescent="0.35">
      <c r="A3265">
        <v>1041320</v>
      </c>
      <c r="B3265" t="s">
        <v>1126</v>
      </c>
      <c r="C3265" s="1">
        <v>43618</v>
      </c>
      <c r="D3265">
        <v>1080</v>
      </c>
      <c r="E3265" t="b">
        <v>0</v>
      </c>
      <c r="F3265">
        <v>468</v>
      </c>
      <c r="G3265" t="s">
        <v>14</v>
      </c>
      <c r="H3265" t="s">
        <v>792</v>
      </c>
      <c r="I3265" t="s">
        <v>2117</v>
      </c>
    </row>
    <row r="3266" spans="1:9" x14ac:dyDescent="0.35">
      <c r="A3266">
        <v>1041320</v>
      </c>
      <c r="B3266" t="s">
        <v>1126</v>
      </c>
      <c r="C3266" s="1">
        <v>43618</v>
      </c>
      <c r="D3266">
        <v>1080</v>
      </c>
      <c r="E3266" t="b">
        <v>0</v>
      </c>
      <c r="F3266">
        <v>468</v>
      </c>
      <c r="G3266" t="s">
        <v>14</v>
      </c>
      <c r="H3266" t="s">
        <v>346</v>
      </c>
      <c r="I3266" t="s">
        <v>2117</v>
      </c>
    </row>
    <row r="3267" spans="1:9" x14ac:dyDescent="0.35">
      <c r="A3267">
        <v>1041320</v>
      </c>
      <c r="B3267" t="s">
        <v>1126</v>
      </c>
      <c r="C3267" s="1">
        <v>43618</v>
      </c>
      <c r="D3267">
        <v>1080</v>
      </c>
      <c r="E3267" t="b">
        <v>0</v>
      </c>
      <c r="F3267">
        <v>468</v>
      </c>
      <c r="G3267" t="s">
        <v>14</v>
      </c>
      <c r="H3267" t="s">
        <v>239</v>
      </c>
      <c r="I3267" t="s">
        <v>2117</v>
      </c>
    </row>
    <row r="3268" spans="1:9" x14ac:dyDescent="0.35">
      <c r="A3268">
        <v>1041320</v>
      </c>
      <c r="B3268" t="s">
        <v>1126</v>
      </c>
      <c r="C3268" s="1">
        <v>43618</v>
      </c>
      <c r="D3268">
        <v>1080</v>
      </c>
      <c r="E3268" t="b">
        <v>0</v>
      </c>
      <c r="F3268">
        <v>468</v>
      </c>
      <c r="G3268" t="s">
        <v>14</v>
      </c>
      <c r="H3268" t="s">
        <v>132</v>
      </c>
      <c r="I3268" t="s">
        <v>2116</v>
      </c>
    </row>
    <row r="3269" spans="1:9" x14ac:dyDescent="0.35">
      <c r="A3269">
        <v>1041320</v>
      </c>
      <c r="B3269" t="s">
        <v>1126</v>
      </c>
      <c r="C3269" s="1">
        <v>43618</v>
      </c>
      <c r="D3269">
        <v>1080</v>
      </c>
      <c r="E3269" t="b">
        <v>0</v>
      </c>
      <c r="F3269">
        <v>468</v>
      </c>
      <c r="G3269" t="s">
        <v>14</v>
      </c>
      <c r="H3269" t="s">
        <v>124</v>
      </c>
      <c r="I3269" t="s">
        <v>2116</v>
      </c>
    </row>
    <row r="3270" spans="1:9" x14ac:dyDescent="0.35">
      <c r="A3270">
        <v>1041320</v>
      </c>
      <c r="B3270" t="s">
        <v>1126</v>
      </c>
      <c r="C3270" s="1">
        <v>43618</v>
      </c>
      <c r="D3270">
        <v>1080</v>
      </c>
      <c r="E3270" t="b">
        <v>0</v>
      </c>
      <c r="F3270">
        <v>468</v>
      </c>
      <c r="G3270" t="s">
        <v>14</v>
      </c>
      <c r="H3270" t="s">
        <v>1510</v>
      </c>
      <c r="I3270" t="s">
        <v>2116</v>
      </c>
    </row>
    <row r="3271" spans="1:9" x14ac:dyDescent="0.35">
      <c r="A3271">
        <v>9900</v>
      </c>
      <c r="B3271" t="s">
        <v>1129</v>
      </c>
      <c r="C3271" s="1">
        <v>40939</v>
      </c>
      <c r="D3271">
        <v>1057</v>
      </c>
      <c r="E3271" t="b">
        <v>0</v>
      </c>
      <c r="F3271">
        <v>470</v>
      </c>
      <c r="G3271" t="s">
        <v>2084</v>
      </c>
      <c r="H3271" t="s">
        <v>49</v>
      </c>
      <c r="I3271" t="s">
        <v>2117</v>
      </c>
    </row>
    <row r="3272" spans="1:9" x14ac:dyDescent="0.35">
      <c r="A3272">
        <v>9900</v>
      </c>
      <c r="B3272" t="s">
        <v>1129</v>
      </c>
      <c r="C3272" s="1">
        <v>40939</v>
      </c>
      <c r="D3272">
        <v>1057</v>
      </c>
      <c r="E3272" t="b">
        <v>0</v>
      </c>
      <c r="F3272">
        <v>470</v>
      </c>
      <c r="G3272" t="s">
        <v>2084</v>
      </c>
      <c r="H3272" t="s">
        <v>792</v>
      </c>
      <c r="I3272" t="s">
        <v>2117</v>
      </c>
    </row>
    <row r="3273" spans="1:9" x14ac:dyDescent="0.35">
      <c r="A3273">
        <v>9900</v>
      </c>
      <c r="B3273" t="s">
        <v>1129</v>
      </c>
      <c r="C3273" s="1">
        <v>40939</v>
      </c>
      <c r="D3273">
        <v>1057</v>
      </c>
      <c r="E3273" t="b">
        <v>0</v>
      </c>
      <c r="F3273">
        <v>470</v>
      </c>
      <c r="G3273" t="s">
        <v>2084</v>
      </c>
      <c r="H3273" t="s">
        <v>346</v>
      </c>
      <c r="I3273" t="s">
        <v>2117</v>
      </c>
    </row>
    <row r="3274" spans="1:9" x14ac:dyDescent="0.35">
      <c r="A3274">
        <v>9900</v>
      </c>
      <c r="B3274" t="s">
        <v>1129</v>
      </c>
      <c r="C3274" s="1">
        <v>40939</v>
      </c>
      <c r="D3274">
        <v>1057</v>
      </c>
      <c r="E3274" t="b">
        <v>0</v>
      </c>
      <c r="F3274">
        <v>470</v>
      </c>
      <c r="G3274" t="s">
        <v>2084</v>
      </c>
      <c r="H3274" t="s">
        <v>239</v>
      </c>
      <c r="I3274" t="s">
        <v>2117</v>
      </c>
    </row>
    <row r="3275" spans="1:9" x14ac:dyDescent="0.35">
      <c r="A3275">
        <v>9900</v>
      </c>
      <c r="B3275" t="s">
        <v>1129</v>
      </c>
      <c r="C3275" s="1">
        <v>40939</v>
      </c>
      <c r="D3275">
        <v>1057</v>
      </c>
      <c r="E3275" t="b">
        <v>0</v>
      </c>
      <c r="F3275">
        <v>470</v>
      </c>
      <c r="G3275" t="s">
        <v>2084</v>
      </c>
      <c r="H3275" t="s">
        <v>132</v>
      </c>
      <c r="I3275" t="s">
        <v>2116</v>
      </c>
    </row>
    <row r="3276" spans="1:9" x14ac:dyDescent="0.35">
      <c r="A3276">
        <v>9900</v>
      </c>
      <c r="B3276" t="s">
        <v>1129</v>
      </c>
      <c r="C3276" s="1">
        <v>40939</v>
      </c>
      <c r="D3276">
        <v>1057</v>
      </c>
      <c r="E3276" t="b">
        <v>0</v>
      </c>
      <c r="F3276">
        <v>470</v>
      </c>
      <c r="G3276" t="s">
        <v>2084</v>
      </c>
      <c r="H3276" t="s">
        <v>124</v>
      </c>
      <c r="I3276" t="s">
        <v>2117</v>
      </c>
    </row>
    <row r="3277" spans="1:9" x14ac:dyDescent="0.35">
      <c r="A3277">
        <v>9900</v>
      </c>
      <c r="B3277" t="s">
        <v>1129</v>
      </c>
      <c r="C3277" s="1">
        <v>40939</v>
      </c>
      <c r="D3277">
        <v>1057</v>
      </c>
      <c r="E3277" t="b">
        <v>0</v>
      </c>
      <c r="F3277">
        <v>470</v>
      </c>
      <c r="G3277" t="s">
        <v>2084</v>
      </c>
      <c r="H3277" t="s">
        <v>1510</v>
      </c>
      <c r="I3277" t="s">
        <v>2116</v>
      </c>
    </row>
    <row r="3278" spans="1:9" x14ac:dyDescent="0.35">
      <c r="A3278">
        <v>1940340</v>
      </c>
      <c r="B3278" t="s">
        <v>1131</v>
      </c>
      <c r="C3278" s="1">
        <v>45054</v>
      </c>
      <c r="D3278">
        <v>1054</v>
      </c>
      <c r="E3278" t="b">
        <v>1</v>
      </c>
      <c r="F3278">
        <v>471</v>
      </c>
      <c r="G3278" t="s">
        <v>304</v>
      </c>
      <c r="H3278" t="s">
        <v>49</v>
      </c>
      <c r="I3278" t="s">
        <v>2117</v>
      </c>
    </row>
    <row r="3279" spans="1:9" x14ac:dyDescent="0.35">
      <c r="A3279">
        <v>1940340</v>
      </c>
      <c r="B3279" t="s">
        <v>1131</v>
      </c>
      <c r="C3279" s="1">
        <v>45054</v>
      </c>
      <c r="D3279">
        <v>1054</v>
      </c>
      <c r="E3279" t="b">
        <v>1</v>
      </c>
      <c r="F3279">
        <v>471</v>
      </c>
      <c r="G3279" t="s">
        <v>304</v>
      </c>
      <c r="H3279" t="s">
        <v>792</v>
      </c>
      <c r="I3279" t="s">
        <v>2116</v>
      </c>
    </row>
    <row r="3280" spans="1:9" x14ac:dyDescent="0.35">
      <c r="A3280">
        <v>1940340</v>
      </c>
      <c r="B3280" t="s">
        <v>1131</v>
      </c>
      <c r="C3280" s="1">
        <v>45054</v>
      </c>
      <c r="D3280">
        <v>1054</v>
      </c>
      <c r="E3280" t="b">
        <v>1</v>
      </c>
      <c r="F3280">
        <v>471</v>
      </c>
      <c r="G3280" t="s">
        <v>304</v>
      </c>
      <c r="H3280" t="s">
        <v>346</v>
      </c>
      <c r="I3280" t="s">
        <v>2117</v>
      </c>
    </row>
    <row r="3281" spans="1:9" x14ac:dyDescent="0.35">
      <c r="A3281">
        <v>1940340</v>
      </c>
      <c r="B3281" t="s">
        <v>1131</v>
      </c>
      <c r="C3281" s="1">
        <v>45054</v>
      </c>
      <c r="D3281">
        <v>1054</v>
      </c>
      <c r="E3281" t="b">
        <v>1</v>
      </c>
      <c r="F3281">
        <v>471</v>
      </c>
      <c r="G3281" t="s">
        <v>304</v>
      </c>
      <c r="H3281" t="s">
        <v>239</v>
      </c>
      <c r="I3281" t="s">
        <v>2117</v>
      </c>
    </row>
    <row r="3282" spans="1:9" x14ac:dyDescent="0.35">
      <c r="A3282">
        <v>1940340</v>
      </c>
      <c r="B3282" t="s">
        <v>1131</v>
      </c>
      <c r="C3282" s="1">
        <v>45054</v>
      </c>
      <c r="D3282">
        <v>1054</v>
      </c>
      <c r="E3282" t="b">
        <v>1</v>
      </c>
      <c r="F3282">
        <v>471</v>
      </c>
      <c r="G3282" t="s">
        <v>304</v>
      </c>
      <c r="H3282" t="s">
        <v>132</v>
      </c>
      <c r="I3282" t="s">
        <v>2116</v>
      </c>
    </row>
    <row r="3283" spans="1:9" x14ac:dyDescent="0.35">
      <c r="A3283">
        <v>1940340</v>
      </c>
      <c r="B3283" t="s">
        <v>1131</v>
      </c>
      <c r="C3283" s="1">
        <v>45054</v>
      </c>
      <c r="D3283">
        <v>1054</v>
      </c>
      <c r="E3283" t="b">
        <v>1</v>
      </c>
      <c r="F3283">
        <v>471</v>
      </c>
      <c r="G3283" t="s">
        <v>304</v>
      </c>
      <c r="H3283" t="s">
        <v>124</v>
      </c>
      <c r="I3283" t="s">
        <v>2116</v>
      </c>
    </row>
    <row r="3284" spans="1:9" x14ac:dyDescent="0.35">
      <c r="A3284">
        <v>1940340</v>
      </c>
      <c r="B3284" t="s">
        <v>1131</v>
      </c>
      <c r="C3284" s="1">
        <v>45054</v>
      </c>
      <c r="D3284">
        <v>1054</v>
      </c>
      <c r="E3284" t="b">
        <v>1</v>
      </c>
      <c r="F3284">
        <v>471</v>
      </c>
      <c r="G3284" t="s">
        <v>304</v>
      </c>
      <c r="H3284" t="s">
        <v>1510</v>
      </c>
      <c r="I3284" t="s">
        <v>2117</v>
      </c>
    </row>
    <row r="3285" spans="1:9" x14ac:dyDescent="0.35">
      <c r="A3285">
        <v>1343370</v>
      </c>
      <c r="B3285" t="s">
        <v>1132</v>
      </c>
      <c r="C3285" s="1">
        <v>44251</v>
      </c>
      <c r="D3285">
        <v>1050</v>
      </c>
      <c r="E3285" t="b">
        <v>1</v>
      </c>
      <c r="F3285">
        <v>472</v>
      </c>
      <c r="G3285" t="s">
        <v>133</v>
      </c>
      <c r="H3285" t="s">
        <v>49</v>
      </c>
      <c r="I3285" t="s">
        <v>2117</v>
      </c>
    </row>
    <row r="3286" spans="1:9" x14ac:dyDescent="0.35">
      <c r="A3286">
        <v>1343370</v>
      </c>
      <c r="B3286" t="s">
        <v>1132</v>
      </c>
      <c r="C3286" s="1">
        <v>44251</v>
      </c>
      <c r="D3286">
        <v>1050</v>
      </c>
      <c r="E3286" t="b">
        <v>1</v>
      </c>
      <c r="F3286">
        <v>472</v>
      </c>
      <c r="G3286" t="s">
        <v>133</v>
      </c>
      <c r="H3286" t="s">
        <v>792</v>
      </c>
      <c r="I3286" t="s">
        <v>2117</v>
      </c>
    </row>
    <row r="3287" spans="1:9" x14ac:dyDescent="0.35">
      <c r="A3287">
        <v>1343370</v>
      </c>
      <c r="B3287" t="s">
        <v>1132</v>
      </c>
      <c r="C3287" s="1">
        <v>44251</v>
      </c>
      <c r="D3287">
        <v>1050</v>
      </c>
      <c r="E3287" t="b">
        <v>1</v>
      </c>
      <c r="F3287">
        <v>472</v>
      </c>
      <c r="G3287" t="s">
        <v>133</v>
      </c>
      <c r="H3287" t="s">
        <v>346</v>
      </c>
      <c r="I3287" t="s">
        <v>2116</v>
      </c>
    </row>
    <row r="3288" spans="1:9" x14ac:dyDescent="0.35">
      <c r="A3288">
        <v>1343370</v>
      </c>
      <c r="B3288" t="s">
        <v>1132</v>
      </c>
      <c r="C3288" s="1">
        <v>44251</v>
      </c>
      <c r="D3288">
        <v>1050</v>
      </c>
      <c r="E3288" t="b">
        <v>1</v>
      </c>
      <c r="F3288">
        <v>472</v>
      </c>
      <c r="G3288" t="s">
        <v>133</v>
      </c>
      <c r="H3288" t="s">
        <v>239</v>
      </c>
      <c r="I3288" t="s">
        <v>2117</v>
      </c>
    </row>
    <row r="3289" spans="1:9" x14ac:dyDescent="0.35">
      <c r="A3289">
        <v>1343370</v>
      </c>
      <c r="B3289" t="s">
        <v>1132</v>
      </c>
      <c r="C3289" s="1">
        <v>44251</v>
      </c>
      <c r="D3289">
        <v>1050</v>
      </c>
      <c r="E3289" t="b">
        <v>1</v>
      </c>
      <c r="F3289">
        <v>472</v>
      </c>
      <c r="G3289" t="s">
        <v>133</v>
      </c>
      <c r="H3289" t="s">
        <v>132</v>
      </c>
      <c r="I3289" t="s">
        <v>2116</v>
      </c>
    </row>
    <row r="3290" spans="1:9" x14ac:dyDescent="0.35">
      <c r="A3290">
        <v>1343370</v>
      </c>
      <c r="B3290" t="s">
        <v>1132</v>
      </c>
      <c r="C3290" s="1">
        <v>44251</v>
      </c>
      <c r="D3290">
        <v>1050</v>
      </c>
      <c r="E3290" t="b">
        <v>1</v>
      </c>
      <c r="F3290">
        <v>472</v>
      </c>
      <c r="G3290" t="s">
        <v>133</v>
      </c>
      <c r="H3290" t="s">
        <v>124</v>
      </c>
      <c r="I3290" t="s">
        <v>2117</v>
      </c>
    </row>
    <row r="3291" spans="1:9" x14ac:dyDescent="0.35">
      <c r="A3291">
        <v>1343370</v>
      </c>
      <c r="B3291" t="s">
        <v>1132</v>
      </c>
      <c r="C3291" s="1">
        <v>44251</v>
      </c>
      <c r="D3291">
        <v>1050</v>
      </c>
      <c r="E3291" t="b">
        <v>1</v>
      </c>
      <c r="F3291">
        <v>472</v>
      </c>
      <c r="G3291" t="s">
        <v>133</v>
      </c>
      <c r="H3291" t="s">
        <v>1510</v>
      </c>
      <c r="I3291" t="s">
        <v>2116</v>
      </c>
    </row>
    <row r="3292" spans="1:9" x14ac:dyDescent="0.35">
      <c r="A3292">
        <v>1840</v>
      </c>
      <c r="B3292" t="s">
        <v>1134</v>
      </c>
      <c r="C3292" s="1">
        <v>41100</v>
      </c>
      <c r="D3292">
        <v>1047</v>
      </c>
      <c r="E3292" t="b">
        <v>0</v>
      </c>
      <c r="F3292">
        <v>473</v>
      </c>
      <c r="G3292" t="s">
        <v>2084</v>
      </c>
      <c r="H3292" t="s">
        <v>49</v>
      </c>
      <c r="I3292" t="s">
        <v>2117</v>
      </c>
    </row>
    <row r="3293" spans="1:9" x14ac:dyDescent="0.35">
      <c r="A3293">
        <v>1840</v>
      </c>
      <c r="B3293" t="s">
        <v>1134</v>
      </c>
      <c r="C3293" s="1">
        <v>41100</v>
      </c>
      <c r="D3293">
        <v>1047</v>
      </c>
      <c r="E3293" t="b">
        <v>0</v>
      </c>
      <c r="F3293">
        <v>473</v>
      </c>
      <c r="G3293" t="s">
        <v>2084</v>
      </c>
      <c r="H3293" t="s">
        <v>792</v>
      </c>
      <c r="I3293" t="s">
        <v>2117</v>
      </c>
    </row>
    <row r="3294" spans="1:9" x14ac:dyDescent="0.35">
      <c r="A3294">
        <v>1840</v>
      </c>
      <c r="B3294" t="s">
        <v>1134</v>
      </c>
      <c r="C3294" s="1">
        <v>41100</v>
      </c>
      <c r="D3294">
        <v>1047</v>
      </c>
      <c r="E3294" t="b">
        <v>0</v>
      </c>
      <c r="F3294">
        <v>473</v>
      </c>
      <c r="G3294" t="s">
        <v>2084</v>
      </c>
      <c r="H3294" t="s">
        <v>346</v>
      </c>
      <c r="I3294" t="s">
        <v>2117</v>
      </c>
    </row>
    <row r="3295" spans="1:9" x14ac:dyDescent="0.35">
      <c r="A3295">
        <v>1840</v>
      </c>
      <c r="B3295" t="s">
        <v>1134</v>
      </c>
      <c r="C3295" s="1">
        <v>41100</v>
      </c>
      <c r="D3295">
        <v>1047</v>
      </c>
      <c r="E3295" t="b">
        <v>0</v>
      </c>
      <c r="F3295">
        <v>473</v>
      </c>
      <c r="G3295" t="s">
        <v>2084</v>
      </c>
      <c r="H3295" t="s">
        <v>239</v>
      </c>
      <c r="I3295" t="s">
        <v>2117</v>
      </c>
    </row>
    <row r="3296" spans="1:9" x14ac:dyDescent="0.35">
      <c r="A3296">
        <v>1840</v>
      </c>
      <c r="B3296" t="s">
        <v>1134</v>
      </c>
      <c r="C3296" s="1">
        <v>41100</v>
      </c>
      <c r="D3296">
        <v>1047</v>
      </c>
      <c r="E3296" t="b">
        <v>0</v>
      </c>
      <c r="F3296">
        <v>473</v>
      </c>
      <c r="G3296" t="s">
        <v>2084</v>
      </c>
      <c r="H3296" t="s">
        <v>132</v>
      </c>
      <c r="I3296" t="s">
        <v>2117</v>
      </c>
    </row>
    <row r="3297" spans="1:9" x14ac:dyDescent="0.35">
      <c r="A3297">
        <v>1840</v>
      </c>
      <c r="B3297" t="s">
        <v>1134</v>
      </c>
      <c r="C3297" s="1">
        <v>41100</v>
      </c>
      <c r="D3297">
        <v>1047</v>
      </c>
      <c r="E3297" t="b">
        <v>0</v>
      </c>
      <c r="F3297">
        <v>473</v>
      </c>
      <c r="G3297" t="s">
        <v>2084</v>
      </c>
      <c r="H3297" t="s">
        <v>124</v>
      </c>
      <c r="I3297" t="s">
        <v>2117</v>
      </c>
    </row>
    <row r="3298" spans="1:9" x14ac:dyDescent="0.35">
      <c r="A3298">
        <v>1840</v>
      </c>
      <c r="B3298" t="s">
        <v>1134</v>
      </c>
      <c r="C3298" s="1">
        <v>41100</v>
      </c>
      <c r="D3298">
        <v>1047</v>
      </c>
      <c r="E3298" t="b">
        <v>0</v>
      </c>
      <c r="F3298">
        <v>473</v>
      </c>
      <c r="G3298" t="s">
        <v>2084</v>
      </c>
      <c r="H3298" t="s">
        <v>1510</v>
      </c>
      <c r="I3298" t="s">
        <v>2117</v>
      </c>
    </row>
    <row r="3299" spans="1:9" x14ac:dyDescent="0.35">
      <c r="A3299">
        <v>3116890</v>
      </c>
      <c r="B3299" t="s">
        <v>1137</v>
      </c>
      <c r="C3299" s="1">
        <v>45730</v>
      </c>
      <c r="D3299">
        <v>1044</v>
      </c>
      <c r="E3299" t="b">
        <v>1</v>
      </c>
      <c r="F3299">
        <v>474</v>
      </c>
      <c r="G3299" t="s">
        <v>14</v>
      </c>
      <c r="H3299" t="s">
        <v>49</v>
      </c>
      <c r="I3299" t="s">
        <v>2117</v>
      </c>
    </row>
    <row r="3300" spans="1:9" x14ac:dyDescent="0.35">
      <c r="A3300">
        <v>3116890</v>
      </c>
      <c r="B3300" t="s">
        <v>1137</v>
      </c>
      <c r="C3300" s="1">
        <v>45730</v>
      </c>
      <c r="D3300">
        <v>1044</v>
      </c>
      <c r="E3300" t="b">
        <v>1</v>
      </c>
      <c r="F3300">
        <v>474</v>
      </c>
      <c r="G3300" t="s">
        <v>14</v>
      </c>
      <c r="H3300" t="s">
        <v>792</v>
      </c>
      <c r="I3300" t="s">
        <v>2116</v>
      </c>
    </row>
    <row r="3301" spans="1:9" x14ac:dyDescent="0.35">
      <c r="A3301">
        <v>3116890</v>
      </c>
      <c r="B3301" t="s">
        <v>1137</v>
      </c>
      <c r="C3301" s="1">
        <v>45730</v>
      </c>
      <c r="D3301">
        <v>1044</v>
      </c>
      <c r="E3301" t="b">
        <v>1</v>
      </c>
      <c r="F3301">
        <v>474</v>
      </c>
      <c r="G3301" t="s">
        <v>14</v>
      </c>
      <c r="H3301" t="s">
        <v>346</v>
      </c>
      <c r="I3301" t="s">
        <v>2117</v>
      </c>
    </row>
    <row r="3302" spans="1:9" x14ac:dyDescent="0.35">
      <c r="A3302">
        <v>3116890</v>
      </c>
      <c r="B3302" t="s">
        <v>1137</v>
      </c>
      <c r="C3302" s="1">
        <v>45730</v>
      </c>
      <c r="D3302">
        <v>1044</v>
      </c>
      <c r="E3302" t="b">
        <v>1</v>
      </c>
      <c r="F3302">
        <v>474</v>
      </c>
      <c r="G3302" t="s">
        <v>14</v>
      </c>
      <c r="H3302" t="s">
        <v>239</v>
      </c>
      <c r="I3302" t="s">
        <v>2116</v>
      </c>
    </row>
    <row r="3303" spans="1:9" x14ac:dyDescent="0.35">
      <c r="A3303">
        <v>3116890</v>
      </c>
      <c r="B3303" t="s">
        <v>1137</v>
      </c>
      <c r="C3303" s="1">
        <v>45730</v>
      </c>
      <c r="D3303">
        <v>1044</v>
      </c>
      <c r="E3303" t="b">
        <v>1</v>
      </c>
      <c r="F3303">
        <v>474</v>
      </c>
      <c r="G3303" t="s">
        <v>14</v>
      </c>
      <c r="H3303" t="s">
        <v>132</v>
      </c>
      <c r="I3303" t="s">
        <v>2117</v>
      </c>
    </row>
    <row r="3304" spans="1:9" x14ac:dyDescent="0.35">
      <c r="A3304">
        <v>3116890</v>
      </c>
      <c r="B3304" t="s">
        <v>1137</v>
      </c>
      <c r="C3304" s="1">
        <v>45730</v>
      </c>
      <c r="D3304">
        <v>1044</v>
      </c>
      <c r="E3304" t="b">
        <v>1</v>
      </c>
      <c r="F3304">
        <v>474</v>
      </c>
      <c r="G3304" t="s">
        <v>14</v>
      </c>
      <c r="H3304" t="s">
        <v>124</v>
      </c>
      <c r="I3304" t="s">
        <v>2116</v>
      </c>
    </row>
    <row r="3305" spans="1:9" x14ac:dyDescent="0.35">
      <c r="A3305">
        <v>3116890</v>
      </c>
      <c r="B3305" t="s">
        <v>1137</v>
      </c>
      <c r="C3305" s="1">
        <v>45730</v>
      </c>
      <c r="D3305">
        <v>1044</v>
      </c>
      <c r="E3305" t="b">
        <v>1</v>
      </c>
      <c r="F3305">
        <v>474</v>
      </c>
      <c r="G3305" t="s">
        <v>14</v>
      </c>
      <c r="H3305" t="s">
        <v>1510</v>
      </c>
      <c r="I3305" t="s">
        <v>2117</v>
      </c>
    </row>
    <row r="3306" spans="1:9" x14ac:dyDescent="0.35">
      <c r="A3306">
        <v>516750</v>
      </c>
      <c r="B3306" t="s">
        <v>1140</v>
      </c>
      <c r="C3306" s="1">
        <v>45665</v>
      </c>
      <c r="D3306">
        <v>1044</v>
      </c>
      <c r="E3306" t="b">
        <v>0</v>
      </c>
      <c r="F3306">
        <v>474</v>
      </c>
      <c r="G3306" t="s">
        <v>25</v>
      </c>
      <c r="H3306" t="s">
        <v>49</v>
      </c>
      <c r="I3306" t="s">
        <v>2117</v>
      </c>
    </row>
    <row r="3307" spans="1:9" x14ac:dyDescent="0.35">
      <c r="A3307">
        <v>516750</v>
      </c>
      <c r="B3307" t="s">
        <v>1140</v>
      </c>
      <c r="C3307" s="1">
        <v>45665</v>
      </c>
      <c r="D3307">
        <v>1044</v>
      </c>
      <c r="E3307" t="b">
        <v>0</v>
      </c>
      <c r="F3307">
        <v>474</v>
      </c>
      <c r="G3307" t="s">
        <v>25</v>
      </c>
      <c r="H3307" t="s">
        <v>792</v>
      </c>
      <c r="I3307" t="s">
        <v>2116</v>
      </c>
    </row>
    <row r="3308" spans="1:9" x14ac:dyDescent="0.35">
      <c r="A3308">
        <v>516750</v>
      </c>
      <c r="B3308" t="s">
        <v>1140</v>
      </c>
      <c r="C3308" s="1">
        <v>45665</v>
      </c>
      <c r="D3308">
        <v>1044</v>
      </c>
      <c r="E3308" t="b">
        <v>0</v>
      </c>
      <c r="F3308">
        <v>474</v>
      </c>
      <c r="G3308" t="s">
        <v>25</v>
      </c>
      <c r="H3308" t="s">
        <v>346</v>
      </c>
      <c r="I3308" t="s">
        <v>2117</v>
      </c>
    </row>
    <row r="3309" spans="1:9" x14ac:dyDescent="0.35">
      <c r="A3309">
        <v>516750</v>
      </c>
      <c r="B3309" t="s">
        <v>1140</v>
      </c>
      <c r="C3309" s="1">
        <v>45665</v>
      </c>
      <c r="D3309">
        <v>1044</v>
      </c>
      <c r="E3309" t="b">
        <v>0</v>
      </c>
      <c r="F3309">
        <v>474</v>
      </c>
      <c r="G3309" t="s">
        <v>25</v>
      </c>
      <c r="H3309" t="s">
        <v>239</v>
      </c>
      <c r="I3309" t="s">
        <v>2116</v>
      </c>
    </row>
    <row r="3310" spans="1:9" x14ac:dyDescent="0.35">
      <c r="A3310">
        <v>516750</v>
      </c>
      <c r="B3310" t="s">
        <v>1140</v>
      </c>
      <c r="C3310" s="1">
        <v>45665</v>
      </c>
      <c r="D3310">
        <v>1044</v>
      </c>
      <c r="E3310" t="b">
        <v>0</v>
      </c>
      <c r="F3310">
        <v>474</v>
      </c>
      <c r="G3310" t="s">
        <v>25</v>
      </c>
      <c r="H3310" t="s">
        <v>132</v>
      </c>
      <c r="I3310" t="s">
        <v>2117</v>
      </c>
    </row>
    <row r="3311" spans="1:9" x14ac:dyDescent="0.35">
      <c r="A3311">
        <v>516750</v>
      </c>
      <c r="B3311" t="s">
        <v>1140</v>
      </c>
      <c r="C3311" s="1">
        <v>45665</v>
      </c>
      <c r="D3311">
        <v>1044</v>
      </c>
      <c r="E3311" t="b">
        <v>0</v>
      </c>
      <c r="F3311">
        <v>474</v>
      </c>
      <c r="G3311" t="s">
        <v>25</v>
      </c>
      <c r="H3311" t="s">
        <v>124</v>
      </c>
      <c r="I3311" t="s">
        <v>2117</v>
      </c>
    </row>
    <row r="3312" spans="1:9" x14ac:dyDescent="0.35">
      <c r="A3312">
        <v>516750</v>
      </c>
      <c r="B3312" t="s">
        <v>1140</v>
      </c>
      <c r="C3312" s="1">
        <v>45665</v>
      </c>
      <c r="D3312">
        <v>1044</v>
      </c>
      <c r="E3312" t="b">
        <v>0</v>
      </c>
      <c r="F3312">
        <v>474</v>
      </c>
      <c r="G3312" t="s">
        <v>25</v>
      </c>
      <c r="H3312" t="s">
        <v>1510</v>
      </c>
      <c r="I3312" t="s">
        <v>2117</v>
      </c>
    </row>
    <row r="3313" spans="1:9" x14ac:dyDescent="0.35">
      <c r="A3313">
        <v>2456740</v>
      </c>
      <c r="B3313" t="s">
        <v>1142</v>
      </c>
      <c r="C3313" s="1">
        <v>45743</v>
      </c>
      <c r="D3313">
        <v>1039</v>
      </c>
      <c r="E3313" t="b">
        <v>1</v>
      </c>
      <c r="F3313">
        <v>476</v>
      </c>
      <c r="G3313" t="s">
        <v>405</v>
      </c>
      <c r="H3313" t="s">
        <v>49</v>
      </c>
      <c r="I3313" t="s">
        <v>2117</v>
      </c>
    </row>
    <row r="3314" spans="1:9" x14ac:dyDescent="0.35">
      <c r="A3314">
        <v>2456740</v>
      </c>
      <c r="B3314" t="s">
        <v>1142</v>
      </c>
      <c r="C3314" s="1">
        <v>45743</v>
      </c>
      <c r="D3314">
        <v>1039</v>
      </c>
      <c r="E3314" t="b">
        <v>1</v>
      </c>
      <c r="F3314">
        <v>476</v>
      </c>
      <c r="G3314" t="s">
        <v>405</v>
      </c>
      <c r="H3314" t="s">
        <v>792</v>
      </c>
      <c r="I3314" t="s">
        <v>2117</v>
      </c>
    </row>
    <row r="3315" spans="1:9" x14ac:dyDescent="0.35">
      <c r="A3315">
        <v>2456740</v>
      </c>
      <c r="B3315" t="s">
        <v>1142</v>
      </c>
      <c r="C3315" s="1">
        <v>45743</v>
      </c>
      <c r="D3315">
        <v>1039</v>
      </c>
      <c r="E3315" t="b">
        <v>1</v>
      </c>
      <c r="F3315">
        <v>476</v>
      </c>
      <c r="G3315" t="s">
        <v>405</v>
      </c>
      <c r="H3315" t="s">
        <v>346</v>
      </c>
      <c r="I3315" t="s">
        <v>2116</v>
      </c>
    </row>
    <row r="3316" spans="1:9" x14ac:dyDescent="0.35">
      <c r="A3316">
        <v>2456740</v>
      </c>
      <c r="B3316" t="s">
        <v>1142</v>
      </c>
      <c r="C3316" s="1">
        <v>45743</v>
      </c>
      <c r="D3316">
        <v>1039</v>
      </c>
      <c r="E3316" t="b">
        <v>1</v>
      </c>
      <c r="F3316">
        <v>476</v>
      </c>
      <c r="G3316" t="s">
        <v>405</v>
      </c>
      <c r="H3316" t="s">
        <v>239</v>
      </c>
      <c r="I3316" t="s">
        <v>2116</v>
      </c>
    </row>
    <row r="3317" spans="1:9" x14ac:dyDescent="0.35">
      <c r="A3317">
        <v>2456740</v>
      </c>
      <c r="B3317" t="s">
        <v>1142</v>
      </c>
      <c r="C3317" s="1">
        <v>45743</v>
      </c>
      <c r="D3317">
        <v>1039</v>
      </c>
      <c r="E3317" t="b">
        <v>1</v>
      </c>
      <c r="F3317">
        <v>476</v>
      </c>
      <c r="G3317" t="s">
        <v>405</v>
      </c>
      <c r="H3317" t="s">
        <v>132</v>
      </c>
      <c r="I3317" t="s">
        <v>2117</v>
      </c>
    </row>
    <row r="3318" spans="1:9" x14ac:dyDescent="0.35">
      <c r="A3318">
        <v>2456740</v>
      </c>
      <c r="B3318" t="s">
        <v>1142</v>
      </c>
      <c r="C3318" s="1">
        <v>45743</v>
      </c>
      <c r="D3318">
        <v>1039</v>
      </c>
      <c r="E3318" t="b">
        <v>1</v>
      </c>
      <c r="F3318">
        <v>476</v>
      </c>
      <c r="G3318" t="s">
        <v>405</v>
      </c>
      <c r="H3318" t="s">
        <v>124</v>
      </c>
      <c r="I3318" t="s">
        <v>2117</v>
      </c>
    </row>
    <row r="3319" spans="1:9" x14ac:dyDescent="0.35">
      <c r="A3319">
        <v>2456740</v>
      </c>
      <c r="B3319" t="s">
        <v>1142</v>
      </c>
      <c r="C3319" s="1">
        <v>45743</v>
      </c>
      <c r="D3319">
        <v>1039</v>
      </c>
      <c r="E3319" t="b">
        <v>1</v>
      </c>
      <c r="F3319">
        <v>476</v>
      </c>
      <c r="G3319" t="s">
        <v>405</v>
      </c>
      <c r="H3319" t="s">
        <v>1510</v>
      </c>
      <c r="I3319" t="s">
        <v>2117</v>
      </c>
    </row>
    <row r="3320" spans="1:9" x14ac:dyDescent="0.35">
      <c r="A3320">
        <v>444090</v>
      </c>
      <c r="B3320" t="s">
        <v>1145</v>
      </c>
      <c r="C3320" s="1">
        <v>43228</v>
      </c>
      <c r="D3320">
        <v>1028</v>
      </c>
      <c r="E3320" t="b">
        <v>0</v>
      </c>
      <c r="F3320">
        <v>477</v>
      </c>
      <c r="G3320" t="s">
        <v>40</v>
      </c>
      <c r="H3320" t="s">
        <v>49</v>
      </c>
      <c r="I3320" t="s">
        <v>2116</v>
      </c>
    </row>
    <row r="3321" spans="1:9" x14ac:dyDescent="0.35">
      <c r="A3321">
        <v>444090</v>
      </c>
      <c r="B3321" t="s">
        <v>1145</v>
      </c>
      <c r="C3321" s="1">
        <v>43228</v>
      </c>
      <c r="D3321">
        <v>1028</v>
      </c>
      <c r="E3321" t="b">
        <v>0</v>
      </c>
      <c r="F3321">
        <v>477</v>
      </c>
      <c r="G3321" t="s">
        <v>40</v>
      </c>
      <c r="H3321" t="s">
        <v>792</v>
      </c>
      <c r="I3321" t="s">
        <v>2117</v>
      </c>
    </row>
    <row r="3322" spans="1:9" x14ac:dyDescent="0.35">
      <c r="A3322">
        <v>444090</v>
      </c>
      <c r="B3322" t="s">
        <v>1145</v>
      </c>
      <c r="C3322" s="1">
        <v>43228</v>
      </c>
      <c r="D3322">
        <v>1028</v>
      </c>
      <c r="E3322" t="b">
        <v>0</v>
      </c>
      <c r="F3322">
        <v>477</v>
      </c>
      <c r="G3322" t="s">
        <v>40</v>
      </c>
      <c r="H3322" t="s">
        <v>346</v>
      </c>
      <c r="I3322" t="s">
        <v>2116</v>
      </c>
    </row>
    <row r="3323" spans="1:9" x14ac:dyDescent="0.35">
      <c r="A3323">
        <v>444090</v>
      </c>
      <c r="B3323" t="s">
        <v>1145</v>
      </c>
      <c r="C3323" s="1">
        <v>43228</v>
      </c>
      <c r="D3323">
        <v>1028</v>
      </c>
      <c r="E3323" t="b">
        <v>0</v>
      </c>
      <c r="F3323">
        <v>477</v>
      </c>
      <c r="G3323" t="s">
        <v>40</v>
      </c>
      <c r="H3323" t="s">
        <v>239</v>
      </c>
      <c r="I3323" t="s">
        <v>2117</v>
      </c>
    </row>
    <row r="3324" spans="1:9" x14ac:dyDescent="0.35">
      <c r="A3324">
        <v>444090</v>
      </c>
      <c r="B3324" t="s">
        <v>1145</v>
      </c>
      <c r="C3324" s="1">
        <v>43228</v>
      </c>
      <c r="D3324">
        <v>1028</v>
      </c>
      <c r="E3324" t="b">
        <v>0</v>
      </c>
      <c r="F3324">
        <v>477</v>
      </c>
      <c r="G3324" t="s">
        <v>40</v>
      </c>
      <c r="H3324" t="s">
        <v>132</v>
      </c>
      <c r="I3324" t="s">
        <v>2117</v>
      </c>
    </row>
    <row r="3325" spans="1:9" x14ac:dyDescent="0.35">
      <c r="A3325">
        <v>444090</v>
      </c>
      <c r="B3325" t="s">
        <v>1145</v>
      </c>
      <c r="C3325" s="1">
        <v>43228</v>
      </c>
      <c r="D3325">
        <v>1028</v>
      </c>
      <c r="E3325" t="b">
        <v>0</v>
      </c>
      <c r="F3325">
        <v>477</v>
      </c>
      <c r="G3325" t="s">
        <v>40</v>
      </c>
      <c r="H3325" t="s">
        <v>124</v>
      </c>
      <c r="I3325" t="s">
        <v>2116</v>
      </c>
    </row>
    <row r="3326" spans="1:9" x14ac:dyDescent="0.35">
      <c r="A3326">
        <v>444090</v>
      </c>
      <c r="B3326" t="s">
        <v>1145</v>
      </c>
      <c r="C3326" s="1">
        <v>43228</v>
      </c>
      <c r="D3326">
        <v>1028</v>
      </c>
      <c r="E3326" t="b">
        <v>0</v>
      </c>
      <c r="F3326">
        <v>477</v>
      </c>
      <c r="G3326" t="s">
        <v>40</v>
      </c>
      <c r="H3326" t="s">
        <v>1510</v>
      </c>
      <c r="I3326" t="s">
        <v>2116</v>
      </c>
    </row>
    <row r="3327" spans="1:9" x14ac:dyDescent="0.35">
      <c r="A3327">
        <v>976310</v>
      </c>
      <c r="B3327" t="s">
        <v>1148</v>
      </c>
      <c r="C3327" s="1">
        <v>43578</v>
      </c>
      <c r="D3327">
        <v>1026</v>
      </c>
      <c r="E3327" t="b">
        <v>0</v>
      </c>
      <c r="F3327">
        <v>478</v>
      </c>
      <c r="G3327" t="s">
        <v>133</v>
      </c>
      <c r="H3327" t="s">
        <v>49</v>
      </c>
      <c r="I3327" t="s">
        <v>2116</v>
      </c>
    </row>
    <row r="3328" spans="1:9" x14ac:dyDescent="0.35">
      <c r="A3328">
        <v>976310</v>
      </c>
      <c r="B3328" t="s">
        <v>1148</v>
      </c>
      <c r="C3328" s="1">
        <v>43578</v>
      </c>
      <c r="D3328">
        <v>1026</v>
      </c>
      <c r="E3328" t="b">
        <v>0</v>
      </c>
      <c r="F3328">
        <v>478</v>
      </c>
      <c r="G3328" t="s">
        <v>133</v>
      </c>
      <c r="H3328" t="s">
        <v>792</v>
      </c>
      <c r="I3328" t="s">
        <v>2117</v>
      </c>
    </row>
    <row r="3329" spans="1:9" x14ac:dyDescent="0.35">
      <c r="A3329">
        <v>976310</v>
      </c>
      <c r="B3329" t="s">
        <v>1148</v>
      </c>
      <c r="C3329" s="1">
        <v>43578</v>
      </c>
      <c r="D3329">
        <v>1026</v>
      </c>
      <c r="E3329" t="b">
        <v>0</v>
      </c>
      <c r="F3329">
        <v>478</v>
      </c>
      <c r="G3329" t="s">
        <v>133</v>
      </c>
      <c r="H3329" t="s">
        <v>346</v>
      </c>
      <c r="I3329" t="s">
        <v>2117</v>
      </c>
    </row>
    <row r="3330" spans="1:9" x14ac:dyDescent="0.35">
      <c r="A3330">
        <v>976310</v>
      </c>
      <c r="B3330" t="s">
        <v>1148</v>
      </c>
      <c r="C3330" s="1">
        <v>43578</v>
      </c>
      <c r="D3330">
        <v>1026</v>
      </c>
      <c r="E3330" t="b">
        <v>0</v>
      </c>
      <c r="F3330">
        <v>478</v>
      </c>
      <c r="G3330" t="s">
        <v>133</v>
      </c>
      <c r="H3330" t="s">
        <v>239</v>
      </c>
      <c r="I3330" t="s">
        <v>2117</v>
      </c>
    </row>
    <row r="3331" spans="1:9" x14ac:dyDescent="0.35">
      <c r="A3331">
        <v>976310</v>
      </c>
      <c r="B3331" t="s">
        <v>1148</v>
      </c>
      <c r="C3331" s="1">
        <v>43578</v>
      </c>
      <c r="D3331">
        <v>1026</v>
      </c>
      <c r="E3331" t="b">
        <v>0</v>
      </c>
      <c r="F3331">
        <v>478</v>
      </c>
      <c r="G3331" t="s">
        <v>133</v>
      </c>
      <c r="H3331" t="s">
        <v>132</v>
      </c>
      <c r="I3331" t="s">
        <v>2117</v>
      </c>
    </row>
    <row r="3332" spans="1:9" x14ac:dyDescent="0.35">
      <c r="A3332">
        <v>976310</v>
      </c>
      <c r="B3332" t="s">
        <v>1148</v>
      </c>
      <c r="C3332" s="1">
        <v>43578</v>
      </c>
      <c r="D3332">
        <v>1026</v>
      </c>
      <c r="E3332" t="b">
        <v>0</v>
      </c>
      <c r="F3332">
        <v>478</v>
      </c>
      <c r="G3332" t="s">
        <v>133</v>
      </c>
      <c r="H3332" t="s">
        <v>124</v>
      </c>
      <c r="I3332" t="s">
        <v>2117</v>
      </c>
    </row>
    <row r="3333" spans="1:9" x14ac:dyDescent="0.35">
      <c r="A3333">
        <v>976310</v>
      </c>
      <c r="B3333" t="s">
        <v>1148</v>
      </c>
      <c r="C3333" s="1">
        <v>43578</v>
      </c>
      <c r="D3333">
        <v>1026</v>
      </c>
      <c r="E3333" t="b">
        <v>0</v>
      </c>
      <c r="F3333">
        <v>478</v>
      </c>
      <c r="G3333" t="s">
        <v>133</v>
      </c>
      <c r="H3333" t="s">
        <v>1510</v>
      </c>
      <c r="I3333" t="s">
        <v>2117</v>
      </c>
    </row>
    <row r="3334" spans="1:9" x14ac:dyDescent="0.35">
      <c r="A3334">
        <v>404790</v>
      </c>
      <c r="B3334" t="s">
        <v>1150</v>
      </c>
      <c r="C3334" s="1">
        <v>42423</v>
      </c>
      <c r="D3334">
        <v>1024</v>
      </c>
      <c r="E3334" t="b">
        <v>1</v>
      </c>
      <c r="F3334">
        <v>479</v>
      </c>
      <c r="G3334" t="s">
        <v>2087</v>
      </c>
      <c r="H3334" t="s">
        <v>49</v>
      </c>
      <c r="I3334" t="s">
        <v>2117</v>
      </c>
    </row>
    <row r="3335" spans="1:9" x14ac:dyDescent="0.35">
      <c r="A3335">
        <v>404790</v>
      </c>
      <c r="B3335" t="s">
        <v>1150</v>
      </c>
      <c r="C3335" s="1">
        <v>42423</v>
      </c>
      <c r="D3335">
        <v>1024</v>
      </c>
      <c r="E3335" t="b">
        <v>1</v>
      </c>
      <c r="F3335">
        <v>479</v>
      </c>
      <c r="G3335" t="s">
        <v>2087</v>
      </c>
      <c r="H3335" t="s">
        <v>792</v>
      </c>
      <c r="I3335" t="s">
        <v>2117</v>
      </c>
    </row>
    <row r="3336" spans="1:9" x14ac:dyDescent="0.35">
      <c r="A3336">
        <v>404790</v>
      </c>
      <c r="B3336" t="s">
        <v>1150</v>
      </c>
      <c r="C3336" s="1">
        <v>42423</v>
      </c>
      <c r="D3336">
        <v>1024</v>
      </c>
      <c r="E3336" t="b">
        <v>1</v>
      </c>
      <c r="F3336">
        <v>479</v>
      </c>
      <c r="G3336" t="s">
        <v>2087</v>
      </c>
      <c r="H3336" t="s">
        <v>346</v>
      </c>
      <c r="I3336" t="s">
        <v>2117</v>
      </c>
    </row>
    <row r="3337" spans="1:9" x14ac:dyDescent="0.35">
      <c r="A3337">
        <v>404790</v>
      </c>
      <c r="B3337" t="s">
        <v>1150</v>
      </c>
      <c r="C3337" s="1">
        <v>42423</v>
      </c>
      <c r="D3337">
        <v>1024</v>
      </c>
      <c r="E3337" t="b">
        <v>1</v>
      </c>
      <c r="F3337">
        <v>479</v>
      </c>
      <c r="G3337" t="s">
        <v>2087</v>
      </c>
      <c r="H3337" t="s">
        <v>239</v>
      </c>
      <c r="I3337" t="s">
        <v>2117</v>
      </c>
    </row>
    <row r="3338" spans="1:9" x14ac:dyDescent="0.35">
      <c r="A3338">
        <v>404790</v>
      </c>
      <c r="B3338" t="s">
        <v>1150</v>
      </c>
      <c r="C3338" s="1">
        <v>42423</v>
      </c>
      <c r="D3338">
        <v>1024</v>
      </c>
      <c r="E3338" t="b">
        <v>1</v>
      </c>
      <c r="F3338">
        <v>479</v>
      </c>
      <c r="G3338" t="s">
        <v>2087</v>
      </c>
      <c r="H3338" t="s">
        <v>132</v>
      </c>
      <c r="I3338" t="s">
        <v>2117</v>
      </c>
    </row>
    <row r="3339" spans="1:9" x14ac:dyDescent="0.35">
      <c r="A3339">
        <v>404790</v>
      </c>
      <c r="B3339" t="s">
        <v>1150</v>
      </c>
      <c r="C3339" s="1">
        <v>42423</v>
      </c>
      <c r="D3339">
        <v>1024</v>
      </c>
      <c r="E3339" t="b">
        <v>1</v>
      </c>
      <c r="F3339">
        <v>479</v>
      </c>
      <c r="G3339" t="s">
        <v>2087</v>
      </c>
      <c r="H3339" t="s">
        <v>124</v>
      </c>
      <c r="I3339" t="s">
        <v>2117</v>
      </c>
    </row>
    <row r="3340" spans="1:9" x14ac:dyDescent="0.35">
      <c r="A3340">
        <v>404790</v>
      </c>
      <c r="B3340" t="s">
        <v>1150</v>
      </c>
      <c r="C3340" s="1">
        <v>42423</v>
      </c>
      <c r="D3340">
        <v>1024</v>
      </c>
      <c r="E3340" t="b">
        <v>1</v>
      </c>
      <c r="F3340">
        <v>479</v>
      </c>
      <c r="G3340" t="s">
        <v>2087</v>
      </c>
      <c r="H3340" t="s">
        <v>1510</v>
      </c>
      <c r="I3340" t="s">
        <v>2117</v>
      </c>
    </row>
    <row r="3341" spans="1:9" x14ac:dyDescent="0.35">
      <c r="A3341">
        <v>934700</v>
      </c>
      <c r="B3341" t="s">
        <v>1153</v>
      </c>
      <c r="C3341" s="1">
        <v>45404</v>
      </c>
      <c r="D3341">
        <v>1023</v>
      </c>
      <c r="E3341" t="b">
        <v>1</v>
      </c>
      <c r="F3341">
        <v>480</v>
      </c>
      <c r="G3341" t="s">
        <v>223</v>
      </c>
      <c r="H3341" t="s">
        <v>49</v>
      </c>
      <c r="I3341" t="s">
        <v>2116</v>
      </c>
    </row>
    <row r="3342" spans="1:9" x14ac:dyDescent="0.35">
      <c r="A3342">
        <v>934700</v>
      </c>
      <c r="B3342" t="s">
        <v>1153</v>
      </c>
      <c r="C3342" s="1">
        <v>45404</v>
      </c>
      <c r="D3342">
        <v>1023</v>
      </c>
      <c r="E3342" t="b">
        <v>1</v>
      </c>
      <c r="F3342">
        <v>480</v>
      </c>
      <c r="G3342" t="s">
        <v>223</v>
      </c>
      <c r="H3342" t="s">
        <v>792</v>
      </c>
      <c r="I3342" t="s">
        <v>2117</v>
      </c>
    </row>
    <row r="3343" spans="1:9" x14ac:dyDescent="0.35">
      <c r="A3343">
        <v>934700</v>
      </c>
      <c r="B3343" t="s">
        <v>1153</v>
      </c>
      <c r="C3343" s="1">
        <v>45404</v>
      </c>
      <c r="D3343">
        <v>1023</v>
      </c>
      <c r="E3343" t="b">
        <v>1</v>
      </c>
      <c r="F3343">
        <v>480</v>
      </c>
      <c r="G3343" t="s">
        <v>223</v>
      </c>
      <c r="H3343" t="s">
        <v>346</v>
      </c>
      <c r="I3343" t="s">
        <v>2116</v>
      </c>
    </row>
    <row r="3344" spans="1:9" x14ac:dyDescent="0.35">
      <c r="A3344">
        <v>934700</v>
      </c>
      <c r="B3344" t="s">
        <v>1153</v>
      </c>
      <c r="C3344" s="1">
        <v>45404</v>
      </c>
      <c r="D3344">
        <v>1023</v>
      </c>
      <c r="E3344" t="b">
        <v>1</v>
      </c>
      <c r="F3344">
        <v>480</v>
      </c>
      <c r="G3344" t="s">
        <v>223</v>
      </c>
      <c r="H3344" t="s">
        <v>239</v>
      </c>
      <c r="I3344" t="s">
        <v>2117</v>
      </c>
    </row>
    <row r="3345" spans="1:9" x14ac:dyDescent="0.35">
      <c r="A3345">
        <v>934700</v>
      </c>
      <c r="B3345" t="s">
        <v>1153</v>
      </c>
      <c r="C3345" s="1">
        <v>45404</v>
      </c>
      <c r="D3345">
        <v>1023</v>
      </c>
      <c r="E3345" t="b">
        <v>1</v>
      </c>
      <c r="F3345">
        <v>480</v>
      </c>
      <c r="G3345" t="s">
        <v>223</v>
      </c>
      <c r="H3345" t="s">
        <v>132</v>
      </c>
      <c r="I3345" t="s">
        <v>2117</v>
      </c>
    </row>
    <row r="3346" spans="1:9" x14ac:dyDescent="0.35">
      <c r="A3346">
        <v>934700</v>
      </c>
      <c r="B3346" t="s">
        <v>1153</v>
      </c>
      <c r="C3346" s="1">
        <v>45404</v>
      </c>
      <c r="D3346">
        <v>1023</v>
      </c>
      <c r="E3346" t="b">
        <v>1</v>
      </c>
      <c r="F3346">
        <v>480</v>
      </c>
      <c r="G3346" t="s">
        <v>223</v>
      </c>
      <c r="H3346" t="s">
        <v>124</v>
      </c>
      <c r="I3346" t="s">
        <v>2117</v>
      </c>
    </row>
    <row r="3347" spans="1:9" x14ac:dyDescent="0.35">
      <c r="A3347">
        <v>934700</v>
      </c>
      <c r="B3347" t="s">
        <v>1153</v>
      </c>
      <c r="C3347" s="1">
        <v>45404</v>
      </c>
      <c r="D3347">
        <v>1023</v>
      </c>
      <c r="E3347" t="b">
        <v>1</v>
      </c>
      <c r="F3347">
        <v>480</v>
      </c>
      <c r="G3347" t="s">
        <v>223</v>
      </c>
      <c r="H3347" t="s">
        <v>1510</v>
      </c>
      <c r="I3347" t="s">
        <v>2117</v>
      </c>
    </row>
    <row r="3348" spans="1:9" x14ac:dyDescent="0.35">
      <c r="A3348">
        <v>1100600</v>
      </c>
      <c r="B3348" t="s">
        <v>1155</v>
      </c>
      <c r="C3348" s="1">
        <v>43788</v>
      </c>
      <c r="D3348">
        <v>1012</v>
      </c>
      <c r="E3348" t="b">
        <v>1</v>
      </c>
      <c r="F3348">
        <v>481</v>
      </c>
      <c r="G3348" t="s">
        <v>110</v>
      </c>
      <c r="H3348" t="s">
        <v>49</v>
      </c>
      <c r="I3348" t="s">
        <v>2117</v>
      </c>
    </row>
    <row r="3349" spans="1:9" x14ac:dyDescent="0.35">
      <c r="A3349">
        <v>1100600</v>
      </c>
      <c r="B3349" t="s">
        <v>1155</v>
      </c>
      <c r="C3349" s="1">
        <v>43788</v>
      </c>
      <c r="D3349">
        <v>1012</v>
      </c>
      <c r="E3349" t="b">
        <v>1</v>
      </c>
      <c r="F3349">
        <v>481</v>
      </c>
      <c r="G3349" t="s">
        <v>110</v>
      </c>
      <c r="H3349" t="s">
        <v>792</v>
      </c>
      <c r="I3349" t="s">
        <v>2117</v>
      </c>
    </row>
    <row r="3350" spans="1:9" x14ac:dyDescent="0.35">
      <c r="A3350">
        <v>1100600</v>
      </c>
      <c r="B3350" t="s">
        <v>1155</v>
      </c>
      <c r="C3350" s="1">
        <v>43788</v>
      </c>
      <c r="D3350">
        <v>1012</v>
      </c>
      <c r="E3350" t="b">
        <v>1</v>
      </c>
      <c r="F3350">
        <v>481</v>
      </c>
      <c r="G3350" t="s">
        <v>110</v>
      </c>
      <c r="H3350" t="s">
        <v>346</v>
      </c>
      <c r="I3350" t="s">
        <v>2117</v>
      </c>
    </row>
    <row r="3351" spans="1:9" x14ac:dyDescent="0.35">
      <c r="A3351">
        <v>1100600</v>
      </c>
      <c r="B3351" t="s">
        <v>1155</v>
      </c>
      <c r="C3351" s="1">
        <v>43788</v>
      </c>
      <c r="D3351">
        <v>1012</v>
      </c>
      <c r="E3351" t="b">
        <v>1</v>
      </c>
      <c r="F3351">
        <v>481</v>
      </c>
      <c r="G3351" t="s">
        <v>110</v>
      </c>
      <c r="H3351" t="s">
        <v>239</v>
      </c>
      <c r="I3351" t="s">
        <v>2116</v>
      </c>
    </row>
    <row r="3352" spans="1:9" x14ac:dyDescent="0.35">
      <c r="A3352">
        <v>1100600</v>
      </c>
      <c r="B3352" t="s">
        <v>1155</v>
      </c>
      <c r="C3352" s="1">
        <v>43788</v>
      </c>
      <c r="D3352">
        <v>1012</v>
      </c>
      <c r="E3352" t="b">
        <v>1</v>
      </c>
      <c r="F3352">
        <v>481</v>
      </c>
      <c r="G3352" t="s">
        <v>110</v>
      </c>
      <c r="H3352" t="s">
        <v>132</v>
      </c>
      <c r="I3352" t="s">
        <v>2117</v>
      </c>
    </row>
    <row r="3353" spans="1:9" x14ac:dyDescent="0.35">
      <c r="A3353">
        <v>1100600</v>
      </c>
      <c r="B3353" t="s">
        <v>1155</v>
      </c>
      <c r="C3353" s="1">
        <v>43788</v>
      </c>
      <c r="D3353">
        <v>1012</v>
      </c>
      <c r="E3353" t="b">
        <v>1</v>
      </c>
      <c r="F3353">
        <v>481</v>
      </c>
      <c r="G3353" t="s">
        <v>110</v>
      </c>
      <c r="H3353" t="s">
        <v>124</v>
      </c>
      <c r="I3353" t="s">
        <v>2117</v>
      </c>
    </row>
    <row r="3354" spans="1:9" x14ac:dyDescent="0.35">
      <c r="A3354">
        <v>1100600</v>
      </c>
      <c r="B3354" t="s">
        <v>1155</v>
      </c>
      <c r="C3354" s="1">
        <v>43788</v>
      </c>
      <c r="D3354">
        <v>1012</v>
      </c>
      <c r="E3354" t="b">
        <v>1</v>
      </c>
      <c r="F3354">
        <v>481</v>
      </c>
      <c r="G3354" t="s">
        <v>110</v>
      </c>
      <c r="H3354" t="s">
        <v>1510</v>
      </c>
      <c r="I3354" t="s">
        <v>2117</v>
      </c>
    </row>
    <row r="3355" spans="1:9" x14ac:dyDescent="0.35">
      <c r="A3355">
        <v>1888160</v>
      </c>
      <c r="B3355" t="s">
        <v>1157</v>
      </c>
      <c r="C3355" s="1">
        <v>45162</v>
      </c>
      <c r="D3355">
        <v>1011</v>
      </c>
      <c r="E3355" t="b">
        <v>0</v>
      </c>
      <c r="F3355">
        <v>482</v>
      </c>
      <c r="G3355" t="s">
        <v>53</v>
      </c>
      <c r="H3355" t="s">
        <v>49</v>
      </c>
      <c r="I3355" t="s">
        <v>2116</v>
      </c>
    </row>
    <row r="3356" spans="1:9" x14ac:dyDescent="0.35">
      <c r="A3356">
        <v>1888160</v>
      </c>
      <c r="B3356" t="s">
        <v>1157</v>
      </c>
      <c r="C3356" s="1">
        <v>45162</v>
      </c>
      <c r="D3356">
        <v>1011</v>
      </c>
      <c r="E3356" t="b">
        <v>0</v>
      </c>
      <c r="F3356">
        <v>482</v>
      </c>
      <c r="G3356" t="s">
        <v>53</v>
      </c>
      <c r="H3356" t="s">
        <v>792</v>
      </c>
      <c r="I3356" t="s">
        <v>2117</v>
      </c>
    </row>
    <row r="3357" spans="1:9" x14ac:dyDescent="0.35">
      <c r="A3357">
        <v>1888160</v>
      </c>
      <c r="B3357" t="s">
        <v>1157</v>
      </c>
      <c r="C3357" s="1">
        <v>45162</v>
      </c>
      <c r="D3357">
        <v>1011</v>
      </c>
      <c r="E3357" t="b">
        <v>0</v>
      </c>
      <c r="F3357">
        <v>482</v>
      </c>
      <c r="G3357" t="s">
        <v>53</v>
      </c>
      <c r="H3357" t="s">
        <v>346</v>
      </c>
      <c r="I3357" t="s">
        <v>2117</v>
      </c>
    </row>
    <row r="3358" spans="1:9" x14ac:dyDescent="0.35">
      <c r="A3358">
        <v>1888160</v>
      </c>
      <c r="B3358" t="s">
        <v>1157</v>
      </c>
      <c r="C3358" s="1">
        <v>45162</v>
      </c>
      <c r="D3358">
        <v>1011</v>
      </c>
      <c r="E3358" t="b">
        <v>0</v>
      </c>
      <c r="F3358">
        <v>482</v>
      </c>
      <c r="G3358" t="s">
        <v>53</v>
      </c>
      <c r="H3358" t="s">
        <v>239</v>
      </c>
      <c r="I3358" t="s">
        <v>2117</v>
      </c>
    </row>
    <row r="3359" spans="1:9" x14ac:dyDescent="0.35">
      <c r="A3359">
        <v>1888160</v>
      </c>
      <c r="B3359" t="s">
        <v>1157</v>
      </c>
      <c r="C3359" s="1">
        <v>45162</v>
      </c>
      <c r="D3359">
        <v>1011</v>
      </c>
      <c r="E3359" t="b">
        <v>0</v>
      </c>
      <c r="F3359">
        <v>482</v>
      </c>
      <c r="G3359" t="s">
        <v>53</v>
      </c>
      <c r="H3359" t="s">
        <v>132</v>
      </c>
      <c r="I3359" t="s">
        <v>2117</v>
      </c>
    </row>
    <row r="3360" spans="1:9" x14ac:dyDescent="0.35">
      <c r="A3360">
        <v>1888160</v>
      </c>
      <c r="B3360" t="s">
        <v>1157</v>
      </c>
      <c r="C3360" s="1">
        <v>45162</v>
      </c>
      <c r="D3360">
        <v>1011</v>
      </c>
      <c r="E3360" t="b">
        <v>0</v>
      </c>
      <c r="F3360">
        <v>482</v>
      </c>
      <c r="G3360" t="s">
        <v>53</v>
      </c>
      <c r="H3360" t="s">
        <v>124</v>
      </c>
      <c r="I3360" t="s">
        <v>2117</v>
      </c>
    </row>
    <row r="3361" spans="1:9" x14ac:dyDescent="0.35">
      <c r="A3361">
        <v>1888160</v>
      </c>
      <c r="B3361" t="s">
        <v>1157</v>
      </c>
      <c r="C3361" s="1">
        <v>45162</v>
      </c>
      <c r="D3361">
        <v>1011</v>
      </c>
      <c r="E3361" t="b">
        <v>0</v>
      </c>
      <c r="F3361">
        <v>482</v>
      </c>
      <c r="G3361" t="s">
        <v>53</v>
      </c>
      <c r="H3361" t="s">
        <v>1510</v>
      </c>
      <c r="I3361" t="s">
        <v>2117</v>
      </c>
    </row>
    <row r="3362" spans="1:9" x14ac:dyDescent="0.35">
      <c r="A3362">
        <v>433850</v>
      </c>
      <c r="B3362" t="s">
        <v>1159</v>
      </c>
      <c r="C3362" s="1">
        <v>43159</v>
      </c>
      <c r="D3362">
        <v>1010</v>
      </c>
      <c r="E3362" t="b">
        <v>0</v>
      </c>
      <c r="F3362">
        <v>483</v>
      </c>
      <c r="G3362" t="s">
        <v>133</v>
      </c>
      <c r="H3362" t="s">
        <v>49</v>
      </c>
      <c r="I3362" t="s">
        <v>2116</v>
      </c>
    </row>
    <row r="3363" spans="1:9" x14ac:dyDescent="0.35">
      <c r="A3363">
        <v>433850</v>
      </c>
      <c r="B3363" t="s">
        <v>1159</v>
      </c>
      <c r="C3363" s="1">
        <v>43159</v>
      </c>
      <c r="D3363">
        <v>1010</v>
      </c>
      <c r="E3363" t="b">
        <v>0</v>
      </c>
      <c r="F3363">
        <v>483</v>
      </c>
      <c r="G3363" t="s">
        <v>133</v>
      </c>
      <c r="H3363" t="s">
        <v>792</v>
      </c>
      <c r="I3363" t="s">
        <v>2117</v>
      </c>
    </row>
    <row r="3364" spans="1:9" x14ac:dyDescent="0.35">
      <c r="A3364">
        <v>433850</v>
      </c>
      <c r="B3364" t="s">
        <v>1159</v>
      </c>
      <c r="C3364" s="1">
        <v>43159</v>
      </c>
      <c r="D3364">
        <v>1010</v>
      </c>
      <c r="E3364" t="b">
        <v>0</v>
      </c>
      <c r="F3364">
        <v>483</v>
      </c>
      <c r="G3364" t="s">
        <v>133</v>
      </c>
      <c r="H3364" t="s">
        <v>346</v>
      </c>
      <c r="I3364" t="s">
        <v>2116</v>
      </c>
    </row>
    <row r="3365" spans="1:9" x14ac:dyDescent="0.35">
      <c r="A3365">
        <v>433850</v>
      </c>
      <c r="B3365" t="s">
        <v>1159</v>
      </c>
      <c r="C3365" s="1">
        <v>43159</v>
      </c>
      <c r="D3365">
        <v>1010</v>
      </c>
      <c r="E3365" t="b">
        <v>0</v>
      </c>
      <c r="F3365">
        <v>483</v>
      </c>
      <c r="G3365" t="s">
        <v>133</v>
      </c>
      <c r="H3365" t="s">
        <v>239</v>
      </c>
      <c r="I3365" t="s">
        <v>2117</v>
      </c>
    </row>
    <row r="3366" spans="1:9" x14ac:dyDescent="0.35">
      <c r="A3366">
        <v>433850</v>
      </c>
      <c r="B3366" t="s">
        <v>1159</v>
      </c>
      <c r="C3366" s="1">
        <v>43159</v>
      </c>
      <c r="D3366">
        <v>1010</v>
      </c>
      <c r="E3366" t="b">
        <v>0</v>
      </c>
      <c r="F3366">
        <v>483</v>
      </c>
      <c r="G3366" t="s">
        <v>133</v>
      </c>
      <c r="H3366" t="s">
        <v>132</v>
      </c>
      <c r="I3366" t="s">
        <v>2117</v>
      </c>
    </row>
    <row r="3367" spans="1:9" x14ac:dyDescent="0.35">
      <c r="A3367">
        <v>433850</v>
      </c>
      <c r="B3367" t="s">
        <v>1159</v>
      </c>
      <c r="C3367" s="1">
        <v>43159</v>
      </c>
      <c r="D3367">
        <v>1010</v>
      </c>
      <c r="E3367" t="b">
        <v>0</v>
      </c>
      <c r="F3367">
        <v>483</v>
      </c>
      <c r="G3367" t="s">
        <v>133</v>
      </c>
      <c r="H3367" t="s">
        <v>124</v>
      </c>
      <c r="I3367" t="s">
        <v>2117</v>
      </c>
    </row>
    <row r="3368" spans="1:9" x14ac:dyDescent="0.35">
      <c r="A3368">
        <v>433850</v>
      </c>
      <c r="B3368" t="s">
        <v>1159</v>
      </c>
      <c r="C3368" s="1">
        <v>43159</v>
      </c>
      <c r="D3368">
        <v>1010</v>
      </c>
      <c r="E3368" t="b">
        <v>0</v>
      </c>
      <c r="F3368">
        <v>483</v>
      </c>
      <c r="G3368" t="s">
        <v>133</v>
      </c>
      <c r="H3368" t="s">
        <v>1510</v>
      </c>
      <c r="I3368" t="s">
        <v>2116</v>
      </c>
    </row>
    <row r="3369" spans="1:9" x14ac:dyDescent="0.35">
      <c r="A3369">
        <v>1046930</v>
      </c>
      <c r="B3369" t="s">
        <v>1162</v>
      </c>
      <c r="C3369" s="1">
        <v>43636</v>
      </c>
      <c r="D3369">
        <v>1008</v>
      </c>
      <c r="E3369" t="b">
        <v>1</v>
      </c>
      <c r="F3369">
        <v>484</v>
      </c>
      <c r="G3369" t="s">
        <v>161</v>
      </c>
      <c r="H3369" t="s">
        <v>49</v>
      </c>
      <c r="I3369" t="s">
        <v>2117</v>
      </c>
    </row>
    <row r="3370" spans="1:9" x14ac:dyDescent="0.35">
      <c r="A3370">
        <v>1046930</v>
      </c>
      <c r="B3370" t="s">
        <v>1162</v>
      </c>
      <c r="C3370" s="1">
        <v>43636</v>
      </c>
      <c r="D3370">
        <v>1008</v>
      </c>
      <c r="E3370" t="b">
        <v>1</v>
      </c>
      <c r="F3370">
        <v>484</v>
      </c>
      <c r="G3370" t="s">
        <v>161</v>
      </c>
      <c r="H3370" t="s">
        <v>792</v>
      </c>
      <c r="I3370" t="s">
        <v>2117</v>
      </c>
    </row>
    <row r="3371" spans="1:9" x14ac:dyDescent="0.35">
      <c r="A3371">
        <v>1046930</v>
      </c>
      <c r="B3371" t="s">
        <v>1162</v>
      </c>
      <c r="C3371" s="1">
        <v>43636</v>
      </c>
      <c r="D3371">
        <v>1008</v>
      </c>
      <c r="E3371" t="b">
        <v>1</v>
      </c>
      <c r="F3371">
        <v>484</v>
      </c>
      <c r="G3371" t="s">
        <v>161</v>
      </c>
      <c r="H3371" t="s">
        <v>346</v>
      </c>
      <c r="I3371" t="s">
        <v>2117</v>
      </c>
    </row>
    <row r="3372" spans="1:9" x14ac:dyDescent="0.35">
      <c r="A3372">
        <v>1046930</v>
      </c>
      <c r="B3372" t="s">
        <v>1162</v>
      </c>
      <c r="C3372" s="1">
        <v>43636</v>
      </c>
      <c r="D3372">
        <v>1008</v>
      </c>
      <c r="E3372" t="b">
        <v>1</v>
      </c>
      <c r="F3372">
        <v>484</v>
      </c>
      <c r="G3372" t="s">
        <v>161</v>
      </c>
      <c r="H3372" t="s">
        <v>239</v>
      </c>
      <c r="I3372" t="s">
        <v>2117</v>
      </c>
    </row>
    <row r="3373" spans="1:9" x14ac:dyDescent="0.35">
      <c r="A3373">
        <v>1046930</v>
      </c>
      <c r="B3373" t="s">
        <v>1162</v>
      </c>
      <c r="C3373" s="1">
        <v>43636</v>
      </c>
      <c r="D3373">
        <v>1008</v>
      </c>
      <c r="E3373" t="b">
        <v>1</v>
      </c>
      <c r="F3373">
        <v>484</v>
      </c>
      <c r="G3373" t="s">
        <v>161</v>
      </c>
      <c r="H3373" t="s">
        <v>132</v>
      </c>
      <c r="I3373" t="s">
        <v>2117</v>
      </c>
    </row>
    <row r="3374" spans="1:9" x14ac:dyDescent="0.35">
      <c r="A3374">
        <v>1046930</v>
      </c>
      <c r="B3374" t="s">
        <v>1162</v>
      </c>
      <c r="C3374" s="1">
        <v>43636</v>
      </c>
      <c r="D3374">
        <v>1008</v>
      </c>
      <c r="E3374" t="b">
        <v>1</v>
      </c>
      <c r="F3374">
        <v>484</v>
      </c>
      <c r="G3374" t="s">
        <v>161</v>
      </c>
      <c r="H3374" t="s">
        <v>124</v>
      </c>
      <c r="I3374" t="s">
        <v>2116</v>
      </c>
    </row>
    <row r="3375" spans="1:9" x14ac:dyDescent="0.35">
      <c r="A3375">
        <v>1046930</v>
      </c>
      <c r="B3375" t="s">
        <v>1162</v>
      </c>
      <c r="C3375" s="1">
        <v>43636</v>
      </c>
      <c r="D3375">
        <v>1008</v>
      </c>
      <c r="E3375" t="b">
        <v>1</v>
      </c>
      <c r="F3375">
        <v>484</v>
      </c>
      <c r="G3375" t="s">
        <v>161</v>
      </c>
      <c r="H3375" t="s">
        <v>1510</v>
      </c>
      <c r="I3375" t="s">
        <v>2116</v>
      </c>
    </row>
    <row r="3376" spans="1:9" x14ac:dyDescent="0.35">
      <c r="A3376">
        <v>2420110</v>
      </c>
      <c r="B3376" t="s">
        <v>1164</v>
      </c>
      <c r="C3376" s="1">
        <v>45372</v>
      </c>
      <c r="D3376">
        <v>1005</v>
      </c>
      <c r="E3376" t="b">
        <v>0</v>
      </c>
      <c r="F3376">
        <v>485</v>
      </c>
      <c r="G3376" t="s">
        <v>29</v>
      </c>
      <c r="H3376" t="s">
        <v>49</v>
      </c>
      <c r="I3376" t="s">
        <v>2116</v>
      </c>
    </row>
    <row r="3377" spans="1:9" x14ac:dyDescent="0.35">
      <c r="A3377">
        <v>2420110</v>
      </c>
      <c r="B3377" t="s">
        <v>1164</v>
      </c>
      <c r="C3377" s="1">
        <v>45372</v>
      </c>
      <c r="D3377">
        <v>1005</v>
      </c>
      <c r="E3377" t="b">
        <v>0</v>
      </c>
      <c r="F3377">
        <v>485</v>
      </c>
      <c r="G3377" t="s">
        <v>29</v>
      </c>
      <c r="H3377" t="s">
        <v>792</v>
      </c>
      <c r="I3377" t="s">
        <v>2117</v>
      </c>
    </row>
    <row r="3378" spans="1:9" x14ac:dyDescent="0.35">
      <c r="A3378">
        <v>2420110</v>
      </c>
      <c r="B3378" t="s">
        <v>1164</v>
      </c>
      <c r="C3378" s="1">
        <v>45372</v>
      </c>
      <c r="D3378">
        <v>1005</v>
      </c>
      <c r="E3378" t="b">
        <v>0</v>
      </c>
      <c r="F3378">
        <v>485</v>
      </c>
      <c r="G3378" t="s">
        <v>29</v>
      </c>
      <c r="H3378" t="s">
        <v>346</v>
      </c>
      <c r="I3378" t="s">
        <v>2117</v>
      </c>
    </row>
    <row r="3379" spans="1:9" x14ac:dyDescent="0.35">
      <c r="A3379">
        <v>2420110</v>
      </c>
      <c r="B3379" t="s">
        <v>1164</v>
      </c>
      <c r="C3379" s="1">
        <v>45372</v>
      </c>
      <c r="D3379">
        <v>1005</v>
      </c>
      <c r="E3379" t="b">
        <v>0</v>
      </c>
      <c r="F3379">
        <v>485</v>
      </c>
      <c r="G3379" t="s">
        <v>29</v>
      </c>
      <c r="H3379" t="s">
        <v>239</v>
      </c>
      <c r="I3379" t="s">
        <v>2117</v>
      </c>
    </row>
    <row r="3380" spans="1:9" x14ac:dyDescent="0.35">
      <c r="A3380">
        <v>2420110</v>
      </c>
      <c r="B3380" t="s">
        <v>1164</v>
      </c>
      <c r="C3380" s="1">
        <v>45372</v>
      </c>
      <c r="D3380">
        <v>1005</v>
      </c>
      <c r="E3380" t="b">
        <v>0</v>
      </c>
      <c r="F3380">
        <v>485</v>
      </c>
      <c r="G3380" t="s">
        <v>29</v>
      </c>
      <c r="H3380" t="s">
        <v>132</v>
      </c>
      <c r="I3380" t="s">
        <v>2116</v>
      </c>
    </row>
    <row r="3381" spans="1:9" x14ac:dyDescent="0.35">
      <c r="A3381">
        <v>2420110</v>
      </c>
      <c r="B3381" t="s">
        <v>1164</v>
      </c>
      <c r="C3381" s="1">
        <v>45372</v>
      </c>
      <c r="D3381">
        <v>1005</v>
      </c>
      <c r="E3381" t="b">
        <v>0</v>
      </c>
      <c r="F3381">
        <v>485</v>
      </c>
      <c r="G3381" t="s">
        <v>29</v>
      </c>
      <c r="H3381" t="s">
        <v>124</v>
      </c>
      <c r="I3381" t="s">
        <v>2117</v>
      </c>
    </row>
    <row r="3382" spans="1:9" x14ac:dyDescent="0.35">
      <c r="A3382">
        <v>2420110</v>
      </c>
      <c r="B3382" t="s">
        <v>1164</v>
      </c>
      <c r="C3382" s="1">
        <v>45372</v>
      </c>
      <c r="D3382">
        <v>1005</v>
      </c>
      <c r="E3382" t="b">
        <v>0</v>
      </c>
      <c r="F3382">
        <v>485</v>
      </c>
      <c r="G3382" t="s">
        <v>29</v>
      </c>
      <c r="H3382" t="s">
        <v>1510</v>
      </c>
      <c r="I3382" t="s">
        <v>2117</v>
      </c>
    </row>
    <row r="3383" spans="1:9" x14ac:dyDescent="0.35">
      <c r="A3383">
        <v>588430</v>
      </c>
      <c r="B3383" t="s">
        <v>1166</v>
      </c>
      <c r="C3383" s="1">
        <v>42823</v>
      </c>
      <c r="D3383">
        <v>1001</v>
      </c>
      <c r="E3383" t="b">
        <v>0</v>
      </c>
      <c r="F3383">
        <v>486</v>
      </c>
      <c r="G3383" t="s">
        <v>40</v>
      </c>
      <c r="H3383" t="s">
        <v>49</v>
      </c>
      <c r="I3383" t="s">
        <v>2117</v>
      </c>
    </row>
    <row r="3384" spans="1:9" x14ac:dyDescent="0.35">
      <c r="A3384">
        <v>588430</v>
      </c>
      <c r="B3384" t="s">
        <v>1166</v>
      </c>
      <c r="C3384" s="1">
        <v>42823</v>
      </c>
      <c r="D3384">
        <v>1001</v>
      </c>
      <c r="E3384" t="b">
        <v>0</v>
      </c>
      <c r="F3384">
        <v>486</v>
      </c>
      <c r="G3384" t="s">
        <v>40</v>
      </c>
      <c r="H3384" t="s">
        <v>792</v>
      </c>
      <c r="I3384" t="s">
        <v>2117</v>
      </c>
    </row>
    <row r="3385" spans="1:9" x14ac:dyDescent="0.35">
      <c r="A3385">
        <v>588430</v>
      </c>
      <c r="B3385" t="s">
        <v>1166</v>
      </c>
      <c r="C3385" s="1">
        <v>42823</v>
      </c>
      <c r="D3385">
        <v>1001</v>
      </c>
      <c r="E3385" t="b">
        <v>0</v>
      </c>
      <c r="F3385">
        <v>486</v>
      </c>
      <c r="G3385" t="s">
        <v>40</v>
      </c>
      <c r="H3385" t="s">
        <v>346</v>
      </c>
      <c r="I3385" t="s">
        <v>2117</v>
      </c>
    </row>
    <row r="3386" spans="1:9" x14ac:dyDescent="0.35">
      <c r="A3386">
        <v>588430</v>
      </c>
      <c r="B3386" t="s">
        <v>1166</v>
      </c>
      <c r="C3386" s="1">
        <v>42823</v>
      </c>
      <c r="D3386">
        <v>1001</v>
      </c>
      <c r="E3386" t="b">
        <v>0</v>
      </c>
      <c r="F3386">
        <v>486</v>
      </c>
      <c r="G3386" t="s">
        <v>40</v>
      </c>
      <c r="H3386" t="s">
        <v>239</v>
      </c>
      <c r="I3386" t="s">
        <v>2116</v>
      </c>
    </row>
    <row r="3387" spans="1:9" x14ac:dyDescent="0.35">
      <c r="A3387">
        <v>588430</v>
      </c>
      <c r="B3387" t="s">
        <v>1166</v>
      </c>
      <c r="C3387" s="1">
        <v>42823</v>
      </c>
      <c r="D3387">
        <v>1001</v>
      </c>
      <c r="E3387" t="b">
        <v>0</v>
      </c>
      <c r="F3387">
        <v>486</v>
      </c>
      <c r="G3387" t="s">
        <v>40</v>
      </c>
      <c r="H3387" t="s">
        <v>132</v>
      </c>
      <c r="I3387" t="s">
        <v>2116</v>
      </c>
    </row>
    <row r="3388" spans="1:9" x14ac:dyDescent="0.35">
      <c r="A3388">
        <v>588430</v>
      </c>
      <c r="B3388" t="s">
        <v>1166</v>
      </c>
      <c r="C3388" s="1">
        <v>42823</v>
      </c>
      <c r="D3388">
        <v>1001</v>
      </c>
      <c r="E3388" t="b">
        <v>0</v>
      </c>
      <c r="F3388">
        <v>486</v>
      </c>
      <c r="G3388" t="s">
        <v>40</v>
      </c>
      <c r="H3388" t="s">
        <v>124</v>
      </c>
      <c r="I3388" t="s">
        <v>2117</v>
      </c>
    </row>
    <row r="3389" spans="1:9" x14ac:dyDescent="0.35">
      <c r="A3389">
        <v>588430</v>
      </c>
      <c r="B3389" t="s">
        <v>1166</v>
      </c>
      <c r="C3389" s="1">
        <v>42823</v>
      </c>
      <c r="D3389">
        <v>1001</v>
      </c>
      <c r="E3389" t="b">
        <v>0</v>
      </c>
      <c r="F3389">
        <v>486</v>
      </c>
      <c r="G3389" t="s">
        <v>40</v>
      </c>
      <c r="H3389" t="s">
        <v>1510</v>
      </c>
      <c r="I3389" t="s">
        <v>2116</v>
      </c>
    </row>
    <row r="3390" spans="1:9" x14ac:dyDescent="0.35">
      <c r="A3390">
        <v>3036010</v>
      </c>
      <c r="B3390" t="s">
        <v>1169</v>
      </c>
      <c r="C3390" s="1">
        <v>45799</v>
      </c>
      <c r="D3390">
        <v>999</v>
      </c>
      <c r="E3390" t="b">
        <v>0</v>
      </c>
      <c r="F3390">
        <v>487</v>
      </c>
      <c r="G3390" t="s">
        <v>53</v>
      </c>
      <c r="H3390" t="s">
        <v>49</v>
      </c>
      <c r="I3390" t="s">
        <v>2117</v>
      </c>
    </row>
    <row r="3391" spans="1:9" x14ac:dyDescent="0.35">
      <c r="A3391">
        <v>3036010</v>
      </c>
      <c r="B3391" t="s">
        <v>1169</v>
      </c>
      <c r="C3391" s="1">
        <v>45799</v>
      </c>
      <c r="D3391">
        <v>999</v>
      </c>
      <c r="E3391" t="b">
        <v>0</v>
      </c>
      <c r="F3391">
        <v>487</v>
      </c>
      <c r="G3391" t="s">
        <v>53</v>
      </c>
      <c r="H3391" t="s">
        <v>792</v>
      </c>
      <c r="I3391" t="s">
        <v>2116</v>
      </c>
    </row>
    <row r="3392" spans="1:9" x14ac:dyDescent="0.35">
      <c r="A3392">
        <v>3036010</v>
      </c>
      <c r="B3392" t="s">
        <v>1169</v>
      </c>
      <c r="C3392" s="1">
        <v>45799</v>
      </c>
      <c r="D3392">
        <v>999</v>
      </c>
      <c r="E3392" t="b">
        <v>0</v>
      </c>
      <c r="F3392">
        <v>487</v>
      </c>
      <c r="G3392" t="s">
        <v>53</v>
      </c>
      <c r="H3392" t="s">
        <v>346</v>
      </c>
      <c r="I3392" t="s">
        <v>2117</v>
      </c>
    </row>
    <row r="3393" spans="1:9" x14ac:dyDescent="0.35">
      <c r="A3393">
        <v>3036010</v>
      </c>
      <c r="B3393" t="s">
        <v>1169</v>
      </c>
      <c r="C3393" s="1">
        <v>45799</v>
      </c>
      <c r="D3393">
        <v>999</v>
      </c>
      <c r="E3393" t="b">
        <v>0</v>
      </c>
      <c r="F3393">
        <v>487</v>
      </c>
      <c r="G3393" t="s">
        <v>53</v>
      </c>
      <c r="H3393" t="s">
        <v>239</v>
      </c>
      <c r="I3393" t="s">
        <v>2117</v>
      </c>
    </row>
    <row r="3394" spans="1:9" x14ac:dyDescent="0.35">
      <c r="A3394">
        <v>3036010</v>
      </c>
      <c r="B3394" t="s">
        <v>1169</v>
      </c>
      <c r="C3394" s="1">
        <v>45799</v>
      </c>
      <c r="D3394">
        <v>999</v>
      </c>
      <c r="E3394" t="b">
        <v>0</v>
      </c>
      <c r="F3394">
        <v>487</v>
      </c>
      <c r="G3394" t="s">
        <v>53</v>
      </c>
      <c r="H3394" t="s">
        <v>132</v>
      </c>
      <c r="I3394" t="s">
        <v>2116</v>
      </c>
    </row>
    <row r="3395" spans="1:9" x14ac:dyDescent="0.35">
      <c r="A3395">
        <v>3036010</v>
      </c>
      <c r="B3395" t="s">
        <v>1169</v>
      </c>
      <c r="C3395" s="1">
        <v>45799</v>
      </c>
      <c r="D3395">
        <v>999</v>
      </c>
      <c r="E3395" t="b">
        <v>0</v>
      </c>
      <c r="F3395">
        <v>487</v>
      </c>
      <c r="G3395" t="s">
        <v>53</v>
      </c>
      <c r="H3395" t="s">
        <v>124</v>
      </c>
      <c r="I3395" t="s">
        <v>2116</v>
      </c>
    </row>
    <row r="3396" spans="1:9" x14ac:dyDescent="0.35">
      <c r="A3396">
        <v>3036010</v>
      </c>
      <c r="B3396" t="s">
        <v>1169</v>
      </c>
      <c r="C3396" s="1">
        <v>45799</v>
      </c>
      <c r="D3396">
        <v>999</v>
      </c>
      <c r="E3396" t="b">
        <v>0</v>
      </c>
      <c r="F3396">
        <v>487</v>
      </c>
      <c r="G3396" t="s">
        <v>53</v>
      </c>
      <c r="H3396" t="s">
        <v>1510</v>
      </c>
      <c r="I3396" t="s">
        <v>2117</v>
      </c>
    </row>
    <row r="3397" spans="1:9" x14ac:dyDescent="0.35">
      <c r="A3397">
        <v>881020</v>
      </c>
      <c r="B3397" t="s">
        <v>1171</v>
      </c>
      <c r="C3397" s="1">
        <v>45322</v>
      </c>
      <c r="D3397">
        <v>996</v>
      </c>
      <c r="E3397" t="b">
        <v>0</v>
      </c>
      <c r="F3397">
        <v>488</v>
      </c>
      <c r="G3397" t="s">
        <v>816</v>
      </c>
      <c r="H3397" t="s">
        <v>49</v>
      </c>
      <c r="I3397" t="s">
        <v>2116</v>
      </c>
    </row>
    <row r="3398" spans="1:9" x14ac:dyDescent="0.35">
      <c r="A3398">
        <v>881020</v>
      </c>
      <c r="B3398" t="s">
        <v>1171</v>
      </c>
      <c r="C3398" s="1">
        <v>45322</v>
      </c>
      <c r="D3398">
        <v>996</v>
      </c>
      <c r="E3398" t="b">
        <v>0</v>
      </c>
      <c r="F3398">
        <v>488</v>
      </c>
      <c r="G3398" t="s">
        <v>816</v>
      </c>
      <c r="H3398" t="s">
        <v>792</v>
      </c>
      <c r="I3398" t="s">
        <v>2117</v>
      </c>
    </row>
    <row r="3399" spans="1:9" x14ac:dyDescent="0.35">
      <c r="A3399">
        <v>881020</v>
      </c>
      <c r="B3399" t="s">
        <v>1171</v>
      </c>
      <c r="C3399" s="1">
        <v>45322</v>
      </c>
      <c r="D3399">
        <v>996</v>
      </c>
      <c r="E3399" t="b">
        <v>0</v>
      </c>
      <c r="F3399">
        <v>488</v>
      </c>
      <c r="G3399" t="s">
        <v>816</v>
      </c>
      <c r="H3399" t="s">
        <v>346</v>
      </c>
      <c r="I3399" t="s">
        <v>2116</v>
      </c>
    </row>
    <row r="3400" spans="1:9" x14ac:dyDescent="0.35">
      <c r="A3400">
        <v>881020</v>
      </c>
      <c r="B3400" t="s">
        <v>1171</v>
      </c>
      <c r="C3400" s="1">
        <v>45322</v>
      </c>
      <c r="D3400">
        <v>996</v>
      </c>
      <c r="E3400" t="b">
        <v>0</v>
      </c>
      <c r="F3400">
        <v>488</v>
      </c>
      <c r="G3400" t="s">
        <v>816</v>
      </c>
      <c r="H3400" t="s">
        <v>239</v>
      </c>
      <c r="I3400" t="s">
        <v>2117</v>
      </c>
    </row>
    <row r="3401" spans="1:9" x14ac:dyDescent="0.35">
      <c r="A3401">
        <v>881020</v>
      </c>
      <c r="B3401" t="s">
        <v>1171</v>
      </c>
      <c r="C3401" s="1">
        <v>45322</v>
      </c>
      <c r="D3401">
        <v>996</v>
      </c>
      <c r="E3401" t="b">
        <v>0</v>
      </c>
      <c r="F3401">
        <v>488</v>
      </c>
      <c r="G3401" t="s">
        <v>816</v>
      </c>
      <c r="H3401" t="s">
        <v>132</v>
      </c>
      <c r="I3401" t="s">
        <v>2116</v>
      </c>
    </row>
    <row r="3402" spans="1:9" x14ac:dyDescent="0.35">
      <c r="A3402">
        <v>881020</v>
      </c>
      <c r="B3402" t="s">
        <v>1171</v>
      </c>
      <c r="C3402" s="1">
        <v>45322</v>
      </c>
      <c r="D3402">
        <v>996</v>
      </c>
      <c r="E3402" t="b">
        <v>0</v>
      </c>
      <c r="F3402">
        <v>488</v>
      </c>
      <c r="G3402" t="s">
        <v>816</v>
      </c>
      <c r="H3402" t="s">
        <v>124</v>
      </c>
      <c r="I3402" t="s">
        <v>2117</v>
      </c>
    </row>
    <row r="3403" spans="1:9" x14ac:dyDescent="0.35">
      <c r="A3403">
        <v>881020</v>
      </c>
      <c r="B3403" t="s">
        <v>1171</v>
      </c>
      <c r="C3403" s="1">
        <v>45322</v>
      </c>
      <c r="D3403">
        <v>996</v>
      </c>
      <c r="E3403" t="b">
        <v>0</v>
      </c>
      <c r="F3403">
        <v>488</v>
      </c>
      <c r="G3403" t="s">
        <v>816</v>
      </c>
      <c r="H3403" t="s">
        <v>1510</v>
      </c>
      <c r="I3403" t="s">
        <v>2117</v>
      </c>
    </row>
    <row r="3404" spans="1:9" x14ac:dyDescent="0.35">
      <c r="A3404">
        <v>1044720</v>
      </c>
      <c r="B3404" t="s">
        <v>1172</v>
      </c>
      <c r="C3404" s="1">
        <v>45953</v>
      </c>
      <c r="D3404">
        <v>995</v>
      </c>
      <c r="E3404" t="b">
        <v>0</v>
      </c>
      <c r="F3404">
        <v>489</v>
      </c>
      <c r="G3404" t="s">
        <v>438</v>
      </c>
      <c r="H3404" t="s">
        <v>49</v>
      </c>
      <c r="I3404" t="s">
        <v>2117</v>
      </c>
    </row>
    <row r="3405" spans="1:9" x14ac:dyDescent="0.35">
      <c r="A3405">
        <v>1044720</v>
      </c>
      <c r="B3405" t="s">
        <v>1172</v>
      </c>
      <c r="C3405" s="1">
        <v>45953</v>
      </c>
      <c r="D3405">
        <v>995</v>
      </c>
      <c r="E3405" t="b">
        <v>0</v>
      </c>
      <c r="F3405">
        <v>489</v>
      </c>
      <c r="G3405" t="s">
        <v>438</v>
      </c>
      <c r="H3405" t="s">
        <v>792</v>
      </c>
      <c r="I3405" t="s">
        <v>2116</v>
      </c>
    </row>
    <row r="3406" spans="1:9" x14ac:dyDescent="0.35">
      <c r="A3406">
        <v>1044720</v>
      </c>
      <c r="B3406" t="s">
        <v>1172</v>
      </c>
      <c r="C3406" s="1">
        <v>45953</v>
      </c>
      <c r="D3406">
        <v>995</v>
      </c>
      <c r="E3406" t="b">
        <v>0</v>
      </c>
      <c r="F3406">
        <v>489</v>
      </c>
      <c r="G3406" t="s">
        <v>438</v>
      </c>
      <c r="H3406" t="s">
        <v>346</v>
      </c>
      <c r="I3406" t="s">
        <v>2117</v>
      </c>
    </row>
    <row r="3407" spans="1:9" x14ac:dyDescent="0.35">
      <c r="A3407">
        <v>1044720</v>
      </c>
      <c r="B3407" t="s">
        <v>1172</v>
      </c>
      <c r="C3407" s="1">
        <v>45953</v>
      </c>
      <c r="D3407">
        <v>995</v>
      </c>
      <c r="E3407" t="b">
        <v>0</v>
      </c>
      <c r="F3407">
        <v>489</v>
      </c>
      <c r="G3407" t="s">
        <v>438</v>
      </c>
      <c r="H3407" t="s">
        <v>239</v>
      </c>
      <c r="I3407" t="s">
        <v>2116</v>
      </c>
    </row>
    <row r="3408" spans="1:9" x14ac:dyDescent="0.35">
      <c r="A3408">
        <v>1044720</v>
      </c>
      <c r="B3408" t="s">
        <v>1172</v>
      </c>
      <c r="C3408" s="1">
        <v>45953</v>
      </c>
      <c r="D3408">
        <v>995</v>
      </c>
      <c r="E3408" t="b">
        <v>0</v>
      </c>
      <c r="F3408">
        <v>489</v>
      </c>
      <c r="G3408" t="s">
        <v>438</v>
      </c>
      <c r="H3408" t="s">
        <v>132</v>
      </c>
      <c r="I3408" t="s">
        <v>2117</v>
      </c>
    </row>
    <row r="3409" spans="1:9" x14ac:dyDescent="0.35">
      <c r="A3409">
        <v>1044720</v>
      </c>
      <c r="B3409" t="s">
        <v>1172</v>
      </c>
      <c r="C3409" s="1">
        <v>45953</v>
      </c>
      <c r="D3409">
        <v>995</v>
      </c>
      <c r="E3409" t="b">
        <v>0</v>
      </c>
      <c r="F3409">
        <v>489</v>
      </c>
      <c r="G3409" t="s">
        <v>438</v>
      </c>
      <c r="H3409" t="s">
        <v>124</v>
      </c>
      <c r="I3409" t="s">
        <v>2116</v>
      </c>
    </row>
    <row r="3410" spans="1:9" x14ac:dyDescent="0.35">
      <c r="A3410">
        <v>1044720</v>
      </c>
      <c r="B3410" t="s">
        <v>1172</v>
      </c>
      <c r="C3410" s="1">
        <v>45953</v>
      </c>
      <c r="D3410">
        <v>995</v>
      </c>
      <c r="E3410" t="b">
        <v>0</v>
      </c>
      <c r="F3410">
        <v>489</v>
      </c>
      <c r="G3410" t="s">
        <v>438</v>
      </c>
      <c r="H3410" t="s">
        <v>1510</v>
      </c>
      <c r="I3410" t="s">
        <v>2117</v>
      </c>
    </row>
    <row r="3411" spans="1:9" x14ac:dyDescent="0.35">
      <c r="A3411">
        <v>1180380</v>
      </c>
      <c r="B3411" t="s">
        <v>1174</v>
      </c>
      <c r="C3411" s="1">
        <v>43796</v>
      </c>
      <c r="D3411">
        <v>995</v>
      </c>
      <c r="E3411" t="b">
        <v>0</v>
      </c>
      <c r="F3411">
        <v>489</v>
      </c>
      <c r="G3411" t="s">
        <v>68</v>
      </c>
      <c r="H3411" t="s">
        <v>49</v>
      </c>
      <c r="I3411" t="s">
        <v>2116</v>
      </c>
    </row>
    <row r="3412" spans="1:9" x14ac:dyDescent="0.35">
      <c r="A3412">
        <v>1180380</v>
      </c>
      <c r="B3412" t="s">
        <v>1174</v>
      </c>
      <c r="C3412" s="1">
        <v>43796</v>
      </c>
      <c r="D3412">
        <v>995</v>
      </c>
      <c r="E3412" t="b">
        <v>0</v>
      </c>
      <c r="F3412">
        <v>489</v>
      </c>
      <c r="G3412" t="s">
        <v>68</v>
      </c>
      <c r="H3412" t="s">
        <v>792</v>
      </c>
      <c r="I3412" t="s">
        <v>2116</v>
      </c>
    </row>
    <row r="3413" spans="1:9" x14ac:dyDescent="0.35">
      <c r="A3413">
        <v>1180380</v>
      </c>
      <c r="B3413" t="s">
        <v>1174</v>
      </c>
      <c r="C3413" s="1">
        <v>43796</v>
      </c>
      <c r="D3413">
        <v>995</v>
      </c>
      <c r="E3413" t="b">
        <v>0</v>
      </c>
      <c r="F3413">
        <v>489</v>
      </c>
      <c r="G3413" t="s">
        <v>68</v>
      </c>
      <c r="H3413" t="s">
        <v>346</v>
      </c>
      <c r="I3413" t="s">
        <v>2117</v>
      </c>
    </row>
    <row r="3414" spans="1:9" x14ac:dyDescent="0.35">
      <c r="A3414">
        <v>1180380</v>
      </c>
      <c r="B3414" t="s">
        <v>1174</v>
      </c>
      <c r="C3414" s="1">
        <v>43796</v>
      </c>
      <c r="D3414">
        <v>995</v>
      </c>
      <c r="E3414" t="b">
        <v>0</v>
      </c>
      <c r="F3414">
        <v>489</v>
      </c>
      <c r="G3414" t="s">
        <v>68</v>
      </c>
      <c r="H3414" t="s">
        <v>239</v>
      </c>
      <c r="I3414" t="s">
        <v>2117</v>
      </c>
    </row>
    <row r="3415" spans="1:9" x14ac:dyDescent="0.35">
      <c r="A3415">
        <v>1180380</v>
      </c>
      <c r="B3415" t="s">
        <v>1174</v>
      </c>
      <c r="C3415" s="1">
        <v>43796</v>
      </c>
      <c r="D3415">
        <v>995</v>
      </c>
      <c r="E3415" t="b">
        <v>0</v>
      </c>
      <c r="F3415">
        <v>489</v>
      </c>
      <c r="G3415" t="s">
        <v>68</v>
      </c>
      <c r="H3415" t="s">
        <v>132</v>
      </c>
      <c r="I3415" t="s">
        <v>2116</v>
      </c>
    </row>
    <row r="3416" spans="1:9" x14ac:dyDescent="0.35">
      <c r="A3416">
        <v>1180380</v>
      </c>
      <c r="B3416" t="s">
        <v>1174</v>
      </c>
      <c r="C3416" s="1">
        <v>43796</v>
      </c>
      <c r="D3416">
        <v>995</v>
      </c>
      <c r="E3416" t="b">
        <v>0</v>
      </c>
      <c r="F3416">
        <v>489</v>
      </c>
      <c r="G3416" t="s">
        <v>68</v>
      </c>
      <c r="H3416" t="s">
        <v>124</v>
      </c>
      <c r="I3416" t="s">
        <v>2117</v>
      </c>
    </row>
    <row r="3417" spans="1:9" x14ac:dyDescent="0.35">
      <c r="A3417">
        <v>1180380</v>
      </c>
      <c r="B3417" t="s">
        <v>1174</v>
      </c>
      <c r="C3417" s="1">
        <v>43796</v>
      </c>
      <c r="D3417">
        <v>995</v>
      </c>
      <c r="E3417" t="b">
        <v>0</v>
      </c>
      <c r="F3417">
        <v>489</v>
      </c>
      <c r="G3417" t="s">
        <v>68</v>
      </c>
      <c r="H3417" t="s">
        <v>1510</v>
      </c>
      <c r="I3417" t="s">
        <v>2116</v>
      </c>
    </row>
    <row r="3418" spans="1:9" x14ac:dyDescent="0.35">
      <c r="A3418">
        <v>1335200</v>
      </c>
      <c r="B3418" t="s">
        <v>1177</v>
      </c>
      <c r="C3418" s="1">
        <v>44109</v>
      </c>
      <c r="D3418">
        <v>993</v>
      </c>
      <c r="E3418" t="b">
        <v>0</v>
      </c>
      <c r="F3418">
        <v>491</v>
      </c>
      <c r="G3418" t="s">
        <v>304</v>
      </c>
      <c r="H3418" t="s">
        <v>49</v>
      </c>
      <c r="I3418" t="s">
        <v>2116</v>
      </c>
    </row>
    <row r="3419" spans="1:9" x14ac:dyDescent="0.35">
      <c r="A3419">
        <v>1335200</v>
      </c>
      <c r="B3419" t="s">
        <v>1177</v>
      </c>
      <c r="C3419" s="1">
        <v>44109</v>
      </c>
      <c r="D3419">
        <v>993</v>
      </c>
      <c r="E3419" t="b">
        <v>0</v>
      </c>
      <c r="F3419">
        <v>491</v>
      </c>
      <c r="G3419" t="s">
        <v>304</v>
      </c>
      <c r="H3419" t="s">
        <v>792</v>
      </c>
      <c r="I3419" t="s">
        <v>2117</v>
      </c>
    </row>
    <row r="3420" spans="1:9" x14ac:dyDescent="0.35">
      <c r="A3420">
        <v>1335200</v>
      </c>
      <c r="B3420" t="s">
        <v>1177</v>
      </c>
      <c r="C3420" s="1">
        <v>44109</v>
      </c>
      <c r="D3420">
        <v>993</v>
      </c>
      <c r="E3420" t="b">
        <v>0</v>
      </c>
      <c r="F3420">
        <v>491</v>
      </c>
      <c r="G3420" t="s">
        <v>304</v>
      </c>
      <c r="H3420" t="s">
        <v>346</v>
      </c>
      <c r="I3420" t="s">
        <v>2116</v>
      </c>
    </row>
    <row r="3421" spans="1:9" x14ac:dyDescent="0.35">
      <c r="A3421">
        <v>1335200</v>
      </c>
      <c r="B3421" t="s">
        <v>1177</v>
      </c>
      <c r="C3421" s="1">
        <v>44109</v>
      </c>
      <c r="D3421">
        <v>993</v>
      </c>
      <c r="E3421" t="b">
        <v>0</v>
      </c>
      <c r="F3421">
        <v>491</v>
      </c>
      <c r="G3421" t="s">
        <v>304</v>
      </c>
      <c r="H3421" t="s">
        <v>239</v>
      </c>
      <c r="I3421" t="s">
        <v>2117</v>
      </c>
    </row>
    <row r="3422" spans="1:9" x14ac:dyDescent="0.35">
      <c r="A3422">
        <v>1335200</v>
      </c>
      <c r="B3422" t="s">
        <v>1177</v>
      </c>
      <c r="C3422" s="1">
        <v>44109</v>
      </c>
      <c r="D3422">
        <v>993</v>
      </c>
      <c r="E3422" t="b">
        <v>0</v>
      </c>
      <c r="F3422">
        <v>491</v>
      </c>
      <c r="G3422" t="s">
        <v>304</v>
      </c>
      <c r="H3422" t="s">
        <v>132</v>
      </c>
      <c r="I3422" t="s">
        <v>2116</v>
      </c>
    </row>
    <row r="3423" spans="1:9" x14ac:dyDescent="0.35">
      <c r="A3423">
        <v>1335200</v>
      </c>
      <c r="B3423" t="s">
        <v>1177</v>
      </c>
      <c r="C3423" s="1">
        <v>44109</v>
      </c>
      <c r="D3423">
        <v>993</v>
      </c>
      <c r="E3423" t="b">
        <v>0</v>
      </c>
      <c r="F3423">
        <v>491</v>
      </c>
      <c r="G3423" t="s">
        <v>304</v>
      </c>
      <c r="H3423" t="s">
        <v>124</v>
      </c>
      <c r="I3423" t="s">
        <v>2117</v>
      </c>
    </row>
    <row r="3424" spans="1:9" x14ac:dyDescent="0.35">
      <c r="A3424">
        <v>1335200</v>
      </c>
      <c r="B3424" t="s">
        <v>1177</v>
      </c>
      <c r="C3424" s="1">
        <v>44109</v>
      </c>
      <c r="D3424">
        <v>993</v>
      </c>
      <c r="E3424" t="b">
        <v>0</v>
      </c>
      <c r="F3424">
        <v>491</v>
      </c>
      <c r="G3424" t="s">
        <v>304</v>
      </c>
      <c r="H3424" t="s">
        <v>1510</v>
      </c>
      <c r="I3424" t="s">
        <v>2116</v>
      </c>
    </row>
    <row r="3425" spans="1:9" x14ac:dyDescent="0.35">
      <c r="A3425">
        <v>383120</v>
      </c>
      <c r="B3425" t="s">
        <v>1179</v>
      </c>
      <c r="C3425" s="1">
        <v>44048</v>
      </c>
      <c r="D3425">
        <v>990</v>
      </c>
      <c r="E3425" t="b">
        <v>0</v>
      </c>
      <c r="F3425">
        <v>492</v>
      </c>
      <c r="G3425" t="s">
        <v>184</v>
      </c>
      <c r="H3425" t="s">
        <v>49</v>
      </c>
      <c r="I3425" t="s">
        <v>2117</v>
      </c>
    </row>
    <row r="3426" spans="1:9" x14ac:dyDescent="0.35">
      <c r="A3426">
        <v>383120</v>
      </c>
      <c r="B3426" t="s">
        <v>1179</v>
      </c>
      <c r="C3426" s="1">
        <v>44048</v>
      </c>
      <c r="D3426">
        <v>990</v>
      </c>
      <c r="E3426" t="b">
        <v>0</v>
      </c>
      <c r="F3426">
        <v>492</v>
      </c>
      <c r="G3426" t="s">
        <v>184</v>
      </c>
      <c r="H3426" t="s">
        <v>792</v>
      </c>
      <c r="I3426" t="s">
        <v>2116</v>
      </c>
    </row>
    <row r="3427" spans="1:9" x14ac:dyDescent="0.35">
      <c r="A3427">
        <v>383120</v>
      </c>
      <c r="B3427" t="s">
        <v>1179</v>
      </c>
      <c r="C3427" s="1">
        <v>44048</v>
      </c>
      <c r="D3427">
        <v>990</v>
      </c>
      <c r="E3427" t="b">
        <v>0</v>
      </c>
      <c r="F3427">
        <v>492</v>
      </c>
      <c r="G3427" t="s">
        <v>184</v>
      </c>
      <c r="H3427" t="s">
        <v>346</v>
      </c>
      <c r="I3427" t="s">
        <v>2116</v>
      </c>
    </row>
    <row r="3428" spans="1:9" x14ac:dyDescent="0.35">
      <c r="A3428">
        <v>383120</v>
      </c>
      <c r="B3428" t="s">
        <v>1179</v>
      </c>
      <c r="C3428" s="1">
        <v>44048</v>
      </c>
      <c r="D3428">
        <v>990</v>
      </c>
      <c r="E3428" t="b">
        <v>0</v>
      </c>
      <c r="F3428">
        <v>492</v>
      </c>
      <c r="G3428" t="s">
        <v>184</v>
      </c>
      <c r="H3428" t="s">
        <v>239</v>
      </c>
      <c r="I3428" t="s">
        <v>2116</v>
      </c>
    </row>
    <row r="3429" spans="1:9" x14ac:dyDescent="0.35">
      <c r="A3429">
        <v>383120</v>
      </c>
      <c r="B3429" t="s">
        <v>1179</v>
      </c>
      <c r="C3429" s="1">
        <v>44048</v>
      </c>
      <c r="D3429">
        <v>990</v>
      </c>
      <c r="E3429" t="b">
        <v>0</v>
      </c>
      <c r="F3429">
        <v>492</v>
      </c>
      <c r="G3429" t="s">
        <v>184</v>
      </c>
      <c r="H3429" t="s">
        <v>132</v>
      </c>
      <c r="I3429" t="s">
        <v>2117</v>
      </c>
    </row>
    <row r="3430" spans="1:9" x14ac:dyDescent="0.35">
      <c r="A3430">
        <v>383120</v>
      </c>
      <c r="B3430" t="s">
        <v>1179</v>
      </c>
      <c r="C3430" s="1">
        <v>44048</v>
      </c>
      <c r="D3430">
        <v>990</v>
      </c>
      <c r="E3430" t="b">
        <v>0</v>
      </c>
      <c r="F3430">
        <v>492</v>
      </c>
      <c r="G3430" t="s">
        <v>184</v>
      </c>
      <c r="H3430" t="s">
        <v>124</v>
      </c>
      <c r="I3430" t="s">
        <v>2116</v>
      </c>
    </row>
    <row r="3431" spans="1:9" x14ac:dyDescent="0.35">
      <c r="A3431">
        <v>383120</v>
      </c>
      <c r="B3431" t="s">
        <v>1179</v>
      </c>
      <c r="C3431" s="1">
        <v>44048</v>
      </c>
      <c r="D3431">
        <v>990</v>
      </c>
      <c r="E3431" t="b">
        <v>0</v>
      </c>
      <c r="F3431">
        <v>492</v>
      </c>
      <c r="G3431" t="s">
        <v>184</v>
      </c>
      <c r="H3431" t="s">
        <v>1510</v>
      </c>
      <c r="I3431" t="s">
        <v>2117</v>
      </c>
    </row>
    <row r="3432" spans="1:9" x14ac:dyDescent="0.35">
      <c r="A3432">
        <v>1139980</v>
      </c>
      <c r="B3432" t="s">
        <v>1181</v>
      </c>
      <c r="C3432" s="1">
        <v>44040</v>
      </c>
      <c r="D3432">
        <v>990</v>
      </c>
      <c r="E3432" t="b">
        <v>0</v>
      </c>
      <c r="F3432">
        <v>492</v>
      </c>
      <c r="G3432" t="s">
        <v>14</v>
      </c>
      <c r="H3432" t="s">
        <v>49</v>
      </c>
      <c r="I3432" t="s">
        <v>2117</v>
      </c>
    </row>
    <row r="3433" spans="1:9" x14ac:dyDescent="0.35">
      <c r="A3433">
        <v>1139980</v>
      </c>
      <c r="B3433" t="s">
        <v>1181</v>
      </c>
      <c r="C3433" s="1">
        <v>44040</v>
      </c>
      <c r="D3433">
        <v>990</v>
      </c>
      <c r="E3433" t="b">
        <v>0</v>
      </c>
      <c r="F3433">
        <v>492</v>
      </c>
      <c r="G3433" t="s">
        <v>14</v>
      </c>
      <c r="H3433" t="s">
        <v>792</v>
      </c>
      <c r="I3433" t="s">
        <v>2116</v>
      </c>
    </row>
    <row r="3434" spans="1:9" x14ac:dyDescent="0.35">
      <c r="A3434">
        <v>1139980</v>
      </c>
      <c r="B3434" t="s">
        <v>1181</v>
      </c>
      <c r="C3434" s="1">
        <v>44040</v>
      </c>
      <c r="D3434">
        <v>990</v>
      </c>
      <c r="E3434" t="b">
        <v>0</v>
      </c>
      <c r="F3434">
        <v>492</v>
      </c>
      <c r="G3434" t="s">
        <v>14</v>
      </c>
      <c r="H3434" t="s">
        <v>346</v>
      </c>
      <c r="I3434" t="s">
        <v>2116</v>
      </c>
    </row>
    <row r="3435" spans="1:9" x14ac:dyDescent="0.35">
      <c r="A3435">
        <v>1139980</v>
      </c>
      <c r="B3435" t="s">
        <v>1181</v>
      </c>
      <c r="C3435" s="1">
        <v>44040</v>
      </c>
      <c r="D3435">
        <v>990</v>
      </c>
      <c r="E3435" t="b">
        <v>0</v>
      </c>
      <c r="F3435">
        <v>492</v>
      </c>
      <c r="G3435" t="s">
        <v>14</v>
      </c>
      <c r="H3435" t="s">
        <v>239</v>
      </c>
      <c r="I3435" t="s">
        <v>2116</v>
      </c>
    </row>
    <row r="3436" spans="1:9" x14ac:dyDescent="0.35">
      <c r="A3436">
        <v>1139980</v>
      </c>
      <c r="B3436" t="s">
        <v>1181</v>
      </c>
      <c r="C3436" s="1">
        <v>44040</v>
      </c>
      <c r="D3436">
        <v>990</v>
      </c>
      <c r="E3436" t="b">
        <v>0</v>
      </c>
      <c r="F3436">
        <v>492</v>
      </c>
      <c r="G3436" t="s">
        <v>14</v>
      </c>
      <c r="H3436" t="s">
        <v>132</v>
      </c>
      <c r="I3436" t="s">
        <v>2116</v>
      </c>
    </row>
    <row r="3437" spans="1:9" x14ac:dyDescent="0.35">
      <c r="A3437">
        <v>1139980</v>
      </c>
      <c r="B3437" t="s">
        <v>1181</v>
      </c>
      <c r="C3437" s="1">
        <v>44040</v>
      </c>
      <c r="D3437">
        <v>990</v>
      </c>
      <c r="E3437" t="b">
        <v>0</v>
      </c>
      <c r="F3437">
        <v>492</v>
      </c>
      <c r="G3437" t="s">
        <v>14</v>
      </c>
      <c r="H3437" t="s">
        <v>124</v>
      </c>
      <c r="I3437" t="s">
        <v>2117</v>
      </c>
    </row>
    <row r="3438" spans="1:9" x14ac:dyDescent="0.35">
      <c r="A3438">
        <v>1139980</v>
      </c>
      <c r="B3438" t="s">
        <v>1181</v>
      </c>
      <c r="C3438" s="1">
        <v>44040</v>
      </c>
      <c r="D3438">
        <v>990</v>
      </c>
      <c r="E3438" t="b">
        <v>0</v>
      </c>
      <c r="F3438">
        <v>492</v>
      </c>
      <c r="G3438" t="s">
        <v>14</v>
      </c>
      <c r="H3438" t="s">
        <v>1510</v>
      </c>
      <c r="I3438" t="s">
        <v>2117</v>
      </c>
    </row>
    <row r="3439" spans="1:9" x14ac:dyDescent="0.35">
      <c r="A3439">
        <v>838350</v>
      </c>
      <c r="B3439" t="s">
        <v>1183</v>
      </c>
      <c r="C3439" s="1">
        <v>43363</v>
      </c>
      <c r="D3439">
        <v>989</v>
      </c>
      <c r="E3439" t="b">
        <v>0</v>
      </c>
      <c r="F3439">
        <v>494</v>
      </c>
      <c r="G3439" t="s">
        <v>133</v>
      </c>
      <c r="H3439" t="s">
        <v>49</v>
      </c>
      <c r="I3439" t="s">
        <v>2117</v>
      </c>
    </row>
    <row r="3440" spans="1:9" x14ac:dyDescent="0.35">
      <c r="A3440">
        <v>838350</v>
      </c>
      <c r="B3440" t="s">
        <v>1183</v>
      </c>
      <c r="C3440" s="1">
        <v>43363</v>
      </c>
      <c r="D3440">
        <v>989</v>
      </c>
      <c r="E3440" t="b">
        <v>0</v>
      </c>
      <c r="F3440">
        <v>494</v>
      </c>
      <c r="G3440" t="s">
        <v>133</v>
      </c>
      <c r="H3440" t="s">
        <v>792</v>
      </c>
      <c r="I3440" t="s">
        <v>2116</v>
      </c>
    </row>
    <row r="3441" spans="1:9" x14ac:dyDescent="0.35">
      <c r="A3441">
        <v>838350</v>
      </c>
      <c r="B3441" t="s">
        <v>1183</v>
      </c>
      <c r="C3441" s="1">
        <v>43363</v>
      </c>
      <c r="D3441">
        <v>989</v>
      </c>
      <c r="E3441" t="b">
        <v>0</v>
      </c>
      <c r="F3441">
        <v>494</v>
      </c>
      <c r="G3441" t="s">
        <v>133</v>
      </c>
      <c r="H3441" t="s">
        <v>346</v>
      </c>
      <c r="I3441" t="s">
        <v>2116</v>
      </c>
    </row>
    <row r="3442" spans="1:9" x14ac:dyDescent="0.35">
      <c r="A3442">
        <v>838350</v>
      </c>
      <c r="B3442" t="s">
        <v>1183</v>
      </c>
      <c r="C3442" s="1">
        <v>43363</v>
      </c>
      <c r="D3442">
        <v>989</v>
      </c>
      <c r="E3442" t="b">
        <v>0</v>
      </c>
      <c r="F3442">
        <v>494</v>
      </c>
      <c r="G3442" t="s">
        <v>133</v>
      </c>
      <c r="H3442" t="s">
        <v>239</v>
      </c>
      <c r="I3442" t="s">
        <v>2117</v>
      </c>
    </row>
    <row r="3443" spans="1:9" x14ac:dyDescent="0.35">
      <c r="A3443">
        <v>838350</v>
      </c>
      <c r="B3443" t="s">
        <v>1183</v>
      </c>
      <c r="C3443" s="1">
        <v>43363</v>
      </c>
      <c r="D3443">
        <v>989</v>
      </c>
      <c r="E3443" t="b">
        <v>0</v>
      </c>
      <c r="F3443">
        <v>494</v>
      </c>
      <c r="G3443" t="s">
        <v>133</v>
      </c>
      <c r="H3443" t="s">
        <v>132</v>
      </c>
      <c r="I3443" t="s">
        <v>2116</v>
      </c>
    </row>
    <row r="3444" spans="1:9" x14ac:dyDescent="0.35">
      <c r="A3444">
        <v>838350</v>
      </c>
      <c r="B3444" t="s">
        <v>1183</v>
      </c>
      <c r="C3444" s="1">
        <v>43363</v>
      </c>
      <c r="D3444">
        <v>989</v>
      </c>
      <c r="E3444" t="b">
        <v>0</v>
      </c>
      <c r="F3444">
        <v>494</v>
      </c>
      <c r="G3444" t="s">
        <v>133</v>
      </c>
      <c r="H3444" t="s">
        <v>124</v>
      </c>
      <c r="I3444" t="s">
        <v>2116</v>
      </c>
    </row>
    <row r="3445" spans="1:9" x14ac:dyDescent="0.35">
      <c r="A3445">
        <v>838350</v>
      </c>
      <c r="B3445" t="s">
        <v>1183</v>
      </c>
      <c r="C3445" s="1">
        <v>43363</v>
      </c>
      <c r="D3445">
        <v>989</v>
      </c>
      <c r="E3445" t="b">
        <v>0</v>
      </c>
      <c r="F3445">
        <v>494</v>
      </c>
      <c r="G3445" t="s">
        <v>133</v>
      </c>
      <c r="H3445" t="s">
        <v>1510</v>
      </c>
      <c r="I3445" t="s">
        <v>2117</v>
      </c>
    </row>
    <row r="3446" spans="1:9" x14ac:dyDescent="0.35">
      <c r="A3446">
        <v>361420</v>
      </c>
      <c r="B3446" t="s">
        <v>1186</v>
      </c>
      <c r="C3446" s="1">
        <v>43501</v>
      </c>
      <c r="D3446">
        <v>988</v>
      </c>
      <c r="E3446" t="b">
        <v>0</v>
      </c>
      <c r="F3446">
        <v>495</v>
      </c>
      <c r="G3446" t="s">
        <v>33</v>
      </c>
      <c r="H3446" t="s">
        <v>49</v>
      </c>
      <c r="I3446" t="s">
        <v>2117</v>
      </c>
    </row>
    <row r="3447" spans="1:9" x14ac:dyDescent="0.35">
      <c r="A3447">
        <v>361420</v>
      </c>
      <c r="B3447" t="s">
        <v>1186</v>
      </c>
      <c r="C3447" s="1">
        <v>43501</v>
      </c>
      <c r="D3447">
        <v>988</v>
      </c>
      <c r="E3447" t="b">
        <v>0</v>
      </c>
      <c r="F3447">
        <v>495</v>
      </c>
      <c r="G3447" t="s">
        <v>33</v>
      </c>
      <c r="H3447" t="s">
        <v>792</v>
      </c>
      <c r="I3447" t="s">
        <v>2116</v>
      </c>
    </row>
    <row r="3448" spans="1:9" x14ac:dyDescent="0.35">
      <c r="A3448">
        <v>361420</v>
      </c>
      <c r="B3448" t="s">
        <v>1186</v>
      </c>
      <c r="C3448" s="1">
        <v>43501</v>
      </c>
      <c r="D3448">
        <v>988</v>
      </c>
      <c r="E3448" t="b">
        <v>0</v>
      </c>
      <c r="F3448">
        <v>495</v>
      </c>
      <c r="G3448" t="s">
        <v>33</v>
      </c>
      <c r="H3448" t="s">
        <v>346</v>
      </c>
      <c r="I3448" t="s">
        <v>2116</v>
      </c>
    </row>
    <row r="3449" spans="1:9" x14ac:dyDescent="0.35">
      <c r="A3449">
        <v>361420</v>
      </c>
      <c r="B3449" t="s">
        <v>1186</v>
      </c>
      <c r="C3449" s="1">
        <v>43501</v>
      </c>
      <c r="D3449">
        <v>988</v>
      </c>
      <c r="E3449" t="b">
        <v>0</v>
      </c>
      <c r="F3449">
        <v>495</v>
      </c>
      <c r="G3449" t="s">
        <v>33</v>
      </c>
      <c r="H3449" t="s">
        <v>239</v>
      </c>
      <c r="I3449" t="s">
        <v>2117</v>
      </c>
    </row>
    <row r="3450" spans="1:9" x14ac:dyDescent="0.35">
      <c r="A3450">
        <v>361420</v>
      </c>
      <c r="B3450" t="s">
        <v>1186</v>
      </c>
      <c r="C3450" s="1">
        <v>43501</v>
      </c>
      <c r="D3450">
        <v>988</v>
      </c>
      <c r="E3450" t="b">
        <v>0</v>
      </c>
      <c r="F3450">
        <v>495</v>
      </c>
      <c r="G3450" t="s">
        <v>33</v>
      </c>
      <c r="H3450" t="s">
        <v>132</v>
      </c>
      <c r="I3450" t="s">
        <v>2117</v>
      </c>
    </row>
    <row r="3451" spans="1:9" x14ac:dyDescent="0.35">
      <c r="A3451">
        <v>361420</v>
      </c>
      <c r="B3451" t="s">
        <v>1186</v>
      </c>
      <c r="C3451" s="1">
        <v>43501</v>
      </c>
      <c r="D3451">
        <v>988</v>
      </c>
      <c r="E3451" t="b">
        <v>0</v>
      </c>
      <c r="F3451">
        <v>495</v>
      </c>
      <c r="G3451" t="s">
        <v>33</v>
      </c>
      <c r="H3451" t="s">
        <v>124</v>
      </c>
      <c r="I3451" t="s">
        <v>2117</v>
      </c>
    </row>
    <row r="3452" spans="1:9" x14ac:dyDescent="0.35">
      <c r="A3452">
        <v>361420</v>
      </c>
      <c r="B3452" t="s">
        <v>1186</v>
      </c>
      <c r="C3452" s="1">
        <v>43501</v>
      </c>
      <c r="D3452">
        <v>988</v>
      </c>
      <c r="E3452" t="b">
        <v>0</v>
      </c>
      <c r="F3452">
        <v>495</v>
      </c>
      <c r="G3452" t="s">
        <v>33</v>
      </c>
      <c r="H3452" t="s">
        <v>1510</v>
      </c>
      <c r="I3452" t="s">
        <v>2117</v>
      </c>
    </row>
    <row r="3453" spans="1:9" x14ac:dyDescent="0.35">
      <c r="A3453">
        <v>2399420</v>
      </c>
      <c r="B3453" t="s">
        <v>1188</v>
      </c>
      <c r="C3453" s="1">
        <v>45860</v>
      </c>
      <c r="D3453">
        <v>984</v>
      </c>
      <c r="E3453" t="b">
        <v>0</v>
      </c>
      <c r="F3453">
        <v>496</v>
      </c>
      <c r="G3453" t="s">
        <v>119</v>
      </c>
      <c r="H3453" t="s">
        <v>49</v>
      </c>
      <c r="I3453" t="s">
        <v>2117</v>
      </c>
    </row>
    <row r="3454" spans="1:9" x14ac:dyDescent="0.35">
      <c r="A3454">
        <v>2399420</v>
      </c>
      <c r="B3454" t="s">
        <v>1188</v>
      </c>
      <c r="C3454" s="1">
        <v>45860</v>
      </c>
      <c r="D3454">
        <v>984</v>
      </c>
      <c r="E3454" t="b">
        <v>0</v>
      </c>
      <c r="F3454">
        <v>496</v>
      </c>
      <c r="G3454" t="s">
        <v>119</v>
      </c>
      <c r="H3454" t="s">
        <v>792</v>
      </c>
      <c r="I3454" t="s">
        <v>2117</v>
      </c>
    </row>
    <row r="3455" spans="1:9" x14ac:dyDescent="0.35">
      <c r="A3455">
        <v>2399420</v>
      </c>
      <c r="B3455" t="s">
        <v>1188</v>
      </c>
      <c r="C3455" s="1">
        <v>45860</v>
      </c>
      <c r="D3455">
        <v>984</v>
      </c>
      <c r="E3455" t="b">
        <v>0</v>
      </c>
      <c r="F3455">
        <v>496</v>
      </c>
      <c r="G3455" t="s">
        <v>119</v>
      </c>
      <c r="H3455" t="s">
        <v>346</v>
      </c>
      <c r="I3455" t="s">
        <v>2117</v>
      </c>
    </row>
    <row r="3456" spans="1:9" x14ac:dyDescent="0.35">
      <c r="A3456">
        <v>2399420</v>
      </c>
      <c r="B3456" t="s">
        <v>1188</v>
      </c>
      <c r="C3456" s="1">
        <v>45860</v>
      </c>
      <c r="D3456">
        <v>984</v>
      </c>
      <c r="E3456" t="b">
        <v>0</v>
      </c>
      <c r="F3456">
        <v>496</v>
      </c>
      <c r="G3456" t="s">
        <v>119</v>
      </c>
      <c r="H3456" t="s">
        <v>239</v>
      </c>
      <c r="I3456" t="s">
        <v>2116</v>
      </c>
    </row>
    <row r="3457" spans="1:9" x14ac:dyDescent="0.35">
      <c r="A3457">
        <v>2399420</v>
      </c>
      <c r="B3457" t="s">
        <v>1188</v>
      </c>
      <c r="C3457" s="1">
        <v>45860</v>
      </c>
      <c r="D3457">
        <v>984</v>
      </c>
      <c r="E3457" t="b">
        <v>0</v>
      </c>
      <c r="F3457">
        <v>496</v>
      </c>
      <c r="G3457" t="s">
        <v>119</v>
      </c>
      <c r="H3457" t="s">
        <v>132</v>
      </c>
      <c r="I3457" t="s">
        <v>2117</v>
      </c>
    </row>
    <row r="3458" spans="1:9" x14ac:dyDescent="0.35">
      <c r="A3458">
        <v>2399420</v>
      </c>
      <c r="B3458" t="s">
        <v>1188</v>
      </c>
      <c r="C3458" s="1">
        <v>45860</v>
      </c>
      <c r="D3458">
        <v>984</v>
      </c>
      <c r="E3458" t="b">
        <v>0</v>
      </c>
      <c r="F3458">
        <v>496</v>
      </c>
      <c r="G3458" t="s">
        <v>119</v>
      </c>
      <c r="H3458" t="s">
        <v>124</v>
      </c>
      <c r="I3458" t="s">
        <v>2117</v>
      </c>
    </row>
    <row r="3459" spans="1:9" x14ac:dyDescent="0.35">
      <c r="A3459">
        <v>2399420</v>
      </c>
      <c r="B3459" t="s">
        <v>1188</v>
      </c>
      <c r="C3459" s="1">
        <v>45860</v>
      </c>
      <c r="D3459">
        <v>984</v>
      </c>
      <c r="E3459" t="b">
        <v>0</v>
      </c>
      <c r="F3459">
        <v>496</v>
      </c>
      <c r="G3459" t="s">
        <v>119</v>
      </c>
      <c r="H3459" t="s">
        <v>1510</v>
      </c>
      <c r="I3459" t="s">
        <v>2117</v>
      </c>
    </row>
    <row r="3460" spans="1:9" x14ac:dyDescent="0.35">
      <c r="A3460">
        <v>787860</v>
      </c>
      <c r="B3460" t="s">
        <v>1190</v>
      </c>
      <c r="C3460" s="1">
        <v>43423</v>
      </c>
      <c r="D3460">
        <v>983</v>
      </c>
      <c r="E3460" t="b">
        <v>1</v>
      </c>
      <c r="F3460">
        <v>497</v>
      </c>
      <c r="G3460" t="s">
        <v>110</v>
      </c>
      <c r="H3460" t="s">
        <v>49</v>
      </c>
      <c r="I3460" t="s">
        <v>2117</v>
      </c>
    </row>
    <row r="3461" spans="1:9" x14ac:dyDescent="0.35">
      <c r="A3461">
        <v>787860</v>
      </c>
      <c r="B3461" t="s">
        <v>1190</v>
      </c>
      <c r="C3461" s="1">
        <v>43423</v>
      </c>
      <c r="D3461">
        <v>983</v>
      </c>
      <c r="E3461" t="b">
        <v>1</v>
      </c>
      <c r="F3461">
        <v>497</v>
      </c>
      <c r="G3461" t="s">
        <v>110</v>
      </c>
      <c r="H3461" t="s">
        <v>792</v>
      </c>
      <c r="I3461" t="s">
        <v>2117</v>
      </c>
    </row>
    <row r="3462" spans="1:9" x14ac:dyDescent="0.35">
      <c r="A3462">
        <v>787860</v>
      </c>
      <c r="B3462" t="s">
        <v>1190</v>
      </c>
      <c r="C3462" s="1">
        <v>43423</v>
      </c>
      <c r="D3462">
        <v>983</v>
      </c>
      <c r="E3462" t="b">
        <v>1</v>
      </c>
      <c r="F3462">
        <v>497</v>
      </c>
      <c r="G3462" t="s">
        <v>110</v>
      </c>
      <c r="H3462" t="s">
        <v>346</v>
      </c>
      <c r="I3462" t="s">
        <v>2117</v>
      </c>
    </row>
    <row r="3463" spans="1:9" x14ac:dyDescent="0.35">
      <c r="A3463">
        <v>787860</v>
      </c>
      <c r="B3463" t="s">
        <v>1190</v>
      </c>
      <c r="C3463" s="1">
        <v>43423</v>
      </c>
      <c r="D3463">
        <v>983</v>
      </c>
      <c r="E3463" t="b">
        <v>1</v>
      </c>
      <c r="F3463">
        <v>497</v>
      </c>
      <c r="G3463" t="s">
        <v>110</v>
      </c>
      <c r="H3463" t="s">
        <v>239</v>
      </c>
      <c r="I3463" t="s">
        <v>2116</v>
      </c>
    </row>
    <row r="3464" spans="1:9" x14ac:dyDescent="0.35">
      <c r="A3464">
        <v>787860</v>
      </c>
      <c r="B3464" t="s">
        <v>1190</v>
      </c>
      <c r="C3464" s="1">
        <v>43423</v>
      </c>
      <c r="D3464">
        <v>983</v>
      </c>
      <c r="E3464" t="b">
        <v>1</v>
      </c>
      <c r="F3464">
        <v>497</v>
      </c>
      <c r="G3464" t="s">
        <v>110</v>
      </c>
      <c r="H3464" t="s">
        <v>132</v>
      </c>
      <c r="I3464" t="s">
        <v>2117</v>
      </c>
    </row>
    <row r="3465" spans="1:9" x14ac:dyDescent="0.35">
      <c r="A3465">
        <v>787860</v>
      </c>
      <c r="B3465" t="s">
        <v>1190</v>
      </c>
      <c r="C3465" s="1">
        <v>43423</v>
      </c>
      <c r="D3465">
        <v>983</v>
      </c>
      <c r="E3465" t="b">
        <v>1</v>
      </c>
      <c r="F3465">
        <v>497</v>
      </c>
      <c r="G3465" t="s">
        <v>110</v>
      </c>
      <c r="H3465" t="s">
        <v>124</v>
      </c>
      <c r="I3465" t="s">
        <v>2117</v>
      </c>
    </row>
    <row r="3466" spans="1:9" x14ac:dyDescent="0.35">
      <c r="A3466">
        <v>787860</v>
      </c>
      <c r="B3466" t="s">
        <v>1190</v>
      </c>
      <c r="C3466" s="1">
        <v>43423</v>
      </c>
      <c r="D3466">
        <v>983</v>
      </c>
      <c r="E3466" t="b">
        <v>1</v>
      </c>
      <c r="F3466">
        <v>497</v>
      </c>
      <c r="G3466" t="s">
        <v>110</v>
      </c>
      <c r="H3466" t="s">
        <v>1510</v>
      </c>
      <c r="I3466" t="s">
        <v>2117</v>
      </c>
    </row>
    <row r="3467" spans="1:9" x14ac:dyDescent="0.35">
      <c r="A3467">
        <v>552100</v>
      </c>
      <c r="B3467" t="s">
        <v>1192</v>
      </c>
      <c r="C3467" s="1">
        <v>45121</v>
      </c>
      <c r="D3467">
        <v>983</v>
      </c>
      <c r="E3467" t="b">
        <v>0</v>
      </c>
      <c r="F3467">
        <v>497</v>
      </c>
      <c r="G3467" t="s">
        <v>133</v>
      </c>
      <c r="H3467" t="s">
        <v>49</v>
      </c>
      <c r="I3467" t="s">
        <v>2117</v>
      </c>
    </row>
    <row r="3468" spans="1:9" x14ac:dyDescent="0.35">
      <c r="A3468">
        <v>552100</v>
      </c>
      <c r="B3468" t="s">
        <v>1192</v>
      </c>
      <c r="C3468" s="1">
        <v>45121</v>
      </c>
      <c r="D3468">
        <v>983</v>
      </c>
      <c r="E3468" t="b">
        <v>0</v>
      </c>
      <c r="F3468">
        <v>497</v>
      </c>
      <c r="G3468" t="s">
        <v>133</v>
      </c>
      <c r="H3468" t="s">
        <v>792</v>
      </c>
      <c r="I3468" t="s">
        <v>2117</v>
      </c>
    </row>
    <row r="3469" spans="1:9" x14ac:dyDescent="0.35">
      <c r="A3469">
        <v>552100</v>
      </c>
      <c r="B3469" t="s">
        <v>1192</v>
      </c>
      <c r="C3469" s="1">
        <v>45121</v>
      </c>
      <c r="D3469">
        <v>983</v>
      </c>
      <c r="E3469" t="b">
        <v>0</v>
      </c>
      <c r="F3469">
        <v>497</v>
      </c>
      <c r="G3469" t="s">
        <v>133</v>
      </c>
      <c r="H3469" t="s">
        <v>346</v>
      </c>
      <c r="I3469" t="s">
        <v>2117</v>
      </c>
    </row>
    <row r="3470" spans="1:9" x14ac:dyDescent="0.35">
      <c r="A3470">
        <v>552100</v>
      </c>
      <c r="B3470" t="s">
        <v>1192</v>
      </c>
      <c r="C3470" s="1">
        <v>45121</v>
      </c>
      <c r="D3470">
        <v>983</v>
      </c>
      <c r="E3470" t="b">
        <v>0</v>
      </c>
      <c r="F3470">
        <v>497</v>
      </c>
      <c r="G3470" t="s">
        <v>133</v>
      </c>
      <c r="H3470" t="s">
        <v>239</v>
      </c>
      <c r="I3470" t="s">
        <v>2116</v>
      </c>
    </row>
    <row r="3471" spans="1:9" x14ac:dyDescent="0.35">
      <c r="A3471">
        <v>552100</v>
      </c>
      <c r="B3471" t="s">
        <v>1192</v>
      </c>
      <c r="C3471" s="1">
        <v>45121</v>
      </c>
      <c r="D3471">
        <v>983</v>
      </c>
      <c r="E3471" t="b">
        <v>0</v>
      </c>
      <c r="F3471">
        <v>497</v>
      </c>
      <c r="G3471" t="s">
        <v>133</v>
      </c>
      <c r="H3471" t="s">
        <v>132</v>
      </c>
      <c r="I3471" t="s">
        <v>2117</v>
      </c>
    </row>
    <row r="3472" spans="1:9" x14ac:dyDescent="0.35">
      <c r="A3472">
        <v>552100</v>
      </c>
      <c r="B3472" t="s">
        <v>1192</v>
      </c>
      <c r="C3472" s="1">
        <v>45121</v>
      </c>
      <c r="D3472">
        <v>983</v>
      </c>
      <c r="E3472" t="b">
        <v>0</v>
      </c>
      <c r="F3472">
        <v>497</v>
      </c>
      <c r="G3472" t="s">
        <v>133</v>
      </c>
      <c r="H3472" t="s">
        <v>124</v>
      </c>
      <c r="I3472" t="s">
        <v>2117</v>
      </c>
    </row>
    <row r="3473" spans="1:9" x14ac:dyDescent="0.35">
      <c r="A3473">
        <v>552100</v>
      </c>
      <c r="B3473" t="s">
        <v>1192</v>
      </c>
      <c r="C3473" s="1">
        <v>45121</v>
      </c>
      <c r="D3473">
        <v>983</v>
      </c>
      <c r="E3473" t="b">
        <v>0</v>
      </c>
      <c r="F3473">
        <v>497</v>
      </c>
      <c r="G3473" t="s">
        <v>133</v>
      </c>
      <c r="H3473" t="s">
        <v>1510</v>
      </c>
      <c r="I3473" t="s">
        <v>2117</v>
      </c>
    </row>
    <row r="3474" spans="1:9" x14ac:dyDescent="0.35">
      <c r="A3474">
        <v>431240</v>
      </c>
      <c r="B3474" t="s">
        <v>1194</v>
      </c>
      <c r="C3474" s="1">
        <v>43970</v>
      </c>
      <c r="D3474">
        <v>979</v>
      </c>
      <c r="E3474" t="b">
        <v>1</v>
      </c>
      <c r="F3474">
        <v>499</v>
      </c>
      <c r="G3474" t="s">
        <v>133</v>
      </c>
      <c r="H3474" t="s">
        <v>49</v>
      </c>
      <c r="I3474" t="s">
        <v>2117</v>
      </c>
    </row>
    <row r="3475" spans="1:9" x14ac:dyDescent="0.35">
      <c r="A3475">
        <v>431240</v>
      </c>
      <c r="B3475" t="s">
        <v>1194</v>
      </c>
      <c r="C3475" s="1">
        <v>43970</v>
      </c>
      <c r="D3475">
        <v>979</v>
      </c>
      <c r="E3475" t="b">
        <v>1</v>
      </c>
      <c r="F3475">
        <v>499</v>
      </c>
      <c r="G3475" t="s">
        <v>133</v>
      </c>
      <c r="H3475" t="s">
        <v>792</v>
      </c>
      <c r="I3475" t="s">
        <v>2116</v>
      </c>
    </row>
    <row r="3476" spans="1:9" x14ac:dyDescent="0.35">
      <c r="A3476">
        <v>431240</v>
      </c>
      <c r="B3476" t="s">
        <v>1194</v>
      </c>
      <c r="C3476" s="1">
        <v>43970</v>
      </c>
      <c r="D3476">
        <v>979</v>
      </c>
      <c r="E3476" t="b">
        <v>1</v>
      </c>
      <c r="F3476">
        <v>499</v>
      </c>
      <c r="G3476" t="s">
        <v>133</v>
      </c>
      <c r="H3476" t="s">
        <v>346</v>
      </c>
      <c r="I3476" t="s">
        <v>2117</v>
      </c>
    </row>
    <row r="3477" spans="1:9" x14ac:dyDescent="0.35">
      <c r="A3477">
        <v>431240</v>
      </c>
      <c r="B3477" t="s">
        <v>1194</v>
      </c>
      <c r="C3477" s="1">
        <v>43970</v>
      </c>
      <c r="D3477">
        <v>979</v>
      </c>
      <c r="E3477" t="b">
        <v>1</v>
      </c>
      <c r="F3477">
        <v>499</v>
      </c>
      <c r="G3477" t="s">
        <v>133</v>
      </c>
      <c r="H3477" t="s">
        <v>239</v>
      </c>
      <c r="I3477" t="s">
        <v>2117</v>
      </c>
    </row>
    <row r="3478" spans="1:9" x14ac:dyDescent="0.35">
      <c r="A3478">
        <v>431240</v>
      </c>
      <c r="B3478" t="s">
        <v>1194</v>
      </c>
      <c r="C3478" s="1">
        <v>43970</v>
      </c>
      <c r="D3478">
        <v>979</v>
      </c>
      <c r="E3478" t="b">
        <v>1</v>
      </c>
      <c r="F3478">
        <v>499</v>
      </c>
      <c r="G3478" t="s">
        <v>133</v>
      </c>
      <c r="H3478" t="s">
        <v>132</v>
      </c>
      <c r="I3478" t="s">
        <v>2117</v>
      </c>
    </row>
    <row r="3479" spans="1:9" x14ac:dyDescent="0.35">
      <c r="A3479">
        <v>431240</v>
      </c>
      <c r="B3479" t="s">
        <v>1194</v>
      </c>
      <c r="C3479" s="1">
        <v>43970</v>
      </c>
      <c r="D3479">
        <v>979</v>
      </c>
      <c r="E3479" t="b">
        <v>1</v>
      </c>
      <c r="F3479">
        <v>499</v>
      </c>
      <c r="G3479" t="s">
        <v>133</v>
      </c>
      <c r="H3479" t="s">
        <v>124</v>
      </c>
      <c r="I3479" t="s">
        <v>2117</v>
      </c>
    </row>
    <row r="3480" spans="1:9" x14ac:dyDescent="0.35">
      <c r="A3480">
        <v>431240</v>
      </c>
      <c r="B3480" t="s">
        <v>1194</v>
      </c>
      <c r="C3480" s="1">
        <v>43970</v>
      </c>
      <c r="D3480">
        <v>979</v>
      </c>
      <c r="E3480" t="b">
        <v>1</v>
      </c>
      <c r="F3480">
        <v>499</v>
      </c>
      <c r="G3480" t="s">
        <v>133</v>
      </c>
      <c r="H3480" t="s">
        <v>1510</v>
      </c>
      <c r="I3480" t="s">
        <v>2117</v>
      </c>
    </row>
    <row r="3481" spans="1:9" x14ac:dyDescent="0.35">
      <c r="A3481">
        <v>1336980</v>
      </c>
      <c r="B3481" t="s">
        <v>1197</v>
      </c>
      <c r="C3481" s="1">
        <v>44762</v>
      </c>
      <c r="D3481">
        <v>977</v>
      </c>
      <c r="E3481" t="b">
        <v>0</v>
      </c>
      <c r="F3481">
        <v>500</v>
      </c>
      <c r="G3481" t="s">
        <v>53</v>
      </c>
      <c r="H3481" t="s">
        <v>49</v>
      </c>
      <c r="I3481" t="s">
        <v>2117</v>
      </c>
    </row>
    <row r="3482" spans="1:9" x14ac:dyDescent="0.35">
      <c r="A3482">
        <v>1336980</v>
      </c>
      <c r="B3482" t="s">
        <v>1197</v>
      </c>
      <c r="C3482" s="1">
        <v>44762</v>
      </c>
      <c r="D3482">
        <v>977</v>
      </c>
      <c r="E3482" t="b">
        <v>0</v>
      </c>
      <c r="F3482">
        <v>500</v>
      </c>
      <c r="G3482" t="s">
        <v>53</v>
      </c>
      <c r="H3482" t="s">
        <v>792</v>
      </c>
      <c r="I3482" t="s">
        <v>2117</v>
      </c>
    </row>
    <row r="3483" spans="1:9" x14ac:dyDescent="0.35">
      <c r="A3483">
        <v>1336980</v>
      </c>
      <c r="B3483" t="s">
        <v>1197</v>
      </c>
      <c r="C3483" s="1">
        <v>44762</v>
      </c>
      <c r="D3483">
        <v>977</v>
      </c>
      <c r="E3483" t="b">
        <v>0</v>
      </c>
      <c r="F3483">
        <v>500</v>
      </c>
      <c r="G3483" t="s">
        <v>53</v>
      </c>
      <c r="H3483" t="s">
        <v>346</v>
      </c>
      <c r="I3483" t="s">
        <v>2117</v>
      </c>
    </row>
    <row r="3484" spans="1:9" x14ac:dyDescent="0.35">
      <c r="A3484">
        <v>1336980</v>
      </c>
      <c r="B3484" t="s">
        <v>1197</v>
      </c>
      <c r="C3484" s="1">
        <v>44762</v>
      </c>
      <c r="D3484">
        <v>977</v>
      </c>
      <c r="E3484" t="b">
        <v>0</v>
      </c>
      <c r="F3484">
        <v>500</v>
      </c>
      <c r="G3484" t="s">
        <v>53</v>
      </c>
      <c r="H3484" t="s">
        <v>239</v>
      </c>
      <c r="I3484" t="s">
        <v>2116</v>
      </c>
    </row>
    <row r="3485" spans="1:9" x14ac:dyDescent="0.35">
      <c r="A3485">
        <v>1336980</v>
      </c>
      <c r="B3485" t="s">
        <v>1197</v>
      </c>
      <c r="C3485" s="1">
        <v>44762</v>
      </c>
      <c r="D3485">
        <v>977</v>
      </c>
      <c r="E3485" t="b">
        <v>0</v>
      </c>
      <c r="F3485">
        <v>500</v>
      </c>
      <c r="G3485" t="s">
        <v>53</v>
      </c>
      <c r="H3485" t="s">
        <v>132</v>
      </c>
      <c r="I3485" t="s">
        <v>2117</v>
      </c>
    </row>
    <row r="3486" spans="1:9" x14ac:dyDescent="0.35">
      <c r="A3486">
        <v>1336980</v>
      </c>
      <c r="B3486" t="s">
        <v>1197</v>
      </c>
      <c r="C3486" s="1">
        <v>44762</v>
      </c>
      <c r="D3486">
        <v>977</v>
      </c>
      <c r="E3486" t="b">
        <v>0</v>
      </c>
      <c r="F3486">
        <v>500</v>
      </c>
      <c r="G3486" t="s">
        <v>53</v>
      </c>
      <c r="H3486" t="s">
        <v>124</v>
      </c>
      <c r="I3486" t="s">
        <v>2117</v>
      </c>
    </row>
    <row r="3487" spans="1:9" x14ac:dyDescent="0.35">
      <c r="A3487">
        <v>1336980</v>
      </c>
      <c r="B3487" t="s">
        <v>1197</v>
      </c>
      <c r="C3487" s="1">
        <v>44762</v>
      </c>
      <c r="D3487">
        <v>977</v>
      </c>
      <c r="E3487" t="b">
        <v>0</v>
      </c>
      <c r="F3487">
        <v>500</v>
      </c>
      <c r="G3487" t="s">
        <v>53</v>
      </c>
      <c r="H3487" t="s">
        <v>1510</v>
      </c>
      <c r="I3487" t="s">
        <v>2117</v>
      </c>
    </row>
    <row r="3488" spans="1:9" x14ac:dyDescent="0.35">
      <c r="A3488">
        <v>1173510</v>
      </c>
      <c r="B3488" t="s">
        <v>1199</v>
      </c>
      <c r="C3488" s="1">
        <v>43893</v>
      </c>
      <c r="D3488">
        <v>975</v>
      </c>
      <c r="E3488" t="b">
        <v>0</v>
      </c>
      <c r="F3488">
        <v>501</v>
      </c>
      <c r="G3488" t="s">
        <v>33</v>
      </c>
      <c r="H3488" t="s">
        <v>49</v>
      </c>
      <c r="I3488" t="s">
        <v>2117</v>
      </c>
    </row>
    <row r="3489" spans="1:9" x14ac:dyDescent="0.35">
      <c r="A3489">
        <v>1173510</v>
      </c>
      <c r="B3489" t="s">
        <v>1199</v>
      </c>
      <c r="C3489" s="1">
        <v>43893</v>
      </c>
      <c r="D3489">
        <v>975</v>
      </c>
      <c r="E3489" t="b">
        <v>0</v>
      </c>
      <c r="F3489">
        <v>501</v>
      </c>
      <c r="G3489" t="s">
        <v>33</v>
      </c>
      <c r="H3489" t="s">
        <v>792</v>
      </c>
      <c r="I3489" t="s">
        <v>2117</v>
      </c>
    </row>
    <row r="3490" spans="1:9" x14ac:dyDescent="0.35">
      <c r="A3490">
        <v>1173510</v>
      </c>
      <c r="B3490" t="s">
        <v>1199</v>
      </c>
      <c r="C3490" s="1">
        <v>43893</v>
      </c>
      <c r="D3490">
        <v>975</v>
      </c>
      <c r="E3490" t="b">
        <v>0</v>
      </c>
      <c r="F3490">
        <v>501</v>
      </c>
      <c r="G3490" t="s">
        <v>33</v>
      </c>
      <c r="H3490" t="s">
        <v>346</v>
      </c>
      <c r="I3490" t="s">
        <v>2117</v>
      </c>
    </row>
    <row r="3491" spans="1:9" x14ac:dyDescent="0.35">
      <c r="A3491">
        <v>1173510</v>
      </c>
      <c r="B3491" t="s">
        <v>1199</v>
      </c>
      <c r="C3491" s="1">
        <v>43893</v>
      </c>
      <c r="D3491">
        <v>975</v>
      </c>
      <c r="E3491" t="b">
        <v>0</v>
      </c>
      <c r="F3491">
        <v>501</v>
      </c>
      <c r="G3491" t="s">
        <v>33</v>
      </c>
      <c r="H3491" t="s">
        <v>239</v>
      </c>
      <c r="I3491" t="s">
        <v>2117</v>
      </c>
    </row>
    <row r="3492" spans="1:9" x14ac:dyDescent="0.35">
      <c r="A3492">
        <v>1173510</v>
      </c>
      <c r="B3492" t="s">
        <v>1199</v>
      </c>
      <c r="C3492" s="1">
        <v>43893</v>
      </c>
      <c r="D3492">
        <v>975</v>
      </c>
      <c r="E3492" t="b">
        <v>0</v>
      </c>
      <c r="F3492">
        <v>501</v>
      </c>
      <c r="G3492" t="s">
        <v>33</v>
      </c>
      <c r="H3492" t="s">
        <v>132</v>
      </c>
      <c r="I3492" t="s">
        <v>2117</v>
      </c>
    </row>
    <row r="3493" spans="1:9" x14ac:dyDescent="0.35">
      <c r="A3493">
        <v>1173510</v>
      </c>
      <c r="B3493" t="s">
        <v>1199</v>
      </c>
      <c r="C3493" s="1">
        <v>43893</v>
      </c>
      <c r="D3493">
        <v>975</v>
      </c>
      <c r="E3493" t="b">
        <v>0</v>
      </c>
      <c r="F3493">
        <v>501</v>
      </c>
      <c r="G3493" t="s">
        <v>33</v>
      </c>
      <c r="H3493" t="s">
        <v>124</v>
      </c>
      <c r="I3493" t="s">
        <v>2117</v>
      </c>
    </row>
    <row r="3494" spans="1:9" x14ac:dyDescent="0.35">
      <c r="A3494">
        <v>1173510</v>
      </c>
      <c r="B3494" t="s">
        <v>1199</v>
      </c>
      <c r="C3494" s="1">
        <v>43893</v>
      </c>
      <c r="D3494">
        <v>975</v>
      </c>
      <c r="E3494" t="b">
        <v>0</v>
      </c>
      <c r="F3494">
        <v>501</v>
      </c>
      <c r="G3494" t="s">
        <v>33</v>
      </c>
      <c r="H3494" t="s">
        <v>1510</v>
      </c>
      <c r="I3494" t="s">
        <v>2117</v>
      </c>
    </row>
    <row r="3495" spans="1:9" x14ac:dyDescent="0.35">
      <c r="A3495">
        <v>1042550</v>
      </c>
      <c r="B3495" t="s">
        <v>1201</v>
      </c>
      <c r="C3495" s="1">
        <v>43755</v>
      </c>
      <c r="D3495">
        <v>968</v>
      </c>
      <c r="E3495" t="b">
        <v>0</v>
      </c>
      <c r="F3495">
        <v>502</v>
      </c>
      <c r="G3495" t="s">
        <v>40</v>
      </c>
      <c r="H3495" t="s">
        <v>49</v>
      </c>
      <c r="I3495" t="s">
        <v>2117</v>
      </c>
    </row>
    <row r="3496" spans="1:9" x14ac:dyDescent="0.35">
      <c r="A3496">
        <v>1042550</v>
      </c>
      <c r="B3496" t="s">
        <v>1201</v>
      </c>
      <c r="C3496" s="1">
        <v>43755</v>
      </c>
      <c r="D3496">
        <v>968</v>
      </c>
      <c r="E3496" t="b">
        <v>0</v>
      </c>
      <c r="F3496">
        <v>502</v>
      </c>
      <c r="G3496" t="s">
        <v>40</v>
      </c>
      <c r="H3496" t="s">
        <v>792</v>
      </c>
      <c r="I3496" t="s">
        <v>2117</v>
      </c>
    </row>
    <row r="3497" spans="1:9" x14ac:dyDescent="0.35">
      <c r="A3497">
        <v>1042550</v>
      </c>
      <c r="B3497" t="s">
        <v>1201</v>
      </c>
      <c r="C3497" s="1">
        <v>43755</v>
      </c>
      <c r="D3497">
        <v>968</v>
      </c>
      <c r="E3497" t="b">
        <v>0</v>
      </c>
      <c r="F3497">
        <v>502</v>
      </c>
      <c r="G3497" t="s">
        <v>40</v>
      </c>
      <c r="H3497" t="s">
        <v>346</v>
      </c>
      <c r="I3497" t="s">
        <v>2117</v>
      </c>
    </row>
    <row r="3498" spans="1:9" x14ac:dyDescent="0.35">
      <c r="A3498">
        <v>1042550</v>
      </c>
      <c r="B3498" t="s">
        <v>1201</v>
      </c>
      <c r="C3498" s="1">
        <v>43755</v>
      </c>
      <c r="D3498">
        <v>968</v>
      </c>
      <c r="E3498" t="b">
        <v>0</v>
      </c>
      <c r="F3498">
        <v>502</v>
      </c>
      <c r="G3498" t="s">
        <v>40</v>
      </c>
      <c r="H3498" t="s">
        <v>239</v>
      </c>
      <c r="I3498" t="s">
        <v>2117</v>
      </c>
    </row>
    <row r="3499" spans="1:9" x14ac:dyDescent="0.35">
      <c r="A3499">
        <v>1042550</v>
      </c>
      <c r="B3499" t="s">
        <v>1201</v>
      </c>
      <c r="C3499" s="1">
        <v>43755</v>
      </c>
      <c r="D3499">
        <v>968</v>
      </c>
      <c r="E3499" t="b">
        <v>0</v>
      </c>
      <c r="F3499">
        <v>502</v>
      </c>
      <c r="G3499" t="s">
        <v>40</v>
      </c>
      <c r="H3499" t="s">
        <v>132</v>
      </c>
      <c r="I3499" t="s">
        <v>2116</v>
      </c>
    </row>
    <row r="3500" spans="1:9" x14ac:dyDescent="0.35">
      <c r="A3500">
        <v>1042550</v>
      </c>
      <c r="B3500" t="s">
        <v>1201</v>
      </c>
      <c r="C3500" s="1">
        <v>43755</v>
      </c>
      <c r="D3500">
        <v>968</v>
      </c>
      <c r="E3500" t="b">
        <v>0</v>
      </c>
      <c r="F3500">
        <v>502</v>
      </c>
      <c r="G3500" t="s">
        <v>40</v>
      </c>
      <c r="H3500" t="s">
        <v>124</v>
      </c>
      <c r="I3500" t="s">
        <v>2117</v>
      </c>
    </row>
    <row r="3501" spans="1:9" x14ac:dyDescent="0.35">
      <c r="A3501">
        <v>1042550</v>
      </c>
      <c r="B3501" t="s">
        <v>1201</v>
      </c>
      <c r="C3501" s="1">
        <v>43755</v>
      </c>
      <c r="D3501">
        <v>968</v>
      </c>
      <c r="E3501" t="b">
        <v>0</v>
      </c>
      <c r="F3501">
        <v>502</v>
      </c>
      <c r="G3501" t="s">
        <v>40</v>
      </c>
      <c r="H3501" t="s">
        <v>1510</v>
      </c>
      <c r="I3501" t="s">
        <v>2117</v>
      </c>
    </row>
    <row r="3502" spans="1:9" x14ac:dyDescent="0.35">
      <c r="A3502">
        <v>2878960</v>
      </c>
      <c r="B3502" t="s">
        <v>1203</v>
      </c>
      <c r="C3502" s="1">
        <v>45729</v>
      </c>
      <c r="D3502">
        <v>965</v>
      </c>
      <c r="E3502" t="b">
        <v>0</v>
      </c>
      <c r="F3502">
        <v>503</v>
      </c>
      <c r="G3502" t="s">
        <v>25</v>
      </c>
      <c r="H3502" t="s">
        <v>49</v>
      </c>
      <c r="I3502" t="s">
        <v>2117</v>
      </c>
    </row>
    <row r="3503" spans="1:9" x14ac:dyDescent="0.35">
      <c r="A3503">
        <v>2878960</v>
      </c>
      <c r="B3503" t="s">
        <v>1203</v>
      </c>
      <c r="C3503" s="1">
        <v>45729</v>
      </c>
      <c r="D3503">
        <v>965</v>
      </c>
      <c r="E3503" t="b">
        <v>0</v>
      </c>
      <c r="F3503">
        <v>503</v>
      </c>
      <c r="G3503" t="s">
        <v>25</v>
      </c>
      <c r="H3503" t="s">
        <v>792</v>
      </c>
      <c r="I3503" t="s">
        <v>2117</v>
      </c>
    </row>
    <row r="3504" spans="1:9" x14ac:dyDescent="0.35">
      <c r="A3504">
        <v>2878960</v>
      </c>
      <c r="B3504" t="s">
        <v>1203</v>
      </c>
      <c r="C3504" s="1">
        <v>45729</v>
      </c>
      <c r="D3504">
        <v>965</v>
      </c>
      <c r="E3504" t="b">
        <v>0</v>
      </c>
      <c r="F3504">
        <v>503</v>
      </c>
      <c r="G3504" t="s">
        <v>25</v>
      </c>
      <c r="H3504" t="s">
        <v>346</v>
      </c>
      <c r="I3504" t="s">
        <v>2117</v>
      </c>
    </row>
    <row r="3505" spans="1:9" x14ac:dyDescent="0.35">
      <c r="A3505">
        <v>2878960</v>
      </c>
      <c r="B3505" t="s">
        <v>1203</v>
      </c>
      <c r="C3505" s="1">
        <v>45729</v>
      </c>
      <c r="D3505">
        <v>965</v>
      </c>
      <c r="E3505" t="b">
        <v>0</v>
      </c>
      <c r="F3505">
        <v>503</v>
      </c>
      <c r="G3505" t="s">
        <v>25</v>
      </c>
      <c r="H3505" t="s">
        <v>239</v>
      </c>
      <c r="I3505" t="s">
        <v>2116</v>
      </c>
    </row>
    <row r="3506" spans="1:9" x14ac:dyDescent="0.35">
      <c r="A3506">
        <v>2878960</v>
      </c>
      <c r="B3506" t="s">
        <v>1203</v>
      </c>
      <c r="C3506" s="1">
        <v>45729</v>
      </c>
      <c r="D3506">
        <v>965</v>
      </c>
      <c r="E3506" t="b">
        <v>0</v>
      </c>
      <c r="F3506">
        <v>503</v>
      </c>
      <c r="G3506" t="s">
        <v>25</v>
      </c>
      <c r="H3506" t="s">
        <v>132</v>
      </c>
      <c r="I3506" t="s">
        <v>2117</v>
      </c>
    </row>
    <row r="3507" spans="1:9" x14ac:dyDescent="0.35">
      <c r="A3507">
        <v>2878960</v>
      </c>
      <c r="B3507" t="s">
        <v>1203</v>
      </c>
      <c r="C3507" s="1">
        <v>45729</v>
      </c>
      <c r="D3507">
        <v>965</v>
      </c>
      <c r="E3507" t="b">
        <v>0</v>
      </c>
      <c r="F3507">
        <v>503</v>
      </c>
      <c r="G3507" t="s">
        <v>25</v>
      </c>
      <c r="H3507" t="s">
        <v>124</v>
      </c>
      <c r="I3507" t="s">
        <v>2117</v>
      </c>
    </row>
    <row r="3508" spans="1:9" x14ac:dyDescent="0.35">
      <c r="A3508">
        <v>2878960</v>
      </c>
      <c r="B3508" t="s">
        <v>1203</v>
      </c>
      <c r="C3508" s="1">
        <v>45729</v>
      </c>
      <c r="D3508">
        <v>965</v>
      </c>
      <c r="E3508" t="b">
        <v>0</v>
      </c>
      <c r="F3508">
        <v>503</v>
      </c>
      <c r="G3508" t="s">
        <v>25</v>
      </c>
      <c r="H3508" t="s">
        <v>1510</v>
      </c>
      <c r="I3508" t="s">
        <v>2117</v>
      </c>
    </row>
    <row r="3509" spans="1:9" x14ac:dyDescent="0.35">
      <c r="A3509">
        <v>1948980</v>
      </c>
      <c r="B3509" t="s">
        <v>1205</v>
      </c>
      <c r="C3509" s="1">
        <v>45245</v>
      </c>
      <c r="D3509">
        <v>963</v>
      </c>
      <c r="E3509" t="b">
        <v>0</v>
      </c>
      <c r="F3509">
        <v>504</v>
      </c>
      <c r="G3509" t="s">
        <v>304</v>
      </c>
      <c r="H3509" t="s">
        <v>49</v>
      </c>
      <c r="I3509" t="s">
        <v>2117</v>
      </c>
    </row>
    <row r="3510" spans="1:9" x14ac:dyDescent="0.35">
      <c r="A3510">
        <v>1948980</v>
      </c>
      <c r="B3510" t="s">
        <v>1205</v>
      </c>
      <c r="C3510" s="1">
        <v>45245</v>
      </c>
      <c r="D3510">
        <v>963</v>
      </c>
      <c r="E3510" t="b">
        <v>0</v>
      </c>
      <c r="F3510">
        <v>504</v>
      </c>
      <c r="G3510" t="s">
        <v>304</v>
      </c>
      <c r="H3510" t="s">
        <v>792</v>
      </c>
      <c r="I3510" t="s">
        <v>2116</v>
      </c>
    </row>
    <row r="3511" spans="1:9" x14ac:dyDescent="0.35">
      <c r="A3511">
        <v>1948980</v>
      </c>
      <c r="B3511" t="s">
        <v>1205</v>
      </c>
      <c r="C3511" s="1">
        <v>45245</v>
      </c>
      <c r="D3511">
        <v>963</v>
      </c>
      <c r="E3511" t="b">
        <v>0</v>
      </c>
      <c r="F3511">
        <v>504</v>
      </c>
      <c r="G3511" t="s">
        <v>304</v>
      </c>
      <c r="H3511" t="s">
        <v>346</v>
      </c>
      <c r="I3511" t="s">
        <v>2116</v>
      </c>
    </row>
    <row r="3512" spans="1:9" x14ac:dyDescent="0.35">
      <c r="A3512">
        <v>1948980</v>
      </c>
      <c r="B3512" t="s">
        <v>1205</v>
      </c>
      <c r="C3512" s="1">
        <v>45245</v>
      </c>
      <c r="D3512">
        <v>963</v>
      </c>
      <c r="E3512" t="b">
        <v>0</v>
      </c>
      <c r="F3512">
        <v>504</v>
      </c>
      <c r="G3512" t="s">
        <v>304</v>
      </c>
      <c r="H3512" t="s">
        <v>239</v>
      </c>
      <c r="I3512" t="s">
        <v>2116</v>
      </c>
    </row>
    <row r="3513" spans="1:9" x14ac:dyDescent="0.35">
      <c r="A3513">
        <v>1948980</v>
      </c>
      <c r="B3513" t="s">
        <v>1205</v>
      </c>
      <c r="C3513" s="1">
        <v>45245</v>
      </c>
      <c r="D3513">
        <v>963</v>
      </c>
      <c r="E3513" t="b">
        <v>0</v>
      </c>
      <c r="F3513">
        <v>504</v>
      </c>
      <c r="G3513" t="s">
        <v>304</v>
      </c>
      <c r="H3513" t="s">
        <v>132</v>
      </c>
      <c r="I3513" t="s">
        <v>2116</v>
      </c>
    </row>
    <row r="3514" spans="1:9" x14ac:dyDescent="0.35">
      <c r="A3514">
        <v>1948980</v>
      </c>
      <c r="B3514" t="s">
        <v>1205</v>
      </c>
      <c r="C3514" s="1">
        <v>45245</v>
      </c>
      <c r="D3514">
        <v>963</v>
      </c>
      <c r="E3514" t="b">
        <v>0</v>
      </c>
      <c r="F3514">
        <v>504</v>
      </c>
      <c r="G3514" t="s">
        <v>304</v>
      </c>
      <c r="H3514" t="s">
        <v>124</v>
      </c>
      <c r="I3514" t="s">
        <v>2117</v>
      </c>
    </row>
    <row r="3515" spans="1:9" x14ac:dyDescent="0.35">
      <c r="A3515">
        <v>1948980</v>
      </c>
      <c r="B3515" t="s">
        <v>1205</v>
      </c>
      <c r="C3515" s="1">
        <v>45245</v>
      </c>
      <c r="D3515">
        <v>963</v>
      </c>
      <c r="E3515" t="b">
        <v>0</v>
      </c>
      <c r="F3515">
        <v>504</v>
      </c>
      <c r="G3515" t="s">
        <v>304</v>
      </c>
      <c r="H3515" t="s">
        <v>1510</v>
      </c>
      <c r="I3515" t="s">
        <v>2117</v>
      </c>
    </row>
    <row r="3516" spans="1:9" x14ac:dyDescent="0.35">
      <c r="A3516">
        <v>1113000</v>
      </c>
      <c r="B3516" t="s">
        <v>1208</v>
      </c>
      <c r="C3516" s="1">
        <v>43995</v>
      </c>
      <c r="D3516">
        <v>962</v>
      </c>
      <c r="E3516" t="b">
        <v>0</v>
      </c>
      <c r="F3516">
        <v>505</v>
      </c>
      <c r="G3516" t="s">
        <v>110</v>
      </c>
      <c r="H3516" t="s">
        <v>49</v>
      </c>
      <c r="I3516" t="s">
        <v>2117</v>
      </c>
    </row>
    <row r="3517" spans="1:9" x14ac:dyDescent="0.35">
      <c r="A3517">
        <v>1113000</v>
      </c>
      <c r="B3517" t="s">
        <v>1208</v>
      </c>
      <c r="C3517" s="1">
        <v>43995</v>
      </c>
      <c r="D3517">
        <v>962</v>
      </c>
      <c r="E3517" t="b">
        <v>0</v>
      </c>
      <c r="F3517">
        <v>505</v>
      </c>
      <c r="G3517" t="s">
        <v>110</v>
      </c>
      <c r="H3517" t="s">
        <v>792</v>
      </c>
      <c r="I3517" t="s">
        <v>2117</v>
      </c>
    </row>
    <row r="3518" spans="1:9" x14ac:dyDescent="0.35">
      <c r="A3518">
        <v>1113000</v>
      </c>
      <c r="B3518" t="s">
        <v>1208</v>
      </c>
      <c r="C3518" s="1">
        <v>43995</v>
      </c>
      <c r="D3518">
        <v>962</v>
      </c>
      <c r="E3518" t="b">
        <v>0</v>
      </c>
      <c r="F3518">
        <v>505</v>
      </c>
      <c r="G3518" t="s">
        <v>110</v>
      </c>
      <c r="H3518" t="s">
        <v>346</v>
      </c>
      <c r="I3518" t="s">
        <v>2117</v>
      </c>
    </row>
    <row r="3519" spans="1:9" x14ac:dyDescent="0.35">
      <c r="A3519">
        <v>1113000</v>
      </c>
      <c r="B3519" t="s">
        <v>1208</v>
      </c>
      <c r="C3519" s="1">
        <v>43995</v>
      </c>
      <c r="D3519">
        <v>962</v>
      </c>
      <c r="E3519" t="b">
        <v>0</v>
      </c>
      <c r="F3519">
        <v>505</v>
      </c>
      <c r="G3519" t="s">
        <v>110</v>
      </c>
      <c r="H3519" t="s">
        <v>239</v>
      </c>
      <c r="I3519" t="s">
        <v>2117</v>
      </c>
    </row>
    <row r="3520" spans="1:9" x14ac:dyDescent="0.35">
      <c r="A3520">
        <v>1113000</v>
      </c>
      <c r="B3520" t="s">
        <v>1208</v>
      </c>
      <c r="C3520" s="1">
        <v>43995</v>
      </c>
      <c r="D3520">
        <v>962</v>
      </c>
      <c r="E3520" t="b">
        <v>0</v>
      </c>
      <c r="F3520">
        <v>505</v>
      </c>
      <c r="G3520" t="s">
        <v>110</v>
      </c>
      <c r="H3520" t="s">
        <v>132</v>
      </c>
      <c r="I3520" t="s">
        <v>2116</v>
      </c>
    </row>
    <row r="3521" spans="1:9" x14ac:dyDescent="0.35">
      <c r="A3521">
        <v>1113000</v>
      </c>
      <c r="B3521" t="s">
        <v>1208</v>
      </c>
      <c r="C3521" s="1">
        <v>43995</v>
      </c>
      <c r="D3521">
        <v>962</v>
      </c>
      <c r="E3521" t="b">
        <v>0</v>
      </c>
      <c r="F3521">
        <v>505</v>
      </c>
      <c r="G3521" t="s">
        <v>110</v>
      </c>
      <c r="H3521" t="s">
        <v>124</v>
      </c>
      <c r="I3521" t="s">
        <v>2117</v>
      </c>
    </row>
    <row r="3522" spans="1:9" x14ac:dyDescent="0.35">
      <c r="A3522">
        <v>1113000</v>
      </c>
      <c r="B3522" t="s">
        <v>1208</v>
      </c>
      <c r="C3522" s="1">
        <v>43995</v>
      </c>
      <c r="D3522">
        <v>962</v>
      </c>
      <c r="E3522" t="b">
        <v>0</v>
      </c>
      <c r="F3522">
        <v>505</v>
      </c>
      <c r="G3522" t="s">
        <v>110</v>
      </c>
      <c r="H3522" t="s">
        <v>1510</v>
      </c>
      <c r="I3522" t="s">
        <v>2117</v>
      </c>
    </row>
    <row r="3523" spans="1:9" x14ac:dyDescent="0.35">
      <c r="A3523">
        <v>1149620</v>
      </c>
      <c r="B3523" t="s">
        <v>1209</v>
      </c>
      <c r="C3523" s="1">
        <v>44454</v>
      </c>
      <c r="D3523">
        <v>958</v>
      </c>
      <c r="E3523" t="b">
        <v>1</v>
      </c>
      <c r="F3523">
        <v>506</v>
      </c>
      <c r="G3523" t="s">
        <v>25</v>
      </c>
      <c r="H3523" t="s">
        <v>49</v>
      </c>
      <c r="I3523" t="s">
        <v>2117</v>
      </c>
    </row>
    <row r="3524" spans="1:9" x14ac:dyDescent="0.35">
      <c r="A3524">
        <v>1149620</v>
      </c>
      <c r="B3524" t="s">
        <v>1209</v>
      </c>
      <c r="C3524" s="1">
        <v>44454</v>
      </c>
      <c r="D3524">
        <v>958</v>
      </c>
      <c r="E3524" t="b">
        <v>1</v>
      </c>
      <c r="F3524">
        <v>506</v>
      </c>
      <c r="G3524" t="s">
        <v>25</v>
      </c>
      <c r="H3524" t="s">
        <v>792</v>
      </c>
      <c r="I3524" t="s">
        <v>2116</v>
      </c>
    </row>
    <row r="3525" spans="1:9" x14ac:dyDescent="0.35">
      <c r="A3525">
        <v>1149620</v>
      </c>
      <c r="B3525" t="s">
        <v>1209</v>
      </c>
      <c r="C3525" s="1">
        <v>44454</v>
      </c>
      <c r="D3525">
        <v>958</v>
      </c>
      <c r="E3525" t="b">
        <v>1</v>
      </c>
      <c r="F3525">
        <v>506</v>
      </c>
      <c r="G3525" t="s">
        <v>25</v>
      </c>
      <c r="H3525" t="s">
        <v>346</v>
      </c>
      <c r="I3525" t="s">
        <v>2117</v>
      </c>
    </row>
    <row r="3526" spans="1:9" x14ac:dyDescent="0.35">
      <c r="A3526">
        <v>1149620</v>
      </c>
      <c r="B3526" t="s">
        <v>1209</v>
      </c>
      <c r="C3526" s="1">
        <v>44454</v>
      </c>
      <c r="D3526">
        <v>958</v>
      </c>
      <c r="E3526" t="b">
        <v>1</v>
      </c>
      <c r="F3526">
        <v>506</v>
      </c>
      <c r="G3526" t="s">
        <v>25</v>
      </c>
      <c r="H3526" t="s">
        <v>239</v>
      </c>
      <c r="I3526" t="s">
        <v>2116</v>
      </c>
    </row>
    <row r="3527" spans="1:9" x14ac:dyDescent="0.35">
      <c r="A3527">
        <v>1149620</v>
      </c>
      <c r="B3527" t="s">
        <v>1209</v>
      </c>
      <c r="C3527" s="1">
        <v>44454</v>
      </c>
      <c r="D3527">
        <v>958</v>
      </c>
      <c r="E3527" t="b">
        <v>1</v>
      </c>
      <c r="F3527">
        <v>506</v>
      </c>
      <c r="G3527" t="s">
        <v>25</v>
      </c>
      <c r="H3527" t="s">
        <v>132</v>
      </c>
      <c r="I3527" t="s">
        <v>2117</v>
      </c>
    </row>
    <row r="3528" spans="1:9" x14ac:dyDescent="0.35">
      <c r="A3528">
        <v>1149620</v>
      </c>
      <c r="B3528" t="s">
        <v>1209</v>
      </c>
      <c r="C3528" s="1">
        <v>44454</v>
      </c>
      <c r="D3528">
        <v>958</v>
      </c>
      <c r="E3528" t="b">
        <v>1</v>
      </c>
      <c r="F3528">
        <v>506</v>
      </c>
      <c r="G3528" t="s">
        <v>25</v>
      </c>
      <c r="H3528" t="s">
        <v>124</v>
      </c>
      <c r="I3528" t="s">
        <v>2117</v>
      </c>
    </row>
    <row r="3529" spans="1:9" x14ac:dyDescent="0.35">
      <c r="A3529">
        <v>1149620</v>
      </c>
      <c r="B3529" t="s">
        <v>1209</v>
      </c>
      <c r="C3529" s="1">
        <v>44454</v>
      </c>
      <c r="D3529">
        <v>958</v>
      </c>
      <c r="E3529" t="b">
        <v>1</v>
      </c>
      <c r="F3529">
        <v>506</v>
      </c>
      <c r="G3529" t="s">
        <v>25</v>
      </c>
      <c r="H3529" t="s">
        <v>1510</v>
      </c>
      <c r="I3529" t="s">
        <v>2117</v>
      </c>
    </row>
    <row r="3530" spans="1:9" x14ac:dyDescent="0.35">
      <c r="A3530">
        <v>1336490</v>
      </c>
      <c r="B3530" t="s">
        <v>1210</v>
      </c>
      <c r="C3530" s="1">
        <v>45268</v>
      </c>
      <c r="D3530">
        <v>958</v>
      </c>
      <c r="E3530" t="b">
        <v>0</v>
      </c>
      <c r="F3530">
        <v>506</v>
      </c>
      <c r="G3530" t="s">
        <v>33</v>
      </c>
      <c r="H3530" t="s">
        <v>49</v>
      </c>
      <c r="I3530" t="s">
        <v>2117</v>
      </c>
    </row>
    <row r="3531" spans="1:9" x14ac:dyDescent="0.35">
      <c r="A3531">
        <v>1336490</v>
      </c>
      <c r="B3531" t="s">
        <v>1210</v>
      </c>
      <c r="C3531" s="1">
        <v>45268</v>
      </c>
      <c r="D3531">
        <v>958</v>
      </c>
      <c r="E3531" t="b">
        <v>0</v>
      </c>
      <c r="F3531">
        <v>506</v>
      </c>
      <c r="G3531" t="s">
        <v>33</v>
      </c>
      <c r="H3531" t="s">
        <v>792</v>
      </c>
      <c r="I3531" t="s">
        <v>2117</v>
      </c>
    </row>
    <row r="3532" spans="1:9" x14ac:dyDescent="0.35">
      <c r="A3532">
        <v>1336490</v>
      </c>
      <c r="B3532" t="s">
        <v>1210</v>
      </c>
      <c r="C3532" s="1">
        <v>45268</v>
      </c>
      <c r="D3532">
        <v>958</v>
      </c>
      <c r="E3532" t="b">
        <v>0</v>
      </c>
      <c r="F3532">
        <v>506</v>
      </c>
      <c r="G3532" t="s">
        <v>33</v>
      </c>
      <c r="H3532" t="s">
        <v>346</v>
      </c>
      <c r="I3532" t="s">
        <v>2117</v>
      </c>
    </row>
    <row r="3533" spans="1:9" x14ac:dyDescent="0.35">
      <c r="A3533">
        <v>1336490</v>
      </c>
      <c r="B3533" t="s">
        <v>1210</v>
      </c>
      <c r="C3533" s="1">
        <v>45268</v>
      </c>
      <c r="D3533">
        <v>958</v>
      </c>
      <c r="E3533" t="b">
        <v>0</v>
      </c>
      <c r="F3533">
        <v>506</v>
      </c>
      <c r="G3533" t="s">
        <v>33</v>
      </c>
      <c r="H3533" t="s">
        <v>239</v>
      </c>
      <c r="I3533" t="s">
        <v>2116</v>
      </c>
    </row>
    <row r="3534" spans="1:9" x14ac:dyDescent="0.35">
      <c r="A3534">
        <v>1336490</v>
      </c>
      <c r="B3534" t="s">
        <v>1210</v>
      </c>
      <c r="C3534" s="1">
        <v>45268</v>
      </c>
      <c r="D3534">
        <v>958</v>
      </c>
      <c r="E3534" t="b">
        <v>0</v>
      </c>
      <c r="F3534">
        <v>506</v>
      </c>
      <c r="G3534" t="s">
        <v>33</v>
      </c>
      <c r="H3534" t="s">
        <v>132</v>
      </c>
      <c r="I3534" t="s">
        <v>2117</v>
      </c>
    </row>
    <row r="3535" spans="1:9" x14ac:dyDescent="0.35">
      <c r="A3535">
        <v>1336490</v>
      </c>
      <c r="B3535" t="s">
        <v>1210</v>
      </c>
      <c r="C3535" s="1">
        <v>45268</v>
      </c>
      <c r="D3535">
        <v>958</v>
      </c>
      <c r="E3535" t="b">
        <v>0</v>
      </c>
      <c r="F3535">
        <v>506</v>
      </c>
      <c r="G3535" t="s">
        <v>33</v>
      </c>
      <c r="H3535" t="s">
        <v>124</v>
      </c>
      <c r="I3535" t="s">
        <v>2116</v>
      </c>
    </row>
    <row r="3536" spans="1:9" x14ac:dyDescent="0.35">
      <c r="A3536">
        <v>1336490</v>
      </c>
      <c r="B3536" t="s">
        <v>1210</v>
      </c>
      <c r="C3536" s="1">
        <v>45268</v>
      </c>
      <c r="D3536">
        <v>958</v>
      </c>
      <c r="E3536" t="b">
        <v>0</v>
      </c>
      <c r="F3536">
        <v>506</v>
      </c>
      <c r="G3536" t="s">
        <v>33</v>
      </c>
      <c r="H3536" t="s">
        <v>1510</v>
      </c>
      <c r="I3536" t="s">
        <v>2117</v>
      </c>
    </row>
    <row r="3537" spans="1:9" x14ac:dyDescent="0.35">
      <c r="A3537">
        <v>2169200</v>
      </c>
      <c r="B3537" t="s">
        <v>1212</v>
      </c>
      <c r="C3537" s="1">
        <v>45687</v>
      </c>
      <c r="D3537">
        <v>957</v>
      </c>
      <c r="E3537" t="b">
        <v>0</v>
      </c>
      <c r="F3537">
        <v>508</v>
      </c>
      <c r="G3537" t="s">
        <v>1101</v>
      </c>
      <c r="H3537" t="s">
        <v>49</v>
      </c>
      <c r="I3537" t="s">
        <v>2116</v>
      </c>
    </row>
    <row r="3538" spans="1:9" x14ac:dyDescent="0.35">
      <c r="A3538">
        <v>2169200</v>
      </c>
      <c r="B3538" t="s">
        <v>1212</v>
      </c>
      <c r="C3538" s="1">
        <v>45687</v>
      </c>
      <c r="D3538">
        <v>957</v>
      </c>
      <c r="E3538" t="b">
        <v>0</v>
      </c>
      <c r="F3538">
        <v>508</v>
      </c>
      <c r="G3538" t="s">
        <v>1101</v>
      </c>
      <c r="H3538" t="s">
        <v>792</v>
      </c>
      <c r="I3538" t="s">
        <v>2117</v>
      </c>
    </row>
    <row r="3539" spans="1:9" x14ac:dyDescent="0.35">
      <c r="A3539">
        <v>2169200</v>
      </c>
      <c r="B3539" t="s">
        <v>1212</v>
      </c>
      <c r="C3539" s="1">
        <v>45687</v>
      </c>
      <c r="D3539">
        <v>957</v>
      </c>
      <c r="E3539" t="b">
        <v>0</v>
      </c>
      <c r="F3539">
        <v>508</v>
      </c>
      <c r="G3539" t="s">
        <v>1101</v>
      </c>
      <c r="H3539" t="s">
        <v>346</v>
      </c>
      <c r="I3539" t="s">
        <v>2116</v>
      </c>
    </row>
    <row r="3540" spans="1:9" x14ac:dyDescent="0.35">
      <c r="A3540">
        <v>2169200</v>
      </c>
      <c r="B3540" t="s">
        <v>1212</v>
      </c>
      <c r="C3540" s="1">
        <v>45687</v>
      </c>
      <c r="D3540">
        <v>957</v>
      </c>
      <c r="E3540" t="b">
        <v>0</v>
      </c>
      <c r="F3540">
        <v>508</v>
      </c>
      <c r="G3540" t="s">
        <v>1101</v>
      </c>
      <c r="H3540" t="s">
        <v>239</v>
      </c>
      <c r="I3540" t="s">
        <v>2117</v>
      </c>
    </row>
    <row r="3541" spans="1:9" x14ac:dyDescent="0.35">
      <c r="A3541">
        <v>2169200</v>
      </c>
      <c r="B3541" t="s">
        <v>1212</v>
      </c>
      <c r="C3541" s="1">
        <v>45687</v>
      </c>
      <c r="D3541">
        <v>957</v>
      </c>
      <c r="E3541" t="b">
        <v>0</v>
      </c>
      <c r="F3541">
        <v>508</v>
      </c>
      <c r="G3541" t="s">
        <v>1101</v>
      </c>
      <c r="H3541" t="s">
        <v>132</v>
      </c>
      <c r="I3541" t="s">
        <v>2117</v>
      </c>
    </row>
    <row r="3542" spans="1:9" x14ac:dyDescent="0.35">
      <c r="A3542">
        <v>2169200</v>
      </c>
      <c r="B3542" t="s">
        <v>1212</v>
      </c>
      <c r="C3542" s="1">
        <v>45687</v>
      </c>
      <c r="D3542">
        <v>957</v>
      </c>
      <c r="E3542" t="b">
        <v>0</v>
      </c>
      <c r="F3542">
        <v>508</v>
      </c>
      <c r="G3542" t="s">
        <v>1101</v>
      </c>
      <c r="H3542" t="s">
        <v>124</v>
      </c>
      <c r="I3542" t="s">
        <v>2117</v>
      </c>
    </row>
    <row r="3543" spans="1:9" x14ac:dyDescent="0.35">
      <c r="A3543">
        <v>2169200</v>
      </c>
      <c r="B3543" t="s">
        <v>1212</v>
      </c>
      <c r="C3543" s="1">
        <v>45687</v>
      </c>
      <c r="D3543">
        <v>957</v>
      </c>
      <c r="E3543" t="b">
        <v>0</v>
      </c>
      <c r="F3543">
        <v>508</v>
      </c>
      <c r="G3543" t="s">
        <v>1101</v>
      </c>
      <c r="H3543" t="s">
        <v>1510</v>
      </c>
      <c r="I3543" t="s">
        <v>2117</v>
      </c>
    </row>
    <row r="3544" spans="1:9" x14ac:dyDescent="0.35">
      <c r="A3544">
        <v>477160</v>
      </c>
      <c r="B3544" t="s">
        <v>1214</v>
      </c>
      <c r="C3544" s="1">
        <v>42573</v>
      </c>
      <c r="D3544">
        <v>950</v>
      </c>
      <c r="E3544" t="b">
        <v>1</v>
      </c>
      <c r="F3544">
        <v>509</v>
      </c>
      <c r="G3544" t="s">
        <v>110</v>
      </c>
      <c r="H3544" t="s">
        <v>49</v>
      </c>
      <c r="I3544" t="s">
        <v>2117</v>
      </c>
    </row>
    <row r="3545" spans="1:9" x14ac:dyDescent="0.35">
      <c r="A3545">
        <v>477160</v>
      </c>
      <c r="B3545" t="s">
        <v>1214</v>
      </c>
      <c r="C3545" s="1">
        <v>42573</v>
      </c>
      <c r="D3545">
        <v>950</v>
      </c>
      <c r="E3545" t="b">
        <v>1</v>
      </c>
      <c r="F3545">
        <v>509</v>
      </c>
      <c r="G3545" t="s">
        <v>110</v>
      </c>
      <c r="H3545" t="s">
        <v>792</v>
      </c>
      <c r="I3545" t="s">
        <v>2116</v>
      </c>
    </row>
    <row r="3546" spans="1:9" x14ac:dyDescent="0.35">
      <c r="A3546">
        <v>477160</v>
      </c>
      <c r="B3546" t="s">
        <v>1214</v>
      </c>
      <c r="C3546" s="1">
        <v>42573</v>
      </c>
      <c r="D3546">
        <v>950</v>
      </c>
      <c r="E3546" t="b">
        <v>1</v>
      </c>
      <c r="F3546">
        <v>509</v>
      </c>
      <c r="G3546" t="s">
        <v>110</v>
      </c>
      <c r="H3546" t="s">
        <v>346</v>
      </c>
      <c r="I3546" t="s">
        <v>2116</v>
      </c>
    </row>
    <row r="3547" spans="1:9" x14ac:dyDescent="0.35">
      <c r="A3547">
        <v>477160</v>
      </c>
      <c r="B3547" t="s">
        <v>1214</v>
      </c>
      <c r="C3547" s="1">
        <v>42573</v>
      </c>
      <c r="D3547">
        <v>950</v>
      </c>
      <c r="E3547" t="b">
        <v>1</v>
      </c>
      <c r="F3547">
        <v>509</v>
      </c>
      <c r="G3547" t="s">
        <v>110</v>
      </c>
      <c r="H3547" t="s">
        <v>239</v>
      </c>
      <c r="I3547" t="s">
        <v>2116</v>
      </c>
    </row>
    <row r="3548" spans="1:9" x14ac:dyDescent="0.35">
      <c r="A3548">
        <v>477160</v>
      </c>
      <c r="B3548" t="s">
        <v>1214</v>
      </c>
      <c r="C3548" s="1">
        <v>42573</v>
      </c>
      <c r="D3548">
        <v>950</v>
      </c>
      <c r="E3548" t="b">
        <v>1</v>
      </c>
      <c r="F3548">
        <v>509</v>
      </c>
      <c r="G3548" t="s">
        <v>110</v>
      </c>
      <c r="H3548" t="s">
        <v>132</v>
      </c>
      <c r="I3548" t="s">
        <v>2117</v>
      </c>
    </row>
    <row r="3549" spans="1:9" x14ac:dyDescent="0.35">
      <c r="A3549">
        <v>477160</v>
      </c>
      <c r="B3549" t="s">
        <v>1214</v>
      </c>
      <c r="C3549" s="1">
        <v>42573</v>
      </c>
      <c r="D3549">
        <v>950</v>
      </c>
      <c r="E3549" t="b">
        <v>1</v>
      </c>
      <c r="F3549">
        <v>509</v>
      </c>
      <c r="G3549" t="s">
        <v>110</v>
      </c>
      <c r="H3549" t="s">
        <v>124</v>
      </c>
      <c r="I3549" t="s">
        <v>2117</v>
      </c>
    </row>
    <row r="3550" spans="1:9" x14ac:dyDescent="0.35">
      <c r="A3550">
        <v>477160</v>
      </c>
      <c r="B3550" t="s">
        <v>1214</v>
      </c>
      <c r="C3550" s="1">
        <v>42573</v>
      </c>
      <c r="D3550">
        <v>950</v>
      </c>
      <c r="E3550" t="b">
        <v>1</v>
      </c>
      <c r="F3550">
        <v>509</v>
      </c>
      <c r="G3550" t="s">
        <v>110</v>
      </c>
      <c r="H3550" t="s">
        <v>1510</v>
      </c>
      <c r="I3550" t="s">
        <v>2117</v>
      </c>
    </row>
    <row r="3551" spans="1:9" x14ac:dyDescent="0.35">
      <c r="A3551">
        <v>1790600</v>
      </c>
      <c r="B3551" t="s">
        <v>1216</v>
      </c>
      <c r="C3551" s="1">
        <v>45575</v>
      </c>
      <c r="D3551">
        <v>949</v>
      </c>
      <c r="E3551" t="b">
        <v>0</v>
      </c>
      <c r="F3551">
        <v>510</v>
      </c>
      <c r="G3551" t="s">
        <v>36</v>
      </c>
      <c r="H3551" t="s">
        <v>49</v>
      </c>
      <c r="I3551" t="s">
        <v>2116</v>
      </c>
    </row>
    <row r="3552" spans="1:9" x14ac:dyDescent="0.35">
      <c r="A3552">
        <v>1790600</v>
      </c>
      <c r="B3552" t="s">
        <v>1216</v>
      </c>
      <c r="C3552" s="1">
        <v>45575</v>
      </c>
      <c r="D3552">
        <v>949</v>
      </c>
      <c r="E3552" t="b">
        <v>0</v>
      </c>
      <c r="F3552">
        <v>510</v>
      </c>
      <c r="G3552" t="s">
        <v>36</v>
      </c>
      <c r="H3552" t="s">
        <v>792</v>
      </c>
      <c r="I3552" t="s">
        <v>2117</v>
      </c>
    </row>
    <row r="3553" spans="1:9" x14ac:dyDescent="0.35">
      <c r="A3553">
        <v>1790600</v>
      </c>
      <c r="B3553" t="s">
        <v>1216</v>
      </c>
      <c r="C3553" s="1">
        <v>45575</v>
      </c>
      <c r="D3553">
        <v>949</v>
      </c>
      <c r="E3553" t="b">
        <v>0</v>
      </c>
      <c r="F3553">
        <v>510</v>
      </c>
      <c r="G3553" t="s">
        <v>36</v>
      </c>
      <c r="H3553" t="s">
        <v>346</v>
      </c>
      <c r="I3553" t="s">
        <v>2117</v>
      </c>
    </row>
    <row r="3554" spans="1:9" x14ac:dyDescent="0.35">
      <c r="A3554">
        <v>1790600</v>
      </c>
      <c r="B3554" t="s">
        <v>1216</v>
      </c>
      <c r="C3554" s="1">
        <v>45575</v>
      </c>
      <c r="D3554">
        <v>949</v>
      </c>
      <c r="E3554" t="b">
        <v>0</v>
      </c>
      <c r="F3554">
        <v>510</v>
      </c>
      <c r="G3554" t="s">
        <v>36</v>
      </c>
      <c r="H3554" t="s">
        <v>239</v>
      </c>
      <c r="I3554" t="s">
        <v>2117</v>
      </c>
    </row>
    <row r="3555" spans="1:9" x14ac:dyDescent="0.35">
      <c r="A3555">
        <v>1790600</v>
      </c>
      <c r="B3555" t="s">
        <v>1216</v>
      </c>
      <c r="C3555" s="1">
        <v>45575</v>
      </c>
      <c r="D3555">
        <v>949</v>
      </c>
      <c r="E3555" t="b">
        <v>0</v>
      </c>
      <c r="F3555">
        <v>510</v>
      </c>
      <c r="G3555" t="s">
        <v>36</v>
      </c>
      <c r="H3555" t="s">
        <v>132</v>
      </c>
      <c r="I3555" t="s">
        <v>2117</v>
      </c>
    </row>
    <row r="3556" spans="1:9" x14ac:dyDescent="0.35">
      <c r="A3556">
        <v>1790600</v>
      </c>
      <c r="B3556" t="s">
        <v>1216</v>
      </c>
      <c r="C3556" s="1">
        <v>45575</v>
      </c>
      <c r="D3556">
        <v>949</v>
      </c>
      <c r="E3556" t="b">
        <v>0</v>
      </c>
      <c r="F3556">
        <v>510</v>
      </c>
      <c r="G3556" t="s">
        <v>36</v>
      </c>
      <c r="H3556" t="s">
        <v>124</v>
      </c>
      <c r="I3556" t="s">
        <v>2117</v>
      </c>
    </row>
    <row r="3557" spans="1:9" x14ac:dyDescent="0.35">
      <c r="A3557">
        <v>1790600</v>
      </c>
      <c r="B3557" t="s">
        <v>1216</v>
      </c>
      <c r="C3557" s="1">
        <v>45575</v>
      </c>
      <c r="D3557">
        <v>949</v>
      </c>
      <c r="E3557" t="b">
        <v>0</v>
      </c>
      <c r="F3557">
        <v>510</v>
      </c>
      <c r="G3557" t="s">
        <v>36</v>
      </c>
      <c r="H3557" t="s">
        <v>1510</v>
      </c>
      <c r="I3557" t="s">
        <v>2117</v>
      </c>
    </row>
    <row r="3558" spans="1:9" x14ac:dyDescent="0.35">
      <c r="A3558">
        <v>1371980</v>
      </c>
      <c r="B3558" t="s">
        <v>1218</v>
      </c>
      <c r="C3558" s="1">
        <v>45400</v>
      </c>
      <c r="D3558">
        <v>947</v>
      </c>
      <c r="E3558" t="b">
        <v>0</v>
      </c>
      <c r="F3558">
        <v>511</v>
      </c>
      <c r="G3558" t="s">
        <v>36</v>
      </c>
      <c r="H3558" t="s">
        <v>49</v>
      </c>
      <c r="I3558" t="s">
        <v>2116</v>
      </c>
    </row>
    <row r="3559" spans="1:9" x14ac:dyDescent="0.35">
      <c r="A3559">
        <v>1371980</v>
      </c>
      <c r="B3559" t="s">
        <v>1218</v>
      </c>
      <c r="C3559" s="1">
        <v>45400</v>
      </c>
      <c r="D3559">
        <v>947</v>
      </c>
      <c r="E3559" t="b">
        <v>0</v>
      </c>
      <c r="F3559">
        <v>511</v>
      </c>
      <c r="G3559" t="s">
        <v>36</v>
      </c>
      <c r="H3559" t="s">
        <v>792</v>
      </c>
      <c r="I3559" t="s">
        <v>2117</v>
      </c>
    </row>
    <row r="3560" spans="1:9" x14ac:dyDescent="0.35">
      <c r="A3560">
        <v>1371980</v>
      </c>
      <c r="B3560" t="s">
        <v>1218</v>
      </c>
      <c r="C3560" s="1">
        <v>45400</v>
      </c>
      <c r="D3560">
        <v>947</v>
      </c>
      <c r="E3560" t="b">
        <v>0</v>
      </c>
      <c r="F3560">
        <v>511</v>
      </c>
      <c r="G3560" t="s">
        <v>36</v>
      </c>
      <c r="H3560" t="s">
        <v>346</v>
      </c>
      <c r="I3560" t="s">
        <v>2116</v>
      </c>
    </row>
    <row r="3561" spans="1:9" x14ac:dyDescent="0.35">
      <c r="A3561">
        <v>1371980</v>
      </c>
      <c r="B3561" t="s">
        <v>1218</v>
      </c>
      <c r="C3561" s="1">
        <v>45400</v>
      </c>
      <c r="D3561">
        <v>947</v>
      </c>
      <c r="E3561" t="b">
        <v>0</v>
      </c>
      <c r="F3561">
        <v>511</v>
      </c>
      <c r="G3561" t="s">
        <v>36</v>
      </c>
      <c r="H3561" t="s">
        <v>239</v>
      </c>
      <c r="I3561" t="s">
        <v>2117</v>
      </c>
    </row>
    <row r="3562" spans="1:9" x14ac:dyDescent="0.35">
      <c r="A3562">
        <v>1371980</v>
      </c>
      <c r="B3562" t="s">
        <v>1218</v>
      </c>
      <c r="C3562" s="1">
        <v>45400</v>
      </c>
      <c r="D3562">
        <v>947</v>
      </c>
      <c r="E3562" t="b">
        <v>0</v>
      </c>
      <c r="F3562">
        <v>511</v>
      </c>
      <c r="G3562" t="s">
        <v>36</v>
      </c>
      <c r="H3562" t="s">
        <v>132</v>
      </c>
      <c r="I3562" t="s">
        <v>2116</v>
      </c>
    </row>
    <row r="3563" spans="1:9" x14ac:dyDescent="0.35">
      <c r="A3563">
        <v>1371980</v>
      </c>
      <c r="B3563" t="s">
        <v>1218</v>
      </c>
      <c r="C3563" s="1">
        <v>45400</v>
      </c>
      <c r="D3563">
        <v>947</v>
      </c>
      <c r="E3563" t="b">
        <v>0</v>
      </c>
      <c r="F3563">
        <v>511</v>
      </c>
      <c r="G3563" t="s">
        <v>36</v>
      </c>
      <c r="H3563" t="s">
        <v>124</v>
      </c>
      <c r="I3563" t="s">
        <v>2117</v>
      </c>
    </row>
    <row r="3564" spans="1:9" x14ac:dyDescent="0.35">
      <c r="A3564">
        <v>1371980</v>
      </c>
      <c r="B3564" t="s">
        <v>1218</v>
      </c>
      <c r="C3564" s="1">
        <v>45400</v>
      </c>
      <c r="D3564">
        <v>947</v>
      </c>
      <c r="E3564" t="b">
        <v>0</v>
      </c>
      <c r="F3564">
        <v>511</v>
      </c>
      <c r="G3564" t="s">
        <v>36</v>
      </c>
      <c r="H3564" t="s">
        <v>1510</v>
      </c>
      <c r="I3564" t="s">
        <v>2117</v>
      </c>
    </row>
    <row r="3565" spans="1:9" x14ac:dyDescent="0.35">
      <c r="A3565">
        <v>599140</v>
      </c>
      <c r="B3565" t="s">
        <v>1221</v>
      </c>
      <c r="C3565" s="1">
        <v>43327</v>
      </c>
      <c r="D3565">
        <v>941</v>
      </c>
      <c r="E3565" t="b">
        <v>1</v>
      </c>
      <c r="F3565">
        <v>512</v>
      </c>
      <c r="G3565" t="s">
        <v>14</v>
      </c>
      <c r="H3565" t="s">
        <v>49</v>
      </c>
      <c r="I3565" t="s">
        <v>2117</v>
      </c>
    </row>
    <row r="3566" spans="1:9" x14ac:dyDescent="0.35">
      <c r="A3566">
        <v>599140</v>
      </c>
      <c r="B3566" t="s">
        <v>1221</v>
      </c>
      <c r="C3566" s="1">
        <v>43327</v>
      </c>
      <c r="D3566">
        <v>941</v>
      </c>
      <c r="E3566" t="b">
        <v>1</v>
      </c>
      <c r="F3566">
        <v>512</v>
      </c>
      <c r="G3566" t="s">
        <v>14</v>
      </c>
      <c r="H3566" t="s">
        <v>792</v>
      </c>
      <c r="I3566" t="s">
        <v>2116</v>
      </c>
    </row>
    <row r="3567" spans="1:9" x14ac:dyDescent="0.35">
      <c r="A3567">
        <v>599140</v>
      </c>
      <c r="B3567" t="s">
        <v>1221</v>
      </c>
      <c r="C3567" s="1">
        <v>43327</v>
      </c>
      <c r="D3567">
        <v>941</v>
      </c>
      <c r="E3567" t="b">
        <v>1</v>
      </c>
      <c r="F3567">
        <v>512</v>
      </c>
      <c r="G3567" t="s">
        <v>14</v>
      </c>
      <c r="H3567" t="s">
        <v>346</v>
      </c>
      <c r="I3567" t="s">
        <v>2116</v>
      </c>
    </row>
    <row r="3568" spans="1:9" x14ac:dyDescent="0.35">
      <c r="A3568">
        <v>599140</v>
      </c>
      <c r="B3568" t="s">
        <v>1221</v>
      </c>
      <c r="C3568" s="1">
        <v>43327</v>
      </c>
      <c r="D3568">
        <v>941</v>
      </c>
      <c r="E3568" t="b">
        <v>1</v>
      </c>
      <c r="F3568">
        <v>512</v>
      </c>
      <c r="G3568" t="s">
        <v>14</v>
      </c>
      <c r="H3568" t="s">
        <v>239</v>
      </c>
      <c r="I3568" t="s">
        <v>2116</v>
      </c>
    </row>
    <row r="3569" spans="1:9" x14ac:dyDescent="0.35">
      <c r="A3569">
        <v>599140</v>
      </c>
      <c r="B3569" t="s">
        <v>1221</v>
      </c>
      <c r="C3569" s="1">
        <v>43327</v>
      </c>
      <c r="D3569">
        <v>941</v>
      </c>
      <c r="E3569" t="b">
        <v>1</v>
      </c>
      <c r="F3569">
        <v>512</v>
      </c>
      <c r="G3569" t="s">
        <v>14</v>
      </c>
      <c r="H3569" t="s">
        <v>132</v>
      </c>
      <c r="I3569" t="s">
        <v>2116</v>
      </c>
    </row>
    <row r="3570" spans="1:9" x14ac:dyDescent="0.35">
      <c r="A3570">
        <v>599140</v>
      </c>
      <c r="B3570" t="s">
        <v>1221</v>
      </c>
      <c r="C3570" s="1">
        <v>43327</v>
      </c>
      <c r="D3570">
        <v>941</v>
      </c>
      <c r="E3570" t="b">
        <v>1</v>
      </c>
      <c r="F3570">
        <v>512</v>
      </c>
      <c r="G3570" t="s">
        <v>14</v>
      </c>
      <c r="H3570" t="s">
        <v>124</v>
      </c>
      <c r="I3570" t="s">
        <v>2117</v>
      </c>
    </row>
    <row r="3571" spans="1:9" x14ac:dyDescent="0.35">
      <c r="A3571">
        <v>599140</v>
      </c>
      <c r="B3571" t="s">
        <v>1221</v>
      </c>
      <c r="C3571" s="1">
        <v>43327</v>
      </c>
      <c r="D3571">
        <v>941</v>
      </c>
      <c r="E3571" t="b">
        <v>1</v>
      </c>
      <c r="F3571">
        <v>512</v>
      </c>
      <c r="G3571" t="s">
        <v>14</v>
      </c>
      <c r="H3571" t="s">
        <v>1510</v>
      </c>
      <c r="I3571" t="s">
        <v>2117</v>
      </c>
    </row>
    <row r="3572" spans="1:9" x14ac:dyDescent="0.35">
      <c r="A3572">
        <v>1210320</v>
      </c>
      <c r="B3572" t="s">
        <v>1222</v>
      </c>
      <c r="C3572" s="1">
        <v>44908</v>
      </c>
      <c r="D3572">
        <v>941</v>
      </c>
      <c r="E3572" t="b">
        <v>0</v>
      </c>
      <c r="F3572">
        <v>512</v>
      </c>
      <c r="G3572" t="s">
        <v>133</v>
      </c>
      <c r="H3572" t="s">
        <v>49</v>
      </c>
      <c r="I3572" t="s">
        <v>2117</v>
      </c>
    </row>
    <row r="3573" spans="1:9" x14ac:dyDescent="0.35">
      <c r="A3573">
        <v>1210320</v>
      </c>
      <c r="B3573" t="s">
        <v>1222</v>
      </c>
      <c r="C3573" s="1">
        <v>44908</v>
      </c>
      <c r="D3573">
        <v>941</v>
      </c>
      <c r="E3573" t="b">
        <v>0</v>
      </c>
      <c r="F3573">
        <v>512</v>
      </c>
      <c r="G3573" t="s">
        <v>133</v>
      </c>
      <c r="H3573" t="s">
        <v>792</v>
      </c>
      <c r="I3573" t="s">
        <v>2116</v>
      </c>
    </row>
    <row r="3574" spans="1:9" x14ac:dyDescent="0.35">
      <c r="A3574">
        <v>1210320</v>
      </c>
      <c r="B3574" t="s">
        <v>1222</v>
      </c>
      <c r="C3574" s="1">
        <v>44908</v>
      </c>
      <c r="D3574">
        <v>941</v>
      </c>
      <c r="E3574" t="b">
        <v>0</v>
      </c>
      <c r="F3574">
        <v>512</v>
      </c>
      <c r="G3574" t="s">
        <v>133</v>
      </c>
      <c r="H3574" t="s">
        <v>346</v>
      </c>
      <c r="I3574" t="s">
        <v>2117</v>
      </c>
    </row>
    <row r="3575" spans="1:9" x14ac:dyDescent="0.35">
      <c r="A3575">
        <v>1210320</v>
      </c>
      <c r="B3575" t="s">
        <v>1222</v>
      </c>
      <c r="C3575" s="1">
        <v>44908</v>
      </c>
      <c r="D3575">
        <v>941</v>
      </c>
      <c r="E3575" t="b">
        <v>0</v>
      </c>
      <c r="F3575">
        <v>512</v>
      </c>
      <c r="G3575" t="s">
        <v>133</v>
      </c>
      <c r="H3575" t="s">
        <v>239</v>
      </c>
      <c r="I3575" t="s">
        <v>2116</v>
      </c>
    </row>
    <row r="3576" spans="1:9" x14ac:dyDescent="0.35">
      <c r="A3576">
        <v>1210320</v>
      </c>
      <c r="B3576" t="s">
        <v>1222</v>
      </c>
      <c r="C3576" s="1">
        <v>44908</v>
      </c>
      <c r="D3576">
        <v>941</v>
      </c>
      <c r="E3576" t="b">
        <v>0</v>
      </c>
      <c r="F3576">
        <v>512</v>
      </c>
      <c r="G3576" t="s">
        <v>133</v>
      </c>
      <c r="H3576" t="s">
        <v>132</v>
      </c>
      <c r="I3576" t="s">
        <v>2117</v>
      </c>
    </row>
    <row r="3577" spans="1:9" x14ac:dyDescent="0.35">
      <c r="A3577">
        <v>1210320</v>
      </c>
      <c r="B3577" t="s">
        <v>1222</v>
      </c>
      <c r="C3577" s="1">
        <v>44908</v>
      </c>
      <c r="D3577">
        <v>941</v>
      </c>
      <c r="E3577" t="b">
        <v>0</v>
      </c>
      <c r="F3577">
        <v>512</v>
      </c>
      <c r="G3577" t="s">
        <v>133</v>
      </c>
      <c r="H3577" t="s">
        <v>124</v>
      </c>
      <c r="I3577" t="s">
        <v>2117</v>
      </c>
    </row>
    <row r="3578" spans="1:9" x14ac:dyDescent="0.35">
      <c r="A3578">
        <v>1210320</v>
      </c>
      <c r="B3578" t="s">
        <v>1222</v>
      </c>
      <c r="C3578" s="1">
        <v>44908</v>
      </c>
      <c r="D3578">
        <v>941</v>
      </c>
      <c r="E3578" t="b">
        <v>0</v>
      </c>
      <c r="F3578">
        <v>512</v>
      </c>
      <c r="G3578" t="s">
        <v>133</v>
      </c>
      <c r="H3578" t="s">
        <v>1510</v>
      </c>
      <c r="I3578" t="s">
        <v>2117</v>
      </c>
    </row>
    <row r="3579" spans="1:9" x14ac:dyDescent="0.35">
      <c r="A3579">
        <v>1295510</v>
      </c>
      <c r="B3579" t="s">
        <v>1223</v>
      </c>
      <c r="C3579" s="1">
        <v>44169</v>
      </c>
      <c r="D3579">
        <v>936</v>
      </c>
      <c r="E3579" t="b">
        <v>0</v>
      </c>
      <c r="F3579">
        <v>514</v>
      </c>
      <c r="G3579" t="s">
        <v>133</v>
      </c>
      <c r="H3579" t="s">
        <v>49</v>
      </c>
      <c r="I3579" t="s">
        <v>2117</v>
      </c>
    </row>
    <row r="3580" spans="1:9" x14ac:dyDescent="0.35">
      <c r="A3580">
        <v>1295510</v>
      </c>
      <c r="B3580" t="s">
        <v>1223</v>
      </c>
      <c r="C3580" s="1">
        <v>44169</v>
      </c>
      <c r="D3580">
        <v>936</v>
      </c>
      <c r="E3580" t="b">
        <v>0</v>
      </c>
      <c r="F3580">
        <v>514</v>
      </c>
      <c r="G3580" t="s">
        <v>133</v>
      </c>
      <c r="H3580" t="s">
        <v>792</v>
      </c>
      <c r="I3580" t="s">
        <v>2117</v>
      </c>
    </row>
    <row r="3581" spans="1:9" x14ac:dyDescent="0.35">
      <c r="A3581">
        <v>1295510</v>
      </c>
      <c r="B3581" t="s">
        <v>1223</v>
      </c>
      <c r="C3581" s="1">
        <v>44169</v>
      </c>
      <c r="D3581">
        <v>936</v>
      </c>
      <c r="E3581" t="b">
        <v>0</v>
      </c>
      <c r="F3581">
        <v>514</v>
      </c>
      <c r="G3581" t="s">
        <v>133</v>
      </c>
      <c r="H3581" t="s">
        <v>346</v>
      </c>
      <c r="I3581" t="s">
        <v>2116</v>
      </c>
    </row>
    <row r="3582" spans="1:9" x14ac:dyDescent="0.35">
      <c r="A3582">
        <v>1295510</v>
      </c>
      <c r="B3582" t="s">
        <v>1223</v>
      </c>
      <c r="C3582" s="1">
        <v>44169</v>
      </c>
      <c r="D3582">
        <v>936</v>
      </c>
      <c r="E3582" t="b">
        <v>0</v>
      </c>
      <c r="F3582">
        <v>514</v>
      </c>
      <c r="G3582" t="s">
        <v>133</v>
      </c>
      <c r="H3582" t="s">
        <v>239</v>
      </c>
      <c r="I3582" t="s">
        <v>2117</v>
      </c>
    </row>
    <row r="3583" spans="1:9" x14ac:dyDescent="0.35">
      <c r="A3583">
        <v>1295510</v>
      </c>
      <c r="B3583" t="s">
        <v>1223</v>
      </c>
      <c r="C3583" s="1">
        <v>44169</v>
      </c>
      <c r="D3583">
        <v>936</v>
      </c>
      <c r="E3583" t="b">
        <v>0</v>
      </c>
      <c r="F3583">
        <v>514</v>
      </c>
      <c r="G3583" t="s">
        <v>133</v>
      </c>
      <c r="H3583" t="s">
        <v>132</v>
      </c>
      <c r="I3583" t="s">
        <v>2116</v>
      </c>
    </row>
    <row r="3584" spans="1:9" x14ac:dyDescent="0.35">
      <c r="A3584">
        <v>1295510</v>
      </c>
      <c r="B3584" t="s">
        <v>1223</v>
      </c>
      <c r="C3584" s="1">
        <v>44169</v>
      </c>
      <c r="D3584">
        <v>936</v>
      </c>
      <c r="E3584" t="b">
        <v>0</v>
      </c>
      <c r="F3584">
        <v>514</v>
      </c>
      <c r="G3584" t="s">
        <v>133</v>
      </c>
      <c r="H3584" t="s">
        <v>124</v>
      </c>
      <c r="I3584" t="s">
        <v>2117</v>
      </c>
    </row>
    <row r="3585" spans="1:9" x14ac:dyDescent="0.35">
      <c r="A3585">
        <v>1295510</v>
      </c>
      <c r="B3585" t="s">
        <v>1223</v>
      </c>
      <c r="C3585" s="1">
        <v>44169</v>
      </c>
      <c r="D3585">
        <v>936</v>
      </c>
      <c r="E3585" t="b">
        <v>0</v>
      </c>
      <c r="F3585">
        <v>514</v>
      </c>
      <c r="G3585" t="s">
        <v>133</v>
      </c>
      <c r="H3585" t="s">
        <v>1510</v>
      </c>
      <c r="I3585" t="s">
        <v>2117</v>
      </c>
    </row>
    <row r="3586" spans="1:9" x14ac:dyDescent="0.35">
      <c r="A3586">
        <v>34030</v>
      </c>
      <c r="B3586" t="s">
        <v>1225</v>
      </c>
      <c r="C3586" s="1">
        <v>40234</v>
      </c>
      <c r="D3586">
        <v>929</v>
      </c>
      <c r="E3586" t="b">
        <v>1</v>
      </c>
      <c r="F3586">
        <v>515</v>
      </c>
      <c r="G3586" t="s">
        <v>2082</v>
      </c>
      <c r="H3586" t="s">
        <v>49</v>
      </c>
      <c r="I3586" t="s">
        <v>2117</v>
      </c>
    </row>
    <row r="3587" spans="1:9" x14ac:dyDescent="0.35">
      <c r="A3587">
        <v>34030</v>
      </c>
      <c r="B3587" t="s">
        <v>1225</v>
      </c>
      <c r="C3587" s="1">
        <v>40234</v>
      </c>
      <c r="D3587">
        <v>929</v>
      </c>
      <c r="E3587" t="b">
        <v>1</v>
      </c>
      <c r="F3587">
        <v>515</v>
      </c>
      <c r="G3587" t="s">
        <v>2082</v>
      </c>
      <c r="H3587" t="s">
        <v>792</v>
      </c>
      <c r="I3587" t="s">
        <v>2117</v>
      </c>
    </row>
    <row r="3588" spans="1:9" x14ac:dyDescent="0.35">
      <c r="A3588">
        <v>34030</v>
      </c>
      <c r="B3588" t="s">
        <v>1225</v>
      </c>
      <c r="C3588" s="1">
        <v>40234</v>
      </c>
      <c r="D3588">
        <v>929</v>
      </c>
      <c r="E3588" t="b">
        <v>1</v>
      </c>
      <c r="F3588">
        <v>515</v>
      </c>
      <c r="G3588" t="s">
        <v>2082</v>
      </c>
      <c r="H3588" t="s">
        <v>346</v>
      </c>
      <c r="I3588" t="s">
        <v>2117</v>
      </c>
    </row>
    <row r="3589" spans="1:9" x14ac:dyDescent="0.35">
      <c r="A3589">
        <v>34030</v>
      </c>
      <c r="B3589" t="s">
        <v>1225</v>
      </c>
      <c r="C3589" s="1">
        <v>40234</v>
      </c>
      <c r="D3589">
        <v>929</v>
      </c>
      <c r="E3589" t="b">
        <v>1</v>
      </c>
      <c r="F3589">
        <v>515</v>
      </c>
      <c r="G3589" t="s">
        <v>2082</v>
      </c>
      <c r="H3589" t="s">
        <v>239</v>
      </c>
      <c r="I3589" t="s">
        <v>2117</v>
      </c>
    </row>
    <row r="3590" spans="1:9" x14ac:dyDescent="0.35">
      <c r="A3590">
        <v>34030</v>
      </c>
      <c r="B3590" t="s">
        <v>1225</v>
      </c>
      <c r="C3590" s="1">
        <v>40234</v>
      </c>
      <c r="D3590">
        <v>929</v>
      </c>
      <c r="E3590" t="b">
        <v>1</v>
      </c>
      <c r="F3590">
        <v>515</v>
      </c>
      <c r="G3590" t="s">
        <v>2082</v>
      </c>
      <c r="H3590" t="s">
        <v>132</v>
      </c>
      <c r="I3590" t="s">
        <v>2117</v>
      </c>
    </row>
    <row r="3591" spans="1:9" x14ac:dyDescent="0.35">
      <c r="A3591">
        <v>34030</v>
      </c>
      <c r="B3591" t="s">
        <v>1225</v>
      </c>
      <c r="C3591" s="1">
        <v>40234</v>
      </c>
      <c r="D3591">
        <v>929</v>
      </c>
      <c r="E3591" t="b">
        <v>1</v>
      </c>
      <c r="F3591">
        <v>515</v>
      </c>
      <c r="G3591" t="s">
        <v>2082</v>
      </c>
      <c r="H3591" t="s">
        <v>124</v>
      </c>
      <c r="I3591" t="s">
        <v>2116</v>
      </c>
    </row>
    <row r="3592" spans="1:9" x14ac:dyDescent="0.35">
      <c r="A3592">
        <v>34030</v>
      </c>
      <c r="B3592" t="s">
        <v>1225</v>
      </c>
      <c r="C3592" s="1">
        <v>40234</v>
      </c>
      <c r="D3592">
        <v>929</v>
      </c>
      <c r="E3592" t="b">
        <v>1</v>
      </c>
      <c r="F3592">
        <v>515</v>
      </c>
      <c r="G3592" t="s">
        <v>2082</v>
      </c>
      <c r="H3592" t="s">
        <v>1510</v>
      </c>
      <c r="I3592" t="s">
        <v>2117</v>
      </c>
    </row>
    <row r="3593" spans="1:9" x14ac:dyDescent="0.35">
      <c r="A3593">
        <v>753640</v>
      </c>
      <c r="B3593" t="s">
        <v>1227</v>
      </c>
      <c r="C3593" s="1">
        <v>44000</v>
      </c>
      <c r="D3593">
        <v>928</v>
      </c>
      <c r="E3593" t="b">
        <v>0</v>
      </c>
      <c r="F3593">
        <v>516</v>
      </c>
      <c r="G3593" t="s">
        <v>18</v>
      </c>
      <c r="H3593" t="s">
        <v>49</v>
      </c>
      <c r="I3593" t="s">
        <v>2116</v>
      </c>
    </row>
    <row r="3594" spans="1:9" x14ac:dyDescent="0.35">
      <c r="A3594">
        <v>753640</v>
      </c>
      <c r="B3594" t="s">
        <v>1227</v>
      </c>
      <c r="C3594" s="1">
        <v>44000</v>
      </c>
      <c r="D3594">
        <v>928</v>
      </c>
      <c r="E3594" t="b">
        <v>0</v>
      </c>
      <c r="F3594">
        <v>516</v>
      </c>
      <c r="G3594" t="s">
        <v>18</v>
      </c>
      <c r="H3594" t="s">
        <v>792</v>
      </c>
      <c r="I3594" t="s">
        <v>2117</v>
      </c>
    </row>
    <row r="3595" spans="1:9" x14ac:dyDescent="0.35">
      <c r="A3595">
        <v>753640</v>
      </c>
      <c r="B3595" t="s">
        <v>1227</v>
      </c>
      <c r="C3595" s="1">
        <v>44000</v>
      </c>
      <c r="D3595">
        <v>928</v>
      </c>
      <c r="E3595" t="b">
        <v>0</v>
      </c>
      <c r="F3595">
        <v>516</v>
      </c>
      <c r="G3595" t="s">
        <v>18</v>
      </c>
      <c r="H3595" t="s">
        <v>346</v>
      </c>
      <c r="I3595" t="s">
        <v>2116</v>
      </c>
    </row>
    <row r="3596" spans="1:9" x14ac:dyDescent="0.35">
      <c r="A3596">
        <v>753640</v>
      </c>
      <c r="B3596" t="s">
        <v>1227</v>
      </c>
      <c r="C3596" s="1">
        <v>44000</v>
      </c>
      <c r="D3596">
        <v>928</v>
      </c>
      <c r="E3596" t="b">
        <v>0</v>
      </c>
      <c r="F3596">
        <v>516</v>
      </c>
      <c r="G3596" t="s">
        <v>18</v>
      </c>
      <c r="H3596" t="s">
        <v>239</v>
      </c>
      <c r="I3596" t="s">
        <v>2117</v>
      </c>
    </row>
    <row r="3597" spans="1:9" x14ac:dyDescent="0.35">
      <c r="A3597">
        <v>753640</v>
      </c>
      <c r="B3597" t="s">
        <v>1227</v>
      </c>
      <c r="C3597" s="1">
        <v>44000</v>
      </c>
      <c r="D3597">
        <v>928</v>
      </c>
      <c r="E3597" t="b">
        <v>0</v>
      </c>
      <c r="F3597">
        <v>516</v>
      </c>
      <c r="G3597" t="s">
        <v>18</v>
      </c>
      <c r="H3597" t="s">
        <v>132</v>
      </c>
      <c r="I3597" t="s">
        <v>2117</v>
      </c>
    </row>
    <row r="3598" spans="1:9" x14ac:dyDescent="0.35">
      <c r="A3598">
        <v>753640</v>
      </c>
      <c r="B3598" t="s">
        <v>1227</v>
      </c>
      <c r="C3598" s="1">
        <v>44000</v>
      </c>
      <c r="D3598">
        <v>928</v>
      </c>
      <c r="E3598" t="b">
        <v>0</v>
      </c>
      <c r="F3598">
        <v>516</v>
      </c>
      <c r="G3598" t="s">
        <v>18</v>
      </c>
      <c r="H3598" t="s">
        <v>124</v>
      </c>
      <c r="I3598" t="s">
        <v>2117</v>
      </c>
    </row>
    <row r="3599" spans="1:9" x14ac:dyDescent="0.35">
      <c r="A3599">
        <v>753640</v>
      </c>
      <c r="B3599" t="s">
        <v>1227</v>
      </c>
      <c r="C3599" s="1">
        <v>44000</v>
      </c>
      <c r="D3599">
        <v>928</v>
      </c>
      <c r="E3599" t="b">
        <v>0</v>
      </c>
      <c r="F3599">
        <v>516</v>
      </c>
      <c r="G3599" t="s">
        <v>18</v>
      </c>
      <c r="H3599" t="s">
        <v>1510</v>
      </c>
      <c r="I3599" t="s">
        <v>2117</v>
      </c>
    </row>
    <row r="3600" spans="1:9" x14ac:dyDescent="0.35">
      <c r="A3600">
        <v>2185060</v>
      </c>
      <c r="B3600" t="s">
        <v>1228</v>
      </c>
      <c r="C3600" s="1">
        <v>45720</v>
      </c>
      <c r="D3600">
        <v>927</v>
      </c>
      <c r="E3600" t="b">
        <v>1</v>
      </c>
      <c r="F3600">
        <v>517</v>
      </c>
      <c r="G3600" t="s">
        <v>25</v>
      </c>
      <c r="H3600" t="s">
        <v>49</v>
      </c>
      <c r="I3600" t="s">
        <v>2117</v>
      </c>
    </row>
    <row r="3601" spans="1:9" x14ac:dyDescent="0.35">
      <c r="A3601">
        <v>2185060</v>
      </c>
      <c r="B3601" t="s">
        <v>1228</v>
      </c>
      <c r="C3601" s="1">
        <v>45720</v>
      </c>
      <c r="D3601">
        <v>927</v>
      </c>
      <c r="E3601" t="b">
        <v>1</v>
      </c>
      <c r="F3601">
        <v>517</v>
      </c>
      <c r="G3601" t="s">
        <v>25</v>
      </c>
      <c r="H3601" t="s">
        <v>792</v>
      </c>
      <c r="I3601" t="s">
        <v>2116</v>
      </c>
    </row>
    <row r="3602" spans="1:9" x14ac:dyDescent="0.35">
      <c r="A3602">
        <v>2185060</v>
      </c>
      <c r="B3602" t="s">
        <v>1228</v>
      </c>
      <c r="C3602" s="1">
        <v>45720</v>
      </c>
      <c r="D3602">
        <v>927</v>
      </c>
      <c r="E3602" t="b">
        <v>1</v>
      </c>
      <c r="F3602">
        <v>517</v>
      </c>
      <c r="G3602" t="s">
        <v>25</v>
      </c>
      <c r="H3602" t="s">
        <v>346</v>
      </c>
      <c r="I3602" t="s">
        <v>2117</v>
      </c>
    </row>
    <row r="3603" spans="1:9" x14ac:dyDescent="0.35">
      <c r="A3603">
        <v>2185060</v>
      </c>
      <c r="B3603" t="s">
        <v>1228</v>
      </c>
      <c r="C3603" s="1">
        <v>45720</v>
      </c>
      <c r="D3603">
        <v>927</v>
      </c>
      <c r="E3603" t="b">
        <v>1</v>
      </c>
      <c r="F3603">
        <v>517</v>
      </c>
      <c r="G3603" t="s">
        <v>25</v>
      </c>
      <c r="H3603" t="s">
        <v>239</v>
      </c>
      <c r="I3603" t="s">
        <v>2116</v>
      </c>
    </row>
    <row r="3604" spans="1:9" x14ac:dyDescent="0.35">
      <c r="A3604">
        <v>2185060</v>
      </c>
      <c r="B3604" t="s">
        <v>1228</v>
      </c>
      <c r="C3604" s="1">
        <v>45720</v>
      </c>
      <c r="D3604">
        <v>927</v>
      </c>
      <c r="E3604" t="b">
        <v>1</v>
      </c>
      <c r="F3604">
        <v>517</v>
      </c>
      <c r="G3604" t="s">
        <v>25</v>
      </c>
      <c r="H3604" t="s">
        <v>132</v>
      </c>
      <c r="I3604" t="s">
        <v>2117</v>
      </c>
    </row>
    <row r="3605" spans="1:9" x14ac:dyDescent="0.35">
      <c r="A3605">
        <v>2185060</v>
      </c>
      <c r="B3605" t="s">
        <v>1228</v>
      </c>
      <c r="C3605" s="1">
        <v>45720</v>
      </c>
      <c r="D3605">
        <v>927</v>
      </c>
      <c r="E3605" t="b">
        <v>1</v>
      </c>
      <c r="F3605">
        <v>517</v>
      </c>
      <c r="G3605" t="s">
        <v>25</v>
      </c>
      <c r="H3605" t="s">
        <v>124</v>
      </c>
      <c r="I3605" t="s">
        <v>2116</v>
      </c>
    </row>
    <row r="3606" spans="1:9" x14ac:dyDescent="0.35">
      <c r="A3606">
        <v>2185060</v>
      </c>
      <c r="B3606" t="s">
        <v>1228</v>
      </c>
      <c r="C3606" s="1">
        <v>45720</v>
      </c>
      <c r="D3606">
        <v>927</v>
      </c>
      <c r="E3606" t="b">
        <v>1</v>
      </c>
      <c r="F3606">
        <v>517</v>
      </c>
      <c r="G3606" t="s">
        <v>25</v>
      </c>
      <c r="H3606" t="s">
        <v>1510</v>
      </c>
      <c r="I3606" t="s">
        <v>2117</v>
      </c>
    </row>
    <row r="3607" spans="1:9" x14ac:dyDescent="0.35">
      <c r="A3607">
        <v>983870</v>
      </c>
      <c r="B3607" t="s">
        <v>1230</v>
      </c>
      <c r="C3607" s="1">
        <v>45414</v>
      </c>
      <c r="D3607">
        <v>925</v>
      </c>
      <c r="E3607" t="b">
        <v>0</v>
      </c>
      <c r="F3607">
        <v>518</v>
      </c>
      <c r="G3607" t="s">
        <v>33</v>
      </c>
      <c r="H3607" t="s">
        <v>49</v>
      </c>
      <c r="I3607" t="s">
        <v>2117</v>
      </c>
    </row>
    <row r="3608" spans="1:9" x14ac:dyDescent="0.35">
      <c r="A3608">
        <v>983870</v>
      </c>
      <c r="B3608" t="s">
        <v>1230</v>
      </c>
      <c r="C3608" s="1">
        <v>45414</v>
      </c>
      <c r="D3608">
        <v>925</v>
      </c>
      <c r="E3608" t="b">
        <v>0</v>
      </c>
      <c r="F3608">
        <v>518</v>
      </c>
      <c r="G3608" t="s">
        <v>33</v>
      </c>
      <c r="H3608" t="s">
        <v>792</v>
      </c>
      <c r="I3608" t="s">
        <v>2116</v>
      </c>
    </row>
    <row r="3609" spans="1:9" x14ac:dyDescent="0.35">
      <c r="A3609">
        <v>983870</v>
      </c>
      <c r="B3609" t="s">
        <v>1230</v>
      </c>
      <c r="C3609" s="1">
        <v>45414</v>
      </c>
      <c r="D3609">
        <v>925</v>
      </c>
      <c r="E3609" t="b">
        <v>0</v>
      </c>
      <c r="F3609">
        <v>518</v>
      </c>
      <c r="G3609" t="s">
        <v>33</v>
      </c>
      <c r="H3609" t="s">
        <v>346</v>
      </c>
      <c r="I3609" t="s">
        <v>2117</v>
      </c>
    </row>
    <row r="3610" spans="1:9" x14ac:dyDescent="0.35">
      <c r="A3610">
        <v>983870</v>
      </c>
      <c r="B3610" t="s">
        <v>1230</v>
      </c>
      <c r="C3610" s="1">
        <v>45414</v>
      </c>
      <c r="D3610">
        <v>925</v>
      </c>
      <c r="E3610" t="b">
        <v>0</v>
      </c>
      <c r="F3610">
        <v>518</v>
      </c>
      <c r="G3610" t="s">
        <v>33</v>
      </c>
      <c r="H3610" t="s">
        <v>239</v>
      </c>
      <c r="I3610" t="s">
        <v>2116</v>
      </c>
    </row>
    <row r="3611" spans="1:9" x14ac:dyDescent="0.35">
      <c r="A3611">
        <v>983870</v>
      </c>
      <c r="B3611" t="s">
        <v>1230</v>
      </c>
      <c r="C3611" s="1">
        <v>45414</v>
      </c>
      <c r="D3611">
        <v>925</v>
      </c>
      <c r="E3611" t="b">
        <v>0</v>
      </c>
      <c r="F3611">
        <v>518</v>
      </c>
      <c r="G3611" t="s">
        <v>33</v>
      </c>
      <c r="H3611" t="s">
        <v>132</v>
      </c>
      <c r="I3611" t="s">
        <v>2117</v>
      </c>
    </row>
    <row r="3612" spans="1:9" x14ac:dyDescent="0.35">
      <c r="A3612">
        <v>983870</v>
      </c>
      <c r="B3612" t="s">
        <v>1230</v>
      </c>
      <c r="C3612" s="1">
        <v>45414</v>
      </c>
      <c r="D3612">
        <v>925</v>
      </c>
      <c r="E3612" t="b">
        <v>0</v>
      </c>
      <c r="F3612">
        <v>518</v>
      </c>
      <c r="G3612" t="s">
        <v>33</v>
      </c>
      <c r="H3612" t="s">
        <v>124</v>
      </c>
      <c r="I3612" t="s">
        <v>2116</v>
      </c>
    </row>
    <row r="3613" spans="1:9" x14ac:dyDescent="0.35">
      <c r="A3613">
        <v>983870</v>
      </c>
      <c r="B3613" t="s">
        <v>1230</v>
      </c>
      <c r="C3613" s="1">
        <v>45414</v>
      </c>
      <c r="D3613">
        <v>925</v>
      </c>
      <c r="E3613" t="b">
        <v>0</v>
      </c>
      <c r="F3613">
        <v>518</v>
      </c>
      <c r="G3613" t="s">
        <v>33</v>
      </c>
      <c r="H3613" t="s">
        <v>1510</v>
      </c>
      <c r="I3613" t="s">
        <v>2117</v>
      </c>
    </row>
    <row r="3614" spans="1:9" x14ac:dyDescent="0.35">
      <c r="A3614">
        <v>2407270</v>
      </c>
      <c r="B3614" t="s">
        <v>1232</v>
      </c>
      <c r="C3614" s="1">
        <v>45743</v>
      </c>
      <c r="D3614">
        <v>922</v>
      </c>
      <c r="E3614" t="b">
        <v>0</v>
      </c>
      <c r="F3614">
        <v>519</v>
      </c>
      <c r="G3614" t="s">
        <v>29</v>
      </c>
      <c r="H3614" t="s">
        <v>49</v>
      </c>
      <c r="I3614" t="s">
        <v>2116</v>
      </c>
    </row>
    <row r="3615" spans="1:9" x14ac:dyDescent="0.35">
      <c r="A3615">
        <v>2407270</v>
      </c>
      <c r="B3615" t="s">
        <v>1232</v>
      </c>
      <c r="C3615" s="1">
        <v>45743</v>
      </c>
      <c r="D3615">
        <v>922</v>
      </c>
      <c r="E3615" t="b">
        <v>0</v>
      </c>
      <c r="F3615">
        <v>519</v>
      </c>
      <c r="G3615" t="s">
        <v>29</v>
      </c>
      <c r="H3615" t="s">
        <v>792</v>
      </c>
      <c r="I3615" t="s">
        <v>2116</v>
      </c>
    </row>
    <row r="3616" spans="1:9" x14ac:dyDescent="0.35">
      <c r="A3616">
        <v>2407270</v>
      </c>
      <c r="B3616" t="s">
        <v>1232</v>
      </c>
      <c r="C3616" s="1">
        <v>45743</v>
      </c>
      <c r="D3616">
        <v>922</v>
      </c>
      <c r="E3616" t="b">
        <v>0</v>
      </c>
      <c r="F3616">
        <v>519</v>
      </c>
      <c r="G3616" t="s">
        <v>29</v>
      </c>
      <c r="H3616" t="s">
        <v>346</v>
      </c>
      <c r="I3616" t="s">
        <v>2116</v>
      </c>
    </row>
    <row r="3617" spans="1:9" x14ac:dyDescent="0.35">
      <c r="A3617">
        <v>2407270</v>
      </c>
      <c r="B3617" t="s">
        <v>1232</v>
      </c>
      <c r="C3617" s="1">
        <v>45743</v>
      </c>
      <c r="D3617">
        <v>922</v>
      </c>
      <c r="E3617" t="b">
        <v>0</v>
      </c>
      <c r="F3617">
        <v>519</v>
      </c>
      <c r="G3617" t="s">
        <v>29</v>
      </c>
      <c r="H3617" t="s">
        <v>239</v>
      </c>
      <c r="I3617" t="s">
        <v>2117</v>
      </c>
    </row>
    <row r="3618" spans="1:9" x14ac:dyDescent="0.35">
      <c r="A3618">
        <v>2407270</v>
      </c>
      <c r="B3618" t="s">
        <v>1232</v>
      </c>
      <c r="C3618" s="1">
        <v>45743</v>
      </c>
      <c r="D3618">
        <v>922</v>
      </c>
      <c r="E3618" t="b">
        <v>0</v>
      </c>
      <c r="F3618">
        <v>519</v>
      </c>
      <c r="G3618" t="s">
        <v>29</v>
      </c>
      <c r="H3618" t="s">
        <v>132</v>
      </c>
      <c r="I3618" t="s">
        <v>2116</v>
      </c>
    </row>
    <row r="3619" spans="1:9" x14ac:dyDescent="0.35">
      <c r="A3619">
        <v>2407270</v>
      </c>
      <c r="B3619" t="s">
        <v>1232</v>
      </c>
      <c r="C3619" s="1">
        <v>45743</v>
      </c>
      <c r="D3619">
        <v>922</v>
      </c>
      <c r="E3619" t="b">
        <v>0</v>
      </c>
      <c r="F3619">
        <v>519</v>
      </c>
      <c r="G3619" t="s">
        <v>29</v>
      </c>
      <c r="H3619" t="s">
        <v>124</v>
      </c>
      <c r="I3619" t="s">
        <v>2117</v>
      </c>
    </row>
    <row r="3620" spans="1:9" x14ac:dyDescent="0.35">
      <c r="A3620">
        <v>2407270</v>
      </c>
      <c r="B3620" t="s">
        <v>1232</v>
      </c>
      <c r="C3620" s="1">
        <v>45743</v>
      </c>
      <c r="D3620">
        <v>922</v>
      </c>
      <c r="E3620" t="b">
        <v>0</v>
      </c>
      <c r="F3620">
        <v>519</v>
      </c>
      <c r="G3620" t="s">
        <v>29</v>
      </c>
      <c r="H3620" t="s">
        <v>1510</v>
      </c>
      <c r="I3620" t="s">
        <v>2117</v>
      </c>
    </row>
    <row r="3621" spans="1:9" x14ac:dyDescent="0.35">
      <c r="A3621">
        <v>632470</v>
      </c>
      <c r="B3621" t="s">
        <v>1233</v>
      </c>
      <c r="C3621" s="1">
        <v>43753</v>
      </c>
      <c r="D3621">
        <v>918</v>
      </c>
      <c r="E3621" t="b">
        <v>1</v>
      </c>
      <c r="F3621">
        <v>520</v>
      </c>
      <c r="G3621" t="s">
        <v>53</v>
      </c>
      <c r="H3621" t="s">
        <v>49</v>
      </c>
      <c r="I3621" t="s">
        <v>2117</v>
      </c>
    </row>
    <row r="3622" spans="1:9" x14ac:dyDescent="0.35">
      <c r="A3622">
        <v>632470</v>
      </c>
      <c r="B3622" t="s">
        <v>1233</v>
      </c>
      <c r="C3622" s="1">
        <v>43753</v>
      </c>
      <c r="D3622">
        <v>918</v>
      </c>
      <c r="E3622" t="b">
        <v>1</v>
      </c>
      <c r="F3622">
        <v>520</v>
      </c>
      <c r="G3622" t="s">
        <v>53</v>
      </c>
      <c r="H3622" t="s">
        <v>792</v>
      </c>
      <c r="I3622" t="s">
        <v>2117</v>
      </c>
    </row>
    <row r="3623" spans="1:9" x14ac:dyDescent="0.35">
      <c r="A3623">
        <v>632470</v>
      </c>
      <c r="B3623" t="s">
        <v>1233</v>
      </c>
      <c r="C3623" s="1">
        <v>43753</v>
      </c>
      <c r="D3623">
        <v>918</v>
      </c>
      <c r="E3623" t="b">
        <v>1</v>
      </c>
      <c r="F3623">
        <v>520</v>
      </c>
      <c r="G3623" t="s">
        <v>53</v>
      </c>
      <c r="H3623" t="s">
        <v>346</v>
      </c>
      <c r="I3623" t="s">
        <v>2117</v>
      </c>
    </row>
    <row r="3624" spans="1:9" x14ac:dyDescent="0.35">
      <c r="A3624">
        <v>632470</v>
      </c>
      <c r="B3624" t="s">
        <v>1233</v>
      </c>
      <c r="C3624" s="1">
        <v>43753</v>
      </c>
      <c r="D3624">
        <v>918</v>
      </c>
      <c r="E3624" t="b">
        <v>1</v>
      </c>
      <c r="F3624">
        <v>520</v>
      </c>
      <c r="G3624" t="s">
        <v>53</v>
      </c>
      <c r="H3624" t="s">
        <v>239</v>
      </c>
      <c r="I3624" t="s">
        <v>2117</v>
      </c>
    </row>
    <row r="3625" spans="1:9" x14ac:dyDescent="0.35">
      <c r="A3625">
        <v>632470</v>
      </c>
      <c r="B3625" t="s">
        <v>1233</v>
      </c>
      <c r="C3625" s="1">
        <v>43753</v>
      </c>
      <c r="D3625">
        <v>918</v>
      </c>
      <c r="E3625" t="b">
        <v>1</v>
      </c>
      <c r="F3625">
        <v>520</v>
      </c>
      <c r="G3625" t="s">
        <v>53</v>
      </c>
      <c r="H3625" t="s">
        <v>132</v>
      </c>
      <c r="I3625" t="s">
        <v>2116</v>
      </c>
    </row>
    <row r="3626" spans="1:9" x14ac:dyDescent="0.35">
      <c r="A3626">
        <v>632470</v>
      </c>
      <c r="B3626" t="s">
        <v>1233</v>
      </c>
      <c r="C3626" s="1">
        <v>43753</v>
      </c>
      <c r="D3626">
        <v>918</v>
      </c>
      <c r="E3626" t="b">
        <v>1</v>
      </c>
      <c r="F3626">
        <v>520</v>
      </c>
      <c r="G3626" t="s">
        <v>53</v>
      </c>
      <c r="H3626" t="s">
        <v>124</v>
      </c>
      <c r="I3626" t="s">
        <v>2117</v>
      </c>
    </row>
    <row r="3627" spans="1:9" x14ac:dyDescent="0.35">
      <c r="A3627">
        <v>632470</v>
      </c>
      <c r="B3627" t="s">
        <v>1233</v>
      </c>
      <c r="C3627" s="1">
        <v>43753</v>
      </c>
      <c r="D3627">
        <v>918</v>
      </c>
      <c r="E3627" t="b">
        <v>1</v>
      </c>
      <c r="F3627">
        <v>520</v>
      </c>
      <c r="G3627" t="s">
        <v>53</v>
      </c>
      <c r="H3627" t="s">
        <v>1510</v>
      </c>
      <c r="I3627" t="s">
        <v>2117</v>
      </c>
    </row>
    <row r="3628" spans="1:9" x14ac:dyDescent="0.35">
      <c r="A3628">
        <v>975370</v>
      </c>
      <c r="B3628" t="s">
        <v>1234</v>
      </c>
      <c r="C3628" s="1">
        <v>44901</v>
      </c>
      <c r="D3628">
        <v>915</v>
      </c>
      <c r="E3628" t="b">
        <v>0</v>
      </c>
      <c r="F3628">
        <v>521</v>
      </c>
      <c r="G3628" t="s">
        <v>161</v>
      </c>
      <c r="H3628" t="s">
        <v>49</v>
      </c>
      <c r="I3628" t="s">
        <v>2117</v>
      </c>
    </row>
    <row r="3629" spans="1:9" x14ac:dyDescent="0.35">
      <c r="A3629">
        <v>975370</v>
      </c>
      <c r="B3629" t="s">
        <v>1234</v>
      </c>
      <c r="C3629" s="1">
        <v>44901</v>
      </c>
      <c r="D3629">
        <v>915</v>
      </c>
      <c r="E3629" t="b">
        <v>0</v>
      </c>
      <c r="F3629">
        <v>521</v>
      </c>
      <c r="G3629" t="s">
        <v>161</v>
      </c>
      <c r="H3629" t="s">
        <v>792</v>
      </c>
      <c r="I3629" t="s">
        <v>2116</v>
      </c>
    </row>
    <row r="3630" spans="1:9" x14ac:dyDescent="0.35">
      <c r="A3630">
        <v>975370</v>
      </c>
      <c r="B3630" t="s">
        <v>1234</v>
      </c>
      <c r="C3630" s="1">
        <v>44901</v>
      </c>
      <c r="D3630">
        <v>915</v>
      </c>
      <c r="E3630" t="b">
        <v>0</v>
      </c>
      <c r="F3630">
        <v>521</v>
      </c>
      <c r="G3630" t="s">
        <v>161</v>
      </c>
      <c r="H3630" t="s">
        <v>346</v>
      </c>
      <c r="I3630" t="s">
        <v>2117</v>
      </c>
    </row>
    <row r="3631" spans="1:9" x14ac:dyDescent="0.35">
      <c r="A3631">
        <v>975370</v>
      </c>
      <c r="B3631" t="s">
        <v>1234</v>
      </c>
      <c r="C3631" s="1">
        <v>44901</v>
      </c>
      <c r="D3631">
        <v>915</v>
      </c>
      <c r="E3631" t="b">
        <v>0</v>
      </c>
      <c r="F3631">
        <v>521</v>
      </c>
      <c r="G3631" t="s">
        <v>161</v>
      </c>
      <c r="H3631" t="s">
        <v>239</v>
      </c>
      <c r="I3631" t="s">
        <v>2116</v>
      </c>
    </row>
    <row r="3632" spans="1:9" x14ac:dyDescent="0.35">
      <c r="A3632">
        <v>975370</v>
      </c>
      <c r="B3632" t="s">
        <v>1234</v>
      </c>
      <c r="C3632" s="1">
        <v>44901</v>
      </c>
      <c r="D3632">
        <v>915</v>
      </c>
      <c r="E3632" t="b">
        <v>0</v>
      </c>
      <c r="F3632">
        <v>521</v>
      </c>
      <c r="G3632" t="s">
        <v>161</v>
      </c>
      <c r="H3632" t="s">
        <v>132</v>
      </c>
      <c r="I3632" t="s">
        <v>2117</v>
      </c>
    </row>
    <row r="3633" spans="1:9" x14ac:dyDescent="0.35">
      <c r="A3633">
        <v>975370</v>
      </c>
      <c r="B3633" t="s">
        <v>1234</v>
      </c>
      <c r="C3633" s="1">
        <v>44901</v>
      </c>
      <c r="D3633">
        <v>915</v>
      </c>
      <c r="E3633" t="b">
        <v>0</v>
      </c>
      <c r="F3633">
        <v>521</v>
      </c>
      <c r="G3633" t="s">
        <v>161</v>
      </c>
      <c r="H3633" t="s">
        <v>124</v>
      </c>
      <c r="I3633" t="s">
        <v>2116</v>
      </c>
    </row>
    <row r="3634" spans="1:9" x14ac:dyDescent="0.35">
      <c r="A3634">
        <v>975370</v>
      </c>
      <c r="B3634" t="s">
        <v>1234</v>
      </c>
      <c r="C3634" s="1">
        <v>44901</v>
      </c>
      <c r="D3634">
        <v>915</v>
      </c>
      <c r="E3634" t="b">
        <v>0</v>
      </c>
      <c r="F3634">
        <v>521</v>
      </c>
      <c r="G3634" t="s">
        <v>161</v>
      </c>
      <c r="H3634" t="s">
        <v>1510</v>
      </c>
      <c r="I3634" t="s">
        <v>2117</v>
      </c>
    </row>
    <row r="3635" spans="1:9" x14ac:dyDescent="0.35">
      <c r="A3635">
        <v>1397920</v>
      </c>
      <c r="B3635" t="s">
        <v>1235</v>
      </c>
      <c r="C3635" s="1">
        <v>44104</v>
      </c>
      <c r="D3635">
        <v>914</v>
      </c>
      <c r="E3635" t="b">
        <v>1</v>
      </c>
      <c r="F3635">
        <v>522</v>
      </c>
      <c r="G3635" t="s">
        <v>14</v>
      </c>
      <c r="H3635" t="s">
        <v>49</v>
      </c>
      <c r="I3635" t="s">
        <v>2117</v>
      </c>
    </row>
    <row r="3636" spans="1:9" x14ac:dyDescent="0.35">
      <c r="A3636">
        <v>1397920</v>
      </c>
      <c r="B3636" t="s">
        <v>1235</v>
      </c>
      <c r="C3636" s="1">
        <v>44104</v>
      </c>
      <c r="D3636">
        <v>914</v>
      </c>
      <c r="E3636" t="b">
        <v>1</v>
      </c>
      <c r="F3636">
        <v>522</v>
      </c>
      <c r="G3636" t="s">
        <v>14</v>
      </c>
      <c r="H3636" t="s">
        <v>792</v>
      </c>
      <c r="I3636" t="s">
        <v>2116</v>
      </c>
    </row>
    <row r="3637" spans="1:9" x14ac:dyDescent="0.35">
      <c r="A3637">
        <v>1397920</v>
      </c>
      <c r="B3637" t="s">
        <v>1235</v>
      </c>
      <c r="C3637" s="1">
        <v>44104</v>
      </c>
      <c r="D3637">
        <v>914</v>
      </c>
      <c r="E3637" t="b">
        <v>1</v>
      </c>
      <c r="F3637">
        <v>522</v>
      </c>
      <c r="G3637" t="s">
        <v>14</v>
      </c>
      <c r="H3637" t="s">
        <v>346</v>
      </c>
      <c r="I3637" t="s">
        <v>2116</v>
      </c>
    </row>
    <row r="3638" spans="1:9" x14ac:dyDescent="0.35">
      <c r="A3638">
        <v>1397920</v>
      </c>
      <c r="B3638" t="s">
        <v>1235</v>
      </c>
      <c r="C3638" s="1">
        <v>44104</v>
      </c>
      <c r="D3638">
        <v>914</v>
      </c>
      <c r="E3638" t="b">
        <v>1</v>
      </c>
      <c r="F3638">
        <v>522</v>
      </c>
      <c r="G3638" t="s">
        <v>14</v>
      </c>
      <c r="H3638" t="s">
        <v>239</v>
      </c>
      <c r="I3638" t="s">
        <v>2116</v>
      </c>
    </row>
    <row r="3639" spans="1:9" x14ac:dyDescent="0.35">
      <c r="A3639">
        <v>1397920</v>
      </c>
      <c r="B3639" t="s">
        <v>1235</v>
      </c>
      <c r="C3639" s="1">
        <v>44104</v>
      </c>
      <c r="D3639">
        <v>914</v>
      </c>
      <c r="E3639" t="b">
        <v>1</v>
      </c>
      <c r="F3639">
        <v>522</v>
      </c>
      <c r="G3639" t="s">
        <v>14</v>
      </c>
      <c r="H3639" t="s">
        <v>132</v>
      </c>
      <c r="I3639" t="s">
        <v>2116</v>
      </c>
    </row>
    <row r="3640" spans="1:9" x14ac:dyDescent="0.35">
      <c r="A3640">
        <v>1397920</v>
      </c>
      <c r="B3640" t="s">
        <v>1235</v>
      </c>
      <c r="C3640" s="1">
        <v>44104</v>
      </c>
      <c r="D3640">
        <v>914</v>
      </c>
      <c r="E3640" t="b">
        <v>1</v>
      </c>
      <c r="F3640">
        <v>522</v>
      </c>
      <c r="G3640" t="s">
        <v>14</v>
      </c>
      <c r="H3640" t="s">
        <v>124</v>
      </c>
      <c r="I3640" t="s">
        <v>2116</v>
      </c>
    </row>
    <row r="3641" spans="1:9" x14ac:dyDescent="0.35">
      <c r="A3641">
        <v>1397920</v>
      </c>
      <c r="B3641" t="s">
        <v>1235</v>
      </c>
      <c r="C3641" s="1">
        <v>44104</v>
      </c>
      <c r="D3641">
        <v>914</v>
      </c>
      <c r="E3641" t="b">
        <v>1</v>
      </c>
      <c r="F3641">
        <v>522</v>
      </c>
      <c r="G3641" t="s">
        <v>14</v>
      </c>
      <c r="H3641" t="s">
        <v>1510</v>
      </c>
      <c r="I3641" t="s">
        <v>2116</v>
      </c>
    </row>
    <row r="3642" spans="1:9" x14ac:dyDescent="0.35">
      <c r="A3642">
        <v>2344320</v>
      </c>
      <c r="B3642" t="s">
        <v>1237</v>
      </c>
      <c r="C3642" s="1">
        <v>45700</v>
      </c>
      <c r="D3642">
        <v>913</v>
      </c>
      <c r="E3642" t="b">
        <v>0</v>
      </c>
      <c r="F3642">
        <v>523</v>
      </c>
      <c r="G3642" t="s">
        <v>405</v>
      </c>
      <c r="H3642" t="s">
        <v>49</v>
      </c>
      <c r="I3642" t="s">
        <v>2116</v>
      </c>
    </row>
    <row r="3643" spans="1:9" x14ac:dyDescent="0.35">
      <c r="A3643">
        <v>2344320</v>
      </c>
      <c r="B3643" t="s">
        <v>1237</v>
      </c>
      <c r="C3643" s="1">
        <v>45700</v>
      </c>
      <c r="D3643">
        <v>913</v>
      </c>
      <c r="E3643" t="b">
        <v>0</v>
      </c>
      <c r="F3643">
        <v>523</v>
      </c>
      <c r="G3643" t="s">
        <v>405</v>
      </c>
      <c r="H3643" t="s">
        <v>792</v>
      </c>
      <c r="I3643" t="s">
        <v>2117</v>
      </c>
    </row>
    <row r="3644" spans="1:9" x14ac:dyDescent="0.35">
      <c r="A3644">
        <v>2344320</v>
      </c>
      <c r="B3644" t="s">
        <v>1237</v>
      </c>
      <c r="C3644" s="1">
        <v>45700</v>
      </c>
      <c r="D3644">
        <v>913</v>
      </c>
      <c r="E3644" t="b">
        <v>0</v>
      </c>
      <c r="F3644">
        <v>523</v>
      </c>
      <c r="G3644" t="s">
        <v>405</v>
      </c>
      <c r="H3644" t="s">
        <v>346</v>
      </c>
      <c r="I3644" t="s">
        <v>2117</v>
      </c>
    </row>
    <row r="3645" spans="1:9" x14ac:dyDescent="0.35">
      <c r="A3645">
        <v>2344320</v>
      </c>
      <c r="B3645" t="s">
        <v>1237</v>
      </c>
      <c r="C3645" s="1">
        <v>45700</v>
      </c>
      <c r="D3645">
        <v>913</v>
      </c>
      <c r="E3645" t="b">
        <v>0</v>
      </c>
      <c r="F3645">
        <v>523</v>
      </c>
      <c r="G3645" t="s">
        <v>405</v>
      </c>
      <c r="H3645" t="s">
        <v>239</v>
      </c>
      <c r="I3645" t="s">
        <v>2117</v>
      </c>
    </row>
    <row r="3646" spans="1:9" x14ac:dyDescent="0.35">
      <c r="A3646">
        <v>2344320</v>
      </c>
      <c r="B3646" t="s">
        <v>1237</v>
      </c>
      <c r="C3646" s="1">
        <v>45700</v>
      </c>
      <c r="D3646">
        <v>913</v>
      </c>
      <c r="E3646" t="b">
        <v>0</v>
      </c>
      <c r="F3646">
        <v>523</v>
      </c>
      <c r="G3646" t="s">
        <v>405</v>
      </c>
      <c r="H3646" t="s">
        <v>132</v>
      </c>
      <c r="I3646" t="s">
        <v>2116</v>
      </c>
    </row>
    <row r="3647" spans="1:9" x14ac:dyDescent="0.35">
      <c r="A3647">
        <v>2344320</v>
      </c>
      <c r="B3647" t="s">
        <v>1237</v>
      </c>
      <c r="C3647" s="1">
        <v>45700</v>
      </c>
      <c r="D3647">
        <v>913</v>
      </c>
      <c r="E3647" t="b">
        <v>0</v>
      </c>
      <c r="F3647">
        <v>523</v>
      </c>
      <c r="G3647" t="s">
        <v>405</v>
      </c>
      <c r="H3647" t="s">
        <v>124</v>
      </c>
      <c r="I3647" t="s">
        <v>2117</v>
      </c>
    </row>
    <row r="3648" spans="1:9" x14ac:dyDescent="0.35">
      <c r="A3648">
        <v>2344320</v>
      </c>
      <c r="B3648" t="s">
        <v>1237</v>
      </c>
      <c r="C3648" s="1">
        <v>45700</v>
      </c>
      <c r="D3648">
        <v>913</v>
      </c>
      <c r="E3648" t="b">
        <v>0</v>
      </c>
      <c r="F3648">
        <v>523</v>
      </c>
      <c r="G3648" t="s">
        <v>405</v>
      </c>
      <c r="H3648" t="s">
        <v>1510</v>
      </c>
      <c r="I3648" t="s">
        <v>2117</v>
      </c>
    </row>
    <row r="3649" spans="1:9" x14ac:dyDescent="0.35">
      <c r="A3649">
        <v>670290</v>
      </c>
      <c r="B3649" t="s">
        <v>1238</v>
      </c>
      <c r="C3649" s="1">
        <v>43104</v>
      </c>
      <c r="D3649">
        <v>911</v>
      </c>
      <c r="E3649" t="b">
        <v>0</v>
      </c>
      <c r="F3649">
        <v>524</v>
      </c>
      <c r="G3649" t="s">
        <v>110</v>
      </c>
      <c r="H3649" t="s">
        <v>49</v>
      </c>
      <c r="I3649" t="s">
        <v>2116</v>
      </c>
    </row>
    <row r="3650" spans="1:9" x14ac:dyDescent="0.35">
      <c r="A3650">
        <v>670290</v>
      </c>
      <c r="B3650" t="s">
        <v>1238</v>
      </c>
      <c r="C3650" s="1">
        <v>43104</v>
      </c>
      <c r="D3650">
        <v>911</v>
      </c>
      <c r="E3650" t="b">
        <v>0</v>
      </c>
      <c r="F3650">
        <v>524</v>
      </c>
      <c r="G3650" t="s">
        <v>110</v>
      </c>
      <c r="H3650" t="s">
        <v>792</v>
      </c>
      <c r="I3650" t="s">
        <v>2116</v>
      </c>
    </row>
    <row r="3651" spans="1:9" x14ac:dyDescent="0.35">
      <c r="A3651">
        <v>670290</v>
      </c>
      <c r="B3651" t="s">
        <v>1238</v>
      </c>
      <c r="C3651" s="1">
        <v>43104</v>
      </c>
      <c r="D3651">
        <v>911</v>
      </c>
      <c r="E3651" t="b">
        <v>0</v>
      </c>
      <c r="F3651">
        <v>524</v>
      </c>
      <c r="G3651" t="s">
        <v>110</v>
      </c>
      <c r="H3651" t="s">
        <v>346</v>
      </c>
      <c r="I3651" t="s">
        <v>2117</v>
      </c>
    </row>
    <row r="3652" spans="1:9" x14ac:dyDescent="0.35">
      <c r="A3652">
        <v>670290</v>
      </c>
      <c r="B3652" t="s">
        <v>1238</v>
      </c>
      <c r="C3652" s="1">
        <v>43104</v>
      </c>
      <c r="D3652">
        <v>911</v>
      </c>
      <c r="E3652" t="b">
        <v>0</v>
      </c>
      <c r="F3652">
        <v>524</v>
      </c>
      <c r="G3652" t="s">
        <v>110</v>
      </c>
      <c r="H3652" t="s">
        <v>239</v>
      </c>
      <c r="I3652" t="s">
        <v>2116</v>
      </c>
    </row>
    <row r="3653" spans="1:9" x14ac:dyDescent="0.35">
      <c r="A3653">
        <v>670290</v>
      </c>
      <c r="B3653" t="s">
        <v>1238</v>
      </c>
      <c r="C3653" s="1">
        <v>43104</v>
      </c>
      <c r="D3653">
        <v>911</v>
      </c>
      <c r="E3653" t="b">
        <v>0</v>
      </c>
      <c r="F3653">
        <v>524</v>
      </c>
      <c r="G3653" t="s">
        <v>110</v>
      </c>
      <c r="H3653" t="s">
        <v>132</v>
      </c>
      <c r="I3653" t="s">
        <v>2117</v>
      </c>
    </row>
    <row r="3654" spans="1:9" x14ac:dyDescent="0.35">
      <c r="A3654">
        <v>670290</v>
      </c>
      <c r="B3654" t="s">
        <v>1238</v>
      </c>
      <c r="C3654" s="1">
        <v>43104</v>
      </c>
      <c r="D3654">
        <v>911</v>
      </c>
      <c r="E3654" t="b">
        <v>0</v>
      </c>
      <c r="F3654">
        <v>524</v>
      </c>
      <c r="G3654" t="s">
        <v>110</v>
      </c>
      <c r="H3654" t="s">
        <v>124</v>
      </c>
      <c r="I3654" t="s">
        <v>2116</v>
      </c>
    </row>
    <row r="3655" spans="1:9" x14ac:dyDescent="0.35">
      <c r="A3655">
        <v>670290</v>
      </c>
      <c r="B3655" t="s">
        <v>1238</v>
      </c>
      <c r="C3655" s="1">
        <v>43104</v>
      </c>
      <c r="D3655">
        <v>911</v>
      </c>
      <c r="E3655" t="b">
        <v>0</v>
      </c>
      <c r="F3655">
        <v>524</v>
      </c>
      <c r="G3655" t="s">
        <v>110</v>
      </c>
      <c r="H3655" t="s">
        <v>1510</v>
      </c>
      <c r="I3655" t="s">
        <v>2116</v>
      </c>
    </row>
    <row r="3656" spans="1:9" x14ac:dyDescent="0.35">
      <c r="A3656">
        <v>3416070</v>
      </c>
      <c r="B3656" t="s">
        <v>1241</v>
      </c>
      <c r="C3656" s="1">
        <v>45686</v>
      </c>
      <c r="D3656">
        <v>911</v>
      </c>
      <c r="E3656" t="b">
        <v>0</v>
      </c>
      <c r="F3656">
        <v>524</v>
      </c>
      <c r="G3656" t="s">
        <v>14</v>
      </c>
      <c r="H3656" t="s">
        <v>49</v>
      </c>
      <c r="I3656" t="s">
        <v>2117</v>
      </c>
    </row>
    <row r="3657" spans="1:9" x14ac:dyDescent="0.35">
      <c r="A3657">
        <v>3416070</v>
      </c>
      <c r="B3657" t="s">
        <v>1241</v>
      </c>
      <c r="C3657" s="1">
        <v>45686</v>
      </c>
      <c r="D3657">
        <v>911</v>
      </c>
      <c r="E3657" t="b">
        <v>0</v>
      </c>
      <c r="F3657">
        <v>524</v>
      </c>
      <c r="G3657" t="s">
        <v>14</v>
      </c>
      <c r="H3657" t="s">
        <v>792</v>
      </c>
      <c r="I3657" t="s">
        <v>2116</v>
      </c>
    </row>
    <row r="3658" spans="1:9" x14ac:dyDescent="0.35">
      <c r="A3658">
        <v>3416070</v>
      </c>
      <c r="B3658" t="s">
        <v>1241</v>
      </c>
      <c r="C3658" s="1">
        <v>45686</v>
      </c>
      <c r="D3658">
        <v>911</v>
      </c>
      <c r="E3658" t="b">
        <v>0</v>
      </c>
      <c r="F3658">
        <v>524</v>
      </c>
      <c r="G3658" t="s">
        <v>14</v>
      </c>
      <c r="H3658" t="s">
        <v>346</v>
      </c>
      <c r="I3658" t="s">
        <v>2117</v>
      </c>
    </row>
    <row r="3659" spans="1:9" x14ac:dyDescent="0.35">
      <c r="A3659">
        <v>3416070</v>
      </c>
      <c r="B3659" t="s">
        <v>1241</v>
      </c>
      <c r="C3659" s="1">
        <v>45686</v>
      </c>
      <c r="D3659">
        <v>911</v>
      </c>
      <c r="E3659" t="b">
        <v>0</v>
      </c>
      <c r="F3659">
        <v>524</v>
      </c>
      <c r="G3659" t="s">
        <v>14</v>
      </c>
      <c r="H3659" t="s">
        <v>239</v>
      </c>
      <c r="I3659" t="s">
        <v>2116</v>
      </c>
    </row>
    <row r="3660" spans="1:9" x14ac:dyDescent="0.35">
      <c r="A3660">
        <v>3416070</v>
      </c>
      <c r="B3660" t="s">
        <v>1241</v>
      </c>
      <c r="C3660" s="1">
        <v>45686</v>
      </c>
      <c r="D3660">
        <v>911</v>
      </c>
      <c r="E3660" t="b">
        <v>0</v>
      </c>
      <c r="F3660">
        <v>524</v>
      </c>
      <c r="G3660" t="s">
        <v>14</v>
      </c>
      <c r="H3660" t="s">
        <v>132</v>
      </c>
      <c r="I3660" t="s">
        <v>2117</v>
      </c>
    </row>
    <row r="3661" spans="1:9" x14ac:dyDescent="0.35">
      <c r="A3661">
        <v>3416070</v>
      </c>
      <c r="B3661" t="s">
        <v>1241</v>
      </c>
      <c r="C3661" s="1">
        <v>45686</v>
      </c>
      <c r="D3661">
        <v>911</v>
      </c>
      <c r="E3661" t="b">
        <v>0</v>
      </c>
      <c r="F3661">
        <v>524</v>
      </c>
      <c r="G3661" t="s">
        <v>14</v>
      </c>
      <c r="H3661" t="s">
        <v>124</v>
      </c>
      <c r="I3661" t="s">
        <v>2117</v>
      </c>
    </row>
    <row r="3662" spans="1:9" x14ac:dyDescent="0.35">
      <c r="A3662">
        <v>3416070</v>
      </c>
      <c r="B3662" t="s">
        <v>1241</v>
      </c>
      <c r="C3662" s="1">
        <v>45686</v>
      </c>
      <c r="D3662">
        <v>911</v>
      </c>
      <c r="E3662" t="b">
        <v>0</v>
      </c>
      <c r="F3662">
        <v>524</v>
      </c>
      <c r="G3662" t="s">
        <v>14</v>
      </c>
      <c r="H3662" t="s">
        <v>1510</v>
      </c>
      <c r="I3662" t="s">
        <v>2117</v>
      </c>
    </row>
    <row r="3663" spans="1:9" x14ac:dyDescent="0.35">
      <c r="A3663">
        <v>387990</v>
      </c>
      <c r="B3663" t="s">
        <v>1242</v>
      </c>
      <c r="C3663" s="1">
        <v>42388</v>
      </c>
      <c r="D3663">
        <v>909</v>
      </c>
      <c r="E3663" t="b">
        <v>0</v>
      </c>
      <c r="F3663">
        <v>526</v>
      </c>
      <c r="G3663" t="s">
        <v>29</v>
      </c>
      <c r="H3663" t="s">
        <v>49</v>
      </c>
      <c r="I3663" t="s">
        <v>2116</v>
      </c>
    </row>
    <row r="3664" spans="1:9" x14ac:dyDescent="0.35">
      <c r="A3664">
        <v>387990</v>
      </c>
      <c r="B3664" t="s">
        <v>1242</v>
      </c>
      <c r="C3664" s="1">
        <v>42388</v>
      </c>
      <c r="D3664">
        <v>909</v>
      </c>
      <c r="E3664" t="b">
        <v>0</v>
      </c>
      <c r="F3664">
        <v>526</v>
      </c>
      <c r="G3664" t="s">
        <v>29</v>
      </c>
      <c r="H3664" t="s">
        <v>792</v>
      </c>
      <c r="I3664" t="s">
        <v>2116</v>
      </c>
    </row>
    <row r="3665" spans="1:9" x14ac:dyDescent="0.35">
      <c r="A3665">
        <v>387990</v>
      </c>
      <c r="B3665" t="s">
        <v>1242</v>
      </c>
      <c r="C3665" s="1">
        <v>42388</v>
      </c>
      <c r="D3665">
        <v>909</v>
      </c>
      <c r="E3665" t="b">
        <v>0</v>
      </c>
      <c r="F3665">
        <v>526</v>
      </c>
      <c r="G3665" t="s">
        <v>29</v>
      </c>
      <c r="H3665" t="s">
        <v>346</v>
      </c>
      <c r="I3665" t="s">
        <v>2116</v>
      </c>
    </row>
    <row r="3666" spans="1:9" x14ac:dyDescent="0.35">
      <c r="A3666">
        <v>387990</v>
      </c>
      <c r="B3666" t="s">
        <v>1242</v>
      </c>
      <c r="C3666" s="1">
        <v>42388</v>
      </c>
      <c r="D3666">
        <v>909</v>
      </c>
      <c r="E3666" t="b">
        <v>0</v>
      </c>
      <c r="F3666">
        <v>526</v>
      </c>
      <c r="G3666" t="s">
        <v>29</v>
      </c>
      <c r="H3666" t="s">
        <v>239</v>
      </c>
      <c r="I3666" t="s">
        <v>2116</v>
      </c>
    </row>
    <row r="3667" spans="1:9" x14ac:dyDescent="0.35">
      <c r="A3667">
        <v>387990</v>
      </c>
      <c r="B3667" t="s">
        <v>1242</v>
      </c>
      <c r="C3667" s="1">
        <v>42388</v>
      </c>
      <c r="D3667">
        <v>909</v>
      </c>
      <c r="E3667" t="b">
        <v>0</v>
      </c>
      <c r="F3667">
        <v>526</v>
      </c>
      <c r="G3667" t="s">
        <v>29</v>
      </c>
      <c r="H3667" t="s">
        <v>132</v>
      </c>
      <c r="I3667" t="s">
        <v>2117</v>
      </c>
    </row>
    <row r="3668" spans="1:9" x14ac:dyDescent="0.35">
      <c r="A3668">
        <v>387990</v>
      </c>
      <c r="B3668" t="s">
        <v>1242</v>
      </c>
      <c r="C3668" s="1">
        <v>42388</v>
      </c>
      <c r="D3668">
        <v>909</v>
      </c>
      <c r="E3668" t="b">
        <v>0</v>
      </c>
      <c r="F3668">
        <v>526</v>
      </c>
      <c r="G3668" t="s">
        <v>29</v>
      </c>
      <c r="H3668" t="s">
        <v>124</v>
      </c>
      <c r="I3668" t="s">
        <v>2117</v>
      </c>
    </row>
    <row r="3669" spans="1:9" x14ac:dyDescent="0.35">
      <c r="A3669">
        <v>387990</v>
      </c>
      <c r="B3669" t="s">
        <v>1242</v>
      </c>
      <c r="C3669" s="1">
        <v>42388</v>
      </c>
      <c r="D3669">
        <v>909</v>
      </c>
      <c r="E3669" t="b">
        <v>0</v>
      </c>
      <c r="F3669">
        <v>526</v>
      </c>
      <c r="G3669" t="s">
        <v>29</v>
      </c>
      <c r="H3669" t="s">
        <v>1510</v>
      </c>
      <c r="I3669" t="s">
        <v>2117</v>
      </c>
    </row>
    <row r="3670" spans="1:9" x14ac:dyDescent="0.35">
      <c r="A3670">
        <v>362890</v>
      </c>
      <c r="B3670" t="s">
        <v>1245</v>
      </c>
      <c r="C3670" s="1">
        <v>43896</v>
      </c>
      <c r="D3670">
        <v>907</v>
      </c>
      <c r="E3670" t="b">
        <v>0</v>
      </c>
      <c r="F3670">
        <v>527</v>
      </c>
      <c r="G3670" t="s">
        <v>33</v>
      </c>
      <c r="H3670" t="s">
        <v>49</v>
      </c>
      <c r="I3670" t="s">
        <v>2116</v>
      </c>
    </row>
    <row r="3671" spans="1:9" x14ac:dyDescent="0.35">
      <c r="A3671">
        <v>362890</v>
      </c>
      <c r="B3671" t="s">
        <v>1245</v>
      </c>
      <c r="C3671" s="1">
        <v>43896</v>
      </c>
      <c r="D3671">
        <v>907</v>
      </c>
      <c r="E3671" t="b">
        <v>0</v>
      </c>
      <c r="F3671">
        <v>527</v>
      </c>
      <c r="G3671" t="s">
        <v>33</v>
      </c>
      <c r="H3671" t="s">
        <v>792</v>
      </c>
      <c r="I3671" t="s">
        <v>2116</v>
      </c>
    </row>
    <row r="3672" spans="1:9" x14ac:dyDescent="0.35">
      <c r="A3672">
        <v>362890</v>
      </c>
      <c r="B3672" t="s">
        <v>1245</v>
      </c>
      <c r="C3672" s="1">
        <v>43896</v>
      </c>
      <c r="D3672">
        <v>907</v>
      </c>
      <c r="E3672" t="b">
        <v>0</v>
      </c>
      <c r="F3672">
        <v>527</v>
      </c>
      <c r="G3672" t="s">
        <v>33</v>
      </c>
      <c r="H3672" t="s">
        <v>346</v>
      </c>
      <c r="I3672" t="s">
        <v>2116</v>
      </c>
    </row>
    <row r="3673" spans="1:9" x14ac:dyDescent="0.35">
      <c r="A3673">
        <v>362890</v>
      </c>
      <c r="B3673" t="s">
        <v>1245</v>
      </c>
      <c r="C3673" s="1">
        <v>43896</v>
      </c>
      <c r="D3673">
        <v>907</v>
      </c>
      <c r="E3673" t="b">
        <v>0</v>
      </c>
      <c r="F3673">
        <v>527</v>
      </c>
      <c r="G3673" t="s">
        <v>33</v>
      </c>
      <c r="H3673" t="s">
        <v>239</v>
      </c>
      <c r="I3673" t="s">
        <v>2117</v>
      </c>
    </row>
    <row r="3674" spans="1:9" x14ac:dyDescent="0.35">
      <c r="A3674">
        <v>362890</v>
      </c>
      <c r="B3674" t="s">
        <v>1245</v>
      </c>
      <c r="C3674" s="1">
        <v>43896</v>
      </c>
      <c r="D3674">
        <v>907</v>
      </c>
      <c r="E3674" t="b">
        <v>0</v>
      </c>
      <c r="F3674">
        <v>527</v>
      </c>
      <c r="G3674" t="s">
        <v>33</v>
      </c>
      <c r="H3674" t="s">
        <v>132</v>
      </c>
      <c r="I3674" t="s">
        <v>2117</v>
      </c>
    </row>
    <row r="3675" spans="1:9" x14ac:dyDescent="0.35">
      <c r="A3675">
        <v>362890</v>
      </c>
      <c r="B3675" t="s">
        <v>1245</v>
      </c>
      <c r="C3675" s="1">
        <v>43896</v>
      </c>
      <c r="D3675">
        <v>907</v>
      </c>
      <c r="E3675" t="b">
        <v>0</v>
      </c>
      <c r="F3675">
        <v>527</v>
      </c>
      <c r="G3675" t="s">
        <v>33</v>
      </c>
      <c r="H3675" t="s">
        <v>124</v>
      </c>
      <c r="I3675" t="s">
        <v>2117</v>
      </c>
    </row>
    <row r="3676" spans="1:9" x14ac:dyDescent="0.35">
      <c r="A3676">
        <v>362890</v>
      </c>
      <c r="B3676" t="s">
        <v>1245</v>
      </c>
      <c r="C3676" s="1">
        <v>43896</v>
      </c>
      <c r="D3676">
        <v>907</v>
      </c>
      <c r="E3676" t="b">
        <v>0</v>
      </c>
      <c r="F3676">
        <v>527</v>
      </c>
      <c r="G3676" t="s">
        <v>33</v>
      </c>
      <c r="H3676" t="s">
        <v>1510</v>
      </c>
      <c r="I3676" t="s">
        <v>2117</v>
      </c>
    </row>
    <row r="3677" spans="1:9" x14ac:dyDescent="0.35">
      <c r="A3677">
        <v>585420</v>
      </c>
      <c r="B3677" t="s">
        <v>1247</v>
      </c>
      <c r="C3677" s="1">
        <v>43726</v>
      </c>
      <c r="D3677">
        <v>903</v>
      </c>
      <c r="E3677" t="b">
        <v>0</v>
      </c>
      <c r="F3677">
        <v>528</v>
      </c>
      <c r="G3677" t="s">
        <v>371</v>
      </c>
      <c r="H3677" t="s">
        <v>49</v>
      </c>
      <c r="I3677" t="s">
        <v>2116</v>
      </c>
    </row>
    <row r="3678" spans="1:9" x14ac:dyDescent="0.35">
      <c r="A3678">
        <v>585420</v>
      </c>
      <c r="B3678" t="s">
        <v>1247</v>
      </c>
      <c r="C3678" s="1">
        <v>43726</v>
      </c>
      <c r="D3678">
        <v>903</v>
      </c>
      <c r="E3678" t="b">
        <v>0</v>
      </c>
      <c r="F3678">
        <v>528</v>
      </c>
      <c r="G3678" t="s">
        <v>371</v>
      </c>
      <c r="H3678" t="s">
        <v>792</v>
      </c>
      <c r="I3678" t="s">
        <v>2116</v>
      </c>
    </row>
    <row r="3679" spans="1:9" x14ac:dyDescent="0.35">
      <c r="A3679">
        <v>585420</v>
      </c>
      <c r="B3679" t="s">
        <v>1247</v>
      </c>
      <c r="C3679" s="1">
        <v>43726</v>
      </c>
      <c r="D3679">
        <v>903</v>
      </c>
      <c r="E3679" t="b">
        <v>0</v>
      </c>
      <c r="F3679">
        <v>528</v>
      </c>
      <c r="G3679" t="s">
        <v>371</v>
      </c>
      <c r="H3679" t="s">
        <v>346</v>
      </c>
      <c r="I3679" t="s">
        <v>2116</v>
      </c>
    </row>
    <row r="3680" spans="1:9" x14ac:dyDescent="0.35">
      <c r="A3680">
        <v>585420</v>
      </c>
      <c r="B3680" t="s">
        <v>1247</v>
      </c>
      <c r="C3680" s="1">
        <v>43726</v>
      </c>
      <c r="D3680">
        <v>903</v>
      </c>
      <c r="E3680" t="b">
        <v>0</v>
      </c>
      <c r="F3680">
        <v>528</v>
      </c>
      <c r="G3680" t="s">
        <v>371</v>
      </c>
      <c r="H3680" t="s">
        <v>239</v>
      </c>
      <c r="I3680" t="s">
        <v>2116</v>
      </c>
    </row>
    <row r="3681" spans="1:9" x14ac:dyDescent="0.35">
      <c r="A3681">
        <v>585420</v>
      </c>
      <c r="B3681" t="s">
        <v>1247</v>
      </c>
      <c r="C3681" s="1">
        <v>43726</v>
      </c>
      <c r="D3681">
        <v>903</v>
      </c>
      <c r="E3681" t="b">
        <v>0</v>
      </c>
      <c r="F3681">
        <v>528</v>
      </c>
      <c r="G3681" t="s">
        <v>371</v>
      </c>
      <c r="H3681" t="s">
        <v>132</v>
      </c>
      <c r="I3681" t="s">
        <v>2117</v>
      </c>
    </row>
    <row r="3682" spans="1:9" x14ac:dyDescent="0.35">
      <c r="A3682">
        <v>585420</v>
      </c>
      <c r="B3682" t="s">
        <v>1247</v>
      </c>
      <c r="C3682" s="1">
        <v>43726</v>
      </c>
      <c r="D3682">
        <v>903</v>
      </c>
      <c r="E3682" t="b">
        <v>0</v>
      </c>
      <c r="F3682">
        <v>528</v>
      </c>
      <c r="G3682" t="s">
        <v>371</v>
      </c>
      <c r="H3682" t="s">
        <v>124</v>
      </c>
      <c r="I3682" t="s">
        <v>2117</v>
      </c>
    </row>
    <row r="3683" spans="1:9" x14ac:dyDescent="0.35">
      <c r="A3683">
        <v>585420</v>
      </c>
      <c r="B3683" t="s">
        <v>1247</v>
      </c>
      <c r="C3683" s="1">
        <v>43726</v>
      </c>
      <c r="D3683">
        <v>903</v>
      </c>
      <c r="E3683" t="b">
        <v>0</v>
      </c>
      <c r="F3683">
        <v>528</v>
      </c>
      <c r="G3683" t="s">
        <v>371</v>
      </c>
      <c r="H3683" t="s">
        <v>1510</v>
      </c>
      <c r="I3683" t="s">
        <v>2117</v>
      </c>
    </row>
    <row r="3684" spans="1:9" x14ac:dyDescent="0.35">
      <c r="A3684">
        <v>211820</v>
      </c>
      <c r="B3684" t="s">
        <v>1250</v>
      </c>
      <c r="C3684" s="1">
        <v>42573</v>
      </c>
      <c r="D3684">
        <v>894</v>
      </c>
      <c r="E3684" t="b">
        <v>1</v>
      </c>
      <c r="F3684">
        <v>529</v>
      </c>
      <c r="G3684" t="s">
        <v>110</v>
      </c>
      <c r="H3684" t="s">
        <v>49</v>
      </c>
      <c r="I3684" t="s">
        <v>2116</v>
      </c>
    </row>
    <row r="3685" spans="1:9" x14ac:dyDescent="0.35">
      <c r="A3685">
        <v>211820</v>
      </c>
      <c r="B3685" t="s">
        <v>1250</v>
      </c>
      <c r="C3685" s="1">
        <v>42573</v>
      </c>
      <c r="D3685">
        <v>894</v>
      </c>
      <c r="E3685" t="b">
        <v>1</v>
      </c>
      <c r="F3685">
        <v>529</v>
      </c>
      <c r="G3685" t="s">
        <v>110</v>
      </c>
      <c r="H3685" t="s">
        <v>792</v>
      </c>
      <c r="I3685" t="s">
        <v>2116</v>
      </c>
    </row>
    <row r="3686" spans="1:9" x14ac:dyDescent="0.35">
      <c r="A3686">
        <v>211820</v>
      </c>
      <c r="B3686" t="s">
        <v>1250</v>
      </c>
      <c r="C3686" s="1">
        <v>42573</v>
      </c>
      <c r="D3686">
        <v>894</v>
      </c>
      <c r="E3686" t="b">
        <v>1</v>
      </c>
      <c r="F3686">
        <v>529</v>
      </c>
      <c r="G3686" t="s">
        <v>110</v>
      </c>
      <c r="H3686" t="s">
        <v>346</v>
      </c>
      <c r="I3686" t="s">
        <v>2116</v>
      </c>
    </row>
    <row r="3687" spans="1:9" x14ac:dyDescent="0.35">
      <c r="A3687">
        <v>211820</v>
      </c>
      <c r="B3687" t="s">
        <v>1250</v>
      </c>
      <c r="C3687" s="1">
        <v>42573</v>
      </c>
      <c r="D3687">
        <v>894</v>
      </c>
      <c r="E3687" t="b">
        <v>1</v>
      </c>
      <c r="F3687">
        <v>529</v>
      </c>
      <c r="G3687" t="s">
        <v>110</v>
      </c>
      <c r="H3687" t="s">
        <v>239</v>
      </c>
      <c r="I3687" t="s">
        <v>2117</v>
      </c>
    </row>
    <row r="3688" spans="1:9" x14ac:dyDescent="0.35">
      <c r="A3688">
        <v>211820</v>
      </c>
      <c r="B3688" t="s">
        <v>1250</v>
      </c>
      <c r="C3688" s="1">
        <v>42573</v>
      </c>
      <c r="D3688">
        <v>894</v>
      </c>
      <c r="E3688" t="b">
        <v>1</v>
      </c>
      <c r="F3688">
        <v>529</v>
      </c>
      <c r="G3688" t="s">
        <v>110</v>
      </c>
      <c r="H3688" t="s">
        <v>132</v>
      </c>
      <c r="I3688" t="s">
        <v>2116</v>
      </c>
    </row>
    <row r="3689" spans="1:9" x14ac:dyDescent="0.35">
      <c r="A3689">
        <v>211820</v>
      </c>
      <c r="B3689" t="s">
        <v>1250</v>
      </c>
      <c r="C3689" s="1">
        <v>42573</v>
      </c>
      <c r="D3689">
        <v>894</v>
      </c>
      <c r="E3689" t="b">
        <v>1</v>
      </c>
      <c r="F3689">
        <v>529</v>
      </c>
      <c r="G3689" t="s">
        <v>110</v>
      </c>
      <c r="H3689" t="s">
        <v>124</v>
      </c>
      <c r="I3689" t="s">
        <v>2117</v>
      </c>
    </row>
    <row r="3690" spans="1:9" x14ac:dyDescent="0.35">
      <c r="A3690">
        <v>211820</v>
      </c>
      <c r="B3690" t="s">
        <v>1250</v>
      </c>
      <c r="C3690" s="1">
        <v>42573</v>
      </c>
      <c r="D3690">
        <v>894</v>
      </c>
      <c r="E3690" t="b">
        <v>1</v>
      </c>
      <c r="F3690">
        <v>529</v>
      </c>
      <c r="G3690" t="s">
        <v>110</v>
      </c>
      <c r="H3690" t="s">
        <v>1510</v>
      </c>
      <c r="I3690" t="s">
        <v>2117</v>
      </c>
    </row>
    <row r="3691" spans="1:9" x14ac:dyDescent="0.35">
      <c r="A3691">
        <v>459820</v>
      </c>
      <c r="B3691" t="s">
        <v>1253</v>
      </c>
      <c r="C3691" s="1">
        <v>42661</v>
      </c>
      <c r="D3691">
        <v>892</v>
      </c>
      <c r="E3691" t="b">
        <v>1</v>
      </c>
      <c r="F3691">
        <v>530</v>
      </c>
      <c r="G3691" t="s">
        <v>2084</v>
      </c>
      <c r="H3691" t="s">
        <v>49</v>
      </c>
      <c r="I3691" t="s">
        <v>2117</v>
      </c>
    </row>
    <row r="3692" spans="1:9" x14ac:dyDescent="0.35">
      <c r="A3692">
        <v>459820</v>
      </c>
      <c r="B3692" t="s">
        <v>1253</v>
      </c>
      <c r="C3692" s="1">
        <v>42661</v>
      </c>
      <c r="D3692">
        <v>892</v>
      </c>
      <c r="E3692" t="b">
        <v>1</v>
      </c>
      <c r="F3692">
        <v>530</v>
      </c>
      <c r="G3692" t="s">
        <v>2084</v>
      </c>
      <c r="H3692" t="s">
        <v>792</v>
      </c>
      <c r="I3692" t="s">
        <v>2116</v>
      </c>
    </row>
    <row r="3693" spans="1:9" x14ac:dyDescent="0.35">
      <c r="A3693">
        <v>459820</v>
      </c>
      <c r="B3693" t="s">
        <v>1253</v>
      </c>
      <c r="C3693" s="1">
        <v>42661</v>
      </c>
      <c r="D3693">
        <v>892</v>
      </c>
      <c r="E3693" t="b">
        <v>1</v>
      </c>
      <c r="F3693">
        <v>530</v>
      </c>
      <c r="G3693" t="s">
        <v>2084</v>
      </c>
      <c r="H3693" t="s">
        <v>346</v>
      </c>
      <c r="I3693" t="s">
        <v>2117</v>
      </c>
    </row>
    <row r="3694" spans="1:9" x14ac:dyDescent="0.35">
      <c r="A3694">
        <v>459820</v>
      </c>
      <c r="B3694" t="s">
        <v>1253</v>
      </c>
      <c r="C3694" s="1">
        <v>42661</v>
      </c>
      <c r="D3694">
        <v>892</v>
      </c>
      <c r="E3694" t="b">
        <v>1</v>
      </c>
      <c r="F3694">
        <v>530</v>
      </c>
      <c r="G3694" t="s">
        <v>2084</v>
      </c>
      <c r="H3694" t="s">
        <v>239</v>
      </c>
      <c r="I3694" t="s">
        <v>2117</v>
      </c>
    </row>
    <row r="3695" spans="1:9" x14ac:dyDescent="0.35">
      <c r="A3695">
        <v>459820</v>
      </c>
      <c r="B3695" t="s">
        <v>1253</v>
      </c>
      <c r="C3695" s="1">
        <v>42661</v>
      </c>
      <c r="D3695">
        <v>892</v>
      </c>
      <c r="E3695" t="b">
        <v>1</v>
      </c>
      <c r="F3695">
        <v>530</v>
      </c>
      <c r="G3695" t="s">
        <v>2084</v>
      </c>
      <c r="H3695" t="s">
        <v>132</v>
      </c>
      <c r="I3695" t="s">
        <v>2117</v>
      </c>
    </row>
    <row r="3696" spans="1:9" x14ac:dyDescent="0.35">
      <c r="A3696">
        <v>459820</v>
      </c>
      <c r="B3696" t="s">
        <v>1253</v>
      </c>
      <c r="C3696" s="1">
        <v>42661</v>
      </c>
      <c r="D3696">
        <v>892</v>
      </c>
      <c r="E3696" t="b">
        <v>1</v>
      </c>
      <c r="F3696">
        <v>530</v>
      </c>
      <c r="G3696" t="s">
        <v>2084</v>
      </c>
      <c r="H3696" t="s">
        <v>124</v>
      </c>
      <c r="I3696" t="s">
        <v>2117</v>
      </c>
    </row>
    <row r="3697" spans="1:9" x14ac:dyDescent="0.35">
      <c r="A3697">
        <v>459820</v>
      </c>
      <c r="B3697" t="s">
        <v>1253</v>
      </c>
      <c r="C3697" s="1">
        <v>42661</v>
      </c>
      <c r="D3697">
        <v>892</v>
      </c>
      <c r="E3697" t="b">
        <v>1</v>
      </c>
      <c r="F3697">
        <v>530</v>
      </c>
      <c r="G3697" t="s">
        <v>2084</v>
      </c>
      <c r="H3697" t="s">
        <v>1510</v>
      </c>
      <c r="I3697" t="s">
        <v>2116</v>
      </c>
    </row>
    <row r="3698" spans="1:9" x14ac:dyDescent="0.35">
      <c r="A3698">
        <v>2552430</v>
      </c>
      <c r="B3698" t="s">
        <v>1255</v>
      </c>
      <c r="C3698" s="1">
        <v>45456</v>
      </c>
      <c r="D3698">
        <v>886</v>
      </c>
      <c r="E3698" t="b">
        <v>0</v>
      </c>
      <c r="F3698">
        <v>531</v>
      </c>
      <c r="G3698" t="s">
        <v>2082</v>
      </c>
      <c r="H3698" t="s">
        <v>49</v>
      </c>
      <c r="I3698" t="s">
        <v>2116</v>
      </c>
    </row>
    <row r="3699" spans="1:9" x14ac:dyDescent="0.35">
      <c r="A3699">
        <v>2552430</v>
      </c>
      <c r="B3699" t="s">
        <v>1255</v>
      </c>
      <c r="C3699" s="1">
        <v>45456</v>
      </c>
      <c r="D3699">
        <v>886</v>
      </c>
      <c r="E3699" t="b">
        <v>0</v>
      </c>
      <c r="F3699">
        <v>531</v>
      </c>
      <c r="G3699" t="s">
        <v>2082</v>
      </c>
      <c r="H3699" t="s">
        <v>792</v>
      </c>
      <c r="I3699" t="s">
        <v>2117</v>
      </c>
    </row>
    <row r="3700" spans="1:9" x14ac:dyDescent="0.35">
      <c r="A3700">
        <v>2552430</v>
      </c>
      <c r="B3700" t="s">
        <v>1255</v>
      </c>
      <c r="C3700" s="1">
        <v>45456</v>
      </c>
      <c r="D3700">
        <v>886</v>
      </c>
      <c r="E3700" t="b">
        <v>0</v>
      </c>
      <c r="F3700">
        <v>531</v>
      </c>
      <c r="G3700" t="s">
        <v>2082</v>
      </c>
      <c r="H3700" t="s">
        <v>346</v>
      </c>
      <c r="I3700" t="s">
        <v>2116</v>
      </c>
    </row>
    <row r="3701" spans="1:9" x14ac:dyDescent="0.35">
      <c r="A3701">
        <v>2552430</v>
      </c>
      <c r="B3701" t="s">
        <v>1255</v>
      </c>
      <c r="C3701" s="1">
        <v>45456</v>
      </c>
      <c r="D3701">
        <v>886</v>
      </c>
      <c r="E3701" t="b">
        <v>0</v>
      </c>
      <c r="F3701">
        <v>531</v>
      </c>
      <c r="G3701" t="s">
        <v>2082</v>
      </c>
      <c r="H3701" t="s">
        <v>239</v>
      </c>
      <c r="I3701" t="s">
        <v>2117</v>
      </c>
    </row>
    <row r="3702" spans="1:9" x14ac:dyDescent="0.35">
      <c r="A3702">
        <v>2552430</v>
      </c>
      <c r="B3702" t="s">
        <v>1255</v>
      </c>
      <c r="C3702" s="1">
        <v>45456</v>
      </c>
      <c r="D3702">
        <v>886</v>
      </c>
      <c r="E3702" t="b">
        <v>0</v>
      </c>
      <c r="F3702">
        <v>531</v>
      </c>
      <c r="G3702" t="s">
        <v>2082</v>
      </c>
      <c r="H3702" t="s">
        <v>132</v>
      </c>
      <c r="I3702" t="s">
        <v>2116</v>
      </c>
    </row>
    <row r="3703" spans="1:9" x14ac:dyDescent="0.35">
      <c r="A3703">
        <v>2552430</v>
      </c>
      <c r="B3703" t="s">
        <v>1255</v>
      </c>
      <c r="C3703" s="1">
        <v>45456</v>
      </c>
      <c r="D3703">
        <v>886</v>
      </c>
      <c r="E3703" t="b">
        <v>0</v>
      </c>
      <c r="F3703">
        <v>531</v>
      </c>
      <c r="G3703" t="s">
        <v>2082</v>
      </c>
      <c r="H3703" t="s">
        <v>124</v>
      </c>
      <c r="I3703" t="s">
        <v>2117</v>
      </c>
    </row>
    <row r="3704" spans="1:9" x14ac:dyDescent="0.35">
      <c r="A3704">
        <v>2552430</v>
      </c>
      <c r="B3704" t="s">
        <v>1255</v>
      </c>
      <c r="C3704" s="1">
        <v>45456</v>
      </c>
      <c r="D3704">
        <v>886</v>
      </c>
      <c r="E3704" t="b">
        <v>0</v>
      </c>
      <c r="F3704">
        <v>531</v>
      </c>
      <c r="G3704" t="s">
        <v>2082</v>
      </c>
      <c r="H3704" t="s">
        <v>1510</v>
      </c>
      <c r="I3704" t="s">
        <v>2117</v>
      </c>
    </row>
    <row r="3705" spans="1:9" x14ac:dyDescent="0.35">
      <c r="A3705">
        <v>3107230</v>
      </c>
      <c r="B3705" t="s">
        <v>1256</v>
      </c>
      <c r="C3705" s="1">
        <v>45639</v>
      </c>
      <c r="D3705">
        <v>876</v>
      </c>
      <c r="E3705" t="b">
        <v>0</v>
      </c>
      <c r="F3705">
        <v>532</v>
      </c>
      <c r="G3705" t="s">
        <v>36</v>
      </c>
      <c r="H3705" t="s">
        <v>49</v>
      </c>
      <c r="I3705" t="s">
        <v>2117</v>
      </c>
    </row>
    <row r="3706" spans="1:9" x14ac:dyDescent="0.35">
      <c r="A3706">
        <v>3107230</v>
      </c>
      <c r="B3706" t="s">
        <v>1256</v>
      </c>
      <c r="C3706" s="1">
        <v>45639</v>
      </c>
      <c r="D3706">
        <v>876</v>
      </c>
      <c r="E3706" t="b">
        <v>0</v>
      </c>
      <c r="F3706">
        <v>532</v>
      </c>
      <c r="G3706" t="s">
        <v>36</v>
      </c>
      <c r="H3706" t="s">
        <v>792</v>
      </c>
      <c r="I3706" t="s">
        <v>2116</v>
      </c>
    </row>
    <row r="3707" spans="1:9" x14ac:dyDescent="0.35">
      <c r="A3707">
        <v>3107230</v>
      </c>
      <c r="B3707" t="s">
        <v>1256</v>
      </c>
      <c r="C3707" s="1">
        <v>45639</v>
      </c>
      <c r="D3707">
        <v>876</v>
      </c>
      <c r="E3707" t="b">
        <v>0</v>
      </c>
      <c r="F3707">
        <v>532</v>
      </c>
      <c r="G3707" t="s">
        <v>36</v>
      </c>
      <c r="H3707" t="s">
        <v>346</v>
      </c>
      <c r="I3707" t="s">
        <v>2116</v>
      </c>
    </row>
    <row r="3708" spans="1:9" x14ac:dyDescent="0.35">
      <c r="A3708">
        <v>3107230</v>
      </c>
      <c r="B3708" t="s">
        <v>1256</v>
      </c>
      <c r="C3708" s="1">
        <v>45639</v>
      </c>
      <c r="D3708">
        <v>876</v>
      </c>
      <c r="E3708" t="b">
        <v>0</v>
      </c>
      <c r="F3708">
        <v>532</v>
      </c>
      <c r="G3708" t="s">
        <v>36</v>
      </c>
      <c r="H3708" t="s">
        <v>239</v>
      </c>
      <c r="I3708" t="s">
        <v>2117</v>
      </c>
    </row>
    <row r="3709" spans="1:9" x14ac:dyDescent="0.35">
      <c r="A3709">
        <v>3107230</v>
      </c>
      <c r="B3709" t="s">
        <v>1256</v>
      </c>
      <c r="C3709" s="1">
        <v>45639</v>
      </c>
      <c r="D3709">
        <v>876</v>
      </c>
      <c r="E3709" t="b">
        <v>0</v>
      </c>
      <c r="F3709">
        <v>532</v>
      </c>
      <c r="G3709" t="s">
        <v>36</v>
      </c>
      <c r="H3709" t="s">
        <v>132</v>
      </c>
      <c r="I3709" t="s">
        <v>2116</v>
      </c>
    </row>
    <row r="3710" spans="1:9" x14ac:dyDescent="0.35">
      <c r="A3710">
        <v>3107230</v>
      </c>
      <c r="B3710" t="s">
        <v>1256</v>
      </c>
      <c r="C3710" s="1">
        <v>45639</v>
      </c>
      <c r="D3710">
        <v>876</v>
      </c>
      <c r="E3710" t="b">
        <v>0</v>
      </c>
      <c r="F3710">
        <v>532</v>
      </c>
      <c r="G3710" t="s">
        <v>36</v>
      </c>
      <c r="H3710" t="s">
        <v>124</v>
      </c>
      <c r="I3710" t="s">
        <v>2117</v>
      </c>
    </row>
    <row r="3711" spans="1:9" x14ac:dyDescent="0.35">
      <c r="A3711">
        <v>3107230</v>
      </c>
      <c r="B3711" t="s">
        <v>1256</v>
      </c>
      <c r="C3711" s="1">
        <v>45639</v>
      </c>
      <c r="D3711">
        <v>876</v>
      </c>
      <c r="E3711" t="b">
        <v>0</v>
      </c>
      <c r="F3711">
        <v>532</v>
      </c>
      <c r="G3711" t="s">
        <v>36</v>
      </c>
      <c r="H3711" t="s">
        <v>1510</v>
      </c>
      <c r="I3711" t="s">
        <v>2117</v>
      </c>
    </row>
    <row r="3712" spans="1:9" x14ac:dyDescent="0.35">
      <c r="A3712">
        <v>1611600</v>
      </c>
      <c r="B3712" t="s">
        <v>1259</v>
      </c>
      <c r="C3712" s="1">
        <v>45435</v>
      </c>
      <c r="D3712">
        <v>873</v>
      </c>
      <c r="E3712" t="b">
        <v>0</v>
      </c>
      <c r="F3712">
        <v>533</v>
      </c>
      <c r="G3712" t="s">
        <v>53</v>
      </c>
      <c r="H3712" t="s">
        <v>49</v>
      </c>
      <c r="I3712" t="s">
        <v>2116</v>
      </c>
    </row>
    <row r="3713" spans="1:9" x14ac:dyDescent="0.35">
      <c r="A3713">
        <v>1611600</v>
      </c>
      <c r="B3713" t="s">
        <v>1259</v>
      </c>
      <c r="C3713" s="1">
        <v>45435</v>
      </c>
      <c r="D3713">
        <v>873</v>
      </c>
      <c r="E3713" t="b">
        <v>0</v>
      </c>
      <c r="F3713">
        <v>533</v>
      </c>
      <c r="G3713" t="s">
        <v>53</v>
      </c>
      <c r="H3713" t="s">
        <v>792</v>
      </c>
      <c r="I3713" t="s">
        <v>2116</v>
      </c>
    </row>
    <row r="3714" spans="1:9" x14ac:dyDescent="0.35">
      <c r="A3714">
        <v>1611600</v>
      </c>
      <c r="B3714" t="s">
        <v>1259</v>
      </c>
      <c r="C3714" s="1">
        <v>45435</v>
      </c>
      <c r="D3714">
        <v>873</v>
      </c>
      <c r="E3714" t="b">
        <v>0</v>
      </c>
      <c r="F3714">
        <v>533</v>
      </c>
      <c r="G3714" t="s">
        <v>53</v>
      </c>
      <c r="H3714" t="s">
        <v>346</v>
      </c>
      <c r="I3714" t="s">
        <v>2117</v>
      </c>
    </row>
    <row r="3715" spans="1:9" x14ac:dyDescent="0.35">
      <c r="A3715">
        <v>1611600</v>
      </c>
      <c r="B3715" t="s">
        <v>1259</v>
      </c>
      <c r="C3715" s="1">
        <v>45435</v>
      </c>
      <c r="D3715">
        <v>873</v>
      </c>
      <c r="E3715" t="b">
        <v>0</v>
      </c>
      <c r="F3715">
        <v>533</v>
      </c>
      <c r="G3715" t="s">
        <v>53</v>
      </c>
      <c r="H3715" t="s">
        <v>239</v>
      </c>
      <c r="I3715" t="s">
        <v>2116</v>
      </c>
    </row>
    <row r="3716" spans="1:9" x14ac:dyDescent="0.35">
      <c r="A3716">
        <v>1611600</v>
      </c>
      <c r="B3716" t="s">
        <v>1259</v>
      </c>
      <c r="C3716" s="1">
        <v>45435</v>
      </c>
      <c r="D3716">
        <v>873</v>
      </c>
      <c r="E3716" t="b">
        <v>0</v>
      </c>
      <c r="F3716">
        <v>533</v>
      </c>
      <c r="G3716" t="s">
        <v>53</v>
      </c>
      <c r="H3716" t="s">
        <v>132</v>
      </c>
      <c r="I3716" t="s">
        <v>2117</v>
      </c>
    </row>
    <row r="3717" spans="1:9" x14ac:dyDescent="0.35">
      <c r="A3717">
        <v>1611600</v>
      </c>
      <c r="B3717" t="s">
        <v>1259</v>
      </c>
      <c r="C3717" s="1">
        <v>45435</v>
      </c>
      <c r="D3717">
        <v>873</v>
      </c>
      <c r="E3717" t="b">
        <v>0</v>
      </c>
      <c r="F3717">
        <v>533</v>
      </c>
      <c r="G3717" t="s">
        <v>53</v>
      </c>
      <c r="H3717" t="s">
        <v>124</v>
      </c>
      <c r="I3717" t="s">
        <v>2116</v>
      </c>
    </row>
    <row r="3718" spans="1:9" x14ac:dyDescent="0.35">
      <c r="A3718">
        <v>1611600</v>
      </c>
      <c r="B3718" t="s">
        <v>1259</v>
      </c>
      <c r="C3718" s="1">
        <v>45435</v>
      </c>
      <c r="D3718">
        <v>873</v>
      </c>
      <c r="E3718" t="b">
        <v>0</v>
      </c>
      <c r="F3718">
        <v>533</v>
      </c>
      <c r="G3718" t="s">
        <v>53</v>
      </c>
      <c r="H3718" t="s">
        <v>1510</v>
      </c>
      <c r="I3718" t="s">
        <v>2117</v>
      </c>
    </row>
    <row r="3719" spans="1:9" x14ac:dyDescent="0.35">
      <c r="A3719">
        <v>646910</v>
      </c>
      <c r="B3719" t="s">
        <v>1261</v>
      </c>
      <c r="C3719" s="1">
        <v>43279</v>
      </c>
      <c r="D3719">
        <v>873</v>
      </c>
      <c r="E3719" t="b">
        <v>0</v>
      </c>
      <c r="F3719">
        <v>533</v>
      </c>
      <c r="G3719" t="s">
        <v>53</v>
      </c>
      <c r="H3719" t="s">
        <v>49</v>
      </c>
      <c r="I3719" t="s">
        <v>2116</v>
      </c>
    </row>
    <row r="3720" spans="1:9" x14ac:dyDescent="0.35">
      <c r="A3720">
        <v>646910</v>
      </c>
      <c r="B3720" t="s">
        <v>1261</v>
      </c>
      <c r="C3720" s="1">
        <v>43279</v>
      </c>
      <c r="D3720">
        <v>873</v>
      </c>
      <c r="E3720" t="b">
        <v>0</v>
      </c>
      <c r="F3720">
        <v>533</v>
      </c>
      <c r="G3720" t="s">
        <v>53</v>
      </c>
      <c r="H3720" t="s">
        <v>792</v>
      </c>
      <c r="I3720" t="s">
        <v>2117</v>
      </c>
    </row>
    <row r="3721" spans="1:9" x14ac:dyDescent="0.35">
      <c r="A3721">
        <v>646910</v>
      </c>
      <c r="B3721" t="s">
        <v>1261</v>
      </c>
      <c r="C3721" s="1">
        <v>43279</v>
      </c>
      <c r="D3721">
        <v>873</v>
      </c>
      <c r="E3721" t="b">
        <v>0</v>
      </c>
      <c r="F3721">
        <v>533</v>
      </c>
      <c r="G3721" t="s">
        <v>53</v>
      </c>
      <c r="H3721" t="s">
        <v>346</v>
      </c>
      <c r="I3721" t="s">
        <v>2117</v>
      </c>
    </row>
    <row r="3722" spans="1:9" x14ac:dyDescent="0.35">
      <c r="A3722">
        <v>646910</v>
      </c>
      <c r="B3722" t="s">
        <v>1261</v>
      </c>
      <c r="C3722" s="1">
        <v>43279</v>
      </c>
      <c r="D3722">
        <v>873</v>
      </c>
      <c r="E3722" t="b">
        <v>0</v>
      </c>
      <c r="F3722">
        <v>533</v>
      </c>
      <c r="G3722" t="s">
        <v>53</v>
      </c>
      <c r="H3722" t="s">
        <v>239</v>
      </c>
      <c r="I3722" t="s">
        <v>2117</v>
      </c>
    </row>
    <row r="3723" spans="1:9" x14ac:dyDescent="0.35">
      <c r="A3723">
        <v>646910</v>
      </c>
      <c r="B3723" t="s">
        <v>1261</v>
      </c>
      <c r="C3723" s="1">
        <v>43279</v>
      </c>
      <c r="D3723">
        <v>873</v>
      </c>
      <c r="E3723" t="b">
        <v>0</v>
      </c>
      <c r="F3723">
        <v>533</v>
      </c>
      <c r="G3723" t="s">
        <v>53</v>
      </c>
      <c r="H3723" t="s">
        <v>132</v>
      </c>
      <c r="I3723" t="s">
        <v>2117</v>
      </c>
    </row>
    <row r="3724" spans="1:9" x14ac:dyDescent="0.35">
      <c r="A3724">
        <v>646910</v>
      </c>
      <c r="B3724" t="s">
        <v>1261</v>
      </c>
      <c r="C3724" s="1">
        <v>43279</v>
      </c>
      <c r="D3724">
        <v>873</v>
      </c>
      <c r="E3724" t="b">
        <v>0</v>
      </c>
      <c r="F3724">
        <v>533</v>
      </c>
      <c r="G3724" t="s">
        <v>53</v>
      </c>
      <c r="H3724" t="s">
        <v>124</v>
      </c>
      <c r="I3724" t="s">
        <v>2117</v>
      </c>
    </row>
    <row r="3725" spans="1:9" x14ac:dyDescent="0.35">
      <c r="A3725">
        <v>646910</v>
      </c>
      <c r="B3725" t="s">
        <v>1261</v>
      </c>
      <c r="C3725" s="1">
        <v>43279</v>
      </c>
      <c r="D3725">
        <v>873</v>
      </c>
      <c r="E3725" t="b">
        <v>0</v>
      </c>
      <c r="F3725">
        <v>533</v>
      </c>
      <c r="G3725" t="s">
        <v>53</v>
      </c>
      <c r="H3725" t="s">
        <v>1510</v>
      </c>
      <c r="I3725" t="s">
        <v>2117</v>
      </c>
    </row>
    <row r="3726" spans="1:9" x14ac:dyDescent="0.35">
      <c r="A3726">
        <v>926990</v>
      </c>
      <c r="B3726" t="s">
        <v>1264</v>
      </c>
      <c r="C3726" s="1">
        <v>45860</v>
      </c>
      <c r="D3726">
        <v>869</v>
      </c>
      <c r="E3726" t="b">
        <v>1</v>
      </c>
      <c r="F3726">
        <v>535</v>
      </c>
      <c r="G3726" t="s">
        <v>29</v>
      </c>
      <c r="H3726" t="s">
        <v>49</v>
      </c>
      <c r="I3726" t="s">
        <v>2116</v>
      </c>
    </row>
    <row r="3727" spans="1:9" x14ac:dyDescent="0.35">
      <c r="A3727">
        <v>926990</v>
      </c>
      <c r="B3727" t="s">
        <v>1264</v>
      </c>
      <c r="C3727" s="1">
        <v>45860</v>
      </c>
      <c r="D3727">
        <v>869</v>
      </c>
      <c r="E3727" t="b">
        <v>1</v>
      </c>
      <c r="F3727">
        <v>535</v>
      </c>
      <c r="G3727" t="s">
        <v>29</v>
      </c>
      <c r="H3727" t="s">
        <v>792</v>
      </c>
      <c r="I3727" t="s">
        <v>2117</v>
      </c>
    </row>
    <row r="3728" spans="1:9" x14ac:dyDescent="0.35">
      <c r="A3728">
        <v>926990</v>
      </c>
      <c r="B3728" t="s">
        <v>1264</v>
      </c>
      <c r="C3728" s="1">
        <v>45860</v>
      </c>
      <c r="D3728">
        <v>869</v>
      </c>
      <c r="E3728" t="b">
        <v>1</v>
      </c>
      <c r="F3728">
        <v>535</v>
      </c>
      <c r="G3728" t="s">
        <v>29</v>
      </c>
      <c r="H3728" t="s">
        <v>346</v>
      </c>
      <c r="I3728" t="s">
        <v>2117</v>
      </c>
    </row>
    <row r="3729" spans="1:9" x14ac:dyDescent="0.35">
      <c r="A3729">
        <v>926990</v>
      </c>
      <c r="B3729" t="s">
        <v>1264</v>
      </c>
      <c r="C3729" s="1">
        <v>45860</v>
      </c>
      <c r="D3729">
        <v>869</v>
      </c>
      <c r="E3729" t="b">
        <v>1</v>
      </c>
      <c r="F3729">
        <v>535</v>
      </c>
      <c r="G3729" t="s">
        <v>29</v>
      </c>
      <c r="H3729" t="s">
        <v>239</v>
      </c>
      <c r="I3729" t="s">
        <v>2116</v>
      </c>
    </row>
    <row r="3730" spans="1:9" x14ac:dyDescent="0.35">
      <c r="A3730">
        <v>926990</v>
      </c>
      <c r="B3730" t="s">
        <v>1264</v>
      </c>
      <c r="C3730" s="1">
        <v>45860</v>
      </c>
      <c r="D3730">
        <v>869</v>
      </c>
      <c r="E3730" t="b">
        <v>1</v>
      </c>
      <c r="F3730">
        <v>535</v>
      </c>
      <c r="G3730" t="s">
        <v>29</v>
      </c>
      <c r="H3730" t="s">
        <v>132</v>
      </c>
      <c r="I3730" t="s">
        <v>2116</v>
      </c>
    </row>
    <row r="3731" spans="1:9" x14ac:dyDescent="0.35">
      <c r="A3731">
        <v>926990</v>
      </c>
      <c r="B3731" t="s">
        <v>1264</v>
      </c>
      <c r="C3731" s="1">
        <v>45860</v>
      </c>
      <c r="D3731">
        <v>869</v>
      </c>
      <c r="E3731" t="b">
        <v>1</v>
      </c>
      <c r="F3731">
        <v>535</v>
      </c>
      <c r="G3731" t="s">
        <v>29</v>
      </c>
      <c r="H3731" t="s">
        <v>124</v>
      </c>
      <c r="I3731" t="s">
        <v>2117</v>
      </c>
    </row>
    <row r="3732" spans="1:9" x14ac:dyDescent="0.35">
      <c r="A3732">
        <v>926990</v>
      </c>
      <c r="B3732" t="s">
        <v>1264</v>
      </c>
      <c r="C3732" s="1">
        <v>45860</v>
      </c>
      <c r="D3732">
        <v>869</v>
      </c>
      <c r="E3732" t="b">
        <v>1</v>
      </c>
      <c r="F3732">
        <v>535</v>
      </c>
      <c r="G3732" t="s">
        <v>29</v>
      </c>
      <c r="H3732" t="s">
        <v>1510</v>
      </c>
      <c r="I3732" t="s">
        <v>2117</v>
      </c>
    </row>
    <row r="3733" spans="1:9" x14ac:dyDescent="0.35">
      <c r="A3733">
        <v>360430</v>
      </c>
      <c r="B3733" t="s">
        <v>1265</v>
      </c>
      <c r="C3733" s="1">
        <v>43970</v>
      </c>
      <c r="D3733">
        <v>869</v>
      </c>
      <c r="E3733" t="b">
        <v>1</v>
      </c>
      <c r="F3733">
        <v>535</v>
      </c>
      <c r="G3733" t="s">
        <v>133</v>
      </c>
      <c r="H3733" t="s">
        <v>49</v>
      </c>
      <c r="I3733" t="s">
        <v>2116</v>
      </c>
    </row>
    <row r="3734" spans="1:9" x14ac:dyDescent="0.35">
      <c r="A3734">
        <v>360430</v>
      </c>
      <c r="B3734" t="s">
        <v>1265</v>
      </c>
      <c r="C3734" s="1">
        <v>43970</v>
      </c>
      <c r="D3734">
        <v>869</v>
      </c>
      <c r="E3734" t="b">
        <v>1</v>
      </c>
      <c r="F3734">
        <v>535</v>
      </c>
      <c r="G3734" t="s">
        <v>133</v>
      </c>
      <c r="H3734" t="s">
        <v>792</v>
      </c>
      <c r="I3734" t="s">
        <v>2117</v>
      </c>
    </row>
    <row r="3735" spans="1:9" x14ac:dyDescent="0.35">
      <c r="A3735">
        <v>360430</v>
      </c>
      <c r="B3735" t="s">
        <v>1265</v>
      </c>
      <c r="C3735" s="1">
        <v>43970</v>
      </c>
      <c r="D3735">
        <v>869</v>
      </c>
      <c r="E3735" t="b">
        <v>1</v>
      </c>
      <c r="F3735">
        <v>535</v>
      </c>
      <c r="G3735" t="s">
        <v>133</v>
      </c>
      <c r="H3735" t="s">
        <v>346</v>
      </c>
      <c r="I3735" t="s">
        <v>2116</v>
      </c>
    </row>
    <row r="3736" spans="1:9" x14ac:dyDescent="0.35">
      <c r="A3736">
        <v>360430</v>
      </c>
      <c r="B3736" t="s">
        <v>1265</v>
      </c>
      <c r="C3736" s="1">
        <v>43970</v>
      </c>
      <c r="D3736">
        <v>869</v>
      </c>
      <c r="E3736" t="b">
        <v>1</v>
      </c>
      <c r="F3736">
        <v>535</v>
      </c>
      <c r="G3736" t="s">
        <v>133</v>
      </c>
      <c r="H3736" t="s">
        <v>239</v>
      </c>
      <c r="I3736" t="s">
        <v>2117</v>
      </c>
    </row>
    <row r="3737" spans="1:9" x14ac:dyDescent="0.35">
      <c r="A3737">
        <v>360430</v>
      </c>
      <c r="B3737" t="s">
        <v>1265</v>
      </c>
      <c r="C3737" s="1">
        <v>43970</v>
      </c>
      <c r="D3737">
        <v>869</v>
      </c>
      <c r="E3737" t="b">
        <v>1</v>
      </c>
      <c r="F3737">
        <v>535</v>
      </c>
      <c r="G3737" t="s">
        <v>133</v>
      </c>
      <c r="H3737" t="s">
        <v>132</v>
      </c>
      <c r="I3737" t="s">
        <v>2117</v>
      </c>
    </row>
    <row r="3738" spans="1:9" x14ac:dyDescent="0.35">
      <c r="A3738">
        <v>360430</v>
      </c>
      <c r="B3738" t="s">
        <v>1265</v>
      </c>
      <c r="C3738" s="1">
        <v>43970</v>
      </c>
      <c r="D3738">
        <v>869</v>
      </c>
      <c r="E3738" t="b">
        <v>1</v>
      </c>
      <c r="F3738">
        <v>535</v>
      </c>
      <c r="G3738" t="s">
        <v>133</v>
      </c>
      <c r="H3738" t="s">
        <v>124</v>
      </c>
      <c r="I3738" t="s">
        <v>2117</v>
      </c>
    </row>
    <row r="3739" spans="1:9" x14ac:dyDescent="0.35">
      <c r="A3739">
        <v>360430</v>
      </c>
      <c r="B3739" t="s">
        <v>1265</v>
      </c>
      <c r="C3739" s="1">
        <v>43970</v>
      </c>
      <c r="D3739">
        <v>869</v>
      </c>
      <c r="E3739" t="b">
        <v>1</v>
      </c>
      <c r="F3739">
        <v>535</v>
      </c>
      <c r="G3739" t="s">
        <v>133</v>
      </c>
      <c r="H3739" t="s">
        <v>1510</v>
      </c>
      <c r="I3739" t="s">
        <v>2117</v>
      </c>
    </row>
    <row r="3740" spans="1:9" x14ac:dyDescent="0.35">
      <c r="A3740">
        <v>1286680</v>
      </c>
      <c r="B3740" t="s">
        <v>1266</v>
      </c>
      <c r="C3740" s="1">
        <v>44735</v>
      </c>
      <c r="D3740">
        <v>866</v>
      </c>
      <c r="E3740" t="b">
        <v>0</v>
      </c>
      <c r="F3740">
        <v>537</v>
      </c>
      <c r="G3740" t="s">
        <v>593</v>
      </c>
      <c r="H3740" t="s">
        <v>49</v>
      </c>
      <c r="I3740" t="s">
        <v>2116</v>
      </c>
    </row>
    <row r="3741" spans="1:9" x14ac:dyDescent="0.35">
      <c r="A3741">
        <v>1286680</v>
      </c>
      <c r="B3741" t="s">
        <v>1266</v>
      </c>
      <c r="C3741" s="1">
        <v>44735</v>
      </c>
      <c r="D3741">
        <v>866</v>
      </c>
      <c r="E3741" t="b">
        <v>0</v>
      </c>
      <c r="F3741">
        <v>537</v>
      </c>
      <c r="G3741" t="s">
        <v>593</v>
      </c>
      <c r="H3741" t="s">
        <v>792</v>
      </c>
      <c r="I3741" t="s">
        <v>2117</v>
      </c>
    </row>
    <row r="3742" spans="1:9" x14ac:dyDescent="0.35">
      <c r="A3742">
        <v>1286680</v>
      </c>
      <c r="B3742" t="s">
        <v>1266</v>
      </c>
      <c r="C3742" s="1">
        <v>44735</v>
      </c>
      <c r="D3742">
        <v>866</v>
      </c>
      <c r="E3742" t="b">
        <v>0</v>
      </c>
      <c r="F3742">
        <v>537</v>
      </c>
      <c r="G3742" t="s">
        <v>593</v>
      </c>
      <c r="H3742" t="s">
        <v>346</v>
      </c>
      <c r="I3742" t="s">
        <v>2116</v>
      </c>
    </row>
    <row r="3743" spans="1:9" x14ac:dyDescent="0.35">
      <c r="A3743">
        <v>1286680</v>
      </c>
      <c r="B3743" t="s">
        <v>1266</v>
      </c>
      <c r="C3743" s="1">
        <v>44735</v>
      </c>
      <c r="D3743">
        <v>866</v>
      </c>
      <c r="E3743" t="b">
        <v>0</v>
      </c>
      <c r="F3743">
        <v>537</v>
      </c>
      <c r="G3743" t="s">
        <v>593</v>
      </c>
      <c r="H3743" t="s">
        <v>239</v>
      </c>
      <c r="I3743" t="s">
        <v>2117</v>
      </c>
    </row>
    <row r="3744" spans="1:9" x14ac:dyDescent="0.35">
      <c r="A3744">
        <v>1286680</v>
      </c>
      <c r="B3744" t="s">
        <v>1266</v>
      </c>
      <c r="C3744" s="1">
        <v>44735</v>
      </c>
      <c r="D3744">
        <v>866</v>
      </c>
      <c r="E3744" t="b">
        <v>0</v>
      </c>
      <c r="F3744">
        <v>537</v>
      </c>
      <c r="G3744" t="s">
        <v>593</v>
      </c>
      <c r="H3744" t="s">
        <v>132</v>
      </c>
      <c r="I3744" t="s">
        <v>2116</v>
      </c>
    </row>
    <row r="3745" spans="1:9" x14ac:dyDescent="0.35">
      <c r="A3745">
        <v>1286680</v>
      </c>
      <c r="B3745" t="s">
        <v>1266</v>
      </c>
      <c r="C3745" s="1">
        <v>44735</v>
      </c>
      <c r="D3745">
        <v>866</v>
      </c>
      <c r="E3745" t="b">
        <v>0</v>
      </c>
      <c r="F3745">
        <v>537</v>
      </c>
      <c r="G3745" t="s">
        <v>593</v>
      </c>
      <c r="H3745" t="s">
        <v>124</v>
      </c>
      <c r="I3745" t="s">
        <v>2117</v>
      </c>
    </row>
    <row r="3746" spans="1:9" x14ac:dyDescent="0.35">
      <c r="A3746">
        <v>1286680</v>
      </c>
      <c r="B3746" t="s">
        <v>1266</v>
      </c>
      <c r="C3746" s="1">
        <v>44735</v>
      </c>
      <c r="D3746">
        <v>866</v>
      </c>
      <c r="E3746" t="b">
        <v>0</v>
      </c>
      <c r="F3746">
        <v>537</v>
      </c>
      <c r="G3746" t="s">
        <v>593</v>
      </c>
      <c r="H3746" t="s">
        <v>1510</v>
      </c>
      <c r="I3746" t="s">
        <v>2117</v>
      </c>
    </row>
    <row r="3747" spans="1:9" x14ac:dyDescent="0.35">
      <c r="A3747">
        <v>228200</v>
      </c>
      <c r="B3747" t="s">
        <v>1268</v>
      </c>
      <c r="C3747" s="1">
        <v>38971</v>
      </c>
      <c r="D3747">
        <v>864</v>
      </c>
      <c r="E3747" t="b">
        <v>0</v>
      </c>
      <c r="F3747">
        <v>538</v>
      </c>
      <c r="G3747" t="s">
        <v>2083</v>
      </c>
      <c r="H3747" t="s">
        <v>49</v>
      </c>
      <c r="I3747" t="s">
        <v>2116</v>
      </c>
    </row>
    <row r="3748" spans="1:9" x14ac:dyDescent="0.35">
      <c r="A3748">
        <v>228200</v>
      </c>
      <c r="B3748" t="s">
        <v>1268</v>
      </c>
      <c r="C3748" s="1">
        <v>38971</v>
      </c>
      <c r="D3748">
        <v>864</v>
      </c>
      <c r="E3748" t="b">
        <v>0</v>
      </c>
      <c r="F3748">
        <v>538</v>
      </c>
      <c r="G3748" t="s">
        <v>2083</v>
      </c>
      <c r="H3748" t="s">
        <v>792</v>
      </c>
      <c r="I3748" t="s">
        <v>2117</v>
      </c>
    </row>
    <row r="3749" spans="1:9" x14ac:dyDescent="0.35">
      <c r="A3749">
        <v>228200</v>
      </c>
      <c r="B3749" t="s">
        <v>1268</v>
      </c>
      <c r="C3749" s="1">
        <v>38971</v>
      </c>
      <c r="D3749">
        <v>864</v>
      </c>
      <c r="E3749" t="b">
        <v>0</v>
      </c>
      <c r="F3749">
        <v>538</v>
      </c>
      <c r="G3749" t="s">
        <v>2083</v>
      </c>
      <c r="H3749" t="s">
        <v>346</v>
      </c>
      <c r="I3749" t="s">
        <v>2117</v>
      </c>
    </row>
    <row r="3750" spans="1:9" x14ac:dyDescent="0.35">
      <c r="A3750">
        <v>228200</v>
      </c>
      <c r="B3750" t="s">
        <v>1268</v>
      </c>
      <c r="C3750" s="1">
        <v>38971</v>
      </c>
      <c r="D3750">
        <v>864</v>
      </c>
      <c r="E3750" t="b">
        <v>0</v>
      </c>
      <c r="F3750">
        <v>538</v>
      </c>
      <c r="G3750" t="s">
        <v>2083</v>
      </c>
      <c r="H3750" t="s">
        <v>239</v>
      </c>
      <c r="I3750" t="s">
        <v>2117</v>
      </c>
    </row>
    <row r="3751" spans="1:9" x14ac:dyDescent="0.35">
      <c r="A3751">
        <v>228200</v>
      </c>
      <c r="B3751" t="s">
        <v>1268</v>
      </c>
      <c r="C3751" s="1">
        <v>38971</v>
      </c>
      <c r="D3751">
        <v>864</v>
      </c>
      <c r="E3751" t="b">
        <v>0</v>
      </c>
      <c r="F3751">
        <v>538</v>
      </c>
      <c r="G3751" t="s">
        <v>2083</v>
      </c>
      <c r="H3751" t="s">
        <v>132</v>
      </c>
      <c r="I3751" t="s">
        <v>2117</v>
      </c>
    </row>
    <row r="3752" spans="1:9" x14ac:dyDescent="0.35">
      <c r="A3752">
        <v>228200</v>
      </c>
      <c r="B3752" t="s">
        <v>1268</v>
      </c>
      <c r="C3752" s="1">
        <v>38971</v>
      </c>
      <c r="D3752">
        <v>864</v>
      </c>
      <c r="E3752" t="b">
        <v>0</v>
      </c>
      <c r="F3752">
        <v>538</v>
      </c>
      <c r="G3752" t="s">
        <v>2083</v>
      </c>
      <c r="H3752" t="s">
        <v>124</v>
      </c>
      <c r="I3752" t="s">
        <v>2116</v>
      </c>
    </row>
    <row r="3753" spans="1:9" x14ac:dyDescent="0.35">
      <c r="A3753">
        <v>228200</v>
      </c>
      <c r="B3753" t="s">
        <v>1268</v>
      </c>
      <c r="C3753" s="1">
        <v>38971</v>
      </c>
      <c r="D3753">
        <v>864</v>
      </c>
      <c r="E3753" t="b">
        <v>0</v>
      </c>
      <c r="F3753">
        <v>538</v>
      </c>
      <c r="G3753" t="s">
        <v>2083</v>
      </c>
      <c r="H3753" t="s">
        <v>1510</v>
      </c>
      <c r="I3753" t="s">
        <v>2117</v>
      </c>
    </row>
    <row r="3754" spans="1:9" x14ac:dyDescent="0.35">
      <c r="A3754">
        <v>447040</v>
      </c>
      <c r="B3754" t="s">
        <v>1270</v>
      </c>
      <c r="C3754" s="1">
        <v>42702</v>
      </c>
      <c r="D3754">
        <v>863</v>
      </c>
      <c r="E3754" t="b">
        <v>0</v>
      </c>
      <c r="F3754">
        <v>539</v>
      </c>
      <c r="G3754" t="s">
        <v>133</v>
      </c>
      <c r="H3754" t="s">
        <v>49</v>
      </c>
      <c r="I3754" t="s">
        <v>2116</v>
      </c>
    </row>
    <row r="3755" spans="1:9" x14ac:dyDescent="0.35">
      <c r="A3755">
        <v>447040</v>
      </c>
      <c r="B3755" t="s">
        <v>1270</v>
      </c>
      <c r="C3755" s="1">
        <v>42702</v>
      </c>
      <c r="D3755">
        <v>863</v>
      </c>
      <c r="E3755" t="b">
        <v>0</v>
      </c>
      <c r="F3755">
        <v>539</v>
      </c>
      <c r="G3755" t="s">
        <v>133</v>
      </c>
      <c r="H3755" t="s">
        <v>792</v>
      </c>
      <c r="I3755" t="s">
        <v>2117</v>
      </c>
    </row>
    <row r="3756" spans="1:9" x14ac:dyDescent="0.35">
      <c r="A3756">
        <v>447040</v>
      </c>
      <c r="B3756" t="s">
        <v>1270</v>
      </c>
      <c r="C3756" s="1">
        <v>42702</v>
      </c>
      <c r="D3756">
        <v>863</v>
      </c>
      <c r="E3756" t="b">
        <v>0</v>
      </c>
      <c r="F3756">
        <v>539</v>
      </c>
      <c r="G3756" t="s">
        <v>133</v>
      </c>
      <c r="H3756" t="s">
        <v>346</v>
      </c>
      <c r="I3756" t="s">
        <v>2116</v>
      </c>
    </row>
    <row r="3757" spans="1:9" x14ac:dyDescent="0.35">
      <c r="A3757">
        <v>447040</v>
      </c>
      <c r="B3757" t="s">
        <v>1270</v>
      </c>
      <c r="C3757" s="1">
        <v>42702</v>
      </c>
      <c r="D3757">
        <v>863</v>
      </c>
      <c r="E3757" t="b">
        <v>0</v>
      </c>
      <c r="F3757">
        <v>539</v>
      </c>
      <c r="G3757" t="s">
        <v>133</v>
      </c>
      <c r="H3757" t="s">
        <v>239</v>
      </c>
      <c r="I3757" t="s">
        <v>2117</v>
      </c>
    </row>
    <row r="3758" spans="1:9" x14ac:dyDescent="0.35">
      <c r="A3758">
        <v>447040</v>
      </c>
      <c r="B3758" t="s">
        <v>1270</v>
      </c>
      <c r="C3758" s="1">
        <v>42702</v>
      </c>
      <c r="D3758">
        <v>863</v>
      </c>
      <c r="E3758" t="b">
        <v>0</v>
      </c>
      <c r="F3758">
        <v>539</v>
      </c>
      <c r="G3758" t="s">
        <v>133</v>
      </c>
      <c r="H3758" t="s">
        <v>132</v>
      </c>
      <c r="I3758" t="s">
        <v>2117</v>
      </c>
    </row>
    <row r="3759" spans="1:9" x14ac:dyDescent="0.35">
      <c r="A3759">
        <v>447040</v>
      </c>
      <c r="B3759" t="s">
        <v>1270</v>
      </c>
      <c r="C3759" s="1">
        <v>42702</v>
      </c>
      <c r="D3759">
        <v>863</v>
      </c>
      <c r="E3759" t="b">
        <v>0</v>
      </c>
      <c r="F3759">
        <v>539</v>
      </c>
      <c r="G3759" t="s">
        <v>133</v>
      </c>
      <c r="H3759" t="s">
        <v>124</v>
      </c>
      <c r="I3759" t="s">
        <v>2117</v>
      </c>
    </row>
    <row r="3760" spans="1:9" x14ac:dyDescent="0.35">
      <c r="A3760">
        <v>447040</v>
      </c>
      <c r="B3760" t="s">
        <v>1270</v>
      </c>
      <c r="C3760" s="1">
        <v>42702</v>
      </c>
      <c r="D3760">
        <v>863</v>
      </c>
      <c r="E3760" t="b">
        <v>0</v>
      </c>
      <c r="F3760">
        <v>539</v>
      </c>
      <c r="G3760" t="s">
        <v>133</v>
      </c>
      <c r="H3760" t="s">
        <v>1510</v>
      </c>
      <c r="I3760" t="s">
        <v>2117</v>
      </c>
    </row>
    <row r="3761" spans="1:9" x14ac:dyDescent="0.35">
      <c r="A3761">
        <v>433340</v>
      </c>
      <c r="B3761" t="s">
        <v>1272</v>
      </c>
      <c r="C3761" s="1">
        <v>42948</v>
      </c>
      <c r="D3761">
        <v>858</v>
      </c>
      <c r="E3761" t="b">
        <v>1</v>
      </c>
      <c r="F3761">
        <v>540</v>
      </c>
      <c r="G3761" t="s">
        <v>110</v>
      </c>
      <c r="H3761" t="s">
        <v>49</v>
      </c>
      <c r="I3761" t="s">
        <v>2116</v>
      </c>
    </row>
    <row r="3762" spans="1:9" x14ac:dyDescent="0.35">
      <c r="A3762">
        <v>433340</v>
      </c>
      <c r="B3762" t="s">
        <v>1272</v>
      </c>
      <c r="C3762" s="1">
        <v>42948</v>
      </c>
      <c r="D3762">
        <v>858</v>
      </c>
      <c r="E3762" t="b">
        <v>1</v>
      </c>
      <c r="F3762">
        <v>540</v>
      </c>
      <c r="G3762" t="s">
        <v>110</v>
      </c>
      <c r="H3762" t="s">
        <v>792</v>
      </c>
      <c r="I3762" t="s">
        <v>2116</v>
      </c>
    </row>
    <row r="3763" spans="1:9" x14ac:dyDescent="0.35">
      <c r="A3763">
        <v>433340</v>
      </c>
      <c r="B3763" t="s">
        <v>1272</v>
      </c>
      <c r="C3763" s="1">
        <v>42948</v>
      </c>
      <c r="D3763">
        <v>858</v>
      </c>
      <c r="E3763" t="b">
        <v>1</v>
      </c>
      <c r="F3763">
        <v>540</v>
      </c>
      <c r="G3763" t="s">
        <v>110</v>
      </c>
      <c r="H3763" t="s">
        <v>346</v>
      </c>
      <c r="I3763" t="s">
        <v>2116</v>
      </c>
    </row>
    <row r="3764" spans="1:9" x14ac:dyDescent="0.35">
      <c r="A3764">
        <v>433340</v>
      </c>
      <c r="B3764" t="s">
        <v>1272</v>
      </c>
      <c r="C3764" s="1">
        <v>42948</v>
      </c>
      <c r="D3764">
        <v>858</v>
      </c>
      <c r="E3764" t="b">
        <v>1</v>
      </c>
      <c r="F3764">
        <v>540</v>
      </c>
      <c r="G3764" t="s">
        <v>110</v>
      </c>
      <c r="H3764" t="s">
        <v>239</v>
      </c>
      <c r="I3764" t="s">
        <v>2116</v>
      </c>
    </row>
    <row r="3765" spans="1:9" x14ac:dyDescent="0.35">
      <c r="A3765">
        <v>433340</v>
      </c>
      <c r="B3765" t="s">
        <v>1272</v>
      </c>
      <c r="C3765" s="1">
        <v>42948</v>
      </c>
      <c r="D3765">
        <v>858</v>
      </c>
      <c r="E3765" t="b">
        <v>1</v>
      </c>
      <c r="F3765">
        <v>540</v>
      </c>
      <c r="G3765" t="s">
        <v>110</v>
      </c>
      <c r="H3765" t="s">
        <v>132</v>
      </c>
      <c r="I3765" t="s">
        <v>2117</v>
      </c>
    </row>
    <row r="3766" spans="1:9" x14ac:dyDescent="0.35">
      <c r="A3766">
        <v>433340</v>
      </c>
      <c r="B3766" t="s">
        <v>1272</v>
      </c>
      <c r="C3766" s="1">
        <v>42948</v>
      </c>
      <c r="D3766">
        <v>858</v>
      </c>
      <c r="E3766" t="b">
        <v>1</v>
      </c>
      <c r="F3766">
        <v>540</v>
      </c>
      <c r="G3766" t="s">
        <v>110</v>
      </c>
      <c r="H3766" t="s">
        <v>124</v>
      </c>
      <c r="I3766" t="s">
        <v>2117</v>
      </c>
    </row>
    <row r="3767" spans="1:9" x14ac:dyDescent="0.35">
      <c r="A3767">
        <v>433340</v>
      </c>
      <c r="B3767" t="s">
        <v>1272</v>
      </c>
      <c r="C3767" s="1">
        <v>42948</v>
      </c>
      <c r="D3767">
        <v>858</v>
      </c>
      <c r="E3767" t="b">
        <v>1</v>
      </c>
      <c r="F3767">
        <v>540</v>
      </c>
      <c r="G3767" t="s">
        <v>110</v>
      </c>
      <c r="H3767" t="s">
        <v>1510</v>
      </c>
      <c r="I3767" t="s">
        <v>2117</v>
      </c>
    </row>
    <row r="3768" spans="1:9" x14ac:dyDescent="0.35">
      <c r="A3768">
        <v>1922560</v>
      </c>
      <c r="B3768" t="s">
        <v>1273</v>
      </c>
      <c r="C3768" s="1">
        <v>44697</v>
      </c>
      <c r="D3768">
        <v>855</v>
      </c>
      <c r="E3768" t="b">
        <v>0</v>
      </c>
      <c r="F3768">
        <v>541</v>
      </c>
      <c r="G3768" t="s">
        <v>68</v>
      </c>
      <c r="H3768" t="s">
        <v>49</v>
      </c>
      <c r="I3768" t="s">
        <v>2116</v>
      </c>
    </row>
    <row r="3769" spans="1:9" x14ac:dyDescent="0.35">
      <c r="A3769">
        <v>1922560</v>
      </c>
      <c r="B3769" t="s">
        <v>1273</v>
      </c>
      <c r="C3769" s="1">
        <v>44697</v>
      </c>
      <c r="D3769">
        <v>855</v>
      </c>
      <c r="E3769" t="b">
        <v>0</v>
      </c>
      <c r="F3769">
        <v>541</v>
      </c>
      <c r="G3769" t="s">
        <v>68</v>
      </c>
      <c r="H3769" t="s">
        <v>792</v>
      </c>
      <c r="I3769" t="s">
        <v>2117</v>
      </c>
    </row>
    <row r="3770" spans="1:9" x14ac:dyDescent="0.35">
      <c r="A3770">
        <v>1922560</v>
      </c>
      <c r="B3770" t="s">
        <v>1273</v>
      </c>
      <c r="C3770" s="1">
        <v>44697</v>
      </c>
      <c r="D3770">
        <v>855</v>
      </c>
      <c r="E3770" t="b">
        <v>0</v>
      </c>
      <c r="F3770">
        <v>541</v>
      </c>
      <c r="G3770" t="s">
        <v>68</v>
      </c>
      <c r="H3770" t="s">
        <v>346</v>
      </c>
      <c r="I3770" t="s">
        <v>2117</v>
      </c>
    </row>
    <row r="3771" spans="1:9" x14ac:dyDescent="0.35">
      <c r="A3771">
        <v>1922560</v>
      </c>
      <c r="B3771" t="s">
        <v>1273</v>
      </c>
      <c r="C3771" s="1">
        <v>44697</v>
      </c>
      <c r="D3771">
        <v>855</v>
      </c>
      <c r="E3771" t="b">
        <v>0</v>
      </c>
      <c r="F3771">
        <v>541</v>
      </c>
      <c r="G3771" t="s">
        <v>68</v>
      </c>
      <c r="H3771" t="s">
        <v>239</v>
      </c>
      <c r="I3771" t="s">
        <v>2117</v>
      </c>
    </row>
    <row r="3772" spans="1:9" x14ac:dyDescent="0.35">
      <c r="A3772">
        <v>1922560</v>
      </c>
      <c r="B3772" t="s">
        <v>1273</v>
      </c>
      <c r="C3772" s="1">
        <v>44697</v>
      </c>
      <c r="D3772">
        <v>855</v>
      </c>
      <c r="E3772" t="b">
        <v>0</v>
      </c>
      <c r="F3772">
        <v>541</v>
      </c>
      <c r="G3772" t="s">
        <v>68</v>
      </c>
      <c r="H3772" t="s">
        <v>132</v>
      </c>
      <c r="I3772" t="s">
        <v>2117</v>
      </c>
    </row>
    <row r="3773" spans="1:9" x14ac:dyDescent="0.35">
      <c r="A3773">
        <v>1922560</v>
      </c>
      <c r="B3773" t="s">
        <v>1273</v>
      </c>
      <c r="C3773" s="1">
        <v>44697</v>
      </c>
      <c r="D3773">
        <v>855</v>
      </c>
      <c r="E3773" t="b">
        <v>0</v>
      </c>
      <c r="F3773">
        <v>541</v>
      </c>
      <c r="G3773" t="s">
        <v>68</v>
      </c>
      <c r="H3773" t="s">
        <v>124</v>
      </c>
      <c r="I3773" t="s">
        <v>2116</v>
      </c>
    </row>
    <row r="3774" spans="1:9" x14ac:dyDescent="0.35">
      <c r="A3774">
        <v>1922560</v>
      </c>
      <c r="B3774" t="s">
        <v>1273</v>
      </c>
      <c r="C3774" s="1">
        <v>44697</v>
      </c>
      <c r="D3774">
        <v>855</v>
      </c>
      <c r="E3774" t="b">
        <v>0</v>
      </c>
      <c r="F3774">
        <v>541</v>
      </c>
      <c r="G3774" t="s">
        <v>68</v>
      </c>
      <c r="H3774" t="s">
        <v>1510</v>
      </c>
      <c r="I3774" t="s">
        <v>2117</v>
      </c>
    </row>
    <row r="3775" spans="1:9" x14ac:dyDescent="0.35">
      <c r="A3775">
        <v>960170</v>
      </c>
      <c r="B3775" t="s">
        <v>1276</v>
      </c>
      <c r="C3775" s="1">
        <v>43901</v>
      </c>
      <c r="D3775">
        <v>854</v>
      </c>
      <c r="E3775" t="b">
        <v>0</v>
      </c>
      <c r="F3775">
        <v>542</v>
      </c>
      <c r="G3775" t="s">
        <v>110</v>
      </c>
      <c r="H3775" t="s">
        <v>49</v>
      </c>
      <c r="I3775" t="s">
        <v>2116</v>
      </c>
    </row>
    <row r="3776" spans="1:9" x14ac:dyDescent="0.35">
      <c r="A3776">
        <v>960170</v>
      </c>
      <c r="B3776" t="s">
        <v>1276</v>
      </c>
      <c r="C3776" s="1">
        <v>43901</v>
      </c>
      <c r="D3776">
        <v>854</v>
      </c>
      <c r="E3776" t="b">
        <v>0</v>
      </c>
      <c r="F3776">
        <v>542</v>
      </c>
      <c r="G3776" t="s">
        <v>110</v>
      </c>
      <c r="H3776" t="s">
        <v>792</v>
      </c>
      <c r="I3776" t="s">
        <v>2117</v>
      </c>
    </row>
    <row r="3777" spans="1:9" x14ac:dyDescent="0.35">
      <c r="A3777">
        <v>960170</v>
      </c>
      <c r="B3777" t="s">
        <v>1276</v>
      </c>
      <c r="C3777" s="1">
        <v>43901</v>
      </c>
      <c r="D3777">
        <v>854</v>
      </c>
      <c r="E3777" t="b">
        <v>0</v>
      </c>
      <c r="F3777">
        <v>542</v>
      </c>
      <c r="G3777" t="s">
        <v>110</v>
      </c>
      <c r="H3777" t="s">
        <v>346</v>
      </c>
      <c r="I3777" t="s">
        <v>2117</v>
      </c>
    </row>
    <row r="3778" spans="1:9" x14ac:dyDescent="0.35">
      <c r="A3778">
        <v>960170</v>
      </c>
      <c r="B3778" t="s">
        <v>1276</v>
      </c>
      <c r="C3778" s="1">
        <v>43901</v>
      </c>
      <c r="D3778">
        <v>854</v>
      </c>
      <c r="E3778" t="b">
        <v>0</v>
      </c>
      <c r="F3778">
        <v>542</v>
      </c>
      <c r="G3778" t="s">
        <v>110</v>
      </c>
      <c r="H3778" t="s">
        <v>239</v>
      </c>
      <c r="I3778" t="s">
        <v>2117</v>
      </c>
    </row>
    <row r="3779" spans="1:9" x14ac:dyDescent="0.35">
      <c r="A3779">
        <v>960170</v>
      </c>
      <c r="B3779" t="s">
        <v>1276</v>
      </c>
      <c r="C3779" s="1">
        <v>43901</v>
      </c>
      <c r="D3779">
        <v>854</v>
      </c>
      <c r="E3779" t="b">
        <v>0</v>
      </c>
      <c r="F3779">
        <v>542</v>
      </c>
      <c r="G3779" t="s">
        <v>110</v>
      </c>
      <c r="H3779" t="s">
        <v>132</v>
      </c>
      <c r="I3779" t="s">
        <v>2117</v>
      </c>
    </row>
    <row r="3780" spans="1:9" x14ac:dyDescent="0.35">
      <c r="A3780">
        <v>960170</v>
      </c>
      <c r="B3780" t="s">
        <v>1276</v>
      </c>
      <c r="C3780" s="1">
        <v>43901</v>
      </c>
      <c r="D3780">
        <v>854</v>
      </c>
      <c r="E3780" t="b">
        <v>0</v>
      </c>
      <c r="F3780">
        <v>542</v>
      </c>
      <c r="G3780" t="s">
        <v>110</v>
      </c>
      <c r="H3780" t="s">
        <v>124</v>
      </c>
      <c r="I3780" t="s">
        <v>2117</v>
      </c>
    </row>
    <row r="3781" spans="1:9" x14ac:dyDescent="0.35">
      <c r="A3781">
        <v>960170</v>
      </c>
      <c r="B3781" t="s">
        <v>1276</v>
      </c>
      <c r="C3781" s="1">
        <v>43901</v>
      </c>
      <c r="D3781">
        <v>854</v>
      </c>
      <c r="E3781" t="b">
        <v>0</v>
      </c>
      <c r="F3781">
        <v>542</v>
      </c>
      <c r="G3781" t="s">
        <v>110</v>
      </c>
      <c r="H3781" t="s">
        <v>1510</v>
      </c>
      <c r="I3781" t="s">
        <v>2117</v>
      </c>
    </row>
    <row r="3782" spans="1:9" x14ac:dyDescent="0.35">
      <c r="A3782">
        <v>1533390</v>
      </c>
      <c r="B3782" t="s">
        <v>1279</v>
      </c>
      <c r="C3782" s="1">
        <v>44927</v>
      </c>
      <c r="D3782">
        <v>852</v>
      </c>
      <c r="E3782" t="b">
        <v>0</v>
      </c>
      <c r="F3782">
        <v>543</v>
      </c>
      <c r="G3782" t="s">
        <v>33</v>
      </c>
      <c r="H3782" t="s">
        <v>49</v>
      </c>
      <c r="I3782" t="s">
        <v>2116</v>
      </c>
    </row>
    <row r="3783" spans="1:9" x14ac:dyDescent="0.35">
      <c r="A3783">
        <v>1533390</v>
      </c>
      <c r="B3783" t="s">
        <v>1279</v>
      </c>
      <c r="C3783" s="1">
        <v>44927</v>
      </c>
      <c r="D3783">
        <v>852</v>
      </c>
      <c r="E3783" t="b">
        <v>0</v>
      </c>
      <c r="F3783">
        <v>543</v>
      </c>
      <c r="G3783" t="s">
        <v>33</v>
      </c>
      <c r="H3783" t="s">
        <v>792</v>
      </c>
      <c r="I3783" t="s">
        <v>2117</v>
      </c>
    </row>
    <row r="3784" spans="1:9" x14ac:dyDescent="0.35">
      <c r="A3784">
        <v>1533390</v>
      </c>
      <c r="B3784" t="s">
        <v>1279</v>
      </c>
      <c r="C3784" s="1">
        <v>44927</v>
      </c>
      <c r="D3784">
        <v>852</v>
      </c>
      <c r="E3784" t="b">
        <v>0</v>
      </c>
      <c r="F3784">
        <v>543</v>
      </c>
      <c r="G3784" t="s">
        <v>33</v>
      </c>
      <c r="H3784" t="s">
        <v>346</v>
      </c>
      <c r="I3784" t="s">
        <v>2117</v>
      </c>
    </row>
    <row r="3785" spans="1:9" x14ac:dyDescent="0.35">
      <c r="A3785">
        <v>1533390</v>
      </c>
      <c r="B3785" t="s">
        <v>1279</v>
      </c>
      <c r="C3785" s="1">
        <v>44927</v>
      </c>
      <c r="D3785">
        <v>852</v>
      </c>
      <c r="E3785" t="b">
        <v>0</v>
      </c>
      <c r="F3785">
        <v>543</v>
      </c>
      <c r="G3785" t="s">
        <v>33</v>
      </c>
      <c r="H3785" t="s">
        <v>239</v>
      </c>
      <c r="I3785" t="s">
        <v>2117</v>
      </c>
    </row>
    <row r="3786" spans="1:9" x14ac:dyDescent="0.35">
      <c r="A3786">
        <v>1533390</v>
      </c>
      <c r="B3786" t="s">
        <v>1279</v>
      </c>
      <c r="C3786" s="1">
        <v>44927</v>
      </c>
      <c r="D3786">
        <v>852</v>
      </c>
      <c r="E3786" t="b">
        <v>0</v>
      </c>
      <c r="F3786">
        <v>543</v>
      </c>
      <c r="G3786" t="s">
        <v>33</v>
      </c>
      <c r="H3786" t="s">
        <v>132</v>
      </c>
      <c r="I3786" t="s">
        <v>2117</v>
      </c>
    </row>
    <row r="3787" spans="1:9" x14ac:dyDescent="0.35">
      <c r="A3787">
        <v>1533390</v>
      </c>
      <c r="B3787" t="s">
        <v>1279</v>
      </c>
      <c r="C3787" s="1">
        <v>44927</v>
      </c>
      <c r="D3787">
        <v>852</v>
      </c>
      <c r="E3787" t="b">
        <v>0</v>
      </c>
      <c r="F3787">
        <v>543</v>
      </c>
      <c r="G3787" t="s">
        <v>33</v>
      </c>
      <c r="H3787" t="s">
        <v>124</v>
      </c>
      <c r="I3787" t="s">
        <v>2117</v>
      </c>
    </row>
    <row r="3788" spans="1:9" x14ac:dyDescent="0.35">
      <c r="A3788">
        <v>1533390</v>
      </c>
      <c r="B3788" t="s">
        <v>1279</v>
      </c>
      <c r="C3788" s="1">
        <v>44927</v>
      </c>
      <c r="D3788">
        <v>852</v>
      </c>
      <c r="E3788" t="b">
        <v>0</v>
      </c>
      <c r="F3788">
        <v>543</v>
      </c>
      <c r="G3788" t="s">
        <v>33</v>
      </c>
      <c r="H3788" t="s">
        <v>1510</v>
      </c>
      <c r="I3788" t="s">
        <v>2117</v>
      </c>
    </row>
    <row r="3789" spans="1:9" x14ac:dyDescent="0.35">
      <c r="A3789">
        <v>1584090</v>
      </c>
      <c r="B3789" t="s">
        <v>1282</v>
      </c>
      <c r="C3789" s="1">
        <v>44470</v>
      </c>
      <c r="D3789">
        <v>852</v>
      </c>
      <c r="E3789" t="b">
        <v>1</v>
      </c>
      <c r="F3789">
        <v>543</v>
      </c>
      <c r="G3789" t="s">
        <v>304</v>
      </c>
      <c r="H3789" t="s">
        <v>49</v>
      </c>
      <c r="I3789" t="s">
        <v>2117</v>
      </c>
    </row>
    <row r="3790" spans="1:9" x14ac:dyDescent="0.35">
      <c r="A3790">
        <v>1584090</v>
      </c>
      <c r="B3790" t="s">
        <v>1282</v>
      </c>
      <c r="C3790" s="1">
        <v>44470</v>
      </c>
      <c r="D3790">
        <v>852</v>
      </c>
      <c r="E3790" t="b">
        <v>1</v>
      </c>
      <c r="F3790">
        <v>543</v>
      </c>
      <c r="G3790" t="s">
        <v>304</v>
      </c>
      <c r="H3790" t="s">
        <v>792</v>
      </c>
      <c r="I3790" t="s">
        <v>2116</v>
      </c>
    </row>
    <row r="3791" spans="1:9" x14ac:dyDescent="0.35">
      <c r="A3791">
        <v>1584090</v>
      </c>
      <c r="B3791" t="s">
        <v>1282</v>
      </c>
      <c r="C3791" s="1">
        <v>44470</v>
      </c>
      <c r="D3791">
        <v>852</v>
      </c>
      <c r="E3791" t="b">
        <v>1</v>
      </c>
      <c r="F3791">
        <v>543</v>
      </c>
      <c r="G3791" t="s">
        <v>304</v>
      </c>
      <c r="H3791" t="s">
        <v>346</v>
      </c>
      <c r="I3791" t="s">
        <v>2117</v>
      </c>
    </row>
    <row r="3792" spans="1:9" x14ac:dyDescent="0.35">
      <c r="A3792">
        <v>1584090</v>
      </c>
      <c r="B3792" t="s">
        <v>1282</v>
      </c>
      <c r="C3792" s="1">
        <v>44470</v>
      </c>
      <c r="D3792">
        <v>852</v>
      </c>
      <c r="E3792" t="b">
        <v>1</v>
      </c>
      <c r="F3792">
        <v>543</v>
      </c>
      <c r="G3792" t="s">
        <v>304</v>
      </c>
      <c r="H3792" t="s">
        <v>239</v>
      </c>
      <c r="I3792" t="s">
        <v>2116</v>
      </c>
    </row>
    <row r="3793" spans="1:9" x14ac:dyDescent="0.35">
      <c r="A3793">
        <v>1584090</v>
      </c>
      <c r="B3793" t="s">
        <v>1282</v>
      </c>
      <c r="C3793" s="1">
        <v>44470</v>
      </c>
      <c r="D3793">
        <v>852</v>
      </c>
      <c r="E3793" t="b">
        <v>1</v>
      </c>
      <c r="F3793">
        <v>543</v>
      </c>
      <c r="G3793" t="s">
        <v>304</v>
      </c>
      <c r="H3793" t="s">
        <v>132</v>
      </c>
      <c r="I3793" t="s">
        <v>2116</v>
      </c>
    </row>
    <row r="3794" spans="1:9" x14ac:dyDescent="0.35">
      <c r="A3794">
        <v>1584090</v>
      </c>
      <c r="B3794" t="s">
        <v>1282</v>
      </c>
      <c r="C3794" s="1">
        <v>44470</v>
      </c>
      <c r="D3794">
        <v>852</v>
      </c>
      <c r="E3794" t="b">
        <v>1</v>
      </c>
      <c r="F3794">
        <v>543</v>
      </c>
      <c r="G3794" t="s">
        <v>304</v>
      </c>
      <c r="H3794" t="s">
        <v>124</v>
      </c>
      <c r="I3794" t="s">
        <v>2117</v>
      </c>
    </row>
    <row r="3795" spans="1:9" x14ac:dyDescent="0.35">
      <c r="A3795">
        <v>1584090</v>
      </c>
      <c r="B3795" t="s">
        <v>1282</v>
      </c>
      <c r="C3795" s="1">
        <v>44470</v>
      </c>
      <c r="D3795">
        <v>852</v>
      </c>
      <c r="E3795" t="b">
        <v>1</v>
      </c>
      <c r="F3795">
        <v>543</v>
      </c>
      <c r="G3795" t="s">
        <v>304</v>
      </c>
      <c r="H3795" t="s">
        <v>1510</v>
      </c>
      <c r="I3795" t="s">
        <v>2117</v>
      </c>
    </row>
    <row r="3796" spans="1:9" x14ac:dyDescent="0.35">
      <c r="A3796">
        <v>1374490</v>
      </c>
      <c r="B3796" t="s">
        <v>1284</v>
      </c>
      <c r="C3796" s="1">
        <v>45762</v>
      </c>
      <c r="D3796">
        <v>851</v>
      </c>
      <c r="E3796" t="b">
        <v>0</v>
      </c>
      <c r="F3796">
        <v>545</v>
      </c>
      <c r="G3796" t="s">
        <v>119</v>
      </c>
      <c r="H3796" t="s">
        <v>49</v>
      </c>
      <c r="I3796" t="s">
        <v>2116</v>
      </c>
    </row>
    <row r="3797" spans="1:9" x14ac:dyDescent="0.35">
      <c r="A3797">
        <v>1374490</v>
      </c>
      <c r="B3797" t="s">
        <v>1284</v>
      </c>
      <c r="C3797" s="1">
        <v>45762</v>
      </c>
      <c r="D3797">
        <v>851</v>
      </c>
      <c r="E3797" t="b">
        <v>0</v>
      </c>
      <c r="F3797">
        <v>545</v>
      </c>
      <c r="G3797" t="s">
        <v>119</v>
      </c>
      <c r="H3797" t="s">
        <v>792</v>
      </c>
      <c r="I3797" t="s">
        <v>2117</v>
      </c>
    </row>
    <row r="3798" spans="1:9" x14ac:dyDescent="0.35">
      <c r="A3798">
        <v>1374490</v>
      </c>
      <c r="B3798" t="s">
        <v>1284</v>
      </c>
      <c r="C3798" s="1">
        <v>45762</v>
      </c>
      <c r="D3798">
        <v>851</v>
      </c>
      <c r="E3798" t="b">
        <v>0</v>
      </c>
      <c r="F3798">
        <v>545</v>
      </c>
      <c r="G3798" t="s">
        <v>119</v>
      </c>
      <c r="H3798" t="s">
        <v>346</v>
      </c>
      <c r="I3798" t="s">
        <v>2116</v>
      </c>
    </row>
    <row r="3799" spans="1:9" x14ac:dyDescent="0.35">
      <c r="A3799">
        <v>1374490</v>
      </c>
      <c r="B3799" t="s">
        <v>1284</v>
      </c>
      <c r="C3799" s="1">
        <v>45762</v>
      </c>
      <c r="D3799">
        <v>851</v>
      </c>
      <c r="E3799" t="b">
        <v>0</v>
      </c>
      <c r="F3799">
        <v>545</v>
      </c>
      <c r="G3799" t="s">
        <v>119</v>
      </c>
      <c r="H3799" t="s">
        <v>239</v>
      </c>
      <c r="I3799" t="s">
        <v>2117</v>
      </c>
    </row>
    <row r="3800" spans="1:9" x14ac:dyDescent="0.35">
      <c r="A3800">
        <v>1374490</v>
      </c>
      <c r="B3800" t="s">
        <v>1284</v>
      </c>
      <c r="C3800" s="1">
        <v>45762</v>
      </c>
      <c r="D3800">
        <v>851</v>
      </c>
      <c r="E3800" t="b">
        <v>0</v>
      </c>
      <c r="F3800">
        <v>545</v>
      </c>
      <c r="G3800" t="s">
        <v>119</v>
      </c>
      <c r="H3800" t="s">
        <v>132</v>
      </c>
      <c r="I3800" t="s">
        <v>2116</v>
      </c>
    </row>
    <row r="3801" spans="1:9" x14ac:dyDescent="0.35">
      <c r="A3801">
        <v>1374490</v>
      </c>
      <c r="B3801" t="s">
        <v>1284</v>
      </c>
      <c r="C3801" s="1">
        <v>45762</v>
      </c>
      <c r="D3801">
        <v>851</v>
      </c>
      <c r="E3801" t="b">
        <v>0</v>
      </c>
      <c r="F3801">
        <v>545</v>
      </c>
      <c r="G3801" t="s">
        <v>119</v>
      </c>
      <c r="H3801" t="s">
        <v>124</v>
      </c>
      <c r="I3801" t="s">
        <v>2117</v>
      </c>
    </row>
    <row r="3802" spans="1:9" x14ac:dyDescent="0.35">
      <c r="A3802">
        <v>1374490</v>
      </c>
      <c r="B3802" t="s">
        <v>1284</v>
      </c>
      <c r="C3802" s="1">
        <v>45762</v>
      </c>
      <c r="D3802">
        <v>851</v>
      </c>
      <c r="E3802" t="b">
        <v>0</v>
      </c>
      <c r="F3802">
        <v>545</v>
      </c>
      <c r="G3802" t="s">
        <v>119</v>
      </c>
      <c r="H3802" t="s">
        <v>1510</v>
      </c>
      <c r="I3802" t="s">
        <v>2117</v>
      </c>
    </row>
    <row r="3803" spans="1:9" x14ac:dyDescent="0.35">
      <c r="A3803">
        <v>544730</v>
      </c>
      <c r="B3803" t="s">
        <v>1286</v>
      </c>
      <c r="C3803" s="1">
        <v>42850</v>
      </c>
      <c r="D3803">
        <v>848</v>
      </c>
      <c r="E3803" t="b">
        <v>1</v>
      </c>
      <c r="F3803">
        <v>546</v>
      </c>
      <c r="G3803" t="s">
        <v>110</v>
      </c>
      <c r="H3803" t="s">
        <v>49</v>
      </c>
      <c r="I3803" t="s">
        <v>2117</v>
      </c>
    </row>
    <row r="3804" spans="1:9" x14ac:dyDescent="0.35">
      <c r="A3804">
        <v>544730</v>
      </c>
      <c r="B3804" t="s">
        <v>1286</v>
      </c>
      <c r="C3804" s="1">
        <v>42850</v>
      </c>
      <c r="D3804">
        <v>848</v>
      </c>
      <c r="E3804" t="b">
        <v>1</v>
      </c>
      <c r="F3804">
        <v>546</v>
      </c>
      <c r="G3804" t="s">
        <v>110</v>
      </c>
      <c r="H3804" t="s">
        <v>792</v>
      </c>
      <c r="I3804" t="s">
        <v>2117</v>
      </c>
    </row>
    <row r="3805" spans="1:9" x14ac:dyDescent="0.35">
      <c r="A3805">
        <v>544730</v>
      </c>
      <c r="B3805" t="s">
        <v>1286</v>
      </c>
      <c r="C3805" s="1">
        <v>42850</v>
      </c>
      <c r="D3805">
        <v>848</v>
      </c>
      <c r="E3805" t="b">
        <v>1</v>
      </c>
      <c r="F3805">
        <v>546</v>
      </c>
      <c r="G3805" t="s">
        <v>110</v>
      </c>
      <c r="H3805" t="s">
        <v>346</v>
      </c>
      <c r="I3805" t="s">
        <v>2117</v>
      </c>
    </row>
    <row r="3806" spans="1:9" x14ac:dyDescent="0.35">
      <c r="A3806">
        <v>544730</v>
      </c>
      <c r="B3806" t="s">
        <v>1286</v>
      </c>
      <c r="C3806" s="1">
        <v>42850</v>
      </c>
      <c r="D3806">
        <v>848</v>
      </c>
      <c r="E3806" t="b">
        <v>1</v>
      </c>
      <c r="F3806">
        <v>546</v>
      </c>
      <c r="G3806" t="s">
        <v>110</v>
      </c>
      <c r="H3806" t="s">
        <v>239</v>
      </c>
      <c r="I3806" t="s">
        <v>2117</v>
      </c>
    </row>
    <row r="3807" spans="1:9" x14ac:dyDescent="0.35">
      <c r="A3807">
        <v>544730</v>
      </c>
      <c r="B3807" t="s">
        <v>1286</v>
      </c>
      <c r="C3807" s="1">
        <v>42850</v>
      </c>
      <c r="D3807">
        <v>848</v>
      </c>
      <c r="E3807" t="b">
        <v>1</v>
      </c>
      <c r="F3807">
        <v>546</v>
      </c>
      <c r="G3807" t="s">
        <v>110</v>
      </c>
      <c r="H3807" t="s">
        <v>132</v>
      </c>
      <c r="I3807" t="s">
        <v>2117</v>
      </c>
    </row>
    <row r="3808" spans="1:9" x14ac:dyDescent="0.35">
      <c r="A3808">
        <v>544730</v>
      </c>
      <c r="B3808" t="s">
        <v>1286</v>
      </c>
      <c r="C3808" s="1">
        <v>42850</v>
      </c>
      <c r="D3808">
        <v>848</v>
      </c>
      <c r="E3808" t="b">
        <v>1</v>
      </c>
      <c r="F3808">
        <v>546</v>
      </c>
      <c r="G3808" t="s">
        <v>110</v>
      </c>
      <c r="H3808" t="s">
        <v>124</v>
      </c>
      <c r="I3808" t="s">
        <v>2116</v>
      </c>
    </row>
    <row r="3809" spans="1:9" x14ac:dyDescent="0.35">
      <c r="A3809">
        <v>544730</v>
      </c>
      <c r="B3809" t="s">
        <v>1286</v>
      </c>
      <c r="C3809" s="1">
        <v>42850</v>
      </c>
      <c r="D3809">
        <v>848</v>
      </c>
      <c r="E3809" t="b">
        <v>1</v>
      </c>
      <c r="F3809">
        <v>546</v>
      </c>
      <c r="G3809" t="s">
        <v>110</v>
      </c>
      <c r="H3809" t="s">
        <v>1510</v>
      </c>
      <c r="I3809" t="s">
        <v>2117</v>
      </c>
    </row>
    <row r="3810" spans="1:9" x14ac:dyDescent="0.35">
      <c r="A3810">
        <v>2000950</v>
      </c>
      <c r="B3810" t="s">
        <v>1288</v>
      </c>
      <c r="C3810" s="1">
        <v>44993</v>
      </c>
      <c r="D3810">
        <v>847</v>
      </c>
      <c r="E3810" t="b">
        <v>0</v>
      </c>
      <c r="F3810">
        <v>547</v>
      </c>
      <c r="G3810" t="s">
        <v>33</v>
      </c>
      <c r="H3810" t="s">
        <v>49</v>
      </c>
      <c r="I3810" t="s">
        <v>2116</v>
      </c>
    </row>
    <row r="3811" spans="1:9" x14ac:dyDescent="0.35">
      <c r="A3811">
        <v>2000950</v>
      </c>
      <c r="B3811" t="s">
        <v>1288</v>
      </c>
      <c r="C3811" s="1">
        <v>44993</v>
      </c>
      <c r="D3811">
        <v>847</v>
      </c>
      <c r="E3811" t="b">
        <v>0</v>
      </c>
      <c r="F3811">
        <v>547</v>
      </c>
      <c r="G3811" t="s">
        <v>33</v>
      </c>
      <c r="H3811" t="s">
        <v>792</v>
      </c>
      <c r="I3811" t="s">
        <v>2117</v>
      </c>
    </row>
    <row r="3812" spans="1:9" x14ac:dyDescent="0.35">
      <c r="A3812">
        <v>2000950</v>
      </c>
      <c r="B3812" t="s">
        <v>1288</v>
      </c>
      <c r="C3812" s="1">
        <v>44993</v>
      </c>
      <c r="D3812">
        <v>847</v>
      </c>
      <c r="E3812" t="b">
        <v>0</v>
      </c>
      <c r="F3812">
        <v>547</v>
      </c>
      <c r="G3812" t="s">
        <v>33</v>
      </c>
      <c r="H3812" t="s">
        <v>346</v>
      </c>
      <c r="I3812" t="s">
        <v>2117</v>
      </c>
    </row>
    <row r="3813" spans="1:9" x14ac:dyDescent="0.35">
      <c r="A3813">
        <v>2000950</v>
      </c>
      <c r="B3813" t="s">
        <v>1288</v>
      </c>
      <c r="C3813" s="1">
        <v>44993</v>
      </c>
      <c r="D3813">
        <v>847</v>
      </c>
      <c r="E3813" t="b">
        <v>0</v>
      </c>
      <c r="F3813">
        <v>547</v>
      </c>
      <c r="G3813" t="s">
        <v>33</v>
      </c>
      <c r="H3813" t="s">
        <v>239</v>
      </c>
      <c r="I3813" t="s">
        <v>2117</v>
      </c>
    </row>
    <row r="3814" spans="1:9" x14ac:dyDescent="0.35">
      <c r="A3814">
        <v>2000950</v>
      </c>
      <c r="B3814" t="s">
        <v>1288</v>
      </c>
      <c r="C3814" s="1">
        <v>44993</v>
      </c>
      <c r="D3814">
        <v>847</v>
      </c>
      <c r="E3814" t="b">
        <v>0</v>
      </c>
      <c r="F3814">
        <v>547</v>
      </c>
      <c r="G3814" t="s">
        <v>33</v>
      </c>
      <c r="H3814" t="s">
        <v>132</v>
      </c>
      <c r="I3814" t="s">
        <v>2117</v>
      </c>
    </row>
    <row r="3815" spans="1:9" x14ac:dyDescent="0.35">
      <c r="A3815">
        <v>2000950</v>
      </c>
      <c r="B3815" t="s">
        <v>1288</v>
      </c>
      <c r="C3815" s="1">
        <v>44993</v>
      </c>
      <c r="D3815">
        <v>847</v>
      </c>
      <c r="E3815" t="b">
        <v>0</v>
      </c>
      <c r="F3815">
        <v>547</v>
      </c>
      <c r="G3815" t="s">
        <v>33</v>
      </c>
      <c r="H3815" t="s">
        <v>124</v>
      </c>
      <c r="I3815" t="s">
        <v>2117</v>
      </c>
    </row>
    <row r="3816" spans="1:9" x14ac:dyDescent="0.35">
      <c r="A3816">
        <v>2000950</v>
      </c>
      <c r="B3816" t="s">
        <v>1288</v>
      </c>
      <c r="C3816" s="1">
        <v>44993</v>
      </c>
      <c r="D3816">
        <v>847</v>
      </c>
      <c r="E3816" t="b">
        <v>0</v>
      </c>
      <c r="F3816">
        <v>547</v>
      </c>
      <c r="G3816" t="s">
        <v>33</v>
      </c>
      <c r="H3816" t="s">
        <v>1510</v>
      </c>
      <c r="I3816" t="s">
        <v>2117</v>
      </c>
    </row>
    <row r="3817" spans="1:9" x14ac:dyDescent="0.35">
      <c r="A3817">
        <v>702320</v>
      </c>
      <c r="B3817" t="s">
        <v>1290</v>
      </c>
      <c r="C3817" s="1">
        <v>43080</v>
      </c>
      <c r="D3817">
        <v>846</v>
      </c>
      <c r="E3817" t="b">
        <v>0</v>
      </c>
      <c r="F3817">
        <v>548</v>
      </c>
      <c r="G3817" t="s">
        <v>110</v>
      </c>
      <c r="H3817" t="s">
        <v>49</v>
      </c>
      <c r="I3817" t="s">
        <v>2117</v>
      </c>
    </row>
    <row r="3818" spans="1:9" x14ac:dyDescent="0.35">
      <c r="A3818">
        <v>702320</v>
      </c>
      <c r="B3818" t="s">
        <v>1290</v>
      </c>
      <c r="C3818" s="1">
        <v>43080</v>
      </c>
      <c r="D3818">
        <v>846</v>
      </c>
      <c r="E3818" t="b">
        <v>0</v>
      </c>
      <c r="F3818">
        <v>548</v>
      </c>
      <c r="G3818" t="s">
        <v>110</v>
      </c>
      <c r="H3818" t="s">
        <v>792</v>
      </c>
      <c r="I3818" t="s">
        <v>2117</v>
      </c>
    </row>
    <row r="3819" spans="1:9" x14ac:dyDescent="0.35">
      <c r="A3819">
        <v>702320</v>
      </c>
      <c r="B3819" t="s">
        <v>1290</v>
      </c>
      <c r="C3819" s="1">
        <v>43080</v>
      </c>
      <c r="D3819">
        <v>846</v>
      </c>
      <c r="E3819" t="b">
        <v>0</v>
      </c>
      <c r="F3819">
        <v>548</v>
      </c>
      <c r="G3819" t="s">
        <v>110</v>
      </c>
      <c r="H3819" t="s">
        <v>346</v>
      </c>
      <c r="I3819" t="s">
        <v>2117</v>
      </c>
    </row>
    <row r="3820" spans="1:9" x14ac:dyDescent="0.35">
      <c r="A3820">
        <v>702320</v>
      </c>
      <c r="B3820" t="s">
        <v>1290</v>
      </c>
      <c r="C3820" s="1">
        <v>43080</v>
      </c>
      <c r="D3820">
        <v>846</v>
      </c>
      <c r="E3820" t="b">
        <v>0</v>
      </c>
      <c r="F3820">
        <v>548</v>
      </c>
      <c r="G3820" t="s">
        <v>110</v>
      </c>
      <c r="H3820" t="s">
        <v>239</v>
      </c>
      <c r="I3820" t="s">
        <v>2117</v>
      </c>
    </row>
    <row r="3821" spans="1:9" x14ac:dyDescent="0.35">
      <c r="A3821">
        <v>702320</v>
      </c>
      <c r="B3821" t="s">
        <v>1290</v>
      </c>
      <c r="C3821" s="1">
        <v>43080</v>
      </c>
      <c r="D3821">
        <v>846</v>
      </c>
      <c r="E3821" t="b">
        <v>0</v>
      </c>
      <c r="F3821">
        <v>548</v>
      </c>
      <c r="G3821" t="s">
        <v>110</v>
      </c>
      <c r="H3821" t="s">
        <v>132</v>
      </c>
      <c r="I3821" t="s">
        <v>2116</v>
      </c>
    </row>
    <row r="3822" spans="1:9" x14ac:dyDescent="0.35">
      <c r="A3822">
        <v>702320</v>
      </c>
      <c r="B3822" t="s">
        <v>1290</v>
      </c>
      <c r="C3822" s="1">
        <v>43080</v>
      </c>
      <c r="D3822">
        <v>846</v>
      </c>
      <c r="E3822" t="b">
        <v>0</v>
      </c>
      <c r="F3822">
        <v>548</v>
      </c>
      <c r="G3822" t="s">
        <v>110</v>
      </c>
      <c r="H3822" t="s">
        <v>124</v>
      </c>
      <c r="I3822" t="s">
        <v>2116</v>
      </c>
    </row>
    <row r="3823" spans="1:9" x14ac:dyDescent="0.35">
      <c r="A3823">
        <v>702320</v>
      </c>
      <c r="B3823" t="s">
        <v>1290</v>
      </c>
      <c r="C3823" s="1">
        <v>43080</v>
      </c>
      <c r="D3823">
        <v>846</v>
      </c>
      <c r="E3823" t="b">
        <v>0</v>
      </c>
      <c r="F3823">
        <v>548</v>
      </c>
      <c r="G3823" t="s">
        <v>110</v>
      </c>
      <c r="H3823" t="s">
        <v>1510</v>
      </c>
      <c r="I3823" t="s">
        <v>2116</v>
      </c>
    </row>
    <row r="3824" spans="1:9" x14ac:dyDescent="0.35">
      <c r="A3824">
        <v>1369670</v>
      </c>
      <c r="B3824" t="s">
        <v>1292</v>
      </c>
      <c r="C3824" s="1">
        <v>44547</v>
      </c>
      <c r="D3824">
        <v>844</v>
      </c>
      <c r="E3824" t="b">
        <v>0</v>
      </c>
      <c r="F3824">
        <v>549</v>
      </c>
      <c r="G3824" t="s">
        <v>25</v>
      </c>
      <c r="H3824" t="s">
        <v>49</v>
      </c>
      <c r="I3824" t="s">
        <v>2117</v>
      </c>
    </row>
    <row r="3825" spans="1:9" x14ac:dyDescent="0.35">
      <c r="A3825">
        <v>1369670</v>
      </c>
      <c r="B3825" t="s">
        <v>1292</v>
      </c>
      <c r="C3825" s="1">
        <v>44547</v>
      </c>
      <c r="D3825">
        <v>844</v>
      </c>
      <c r="E3825" t="b">
        <v>0</v>
      </c>
      <c r="F3825">
        <v>549</v>
      </c>
      <c r="G3825" t="s">
        <v>25</v>
      </c>
      <c r="H3825" t="s">
        <v>792</v>
      </c>
      <c r="I3825" t="s">
        <v>2116</v>
      </c>
    </row>
    <row r="3826" spans="1:9" x14ac:dyDescent="0.35">
      <c r="A3826">
        <v>1369670</v>
      </c>
      <c r="B3826" t="s">
        <v>1292</v>
      </c>
      <c r="C3826" s="1">
        <v>44547</v>
      </c>
      <c r="D3826">
        <v>844</v>
      </c>
      <c r="E3826" t="b">
        <v>0</v>
      </c>
      <c r="F3826">
        <v>549</v>
      </c>
      <c r="G3826" t="s">
        <v>25</v>
      </c>
      <c r="H3826" t="s">
        <v>346</v>
      </c>
      <c r="I3826" t="s">
        <v>2116</v>
      </c>
    </row>
    <row r="3827" spans="1:9" x14ac:dyDescent="0.35">
      <c r="A3827">
        <v>1369670</v>
      </c>
      <c r="B3827" t="s">
        <v>1292</v>
      </c>
      <c r="C3827" s="1">
        <v>44547</v>
      </c>
      <c r="D3827">
        <v>844</v>
      </c>
      <c r="E3827" t="b">
        <v>0</v>
      </c>
      <c r="F3827">
        <v>549</v>
      </c>
      <c r="G3827" t="s">
        <v>25</v>
      </c>
      <c r="H3827" t="s">
        <v>239</v>
      </c>
      <c r="I3827" t="s">
        <v>2116</v>
      </c>
    </row>
    <row r="3828" spans="1:9" x14ac:dyDescent="0.35">
      <c r="A3828">
        <v>1369670</v>
      </c>
      <c r="B3828" t="s">
        <v>1292</v>
      </c>
      <c r="C3828" s="1">
        <v>44547</v>
      </c>
      <c r="D3828">
        <v>844</v>
      </c>
      <c r="E3828" t="b">
        <v>0</v>
      </c>
      <c r="F3828">
        <v>549</v>
      </c>
      <c r="G3828" t="s">
        <v>25</v>
      </c>
      <c r="H3828" t="s">
        <v>132</v>
      </c>
      <c r="I3828" t="s">
        <v>2117</v>
      </c>
    </row>
    <row r="3829" spans="1:9" x14ac:dyDescent="0.35">
      <c r="A3829">
        <v>1369670</v>
      </c>
      <c r="B3829" t="s">
        <v>1292</v>
      </c>
      <c r="C3829" s="1">
        <v>44547</v>
      </c>
      <c r="D3829">
        <v>844</v>
      </c>
      <c r="E3829" t="b">
        <v>0</v>
      </c>
      <c r="F3829">
        <v>549</v>
      </c>
      <c r="G3829" t="s">
        <v>25</v>
      </c>
      <c r="H3829" t="s">
        <v>124</v>
      </c>
      <c r="I3829" t="s">
        <v>2117</v>
      </c>
    </row>
    <row r="3830" spans="1:9" x14ac:dyDescent="0.35">
      <c r="A3830">
        <v>1369670</v>
      </c>
      <c r="B3830" t="s">
        <v>1292</v>
      </c>
      <c r="C3830" s="1">
        <v>44547</v>
      </c>
      <c r="D3830">
        <v>844</v>
      </c>
      <c r="E3830" t="b">
        <v>0</v>
      </c>
      <c r="F3830">
        <v>549</v>
      </c>
      <c r="G3830" t="s">
        <v>25</v>
      </c>
      <c r="H3830" t="s">
        <v>1510</v>
      </c>
      <c r="I3830" t="s">
        <v>2117</v>
      </c>
    </row>
    <row r="3831" spans="1:9" x14ac:dyDescent="0.35">
      <c r="A3831">
        <v>690830</v>
      </c>
      <c r="B3831" t="s">
        <v>1295</v>
      </c>
      <c r="C3831" s="1">
        <v>45688</v>
      </c>
      <c r="D3831">
        <v>844</v>
      </c>
      <c r="E3831" t="b">
        <v>0</v>
      </c>
      <c r="F3831">
        <v>549</v>
      </c>
      <c r="G3831" t="s">
        <v>36</v>
      </c>
      <c r="H3831" t="s">
        <v>49</v>
      </c>
      <c r="I3831" t="s">
        <v>2117</v>
      </c>
    </row>
    <row r="3832" spans="1:9" x14ac:dyDescent="0.35">
      <c r="A3832">
        <v>690830</v>
      </c>
      <c r="B3832" t="s">
        <v>1295</v>
      </c>
      <c r="C3832" s="1">
        <v>45688</v>
      </c>
      <c r="D3832">
        <v>844</v>
      </c>
      <c r="E3832" t="b">
        <v>0</v>
      </c>
      <c r="F3832">
        <v>549</v>
      </c>
      <c r="G3832" t="s">
        <v>36</v>
      </c>
      <c r="H3832" t="s">
        <v>792</v>
      </c>
      <c r="I3832" t="s">
        <v>2116</v>
      </c>
    </row>
    <row r="3833" spans="1:9" x14ac:dyDescent="0.35">
      <c r="A3833">
        <v>690830</v>
      </c>
      <c r="B3833" t="s">
        <v>1295</v>
      </c>
      <c r="C3833" s="1">
        <v>45688</v>
      </c>
      <c r="D3833">
        <v>844</v>
      </c>
      <c r="E3833" t="b">
        <v>0</v>
      </c>
      <c r="F3833">
        <v>549</v>
      </c>
      <c r="G3833" t="s">
        <v>36</v>
      </c>
      <c r="H3833" t="s">
        <v>346</v>
      </c>
      <c r="I3833" t="s">
        <v>2117</v>
      </c>
    </row>
    <row r="3834" spans="1:9" x14ac:dyDescent="0.35">
      <c r="A3834">
        <v>690830</v>
      </c>
      <c r="B3834" t="s">
        <v>1295</v>
      </c>
      <c r="C3834" s="1">
        <v>45688</v>
      </c>
      <c r="D3834">
        <v>844</v>
      </c>
      <c r="E3834" t="b">
        <v>0</v>
      </c>
      <c r="F3834">
        <v>549</v>
      </c>
      <c r="G3834" t="s">
        <v>36</v>
      </c>
      <c r="H3834" t="s">
        <v>239</v>
      </c>
      <c r="I3834" t="s">
        <v>2116</v>
      </c>
    </row>
    <row r="3835" spans="1:9" x14ac:dyDescent="0.35">
      <c r="A3835">
        <v>690830</v>
      </c>
      <c r="B3835" t="s">
        <v>1295</v>
      </c>
      <c r="C3835" s="1">
        <v>45688</v>
      </c>
      <c r="D3835">
        <v>844</v>
      </c>
      <c r="E3835" t="b">
        <v>0</v>
      </c>
      <c r="F3835">
        <v>549</v>
      </c>
      <c r="G3835" t="s">
        <v>36</v>
      </c>
      <c r="H3835" t="s">
        <v>132</v>
      </c>
      <c r="I3835" t="s">
        <v>2117</v>
      </c>
    </row>
    <row r="3836" spans="1:9" x14ac:dyDescent="0.35">
      <c r="A3836">
        <v>690830</v>
      </c>
      <c r="B3836" t="s">
        <v>1295</v>
      </c>
      <c r="C3836" s="1">
        <v>45688</v>
      </c>
      <c r="D3836">
        <v>844</v>
      </c>
      <c r="E3836" t="b">
        <v>0</v>
      </c>
      <c r="F3836">
        <v>549</v>
      </c>
      <c r="G3836" t="s">
        <v>36</v>
      </c>
      <c r="H3836" t="s">
        <v>124</v>
      </c>
      <c r="I3836" t="s">
        <v>2116</v>
      </c>
    </row>
    <row r="3837" spans="1:9" x14ac:dyDescent="0.35">
      <c r="A3837">
        <v>690830</v>
      </c>
      <c r="B3837" t="s">
        <v>1295</v>
      </c>
      <c r="C3837" s="1">
        <v>45688</v>
      </c>
      <c r="D3837">
        <v>844</v>
      </c>
      <c r="E3837" t="b">
        <v>0</v>
      </c>
      <c r="F3837">
        <v>549</v>
      </c>
      <c r="G3837" t="s">
        <v>36</v>
      </c>
      <c r="H3837" t="s">
        <v>1510</v>
      </c>
      <c r="I3837" t="s">
        <v>2117</v>
      </c>
    </row>
    <row r="3838" spans="1:9" x14ac:dyDescent="0.35">
      <c r="A3838">
        <v>312520</v>
      </c>
      <c r="B3838" t="s">
        <v>1296</v>
      </c>
      <c r="C3838" s="1">
        <v>42822</v>
      </c>
      <c r="D3838">
        <v>836</v>
      </c>
      <c r="E3838" t="b">
        <v>0</v>
      </c>
      <c r="F3838">
        <v>551</v>
      </c>
      <c r="G3838" t="s">
        <v>293</v>
      </c>
      <c r="H3838" t="s">
        <v>49</v>
      </c>
      <c r="I3838" t="s">
        <v>2116</v>
      </c>
    </row>
    <row r="3839" spans="1:9" x14ac:dyDescent="0.35">
      <c r="A3839">
        <v>312520</v>
      </c>
      <c r="B3839" t="s">
        <v>1296</v>
      </c>
      <c r="C3839" s="1">
        <v>42822</v>
      </c>
      <c r="D3839">
        <v>836</v>
      </c>
      <c r="E3839" t="b">
        <v>0</v>
      </c>
      <c r="F3839">
        <v>551</v>
      </c>
      <c r="G3839" t="s">
        <v>293</v>
      </c>
      <c r="H3839" t="s">
        <v>792</v>
      </c>
      <c r="I3839" t="s">
        <v>2116</v>
      </c>
    </row>
    <row r="3840" spans="1:9" x14ac:dyDescent="0.35">
      <c r="A3840">
        <v>312520</v>
      </c>
      <c r="B3840" t="s">
        <v>1296</v>
      </c>
      <c r="C3840" s="1">
        <v>42822</v>
      </c>
      <c r="D3840">
        <v>836</v>
      </c>
      <c r="E3840" t="b">
        <v>0</v>
      </c>
      <c r="F3840">
        <v>551</v>
      </c>
      <c r="G3840" t="s">
        <v>293</v>
      </c>
      <c r="H3840" t="s">
        <v>346</v>
      </c>
      <c r="I3840" t="s">
        <v>2116</v>
      </c>
    </row>
    <row r="3841" spans="1:9" x14ac:dyDescent="0.35">
      <c r="A3841">
        <v>312520</v>
      </c>
      <c r="B3841" t="s">
        <v>1296</v>
      </c>
      <c r="C3841" s="1">
        <v>42822</v>
      </c>
      <c r="D3841">
        <v>836</v>
      </c>
      <c r="E3841" t="b">
        <v>0</v>
      </c>
      <c r="F3841">
        <v>551</v>
      </c>
      <c r="G3841" t="s">
        <v>293</v>
      </c>
      <c r="H3841" t="s">
        <v>239</v>
      </c>
      <c r="I3841" t="s">
        <v>2117</v>
      </c>
    </row>
    <row r="3842" spans="1:9" x14ac:dyDescent="0.35">
      <c r="A3842">
        <v>312520</v>
      </c>
      <c r="B3842" t="s">
        <v>1296</v>
      </c>
      <c r="C3842" s="1">
        <v>42822</v>
      </c>
      <c r="D3842">
        <v>836</v>
      </c>
      <c r="E3842" t="b">
        <v>0</v>
      </c>
      <c r="F3842">
        <v>551</v>
      </c>
      <c r="G3842" t="s">
        <v>293</v>
      </c>
      <c r="H3842" t="s">
        <v>132</v>
      </c>
      <c r="I3842" t="s">
        <v>2117</v>
      </c>
    </row>
    <row r="3843" spans="1:9" x14ac:dyDescent="0.35">
      <c r="A3843">
        <v>312520</v>
      </c>
      <c r="B3843" t="s">
        <v>1296</v>
      </c>
      <c r="C3843" s="1">
        <v>42822</v>
      </c>
      <c r="D3843">
        <v>836</v>
      </c>
      <c r="E3843" t="b">
        <v>0</v>
      </c>
      <c r="F3843">
        <v>551</v>
      </c>
      <c r="G3843" t="s">
        <v>293</v>
      </c>
      <c r="H3843" t="s">
        <v>124</v>
      </c>
      <c r="I3843" t="s">
        <v>2117</v>
      </c>
    </row>
    <row r="3844" spans="1:9" x14ac:dyDescent="0.35">
      <c r="A3844">
        <v>312520</v>
      </c>
      <c r="B3844" t="s">
        <v>1296</v>
      </c>
      <c r="C3844" s="1">
        <v>42822</v>
      </c>
      <c r="D3844">
        <v>836</v>
      </c>
      <c r="E3844" t="b">
        <v>0</v>
      </c>
      <c r="F3844">
        <v>551</v>
      </c>
      <c r="G3844" t="s">
        <v>293</v>
      </c>
      <c r="H3844" t="s">
        <v>1510</v>
      </c>
      <c r="I3844" t="s">
        <v>2117</v>
      </c>
    </row>
    <row r="3845" spans="1:9" x14ac:dyDescent="0.35">
      <c r="A3845">
        <v>1599600</v>
      </c>
      <c r="B3845" t="s">
        <v>1298</v>
      </c>
      <c r="C3845" s="1">
        <v>44777</v>
      </c>
      <c r="D3845">
        <v>832</v>
      </c>
      <c r="E3845" t="b">
        <v>0</v>
      </c>
      <c r="F3845">
        <v>552</v>
      </c>
      <c r="G3845" t="s">
        <v>133</v>
      </c>
      <c r="H3845" t="s">
        <v>49</v>
      </c>
      <c r="I3845" t="s">
        <v>2116</v>
      </c>
    </row>
    <row r="3846" spans="1:9" x14ac:dyDescent="0.35">
      <c r="A3846">
        <v>1599600</v>
      </c>
      <c r="B3846" t="s">
        <v>1298</v>
      </c>
      <c r="C3846" s="1">
        <v>44777</v>
      </c>
      <c r="D3846">
        <v>832</v>
      </c>
      <c r="E3846" t="b">
        <v>0</v>
      </c>
      <c r="F3846">
        <v>552</v>
      </c>
      <c r="G3846" t="s">
        <v>133</v>
      </c>
      <c r="H3846" t="s">
        <v>792</v>
      </c>
      <c r="I3846" t="s">
        <v>2116</v>
      </c>
    </row>
    <row r="3847" spans="1:9" x14ac:dyDescent="0.35">
      <c r="A3847">
        <v>1599600</v>
      </c>
      <c r="B3847" t="s">
        <v>1298</v>
      </c>
      <c r="C3847" s="1">
        <v>44777</v>
      </c>
      <c r="D3847">
        <v>832</v>
      </c>
      <c r="E3847" t="b">
        <v>0</v>
      </c>
      <c r="F3847">
        <v>552</v>
      </c>
      <c r="G3847" t="s">
        <v>133</v>
      </c>
      <c r="H3847" t="s">
        <v>346</v>
      </c>
      <c r="I3847" t="s">
        <v>2117</v>
      </c>
    </row>
    <row r="3848" spans="1:9" x14ac:dyDescent="0.35">
      <c r="A3848">
        <v>1599600</v>
      </c>
      <c r="B3848" t="s">
        <v>1298</v>
      </c>
      <c r="C3848" s="1">
        <v>44777</v>
      </c>
      <c r="D3848">
        <v>832</v>
      </c>
      <c r="E3848" t="b">
        <v>0</v>
      </c>
      <c r="F3848">
        <v>552</v>
      </c>
      <c r="G3848" t="s">
        <v>133</v>
      </c>
      <c r="H3848" t="s">
        <v>239</v>
      </c>
      <c r="I3848" t="s">
        <v>2117</v>
      </c>
    </row>
    <row r="3849" spans="1:9" x14ac:dyDescent="0.35">
      <c r="A3849">
        <v>1599600</v>
      </c>
      <c r="B3849" t="s">
        <v>1298</v>
      </c>
      <c r="C3849" s="1">
        <v>44777</v>
      </c>
      <c r="D3849">
        <v>832</v>
      </c>
      <c r="E3849" t="b">
        <v>0</v>
      </c>
      <c r="F3849">
        <v>552</v>
      </c>
      <c r="G3849" t="s">
        <v>133</v>
      </c>
      <c r="H3849" t="s">
        <v>132</v>
      </c>
      <c r="I3849" t="s">
        <v>2117</v>
      </c>
    </row>
    <row r="3850" spans="1:9" x14ac:dyDescent="0.35">
      <c r="A3850">
        <v>1599600</v>
      </c>
      <c r="B3850" t="s">
        <v>1298</v>
      </c>
      <c r="C3850" s="1">
        <v>44777</v>
      </c>
      <c r="D3850">
        <v>832</v>
      </c>
      <c r="E3850" t="b">
        <v>0</v>
      </c>
      <c r="F3850">
        <v>552</v>
      </c>
      <c r="G3850" t="s">
        <v>133</v>
      </c>
      <c r="H3850" t="s">
        <v>124</v>
      </c>
      <c r="I3850" t="s">
        <v>2116</v>
      </c>
    </row>
    <row r="3851" spans="1:9" x14ac:dyDescent="0.35">
      <c r="A3851">
        <v>1599600</v>
      </c>
      <c r="B3851" t="s">
        <v>1298</v>
      </c>
      <c r="C3851" s="1">
        <v>44777</v>
      </c>
      <c r="D3851">
        <v>832</v>
      </c>
      <c r="E3851" t="b">
        <v>0</v>
      </c>
      <c r="F3851">
        <v>552</v>
      </c>
      <c r="G3851" t="s">
        <v>133</v>
      </c>
      <c r="H3851" t="s">
        <v>1510</v>
      </c>
      <c r="I3851" t="s">
        <v>2117</v>
      </c>
    </row>
    <row r="3852" spans="1:9" x14ac:dyDescent="0.35">
      <c r="A3852">
        <v>1501750</v>
      </c>
      <c r="B3852" t="s">
        <v>1301</v>
      </c>
      <c r="C3852" s="1">
        <v>45212</v>
      </c>
      <c r="D3852">
        <v>827</v>
      </c>
      <c r="E3852" t="b">
        <v>0</v>
      </c>
      <c r="F3852">
        <v>553</v>
      </c>
      <c r="G3852" t="s">
        <v>833</v>
      </c>
      <c r="H3852" t="s">
        <v>49</v>
      </c>
      <c r="I3852" t="s">
        <v>2116</v>
      </c>
    </row>
    <row r="3853" spans="1:9" x14ac:dyDescent="0.35">
      <c r="A3853">
        <v>1501750</v>
      </c>
      <c r="B3853" t="s">
        <v>1301</v>
      </c>
      <c r="C3853" s="1">
        <v>45212</v>
      </c>
      <c r="D3853">
        <v>827</v>
      </c>
      <c r="E3853" t="b">
        <v>0</v>
      </c>
      <c r="F3853">
        <v>553</v>
      </c>
      <c r="G3853" t="s">
        <v>833</v>
      </c>
      <c r="H3853" t="s">
        <v>792</v>
      </c>
      <c r="I3853" t="s">
        <v>2117</v>
      </c>
    </row>
    <row r="3854" spans="1:9" x14ac:dyDescent="0.35">
      <c r="A3854">
        <v>1501750</v>
      </c>
      <c r="B3854" t="s">
        <v>1301</v>
      </c>
      <c r="C3854" s="1">
        <v>45212</v>
      </c>
      <c r="D3854">
        <v>827</v>
      </c>
      <c r="E3854" t="b">
        <v>0</v>
      </c>
      <c r="F3854">
        <v>553</v>
      </c>
      <c r="G3854" t="s">
        <v>833</v>
      </c>
      <c r="H3854" t="s">
        <v>346</v>
      </c>
      <c r="I3854" t="s">
        <v>2116</v>
      </c>
    </row>
    <row r="3855" spans="1:9" x14ac:dyDescent="0.35">
      <c r="A3855">
        <v>1501750</v>
      </c>
      <c r="B3855" t="s">
        <v>1301</v>
      </c>
      <c r="C3855" s="1">
        <v>45212</v>
      </c>
      <c r="D3855">
        <v>827</v>
      </c>
      <c r="E3855" t="b">
        <v>0</v>
      </c>
      <c r="F3855">
        <v>553</v>
      </c>
      <c r="G3855" t="s">
        <v>833</v>
      </c>
      <c r="H3855" t="s">
        <v>239</v>
      </c>
      <c r="I3855" t="s">
        <v>2117</v>
      </c>
    </row>
    <row r="3856" spans="1:9" x14ac:dyDescent="0.35">
      <c r="A3856">
        <v>1501750</v>
      </c>
      <c r="B3856" t="s">
        <v>1301</v>
      </c>
      <c r="C3856" s="1">
        <v>45212</v>
      </c>
      <c r="D3856">
        <v>827</v>
      </c>
      <c r="E3856" t="b">
        <v>0</v>
      </c>
      <c r="F3856">
        <v>553</v>
      </c>
      <c r="G3856" t="s">
        <v>833</v>
      </c>
      <c r="H3856" t="s">
        <v>132</v>
      </c>
      <c r="I3856" t="s">
        <v>2116</v>
      </c>
    </row>
    <row r="3857" spans="1:9" x14ac:dyDescent="0.35">
      <c r="A3857">
        <v>1501750</v>
      </c>
      <c r="B3857" t="s">
        <v>1301</v>
      </c>
      <c r="C3857" s="1">
        <v>45212</v>
      </c>
      <c r="D3857">
        <v>827</v>
      </c>
      <c r="E3857" t="b">
        <v>0</v>
      </c>
      <c r="F3857">
        <v>553</v>
      </c>
      <c r="G3857" t="s">
        <v>833</v>
      </c>
      <c r="H3857" t="s">
        <v>124</v>
      </c>
      <c r="I3857" t="s">
        <v>2117</v>
      </c>
    </row>
    <row r="3858" spans="1:9" x14ac:dyDescent="0.35">
      <c r="A3858">
        <v>1501750</v>
      </c>
      <c r="B3858" t="s">
        <v>1301</v>
      </c>
      <c r="C3858" s="1">
        <v>45212</v>
      </c>
      <c r="D3858">
        <v>827</v>
      </c>
      <c r="E3858" t="b">
        <v>0</v>
      </c>
      <c r="F3858">
        <v>553</v>
      </c>
      <c r="G3858" t="s">
        <v>833</v>
      </c>
      <c r="H3858" t="s">
        <v>1510</v>
      </c>
      <c r="I3858" t="s">
        <v>2117</v>
      </c>
    </row>
    <row r="3859" spans="1:9" x14ac:dyDescent="0.35">
      <c r="A3859">
        <v>920490</v>
      </c>
      <c r="B3859" t="s">
        <v>1302</v>
      </c>
      <c r="C3859" s="1">
        <v>43405</v>
      </c>
      <c r="D3859">
        <v>826</v>
      </c>
      <c r="E3859" t="b">
        <v>0</v>
      </c>
      <c r="F3859">
        <v>554</v>
      </c>
      <c r="G3859" t="s">
        <v>110</v>
      </c>
      <c r="H3859" t="s">
        <v>49</v>
      </c>
      <c r="I3859" t="s">
        <v>2117</v>
      </c>
    </row>
    <row r="3860" spans="1:9" x14ac:dyDescent="0.35">
      <c r="A3860">
        <v>920490</v>
      </c>
      <c r="B3860" t="s">
        <v>1302</v>
      </c>
      <c r="C3860" s="1">
        <v>43405</v>
      </c>
      <c r="D3860">
        <v>826</v>
      </c>
      <c r="E3860" t="b">
        <v>0</v>
      </c>
      <c r="F3860">
        <v>554</v>
      </c>
      <c r="G3860" t="s">
        <v>110</v>
      </c>
      <c r="H3860" t="s">
        <v>792</v>
      </c>
      <c r="I3860" t="s">
        <v>2117</v>
      </c>
    </row>
    <row r="3861" spans="1:9" x14ac:dyDescent="0.35">
      <c r="A3861">
        <v>920490</v>
      </c>
      <c r="B3861" t="s">
        <v>1302</v>
      </c>
      <c r="C3861" s="1">
        <v>43405</v>
      </c>
      <c r="D3861">
        <v>826</v>
      </c>
      <c r="E3861" t="b">
        <v>0</v>
      </c>
      <c r="F3861">
        <v>554</v>
      </c>
      <c r="G3861" t="s">
        <v>110</v>
      </c>
      <c r="H3861" t="s">
        <v>346</v>
      </c>
      <c r="I3861" t="s">
        <v>2117</v>
      </c>
    </row>
    <row r="3862" spans="1:9" x14ac:dyDescent="0.35">
      <c r="A3862">
        <v>920490</v>
      </c>
      <c r="B3862" t="s">
        <v>1302</v>
      </c>
      <c r="C3862" s="1">
        <v>43405</v>
      </c>
      <c r="D3862">
        <v>826</v>
      </c>
      <c r="E3862" t="b">
        <v>0</v>
      </c>
      <c r="F3862">
        <v>554</v>
      </c>
      <c r="G3862" t="s">
        <v>110</v>
      </c>
      <c r="H3862" t="s">
        <v>239</v>
      </c>
      <c r="I3862" t="s">
        <v>2117</v>
      </c>
    </row>
    <row r="3863" spans="1:9" x14ac:dyDescent="0.35">
      <c r="A3863">
        <v>920490</v>
      </c>
      <c r="B3863" t="s">
        <v>1302</v>
      </c>
      <c r="C3863" s="1">
        <v>43405</v>
      </c>
      <c r="D3863">
        <v>826</v>
      </c>
      <c r="E3863" t="b">
        <v>0</v>
      </c>
      <c r="F3863">
        <v>554</v>
      </c>
      <c r="G3863" t="s">
        <v>110</v>
      </c>
      <c r="H3863" t="s">
        <v>132</v>
      </c>
      <c r="I3863" t="s">
        <v>2117</v>
      </c>
    </row>
    <row r="3864" spans="1:9" x14ac:dyDescent="0.35">
      <c r="A3864">
        <v>920490</v>
      </c>
      <c r="B3864" t="s">
        <v>1302</v>
      </c>
      <c r="C3864" s="1">
        <v>43405</v>
      </c>
      <c r="D3864">
        <v>826</v>
      </c>
      <c r="E3864" t="b">
        <v>0</v>
      </c>
      <c r="F3864">
        <v>554</v>
      </c>
      <c r="G3864" t="s">
        <v>110</v>
      </c>
      <c r="H3864" t="s">
        <v>124</v>
      </c>
      <c r="I3864" t="s">
        <v>2117</v>
      </c>
    </row>
    <row r="3865" spans="1:9" x14ac:dyDescent="0.35">
      <c r="A3865">
        <v>920490</v>
      </c>
      <c r="B3865" t="s">
        <v>1302</v>
      </c>
      <c r="C3865" s="1">
        <v>43405</v>
      </c>
      <c r="D3865">
        <v>826</v>
      </c>
      <c r="E3865" t="b">
        <v>0</v>
      </c>
      <c r="F3865">
        <v>554</v>
      </c>
      <c r="G3865" t="s">
        <v>110</v>
      </c>
      <c r="H3865" t="s">
        <v>1510</v>
      </c>
      <c r="I3865" t="s">
        <v>2117</v>
      </c>
    </row>
    <row r="3866" spans="1:9" x14ac:dyDescent="0.35">
      <c r="A3866">
        <v>787480</v>
      </c>
      <c r="B3866" t="s">
        <v>1304</v>
      </c>
      <c r="C3866" s="1">
        <v>43564</v>
      </c>
      <c r="D3866">
        <v>826</v>
      </c>
      <c r="E3866" t="b">
        <v>0</v>
      </c>
      <c r="F3866">
        <v>554</v>
      </c>
      <c r="G3866" t="s">
        <v>40</v>
      </c>
      <c r="H3866" t="s">
        <v>49</v>
      </c>
      <c r="I3866" t="s">
        <v>2117</v>
      </c>
    </row>
    <row r="3867" spans="1:9" x14ac:dyDescent="0.35">
      <c r="A3867">
        <v>787480</v>
      </c>
      <c r="B3867" t="s">
        <v>1304</v>
      </c>
      <c r="C3867" s="1">
        <v>43564</v>
      </c>
      <c r="D3867">
        <v>826</v>
      </c>
      <c r="E3867" t="b">
        <v>0</v>
      </c>
      <c r="F3867">
        <v>554</v>
      </c>
      <c r="G3867" t="s">
        <v>40</v>
      </c>
      <c r="H3867" t="s">
        <v>792</v>
      </c>
      <c r="I3867" t="s">
        <v>2117</v>
      </c>
    </row>
    <row r="3868" spans="1:9" x14ac:dyDescent="0.35">
      <c r="A3868">
        <v>787480</v>
      </c>
      <c r="B3868" t="s">
        <v>1304</v>
      </c>
      <c r="C3868" s="1">
        <v>43564</v>
      </c>
      <c r="D3868">
        <v>826</v>
      </c>
      <c r="E3868" t="b">
        <v>0</v>
      </c>
      <c r="F3868">
        <v>554</v>
      </c>
      <c r="G3868" t="s">
        <v>40</v>
      </c>
      <c r="H3868" t="s">
        <v>346</v>
      </c>
      <c r="I3868" t="s">
        <v>2116</v>
      </c>
    </row>
    <row r="3869" spans="1:9" x14ac:dyDescent="0.35">
      <c r="A3869">
        <v>787480</v>
      </c>
      <c r="B3869" t="s">
        <v>1304</v>
      </c>
      <c r="C3869" s="1">
        <v>43564</v>
      </c>
      <c r="D3869">
        <v>826</v>
      </c>
      <c r="E3869" t="b">
        <v>0</v>
      </c>
      <c r="F3869">
        <v>554</v>
      </c>
      <c r="G3869" t="s">
        <v>40</v>
      </c>
      <c r="H3869" t="s">
        <v>239</v>
      </c>
      <c r="I3869" t="s">
        <v>2117</v>
      </c>
    </row>
    <row r="3870" spans="1:9" x14ac:dyDescent="0.35">
      <c r="A3870">
        <v>787480</v>
      </c>
      <c r="B3870" t="s">
        <v>1304</v>
      </c>
      <c r="C3870" s="1">
        <v>43564</v>
      </c>
      <c r="D3870">
        <v>826</v>
      </c>
      <c r="E3870" t="b">
        <v>0</v>
      </c>
      <c r="F3870">
        <v>554</v>
      </c>
      <c r="G3870" t="s">
        <v>40</v>
      </c>
      <c r="H3870" t="s">
        <v>132</v>
      </c>
      <c r="I3870" t="s">
        <v>2117</v>
      </c>
    </row>
    <row r="3871" spans="1:9" x14ac:dyDescent="0.35">
      <c r="A3871">
        <v>787480</v>
      </c>
      <c r="B3871" t="s">
        <v>1304</v>
      </c>
      <c r="C3871" s="1">
        <v>43564</v>
      </c>
      <c r="D3871">
        <v>826</v>
      </c>
      <c r="E3871" t="b">
        <v>0</v>
      </c>
      <c r="F3871">
        <v>554</v>
      </c>
      <c r="G3871" t="s">
        <v>40</v>
      </c>
      <c r="H3871" t="s">
        <v>124</v>
      </c>
      <c r="I3871" t="s">
        <v>2117</v>
      </c>
    </row>
    <row r="3872" spans="1:9" x14ac:dyDescent="0.35">
      <c r="A3872">
        <v>787480</v>
      </c>
      <c r="B3872" t="s">
        <v>1304</v>
      </c>
      <c r="C3872" s="1">
        <v>43564</v>
      </c>
      <c r="D3872">
        <v>826</v>
      </c>
      <c r="E3872" t="b">
        <v>0</v>
      </c>
      <c r="F3872">
        <v>554</v>
      </c>
      <c r="G3872" t="s">
        <v>40</v>
      </c>
      <c r="H3872" t="s">
        <v>1510</v>
      </c>
      <c r="I3872" t="s">
        <v>2117</v>
      </c>
    </row>
    <row r="3873" spans="1:9" x14ac:dyDescent="0.35">
      <c r="A3873">
        <v>3511030</v>
      </c>
      <c r="B3873" t="s">
        <v>1306</v>
      </c>
      <c r="C3873" s="1">
        <v>45746</v>
      </c>
      <c r="D3873">
        <v>821</v>
      </c>
      <c r="E3873" t="b">
        <v>0</v>
      </c>
      <c r="F3873">
        <v>556</v>
      </c>
      <c r="G3873" t="s">
        <v>110</v>
      </c>
      <c r="H3873" t="s">
        <v>49</v>
      </c>
      <c r="I3873" t="s">
        <v>2117</v>
      </c>
    </row>
    <row r="3874" spans="1:9" x14ac:dyDescent="0.35">
      <c r="A3874">
        <v>3511030</v>
      </c>
      <c r="B3874" t="s">
        <v>1306</v>
      </c>
      <c r="C3874" s="1">
        <v>45746</v>
      </c>
      <c r="D3874">
        <v>821</v>
      </c>
      <c r="E3874" t="b">
        <v>0</v>
      </c>
      <c r="F3874">
        <v>556</v>
      </c>
      <c r="G3874" t="s">
        <v>110</v>
      </c>
      <c r="H3874" t="s">
        <v>792</v>
      </c>
      <c r="I3874" t="s">
        <v>2116</v>
      </c>
    </row>
    <row r="3875" spans="1:9" x14ac:dyDescent="0.35">
      <c r="A3875">
        <v>3511030</v>
      </c>
      <c r="B3875" t="s">
        <v>1306</v>
      </c>
      <c r="C3875" s="1">
        <v>45746</v>
      </c>
      <c r="D3875">
        <v>821</v>
      </c>
      <c r="E3875" t="b">
        <v>0</v>
      </c>
      <c r="F3875">
        <v>556</v>
      </c>
      <c r="G3875" t="s">
        <v>110</v>
      </c>
      <c r="H3875" t="s">
        <v>346</v>
      </c>
      <c r="I3875" t="s">
        <v>2117</v>
      </c>
    </row>
    <row r="3876" spans="1:9" x14ac:dyDescent="0.35">
      <c r="A3876">
        <v>3511030</v>
      </c>
      <c r="B3876" t="s">
        <v>1306</v>
      </c>
      <c r="C3876" s="1">
        <v>45746</v>
      </c>
      <c r="D3876">
        <v>821</v>
      </c>
      <c r="E3876" t="b">
        <v>0</v>
      </c>
      <c r="F3876">
        <v>556</v>
      </c>
      <c r="G3876" t="s">
        <v>110</v>
      </c>
      <c r="H3876" t="s">
        <v>239</v>
      </c>
      <c r="I3876" t="s">
        <v>2117</v>
      </c>
    </row>
    <row r="3877" spans="1:9" x14ac:dyDescent="0.35">
      <c r="A3877">
        <v>3511030</v>
      </c>
      <c r="B3877" t="s">
        <v>1306</v>
      </c>
      <c r="C3877" s="1">
        <v>45746</v>
      </c>
      <c r="D3877">
        <v>821</v>
      </c>
      <c r="E3877" t="b">
        <v>0</v>
      </c>
      <c r="F3877">
        <v>556</v>
      </c>
      <c r="G3877" t="s">
        <v>110</v>
      </c>
      <c r="H3877" t="s">
        <v>132</v>
      </c>
      <c r="I3877" t="s">
        <v>2117</v>
      </c>
    </row>
    <row r="3878" spans="1:9" x14ac:dyDescent="0.35">
      <c r="A3878">
        <v>3511030</v>
      </c>
      <c r="B3878" t="s">
        <v>1306</v>
      </c>
      <c r="C3878" s="1">
        <v>45746</v>
      </c>
      <c r="D3878">
        <v>821</v>
      </c>
      <c r="E3878" t="b">
        <v>0</v>
      </c>
      <c r="F3878">
        <v>556</v>
      </c>
      <c r="G3878" t="s">
        <v>110</v>
      </c>
      <c r="H3878" t="s">
        <v>124</v>
      </c>
      <c r="I3878" t="s">
        <v>2117</v>
      </c>
    </row>
    <row r="3879" spans="1:9" x14ac:dyDescent="0.35">
      <c r="A3879">
        <v>3511030</v>
      </c>
      <c r="B3879" t="s">
        <v>1306</v>
      </c>
      <c r="C3879" s="1">
        <v>45746</v>
      </c>
      <c r="D3879">
        <v>821</v>
      </c>
      <c r="E3879" t="b">
        <v>0</v>
      </c>
      <c r="F3879">
        <v>556</v>
      </c>
      <c r="G3879" t="s">
        <v>110</v>
      </c>
      <c r="H3879" t="s">
        <v>1510</v>
      </c>
      <c r="I3879" t="s">
        <v>2117</v>
      </c>
    </row>
    <row r="3880" spans="1:9" x14ac:dyDescent="0.35">
      <c r="A3880">
        <v>397900</v>
      </c>
      <c r="B3880" t="s">
        <v>1307</v>
      </c>
      <c r="C3880" s="1">
        <v>42943</v>
      </c>
      <c r="D3880">
        <v>809</v>
      </c>
      <c r="E3880" t="b">
        <v>1</v>
      </c>
      <c r="F3880">
        <v>557</v>
      </c>
      <c r="G3880" t="s">
        <v>110</v>
      </c>
      <c r="H3880" t="s">
        <v>49</v>
      </c>
      <c r="I3880" t="s">
        <v>2117</v>
      </c>
    </row>
    <row r="3881" spans="1:9" x14ac:dyDescent="0.35">
      <c r="A3881">
        <v>397900</v>
      </c>
      <c r="B3881" t="s">
        <v>1307</v>
      </c>
      <c r="C3881" s="1">
        <v>42943</v>
      </c>
      <c r="D3881">
        <v>809</v>
      </c>
      <c r="E3881" t="b">
        <v>1</v>
      </c>
      <c r="F3881">
        <v>557</v>
      </c>
      <c r="G3881" t="s">
        <v>110</v>
      </c>
      <c r="H3881" t="s">
        <v>792</v>
      </c>
      <c r="I3881" t="s">
        <v>2116</v>
      </c>
    </row>
    <row r="3882" spans="1:9" x14ac:dyDescent="0.35">
      <c r="A3882">
        <v>397900</v>
      </c>
      <c r="B3882" t="s">
        <v>1307</v>
      </c>
      <c r="C3882" s="1">
        <v>42943</v>
      </c>
      <c r="D3882">
        <v>809</v>
      </c>
      <c r="E3882" t="b">
        <v>1</v>
      </c>
      <c r="F3882">
        <v>557</v>
      </c>
      <c r="G3882" t="s">
        <v>110</v>
      </c>
      <c r="H3882" t="s">
        <v>346</v>
      </c>
      <c r="I3882" t="s">
        <v>2116</v>
      </c>
    </row>
    <row r="3883" spans="1:9" x14ac:dyDescent="0.35">
      <c r="A3883">
        <v>397900</v>
      </c>
      <c r="B3883" t="s">
        <v>1307</v>
      </c>
      <c r="C3883" s="1">
        <v>42943</v>
      </c>
      <c r="D3883">
        <v>809</v>
      </c>
      <c r="E3883" t="b">
        <v>1</v>
      </c>
      <c r="F3883">
        <v>557</v>
      </c>
      <c r="G3883" t="s">
        <v>110</v>
      </c>
      <c r="H3883" t="s">
        <v>239</v>
      </c>
      <c r="I3883" t="s">
        <v>2116</v>
      </c>
    </row>
    <row r="3884" spans="1:9" x14ac:dyDescent="0.35">
      <c r="A3884">
        <v>397900</v>
      </c>
      <c r="B3884" t="s">
        <v>1307</v>
      </c>
      <c r="C3884" s="1">
        <v>42943</v>
      </c>
      <c r="D3884">
        <v>809</v>
      </c>
      <c r="E3884" t="b">
        <v>1</v>
      </c>
      <c r="F3884">
        <v>557</v>
      </c>
      <c r="G3884" t="s">
        <v>110</v>
      </c>
      <c r="H3884" t="s">
        <v>132</v>
      </c>
      <c r="I3884" t="s">
        <v>2117</v>
      </c>
    </row>
    <row r="3885" spans="1:9" x14ac:dyDescent="0.35">
      <c r="A3885">
        <v>397900</v>
      </c>
      <c r="B3885" t="s">
        <v>1307</v>
      </c>
      <c r="C3885" s="1">
        <v>42943</v>
      </c>
      <c r="D3885">
        <v>809</v>
      </c>
      <c r="E3885" t="b">
        <v>1</v>
      </c>
      <c r="F3885">
        <v>557</v>
      </c>
      <c r="G3885" t="s">
        <v>110</v>
      </c>
      <c r="H3885" t="s">
        <v>124</v>
      </c>
      <c r="I3885" t="s">
        <v>2116</v>
      </c>
    </row>
    <row r="3886" spans="1:9" x14ac:dyDescent="0.35">
      <c r="A3886">
        <v>397900</v>
      </c>
      <c r="B3886" t="s">
        <v>1307</v>
      </c>
      <c r="C3886" s="1">
        <v>42943</v>
      </c>
      <c r="D3886">
        <v>809</v>
      </c>
      <c r="E3886" t="b">
        <v>1</v>
      </c>
      <c r="F3886">
        <v>557</v>
      </c>
      <c r="G3886" t="s">
        <v>110</v>
      </c>
      <c r="H3886" t="s">
        <v>1510</v>
      </c>
      <c r="I3886" t="s">
        <v>2116</v>
      </c>
    </row>
    <row r="3887" spans="1:9" x14ac:dyDescent="0.35">
      <c r="A3887">
        <v>1817800</v>
      </c>
      <c r="B3887" t="s">
        <v>1310</v>
      </c>
      <c r="C3887" s="1">
        <v>45804</v>
      </c>
      <c r="D3887">
        <v>808</v>
      </c>
      <c r="E3887" t="b">
        <v>0</v>
      </c>
      <c r="F3887">
        <v>558</v>
      </c>
      <c r="G3887" t="s">
        <v>25</v>
      </c>
      <c r="H3887" t="s">
        <v>49</v>
      </c>
      <c r="I3887" t="s">
        <v>2117</v>
      </c>
    </row>
    <row r="3888" spans="1:9" x14ac:dyDescent="0.35">
      <c r="A3888">
        <v>1817800</v>
      </c>
      <c r="B3888" t="s">
        <v>1310</v>
      </c>
      <c r="C3888" s="1">
        <v>45804</v>
      </c>
      <c r="D3888">
        <v>808</v>
      </c>
      <c r="E3888" t="b">
        <v>0</v>
      </c>
      <c r="F3888">
        <v>558</v>
      </c>
      <c r="G3888" t="s">
        <v>25</v>
      </c>
      <c r="H3888" t="s">
        <v>792</v>
      </c>
      <c r="I3888" t="s">
        <v>2116</v>
      </c>
    </row>
    <row r="3889" spans="1:9" x14ac:dyDescent="0.35">
      <c r="A3889">
        <v>1817800</v>
      </c>
      <c r="B3889" t="s">
        <v>1310</v>
      </c>
      <c r="C3889" s="1">
        <v>45804</v>
      </c>
      <c r="D3889">
        <v>808</v>
      </c>
      <c r="E3889" t="b">
        <v>0</v>
      </c>
      <c r="F3889">
        <v>558</v>
      </c>
      <c r="G3889" t="s">
        <v>25</v>
      </c>
      <c r="H3889" t="s">
        <v>346</v>
      </c>
      <c r="I3889" t="s">
        <v>2116</v>
      </c>
    </row>
    <row r="3890" spans="1:9" x14ac:dyDescent="0.35">
      <c r="A3890">
        <v>1817800</v>
      </c>
      <c r="B3890" t="s">
        <v>1310</v>
      </c>
      <c r="C3890" s="1">
        <v>45804</v>
      </c>
      <c r="D3890">
        <v>808</v>
      </c>
      <c r="E3890" t="b">
        <v>0</v>
      </c>
      <c r="F3890">
        <v>558</v>
      </c>
      <c r="G3890" t="s">
        <v>25</v>
      </c>
      <c r="H3890" t="s">
        <v>239</v>
      </c>
      <c r="I3890" t="s">
        <v>2116</v>
      </c>
    </row>
    <row r="3891" spans="1:9" x14ac:dyDescent="0.35">
      <c r="A3891">
        <v>1817800</v>
      </c>
      <c r="B3891" t="s">
        <v>1310</v>
      </c>
      <c r="C3891" s="1">
        <v>45804</v>
      </c>
      <c r="D3891">
        <v>808</v>
      </c>
      <c r="E3891" t="b">
        <v>0</v>
      </c>
      <c r="F3891">
        <v>558</v>
      </c>
      <c r="G3891" t="s">
        <v>25</v>
      </c>
      <c r="H3891" t="s">
        <v>132</v>
      </c>
      <c r="I3891" t="s">
        <v>2117</v>
      </c>
    </row>
    <row r="3892" spans="1:9" x14ac:dyDescent="0.35">
      <c r="A3892">
        <v>1817800</v>
      </c>
      <c r="B3892" t="s">
        <v>1310</v>
      </c>
      <c r="C3892" s="1">
        <v>45804</v>
      </c>
      <c r="D3892">
        <v>808</v>
      </c>
      <c r="E3892" t="b">
        <v>0</v>
      </c>
      <c r="F3892">
        <v>558</v>
      </c>
      <c r="G3892" t="s">
        <v>25</v>
      </c>
      <c r="H3892" t="s">
        <v>124</v>
      </c>
      <c r="I3892" t="s">
        <v>2116</v>
      </c>
    </row>
    <row r="3893" spans="1:9" x14ac:dyDescent="0.35">
      <c r="A3893">
        <v>1817800</v>
      </c>
      <c r="B3893" t="s">
        <v>1310</v>
      </c>
      <c r="C3893" s="1">
        <v>45804</v>
      </c>
      <c r="D3893">
        <v>808</v>
      </c>
      <c r="E3893" t="b">
        <v>0</v>
      </c>
      <c r="F3893">
        <v>558</v>
      </c>
      <c r="G3893" t="s">
        <v>25</v>
      </c>
      <c r="H3893" t="s">
        <v>1510</v>
      </c>
      <c r="I3893" t="s">
        <v>2117</v>
      </c>
    </row>
    <row r="3894" spans="1:9" x14ac:dyDescent="0.35">
      <c r="A3894">
        <v>1465460</v>
      </c>
      <c r="B3894" t="s">
        <v>1312</v>
      </c>
      <c r="C3894" s="1">
        <v>45393</v>
      </c>
      <c r="D3894">
        <v>806</v>
      </c>
      <c r="E3894" t="b">
        <v>0</v>
      </c>
      <c r="F3894">
        <v>559</v>
      </c>
      <c r="G3894" t="s">
        <v>53</v>
      </c>
      <c r="H3894" t="s">
        <v>49</v>
      </c>
      <c r="I3894" t="s">
        <v>2116</v>
      </c>
    </row>
    <row r="3895" spans="1:9" x14ac:dyDescent="0.35">
      <c r="A3895">
        <v>1465460</v>
      </c>
      <c r="B3895" t="s">
        <v>1312</v>
      </c>
      <c r="C3895" s="1">
        <v>45393</v>
      </c>
      <c r="D3895">
        <v>806</v>
      </c>
      <c r="E3895" t="b">
        <v>0</v>
      </c>
      <c r="F3895">
        <v>559</v>
      </c>
      <c r="G3895" t="s">
        <v>53</v>
      </c>
      <c r="H3895" t="s">
        <v>792</v>
      </c>
      <c r="I3895" t="s">
        <v>2116</v>
      </c>
    </row>
    <row r="3896" spans="1:9" x14ac:dyDescent="0.35">
      <c r="A3896">
        <v>1465460</v>
      </c>
      <c r="B3896" t="s">
        <v>1312</v>
      </c>
      <c r="C3896" s="1">
        <v>45393</v>
      </c>
      <c r="D3896">
        <v>806</v>
      </c>
      <c r="E3896" t="b">
        <v>0</v>
      </c>
      <c r="F3896">
        <v>559</v>
      </c>
      <c r="G3896" t="s">
        <v>53</v>
      </c>
      <c r="H3896" t="s">
        <v>346</v>
      </c>
      <c r="I3896" t="s">
        <v>2117</v>
      </c>
    </row>
    <row r="3897" spans="1:9" x14ac:dyDescent="0.35">
      <c r="A3897">
        <v>1465460</v>
      </c>
      <c r="B3897" t="s">
        <v>1312</v>
      </c>
      <c r="C3897" s="1">
        <v>45393</v>
      </c>
      <c r="D3897">
        <v>806</v>
      </c>
      <c r="E3897" t="b">
        <v>0</v>
      </c>
      <c r="F3897">
        <v>559</v>
      </c>
      <c r="G3897" t="s">
        <v>53</v>
      </c>
      <c r="H3897" t="s">
        <v>239</v>
      </c>
      <c r="I3897" t="s">
        <v>2116</v>
      </c>
    </row>
    <row r="3898" spans="1:9" x14ac:dyDescent="0.35">
      <c r="A3898">
        <v>1465460</v>
      </c>
      <c r="B3898" t="s">
        <v>1312</v>
      </c>
      <c r="C3898" s="1">
        <v>45393</v>
      </c>
      <c r="D3898">
        <v>806</v>
      </c>
      <c r="E3898" t="b">
        <v>0</v>
      </c>
      <c r="F3898">
        <v>559</v>
      </c>
      <c r="G3898" t="s">
        <v>53</v>
      </c>
      <c r="H3898" t="s">
        <v>132</v>
      </c>
      <c r="I3898" t="s">
        <v>2117</v>
      </c>
    </row>
    <row r="3899" spans="1:9" x14ac:dyDescent="0.35">
      <c r="A3899">
        <v>1465460</v>
      </c>
      <c r="B3899" t="s">
        <v>1312</v>
      </c>
      <c r="C3899" s="1">
        <v>45393</v>
      </c>
      <c r="D3899">
        <v>806</v>
      </c>
      <c r="E3899" t="b">
        <v>0</v>
      </c>
      <c r="F3899">
        <v>559</v>
      </c>
      <c r="G3899" t="s">
        <v>53</v>
      </c>
      <c r="H3899" t="s">
        <v>124</v>
      </c>
      <c r="I3899" t="s">
        <v>2116</v>
      </c>
    </row>
    <row r="3900" spans="1:9" x14ac:dyDescent="0.35">
      <c r="A3900">
        <v>1465460</v>
      </c>
      <c r="B3900" t="s">
        <v>1312</v>
      </c>
      <c r="C3900" s="1">
        <v>45393</v>
      </c>
      <c r="D3900">
        <v>806</v>
      </c>
      <c r="E3900" t="b">
        <v>0</v>
      </c>
      <c r="F3900">
        <v>559</v>
      </c>
      <c r="G3900" t="s">
        <v>53</v>
      </c>
      <c r="H3900" t="s">
        <v>1510</v>
      </c>
      <c r="I3900" t="s">
        <v>2117</v>
      </c>
    </row>
    <row r="3901" spans="1:9" x14ac:dyDescent="0.35">
      <c r="A3901">
        <v>1845910</v>
      </c>
      <c r="B3901" t="s">
        <v>1314</v>
      </c>
      <c r="C3901" s="1">
        <v>45596</v>
      </c>
      <c r="D3901">
        <v>804</v>
      </c>
      <c r="E3901" t="b">
        <v>0</v>
      </c>
      <c r="F3901">
        <v>560</v>
      </c>
      <c r="G3901" t="s">
        <v>119</v>
      </c>
      <c r="H3901" t="s">
        <v>49</v>
      </c>
      <c r="I3901" t="s">
        <v>2116</v>
      </c>
    </row>
    <row r="3902" spans="1:9" x14ac:dyDescent="0.35">
      <c r="A3902">
        <v>1845910</v>
      </c>
      <c r="B3902" t="s">
        <v>1314</v>
      </c>
      <c r="C3902" s="1">
        <v>45596</v>
      </c>
      <c r="D3902">
        <v>804</v>
      </c>
      <c r="E3902" t="b">
        <v>0</v>
      </c>
      <c r="F3902">
        <v>560</v>
      </c>
      <c r="G3902" t="s">
        <v>119</v>
      </c>
      <c r="H3902" t="s">
        <v>792</v>
      </c>
      <c r="I3902" t="s">
        <v>2117</v>
      </c>
    </row>
    <row r="3903" spans="1:9" x14ac:dyDescent="0.35">
      <c r="A3903">
        <v>1845910</v>
      </c>
      <c r="B3903" t="s">
        <v>1314</v>
      </c>
      <c r="C3903" s="1">
        <v>45596</v>
      </c>
      <c r="D3903">
        <v>804</v>
      </c>
      <c r="E3903" t="b">
        <v>0</v>
      </c>
      <c r="F3903">
        <v>560</v>
      </c>
      <c r="G3903" t="s">
        <v>119</v>
      </c>
      <c r="H3903" t="s">
        <v>346</v>
      </c>
      <c r="I3903" t="s">
        <v>2116</v>
      </c>
    </row>
    <row r="3904" spans="1:9" x14ac:dyDescent="0.35">
      <c r="A3904">
        <v>1845910</v>
      </c>
      <c r="B3904" t="s">
        <v>1314</v>
      </c>
      <c r="C3904" s="1">
        <v>45596</v>
      </c>
      <c r="D3904">
        <v>804</v>
      </c>
      <c r="E3904" t="b">
        <v>0</v>
      </c>
      <c r="F3904">
        <v>560</v>
      </c>
      <c r="G3904" t="s">
        <v>119</v>
      </c>
      <c r="H3904" t="s">
        <v>239</v>
      </c>
      <c r="I3904" t="s">
        <v>2117</v>
      </c>
    </row>
    <row r="3905" spans="1:9" x14ac:dyDescent="0.35">
      <c r="A3905">
        <v>1845910</v>
      </c>
      <c r="B3905" t="s">
        <v>1314</v>
      </c>
      <c r="C3905" s="1">
        <v>45596</v>
      </c>
      <c r="D3905">
        <v>804</v>
      </c>
      <c r="E3905" t="b">
        <v>0</v>
      </c>
      <c r="F3905">
        <v>560</v>
      </c>
      <c r="G3905" t="s">
        <v>119</v>
      </c>
      <c r="H3905" t="s">
        <v>132</v>
      </c>
      <c r="I3905" t="s">
        <v>2116</v>
      </c>
    </row>
    <row r="3906" spans="1:9" x14ac:dyDescent="0.35">
      <c r="A3906">
        <v>1845910</v>
      </c>
      <c r="B3906" t="s">
        <v>1314</v>
      </c>
      <c r="C3906" s="1">
        <v>45596</v>
      </c>
      <c r="D3906">
        <v>804</v>
      </c>
      <c r="E3906" t="b">
        <v>0</v>
      </c>
      <c r="F3906">
        <v>560</v>
      </c>
      <c r="G3906" t="s">
        <v>119</v>
      </c>
      <c r="H3906" t="s">
        <v>124</v>
      </c>
      <c r="I3906" t="s">
        <v>2116</v>
      </c>
    </row>
    <row r="3907" spans="1:9" x14ac:dyDescent="0.35">
      <c r="A3907">
        <v>1845910</v>
      </c>
      <c r="B3907" t="s">
        <v>1314</v>
      </c>
      <c r="C3907" s="1">
        <v>45596</v>
      </c>
      <c r="D3907">
        <v>804</v>
      </c>
      <c r="E3907" t="b">
        <v>0</v>
      </c>
      <c r="F3907">
        <v>560</v>
      </c>
      <c r="G3907" t="s">
        <v>119</v>
      </c>
      <c r="H3907" t="s">
        <v>1510</v>
      </c>
      <c r="I3907" t="s">
        <v>2117</v>
      </c>
    </row>
    <row r="3908" spans="1:9" x14ac:dyDescent="0.35">
      <c r="A3908">
        <v>266840</v>
      </c>
      <c r="B3908" t="s">
        <v>1317</v>
      </c>
      <c r="C3908" s="1">
        <v>41767</v>
      </c>
      <c r="D3908">
        <v>804</v>
      </c>
      <c r="E3908" t="b">
        <v>0</v>
      </c>
      <c r="F3908">
        <v>560</v>
      </c>
      <c r="G3908" t="s">
        <v>33</v>
      </c>
      <c r="H3908" t="s">
        <v>49</v>
      </c>
      <c r="I3908" t="s">
        <v>2117</v>
      </c>
    </row>
    <row r="3909" spans="1:9" x14ac:dyDescent="0.35">
      <c r="A3909">
        <v>266840</v>
      </c>
      <c r="B3909" t="s">
        <v>1317</v>
      </c>
      <c r="C3909" s="1">
        <v>41767</v>
      </c>
      <c r="D3909">
        <v>804</v>
      </c>
      <c r="E3909" t="b">
        <v>0</v>
      </c>
      <c r="F3909">
        <v>560</v>
      </c>
      <c r="G3909" t="s">
        <v>33</v>
      </c>
      <c r="H3909" t="s">
        <v>792</v>
      </c>
      <c r="I3909" t="s">
        <v>2117</v>
      </c>
    </row>
    <row r="3910" spans="1:9" x14ac:dyDescent="0.35">
      <c r="A3910">
        <v>266840</v>
      </c>
      <c r="B3910" t="s">
        <v>1317</v>
      </c>
      <c r="C3910" s="1">
        <v>41767</v>
      </c>
      <c r="D3910">
        <v>804</v>
      </c>
      <c r="E3910" t="b">
        <v>0</v>
      </c>
      <c r="F3910">
        <v>560</v>
      </c>
      <c r="G3910" t="s">
        <v>33</v>
      </c>
      <c r="H3910" t="s">
        <v>346</v>
      </c>
      <c r="I3910" t="s">
        <v>2117</v>
      </c>
    </row>
    <row r="3911" spans="1:9" x14ac:dyDescent="0.35">
      <c r="A3911">
        <v>266840</v>
      </c>
      <c r="B3911" t="s">
        <v>1317</v>
      </c>
      <c r="C3911" s="1">
        <v>41767</v>
      </c>
      <c r="D3911">
        <v>804</v>
      </c>
      <c r="E3911" t="b">
        <v>0</v>
      </c>
      <c r="F3911">
        <v>560</v>
      </c>
      <c r="G3911" t="s">
        <v>33</v>
      </c>
      <c r="H3911" t="s">
        <v>239</v>
      </c>
      <c r="I3911" t="s">
        <v>2116</v>
      </c>
    </row>
    <row r="3912" spans="1:9" x14ac:dyDescent="0.35">
      <c r="A3912">
        <v>266840</v>
      </c>
      <c r="B3912" t="s">
        <v>1317</v>
      </c>
      <c r="C3912" s="1">
        <v>41767</v>
      </c>
      <c r="D3912">
        <v>804</v>
      </c>
      <c r="E3912" t="b">
        <v>0</v>
      </c>
      <c r="F3912">
        <v>560</v>
      </c>
      <c r="G3912" t="s">
        <v>33</v>
      </c>
      <c r="H3912" t="s">
        <v>132</v>
      </c>
      <c r="I3912" t="s">
        <v>2117</v>
      </c>
    </row>
    <row r="3913" spans="1:9" x14ac:dyDescent="0.35">
      <c r="A3913">
        <v>266840</v>
      </c>
      <c r="B3913" t="s">
        <v>1317</v>
      </c>
      <c r="C3913" s="1">
        <v>41767</v>
      </c>
      <c r="D3913">
        <v>804</v>
      </c>
      <c r="E3913" t="b">
        <v>0</v>
      </c>
      <c r="F3913">
        <v>560</v>
      </c>
      <c r="G3913" t="s">
        <v>33</v>
      </c>
      <c r="H3913" t="s">
        <v>124</v>
      </c>
      <c r="I3913" t="s">
        <v>2116</v>
      </c>
    </row>
    <row r="3914" spans="1:9" x14ac:dyDescent="0.35">
      <c r="A3914">
        <v>266840</v>
      </c>
      <c r="B3914" t="s">
        <v>1317</v>
      </c>
      <c r="C3914" s="1">
        <v>41767</v>
      </c>
      <c r="D3914">
        <v>804</v>
      </c>
      <c r="E3914" t="b">
        <v>0</v>
      </c>
      <c r="F3914">
        <v>560</v>
      </c>
      <c r="G3914" t="s">
        <v>33</v>
      </c>
      <c r="H3914" t="s">
        <v>1510</v>
      </c>
      <c r="I3914" t="s">
        <v>2117</v>
      </c>
    </row>
    <row r="3915" spans="1:9" x14ac:dyDescent="0.35">
      <c r="A3915">
        <v>774801</v>
      </c>
      <c r="B3915" t="s">
        <v>1319</v>
      </c>
      <c r="C3915" s="1">
        <v>45017</v>
      </c>
      <c r="D3915">
        <v>796</v>
      </c>
      <c r="E3915" t="b">
        <v>0</v>
      </c>
      <c r="F3915">
        <v>562</v>
      </c>
      <c r="G3915" t="s">
        <v>513</v>
      </c>
      <c r="H3915" t="s">
        <v>49</v>
      </c>
      <c r="I3915" t="s">
        <v>2116</v>
      </c>
    </row>
    <row r="3916" spans="1:9" x14ac:dyDescent="0.35">
      <c r="A3916">
        <v>774801</v>
      </c>
      <c r="B3916" t="s">
        <v>1319</v>
      </c>
      <c r="C3916" s="1">
        <v>45017</v>
      </c>
      <c r="D3916">
        <v>796</v>
      </c>
      <c r="E3916" t="b">
        <v>0</v>
      </c>
      <c r="F3916">
        <v>562</v>
      </c>
      <c r="G3916" t="s">
        <v>513</v>
      </c>
      <c r="H3916" t="s">
        <v>792</v>
      </c>
      <c r="I3916" t="s">
        <v>2116</v>
      </c>
    </row>
    <row r="3917" spans="1:9" x14ac:dyDescent="0.35">
      <c r="A3917">
        <v>774801</v>
      </c>
      <c r="B3917" t="s">
        <v>1319</v>
      </c>
      <c r="C3917" s="1">
        <v>45017</v>
      </c>
      <c r="D3917">
        <v>796</v>
      </c>
      <c r="E3917" t="b">
        <v>0</v>
      </c>
      <c r="F3917">
        <v>562</v>
      </c>
      <c r="G3917" t="s">
        <v>513</v>
      </c>
      <c r="H3917" t="s">
        <v>346</v>
      </c>
      <c r="I3917" t="s">
        <v>2116</v>
      </c>
    </row>
    <row r="3918" spans="1:9" x14ac:dyDescent="0.35">
      <c r="A3918">
        <v>774801</v>
      </c>
      <c r="B3918" t="s">
        <v>1319</v>
      </c>
      <c r="C3918" s="1">
        <v>45017</v>
      </c>
      <c r="D3918">
        <v>796</v>
      </c>
      <c r="E3918" t="b">
        <v>0</v>
      </c>
      <c r="F3918">
        <v>562</v>
      </c>
      <c r="G3918" t="s">
        <v>513</v>
      </c>
      <c r="H3918" t="s">
        <v>239</v>
      </c>
      <c r="I3918" t="s">
        <v>2117</v>
      </c>
    </row>
    <row r="3919" spans="1:9" x14ac:dyDescent="0.35">
      <c r="A3919">
        <v>774801</v>
      </c>
      <c r="B3919" t="s">
        <v>1319</v>
      </c>
      <c r="C3919" s="1">
        <v>45017</v>
      </c>
      <c r="D3919">
        <v>796</v>
      </c>
      <c r="E3919" t="b">
        <v>0</v>
      </c>
      <c r="F3919">
        <v>562</v>
      </c>
      <c r="G3919" t="s">
        <v>513</v>
      </c>
      <c r="H3919" t="s">
        <v>132</v>
      </c>
      <c r="I3919" t="s">
        <v>2117</v>
      </c>
    </row>
    <row r="3920" spans="1:9" x14ac:dyDescent="0.35">
      <c r="A3920">
        <v>774801</v>
      </c>
      <c r="B3920" t="s">
        <v>1319</v>
      </c>
      <c r="C3920" s="1">
        <v>45017</v>
      </c>
      <c r="D3920">
        <v>796</v>
      </c>
      <c r="E3920" t="b">
        <v>0</v>
      </c>
      <c r="F3920">
        <v>562</v>
      </c>
      <c r="G3920" t="s">
        <v>513</v>
      </c>
      <c r="H3920" t="s">
        <v>124</v>
      </c>
      <c r="I3920" t="s">
        <v>2117</v>
      </c>
    </row>
    <row r="3921" spans="1:9" x14ac:dyDescent="0.35">
      <c r="A3921">
        <v>774801</v>
      </c>
      <c r="B3921" t="s">
        <v>1319</v>
      </c>
      <c r="C3921" s="1">
        <v>45017</v>
      </c>
      <c r="D3921">
        <v>796</v>
      </c>
      <c r="E3921" t="b">
        <v>0</v>
      </c>
      <c r="F3921">
        <v>562</v>
      </c>
      <c r="G3921" t="s">
        <v>513</v>
      </c>
      <c r="H3921" t="s">
        <v>1510</v>
      </c>
      <c r="I3921" t="s">
        <v>2117</v>
      </c>
    </row>
    <row r="3922" spans="1:9" x14ac:dyDescent="0.35">
      <c r="A3922">
        <v>2835570</v>
      </c>
      <c r="B3922" t="s">
        <v>1321</v>
      </c>
      <c r="C3922" s="1">
        <v>45386</v>
      </c>
      <c r="D3922">
        <v>793</v>
      </c>
      <c r="E3922" t="b">
        <v>0</v>
      </c>
      <c r="F3922">
        <v>563</v>
      </c>
      <c r="G3922" t="s">
        <v>14</v>
      </c>
      <c r="H3922" t="s">
        <v>49</v>
      </c>
      <c r="I3922" t="s">
        <v>2116</v>
      </c>
    </row>
    <row r="3923" spans="1:9" x14ac:dyDescent="0.35">
      <c r="A3923">
        <v>2835570</v>
      </c>
      <c r="B3923" t="s">
        <v>1321</v>
      </c>
      <c r="C3923" s="1">
        <v>45386</v>
      </c>
      <c r="D3923">
        <v>793</v>
      </c>
      <c r="E3923" t="b">
        <v>0</v>
      </c>
      <c r="F3923">
        <v>563</v>
      </c>
      <c r="G3923" t="s">
        <v>14</v>
      </c>
      <c r="H3923" t="s">
        <v>792</v>
      </c>
      <c r="I3923" t="s">
        <v>2116</v>
      </c>
    </row>
    <row r="3924" spans="1:9" x14ac:dyDescent="0.35">
      <c r="A3924">
        <v>2835570</v>
      </c>
      <c r="B3924" t="s">
        <v>1321</v>
      </c>
      <c r="C3924" s="1">
        <v>45386</v>
      </c>
      <c r="D3924">
        <v>793</v>
      </c>
      <c r="E3924" t="b">
        <v>0</v>
      </c>
      <c r="F3924">
        <v>563</v>
      </c>
      <c r="G3924" t="s">
        <v>14</v>
      </c>
      <c r="H3924" t="s">
        <v>346</v>
      </c>
      <c r="I3924" t="s">
        <v>2117</v>
      </c>
    </row>
    <row r="3925" spans="1:9" x14ac:dyDescent="0.35">
      <c r="A3925">
        <v>2835570</v>
      </c>
      <c r="B3925" t="s">
        <v>1321</v>
      </c>
      <c r="C3925" s="1">
        <v>45386</v>
      </c>
      <c r="D3925">
        <v>793</v>
      </c>
      <c r="E3925" t="b">
        <v>0</v>
      </c>
      <c r="F3925">
        <v>563</v>
      </c>
      <c r="G3925" t="s">
        <v>14</v>
      </c>
      <c r="H3925" t="s">
        <v>239</v>
      </c>
      <c r="I3925" t="s">
        <v>2116</v>
      </c>
    </row>
    <row r="3926" spans="1:9" x14ac:dyDescent="0.35">
      <c r="A3926">
        <v>2835570</v>
      </c>
      <c r="B3926" t="s">
        <v>1321</v>
      </c>
      <c r="C3926" s="1">
        <v>45386</v>
      </c>
      <c r="D3926">
        <v>793</v>
      </c>
      <c r="E3926" t="b">
        <v>0</v>
      </c>
      <c r="F3926">
        <v>563</v>
      </c>
      <c r="G3926" t="s">
        <v>14</v>
      </c>
      <c r="H3926" t="s">
        <v>132</v>
      </c>
      <c r="I3926" t="s">
        <v>2117</v>
      </c>
    </row>
    <row r="3927" spans="1:9" x14ac:dyDescent="0.35">
      <c r="A3927">
        <v>2835570</v>
      </c>
      <c r="B3927" t="s">
        <v>1321</v>
      </c>
      <c r="C3927" s="1">
        <v>45386</v>
      </c>
      <c r="D3927">
        <v>793</v>
      </c>
      <c r="E3927" t="b">
        <v>0</v>
      </c>
      <c r="F3927">
        <v>563</v>
      </c>
      <c r="G3927" t="s">
        <v>14</v>
      </c>
      <c r="H3927" t="s">
        <v>124</v>
      </c>
      <c r="I3927" t="s">
        <v>2117</v>
      </c>
    </row>
    <row r="3928" spans="1:9" x14ac:dyDescent="0.35">
      <c r="A3928">
        <v>2835570</v>
      </c>
      <c r="B3928" t="s">
        <v>1321</v>
      </c>
      <c r="C3928" s="1">
        <v>45386</v>
      </c>
      <c r="D3928">
        <v>793</v>
      </c>
      <c r="E3928" t="b">
        <v>0</v>
      </c>
      <c r="F3928">
        <v>563</v>
      </c>
      <c r="G3928" t="s">
        <v>14</v>
      </c>
      <c r="H3928" t="s">
        <v>1510</v>
      </c>
      <c r="I3928" t="s">
        <v>2117</v>
      </c>
    </row>
    <row r="3929" spans="1:9" x14ac:dyDescent="0.35">
      <c r="A3929">
        <v>212500</v>
      </c>
      <c r="B3929" t="s">
        <v>1323</v>
      </c>
      <c r="C3929" s="1">
        <v>41066</v>
      </c>
      <c r="D3929">
        <v>793</v>
      </c>
      <c r="E3929" t="b">
        <v>0</v>
      </c>
      <c r="F3929">
        <v>563</v>
      </c>
      <c r="G3929" t="s">
        <v>2084</v>
      </c>
      <c r="H3929" t="s">
        <v>49</v>
      </c>
      <c r="I3929" t="s">
        <v>2116</v>
      </c>
    </row>
    <row r="3930" spans="1:9" x14ac:dyDescent="0.35">
      <c r="A3930">
        <v>212500</v>
      </c>
      <c r="B3930" t="s">
        <v>1323</v>
      </c>
      <c r="C3930" s="1">
        <v>41066</v>
      </c>
      <c r="D3930">
        <v>793</v>
      </c>
      <c r="E3930" t="b">
        <v>0</v>
      </c>
      <c r="F3930">
        <v>563</v>
      </c>
      <c r="G3930" t="s">
        <v>2084</v>
      </c>
      <c r="H3930" t="s">
        <v>792</v>
      </c>
      <c r="I3930" t="s">
        <v>2117</v>
      </c>
    </row>
    <row r="3931" spans="1:9" x14ac:dyDescent="0.35">
      <c r="A3931">
        <v>212500</v>
      </c>
      <c r="B3931" t="s">
        <v>1323</v>
      </c>
      <c r="C3931" s="1">
        <v>41066</v>
      </c>
      <c r="D3931">
        <v>793</v>
      </c>
      <c r="E3931" t="b">
        <v>0</v>
      </c>
      <c r="F3931">
        <v>563</v>
      </c>
      <c r="G3931" t="s">
        <v>2084</v>
      </c>
      <c r="H3931" t="s">
        <v>346</v>
      </c>
      <c r="I3931" t="s">
        <v>2116</v>
      </c>
    </row>
    <row r="3932" spans="1:9" x14ac:dyDescent="0.35">
      <c r="A3932">
        <v>212500</v>
      </c>
      <c r="B3932" t="s">
        <v>1323</v>
      </c>
      <c r="C3932" s="1">
        <v>41066</v>
      </c>
      <c r="D3932">
        <v>793</v>
      </c>
      <c r="E3932" t="b">
        <v>0</v>
      </c>
      <c r="F3932">
        <v>563</v>
      </c>
      <c r="G3932" t="s">
        <v>2084</v>
      </c>
      <c r="H3932" t="s">
        <v>239</v>
      </c>
      <c r="I3932" t="s">
        <v>2117</v>
      </c>
    </row>
    <row r="3933" spans="1:9" x14ac:dyDescent="0.35">
      <c r="A3933">
        <v>212500</v>
      </c>
      <c r="B3933" t="s">
        <v>1323</v>
      </c>
      <c r="C3933" s="1">
        <v>41066</v>
      </c>
      <c r="D3933">
        <v>793</v>
      </c>
      <c r="E3933" t="b">
        <v>0</v>
      </c>
      <c r="F3933">
        <v>563</v>
      </c>
      <c r="G3933" t="s">
        <v>2084</v>
      </c>
      <c r="H3933" t="s">
        <v>132</v>
      </c>
      <c r="I3933" t="s">
        <v>2116</v>
      </c>
    </row>
    <row r="3934" spans="1:9" x14ac:dyDescent="0.35">
      <c r="A3934">
        <v>212500</v>
      </c>
      <c r="B3934" t="s">
        <v>1323</v>
      </c>
      <c r="C3934" s="1">
        <v>41066</v>
      </c>
      <c r="D3934">
        <v>793</v>
      </c>
      <c r="E3934" t="b">
        <v>0</v>
      </c>
      <c r="F3934">
        <v>563</v>
      </c>
      <c r="G3934" t="s">
        <v>2084</v>
      </c>
      <c r="H3934" t="s">
        <v>124</v>
      </c>
      <c r="I3934" t="s">
        <v>2117</v>
      </c>
    </row>
    <row r="3935" spans="1:9" x14ac:dyDescent="0.35">
      <c r="A3935">
        <v>212500</v>
      </c>
      <c r="B3935" t="s">
        <v>1323</v>
      </c>
      <c r="C3935" s="1">
        <v>41066</v>
      </c>
      <c r="D3935">
        <v>793</v>
      </c>
      <c r="E3935" t="b">
        <v>0</v>
      </c>
      <c r="F3935">
        <v>563</v>
      </c>
      <c r="G3935" t="s">
        <v>2084</v>
      </c>
      <c r="H3935" t="s">
        <v>1510</v>
      </c>
      <c r="I3935" t="s">
        <v>2116</v>
      </c>
    </row>
    <row r="3936" spans="1:9" x14ac:dyDescent="0.35">
      <c r="A3936">
        <v>418370</v>
      </c>
      <c r="B3936" t="s">
        <v>1325</v>
      </c>
      <c r="C3936" s="1">
        <v>42758</v>
      </c>
      <c r="D3936">
        <v>792</v>
      </c>
      <c r="E3936" t="b">
        <v>0</v>
      </c>
      <c r="F3936">
        <v>565</v>
      </c>
      <c r="G3936" t="s">
        <v>53</v>
      </c>
      <c r="H3936" t="s">
        <v>49</v>
      </c>
      <c r="I3936" t="s">
        <v>2116</v>
      </c>
    </row>
    <row r="3937" spans="1:9" x14ac:dyDescent="0.35">
      <c r="A3937">
        <v>418370</v>
      </c>
      <c r="B3937" t="s">
        <v>1325</v>
      </c>
      <c r="C3937" s="1">
        <v>42758</v>
      </c>
      <c r="D3937">
        <v>792</v>
      </c>
      <c r="E3937" t="b">
        <v>0</v>
      </c>
      <c r="F3937">
        <v>565</v>
      </c>
      <c r="G3937" t="s">
        <v>53</v>
      </c>
      <c r="H3937" t="s">
        <v>792</v>
      </c>
      <c r="I3937" t="s">
        <v>2117</v>
      </c>
    </row>
    <row r="3938" spans="1:9" x14ac:dyDescent="0.35">
      <c r="A3938">
        <v>418370</v>
      </c>
      <c r="B3938" t="s">
        <v>1325</v>
      </c>
      <c r="C3938" s="1">
        <v>42758</v>
      </c>
      <c r="D3938">
        <v>792</v>
      </c>
      <c r="E3938" t="b">
        <v>0</v>
      </c>
      <c r="F3938">
        <v>565</v>
      </c>
      <c r="G3938" t="s">
        <v>53</v>
      </c>
      <c r="H3938" t="s">
        <v>346</v>
      </c>
      <c r="I3938" t="s">
        <v>2116</v>
      </c>
    </row>
    <row r="3939" spans="1:9" x14ac:dyDescent="0.35">
      <c r="A3939">
        <v>418370</v>
      </c>
      <c r="B3939" t="s">
        <v>1325</v>
      </c>
      <c r="C3939" s="1">
        <v>42758</v>
      </c>
      <c r="D3939">
        <v>792</v>
      </c>
      <c r="E3939" t="b">
        <v>0</v>
      </c>
      <c r="F3939">
        <v>565</v>
      </c>
      <c r="G3939" t="s">
        <v>53</v>
      </c>
      <c r="H3939" t="s">
        <v>239</v>
      </c>
      <c r="I3939" t="s">
        <v>2117</v>
      </c>
    </row>
    <row r="3940" spans="1:9" x14ac:dyDescent="0.35">
      <c r="A3940">
        <v>418370</v>
      </c>
      <c r="B3940" t="s">
        <v>1325</v>
      </c>
      <c r="C3940" s="1">
        <v>42758</v>
      </c>
      <c r="D3940">
        <v>792</v>
      </c>
      <c r="E3940" t="b">
        <v>0</v>
      </c>
      <c r="F3940">
        <v>565</v>
      </c>
      <c r="G3940" t="s">
        <v>53</v>
      </c>
      <c r="H3940" t="s">
        <v>132</v>
      </c>
      <c r="I3940" t="s">
        <v>2117</v>
      </c>
    </row>
    <row r="3941" spans="1:9" x14ac:dyDescent="0.35">
      <c r="A3941">
        <v>418370</v>
      </c>
      <c r="B3941" t="s">
        <v>1325</v>
      </c>
      <c r="C3941" s="1">
        <v>42758</v>
      </c>
      <c r="D3941">
        <v>792</v>
      </c>
      <c r="E3941" t="b">
        <v>0</v>
      </c>
      <c r="F3941">
        <v>565</v>
      </c>
      <c r="G3941" t="s">
        <v>53</v>
      </c>
      <c r="H3941" t="s">
        <v>124</v>
      </c>
      <c r="I3941" t="s">
        <v>2117</v>
      </c>
    </row>
    <row r="3942" spans="1:9" x14ac:dyDescent="0.35">
      <c r="A3942">
        <v>418370</v>
      </c>
      <c r="B3942" t="s">
        <v>1325</v>
      </c>
      <c r="C3942" s="1">
        <v>42758</v>
      </c>
      <c r="D3942">
        <v>792</v>
      </c>
      <c r="E3942" t="b">
        <v>0</v>
      </c>
      <c r="F3942">
        <v>565</v>
      </c>
      <c r="G3942" t="s">
        <v>53</v>
      </c>
      <c r="H3942" t="s">
        <v>1510</v>
      </c>
      <c r="I3942" t="s">
        <v>2117</v>
      </c>
    </row>
    <row r="3943" spans="1:9" x14ac:dyDescent="0.35">
      <c r="A3943">
        <v>2551020</v>
      </c>
      <c r="B3943" t="s">
        <v>1326</v>
      </c>
      <c r="C3943" s="1">
        <v>45275</v>
      </c>
      <c r="D3943">
        <v>786</v>
      </c>
      <c r="E3943" t="b">
        <v>0</v>
      </c>
      <c r="F3943">
        <v>566</v>
      </c>
      <c r="G3943" t="s">
        <v>304</v>
      </c>
      <c r="H3943" t="s">
        <v>49</v>
      </c>
      <c r="I3943" t="s">
        <v>2116</v>
      </c>
    </row>
    <row r="3944" spans="1:9" x14ac:dyDescent="0.35">
      <c r="A3944">
        <v>2551020</v>
      </c>
      <c r="B3944" t="s">
        <v>1326</v>
      </c>
      <c r="C3944" s="1">
        <v>45275</v>
      </c>
      <c r="D3944">
        <v>786</v>
      </c>
      <c r="E3944" t="b">
        <v>0</v>
      </c>
      <c r="F3944">
        <v>566</v>
      </c>
      <c r="G3944" t="s">
        <v>304</v>
      </c>
      <c r="H3944" t="s">
        <v>792</v>
      </c>
      <c r="I3944" t="s">
        <v>2116</v>
      </c>
    </row>
    <row r="3945" spans="1:9" x14ac:dyDescent="0.35">
      <c r="A3945">
        <v>2551020</v>
      </c>
      <c r="B3945" t="s">
        <v>1326</v>
      </c>
      <c r="C3945" s="1">
        <v>45275</v>
      </c>
      <c r="D3945">
        <v>786</v>
      </c>
      <c r="E3945" t="b">
        <v>0</v>
      </c>
      <c r="F3945">
        <v>566</v>
      </c>
      <c r="G3945" t="s">
        <v>304</v>
      </c>
      <c r="H3945" t="s">
        <v>346</v>
      </c>
      <c r="I3945" t="s">
        <v>2117</v>
      </c>
    </row>
    <row r="3946" spans="1:9" x14ac:dyDescent="0.35">
      <c r="A3946">
        <v>2551020</v>
      </c>
      <c r="B3946" t="s">
        <v>1326</v>
      </c>
      <c r="C3946" s="1">
        <v>45275</v>
      </c>
      <c r="D3946">
        <v>786</v>
      </c>
      <c r="E3946" t="b">
        <v>0</v>
      </c>
      <c r="F3946">
        <v>566</v>
      </c>
      <c r="G3946" t="s">
        <v>304</v>
      </c>
      <c r="H3946" t="s">
        <v>239</v>
      </c>
      <c r="I3946" t="s">
        <v>2116</v>
      </c>
    </row>
    <row r="3947" spans="1:9" x14ac:dyDescent="0.35">
      <c r="A3947">
        <v>2551020</v>
      </c>
      <c r="B3947" t="s">
        <v>1326</v>
      </c>
      <c r="C3947" s="1">
        <v>45275</v>
      </c>
      <c r="D3947">
        <v>786</v>
      </c>
      <c r="E3947" t="b">
        <v>0</v>
      </c>
      <c r="F3947">
        <v>566</v>
      </c>
      <c r="G3947" t="s">
        <v>304</v>
      </c>
      <c r="H3947" t="s">
        <v>132</v>
      </c>
      <c r="I3947" t="s">
        <v>2117</v>
      </c>
    </row>
    <row r="3948" spans="1:9" x14ac:dyDescent="0.35">
      <c r="A3948">
        <v>2551020</v>
      </c>
      <c r="B3948" t="s">
        <v>1326</v>
      </c>
      <c r="C3948" s="1">
        <v>45275</v>
      </c>
      <c r="D3948">
        <v>786</v>
      </c>
      <c r="E3948" t="b">
        <v>0</v>
      </c>
      <c r="F3948">
        <v>566</v>
      </c>
      <c r="G3948" t="s">
        <v>304</v>
      </c>
      <c r="H3948" t="s">
        <v>124</v>
      </c>
      <c r="I3948" t="s">
        <v>2116</v>
      </c>
    </row>
    <row r="3949" spans="1:9" x14ac:dyDescent="0.35">
      <c r="A3949">
        <v>2551020</v>
      </c>
      <c r="B3949" t="s">
        <v>1326</v>
      </c>
      <c r="C3949" s="1">
        <v>45275</v>
      </c>
      <c r="D3949">
        <v>786</v>
      </c>
      <c r="E3949" t="b">
        <v>0</v>
      </c>
      <c r="F3949">
        <v>566</v>
      </c>
      <c r="G3949" t="s">
        <v>304</v>
      </c>
      <c r="H3949" t="s">
        <v>1510</v>
      </c>
      <c r="I3949" t="s">
        <v>2116</v>
      </c>
    </row>
    <row r="3950" spans="1:9" x14ac:dyDescent="0.35">
      <c r="A3950">
        <v>1096900</v>
      </c>
      <c r="B3950" t="s">
        <v>1329</v>
      </c>
      <c r="C3950" s="1">
        <v>44070</v>
      </c>
      <c r="D3950">
        <v>783</v>
      </c>
      <c r="E3950" t="b">
        <v>1</v>
      </c>
      <c r="F3950">
        <v>567</v>
      </c>
      <c r="G3950" t="s">
        <v>14</v>
      </c>
      <c r="H3950" t="s">
        <v>49</v>
      </c>
      <c r="I3950" t="s">
        <v>2117</v>
      </c>
    </row>
    <row r="3951" spans="1:9" x14ac:dyDescent="0.35">
      <c r="A3951">
        <v>1096900</v>
      </c>
      <c r="B3951" t="s">
        <v>1329</v>
      </c>
      <c r="C3951" s="1">
        <v>44070</v>
      </c>
      <c r="D3951">
        <v>783</v>
      </c>
      <c r="E3951" t="b">
        <v>1</v>
      </c>
      <c r="F3951">
        <v>567</v>
      </c>
      <c r="G3951" t="s">
        <v>14</v>
      </c>
      <c r="H3951" t="s">
        <v>792</v>
      </c>
      <c r="I3951" t="s">
        <v>2117</v>
      </c>
    </row>
    <row r="3952" spans="1:9" x14ac:dyDescent="0.35">
      <c r="A3952">
        <v>1096900</v>
      </c>
      <c r="B3952" t="s">
        <v>1329</v>
      </c>
      <c r="C3952" s="1">
        <v>44070</v>
      </c>
      <c r="D3952">
        <v>783</v>
      </c>
      <c r="E3952" t="b">
        <v>1</v>
      </c>
      <c r="F3952">
        <v>567</v>
      </c>
      <c r="G3952" t="s">
        <v>14</v>
      </c>
      <c r="H3952" t="s">
        <v>346</v>
      </c>
      <c r="I3952" t="s">
        <v>2117</v>
      </c>
    </row>
    <row r="3953" spans="1:9" x14ac:dyDescent="0.35">
      <c r="A3953">
        <v>1096900</v>
      </c>
      <c r="B3953" t="s">
        <v>1329</v>
      </c>
      <c r="C3953" s="1">
        <v>44070</v>
      </c>
      <c r="D3953">
        <v>783</v>
      </c>
      <c r="E3953" t="b">
        <v>1</v>
      </c>
      <c r="F3953">
        <v>567</v>
      </c>
      <c r="G3953" t="s">
        <v>14</v>
      </c>
      <c r="H3953" t="s">
        <v>239</v>
      </c>
      <c r="I3953" t="s">
        <v>2117</v>
      </c>
    </row>
    <row r="3954" spans="1:9" x14ac:dyDescent="0.35">
      <c r="A3954">
        <v>1096900</v>
      </c>
      <c r="B3954" t="s">
        <v>1329</v>
      </c>
      <c r="C3954" s="1">
        <v>44070</v>
      </c>
      <c r="D3954">
        <v>783</v>
      </c>
      <c r="E3954" t="b">
        <v>1</v>
      </c>
      <c r="F3954">
        <v>567</v>
      </c>
      <c r="G3954" t="s">
        <v>14</v>
      </c>
      <c r="H3954" t="s">
        <v>132</v>
      </c>
      <c r="I3954" t="s">
        <v>2116</v>
      </c>
    </row>
    <row r="3955" spans="1:9" x14ac:dyDescent="0.35">
      <c r="A3955">
        <v>1096900</v>
      </c>
      <c r="B3955" t="s">
        <v>1329</v>
      </c>
      <c r="C3955" s="1">
        <v>44070</v>
      </c>
      <c r="D3955">
        <v>783</v>
      </c>
      <c r="E3955" t="b">
        <v>1</v>
      </c>
      <c r="F3955">
        <v>567</v>
      </c>
      <c r="G3955" t="s">
        <v>14</v>
      </c>
      <c r="H3955" t="s">
        <v>124</v>
      </c>
      <c r="I3955" t="s">
        <v>2117</v>
      </c>
    </row>
    <row r="3956" spans="1:9" x14ac:dyDescent="0.35">
      <c r="A3956">
        <v>1096900</v>
      </c>
      <c r="B3956" t="s">
        <v>1329</v>
      </c>
      <c r="C3956" s="1">
        <v>44070</v>
      </c>
      <c r="D3956">
        <v>783</v>
      </c>
      <c r="E3956" t="b">
        <v>1</v>
      </c>
      <c r="F3956">
        <v>567</v>
      </c>
      <c r="G3956" t="s">
        <v>14</v>
      </c>
      <c r="H3956" t="s">
        <v>1510</v>
      </c>
      <c r="I3956" t="s">
        <v>2117</v>
      </c>
    </row>
    <row r="3957" spans="1:9" x14ac:dyDescent="0.35">
      <c r="A3957">
        <v>2494350</v>
      </c>
      <c r="B3957" t="s">
        <v>1332</v>
      </c>
      <c r="C3957" s="1">
        <v>45449</v>
      </c>
      <c r="D3957">
        <v>781</v>
      </c>
      <c r="E3957" t="b">
        <v>0</v>
      </c>
      <c r="F3957">
        <v>568</v>
      </c>
      <c r="G3957" t="s">
        <v>40</v>
      </c>
      <c r="H3957" t="s">
        <v>49</v>
      </c>
      <c r="I3957" t="s">
        <v>2117</v>
      </c>
    </row>
    <row r="3958" spans="1:9" x14ac:dyDescent="0.35">
      <c r="A3958">
        <v>2494350</v>
      </c>
      <c r="B3958" t="s">
        <v>1332</v>
      </c>
      <c r="C3958" s="1">
        <v>45449</v>
      </c>
      <c r="D3958">
        <v>781</v>
      </c>
      <c r="E3958" t="b">
        <v>0</v>
      </c>
      <c r="F3958">
        <v>568</v>
      </c>
      <c r="G3958" t="s">
        <v>40</v>
      </c>
      <c r="H3958" t="s">
        <v>792</v>
      </c>
      <c r="I3958" t="s">
        <v>2117</v>
      </c>
    </row>
    <row r="3959" spans="1:9" x14ac:dyDescent="0.35">
      <c r="A3959">
        <v>2494350</v>
      </c>
      <c r="B3959" t="s">
        <v>1332</v>
      </c>
      <c r="C3959" s="1">
        <v>45449</v>
      </c>
      <c r="D3959">
        <v>781</v>
      </c>
      <c r="E3959" t="b">
        <v>0</v>
      </c>
      <c r="F3959">
        <v>568</v>
      </c>
      <c r="G3959" t="s">
        <v>40</v>
      </c>
      <c r="H3959" t="s">
        <v>346</v>
      </c>
      <c r="I3959" t="s">
        <v>2117</v>
      </c>
    </row>
    <row r="3960" spans="1:9" x14ac:dyDescent="0.35">
      <c r="A3960">
        <v>2494350</v>
      </c>
      <c r="B3960" t="s">
        <v>1332</v>
      </c>
      <c r="C3960" s="1">
        <v>45449</v>
      </c>
      <c r="D3960">
        <v>781</v>
      </c>
      <c r="E3960" t="b">
        <v>0</v>
      </c>
      <c r="F3960">
        <v>568</v>
      </c>
      <c r="G3960" t="s">
        <v>40</v>
      </c>
      <c r="H3960" t="s">
        <v>239</v>
      </c>
      <c r="I3960" t="s">
        <v>2116</v>
      </c>
    </row>
    <row r="3961" spans="1:9" x14ac:dyDescent="0.35">
      <c r="A3961">
        <v>2494350</v>
      </c>
      <c r="B3961" t="s">
        <v>1332</v>
      </c>
      <c r="C3961" s="1">
        <v>45449</v>
      </c>
      <c r="D3961">
        <v>781</v>
      </c>
      <c r="E3961" t="b">
        <v>0</v>
      </c>
      <c r="F3961">
        <v>568</v>
      </c>
      <c r="G3961" t="s">
        <v>40</v>
      </c>
      <c r="H3961" t="s">
        <v>132</v>
      </c>
      <c r="I3961" t="s">
        <v>2117</v>
      </c>
    </row>
    <row r="3962" spans="1:9" x14ac:dyDescent="0.35">
      <c r="A3962">
        <v>2494350</v>
      </c>
      <c r="B3962" t="s">
        <v>1332</v>
      </c>
      <c r="C3962" s="1">
        <v>45449</v>
      </c>
      <c r="D3962">
        <v>781</v>
      </c>
      <c r="E3962" t="b">
        <v>0</v>
      </c>
      <c r="F3962">
        <v>568</v>
      </c>
      <c r="G3962" t="s">
        <v>40</v>
      </c>
      <c r="H3962" t="s">
        <v>124</v>
      </c>
      <c r="I3962" t="s">
        <v>2117</v>
      </c>
    </row>
    <row r="3963" spans="1:9" x14ac:dyDescent="0.35">
      <c r="A3963">
        <v>2494350</v>
      </c>
      <c r="B3963" t="s">
        <v>1332</v>
      </c>
      <c r="C3963" s="1">
        <v>45449</v>
      </c>
      <c r="D3963">
        <v>781</v>
      </c>
      <c r="E3963" t="b">
        <v>0</v>
      </c>
      <c r="F3963">
        <v>568</v>
      </c>
      <c r="G3963" t="s">
        <v>40</v>
      </c>
      <c r="H3963" t="s">
        <v>1510</v>
      </c>
      <c r="I3963" t="s">
        <v>2117</v>
      </c>
    </row>
    <row r="3964" spans="1:9" x14ac:dyDescent="0.35">
      <c r="A3964">
        <v>233450</v>
      </c>
      <c r="B3964" t="s">
        <v>1334</v>
      </c>
      <c r="C3964" s="1">
        <v>42283</v>
      </c>
      <c r="D3964">
        <v>781</v>
      </c>
      <c r="E3964" t="b">
        <v>1</v>
      </c>
      <c r="F3964">
        <v>568</v>
      </c>
      <c r="G3964" t="s">
        <v>2084</v>
      </c>
      <c r="H3964" t="s">
        <v>49</v>
      </c>
      <c r="I3964" t="s">
        <v>2117</v>
      </c>
    </row>
    <row r="3965" spans="1:9" x14ac:dyDescent="0.35">
      <c r="A3965">
        <v>233450</v>
      </c>
      <c r="B3965" t="s">
        <v>1334</v>
      </c>
      <c r="C3965" s="1">
        <v>42283</v>
      </c>
      <c r="D3965">
        <v>781</v>
      </c>
      <c r="E3965" t="b">
        <v>1</v>
      </c>
      <c r="F3965">
        <v>568</v>
      </c>
      <c r="G3965" t="s">
        <v>2084</v>
      </c>
      <c r="H3965" t="s">
        <v>792</v>
      </c>
      <c r="I3965" t="s">
        <v>2116</v>
      </c>
    </row>
    <row r="3966" spans="1:9" x14ac:dyDescent="0.35">
      <c r="A3966">
        <v>233450</v>
      </c>
      <c r="B3966" t="s">
        <v>1334</v>
      </c>
      <c r="C3966" s="1">
        <v>42283</v>
      </c>
      <c r="D3966">
        <v>781</v>
      </c>
      <c r="E3966" t="b">
        <v>1</v>
      </c>
      <c r="F3966">
        <v>568</v>
      </c>
      <c r="G3966" t="s">
        <v>2084</v>
      </c>
      <c r="H3966" t="s">
        <v>346</v>
      </c>
      <c r="I3966" t="s">
        <v>2117</v>
      </c>
    </row>
    <row r="3967" spans="1:9" x14ac:dyDescent="0.35">
      <c r="A3967">
        <v>233450</v>
      </c>
      <c r="B3967" t="s">
        <v>1334</v>
      </c>
      <c r="C3967" s="1">
        <v>42283</v>
      </c>
      <c r="D3967">
        <v>781</v>
      </c>
      <c r="E3967" t="b">
        <v>1</v>
      </c>
      <c r="F3967">
        <v>568</v>
      </c>
      <c r="G3967" t="s">
        <v>2084</v>
      </c>
      <c r="H3967" t="s">
        <v>239</v>
      </c>
      <c r="I3967" t="s">
        <v>2116</v>
      </c>
    </row>
    <row r="3968" spans="1:9" x14ac:dyDescent="0.35">
      <c r="A3968">
        <v>233450</v>
      </c>
      <c r="B3968" t="s">
        <v>1334</v>
      </c>
      <c r="C3968" s="1">
        <v>42283</v>
      </c>
      <c r="D3968">
        <v>781</v>
      </c>
      <c r="E3968" t="b">
        <v>1</v>
      </c>
      <c r="F3968">
        <v>568</v>
      </c>
      <c r="G3968" t="s">
        <v>2084</v>
      </c>
      <c r="H3968" t="s">
        <v>132</v>
      </c>
      <c r="I3968" t="s">
        <v>2117</v>
      </c>
    </row>
    <row r="3969" spans="1:9" x14ac:dyDescent="0.35">
      <c r="A3969">
        <v>233450</v>
      </c>
      <c r="B3969" t="s">
        <v>1334</v>
      </c>
      <c r="C3969" s="1">
        <v>42283</v>
      </c>
      <c r="D3969">
        <v>781</v>
      </c>
      <c r="E3969" t="b">
        <v>1</v>
      </c>
      <c r="F3969">
        <v>568</v>
      </c>
      <c r="G3969" t="s">
        <v>2084</v>
      </c>
      <c r="H3969" t="s">
        <v>124</v>
      </c>
      <c r="I3969" t="s">
        <v>2116</v>
      </c>
    </row>
    <row r="3970" spans="1:9" x14ac:dyDescent="0.35">
      <c r="A3970">
        <v>233450</v>
      </c>
      <c r="B3970" t="s">
        <v>1334</v>
      </c>
      <c r="C3970" s="1">
        <v>42283</v>
      </c>
      <c r="D3970">
        <v>781</v>
      </c>
      <c r="E3970" t="b">
        <v>1</v>
      </c>
      <c r="F3970">
        <v>568</v>
      </c>
      <c r="G3970" t="s">
        <v>2084</v>
      </c>
      <c r="H3970" t="s">
        <v>1510</v>
      </c>
      <c r="I3970" t="s">
        <v>2117</v>
      </c>
    </row>
    <row r="3971" spans="1:9" x14ac:dyDescent="0.35">
      <c r="A3971">
        <v>391220</v>
      </c>
      <c r="B3971" t="s">
        <v>1336</v>
      </c>
      <c r="C3971" s="1">
        <v>42409</v>
      </c>
      <c r="D3971">
        <v>777</v>
      </c>
      <c r="E3971" t="b">
        <v>1</v>
      </c>
      <c r="F3971">
        <v>570</v>
      </c>
      <c r="G3971" t="s">
        <v>967</v>
      </c>
      <c r="H3971" t="s">
        <v>49</v>
      </c>
      <c r="I3971" t="s">
        <v>2116</v>
      </c>
    </row>
    <row r="3972" spans="1:9" x14ac:dyDescent="0.35">
      <c r="A3972">
        <v>391220</v>
      </c>
      <c r="B3972" t="s">
        <v>1336</v>
      </c>
      <c r="C3972" s="1">
        <v>42409</v>
      </c>
      <c r="D3972">
        <v>777</v>
      </c>
      <c r="E3972" t="b">
        <v>1</v>
      </c>
      <c r="F3972">
        <v>570</v>
      </c>
      <c r="G3972" t="s">
        <v>967</v>
      </c>
      <c r="H3972" t="s">
        <v>792</v>
      </c>
      <c r="I3972" t="s">
        <v>2117</v>
      </c>
    </row>
    <row r="3973" spans="1:9" x14ac:dyDescent="0.35">
      <c r="A3973">
        <v>391220</v>
      </c>
      <c r="B3973" t="s">
        <v>1336</v>
      </c>
      <c r="C3973" s="1">
        <v>42409</v>
      </c>
      <c r="D3973">
        <v>777</v>
      </c>
      <c r="E3973" t="b">
        <v>1</v>
      </c>
      <c r="F3973">
        <v>570</v>
      </c>
      <c r="G3973" t="s">
        <v>967</v>
      </c>
      <c r="H3973" t="s">
        <v>346</v>
      </c>
      <c r="I3973" t="s">
        <v>2116</v>
      </c>
    </row>
    <row r="3974" spans="1:9" x14ac:dyDescent="0.35">
      <c r="A3974">
        <v>391220</v>
      </c>
      <c r="B3974" t="s">
        <v>1336</v>
      </c>
      <c r="C3974" s="1">
        <v>42409</v>
      </c>
      <c r="D3974">
        <v>777</v>
      </c>
      <c r="E3974" t="b">
        <v>1</v>
      </c>
      <c r="F3974">
        <v>570</v>
      </c>
      <c r="G3974" t="s">
        <v>967</v>
      </c>
      <c r="H3974" t="s">
        <v>239</v>
      </c>
      <c r="I3974" t="s">
        <v>2117</v>
      </c>
    </row>
    <row r="3975" spans="1:9" x14ac:dyDescent="0.35">
      <c r="A3975">
        <v>391220</v>
      </c>
      <c r="B3975" t="s">
        <v>1336</v>
      </c>
      <c r="C3975" s="1">
        <v>42409</v>
      </c>
      <c r="D3975">
        <v>777</v>
      </c>
      <c r="E3975" t="b">
        <v>1</v>
      </c>
      <c r="F3975">
        <v>570</v>
      </c>
      <c r="G3975" t="s">
        <v>967</v>
      </c>
      <c r="H3975" t="s">
        <v>132</v>
      </c>
      <c r="I3975" t="s">
        <v>2117</v>
      </c>
    </row>
    <row r="3976" spans="1:9" x14ac:dyDescent="0.35">
      <c r="A3976">
        <v>391220</v>
      </c>
      <c r="B3976" t="s">
        <v>1336</v>
      </c>
      <c r="C3976" s="1">
        <v>42409</v>
      </c>
      <c r="D3976">
        <v>777</v>
      </c>
      <c r="E3976" t="b">
        <v>1</v>
      </c>
      <c r="F3976">
        <v>570</v>
      </c>
      <c r="G3976" t="s">
        <v>967</v>
      </c>
      <c r="H3976" t="s">
        <v>124</v>
      </c>
      <c r="I3976" t="s">
        <v>2117</v>
      </c>
    </row>
    <row r="3977" spans="1:9" x14ac:dyDescent="0.35">
      <c r="A3977">
        <v>391220</v>
      </c>
      <c r="B3977" t="s">
        <v>1336</v>
      </c>
      <c r="C3977" s="1">
        <v>42409</v>
      </c>
      <c r="D3977">
        <v>777</v>
      </c>
      <c r="E3977" t="b">
        <v>1</v>
      </c>
      <c r="F3977">
        <v>570</v>
      </c>
      <c r="G3977" t="s">
        <v>967</v>
      </c>
      <c r="H3977" t="s">
        <v>1510</v>
      </c>
      <c r="I3977" t="s">
        <v>2117</v>
      </c>
    </row>
    <row r="3978" spans="1:9" x14ac:dyDescent="0.35">
      <c r="A3978">
        <v>359870</v>
      </c>
      <c r="B3978" t="s">
        <v>1338</v>
      </c>
      <c r="C3978" s="1">
        <v>42502</v>
      </c>
      <c r="D3978">
        <v>776</v>
      </c>
      <c r="E3978" t="b">
        <v>0</v>
      </c>
      <c r="F3978">
        <v>571</v>
      </c>
      <c r="G3978" t="s">
        <v>110</v>
      </c>
      <c r="H3978" t="s">
        <v>49</v>
      </c>
      <c r="I3978" t="s">
        <v>2117</v>
      </c>
    </row>
    <row r="3979" spans="1:9" x14ac:dyDescent="0.35">
      <c r="A3979">
        <v>359870</v>
      </c>
      <c r="B3979" t="s">
        <v>1338</v>
      </c>
      <c r="C3979" s="1">
        <v>42502</v>
      </c>
      <c r="D3979">
        <v>776</v>
      </c>
      <c r="E3979" t="b">
        <v>0</v>
      </c>
      <c r="F3979">
        <v>571</v>
      </c>
      <c r="G3979" t="s">
        <v>110</v>
      </c>
      <c r="H3979" t="s">
        <v>792</v>
      </c>
      <c r="I3979" t="s">
        <v>2117</v>
      </c>
    </row>
    <row r="3980" spans="1:9" x14ac:dyDescent="0.35">
      <c r="A3980">
        <v>359870</v>
      </c>
      <c r="B3980" t="s">
        <v>1338</v>
      </c>
      <c r="C3980" s="1">
        <v>42502</v>
      </c>
      <c r="D3980">
        <v>776</v>
      </c>
      <c r="E3980" t="b">
        <v>0</v>
      </c>
      <c r="F3980">
        <v>571</v>
      </c>
      <c r="G3980" t="s">
        <v>110</v>
      </c>
      <c r="H3980" t="s">
        <v>346</v>
      </c>
      <c r="I3980" t="s">
        <v>2117</v>
      </c>
    </row>
    <row r="3981" spans="1:9" x14ac:dyDescent="0.35">
      <c r="A3981">
        <v>359870</v>
      </c>
      <c r="B3981" t="s">
        <v>1338</v>
      </c>
      <c r="C3981" s="1">
        <v>42502</v>
      </c>
      <c r="D3981">
        <v>776</v>
      </c>
      <c r="E3981" t="b">
        <v>0</v>
      </c>
      <c r="F3981">
        <v>571</v>
      </c>
      <c r="G3981" t="s">
        <v>110</v>
      </c>
      <c r="H3981" t="s">
        <v>239</v>
      </c>
      <c r="I3981" t="s">
        <v>2117</v>
      </c>
    </row>
    <row r="3982" spans="1:9" x14ac:dyDescent="0.35">
      <c r="A3982">
        <v>359870</v>
      </c>
      <c r="B3982" t="s">
        <v>1338</v>
      </c>
      <c r="C3982" s="1">
        <v>42502</v>
      </c>
      <c r="D3982">
        <v>776</v>
      </c>
      <c r="E3982" t="b">
        <v>0</v>
      </c>
      <c r="F3982">
        <v>571</v>
      </c>
      <c r="G3982" t="s">
        <v>110</v>
      </c>
      <c r="H3982" t="s">
        <v>132</v>
      </c>
      <c r="I3982" t="s">
        <v>2116</v>
      </c>
    </row>
    <row r="3983" spans="1:9" x14ac:dyDescent="0.35">
      <c r="A3983">
        <v>359870</v>
      </c>
      <c r="B3983" t="s">
        <v>1338</v>
      </c>
      <c r="C3983" s="1">
        <v>42502</v>
      </c>
      <c r="D3983">
        <v>776</v>
      </c>
      <c r="E3983" t="b">
        <v>0</v>
      </c>
      <c r="F3983">
        <v>571</v>
      </c>
      <c r="G3983" t="s">
        <v>110</v>
      </c>
      <c r="H3983" t="s">
        <v>124</v>
      </c>
      <c r="I3983" t="s">
        <v>2117</v>
      </c>
    </row>
    <row r="3984" spans="1:9" x14ac:dyDescent="0.35">
      <c r="A3984">
        <v>359870</v>
      </c>
      <c r="B3984" t="s">
        <v>1338</v>
      </c>
      <c r="C3984" s="1">
        <v>42502</v>
      </c>
      <c r="D3984">
        <v>776</v>
      </c>
      <c r="E3984" t="b">
        <v>0</v>
      </c>
      <c r="F3984">
        <v>571</v>
      </c>
      <c r="G3984" t="s">
        <v>110</v>
      </c>
      <c r="H3984" t="s">
        <v>1510</v>
      </c>
      <c r="I3984" t="s">
        <v>2117</v>
      </c>
    </row>
    <row r="3985" spans="1:9" x14ac:dyDescent="0.35">
      <c r="A3985">
        <v>500</v>
      </c>
      <c r="B3985" t="s">
        <v>1340</v>
      </c>
      <c r="C3985" s="1">
        <v>39769</v>
      </c>
      <c r="D3985">
        <v>774</v>
      </c>
      <c r="E3985" t="b">
        <v>0</v>
      </c>
      <c r="F3985">
        <v>572</v>
      </c>
      <c r="G3985" t="s">
        <v>2084</v>
      </c>
      <c r="H3985" t="s">
        <v>49</v>
      </c>
      <c r="I3985" t="s">
        <v>2116</v>
      </c>
    </row>
    <row r="3986" spans="1:9" x14ac:dyDescent="0.35">
      <c r="A3986">
        <v>500</v>
      </c>
      <c r="B3986" t="s">
        <v>1340</v>
      </c>
      <c r="C3986" s="1">
        <v>39769</v>
      </c>
      <c r="D3986">
        <v>774</v>
      </c>
      <c r="E3986" t="b">
        <v>0</v>
      </c>
      <c r="F3986">
        <v>572</v>
      </c>
      <c r="G3986" t="s">
        <v>2084</v>
      </c>
      <c r="H3986" t="s">
        <v>792</v>
      </c>
      <c r="I3986" t="s">
        <v>2117</v>
      </c>
    </row>
    <row r="3987" spans="1:9" x14ac:dyDescent="0.35">
      <c r="A3987">
        <v>500</v>
      </c>
      <c r="B3987" t="s">
        <v>1340</v>
      </c>
      <c r="C3987" s="1">
        <v>39769</v>
      </c>
      <c r="D3987">
        <v>774</v>
      </c>
      <c r="E3987" t="b">
        <v>0</v>
      </c>
      <c r="F3987">
        <v>572</v>
      </c>
      <c r="G3987" t="s">
        <v>2084</v>
      </c>
      <c r="H3987" t="s">
        <v>346</v>
      </c>
      <c r="I3987" t="s">
        <v>2117</v>
      </c>
    </row>
    <row r="3988" spans="1:9" x14ac:dyDescent="0.35">
      <c r="A3988">
        <v>500</v>
      </c>
      <c r="B3988" t="s">
        <v>1340</v>
      </c>
      <c r="C3988" s="1">
        <v>39769</v>
      </c>
      <c r="D3988">
        <v>774</v>
      </c>
      <c r="E3988" t="b">
        <v>0</v>
      </c>
      <c r="F3988">
        <v>572</v>
      </c>
      <c r="G3988" t="s">
        <v>2084</v>
      </c>
      <c r="H3988" t="s">
        <v>239</v>
      </c>
      <c r="I3988" t="s">
        <v>2117</v>
      </c>
    </row>
    <row r="3989" spans="1:9" x14ac:dyDescent="0.35">
      <c r="A3989">
        <v>500</v>
      </c>
      <c r="B3989" t="s">
        <v>1340</v>
      </c>
      <c r="C3989" s="1">
        <v>39769</v>
      </c>
      <c r="D3989">
        <v>774</v>
      </c>
      <c r="E3989" t="b">
        <v>0</v>
      </c>
      <c r="F3989">
        <v>572</v>
      </c>
      <c r="G3989" t="s">
        <v>2084</v>
      </c>
      <c r="H3989" t="s">
        <v>132</v>
      </c>
      <c r="I3989" t="s">
        <v>2117</v>
      </c>
    </row>
    <row r="3990" spans="1:9" x14ac:dyDescent="0.35">
      <c r="A3990">
        <v>500</v>
      </c>
      <c r="B3990" t="s">
        <v>1340</v>
      </c>
      <c r="C3990" s="1">
        <v>39769</v>
      </c>
      <c r="D3990">
        <v>774</v>
      </c>
      <c r="E3990" t="b">
        <v>0</v>
      </c>
      <c r="F3990">
        <v>572</v>
      </c>
      <c r="G3990" t="s">
        <v>2084</v>
      </c>
      <c r="H3990" t="s">
        <v>124</v>
      </c>
      <c r="I3990" t="s">
        <v>2117</v>
      </c>
    </row>
    <row r="3991" spans="1:9" x14ac:dyDescent="0.35">
      <c r="A3991">
        <v>500</v>
      </c>
      <c r="B3991" t="s">
        <v>1340</v>
      </c>
      <c r="C3991" s="1">
        <v>39769</v>
      </c>
      <c r="D3991">
        <v>774</v>
      </c>
      <c r="E3991" t="b">
        <v>0</v>
      </c>
      <c r="F3991">
        <v>572</v>
      </c>
      <c r="G3991" t="s">
        <v>2084</v>
      </c>
      <c r="H3991" t="s">
        <v>1510</v>
      </c>
      <c r="I3991" t="s">
        <v>2117</v>
      </c>
    </row>
    <row r="3992" spans="1:9" x14ac:dyDescent="0.35">
      <c r="A3992">
        <v>365590</v>
      </c>
      <c r="B3992" t="s">
        <v>1342</v>
      </c>
      <c r="C3992" s="1">
        <v>42436</v>
      </c>
      <c r="D3992">
        <v>774</v>
      </c>
      <c r="E3992" t="b">
        <v>0</v>
      </c>
      <c r="F3992">
        <v>572</v>
      </c>
      <c r="G3992" t="s">
        <v>33</v>
      </c>
      <c r="H3992" t="s">
        <v>49</v>
      </c>
      <c r="I3992" t="s">
        <v>2116</v>
      </c>
    </row>
    <row r="3993" spans="1:9" x14ac:dyDescent="0.35">
      <c r="A3993">
        <v>365590</v>
      </c>
      <c r="B3993" t="s">
        <v>1342</v>
      </c>
      <c r="C3993" s="1">
        <v>42436</v>
      </c>
      <c r="D3993">
        <v>774</v>
      </c>
      <c r="E3993" t="b">
        <v>0</v>
      </c>
      <c r="F3993">
        <v>572</v>
      </c>
      <c r="G3993" t="s">
        <v>33</v>
      </c>
      <c r="H3993" t="s">
        <v>792</v>
      </c>
      <c r="I3993" t="s">
        <v>2117</v>
      </c>
    </row>
    <row r="3994" spans="1:9" x14ac:dyDescent="0.35">
      <c r="A3994">
        <v>365590</v>
      </c>
      <c r="B3994" t="s">
        <v>1342</v>
      </c>
      <c r="C3994" s="1">
        <v>42436</v>
      </c>
      <c r="D3994">
        <v>774</v>
      </c>
      <c r="E3994" t="b">
        <v>0</v>
      </c>
      <c r="F3994">
        <v>572</v>
      </c>
      <c r="G3994" t="s">
        <v>33</v>
      </c>
      <c r="H3994" t="s">
        <v>346</v>
      </c>
      <c r="I3994" t="s">
        <v>2116</v>
      </c>
    </row>
    <row r="3995" spans="1:9" x14ac:dyDescent="0.35">
      <c r="A3995">
        <v>365590</v>
      </c>
      <c r="B3995" t="s">
        <v>1342</v>
      </c>
      <c r="C3995" s="1">
        <v>42436</v>
      </c>
      <c r="D3995">
        <v>774</v>
      </c>
      <c r="E3995" t="b">
        <v>0</v>
      </c>
      <c r="F3995">
        <v>572</v>
      </c>
      <c r="G3995" t="s">
        <v>33</v>
      </c>
      <c r="H3995" t="s">
        <v>239</v>
      </c>
      <c r="I3995" t="s">
        <v>2117</v>
      </c>
    </row>
    <row r="3996" spans="1:9" x14ac:dyDescent="0.35">
      <c r="A3996">
        <v>365590</v>
      </c>
      <c r="B3996" t="s">
        <v>1342</v>
      </c>
      <c r="C3996" s="1">
        <v>42436</v>
      </c>
      <c r="D3996">
        <v>774</v>
      </c>
      <c r="E3996" t="b">
        <v>0</v>
      </c>
      <c r="F3996">
        <v>572</v>
      </c>
      <c r="G3996" t="s">
        <v>33</v>
      </c>
      <c r="H3996" t="s">
        <v>132</v>
      </c>
      <c r="I3996" t="s">
        <v>2116</v>
      </c>
    </row>
    <row r="3997" spans="1:9" x14ac:dyDescent="0.35">
      <c r="A3997">
        <v>365590</v>
      </c>
      <c r="B3997" t="s">
        <v>1342</v>
      </c>
      <c r="C3997" s="1">
        <v>42436</v>
      </c>
      <c r="D3997">
        <v>774</v>
      </c>
      <c r="E3997" t="b">
        <v>0</v>
      </c>
      <c r="F3997">
        <v>572</v>
      </c>
      <c r="G3997" t="s">
        <v>33</v>
      </c>
      <c r="H3997" t="s">
        <v>124</v>
      </c>
      <c r="I3997" t="s">
        <v>2117</v>
      </c>
    </row>
    <row r="3998" spans="1:9" x14ac:dyDescent="0.35">
      <c r="A3998">
        <v>365590</v>
      </c>
      <c r="B3998" t="s">
        <v>1342</v>
      </c>
      <c r="C3998" s="1">
        <v>42436</v>
      </c>
      <c r="D3998">
        <v>774</v>
      </c>
      <c r="E3998" t="b">
        <v>0</v>
      </c>
      <c r="F3998">
        <v>572</v>
      </c>
      <c r="G3998" t="s">
        <v>33</v>
      </c>
      <c r="H3998" t="s">
        <v>1510</v>
      </c>
      <c r="I3998" t="s">
        <v>2117</v>
      </c>
    </row>
    <row r="3999" spans="1:9" x14ac:dyDescent="0.35">
      <c r="A3999">
        <v>2054970</v>
      </c>
      <c r="B3999" t="s">
        <v>1344</v>
      </c>
      <c r="C3999" s="1">
        <v>45372</v>
      </c>
      <c r="D3999">
        <v>768</v>
      </c>
      <c r="E3999" t="b">
        <v>0</v>
      </c>
      <c r="F3999">
        <v>574</v>
      </c>
      <c r="G3999" t="s">
        <v>833</v>
      </c>
      <c r="H3999" t="s">
        <v>49</v>
      </c>
      <c r="I3999" t="s">
        <v>2116</v>
      </c>
    </row>
    <row r="4000" spans="1:9" x14ac:dyDescent="0.35">
      <c r="A4000">
        <v>2054970</v>
      </c>
      <c r="B4000" t="s">
        <v>1344</v>
      </c>
      <c r="C4000" s="1">
        <v>45372</v>
      </c>
      <c r="D4000">
        <v>768</v>
      </c>
      <c r="E4000" t="b">
        <v>0</v>
      </c>
      <c r="F4000">
        <v>574</v>
      </c>
      <c r="G4000" t="s">
        <v>833</v>
      </c>
      <c r="H4000" t="s">
        <v>792</v>
      </c>
      <c r="I4000" t="s">
        <v>2117</v>
      </c>
    </row>
    <row r="4001" spans="1:9" x14ac:dyDescent="0.35">
      <c r="A4001">
        <v>2054970</v>
      </c>
      <c r="B4001" t="s">
        <v>1344</v>
      </c>
      <c r="C4001" s="1">
        <v>45372</v>
      </c>
      <c r="D4001">
        <v>768</v>
      </c>
      <c r="E4001" t="b">
        <v>0</v>
      </c>
      <c r="F4001">
        <v>574</v>
      </c>
      <c r="G4001" t="s">
        <v>833</v>
      </c>
      <c r="H4001" t="s">
        <v>346</v>
      </c>
      <c r="I4001" t="s">
        <v>2117</v>
      </c>
    </row>
    <row r="4002" spans="1:9" x14ac:dyDescent="0.35">
      <c r="A4002">
        <v>2054970</v>
      </c>
      <c r="B4002" t="s">
        <v>1344</v>
      </c>
      <c r="C4002" s="1">
        <v>45372</v>
      </c>
      <c r="D4002">
        <v>768</v>
      </c>
      <c r="E4002" t="b">
        <v>0</v>
      </c>
      <c r="F4002">
        <v>574</v>
      </c>
      <c r="G4002" t="s">
        <v>833</v>
      </c>
      <c r="H4002" t="s">
        <v>239</v>
      </c>
      <c r="I4002" t="s">
        <v>2117</v>
      </c>
    </row>
    <row r="4003" spans="1:9" x14ac:dyDescent="0.35">
      <c r="A4003">
        <v>2054970</v>
      </c>
      <c r="B4003" t="s">
        <v>1344</v>
      </c>
      <c r="C4003" s="1">
        <v>45372</v>
      </c>
      <c r="D4003">
        <v>768</v>
      </c>
      <c r="E4003" t="b">
        <v>0</v>
      </c>
      <c r="F4003">
        <v>574</v>
      </c>
      <c r="G4003" t="s">
        <v>833</v>
      </c>
      <c r="H4003" t="s">
        <v>132</v>
      </c>
      <c r="I4003" t="s">
        <v>2116</v>
      </c>
    </row>
    <row r="4004" spans="1:9" x14ac:dyDescent="0.35">
      <c r="A4004">
        <v>2054970</v>
      </c>
      <c r="B4004" t="s">
        <v>1344</v>
      </c>
      <c r="C4004" s="1">
        <v>45372</v>
      </c>
      <c r="D4004">
        <v>768</v>
      </c>
      <c r="E4004" t="b">
        <v>0</v>
      </c>
      <c r="F4004">
        <v>574</v>
      </c>
      <c r="G4004" t="s">
        <v>833</v>
      </c>
      <c r="H4004" t="s">
        <v>124</v>
      </c>
      <c r="I4004" t="s">
        <v>2117</v>
      </c>
    </row>
    <row r="4005" spans="1:9" x14ac:dyDescent="0.35">
      <c r="A4005">
        <v>2054970</v>
      </c>
      <c r="B4005" t="s">
        <v>1344</v>
      </c>
      <c r="C4005" s="1">
        <v>45372</v>
      </c>
      <c r="D4005">
        <v>768</v>
      </c>
      <c r="E4005" t="b">
        <v>0</v>
      </c>
      <c r="F4005">
        <v>574</v>
      </c>
      <c r="G4005" t="s">
        <v>833</v>
      </c>
      <c r="H4005" t="s">
        <v>1510</v>
      </c>
      <c r="I4005" t="s">
        <v>2117</v>
      </c>
    </row>
    <row r="4006" spans="1:9" x14ac:dyDescent="0.35">
      <c r="A4006">
        <v>361280</v>
      </c>
      <c r="B4006" t="s">
        <v>1346</v>
      </c>
      <c r="C4006" s="1">
        <v>42523</v>
      </c>
      <c r="D4006">
        <v>767</v>
      </c>
      <c r="E4006" t="b">
        <v>1</v>
      </c>
      <c r="F4006">
        <v>575</v>
      </c>
      <c r="G4006" t="s">
        <v>2084</v>
      </c>
      <c r="H4006" t="s">
        <v>49</v>
      </c>
      <c r="I4006" t="s">
        <v>2117</v>
      </c>
    </row>
    <row r="4007" spans="1:9" x14ac:dyDescent="0.35">
      <c r="A4007">
        <v>361280</v>
      </c>
      <c r="B4007" t="s">
        <v>1346</v>
      </c>
      <c r="C4007" s="1">
        <v>42523</v>
      </c>
      <c r="D4007">
        <v>767</v>
      </c>
      <c r="E4007" t="b">
        <v>1</v>
      </c>
      <c r="F4007">
        <v>575</v>
      </c>
      <c r="G4007" t="s">
        <v>2084</v>
      </c>
      <c r="H4007" t="s">
        <v>792</v>
      </c>
      <c r="I4007" t="s">
        <v>2116</v>
      </c>
    </row>
    <row r="4008" spans="1:9" x14ac:dyDescent="0.35">
      <c r="A4008">
        <v>361280</v>
      </c>
      <c r="B4008" t="s">
        <v>1346</v>
      </c>
      <c r="C4008" s="1">
        <v>42523</v>
      </c>
      <c r="D4008">
        <v>767</v>
      </c>
      <c r="E4008" t="b">
        <v>1</v>
      </c>
      <c r="F4008">
        <v>575</v>
      </c>
      <c r="G4008" t="s">
        <v>2084</v>
      </c>
      <c r="H4008" t="s">
        <v>346</v>
      </c>
      <c r="I4008" t="s">
        <v>2117</v>
      </c>
    </row>
    <row r="4009" spans="1:9" x14ac:dyDescent="0.35">
      <c r="A4009">
        <v>361280</v>
      </c>
      <c r="B4009" t="s">
        <v>1346</v>
      </c>
      <c r="C4009" s="1">
        <v>42523</v>
      </c>
      <c r="D4009">
        <v>767</v>
      </c>
      <c r="E4009" t="b">
        <v>1</v>
      </c>
      <c r="F4009">
        <v>575</v>
      </c>
      <c r="G4009" t="s">
        <v>2084</v>
      </c>
      <c r="H4009" t="s">
        <v>239</v>
      </c>
      <c r="I4009" t="s">
        <v>2116</v>
      </c>
    </row>
    <row r="4010" spans="1:9" x14ac:dyDescent="0.35">
      <c r="A4010">
        <v>361280</v>
      </c>
      <c r="B4010" t="s">
        <v>1346</v>
      </c>
      <c r="C4010" s="1">
        <v>42523</v>
      </c>
      <c r="D4010">
        <v>767</v>
      </c>
      <c r="E4010" t="b">
        <v>1</v>
      </c>
      <c r="F4010">
        <v>575</v>
      </c>
      <c r="G4010" t="s">
        <v>2084</v>
      </c>
      <c r="H4010" t="s">
        <v>132</v>
      </c>
      <c r="I4010" t="s">
        <v>2117</v>
      </c>
    </row>
    <row r="4011" spans="1:9" x14ac:dyDescent="0.35">
      <c r="A4011">
        <v>361280</v>
      </c>
      <c r="B4011" t="s">
        <v>1346</v>
      </c>
      <c r="C4011" s="1">
        <v>42523</v>
      </c>
      <c r="D4011">
        <v>767</v>
      </c>
      <c r="E4011" t="b">
        <v>1</v>
      </c>
      <c r="F4011">
        <v>575</v>
      </c>
      <c r="G4011" t="s">
        <v>2084</v>
      </c>
      <c r="H4011" t="s">
        <v>124</v>
      </c>
      <c r="I4011" t="s">
        <v>2116</v>
      </c>
    </row>
    <row r="4012" spans="1:9" x14ac:dyDescent="0.35">
      <c r="A4012">
        <v>361280</v>
      </c>
      <c r="B4012" t="s">
        <v>1346</v>
      </c>
      <c r="C4012" s="1">
        <v>42523</v>
      </c>
      <c r="D4012">
        <v>767</v>
      </c>
      <c r="E4012" t="b">
        <v>1</v>
      </c>
      <c r="F4012">
        <v>575</v>
      </c>
      <c r="G4012" t="s">
        <v>2084</v>
      </c>
      <c r="H4012" t="s">
        <v>1510</v>
      </c>
      <c r="I4012" t="s">
        <v>2117</v>
      </c>
    </row>
    <row r="4013" spans="1:9" x14ac:dyDescent="0.35">
      <c r="A4013">
        <v>885970</v>
      </c>
      <c r="B4013" t="s">
        <v>1347</v>
      </c>
      <c r="C4013" s="1">
        <v>44315</v>
      </c>
      <c r="D4013">
        <v>764</v>
      </c>
      <c r="E4013" t="b">
        <v>1</v>
      </c>
      <c r="F4013">
        <v>576</v>
      </c>
      <c r="G4013" t="s">
        <v>133</v>
      </c>
      <c r="H4013" t="s">
        <v>49</v>
      </c>
      <c r="I4013" t="s">
        <v>2117</v>
      </c>
    </row>
    <row r="4014" spans="1:9" x14ac:dyDescent="0.35">
      <c r="A4014">
        <v>885970</v>
      </c>
      <c r="B4014" t="s">
        <v>1347</v>
      </c>
      <c r="C4014" s="1">
        <v>44315</v>
      </c>
      <c r="D4014">
        <v>764</v>
      </c>
      <c r="E4014" t="b">
        <v>1</v>
      </c>
      <c r="F4014">
        <v>576</v>
      </c>
      <c r="G4014" t="s">
        <v>133</v>
      </c>
      <c r="H4014" t="s">
        <v>792</v>
      </c>
      <c r="I4014" t="s">
        <v>2117</v>
      </c>
    </row>
    <row r="4015" spans="1:9" x14ac:dyDescent="0.35">
      <c r="A4015">
        <v>885970</v>
      </c>
      <c r="B4015" t="s">
        <v>1347</v>
      </c>
      <c r="C4015" s="1">
        <v>44315</v>
      </c>
      <c r="D4015">
        <v>764</v>
      </c>
      <c r="E4015" t="b">
        <v>1</v>
      </c>
      <c r="F4015">
        <v>576</v>
      </c>
      <c r="G4015" t="s">
        <v>133</v>
      </c>
      <c r="H4015" t="s">
        <v>346</v>
      </c>
      <c r="I4015" t="s">
        <v>2117</v>
      </c>
    </row>
    <row r="4016" spans="1:9" x14ac:dyDescent="0.35">
      <c r="A4016">
        <v>885970</v>
      </c>
      <c r="B4016" t="s">
        <v>1347</v>
      </c>
      <c r="C4016" s="1">
        <v>44315</v>
      </c>
      <c r="D4016">
        <v>764</v>
      </c>
      <c r="E4016" t="b">
        <v>1</v>
      </c>
      <c r="F4016">
        <v>576</v>
      </c>
      <c r="G4016" t="s">
        <v>133</v>
      </c>
      <c r="H4016" t="s">
        <v>239</v>
      </c>
      <c r="I4016" t="s">
        <v>2117</v>
      </c>
    </row>
    <row r="4017" spans="1:9" x14ac:dyDescent="0.35">
      <c r="A4017">
        <v>885970</v>
      </c>
      <c r="B4017" t="s">
        <v>1347</v>
      </c>
      <c r="C4017" s="1">
        <v>44315</v>
      </c>
      <c r="D4017">
        <v>764</v>
      </c>
      <c r="E4017" t="b">
        <v>1</v>
      </c>
      <c r="F4017">
        <v>576</v>
      </c>
      <c r="G4017" t="s">
        <v>133</v>
      </c>
      <c r="H4017" t="s">
        <v>132</v>
      </c>
      <c r="I4017" t="s">
        <v>2117</v>
      </c>
    </row>
    <row r="4018" spans="1:9" x14ac:dyDescent="0.35">
      <c r="A4018">
        <v>885970</v>
      </c>
      <c r="B4018" t="s">
        <v>1347</v>
      </c>
      <c r="C4018" s="1">
        <v>44315</v>
      </c>
      <c r="D4018">
        <v>764</v>
      </c>
      <c r="E4018" t="b">
        <v>1</v>
      </c>
      <c r="F4018">
        <v>576</v>
      </c>
      <c r="G4018" t="s">
        <v>133</v>
      </c>
      <c r="H4018" t="s">
        <v>124</v>
      </c>
      <c r="I4018" t="s">
        <v>2116</v>
      </c>
    </row>
    <row r="4019" spans="1:9" x14ac:dyDescent="0.35">
      <c r="A4019">
        <v>885970</v>
      </c>
      <c r="B4019" t="s">
        <v>1347</v>
      </c>
      <c r="C4019" s="1">
        <v>44315</v>
      </c>
      <c r="D4019">
        <v>764</v>
      </c>
      <c r="E4019" t="b">
        <v>1</v>
      </c>
      <c r="F4019">
        <v>576</v>
      </c>
      <c r="G4019" t="s">
        <v>133</v>
      </c>
      <c r="H4019" t="s">
        <v>1510</v>
      </c>
      <c r="I4019" t="s">
        <v>2117</v>
      </c>
    </row>
    <row r="4020" spans="1:9" x14ac:dyDescent="0.35">
      <c r="A4020">
        <v>629760</v>
      </c>
      <c r="B4020" t="s">
        <v>1349</v>
      </c>
      <c r="C4020" s="1">
        <v>43584</v>
      </c>
      <c r="D4020">
        <v>764</v>
      </c>
      <c r="E4020" t="b">
        <v>0</v>
      </c>
      <c r="F4020">
        <v>576</v>
      </c>
      <c r="G4020" t="s">
        <v>53</v>
      </c>
      <c r="H4020" t="s">
        <v>49</v>
      </c>
      <c r="I4020" t="s">
        <v>2116</v>
      </c>
    </row>
    <row r="4021" spans="1:9" x14ac:dyDescent="0.35">
      <c r="A4021">
        <v>629760</v>
      </c>
      <c r="B4021" t="s">
        <v>1349</v>
      </c>
      <c r="C4021" s="1">
        <v>43584</v>
      </c>
      <c r="D4021">
        <v>764</v>
      </c>
      <c r="E4021" t="b">
        <v>0</v>
      </c>
      <c r="F4021">
        <v>576</v>
      </c>
      <c r="G4021" t="s">
        <v>53</v>
      </c>
      <c r="H4021" t="s">
        <v>792</v>
      </c>
      <c r="I4021" t="s">
        <v>2116</v>
      </c>
    </row>
    <row r="4022" spans="1:9" x14ac:dyDescent="0.35">
      <c r="A4022">
        <v>629760</v>
      </c>
      <c r="B4022" t="s">
        <v>1349</v>
      </c>
      <c r="C4022" s="1">
        <v>43584</v>
      </c>
      <c r="D4022">
        <v>764</v>
      </c>
      <c r="E4022" t="b">
        <v>0</v>
      </c>
      <c r="F4022">
        <v>576</v>
      </c>
      <c r="G4022" t="s">
        <v>53</v>
      </c>
      <c r="H4022" t="s">
        <v>346</v>
      </c>
      <c r="I4022" t="s">
        <v>2117</v>
      </c>
    </row>
    <row r="4023" spans="1:9" x14ac:dyDescent="0.35">
      <c r="A4023">
        <v>629760</v>
      </c>
      <c r="B4023" t="s">
        <v>1349</v>
      </c>
      <c r="C4023" s="1">
        <v>43584</v>
      </c>
      <c r="D4023">
        <v>764</v>
      </c>
      <c r="E4023" t="b">
        <v>0</v>
      </c>
      <c r="F4023">
        <v>576</v>
      </c>
      <c r="G4023" t="s">
        <v>53</v>
      </c>
      <c r="H4023" t="s">
        <v>239</v>
      </c>
      <c r="I4023" t="s">
        <v>2117</v>
      </c>
    </row>
    <row r="4024" spans="1:9" x14ac:dyDescent="0.35">
      <c r="A4024">
        <v>629760</v>
      </c>
      <c r="B4024" t="s">
        <v>1349</v>
      </c>
      <c r="C4024" s="1">
        <v>43584</v>
      </c>
      <c r="D4024">
        <v>764</v>
      </c>
      <c r="E4024" t="b">
        <v>0</v>
      </c>
      <c r="F4024">
        <v>576</v>
      </c>
      <c r="G4024" t="s">
        <v>53</v>
      </c>
      <c r="H4024" t="s">
        <v>132</v>
      </c>
      <c r="I4024" t="s">
        <v>2117</v>
      </c>
    </row>
    <row r="4025" spans="1:9" x14ac:dyDescent="0.35">
      <c r="A4025">
        <v>629760</v>
      </c>
      <c r="B4025" t="s">
        <v>1349</v>
      </c>
      <c r="C4025" s="1">
        <v>43584</v>
      </c>
      <c r="D4025">
        <v>764</v>
      </c>
      <c r="E4025" t="b">
        <v>0</v>
      </c>
      <c r="F4025">
        <v>576</v>
      </c>
      <c r="G4025" t="s">
        <v>53</v>
      </c>
      <c r="H4025" t="s">
        <v>124</v>
      </c>
      <c r="I4025" t="s">
        <v>2117</v>
      </c>
    </row>
    <row r="4026" spans="1:9" x14ac:dyDescent="0.35">
      <c r="A4026">
        <v>629760</v>
      </c>
      <c r="B4026" t="s">
        <v>1349</v>
      </c>
      <c r="C4026" s="1">
        <v>43584</v>
      </c>
      <c r="D4026">
        <v>764</v>
      </c>
      <c r="E4026" t="b">
        <v>0</v>
      </c>
      <c r="F4026">
        <v>576</v>
      </c>
      <c r="G4026" t="s">
        <v>53</v>
      </c>
      <c r="H4026" t="s">
        <v>1510</v>
      </c>
      <c r="I4026" t="s">
        <v>2117</v>
      </c>
    </row>
    <row r="4027" spans="1:9" x14ac:dyDescent="0.35">
      <c r="A4027">
        <v>3003300</v>
      </c>
      <c r="B4027" t="s">
        <v>1351</v>
      </c>
      <c r="C4027" s="1">
        <v>45701</v>
      </c>
      <c r="D4027">
        <v>762</v>
      </c>
      <c r="E4027" t="b">
        <v>0</v>
      </c>
      <c r="F4027">
        <v>578</v>
      </c>
      <c r="G4027" t="s">
        <v>133</v>
      </c>
      <c r="H4027" t="s">
        <v>49</v>
      </c>
      <c r="I4027" t="s">
        <v>2117</v>
      </c>
    </row>
    <row r="4028" spans="1:9" x14ac:dyDescent="0.35">
      <c r="A4028">
        <v>3003300</v>
      </c>
      <c r="B4028" t="s">
        <v>1351</v>
      </c>
      <c r="C4028" s="1">
        <v>45701</v>
      </c>
      <c r="D4028">
        <v>762</v>
      </c>
      <c r="E4028" t="b">
        <v>0</v>
      </c>
      <c r="F4028">
        <v>578</v>
      </c>
      <c r="G4028" t="s">
        <v>133</v>
      </c>
      <c r="H4028" t="s">
        <v>792</v>
      </c>
      <c r="I4028" t="s">
        <v>2117</v>
      </c>
    </row>
    <row r="4029" spans="1:9" x14ac:dyDescent="0.35">
      <c r="A4029">
        <v>3003300</v>
      </c>
      <c r="B4029" t="s">
        <v>1351</v>
      </c>
      <c r="C4029" s="1">
        <v>45701</v>
      </c>
      <c r="D4029">
        <v>762</v>
      </c>
      <c r="E4029" t="b">
        <v>0</v>
      </c>
      <c r="F4029">
        <v>578</v>
      </c>
      <c r="G4029" t="s">
        <v>133</v>
      </c>
      <c r="H4029" t="s">
        <v>346</v>
      </c>
      <c r="I4029" t="s">
        <v>2117</v>
      </c>
    </row>
    <row r="4030" spans="1:9" x14ac:dyDescent="0.35">
      <c r="A4030">
        <v>3003300</v>
      </c>
      <c r="B4030" t="s">
        <v>1351</v>
      </c>
      <c r="C4030" s="1">
        <v>45701</v>
      </c>
      <c r="D4030">
        <v>762</v>
      </c>
      <c r="E4030" t="b">
        <v>0</v>
      </c>
      <c r="F4030">
        <v>578</v>
      </c>
      <c r="G4030" t="s">
        <v>133</v>
      </c>
      <c r="H4030" t="s">
        <v>239</v>
      </c>
      <c r="I4030" t="s">
        <v>2117</v>
      </c>
    </row>
    <row r="4031" spans="1:9" x14ac:dyDescent="0.35">
      <c r="A4031">
        <v>3003300</v>
      </c>
      <c r="B4031" t="s">
        <v>1351</v>
      </c>
      <c r="C4031" s="1">
        <v>45701</v>
      </c>
      <c r="D4031">
        <v>762</v>
      </c>
      <c r="E4031" t="b">
        <v>0</v>
      </c>
      <c r="F4031">
        <v>578</v>
      </c>
      <c r="G4031" t="s">
        <v>133</v>
      </c>
      <c r="H4031" t="s">
        <v>132</v>
      </c>
      <c r="I4031" t="s">
        <v>2117</v>
      </c>
    </row>
    <row r="4032" spans="1:9" x14ac:dyDescent="0.35">
      <c r="A4032">
        <v>3003300</v>
      </c>
      <c r="B4032" t="s">
        <v>1351</v>
      </c>
      <c r="C4032" s="1">
        <v>45701</v>
      </c>
      <c r="D4032">
        <v>762</v>
      </c>
      <c r="E4032" t="b">
        <v>0</v>
      </c>
      <c r="F4032">
        <v>578</v>
      </c>
      <c r="G4032" t="s">
        <v>133</v>
      </c>
      <c r="H4032" t="s">
        <v>124</v>
      </c>
      <c r="I4032" t="s">
        <v>2117</v>
      </c>
    </row>
    <row r="4033" spans="1:9" x14ac:dyDescent="0.35">
      <c r="A4033">
        <v>3003300</v>
      </c>
      <c r="B4033" t="s">
        <v>1351</v>
      </c>
      <c r="C4033" s="1">
        <v>45701</v>
      </c>
      <c r="D4033">
        <v>762</v>
      </c>
      <c r="E4033" t="b">
        <v>0</v>
      </c>
      <c r="F4033">
        <v>578</v>
      </c>
      <c r="G4033" t="s">
        <v>133</v>
      </c>
      <c r="H4033" t="s">
        <v>1510</v>
      </c>
      <c r="I4033" t="s">
        <v>2116</v>
      </c>
    </row>
    <row r="4034" spans="1:9" x14ac:dyDescent="0.35">
      <c r="A4034">
        <v>1948800</v>
      </c>
      <c r="B4034" t="s">
        <v>1354</v>
      </c>
      <c r="C4034" s="1">
        <v>45312</v>
      </c>
      <c r="D4034">
        <v>761</v>
      </c>
      <c r="E4034" t="b">
        <v>1</v>
      </c>
      <c r="F4034">
        <v>579</v>
      </c>
      <c r="G4034" t="s">
        <v>14</v>
      </c>
      <c r="H4034" t="s">
        <v>49</v>
      </c>
      <c r="I4034" t="s">
        <v>2117</v>
      </c>
    </row>
    <row r="4035" spans="1:9" x14ac:dyDescent="0.35">
      <c r="A4035">
        <v>1948800</v>
      </c>
      <c r="B4035" t="s">
        <v>1354</v>
      </c>
      <c r="C4035" s="1">
        <v>45312</v>
      </c>
      <c r="D4035">
        <v>761</v>
      </c>
      <c r="E4035" t="b">
        <v>1</v>
      </c>
      <c r="F4035">
        <v>579</v>
      </c>
      <c r="G4035" t="s">
        <v>14</v>
      </c>
      <c r="H4035" t="s">
        <v>792</v>
      </c>
      <c r="I4035" t="s">
        <v>2116</v>
      </c>
    </row>
    <row r="4036" spans="1:9" x14ac:dyDescent="0.35">
      <c r="A4036">
        <v>1948800</v>
      </c>
      <c r="B4036" t="s">
        <v>1354</v>
      </c>
      <c r="C4036" s="1">
        <v>45312</v>
      </c>
      <c r="D4036">
        <v>761</v>
      </c>
      <c r="E4036" t="b">
        <v>1</v>
      </c>
      <c r="F4036">
        <v>579</v>
      </c>
      <c r="G4036" t="s">
        <v>14</v>
      </c>
      <c r="H4036" t="s">
        <v>346</v>
      </c>
      <c r="I4036" t="s">
        <v>2117</v>
      </c>
    </row>
    <row r="4037" spans="1:9" x14ac:dyDescent="0.35">
      <c r="A4037">
        <v>1948800</v>
      </c>
      <c r="B4037" t="s">
        <v>1354</v>
      </c>
      <c r="C4037" s="1">
        <v>45312</v>
      </c>
      <c r="D4037">
        <v>761</v>
      </c>
      <c r="E4037" t="b">
        <v>1</v>
      </c>
      <c r="F4037">
        <v>579</v>
      </c>
      <c r="G4037" t="s">
        <v>14</v>
      </c>
      <c r="H4037" t="s">
        <v>239</v>
      </c>
      <c r="I4037" t="s">
        <v>2117</v>
      </c>
    </row>
    <row r="4038" spans="1:9" x14ac:dyDescent="0.35">
      <c r="A4038">
        <v>1948800</v>
      </c>
      <c r="B4038" t="s">
        <v>1354</v>
      </c>
      <c r="C4038" s="1">
        <v>45312</v>
      </c>
      <c r="D4038">
        <v>761</v>
      </c>
      <c r="E4038" t="b">
        <v>1</v>
      </c>
      <c r="F4038">
        <v>579</v>
      </c>
      <c r="G4038" t="s">
        <v>14</v>
      </c>
      <c r="H4038" t="s">
        <v>132</v>
      </c>
      <c r="I4038" t="s">
        <v>2117</v>
      </c>
    </row>
    <row r="4039" spans="1:9" x14ac:dyDescent="0.35">
      <c r="A4039">
        <v>1948800</v>
      </c>
      <c r="B4039" t="s">
        <v>1354</v>
      </c>
      <c r="C4039" s="1">
        <v>45312</v>
      </c>
      <c r="D4039">
        <v>761</v>
      </c>
      <c r="E4039" t="b">
        <v>1</v>
      </c>
      <c r="F4039">
        <v>579</v>
      </c>
      <c r="G4039" t="s">
        <v>14</v>
      </c>
      <c r="H4039" t="s">
        <v>124</v>
      </c>
      <c r="I4039" t="s">
        <v>2116</v>
      </c>
    </row>
    <row r="4040" spans="1:9" x14ac:dyDescent="0.35">
      <c r="A4040">
        <v>1948800</v>
      </c>
      <c r="B4040" t="s">
        <v>1354</v>
      </c>
      <c r="C4040" s="1">
        <v>45312</v>
      </c>
      <c r="D4040">
        <v>761</v>
      </c>
      <c r="E4040" t="b">
        <v>1</v>
      </c>
      <c r="F4040">
        <v>579</v>
      </c>
      <c r="G4040" t="s">
        <v>14</v>
      </c>
      <c r="H4040" t="s">
        <v>1510</v>
      </c>
      <c r="I4040" t="s">
        <v>2116</v>
      </c>
    </row>
    <row r="4041" spans="1:9" x14ac:dyDescent="0.35">
      <c r="A4041">
        <v>1462040</v>
      </c>
      <c r="B4041" t="s">
        <v>1355</v>
      </c>
      <c r="C4041" s="1">
        <v>44729</v>
      </c>
      <c r="D4041">
        <v>761</v>
      </c>
      <c r="E4041" t="b">
        <v>0</v>
      </c>
      <c r="F4041">
        <v>579</v>
      </c>
      <c r="G4041" t="s">
        <v>486</v>
      </c>
      <c r="H4041" t="s">
        <v>49</v>
      </c>
      <c r="I4041" t="s">
        <v>2116</v>
      </c>
    </row>
    <row r="4042" spans="1:9" x14ac:dyDescent="0.35">
      <c r="A4042">
        <v>1462040</v>
      </c>
      <c r="B4042" t="s">
        <v>1355</v>
      </c>
      <c r="C4042" s="1">
        <v>44729</v>
      </c>
      <c r="D4042">
        <v>761</v>
      </c>
      <c r="E4042" t="b">
        <v>0</v>
      </c>
      <c r="F4042">
        <v>579</v>
      </c>
      <c r="G4042" t="s">
        <v>486</v>
      </c>
      <c r="H4042" t="s">
        <v>792</v>
      </c>
      <c r="I4042" t="s">
        <v>2117</v>
      </c>
    </row>
    <row r="4043" spans="1:9" x14ac:dyDescent="0.35">
      <c r="A4043">
        <v>1462040</v>
      </c>
      <c r="B4043" t="s">
        <v>1355</v>
      </c>
      <c r="C4043" s="1">
        <v>44729</v>
      </c>
      <c r="D4043">
        <v>761</v>
      </c>
      <c r="E4043" t="b">
        <v>0</v>
      </c>
      <c r="F4043">
        <v>579</v>
      </c>
      <c r="G4043" t="s">
        <v>486</v>
      </c>
      <c r="H4043" t="s">
        <v>346</v>
      </c>
      <c r="I4043" t="s">
        <v>2116</v>
      </c>
    </row>
    <row r="4044" spans="1:9" x14ac:dyDescent="0.35">
      <c r="A4044">
        <v>1462040</v>
      </c>
      <c r="B4044" t="s">
        <v>1355</v>
      </c>
      <c r="C4044" s="1">
        <v>44729</v>
      </c>
      <c r="D4044">
        <v>761</v>
      </c>
      <c r="E4044" t="b">
        <v>0</v>
      </c>
      <c r="F4044">
        <v>579</v>
      </c>
      <c r="G4044" t="s">
        <v>486</v>
      </c>
      <c r="H4044" t="s">
        <v>239</v>
      </c>
      <c r="I4044" t="s">
        <v>2117</v>
      </c>
    </row>
    <row r="4045" spans="1:9" x14ac:dyDescent="0.35">
      <c r="A4045">
        <v>1462040</v>
      </c>
      <c r="B4045" t="s">
        <v>1355</v>
      </c>
      <c r="C4045" s="1">
        <v>44729</v>
      </c>
      <c r="D4045">
        <v>761</v>
      </c>
      <c r="E4045" t="b">
        <v>0</v>
      </c>
      <c r="F4045">
        <v>579</v>
      </c>
      <c r="G4045" t="s">
        <v>486</v>
      </c>
      <c r="H4045" t="s">
        <v>132</v>
      </c>
      <c r="I4045" t="s">
        <v>2116</v>
      </c>
    </row>
    <row r="4046" spans="1:9" x14ac:dyDescent="0.35">
      <c r="A4046">
        <v>1462040</v>
      </c>
      <c r="B4046" t="s">
        <v>1355</v>
      </c>
      <c r="C4046" s="1">
        <v>44729</v>
      </c>
      <c r="D4046">
        <v>761</v>
      </c>
      <c r="E4046" t="b">
        <v>0</v>
      </c>
      <c r="F4046">
        <v>579</v>
      </c>
      <c r="G4046" t="s">
        <v>486</v>
      </c>
      <c r="H4046" t="s">
        <v>124</v>
      </c>
      <c r="I4046" t="s">
        <v>2117</v>
      </c>
    </row>
    <row r="4047" spans="1:9" x14ac:dyDescent="0.35">
      <c r="A4047">
        <v>1462040</v>
      </c>
      <c r="B4047" t="s">
        <v>1355</v>
      </c>
      <c r="C4047" s="1">
        <v>44729</v>
      </c>
      <c r="D4047">
        <v>761</v>
      </c>
      <c r="E4047" t="b">
        <v>0</v>
      </c>
      <c r="F4047">
        <v>579</v>
      </c>
      <c r="G4047" t="s">
        <v>486</v>
      </c>
      <c r="H4047" t="s">
        <v>1510</v>
      </c>
      <c r="I4047" t="s">
        <v>2117</v>
      </c>
    </row>
    <row r="4048" spans="1:9" x14ac:dyDescent="0.35">
      <c r="A4048">
        <v>304050</v>
      </c>
      <c r="B4048" t="s">
        <v>1356</v>
      </c>
      <c r="C4048" s="1">
        <v>42194</v>
      </c>
      <c r="D4048">
        <v>758</v>
      </c>
      <c r="E4048" t="b">
        <v>0</v>
      </c>
      <c r="F4048">
        <v>581</v>
      </c>
      <c r="G4048" t="s">
        <v>33</v>
      </c>
      <c r="H4048" t="s">
        <v>49</v>
      </c>
      <c r="I4048" t="s">
        <v>2116</v>
      </c>
    </row>
    <row r="4049" spans="1:9" x14ac:dyDescent="0.35">
      <c r="A4049">
        <v>304050</v>
      </c>
      <c r="B4049" t="s">
        <v>1356</v>
      </c>
      <c r="C4049" s="1">
        <v>42194</v>
      </c>
      <c r="D4049">
        <v>758</v>
      </c>
      <c r="E4049" t="b">
        <v>0</v>
      </c>
      <c r="F4049">
        <v>581</v>
      </c>
      <c r="G4049" t="s">
        <v>33</v>
      </c>
      <c r="H4049" t="s">
        <v>792</v>
      </c>
      <c r="I4049" t="s">
        <v>2117</v>
      </c>
    </row>
    <row r="4050" spans="1:9" x14ac:dyDescent="0.35">
      <c r="A4050">
        <v>304050</v>
      </c>
      <c r="B4050" t="s">
        <v>1356</v>
      </c>
      <c r="C4050" s="1">
        <v>42194</v>
      </c>
      <c r="D4050">
        <v>758</v>
      </c>
      <c r="E4050" t="b">
        <v>0</v>
      </c>
      <c r="F4050">
        <v>581</v>
      </c>
      <c r="G4050" t="s">
        <v>33</v>
      </c>
      <c r="H4050" t="s">
        <v>346</v>
      </c>
      <c r="I4050" t="s">
        <v>2116</v>
      </c>
    </row>
    <row r="4051" spans="1:9" x14ac:dyDescent="0.35">
      <c r="A4051">
        <v>304050</v>
      </c>
      <c r="B4051" t="s">
        <v>1356</v>
      </c>
      <c r="C4051" s="1">
        <v>42194</v>
      </c>
      <c r="D4051">
        <v>758</v>
      </c>
      <c r="E4051" t="b">
        <v>0</v>
      </c>
      <c r="F4051">
        <v>581</v>
      </c>
      <c r="G4051" t="s">
        <v>33</v>
      </c>
      <c r="H4051" t="s">
        <v>239</v>
      </c>
      <c r="I4051" t="s">
        <v>2117</v>
      </c>
    </row>
    <row r="4052" spans="1:9" x14ac:dyDescent="0.35">
      <c r="A4052">
        <v>304050</v>
      </c>
      <c r="B4052" t="s">
        <v>1356</v>
      </c>
      <c r="C4052" s="1">
        <v>42194</v>
      </c>
      <c r="D4052">
        <v>758</v>
      </c>
      <c r="E4052" t="b">
        <v>0</v>
      </c>
      <c r="F4052">
        <v>581</v>
      </c>
      <c r="G4052" t="s">
        <v>33</v>
      </c>
      <c r="H4052" t="s">
        <v>132</v>
      </c>
      <c r="I4052" t="s">
        <v>2116</v>
      </c>
    </row>
    <row r="4053" spans="1:9" x14ac:dyDescent="0.35">
      <c r="A4053">
        <v>304050</v>
      </c>
      <c r="B4053" t="s">
        <v>1356</v>
      </c>
      <c r="C4053" s="1">
        <v>42194</v>
      </c>
      <c r="D4053">
        <v>758</v>
      </c>
      <c r="E4053" t="b">
        <v>0</v>
      </c>
      <c r="F4053">
        <v>581</v>
      </c>
      <c r="G4053" t="s">
        <v>33</v>
      </c>
      <c r="H4053" t="s">
        <v>124</v>
      </c>
      <c r="I4053" t="s">
        <v>2117</v>
      </c>
    </row>
    <row r="4054" spans="1:9" x14ac:dyDescent="0.35">
      <c r="A4054">
        <v>304050</v>
      </c>
      <c r="B4054" t="s">
        <v>1356</v>
      </c>
      <c r="C4054" s="1">
        <v>42194</v>
      </c>
      <c r="D4054">
        <v>758</v>
      </c>
      <c r="E4054" t="b">
        <v>0</v>
      </c>
      <c r="F4054">
        <v>581</v>
      </c>
      <c r="G4054" t="s">
        <v>33</v>
      </c>
      <c r="H4054" t="s">
        <v>1510</v>
      </c>
      <c r="I4054" t="s">
        <v>2116</v>
      </c>
    </row>
    <row r="4055" spans="1:9" x14ac:dyDescent="0.35">
      <c r="A4055">
        <v>282070</v>
      </c>
      <c r="B4055" t="s">
        <v>1358</v>
      </c>
      <c r="C4055" s="1">
        <v>41957</v>
      </c>
      <c r="D4055">
        <v>756</v>
      </c>
      <c r="E4055" t="b">
        <v>1</v>
      </c>
      <c r="F4055">
        <v>582</v>
      </c>
      <c r="G4055" t="s">
        <v>967</v>
      </c>
      <c r="H4055" t="s">
        <v>49</v>
      </c>
      <c r="I4055" t="s">
        <v>2117</v>
      </c>
    </row>
    <row r="4056" spans="1:9" x14ac:dyDescent="0.35">
      <c r="A4056">
        <v>282070</v>
      </c>
      <c r="B4056" t="s">
        <v>1358</v>
      </c>
      <c r="C4056" s="1">
        <v>41957</v>
      </c>
      <c r="D4056">
        <v>756</v>
      </c>
      <c r="E4056" t="b">
        <v>1</v>
      </c>
      <c r="F4056">
        <v>582</v>
      </c>
      <c r="G4056" t="s">
        <v>967</v>
      </c>
      <c r="H4056" t="s">
        <v>792</v>
      </c>
      <c r="I4056" t="s">
        <v>2116</v>
      </c>
    </row>
    <row r="4057" spans="1:9" x14ac:dyDescent="0.35">
      <c r="A4057">
        <v>282070</v>
      </c>
      <c r="B4057" t="s">
        <v>1358</v>
      </c>
      <c r="C4057" s="1">
        <v>41957</v>
      </c>
      <c r="D4057">
        <v>756</v>
      </c>
      <c r="E4057" t="b">
        <v>1</v>
      </c>
      <c r="F4057">
        <v>582</v>
      </c>
      <c r="G4057" t="s">
        <v>967</v>
      </c>
      <c r="H4057" t="s">
        <v>346</v>
      </c>
      <c r="I4057" t="s">
        <v>2116</v>
      </c>
    </row>
    <row r="4058" spans="1:9" x14ac:dyDescent="0.35">
      <c r="A4058">
        <v>282070</v>
      </c>
      <c r="B4058" t="s">
        <v>1358</v>
      </c>
      <c r="C4058" s="1">
        <v>41957</v>
      </c>
      <c r="D4058">
        <v>756</v>
      </c>
      <c r="E4058" t="b">
        <v>1</v>
      </c>
      <c r="F4058">
        <v>582</v>
      </c>
      <c r="G4058" t="s">
        <v>967</v>
      </c>
      <c r="H4058" t="s">
        <v>239</v>
      </c>
      <c r="I4058" t="s">
        <v>2116</v>
      </c>
    </row>
    <row r="4059" spans="1:9" x14ac:dyDescent="0.35">
      <c r="A4059">
        <v>282070</v>
      </c>
      <c r="B4059" t="s">
        <v>1358</v>
      </c>
      <c r="C4059" s="1">
        <v>41957</v>
      </c>
      <c r="D4059">
        <v>756</v>
      </c>
      <c r="E4059" t="b">
        <v>1</v>
      </c>
      <c r="F4059">
        <v>582</v>
      </c>
      <c r="G4059" t="s">
        <v>967</v>
      </c>
      <c r="H4059" t="s">
        <v>132</v>
      </c>
      <c r="I4059" t="s">
        <v>2117</v>
      </c>
    </row>
    <row r="4060" spans="1:9" x14ac:dyDescent="0.35">
      <c r="A4060">
        <v>282070</v>
      </c>
      <c r="B4060" t="s">
        <v>1358</v>
      </c>
      <c r="C4060" s="1">
        <v>41957</v>
      </c>
      <c r="D4060">
        <v>756</v>
      </c>
      <c r="E4060" t="b">
        <v>1</v>
      </c>
      <c r="F4060">
        <v>582</v>
      </c>
      <c r="G4060" t="s">
        <v>967</v>
      </c>
      <c r="H4060" t="s">
        <v>124</v>
      </c>
      <c r="I4060" t="s">
        <v>2117</v>
      </c>
    </row>
    <row r="4061" spans="1:9" x14ac:dyDescent="0.35">
      <c r="A4061">
        <v>282070</v>
      </c>
      <c r="B4061" t="s">
        <v>1358</v>
      </c>
      <c r="C4061" s="1">
        <v>41957</v>
      </c>
      <c r="D4061">
        <v>756</v>
      </c>
      <c r="E4061" t="b">
        <v>1</v>
      </c>
      <c r="F4061">
        <v>582</v>
      </c>
      <c r="G4061" t="s">
        <v>967</v>
      </c>
      <c r="H4061" t="s">
        <v>1510</v>
      </c>
      <c r="I4061" t="s">
        <v>2117</v>
      </c>
    </row>
    <row r="4062" spans="1:9" x14ac:dyDescent="0.35">
      <c r="A4062">
        <v>704450</v>
      </c>
      <c r="B4062" t="s">
        <v>1359</v>
      </c>
      <c r="C4062" s="1">
        <v>43186</v>
      </c>
      <c r="D4062">
        <v>753</v>
      </c>
      <c r="E4062" t="b">
        <v>1</v>
      </c>
      <c r="F4062">
        <v>583</v>
      </c>
      <c r="G4062" t="s">
        <v>14</v>
      </c>
      <c r="H4062" t="s">
        <v>49</v>
      </c>
      <c r="I4062" t="s">
        <v>2117</v>
      </c>
    </row>
    <row r="4063" spans="1:9" x14ac:dyDescent="0.35">
      <c r="A4063">
        <v>704450</v>
      </c>
      <c r="B4063" t="s">
        <v>1359</v>
      </c>
      <c r="C4063" s="1">
        <v>43186</v>
      </c>
      <c r="D4063">
        <v>753</v>
      </c>
      <c r="E4063" t="b">
        <v>1</v>
      </c>
      <c r="F4063">
        <v>583</v>
      </c>
      <c r="G4063" t="s">
        <v>14</v>
      </c>
      <c r="H4063" t="s">
        <v>792</v>
      </c>
      <c r="I4063" t="s">
        <v>2117</v>
      </c>
    </row>
    <row r="4064" spans="1:9" x14ac:dyDescent="0.35">
      <c r="A4064">
        <v>704450</v>
      </c>
      <c r="B4064" t="s">
        <v>1359</v>
      </c>
      <c r="C4064" s="1">
        <v>43186</v>
      </c>
      <c r="D4064">
        <v>753</v>
      </c>
      <c r="E4064" t="b">
        <v>1</v>
      </c>
      <c r="F4064">
        <v>583</v>
      </c>
      <c r="G4064" t="s">
        <v>14</v>
      </c>
      <c r="H4064" t="s">
        <v>346</v>
      </c>
      <c r="I4064" t="s">
        <v>2117</v>
      </c>
    </row>
    <row r="4065" spans="1:9" x14ac:dyDescent="0.35">
      <c r="A4065">
        <v>704450</v>
      </c>
      <c r="B4065" t="s">
        <v>1359</v>
      </c>
      <c r="C4065" s="1">
        <v>43186</v>
      </c>
      <c r="D4065">
        <v>753</v>
      </c>
      <c r="E4065" t="b">
        <v>1</v>
      </c>
      <c r="F4065">
        <v>583</v>
      </c>
      <c r="G4065" t="s">
        <v>14</v>
      </c>
      <c r="H4065" t="s">
        <v>239</v>
      </c>
      <c r="I4065" t="s">
        <v>2117</v>
      </c>
    </row>
    <row r="4066" spans="1:9" x14ac:dyDescent="0.35">
      <c r="A4066">
        <v>704450</v>
      </c>
      <c r="B4066" t="s">
        <v>1359</v>
      </c>
      <c r="C4066" s="1">
        <v>43186</v>
      </c>
      <c r="D4066">
        <v>753</v>
      </c>
      <c r="E4066" t="b">
        <v>1</v>
      </c>
      <c r="F4066">
        <v>583</v>
      </c>
      <c r="G4066" t="s">
        <v>14</v>
      </c>
      <c r="H4066" t="s">
        <v>132</v>
      </c>
      <c r="I4066" t="s">
        <v>2116</v>
      </c>
    </row>
    <row r="4067" spans="1:9" x14ac:dyDescent="0.35">
      <c r="A4067">
        <v>704450</v>
      </c>
      <c r="B4067" t="s">
        <v>1359</v>
      </c>
      <c r="C4067" s="1">
        <v>43186</v>
      </c>
      <c r="D4067">
        <v>753</v>
      </c>
      <c r="E4067" t="b">
        <v>1</v>
      </c>
      <c r="F4067">
        <v>583</v>
      </c>
      <c r="G4067" t="s">
        <v>14</v>
      </c>
      <c r="H4067" t="s">
        <v>124</v>
      </c>
      <c r="I4067" t="s">
        <v>2117</v>
      </c>
    </row>
    <row r="4068" spans="1:9" x14ac:dyDescent="0.35">
      <c r="A4068">
        <v>704450</v>
      </c>
      <c r="B4068" t="s">
        <v>1359</v>
      </c>
      <c r="C4068" s="1">
        <v>43186</v>
      </c>
      <c r="D4068">
        <v>753</v>
      </c>
      <c r="E4068" t="b">
        <v>1</v>
      </c>
      <c r="F4068">
        <v>583</v>
      </c>
      <c r="G4068" t="s">
        <v>14</v>
      </c>
      <c r="H4068" t="s">
        <v>1510</v>
      </c>
      <c r="I4068" t="s">
        <v>2117</v>
      </c>
    </row>
    <row r="4069" spans="1:9" x14ac:dyDescent="0.35">
      <c r="A4069">
        <v>40970</v>
      </c>
      <c r="B4069" t="s">
        <v>1361</v>
      </c>
      <c r="C4069" s="1">
        <v>41568</v>
      </c>
      <c r="D4069">
        <v>746</v>
      </c>
      <c r="E4069" t="b">
        <v>0</v>
      </c>
      <c r="F4069">
        <v>584</v>
      </c>
      <c r="G4069" t="s">
        <v>2084</v>
      </c>
      <c r="H4069" t="s">
        <v>49</v>
      </c>
      <c r="I4069" t="s">
        <v>2117</v>
      </c>
    </row>
    <row r="4070" spans="1:9" x14ac:dyDescent="0.35">
      <c r="A4070">
        <v>40970</v>
      </c>
      <c r="B4070" t="s">
        <v>1361</v>
      </c>
      <c r="C4070" s="1">
        <v>41568</v>
      </c>
      <c r="D4070">
        <v>746</v>
      </c>
      <c r="E4070" t="b">
        <v>0</v>
      </c>
      <c r="F4070">
        <v>584</v>
      </c>
      <c r="G4070" t="s">
        <v>2084</v>
      </c>
      <c r="H4070" t="s">
        <v>792</v>
      </c>
      <c r="I4070" t="s">
        <v>2117</v>
      </c>
    </row>
    <row r="4071" spans="1:9" x14ac:dyDescent="0.35">
      <c r="A4071">
        <v>40970</v>
      </c>
      <c r="B4071" t="s">
        <v>1361</v>
      </c>
      <c r="C4071" s="1">
        <v>41568</v>
      </c>
      <c r="D4071">
        <v>746</v>
      </c>
      <c r="E4071" t="b">
        <v>0</v>
      </c>
      <c r="F4071">
        <v>584</v>
      </c>
      <c r="G4071" t="s">
        <v>2084</v>
      </c>
      <c r="H4071" t="s">
        <v>346</v>
      </c>
      <c r="I4071" t="s">
        <v>2117</v>
      </c>
    </row>
    <row r="4072" spans="1:9" x14ac:dyDescent="0.35">
      <c r="A4072">
        <v>40970</v>
      </c>
      <c r="B4072" t="s">
        <v>1361</v>
      </c>
      <c r="C4072" s="1">
        <v>41568</v>
      </c>
      <c r="D4072">
        <v>746</v>
      </c>
      <c r="E4072" t="b">
        <v>0</v>
      </c>
      <c r="F4072">
        <v>584</v>
      </c>
      <c r="G4072" t="s">
        <v>2084</v>
      </c>
      <c r="H4072" t="s">
        <v>239</v>
      </c>
      <c r="I4072" t="s">
        <v>2116</v>
      </c>
    </row>
    <row r="4073" spans="1:9" x14ac:dyDescent="0.35">
      <c r="A4073">
        <v>40970</v>
      </c>
      <c r="B4073" t="s">
        <v>1361</v>
      </c>
      <c r="C4073" s="1">
        <v>41568</v>
      </c>
      <c r="D4073">
        <v>746</v>
      </c>
      <c r="E4073" t="b">
        <v>0</v>
      </c>
      <c r="F4073">
        <v>584</v>
      </c>
      <c r="G4073" t="s">
        <v>2084</v>
      </c>
      <c r="H4073" t="s">
        <v>132</v>
      </c>
      <c r="I4073" t="s">
        <v>2117</v>
      </c>
    </row>
    <row r="4074" spans="1:9" x14ac:dyDescent="0.35">
      <c r="A4074">
        <v>40970</v>
      </c>
      <c r="B4074" t="s">
        <v>1361</v>
      </c>
      <c r="C4074" s="1">
        <v>41568</v>
      </c>
      <c r="D4074">
        <v>746</v>
      </c>
      <c r="E4074" t="b">
        <v>0</v>
      </c>
      <c r="F4074">
        <v>584</v>
      </c>
      <c r="G4074" t="s">
        <v>2084</v>
      </c>
      <c r="H4074" t="s">
        <v>124</v>
      </c>
      <c r="I4074" t="s">
        <v>2116</v>
      </c>
    </row>
    <row r="4075" spans="1:9" x14ac:dyDescent="0.35">
      <c r="A4075">
        <v>40970</v>
      </c>
      <c r="B4075" t="s">
        <v>1361</v>
      </c>
      <c r="C4075" s="1">
        <v>41568</v>
      </c>
      <c r="D4075">
        <v>746</v>
      </c>
      <c r="E4075" t="b">
        <v>0</v>
      </c>
      <c r="F4075">
        <v>584</v>
      </c>
      <c r="G4075" t="s">
        <v>2084</v>
      </c>
      <c r="H4075" t="s">
        <v>1510</v>
      </c>
      <c r="I4075" t="s">
        <v>2117</v>
      </c>
    </row>
    <row r="4076" spans="1:9" x14ac:dyDescent="0.35">
      <c r="A4076">
        <v>625960</v>
      </c>
      <c r="B4076" t="s">
        <v>1363</v>
      </c>
      <c r="C4076" s="1">
        <v>43867</v>
      </c>
      <c r="D4076">
        <v>744</v>
      </c>
      <c r="E4076" t="b">
        <v>0</v>
      </c>
      <c r="F4076">
        <v>585</v>
      </c>
      <c r="G4076" t="s">
        <v>40</v>
      </c>
      <c r="H4076" t="s">
        <v>49</v>
      </c>
      <c r="I4076" t="s">
        <v>2117</v>
      </c>
    </row>
    <row r="4077" spans="1:9" x14ac:dyDescent="0.35">
      <c r="A4077">
        <v>625960</v>
      </c>
      <c r="B4077" t="s">
        <v>1363</v>
      </c>
      <c r="C4077" s="1">
        <v>43867</v>
      </c>
      <c r="D4077">
        <v>744</v>
      </c>
      <c r="E4077" t="b">
        <v>0</v>
      </c>
      <c r="F4077">
        <v>585</v>
      </c>
      <c r="G4077" t="s">
        <v>40</v>
      </c>
      <c r="H4077" t="s">
        <v>792</v>
      </c>
      <c r="I4077" t="s">
        <v>2116</v>
      </c>
    </row>
    <row r="4078" spans="1:9" x14ac:dyDescent="0.35">
      <c r="A4078">
        <v>625960</v>
      </c>
      <c r="B4078" t="s">
        <v>1363</v>
      </c>
      <c r="C4078" s="1">
        <v>43867</v>
      </c>
      <c r="D4078">
        <v>744</v>
      </c>
      <c r="E4078" t="b">
        <v>0</v>
      </c>
      <c r="F4078">
        <v>585</v>
      </c>
      <c r="G4078" t="s">
        <v>40</v>
      </c>
      <c r="H4078" t="s">
        <v>346</v>
      </c>
      <c r="I4078" t="s">
        <v>2116</v>
      </c>
    </row>
    <row r="4079" spans="1:9" x14ac:dyDescent="0.35">
      <c r="A4079">
        <v>625960</v>
      </c>
      <c r="B4079" t="s">
        <v>1363</v>
      </c>
      <c r="C4079" s="1">
        <v>43867</v>
      </c>
      <c r="D4079">
        <v>744</v>
      </c>
      <c r="E4079" t="b">
        <v>0</v>
      </c>
      <c r="F4079">
        <v>585</v>
      </c>
      <c r="G4079" t="s">
        <v>40</v>
      </c>
      <c r="H4079" t="s">
        <v>239</v>
      </c>
      <c r="I4079" t="s">
        <v>2117</v>
      </c>
    </row>
    <row r="4080" spans="1:9" x14ac:dyDescent="0.35">
      <c r="A4080">
        <v>625960</v>
      </c>
      <c r="B4080" t="s">
        <v>1363</v>
      </c>
      <c r="C4080" s="1">
        <v>43867</v>
      </c>
      <c r="D4080">
        <v>744</v>
      </c>
      <c r="E4080" t="b">
        <v>0</v>
      </c>
      <c r="F4080">
        <v>585</v>
      </c>
      <c r="G4080" t="s">
        <v>40</v>
      </c>
      <c r="H4080" t="s">
        <v>132</v>
      </c>
      <c r="I4080" t="s">
        <v>2116</v>
      </c>
    </row>
    <row r="4081" spans="1:9" x14ac:dyDescent="0.35">
      <c r="A4081">
        <v>625960</v>
      </c>
      <c r="B4081" t="s">
        <v>1363</v>
      </c>
      <c r="C4081" s="1">
        <v>43867</v>
      </c>
      <c r="D4081">
        <v>744</v>
      </c>
      <c r="E4081" t="b">
        <v>0</v>
      </c>
      <c r="F4081">
        <v>585</v>
      </c>
      <c r="G4081" t="s">
        <v>40</v>
      </c>
      <c r="H4081" t="s">
        <v>124</v>
      </c>
      <c r="I4081" t="s">
        <v>2116</v>
      </c>
    </row>
    <row r="4082" spans="1:9" x14ac:dyDescent="0.35">
      <c r="A4082">
        <v>625960</v>
      </c>
      <c r="B4082" t="s">
        <v>1363</v>
      </c>
      <c r="C4082" s="1">
        <v>43867</v>
      </c>
      <c r="D4082">
        <v>744</v>
      </c>
      <c r="E4082" t="b">
        <v>0</v>
      </c>
      <c r="F4082">
        <v>585</v>
      </c>
      <c r="G4082" t="s">
        <v>40</v>
      </c>
      <c r="H4082" t="s">
        <v>1510</v>
      </c>
      <c r="I4082" t="s">
        <v>2117</v>
      </c>
    </row>
    <row r="4083" spans="1:9" x14ac:dyDescent="0.35">
      <c r="A4083">
        <v>1718570</v>
      </c>
      <c r="B4083" t="s">
        <v>1366</v>
      </c>
      <c r="C4083" s="1">
        <v>44847</v>
      </c>
      <c r="D4083">
        <v>742</v>
      </c>
      <c r="E4083" t="b">
        <v>0</v>
      </c>
      <c r="F4083">
        <v>586</v>
      </c>
      <c r="G4083" t="s">
        <v>110</v>
      </c>
      <c r="H4083" t="s">
        <v>49</v>
      </c>
      <c r="I4083" t="s">
        <v>2116</v>
      </c>
    </row>
    <row r="4084" spans="1:9" x14ac:dyDescent="0.35">
      <c r="A4084">
        <v>1718570</v>
      </c>
      <c r="B4084" t="s">
        <v>1366</v>
      </c>
      <c r="C4084" s="1">
        <v>44847</v>
      </c>
      <c r="D4084">
        <v>742</v>
      </c>
      <c r="E4084" t="b">
        <v>0</v>
      </c>
      <c r="F4084">
        <v>586</v>
      </c>
      <c r="G4084" t="s">
        <v>110</v>
      </c>
      <c r="H4084" t="s">
        <v>792</v>
      </c>
      <c r="I4084" t="s">
        <v>2117</v>
      </c>
    </row>
    <row r="4085" spans="1:9" x14ac:dyDescent="0.35">
      <c r="A4085">
        <v>1718570</v>
      </c>
      <c r="B4085" t="s">
        <v>1366</v>
      </c>
      <c r="C4085" s="1">
        <v>44847</v>
      </c>
      <c r="D4085">
        <v>742</v>
      </c>
      <c r="E4085" t="b">
        <v>0</v>
      </c>
      <c r="F4085">
        <v>586</v>
      </c>
      <c r="G4085" t="s">
        <v>110</v>
      </c>
      <c r="H4085" t="s">
        <v>346</v>
      </c>
      <c r="I4085" t="s">
        <v>2116</v>
      </c>
    </row>
    <row r="4086" spans="1:9" x14ac:dyDescent="0.35">
      <c r="A4086">
        <v>1718570</v>
      </c>
      <c r="B4086" t="s">
        <v>1366</v>
      </c>
      <c r="C4086" s="1">
        <v>44847</v>
      </c>
      <c r="D4086">
        <v>742</v>
      </c>
      <c r="E4086" t="b">
        <v>0</v>
      </c>
      <c r="F4086">
        <v>586</v>
      </c>
      <c r="G4086" t="s">
        <v>110</v>
      </c>
      <c r="H4086" t="s">
        <v>239</v>
      </c>
      <c r="I4086" t="s">
        <v>2117</v>
      </c>
    </row>
    <row r="4087" spans="1:9" x14ac:dyDescent="0.35">
      <c r="A4087">
        <v>1718570</v>
      </c>
      <c r="B4087" t="s">
        <v>1366</v>
      </c>
      <c r="C4087" s="1">
        <v>44847</v>
      </c>
      <c r="D4087">
        <v>742</v>
      </c>
      <c r="E4087" t="b">
        <v>0</v>
      </c>
      <c r="F4087">
        <v>586</v>
      </c>
      <c r="G4087" t="s">
        <v>110</v>
      </c>
      <c r="H4087" t="s">
        <v>132</v>
      </c>
      <c r="I4087" t="s">
        <v>2116</v>
      </c>
    </row>
    <row r="4088" spans="1:9" x14ac:dyDescent="0.35">
      <c r="A4088">
        <v>1718570</v>
      </c>
      <c r="B4088" t="s">
        <v>1366</v>
      </c>
      <c r="C4088" s="1">
        <v>44847</v>
      </c>
      <c r="D4088">
        <v>742</v>
      </c>
      <c r="E4088" t="b">
        <v>0</v>
      </c>
      <c r="F4088">
        <v>586</v>
      </c>
      <c r="G4088" t="s">
        <v>110</v>
      </c>
      <c r="H4088" t="s">
        <v>124</v>
      </c>
      <c r="I4088" t="s">
        <v>2117</v>
      </c>
    </row>
    <row r="4089" spans="1:9" x14ac:dyDescent="0.35">
      <c r="A4089">
        <v>1718570</v>
      </c>
      <c r="B4089" t="s">
        <v>1366</v>
      </c>
      <c r="C4089" s="1">
        <v>44847</v>
      </c>
      <c r="D4089">
        <v>742</v>
      </c>
      <c r="E4089" t="b">
        <v>0</v>
      </c>
      <c r="F4089">
        <v>586</v>
      </c>
      <c r="G4089" t="s">
        <v>110</v>
      </c>
      <c r="H4089" t="s">
        <v>1510</v>
      </c>
      <c r="I4089" t="s">
        <v>2117</v>
      </c>
    </row>
    <row r="4090" spans="1:9" x14ac:dyDescent="0.35">
      <c r="A4090">
        <v>1766060</v>
      </c>
      <c r="B4090" t="s">
        <v>1367</v>
      </c>
      <c r="C4090" s="1">
        <v>45187</v>
      </c>
      <c r="D4090">
        <v>740</v>
      </c>
      <c r="E4090" t="b">
        <v>0</v>
      </c>
      <c r="F4090">
        <v>587</v>
      </c>
      <c r="G4090" t="s">
        <v>36</v>
      </c>
      <c r="H4090" t="s">
        <v>49</v>
      </c>
      <c r="I4090" t="s">
        <v>2116</v>
      </c>
    </row>
    <row r="4091" spans="1:9" x14ac:dyDescent="0.35">
      <c r="A4091">
        <v>1766060</v>
      </c>
      <c r="B4091" t="s">
        <v>1367</v>
      </c>
      <c r="C4091" s="1">
        <v>45187</v>
      </c>
      <c r="D4091">
        <v>740</v>
      </c>
      <c r="E4091" t="b">
        <v>0</v>
      </c>
      <c r="F4091">
        <v>587</v>
      </c>
      <c r="G4091" t="s">
        <v>36</v>
      </c>
      <c r="H4091" t="s">
        <v>792</v>
      </c>
      <c r="I4091" t="s">
        <v>2117</v>
      </c>
    </row>
    <row r="4092" spans="1:9" x14ac:dyDescent="0.35">
      <c r="A4092">
        <v>1766060</v>
      </c>
      <c r="B4092" t="s">
        <v>1367</v>
      </c>
      <c r="C4092" s="1">
        <v>45187</v>
      </c>
      <c r="D4092">
        <v>740</v>
      </c>
      <c r="E4092" t="b">
        <v>0</v>
      </c>
      <c r="F4092">
        <v>587</v>
      </c>
      <c r="G4092" t="s">
        <v>36</v>
      </c>
      <c r="H4092" t="s">
        <v>346</v>
      </c>
      <c r="I4092" t="s">
        <v>2116</v>
      </c>
    </row>
    <row r="4093" spans="1:9" x14ac:dyDescent="0.35">
      <c r="A4093">
        <v>1766060</v>
      </c>
      <c r="B4093" t="s">
        <v>1367</v>
      </c>
      <c r="C4093" s="1">
        <v>45187</v>
      </c>
      <c r="D4093">
        <v>740</v>
      </c>
      <c r="E4093" t="b">
        <v>0</v>
      </c>
      <c r="F4093">
        <v>587</v>
      </c>
      <c r="G4093" t="s">
        <v>36</v>
      </c>
      <c r="H4093" t="s">
        <v>239</v>
      </c>
      <c r="I4093" t="s">
        <v>2117</v>
      </c>
    </row>
    <row r="4094" spans="1:9" x14ac:dyDescent="0.35">
      <c r="A4094">
        <v>1766060</v>
      </c>
      <c r="B4094" t="s">
        <v>1367</v>
      </c>
      <c r="C4094" s="1">
        <v>45187</v>
      </c>
      <c r="D4094">
        <v>740</v>
      </c>
      <c r="E4094" t="b">
        <v>0</v>
      </c>
      <c r="F4094">
        <v>587</v>
      </c>
      <c r="G4094" t="s">
        <v>36</v>
      </c>
      <c r="H4094" t="s">
        <v>132</v>
      </c>
      <c r="I4094" t="s">
        <v>2116</v>
      </c>
    </row>
    <row r="4095" spans="1:9" x14ac:dyDescent="0.35">
      <c r="A4095">
        <v>1766060</v>
      </c>
      <c r="B4095" t="s">
        <v>1367</v>
      </c>
      <c r="C4095" s="1">
        <v>45187</v>
      </c>
      <c r="D4095">
        <v>740</v>
      </c>
      <c r="E4095" t="b">
        <v>0</v>
      </c>
      <c r="F4095">
        <v>587</v>
      </c>
      <c r="G4095" t="s">
        <v>36</v>
      </c>
      <c r="H4095" t="s">
        <v>124</v>
      </c>
      <c r="I4095" t="s">
        <v>2117</v>
      </c>
    </row>
    <row r="4096" spans="1:9" x14ac:dyDescent="0.35">
      <c r="A4096">
        <v>1766060</v>
      </c>
      <c r="B4096" t="s">
        <v>1367</v>
      </c>
      <c r="C4096" s="1">
        <v>45187</v>
      </c>
      <c r="D4096">
        <v>740</v>
      </c>
      <c r="E4096" t="b">
        <v>0</v>
      </c>
      <c r="F4096">
        <v>587</v>
      </c>
      <c r="G4096" t="s">
        <v>36</v>
      </c>
      <c r="H4096" t="s">
        <v>1510</v>
      </c>
      <c r="I4096" t="s">
        <v>2117</v>
      </c>
    </row>
    <row r="4097" spans="1:9" x14ac:dyDescent="0.35">
      <c r="A4097">
        <v>1419170</v>
      </c>
      <c r="B4097" t="s">
        <v>1369</v>
      </c>
      <c r="C4097" s="1">
        <v>44279</v>
      </c>
      <c r="D4097">
        <v>740</v>
      </c>
      <c r="E4097" t="b">
        <v>0</v>
      </c>
      <c r="F4097">
        <v>587</v>
      </c>
      <c r="G4097" t="s">
        <v>14</v>
      </c>
      <c r="H4097" t="s">
        <v>49</v>
      </c>
      <c r="I4097" t="s">
        <v>2117</v>
      </c>
    </row>
    <row r="4098" spans="1:9" x14ac:dyDescent="0.35">
      <c r="A4098">
        <v>1419170</v>
      </c>
      <c r="B4098" t="s">
        <v>1369</v>
      </c>
      <c r="C4098" s="1">
        <v>44279</v>
      </c>
      <c r="D4098">
        <v>740</v>
      </c>
      <c r="E4098" t="b">
        <v>0</v>
      </c>
      <c r="F4098">
        <v>587</v>
      </c>
      <c r="G4098" t="s">
        <v>14</v>
      </c>
      <c r="H4098" t="s">
        <v>792</v>
      </c>
      <c r="I4098" t="s">
        <v>2117</v>
      </c>
    </row>
    <row r="4099" spans="1:9" x14ac:dyDescent="0.35">
      <c r="A4099">
        <v>1419170</v>
      </c>
      <c r="B4099" t="s">
        <v>1369</v>
      </c>
      <c r="C4099" s="1">
        <v>44279</v>
      </c>
      <c r="D4099">
        <v>740</v>
      </c>
      <c r="E4099" t="b">
        <v>0</v>
      </c>
      <c r="F4099">
        <v>587</v>
      </c>
      <c r="G4099" t="s">
        <v>14</v>
      </c>
      <c r="H4099" t="s">
        <v>346</v>
      </c>
      <c r="I4099" t="s">
        <v>2117</v>
      </c>
    </row>
    <row r="4100" spans="1:9" x14ac:dyDescent="0.35">
      <c r="A4100">
        <v>1419170</v>
      </c>
      <c r="B4100" t="s">
        <v>1369</v>
      </c>
      <c r="C4100" s="1">
        <v>44279</v>
      </c>
      <c r="D4100">
        <v>740</v>
      </c>
      <c r="E4100" t="b">
        <v>0</v>
      </c>
      <c r="F4100">
        <v>587</v>
      </c>
      <c r="G4100" t="s">
        <v>14</v>
      </c>
      <c r="H4100" t="s">
        <v>239</v>
      </c>
      <c r="I4100" t="s">
        <v>2116</v>
      </c>
    </row>
    <row r="4101" spans="1:9" x14ac:dyDescent="0.35">
      <c r="A4101">
        <v>1419170</v>
      </c>
      <c r="B4101" t="s">
        <v>1369</v>
      </c>
      <c r="C4101" s="1">
        <v>44279</v>
      </c>
      <c r="D4101">
        <v>740</v>
      </c>
      <c r="E4101" t="b">
        <v>0</v>
      </c>
      <c r="F4101">
        <v>587</v>
      </c>
      <c r="G4101" t="s">
        <v>14</v>
      </c>
      <c r="H4101" t="s">
        <v>132</v>
      </c>
      <c r="I4101" t="s">
        <v>2117</v>
      </c>
    </row>
    <row r="4102" spans="1:9" x14ac:dyDescent="0.35">
      <c r="A4102">
        <v>1419170</v>
      </c>
      <c r="B4102" t="s">
        <v>1369</v>
      </c>
      <c r="C4102" s="1">
        <v>44279</v>
      </c>
      <c r="D4102">
        <v>740</v>
      </c>
      <c r="E4102" t="b">
        <v>0</v>
      </c>
      <c r="F4102">
        <v>587</v>
      </c>
      <c r="G4102" t="s">
        <v>14</v>
      </c>
      <c r="H4102" t="s">
        <v>124</v>
      </c>
      <c r="I4102" t="s">
        <v>2117</v>
      </c>
    </row>
    <row r="4103" spans="1:9" x14ac:dyDescent="0.35">
      <c r="A4103">
        <v>1419170</v>
      </c>
      <c r="B4103" t="s">
        <v>1369</v>
      </c>
      <c r="C4103" s="1">
        <v>44279</v>
      </c>
      <c r="D4103">
        <v>740</v>
      </c>
      <c r="E4103" t="b">
        <v>0</v>
      </c>
      <c r="F4103">
        <v>587</v>
      </c>
      <c r="G4103" t="s">
        <v>14</v>
      </c>
      <c r="H4103" t="s">
        <v>1510</v>
      </c>
      <c r="I4103" t="s">
        <v>2116</v>
      </c>
    </row>
    <row r="4104" spans="1:9" x14ac:dyDescent="0.35">
      <c r="A4104">
        <v>2515020</v>
      </c>
      <c r="B4104" t="s">
        <v>1371</v>
      </c>
      <c r="C4104" s="1">
        <v>45552</v>
      </c>
      <c r="D4104">
        <v>737</v>
      </c>
      <c r="E4104" t="b">
        <v>0</v>
      </c>
      <c r="F4104">
        <v>589</v>
      </c>
      <c r="G4104" t="s">
        <v>816</v>
      </c>
      <c r="H4104" t="s">
        <v>49</v>
      </c>
      <c r="I4104" t="s">
        <v>2116</v>
      </c>
    </row>
    <row r="4105" spans="1:9" x14ac:dyDescent="0.35">
      <c r="A4105">
        <v>2515020</v>
      </c>
      <c r="B4105" t="s">
        <v>1371</v>
      </c>
      <c r="C4105" s="1">
        <v>45552</v>
      </c>
      <c r="D4105">
        <v>737</v>
      </c>
      <c r="E4105" t="b">
        <v>0</v>
      </c>
      <c r="F4105">
        <v>589</v>
      </c>
      <c r="G4105" t="s">
        <v>816</v>
      </c>
      <c r="H4105" t="s">
        <v>792</v>
      </c>
      <c r="I4105" t="s">
        <v>2117</v>
      </c>
    </row>
    <row r="4106" spans="1:9" x14ac:dyDescent="0.35">
      <c r="A4106">
        <v>2515020</v>
      </c>
      <c r="B4106" t="s">
        <v>1371</v>
      </c>
      <c r="C4106" s="1">
        <v>45552</v>
      </c>
      <c r="D4106">
        <v>737</v>
      </c>
      <c r="E4106" t="b">
        <v>0</v>
      </c>
      <c r="F4106">
        <v>589</v>
      </c>
      <c r="G4106" t="s">
        <v>816</v>
      </c>
      <c r="H4106" t="s">
        <v>346</v>
      </c>
      <c r="I4106" t="s">
        <v>2117</v>
      </c>
    </row>
    <row r="4107" spans="1:9" x14ac:dyDescent="0.35">
      <c r="A4107">
        <v>2515020</v>
      </c>
      <c r="B4107" t="s">
        <v>1371</v>
      </c>
      <c r="C4107" s="1">
        <v>45552</v>
      </c>
      <c r="D4107">
        <v>737</v>
      </c>
      <c r="E4107" t="b">
        <v>0</v>
      </c>
      <c r="F4107">
        <v>589</v>
      </c>
      <c r="G4107" t="s">
        <v>816</v>
      </c>
      <c r="H4107" t="s">
        <v>239</v>
      </c>
      <c r="I4107" t="s">
        <v>2117</v>
      </c>
    </row>
    <row r="4108" spans="1:9" x14ac:dyDescent="0.35">
      <c r="A4108">
        <v>2515020</v>
      </c>
      <c r="B4108" t="s">
        <v>1371</v>
      </c>
      <c r="C4108" s="1">
        <v>45552</v>
      </c>
      <c r="D4108">
        <v>737</v>
      </c>
      <c r="E4108" t="b">
        <v>0</v>
      </c>
      <c r="F4108">
        <v>589</v>
      </c>
      <c r="G4108" t="s">
        <v>816</v>
      </c>
      <c r="H4108" t="s">
        <v>132</v>
      </c>
      <c r="I4108" t="s">
        <v>2116</v>
      </c>
    </row>
    <row r="4109" spans="1:9" x14ac:dyDescent="0.35">
      <c r="A4109">
        <v>2515020</v>
      </c>
      <c r="B4109" t="s">
        <v>1371</v>
      </c>
      <c r="C4109" s="1">
        <v>45552</v>
      </c>
      <c r="D4109">
        <v>737</v>
      </c>
      <c r="E4109" t="b">
        <v>0</v>
      </c>
      <c r="F4109">
        <v>589</v>
      </c>
      <c r="G4109" t="s">
        <v>816</v>
      </c>
      <c r="H4109" t="s">
        <v>124</v>
      </c>
      <c r="I4109" t="s">
        <v>2117</v>
      </c>
    </row>
    <row r="4110" spans="1:9" x14ac:dyDescent="0.35">
      <c r="A4110">
        <v>2515020</v>
      </c>
      <c r="B4110" t="s">
        <v>1371</v>
      </c>
      <c r="C4110" s="1">
        <v>45552</v>
      </c>
      <c r="D4110">
        <v>737</v>
      </c>
      <c r="E4110" t="b">
        <v>0</v>
      </c>
      <c r="F4110">
        <v>589</v>
      </c>
      <c r="G4110" t="s">
        <v>816</v>
      </c>
      <c r="H4110" t="s">
        <v>1510</v>
      </c>
      <c r="I4110" t="s">
        <v>2117</v>
      </c>
    </row>
    <row r="4111" spans="1:9" x14ac:dyDescent="0.35">
      <c r="A4111">
        <v>1677110</v>
      </c>
      <c r="B4111" t="s">
        <v>1373</v>
      </c>
      <c r="C4111" s="1">
        <v>45370</v>
      </c>
      <c r="D4111">
        <v>732</v>
      </c>
      <c r="E4111" t="b">
        <v>0</v>
      </c>
      <c r="F4111">
        <v>590</v>
      </c>
      <c r="G4111" t="s">
        <v>1101</v>
      </c>
      <c r="H4111" t="s">
        <v>49</v>
      </c>
      <c r="I4111" t="s">
        <v>2117</v>
      </c>
    </row>
    <row r="4112" spans="1:9" x14ac:dyDescent="0.35">
      <c r="A4112">
        <v>1677110</v>
      </c>
      <c r="B4112" t="s">
        <v>1373</v>
      </c>
      <c r="C4112" s="1">
        <v>45370</v>
      </c>
      <c r="D4112">
        <v>732</v>
      </c>
      <c r="E4112" t="b">
        <v>0</v>
      </c>
      <c r="F4112">
        <v>590</v>
      </c>
      <c r="G4112" t="s">
        <v>1101</v>
      </c>
      <c r="H4112" t="s">
        <v>792</v>
      </c>
      <c r="I4112" t="s">
        <v>2117</v>
      </c>
    </row>
    <row r="4113" spans="1:9" x14ac:dyDescent="0.35">
      <c r="A4113">
        <v>1677110</v>
      </c>
      <c r="B4113" t="s">
        <v>1373</v>
      </c>
      <c r="C4113" s="1">
        <v>45370</v>
      </c>
      <c r="D4113">
        <v>732</v>
      </c>
      <c r="E4113" t="b">
        <v>0</v>
      </c>
      <c r="F4113">
        <v>590</v>
      </c>
      <c r="G4113" t="s">
        <v>1101</v>
      </c>
      <c r="H4113" t="s">
        <v>346</v>
      </c>
      <c r="I4113" t="s">
        <v>2117</v>
      </c>
    </row>
    <row r="4114" spans="1:9" x14ac:dyDescent="0.35">
      <c r="A4114">
        <v>1677110</v>
      </c>
      <c r="B4114" t="s">
        <v>1373</v>
      </c>
      <c r="C4114" s="1">
        <v>45370</v>
      </c>
      <c r="D4114">
        <v>732</v>
      </c>
      <c r="E4114" t="b">
        <v>0</v>
      </c>
      <c r="F4114">
        <v>590</v>
      </c>
      <c r="G4114" t="s">
        <v>1101</v>
      </c>
      <c r="H4114" t="s">
        <v>239</v>
      </c>
      <c r="I4114" t="s">
        <v>2117</v>
      </c>
    </row>
    <row r="4115" spans="1:9" x14ac:dyDescent="0.35">
      <c r="A4115">
        <v>1677110</v>
      </c>
      <c r="B4115" t="s">
        <v>1373</v>
      </c>
      <c r="C4115" s="1">
        <v>45370</v>
      </c>
      <c r="D4115">
        <v>732</v>
      </c>
      <c r="E4115" t="b">
        <v>0</v>
      </c>
      <c r="F4115">
        <v>590</v>
      </c>
      <c r="G4115" t="s">
        <v>1101</v>
      </c>
      <c r="H4115" t="s">
        <v>132</v>
      </c>
      <c r="I4115" t="s">
        <v>2117</v>
      </c>
    </row>
    <row r="4116" spans="1:9" x14ac:dyDescent="0.35">
      <c r="A4116">
        <v>1677110</v>
      </c>
      <c r="B4116" t="s">
        <v>1373</v>
      </c>
      <c r="C4116" s="1">
        <v>45370</v>
      </c>
      <c r="D4116">
        <v>732</v>
      </c>
      <c r="E4116" t="b">
        <v>0</v>
      </c>
      <c r="F4116">
        <v>590</v>
      </c>
      <c r="G4116" t="s">
        <v>1101</v>
      </c>
      <c r="H4116" t="s">
        <v>124</v>
      </c>
      <c r="I4116" t="s">
        <v>2117</v>
      </c>
    </row>
    <row r="4117" spans="1:9" x14ac:dyDescent="0.35">
      <c r="A4117">
        <v>1677110</v>
      </c>
      <c r="B4117" t="s">
        <v>1373</v>
      </c>
      <c r="C4117" s="1">
        <v>45370</v>
      </c>
      <c r="D4117">
        <v>732</v>
      </c>
      <c r="E4117" t="b">
        <v>0</v>
      </c>
      <c r="F4117">
        <v>590</v>
      </c>
      <c r="G4117" t="s">
        <v>1101</v>
      </c>
      <c r="H4117" t="s">
        <v>1510</v>
      </c>
      <c r="I4117" t="s">
        <v>2117</v>
      </c>
    </row>
    <row r="4118" spans="1:9" x14ac:dyDescent="0.35">
      <c r="A4118">
        <v>3191030</v>
      </c>
      <c r="B4118" t="s">
        <v>1375</v>
      </c>
      <c r="C4118" s="1">
        <v>45723</v>
      </c>
      <c r="D4118">
        <v>731</v>
      </c>
      <c r="E4118" t="b">
        <v>0</v>
      </c>
      <c r="F4118">
        <v>591</v>
      </c>
      <c r="G4118" t="s">
        <v>14</v>
      </c>
      <c r="H4118" t="s">
        <v>49</v>
      </c>
      <c r="I4118" t="s">
        <v>2117</v>
      </c>
    </row>
    <row r="4119" spans="1:9" x14ac:dyDescent="0.35">
      <c r="A4119">
        <v>3191030</v>
      </c>
      <c r="B4119" t="s">
        <v>1375</v>
      </c>
      <c r="C4119" s="1">
        <v>45723</v>
      </c>
      <c r="D4119">
        <v>731</v>
      </c>
      <c r="E4119" t="b">
        <v>0</v>
      </c>
      <c r="F4119">
        <v>591</v>
      </c>
      <c r="G4119" t="s">
        <v>14</v>
      </c>
      <c r="H4119" t="s">
        <v>792</v>
      </c>
      <c r="I4119" t="s">
        <v>2117</v>
      </c>
    </row>
    <row r="4120" spans="1:9" x14ac:dyDescent="0.35">
      <c r="A4120">
        <v>3191030</v>
      </c>
      <c r="B4120" t="s">
        <v>1375</v>
      </c>
      <c r="C4120" s="1">
        <v>45723</v>
      </c>
      <c r="D4120">
        <v>731</v>
      </c>
      <c r="E4120" t="b">
        <v>0</v>
      </c>
      <c r="F4120">
        <v>591</v>
      </c>
      <c r="G4120" t="s">
        <v>14</v>
      </c>
      <c r="H4120" t="s">
        <v>346</v>
      </c>
      <c r="I4120" t="s">
        <v>2117</v>
      </c>
    </row>
    <row r="4121" spans="1:9" x14ac:dyDescent="0.35">
      <c r="A4121">
        <v>3191030</v>
      </c>
      <c r="B4121" t="s">
        <v>1375</v>
      </c>
      <c r="C4121" s="1">
        <v>45723</v>
      </c>
      <c r="D4121">
        <v>731</v>
      </c>
      <c r="E4121" t="b">
        <v>0</v>
      </c>
      <c r="F4121">
        <v>591</v>
      </c>
      <c r="G4121" t="s">
        <v>14</v>
      </c>
      <c r="H4121" t="s">
        <v>239</v>
      </c>
      <c r="I4121" t="s">
        <v>2117</v>
      </c>
    </row>
    <row r="4122" spans="1:9" x14ac:dyDescent="0.35">
      <c r="A4122">
        <v>3191030</v>
      </c>
      <c r="B4122" t="s">
        <v>1375</v>
      </c>
      <c r="C4122" s="1">
        <v>45723</v>
      </c>
      <c r="D4122">
        <v>731</v>
      </c>
      <c r="E4122" t="b">
        <v>0</v>
      </c>
      <c r="F4122">
        <v>591</v>
      </c>
      <c r="G4122" t="s">
        <v>14</v>
      </c>
      <c r="H4122" t="s">
        <v>132</v>
      </c>
      <c r="I4122" t="s">
        <v>2117</v>
      </c>
    </row>
    <row r="4123" spans="1:9" x14ac:dyDescent="0.35">
      <c r="A4123">
        <v>3191030</v>
      </c>
      <c r="B4123" t="s">
        <v>1375</v>
      </c>
      <c r="C4123" s="1">
        <v>45723</v>
      </c>
      <c r="D4123">
        <v>731</v>
      </c>
      <c r="E4123" t="b">
        <v>0</v>
      </c>
      <c r="F4123">
        <v>591</v>
      </c>
      <c r="G4123" t="s">
        <v>14</v>
      </c>
      <c r="H4123" t="s">
        <v>124</v>
      </c>
      <c r="I4123" t="s">
        <v>2116</v>
      </c>
    </row>
    <row r="4124" spans="1:9" x14ac:dyDescent="0.35">
      <c r="A4124">
        <v>3191030</v>
      </c>
      <c r="B4124" t="s">
        <v>1375</v>
      </c>
      <c r="C4124" s="1">
        <v>45723</v>
      </c>
      <c r="D4124">
        <v>731</v>
      </c>
      <c r="E4124" t="b">
        <v>0</v>
      </c>
      <c r="F4124">
        <v>591</v>
      </c>
      <c r="G4124" t="s">
        <v>14</v>
      </c>
      <c r="H4124" t="s">
        <v>1510</v>
      </c>
      <c r="I4124" t="s">
        <v>2117</v>
      </c>
    </row>
    <row r="4125" spans="1:9" x14ac:dyDescent="0.35">
      <c r="A4125">
        <v>2773280</v>
      </c>
      <c r="B4125" t="s">
        <v>1376</v>
      </c>
      <c r="C4125" s="1">
        <v>45727</v>
      </c>
      <c r="D4125">
        <v>723</v>
      </c>
      <c r="E4125" t="b">
        <v>1</v>
      </c>
      <c r="F4125">
        <v>592</v>
      </c>
      <c r="G4125" t="s">
        <v>304</v>
      </c>
      <c r="H4125" t="s">
        <v>49</v>
      </c>
      <c r="I4125" t="s">
        <v>2116</v>
      </c>
    </row>
    <row r="4126" spans="1:9" x14ac:dyDescent="0.35">
      <c r="A4126">
        <v>2773280</v>
      </c>
      <c r="B4126" t="s">
        <v>1376</v>
      </c>
      <c r="C4126" s="1">
        <v>45727</v>
      </c>
      <c r="D4126">
        <v>723</v>
      </c>
      <c r="E4126" t="b">
        <v>1</v>
      </c>
      <c r="F4126">
        <v>592</v>
      </c>
      <c r="G4126" t="s">
        <v>304</v>
      </c>
      <c r="H4126" t="s">
        <v>792</v>
      </c>
      <c r="I4126" t="s">
        <v>2117</v>
      </c>
    </row>
    <row r="4127" spans="1:9" x14ac:dyDescent="0.35">
      <c r="A4127">
        <v>2773280</v>
      </c>
      <c r="B4127" t="s">
        <v>1376</v>
      </c>
      <c r="C4127" s="1">
        <v>45727</v>
      </c>
      <c r="D4127">
        <v>723</v>
      </c>
      <c r="E4127" t="b">
        <v>1</v>
      </c>
      <c r="F4127">
        <v>592</v>
      </c>
      <c r="G4127" t="s">
        <v>304</v>
      </c>
      <c r="H4127" t="s">
        <v>346</v>
      </c>
      <c r="I4127" t="s">
        <v>2117</v>
      </c>
    </row>
    <row r="4128" spans="1:9" x14ac:dyDescent="0.35">
      <c r="A4128">
        <v>2773280</v>
      </c>
      <c r="B4128" t="s">
        <v>1376</v>
      </c>
      <c r="C4128" s="1">
        <v>45727</v>
      </c>
      <c r="D4128">
        <v>723</v>
      </c>
      <c r="E4128" t="b">
        <v>1</v>
      </c>
      <c r="F4128">
        <v>592</v>
      </c>
      <c r="G4128" t="s">
        <v>304</v>
      </c>
      <c r="H4128" t="s">
        <v>239</v>
      </c>
      <c r="I4128" t="s">
        <v>2116</v>
      </c>
    </row>
    <row r="4129" spans="1:9" x14ac:dyDescent="0.35">
      <c r="A4129">
        <v>2773280</v>
      </c>
      <c r="B4129" t="s">
        <v>1376</v>
      </c>
      <c r="C4129" s="1">
        <v>45727</v>
      </c>
      <c r="D4129">
        <v>723</v>
      </c>
      <c r="E4129" t="b">
        <v>1</v>
      </c>
      <c r="F4129">
        <v>592</v>
      </c>
      <c r="G4129" t="s">
        <v>304</v>
      </c>
      <c r="H4129" t="s">
        <v>132</v>
      </c>
      <c r="I4129" t="s">
        <v>2116</v>
      </c>
    </row>
    <row r="4130" spans="1:9" x14ac:dyDescent="0.35">
      <c r="A4130">
        <v>2773280</v>
      </c>
      <c r="B4130" t="s">
        <v>1376</v>
      </c>
      <c r="C4130" s="1">
        <v>45727</v>
      </c>
      <c r="D4130">
        <v>723</v>
      </c>
      <c r="E4130" t="b">
        <v>1</v>
      </c>
      <c r="F4130">
        <v>592</v>
      </c>
      <c r="G4130" t="s">
        <v>304</v>
      </c>
      <c r="H4130" t="s">
        <v>124</v>
      </c>
      <c r="I4130" t="s">
        <v>2117</v>
      </c>
    </row>
    <row r="4131" spans="1:9" x14ac:dyDescent="0.35">
      <c r="A4131">
        <v>2773280</v>
      </c>
      <c r="B4131" t="s">
        <v>1376</v>
      </c>
      <c r="C4131" s="1">
        <v>45727</v>
      </c>
      <c r="D4131">
        <v>723</v>
      </c>
      <c r="E4131" t="b">
        <v>1</v>
      </c>
      <c r="F4131">
        <v>592</v>
      </c>
      <c r="G4131" t="s">
        <v>304</v>
      </c>
      <c r="H4131" t="s">
        <v>1510</v>
      </c>
      <c r="I4131" t="s">
        <v>2117</v>
      </c>
    </row>
    <row r="4132" spans="1:9" x14ac:dyDescent="0.35">
      <c r="A4132">
        <v>2881650</v>
      </c>
      <c r="B4132" t="s">
        <v>1378</v>
      </c>
      <c r="C4132" s="1">
        <v>45383</v>
      </c>
      <c r="D4132">
        <v>722</v>
      </c>
      <c r="E4132" t="b">
        <v>0</v>
      </c>
      <c r="F4132">
        <v>593</v>
      </c>
      <c r="G4132" t="s">
        <v>53</v>
      </c>
      <c r="H4132" t="s">
        <v>49</v>
      </c>
      <c r="I4132" t="s">
        <v>2116</v>
      </c>
    </row>
    <row r="4133" spans="1:9" x14ac:dyDescent="0.35">
      <c r="A4133">
        <v>2881650</v>
      </c>
      <c r="B4133" t="s">
        <v>1378</v>
      </c>
      <c r="C4133" s="1">
        <v>45383</v>
      </c>
      <c r="D4133">
        <v>722</v>
      </c>
      <c r="E4133" t="b">
        <v>0</v>
      </c>
      <c r="F4133">
        <v>593</v>
      </c>
      <c r="G4133" t="s">
        <v>53</v>
      </c>
      <c r="H4133" t="s">
        <v>792</v>
      </c>
      <c r="I4133" t="s">
        <v>2116</v>
      </c>
    </row>
    <row r="4134" spans="1:9" x14ac:dyDescent="0.35">
      <c r="A4134">
        <v>2881650</v>
      </c>
      <c r="B4134" t="s">
        <v>1378</v>
      </c>
      <c r="C4134" s="1">
        <v>45383</v>
      </c>
      <c r="D4134">
        <v>722</v>
      </c>
      <c r="E4134" t="b">
        <v>0</v>
      </c>
      <c r="F4134">
        <v>593</v>
      </c>
      <c r="G4134" t="s">
        <v>53</v>
      </c>
      <c r="H4134" t="s">
        <v>346</v>
      </c>
      <c r="I4134" t="s">
        <v>2116</v>
      </c>
    </row>
    <row r="4135" spans="1:9" x14ac:dyDescent="0.35">
      <c r="A4135">
        <v>2881650</v>
      </c>
      <c r="B4135" t="s">
        <v>1378</v>
      </c>
      <c r="C4135" s="1">
        <v>45383</v>
      </c>
      <c r="D4135">
        <v>722</v>
      </c>
      <c r="E4135" t="b">
        <v>0</v>
      </c>
      <c r="F4135">
        <v>593</v>
      </c>
      <c r="G4135" t="s">
        <v>53</v>
      </c>
      <c r="H4135" t="s">
        <v>239</v>
      </c>
      <c r="I4135" t="s">
        <v>2117</v>
      </c>
    </row>
    <row r="4136" spans="1:9" x14ac:dyDescent="0.35">
      <c r="A4136">
        <v>2881650</v>
      </c>
      <c r="B4136" t="s">
        <v>1378</v>
      </c>
      <c r="C4136" s="1">
        <v>45383</v>
      </c>
      <c r="D4136">
        <v>722</v>
      </c>
      <c r="E4136" t="b">
        <v>0</v>
      </c>
      <c r="F4136">
        <v>593</v>
      </c>
      <c r="G4136" t="s">
        <v>53</v>
      </c>
      <c r="H4136" t="s">
        <v>132</v>
      </c>
      <c r="I4136" t="s">
        <v>2117</v>
      </c>
    </row>
    <row r="4137" spans="1:9" x14ac:dyDescent="0.35">
      <c r="A4137">
        <v>2881650</v>
      </c>
      <c r="B4137" t="s">
        <v>1378</v>
      </c>
      <c r="C4137" s="1">
        <v>45383</v>
      </c>
      <c r="D4137">
        <v>722</v>
      </c>
      <c r="E4137" t="b">
        <v>0</v>
      </c>
      <c r="F4137">
        <v>593</v>
      </c>
      <c r="G4137" t="s">
        <v>53</v>
      </c>
      <c r="H4137" t="s">
        <v>124</v>
      </c>
      <c r="I4137" t="s">
        <v>2117</v>
      </c>
    </row>
    <row r="4138" spans="1:9" x14ac:dyDescent="0.35">
      <c r="A4138">
        <v>2881650</v>
      </c>
      <c r="B4138" t="s">
        <v>1378</v>
      </c>
      <c r="C4138" s="1">
        <v>45383</v>
      </c>
      <c r="D4138">
        <v>722</v>
      </c>
      <c r="E4138" t="b">
        <v>0</v>
      </c>
      <c r="F4138">
        <v>593</v>
      </c>
      <c r="G4138" t="s">
        <v>53</v>
      </c>
      <c r="H4138" t="s">
        <v>1510</v>
      </c>
      <c r="I4138" t="s">
        <v>2117</v>
      </c>
    </row>
    <row r="4139" spans="1:9" x14ac:dyDescent="0.35">
      <c r="A4139">
        <v>920210</v>
      </c>
      <c r="B4139" t="s">
        <v>1380</v>
      </c>
      <c r="C4139" s="1">
        <v>44656</v>
      </c>
      <c r="D4139">
        <v>719</v>
      </c>
      <c r="E4139" t="b">
        <v>0</v>
      </c>
      <c r="F4139">
        <v>594</v>
      </c>
      <c r="G4139" t="s">
        <v>133</v>
      </c>
      <c r="H4139" t="s">
        <v>49</v>
      </c>
      <c r="I4139" t="s">
        <v>2116</v>
      </c>
    </row>
    <row r="4140" spans="1:9" x14ac:dyDescent="0.35">
      <c r="A4140">
        <v>920210</v>
      </c>
      <c r="B4140" t="s">
        <v>1380</v>
      </c>
      <c r="C4140" s="1">
        <v>44656</v>
      </c>
      <c r="D4140">
        <v>719</v>
      </c>
      <c r="E4140" t="b">
        <v>0</v>
      </c>
      <c r="F4140">
        <v>594</v>
      </c>
      <c r="G4140" t="s">
        <v>133</v>
      </c>
      <c r="H4140" t="s">
        <v>792</v>
      </c>
      <c r="I4140" t="s">
        <v>2117</v>
      </c>
    </row>
    <row r="4141" spans="1:9" x14ac:dyDescent="0.35">
      <c r="A4141">
        <v>920210</v>
      </c>
      <c r="B4141" t="s">
        <v>1380</v>
      </c>
      <c r="C4141" s="1">
        <v>44656</v>
      </c>
      <c r="D4141">
        <v>719</v>
      </c>
      <c r="E4141" t="b">
        <v>0</v>
      </c>
      <c r="F4141">
        <v>594</v>
      </c>
      <c r="G4141" t="s">
        <v>133</v>
      </c>
      <c r="H4141" t="s">
        <v>346</v>
      </c>
      <c r="I4141" t="s">
        <v>2116</v>
      </c>
    </row>
    <row r="4142" spans="1:9" x14ac:dyDescent="0.35">
      <c r="A4142">
        <v>920210</v>
      </c>
      <c r="B4142" t="s">
        <v>1380</v>
      </c>
      <c r="C4142" s="1">
        <v>44656</v>
      </c>
      <c r="D4142">
        <v>719</v>
      </c>
      <c r="E4142" t="b">
        <v>0</v>
      </c>
      <c r="F4142">
        <v>594</v>
      </c>
      <c r="G4142" t="s">
        <v>133</v>
      </c>
      <c r="H4142" t="s">
        <v>239</v>
      </c>
      <c r="I4142" t="s">
        <v>2117</v>
      </c>
    </row>
    <row r="4143" spans="1:9" x14ac:dyDescent="0.35">
      <c r="A4143">
        <v>920210</v>
      </c>
      <c r="B4143" t="s">
        <v>1380</v>
      </c>
      <c r="C4143" s="1">
        <v>44656</v>
      </c>
      <c r="D4143">
        <v>719</v>
      </c>
      <c r="E4143" t="b">
        <v>0</v>
      </c>
      <c r="F4143">
        <v>594</v>
      </c>
      <c r="G4143" t="s">
        <v>133</v>
      </c>
      <c r="H4143" t="s">
        <v>132</v>
      </c>
      <c r="I4143" t="s">
        <v>2117</v>
      </c>
    </row>
    <row r="4144" spans="1:9" x14ac:dyDescent="0.35">
      <c r="A4144">
        <v>920210</v>
      </c>
      <c r="B4144" t="s">
        <v>1380</v>
      </c>
      <c r="C4144" s="1">
        <v>44656</v>
      </c>
      <c r="D4144">
        <v>719</v>
      </c>
      <c r="E4144" t="b">
        <v>0</v>
      </c>
      <c r="F4144">
        <v>594</v>
      </c>
      <c r="G4144" t="s">
        <v>133</v>
      </c>
      <c r="H4144" t="s">
        <v>124</v>
      </c>
      <c r="I4144" t="s">
        <v>2117</v>
      </c>
    </row>
    <row r="4145" spans="1:9" x14ac:dyDescent="0.35">
      <c r="A4145">
        <v>920210</v>
      </c>
      <c r="B4145" t="s">
        <v>1380</v>
      </c>
      <c r="C4145" s="1">
        <v>44656</v>
      </c>
      <c r="D4145">
        <v>719</v>
      </c>
      <c r="E4145" t="b">
        <v>0</v>
      </c>
      <c r="F4145">
        <v>594</v>
      </c>
      <c r="G4145" t="s">
        <v>133</v>
      </c>
      <c r="H4145" t="s">
        <v>1510</v>
      </c>
      <c r="I4145" t="s">
        <v>2117</v>
      </c>
    </row>
    <row r="4146" spans="1:9" x14ac:dyDescent="0.35">
      <c r="A4146">
        <v>1029780</v>
      </c>
      <c r="B4146" t="s">
        <v>1382</v>
      </c>
      <c r="C4146" s="1">
        <v>44348</v>
      </c>
      <c r="D4146">
        <v>713</v>
      </c>
      <c r="E4146" t="b">
        <v>0</v>
      </c>
      <c r="F4146">
        <v>595</v>
      </c>
      <c r="G4146" t="s">
        <v>171</v>
      </c>
      <c r="H4146" t="s">
        <v>49</v>
      </c>
      <c r="I4146" t="s">
        <v>2117</v>
      </c>
    </row>
    <row r="4147" spans="1:9" x14ac:dyDescent="0.35">
      <c r="A4147">
        <v>1029780</v>
      </c>
      <c r="B4147" t="s">
        <v>1382</v>
      </c>
      <c r="C4147" s="1">
        <v>44348</v>
      </c>
      <c r="D4147">
        <v>713</v>
      </c>
      <c r="E4147" t="b">
        <v>0</v>
      </c>
      <c r="F4147">
        <v>595</v>
      </c>
      <c r="G4147" t="s">
        <v>171</v>
      </c>
      <c r="H4147" t="s">
        <v>792</v>
      </c>
      <c r="I4147" t="s">
        <v>2116</v>
      </c>
    </row>
    <row r="4148" spans="1:9" x14ac:dyDescent="0.35">
      <c r="A4148">
        <v>1029780</v>
      </c>
      <c r="B4148" t="s">
        <v>1382</v>
      </c>
      <c r="C4148" s="1">
        <v>44348</v>
      </c>
      <c r="D4148">
        <v>713</v>
      </c>
      <c r="E4148" t="b">
        <v>0</v>
      </c>
      <c r="F4148">
        <v>595</v>
      </c>
      <c r="G4148" t="s">
        <v>171</v>
      </c>
      <c r="H4148" t="s">
        <v>346</v>
      </c>
      <c r="I4148" t="s">
        <v>2117</v>
      </c>
    </row>
    <row r="4149" spans="1:9" x14ac:dyDescent="0.35">
      <c r="A4149">
        <v>1029780</v>
      </c>
      <c r="B4149" t="s">
        <v>1382</v>
      </c>
      <c r="C4149" s="1">
        <v>44348</v>
      </c>
      <c r="D4149">
        <v>713</v>
      </c>
      <c r="E4149" t="b">
        <v>0</v>
      </c>
      <c r="F4149">
        <v>595</v>
      </c>
      <c r="G4149" t="s">
        <v>171</v>
      </c>
      <c r="H4149" t="s">
        <v>239</v>
      </c>
      <c r="I4149" t="s">
        <v>2116</v>
      </c>
    </row>
    <row r="4150" spans="1:9" x14ac:dyDescent="0.35">
      <c r="A4150">
        <v>1029780</v>
      </c>
      <c r="B4150" t="s">
        <v>1382</v>
      </c>
      <c r="C4150" s="1">
        <v>44348</v>
      </c>
      <c r="D4150">
        <v>713</v>
      </c>
      <c r="E4150" t="b">
        <v>0</v>
      </c>
      <c r="F4150">
        <v>595</v>
      </c>
      <c r="G4150" t="s">
        <v>171</v>
      </c>
      <c r="H4150" t="s">
        <v>132</v>
      </c>
      <c r="I4150" t="s">
        <v>2116</v>
      </c>
    </row>
    <row r="4151" spans="1:9" x14ac:dyDescent="0.35">
      <c r="A4151">
        <v>1029780</v>
      </c>
      <c r="B4151" t="s">
        <v>1382</v>
      </c>
      <c r="C4151" s="1">
        <v>44348</v>
      </c>
      <c r="D4151">
        <v>713</v>
      </c>
      <c r="E4151" t="b">
        <v>0</v>
      </c>
      <c r="F4151">
        <v>595</v>
      </c>
      <c r="G4151" t="s">
        <v>171</v>
      </c>
      <c r="H4151" t="s">
        <v>124</v>
      </c>
      <c r="I4151" t="s">
        <v>2116</v>
      </c>
    </row>
    <row r="4152" spans="1:9" x14ac:dyDescent="0.35">
      <c r="A4152">
        <v>1029780</v>
      </c>
      <c r="B4152" t="s">
        <v>1382</v>
      </c>
      <c r="C4152" s="1">
        <v>44348</v>
      </c>
      <c r="D4152">
        <v>713</v>
      </c>
      <c r="E4152" t="b">
        <v>0</v>
      </c>
      <c r="F4152">
        <v>595</v>
      </c>
      <c r="G4152" t="s">
        <v>171</v>
      </c>
      <c r="H4152" t="s">
        <v>1510</v>
      </c>
      <c r="I4152" t="s">
        <v>2117</v>
      </c>
    </row>
    <row r="4153" spans="1:9" x14ac:dyDescent="0.35">
      <c r="A4153">
        <v>799960</v>
      </c>
      <c r="B4153" t="s">
        <v>1384</v>
      </c>
      <c r="C4153" s="1">
        <v>43349</v>
      </c>
      <c r="D4153">
        <v>712</v>
      </c>
      <c r="E4153" t="b">
        <v>0</v>
      </c>
      <c r="F4153">
        <v>596</v>
      </c>
      <c r="G4153" t="s">
        <v>14</v>
      </c>
      <c r="H4153" t="s">
        <v>49</v>
      </c>
      <c r="I4153" t="s">
        <v>2117</v>
      </c>
    </row>
    <row r="4154" spans="1:9" x14ac:dyDescent="0.35">
      <c r="A4154">
        <v>799960</v>
      </c>
      <c r="B4154" t="s">
        <v>1384</v>
      </c>
      <c r="C4154" s="1">
        <v>43349</v>
      </c>
      <c r="D4154">
        <v>712</v>
      </c>
      <c r="E4154" t="b">
        <v>0</v>
      </c>
      <c r="F4154">
        <v>596</v>
      </c>
      <c r="G4154" t="s">
        <v>14</v>
      </c>
      <c r="H4154" t="s">
        <v>792</v>
      </c>
      <c r="I4154" t="s">
        <v>2117</v>
      </c>
    </row>
    <row r="4155" spans="1:9" x14ac:dyDescent="0.35">
      <c r="A4155">
        <v>799960</v>
      </c>
      <c r="B4155" t="s">
        <v>1384</v>
      </c>
      <c r="C4155" s="1">
        <v>43349</v>
      </c>
      <c r="D4155">
        <v>712</v>
      </c>
      <c r="E4155" t="b">
        <v>0</v>
      </c>
      <c r="F4155">
        <v>596</v>
      </c>
      <c r="G4155" t="s">
        <v>14</v>
      </c>
      <c r="H4155" t="s">
        <v>346</v>
      </c>
      <c r="I4155" t="s">
        <v>2116</v>
      </c>
    </row>
    <row r="4156" spans="1:9" x14ac:dyDescent="0.35">
      <c r="A4156">
        <v>799960</v>
      </c>
      <c r="B4156" t="s">
        <v>1384</v>
      </c>
      <c r="C4156" s="1">
        <v>43349</v>
      </c>
      <c r="D4156">
        <v>712</v>
      </c>
      <c r="E4156" t="b">
        <v>0</v>
      </c>
      <c r="F4156">
        <v>596</v>
      </c>
      <c r="G4156" t="s">
        <v>14</v>
      </c>
      <c r="H4156" t="s">
        <v>239</v>
      </c>
      <c r="I4156" t="s">
        <v>2117</v>
      </c>
    </row>
    <row r="4157" spans="1:9" x14ac:dyDescent="0.35">
      <c r="A4157">
        <v>799960</v>
      </c>
      <c r="B4157" t="s">
        <v>1384</v>
      </c>
      <c r="C4157" s="1">
        <v>43349</v>
      </c>
      <c r="D4157">
        <v>712</v>
      </c>
      <c r="E4157" t="b">
        <v>0</v>
      </c>
      <c r="F4157">
        <v>596</v>
      </c>
      <c r="G4157" t="s">
        <v>14</v>
      </c>
      <c r="H4157" t="s">
        <v>132</v>
      </c>
      <c r="I4157" t="s">
        <v>2116</v>
      </c>
    </row>
    <row r="4158" spans="1:9" x14ac:dyDescent="0.35">
      <c r="A4158">
        <v>799960</v>
      </c>
      <c r="B4158" t="s">
        <v>1384</v>
      </c>
      <c r="C4158" s="1">
        <v>43349</v>
      </c>
      <c r="D4158">
        <v>712</v>
      </c>
      <c r="E4158" t="b">
        <v>0</v>
      </c>
      <c r="F4158">
        <v>596</v>
      </c>
      <c r="G4158" t="s">
        <v>14</v>
      </c>
      <c r="H4158" t="s">
        <v>124</v>
      </c>
      <c r="I4158" t="s">
        <v>2116</v>
      </c>
    </row>
    <row r="4159" spans="1:9" x14ac:dyDescent="0.35">
      <c r="A4159">
        <v>799960</v>
      </c>
      <c r="B4159" t="s">
        <v>1384</v>
      </c>
      <c r="C4159" s="1">
        <v>43349</v>
      </c>
      <c r="D4159">
        <v>712</v>
      </c>
      <c r="E4159" t="b">
        <v>0</v>
      </c>
      <c r="F4159">
        <v>596</v>
      </c>
      <c r="G4159" t="s">
        <v>14</v>
      </c>
      <c r="H4159" t="s">
        <v>1510</v>
      </c>
      <c r="I4159" t="s">
        <v>2116</v>
      </c>
    </row>
    <row r="4160" spans="1:9" x14ac:dyDescent="0.35">
      <c r="A4160">
        <v>244450</v>
      </c>
      <c r="B4160" t="s">
        <v>1387</v>
      </c>
      <c r="C4160" s="1">
        <v>41774</v>
      </c>
      <c r="D4160">
        <v>711</v>
      </c>
      <c r="E4160" t="b">
        <v>0</v>
      </c>
      <c r="F4160">
        <v>597</v>
      </c>
      <c r="G4160" t="s">
        <v>2082</v>
      </c>
      <c r="H4160" t="s">
        <v>49</v>
      </c>
      <c r="I4160" t="s">
        <v>2116</v>
      </c>
    </row>
    <row r="4161" spans="1:9" x14ac:dyDescent="0.35">
      <c r="A4161">
        <v>244450</v>
      </c>
      <c r="B4161" t="s">
        <v>1387</v>
      </c>
      <c r="C4161" s="1">
        <v>41774</v>
      </c>
      <c r="D4161">
        <v>711</v>
      </c>
      <c r="E4161" t="b">
        <v>0</v>
      </c>
      <c r="F4161">
        <v>597</v>
      </c>
      <c r="G4161" t="s">
        <v>2082</v>
      </c>
      <c r="H4161" t="s">
        <v>792</v>
      </c>
      <c r="I4161" t="s">
        <v>2117</v>
      </c>
    </row>
    <row r="4162" spans="1:9" x14ac:dyDescent="0.35">
      <c r="A4162">
        <v>244450</v>
      </c>
      <c r="B4162" t="s">
        <v>1387</v>
      </c>
      <c r="C4162" s="1">
        <v>41774</v>
      </c>
      <c r="D4162">
        <v>711</v>
      </c>
      <c r="E4162" t="b">
        <v>0</v>
      </c>
      <c r="F4162">
        <v>597</v>
      </c>
      <c r="G4162" t="s">
        <v>2082</v>
      </c>
      <c r="H4162" t="s">
        <v>346</v>
      </c>
      <c r="I4162" t="s">
        <v>2117</v>
      </c>
    </row>
    <row r="4163" spans="1:9" x14ac:dyDescent="0.35">
      <c r="A4163">
        <v>244450</v>
      </c>
      <c r="B4163" t="s">
        <v>1387</v>
      </c>
      <c r="C4163" s="1">
        <v>41774</v>
      </c>
      <c r="D4163">
        <v>711</v>
      </c>
      <c r="E4163" t="b">
        <v>0</v>
      </c>
      <c r="F4163">
        <v>597</v>
      </c>
      <c r="G4163" t="s">
        <v>2082</v>
      </c>
      <c r="H4163" t="s">
        <v>239</v>
      </c>
      <c r="I4163" t="s">
        <v>2116</v>
      </c>
    </row>
    <row r="4164" spans="1:9" x14ac:dyDescent="0.35">
      <c r="A4164">
        <v>244450</v>
      </c>
      <c r="B4164" t="s">
        <v>1387</v>
      </c>
      <c r="C4164" s="1">
        <v>41774</v>
      </c>
      <c r="D4164">
        <v>711</v>
      </c>
      <c r="E4164" t="b">
        <v>0</v>
      </c>
      <c r="F4164">
        <v>597</v>
      </c>
      <c r="G4164" t="s">
        <v>2082</v>
      </c>
      <c r="H4164" t="s">
        <v>132</v>
      </c>
      <c r="I4164" t="s">
        <v>2117</v>
      </c>
    </row>
    <row r="4165" spans="1:9" x14ac:dyDescent="0.35">
      <c r="A4165">
        <v>244450</v>
      </c>
      <c r="B4165" t="s">
        <v>1387</v>
      </c>
      <c r="C4165" s="1">
        <v>41774</v>
      </c>
      <c r="D4165">
        <v>711</v>
      </c>
      <c r="E4165" t="b">
        <v>0</v>
      </c>
      <c r="F4165">
        <v>597</v>
      </c>
      <c r="G4165" t="s">
        <v>2082</v>
      </c>
      <c r="H4165" t="s">
        <v>124</v>
      </c>
      <c r="I4165" t="s">
        <v>2116</v>
      </c>
    </row>
    <row r="4166" spans="1:9" x14ac:dyDescent="0.35">
      <c r="A4166">
        <v>244450</v>
      </c>
      <c r="B4166" t="s">
        <v>1387</v>
      </c>
      <c r="C4166" s="1">
        <v>41774</v>
      </c>
      <c r="D4166">
        <v>711</v>
      </c>
      <c r="E4166" t="b">
        <v>0</v>
      </c>
      <c r="F4166">
        <v>597</v>
      </c>
      <c r="G4166" t="s">
        <v>2082</v>
      </c>
      <c r="H4166" t="s">
        <v>1510</v>
      </c>
      <c r="I4166" t="s">
        <v>2117</v>
      </c>
    </row>
    <row r="4167" spans="1:9" x14ac:dyDescent="0.35">
      <c r="A4167">
        <v>972660</v>
      </c>
      <c r="B4167" t="s">
        <v>1388</v>
      </c>
      <c r="C4167" s="1">
        <v>44061</v>
      </c>
      <c r="D4167">
        <v>702</v>
      </c>
      <c r="E4167" t="b">
        <v>1</v>
      </c>
      <c r="F4167">
        <v>598</v>
      </c>
      <c r="G4167" t="s">
        <v>14</v>
      </c>
      <c r="H4167" t="s">
        <v>49</v>
      </c>
      <c r="I4167" t="s">
        <v>2117</v>
      </c>
    </row>
    <row r="4168" spans="1:9" x14ac:dyDescent="0.35">
      <c r="A4168">
        <v>972660</v>
      </c>
      <c r="B4168" t="s">
        <v>1388</v>
      </c>
      <c r="C4168" s="1">
        <v>44061</v>
      </c>
      <c r="D4168">
        <v>702</v>
      </c>
      <c r="E4168" t="b">
        <v>1</v>
      </c>
      <c r="F4168">
        <v>598</v>
      </c>
      <c r="G4168" t="s">
        <v>14</v>
      </c>
      <c r="H4168" t="s">
        <v>792</v>
      </c>
      <c r="I4168" t="s">
        <v>2116</v>
      </c>
    </row>
    <row r="4169" spans="1:9" x14ac:dyDescent="0.35">
      <c r="A4169">
        <v>972660</v>
      </c>
      <c r="B4169" t="s">
        <v>1388</v>
      </c>
      <c r="C4169" s="1">
        <v>44061</v>
      </c>
      <c r="D4169">
        <v>702</v>
      </c>
      <c r="E4169" t="b">
        <v>1</v>
      </c>
      <c r="F4169">
        <v>598</v>
      </c>
      <c r="G4169" t="s">
        <v>14</v>
      </c>
      <c r="H4169" t="s">
        <v>346</v>
      </c>
      <c r="I4169" t="s">
        <v>2116</v>
      </c>
    </row>
    <row r="4170" spans="1:9" x14ac:dyDescent="0.35">
      <c r="A4170">
        <v>972660</v>
      </c>
      <c r="B4170" t="s">
        <v>1388</v>
      </c>
      <c r="C4170" s="1">
        <v>44061</v>
      </c>
      <c r="D4170">
        <v>702</v>
      </c>
      <c r="E4170" t="b">
        <v>1</v>
      </c>
      <c r="F4170">
        <v>598</v>
      </c>
      <c r="G4170" t="s">
        <v>14</v>
      </c>
      <c r="H4170" t="s">
        <v>239</v>
      </c>
      <c r="I4170" t="s">
        <v>2116</v>
      </c>
    </row>
    <row r="4171" spans="1:9" x14ac:dyDescent="0.35">
      <c r="A4171">
        <v>972660</v>
      </c>
      <c r="B4171" t="s">
        <v>1388</v>
      </c>
      <c r="C4171" s="1">
        <v>44061</v>
      </c>
      <c r="D4171">
        <v>702</v>
      </c>
      <c r="E4171" t="b">
        <v>1</v>
      </c>
      <c r="F4171">
        <v>598</v>
      </c>
      <c r="G4171" t="s">
        <v>14</v>
      </c>
      <c r="H4171" t="s">
        <v>132</v>
      </c>
      <c r="I4171" t="s">
        <v>2117</v>
      </c>
    </row>
    <row r="4172" spans="1:9" x14ac:dyDescent="0.35">
      <c r="A4172">
        <v>972660</v>
      </c>
      <c r="B4172" t="s">
        <v>1388</v>
      </c>
      <c r="C4172" s="1">
        <v>44061</v>
      </c>
      <c r="D4172">
        <v>702</v>
      </c>
      <c r="E4172" t="b">
        <v>1</v>
      </c>
      <c r="F4172">
        <v>598</v>
      </c>
      <c r="G4172" t="s">
        <v>14</v>
      </c>
      <c r="H4172" t="s">
        <v>124</v>
      </c>
      <c r="I4172" t="s">
        <v>2117</v>
      </c>
    </row>
    <row r="4173" spans="1:9" x14ac:dyDescent="0.35">
      <c r="A4173">
        <v>972660</v>
      </c>
      <c r="B4173" t="s">
        <v>1388</v>
      </c>
      <c r="C4173" s="1">
        <v>44061</v>
      </c>
      <c r="D4173">
        <v>702</v>
      </c>
      <c r="E4173" t="b">
        <v>1</v>
      </c>
      <c r="F4173">
        <v>598</v>
      </c>
      <c r="G4173" t="s">
        <v>14</v>
      </c>
      <c r="H4173" t="s">
        <v>1510</v>
      </c>
      <c r="I4173" t="s">
        <v>2117</v>
      </c>
    </row>
    <row r="4174" spans="1:9" x14ac:dyDescent="0.35">
      <c r="A4174">
        <v>412020</v>
      </c>
      <c r="B4174" t="s">
        <v>1390</v>
      </c>
      <c r="C4174" s="1">
        <v>43875</v>
      </c>
      <c r="D4174">
        <v>702</v>
      </c>
      <c r="E4174" t="b">
        <v>1</v>
      </c>
      <c r="F4174">
        <v>598</v>
      </c>
      <c r="G4174" t="s">
        <v>25</v>
      </c>
      <c r="H4174" t="s">
        <v>49</v>
      </c>
      <c r="I4174" t="s">
        <v>2116</v>
      </c>
    </row>
    <row r="4175" spans="1:9" x14ac:dyDescent="0.35">
      <c r="A4175">
        <v>412020</v>
      </c>
      <c r="B4175" t="s">
        <v>1390</v>
      </c>
      <c r="C4175" s="1">
        <v>43875</v>
      </c>
      <c r="D4175">
        <v>702</v>
      </c>
      <c r="E4175" t="b">
        <v>1</v>
      </c>
      <c r="F4175">
        <v>598</v>
      </c>
      <c r="G4175" t="s">
        <v>25</v>
      </c>
      <c r="H4175" t="s">
        <v>792</v>
      </c>
      <c r="I4175" t="s">
        <v>2117</v>
      </c>
    </row>
    <row r="4176" spans="1:9" x14ac:dyDescent="0.35">
      <c r="A4176">
        <v>412020</v>
      </c>
      <c r="B4176" t="s">
        <v>1390</v>
      </c>
      <c r="C4176" s="1">
        <v>43875</v>
      </c>
      <c r="D4176">
        <v>702</v>
      </c>
      <c r="E4176" t="b">
        <v>1</v>
      </c>
      <c r="F4176">
        <v>598</v>
      </c>
      <c r="G4176" t="s">
        <v>25</v>
      </c>
      <c r="H4176" t="s">
        <v>346</v>
      </c>
      <c r="I4176" t="s">
        <v>2117</v>
      </c>
    </row>
    <row r="4177" spans="1:9" x14ac:dyDescent="0.35">
      <c r="A4177">
        <v>412020</v>
      </c>
      <c r="B4177" t="s">
        <v>1390</v>
      </c>
      <c r="C4177" s="1">
        <v>43875</v>
      </c>
      <c r="D4177">
        <v>702</v>
      </c>
      <c r="E4177" t="b">
        <v>1</v>
      </c>
      <c r="F4177">
        <v>598</v>
      </c>
      <c r="G4177" t="s">
        <v>25</v>
      </c>
      <c r="H4177" t="s">
        <v>239</v>
      </c>
      <c r="I4177" t="s">
        <v>2117</v>
      </c>
    </row>
    <row r="4178" spans="1:9" x14ac:dyDescent="0.35">
      <c r="A4178">
        <v>412020</v>
      </c>
      <c r="B4178" t="s">
        <v>1390</v>
      </c>
      <c r="C4178" s="1">
        <v>43875</v>
      </c>
      <c r="D4178">
        <v>702</v>
      </c>
      <c r="E4178" t="b">
        <v>1</v>
      </c>
      <c r="F4178">
        <v>598</v>
      </c>
      <c r="G4178" t="s">
        <v>25</v>
      </c>
      <c r="H4178" t="s">
        <v>132</v>
      </c>
      <c r="I4178" t="s">
        <v>2117</v>
      </c>
    </row>
    <row r="4179" spans="1:9" x14ac:dyDescent="0.35">
      <c r="A4179">
        <v>412020</v>
      </c>
      <c r="B4179" t="s">
        <v>1390</v>
      </c>
      <c r="C4179" s="1">
        <v>43875</v>
      </c>
      <c r="D4179">
        <v>702</v>
      </c>
      <c r="E4179" t="b">
        <v>1</v>
      </c>
      <c r="F4179">
        <v>598</v>
      </c>
      <c r="G4179" t="s">
        <v>25</v>
      </c>
      <c r="H4179" t="s">
        <v>124</v>
      </c>
      <c r="I4179" t="s">
        <v>2117</v>
      </c>
    </row>
    <row r="4180" spans="1:9" x14ac:dyDescent="0.35">
      <c r="A4180">
        <v>412020</v>
      </c>
      <c r="B4180" t="s">
        <v>1390</v>
      </c>
      <c r="C4180" s="1">
        <v>43875</v>
      </c>
      <c r="D4180">
        <v>702</v>
      </c>
      <c r="E4180" t="b">
        <v>1</v>
      </c>
      <c r="F4180">
        <v>598</v>
      </c>
      <c r="G4180" t="s">
        <v>25</v>
      </c>
      <c r="H4180" t="s">
        <v>1510</v>
      </c>
      <c r="I4180" t="s">
        <v>2117</v>
      </c>
    </row>
    <row r="4181" spans="1:9" x14ac:dyDescent="0.35">
      <c r="A4181">
        <v>1898300</v>
      </c>
      <c r="B4181" t="s">
        <v>1391</v>
      </c>
      <c r="C4181" s="1">
        <v>45463</v>
      </c>
      <c r="D4181">
        <v>701</v>
      </c>
      <c r="E4181" t="b">
        <v>0</v>
      </c>
      <c r="F4181">
        <v>600</v>
      </c>
      <c r="G4181" t="s">
        <v>175</v>
      </c>
      <c r="H4181" t="s">
        <v>49</v>
      </c>
      <c r="I4181" t="s">
        <v>2117</v>
      </c>
    </row>
    <row r="4182" spans="1:9" x14ac:dyDescent="0.35">
      <c r="A4182">
        <v>1898300</v>
      </c>
      <c r="B4182" t="s">
        <v>1391</v>
      </c>
      <c r="C4182" s="1">
        <v>45463</v>
      </c>
      <c r="D4182">
        <v>701</v>
      </c>
      <c r="E4182" t="b">
        <v>0</v>
      </c>
      <c r="F4182">
        <v>600</v>
      </c>
      <c r="G4182" t="s">
        <v>175</v>
      </c>
      <c r="H4182" t="s">
        <v>792</v>
      </c>
      <c r="I4182" t="s">
        <v>2117</v>
      </c>
    </row>
    <row r="4183" spans="1:9" x14ac:dyDescent="0.35">
      <c r="A4183">
        <v>1898300</v>
      </c>
      <c r="B4183" t="s">
        <v>1391</v>
      </c>
      <c r="C4183" s="1">
        <v>45463</v>
      </c>
      <c r="D4183">
        <v>701</v>
      </c>
      <c r="E4183" t="b">
        <v>0</v>
      </c>
      <c r="F4183">
        <v>600</v>
      </c>
      <c r="G4183" t="s">
        <v>175</v>
      </c>
      <c r="H4183" t="s">
        <v>346</v>
      </c>
      <c r="I4183" t="s">
        <v>2116</v>
      </c>
    </row>
    <row r="4184" spans="1:9" x14ac:dyDescent="0.35">
      <c r="A4184">
        <v>1898300</v>
      </c>
      <c r="B4184" t="s">
        <v>1391</v>
      </c>
      <c r="C4184" s="1">
        <v>45463</v>
      </c>
      <c r="D4184">
        <v>701</v>
      </c>
      <c r="E4184" t="b">
        <v>0</v>
      </c>
      <c r="F4184">
        <v>600</v>
      </c>
      <c r="G4184" t="s">
        <v>175</v>
      </c>
      <c r="H4184" t="s">
        <v>239</v>
      </c>
      <c r="I4184" t="s">
        <v>2116</v>
      </c>
    </row>
    <row r="4185" spans="1:9" x14ac:dyDescent="0.35">
      <c r="A4185">
        <v>1898300</v>
      </c>
      <c r="B4185" t="s">
        <v>1391</v>
      </c>
      <c r="C4185" s="1">
        <v>45463</v>
      </c>
      <c r="D4185">
        <v>701</v>
      </c>
      <c r="E4185" t="b">
        <v>0</v>
      </c>
      <c r="F4185">
        <v>600</v>
      </c>
      <c r="G4185" t="s">
        <v>175</v>
      </c>
      <c r="H4185" t="s">
        <v>132</v>
      </c>
      <c r="I4185" t="s">
        <v>2117</v>
      </c>
    </row>
    <row r="4186" spans="1:9" x14ac:dyDescent="0.35">
      <c r="A4186">
        <v>1898300</v>
      </c>
      <c r="B4186" t="s">
        <v>1391</v>
      </c>
      <c r="C4186" s="1">
        <v>45463</v>
      </c>
      <c r="D4186">
        <v>701</v>
      </c>
      <c r="E4186" t="b">
        <v>0</v>
      </c>
      <c r="F4186">
        <v>600</v>
      </c>
      <c r="G4186" t="s">
        <v>175</v>
      </c>
      <c r="H4186" t="s">
        <v>124</v>
      </c>
      <c r="I4186" t="s">
        <v>2116</v>
      </c>
    </row>
    <row r="4187" spans="1:9" x14ac:dyDescent="0.35">
      <c r="A4187">
        <v>1898300</v>
      </c>
      <c r="B4187" t="s">
        <v>1391</v>
      </c>
      <c r="C4187" s="1">
        <v>45463</v>
      </c>
      <c r="D4187">
        <v>701</v>
      </c>
      <c r="E4187" t="b">
        <v>0</v>
      </c>
      <c r="F4187">
        <v>600</v>
      </c>
      <c r="G4187" t="s">
        <v>175</v>
      </c>
      <c r="H4187" t="s">
        <v>1510</v>
      </c>
      <c r="I4187" t="s">
        <v>2117</v>
      </c>
    </row>
    <row r="4188" spans="1:9" x14ac:dyDescent="0.35">
      <c r="A4188">
        <v>1151640</v>
      </c>
      <c r="B4188" t="s">
        <v>1393</v>
      </c>
      <c r="C4188" s="1">
        <v>44050</v>
      </c>
      <c r="D4188">
        <v>700</v>
      </c>
      <c r="E4188" t="b">
        <v>0</v>
      </c>
      <c r="F4188">
        <v>601</v>
      </c>
      <c r="G4188" t="s">
        <v>18</v>
      </c>
      <c r="H4188" t="s">
        <v>49</v>
      </c>
      <c r="I4188" t="s">
        <v>2116</v>
      </c>
    </row>
    <row r="4189" spans="1:9" x14ac:dyDescent="0.35">
      <c r="A4189">
        <v>1151640</v>
      </c>
      <c r="B4189" t="s">
        <v>1393</v>
      </c>
      <c r="C4189" s="1">
        <v>44050</v>
      </c>
      <c r="D4189">
        <v>700</v>
      </c>
      <c r="E4189" t="b">
        <v>0</v>
      </c>
      <c r="F4189">
        <v>601</v>
      </c>
      <c r="G4189" t="s">
        <v>18</v>
      </c>
      <c r="H4189" t="s">
        <v>792</v>
      </c>
      <c r="I4189" t="s">
        <v>2117</v>
      </c>
    </row>
    <row r="4190" spans="1:9" x14ac:dyDescent="0.35">
      <c r="A4190">
        <v>1151640</v>
      </c>
      <c r="B4190" t="s">
        <v>1393</v>
      </c>
      <c r="C4190" s="1">
        <v>44050</v>
      </c>
      <c r="D4190">
        <v>700</v>
      </c>
      <c r="E4190" t="b">
        <v>0</v>
      </c>
      <c r="F4190">
        <v>601</v>
      </c>
      <c r="G4190" t="s">
        <v>18</v>
      </c>
      <c r="H4190" t="s">
        <v>346</v>
      </c>
      <c r="I4190" t="s">
        <v>2116</v>
      </c>
    </row>
    <row r="4191" spans="1:9" x14ac:dyDescent="0.35">
      <c r="A4191">
        <v>1151640</v>
      </c>
      <c r="B4191" t="s">
        <v>1393</v>
      </c>
      <c r="C4191" s="1">
        <v>44050</v>
      </c>
      <c r="D4191">
        <v>700</v>
      </c>
      <c r="E4191" t="b">
        <v>0</v>
      </c>
      <c r="F4191">
        <v>601</v>
      </c>
      <c r="G4191" t="s">
        <v>18</v>
      </c>
      <c r="H4191" t="s">
        <v>239</v>
      </c>
      <c r="I4191" t="s">
        <v>2117</v>
      </c>
    </row>
    <row r="4192" spans="1:9" x14ac:dyDescent="0.35">
      <c r="A4192">
        <v>1151640</v>
      </c>
      <c r="B4192" t="s">
        <v>1393</v>
      </c>
      <c r="C4192" s="1">
        <v>44050</v>
      </c>
      <c r="D4192">
        <v>700</v>
      </c>
      <c r="E4192" t="b">
        <v>0</v>
      </c>
      <c r="F4192">
        <v>601</v>
      </c>
      <c r="G4192" t="s">
        <v>18</v>
      </c>
      <c r="H4192" t="s">
        <v>132</v>
      </c>
      <c r="I4192" t="s">
        <v>2116</v>
      </c>
    </row>
    <row r="4193" spans="1:9" x14ac:dyDescent="0.35">
      <c r="A4193">
        <v>1151640</v>
      </c>
      <c r="B4193" t="s">
        <v>1393</v>
      </c>
      <c r="C4193" s="1">
        <v>44050</v>
      </c>
      <c r="D4193">
        <v>700</v>
      </c>
      <c r="E4193" t="b">
        <v>0</v>
      </c>
      <c r="F4193">
        <v>601</v>
      </c>
      <c r="G4193" t="s">
        <v>18</v>
      </c>
      <c r="H4193" t="s">
        <v>124</v>
      </c>
      <c r="I4193" t="s">
        <v>2117</v>
      </c>
    </row>
    <row r="4194" spans="1:9" x14ac:dyDescent="0.35">
      <c r="A4194">
        <v>1151640</v>
      </c>
      <c r="B4194" t="s">
        <v>1393</v>
      </c>
      <c r="C4194" s="1">
        <v>44050</v>
      </c>
      <c r="D4194">
        <v>700</v>
      </c>
      <c r="E4194" t="b">
        <v>0</v>
      </c>
      <c r="F4194">
        <v>601</v>
      </c>
      <c r="G4194" t="s">
        <v>18</v>
      </c>
      <c r="H4194" t="s">
        <v>1510</v>
      </c>
      <c r="I4194" t="s">
        <v>2117</v>
      </c>
    </row>
    <row r="4195" spans="1:9" x14ac:dyDescent="0.35">
      <c r="A4195">
        <v>895400</v>
      </c>
      <c r="B4195" t="s">
        <v>1395</v>
      </c>
      <c r="C4195" s="1">
        <v>45631</v>
      </c>
      <c r="D4195">
        <v>698</v>
      </c>
      <c r="E4195" t="b">
        <v>0</v>
      </c>
      <c r="F4195">
        <v>602</v>
      </c>
      <c r="G4195" t="s">
        <v>53</v>
      </c>
      <c r="H4195" t="s">
        <v>49</v>
      </c>
      <c r="I4195" t="s">
        <v>2116</v>
      </c>
    </row>
    <row r="4196" spans="1:9" x14ac:dyDescent="0.35">
      <c r="A4196">
        <v>895400</v>
      </c>
      <c r="B4196" t="s">
        <v>1395</v>
      </c>
      <c r="C4196" s="1">
        <v>45631</v>
      </c>
      <c r="D4196">
        <v>698</v>
      </c>
      <c r="E4196" t="b">
        <v>0</v>
      </c>
      <c r="F4196">
        <v>602</v>
      </c>
      <c r="G4196" t="s">
        <v>53</v>
      </c>
      <c r="H4196" t="s">
        <v>792</v>
      </c>
      <c r="I4196" t="s">
        <v>2116</v>
      </c>
    </row>
    <row r="4197" spans="1:9" x14ac:dyDescent="0.35">
      <c r="A4197">
        <v>895400</v>
      </c>
      <c r="B4197" t="s">
        <v>1395</v>
      </c>
      <c r="C4197" s="1">
        <v>45631</v>
      </c>
      <c r="D4197">
        <v>698</v>
      </c>
      <c r="E4197" t="b">
        <v>0</v>
      </c>
      <c r="F4197">
        <v>602</v>
      </c>
      <c r="G4197" t="s">
        <v>53</v>
      </c>
      <c r="H4197" t="s">
        <v>346</v>
      </c>
      <c r="I4197" t="s">
        <v>2116</v>
      </c>
    </row>
    <row r="4198" spans="1:9" x14ac:dyDescent="0.35">
      <c r="A4198">
        <v>895400</v>
      </c>
      <c r="B4198" t="s">
        <v>1395</v>
      </c>
      <c r="C4198" s="1">
        <v>45631</v>
      </c>
      <c r="D4198">
        <v>698</v>
      </c>
      <c r="E4198" t="b">
        <v>0</v>
      </c>
      <c r="F4198">
        <v>602</v>
      </c>
      <c r="G4198" t="s">
        <v>53</v>
      </c>
      <c r="H4198" t="s">
        <v>239</v>
      </c>
      <c r="I4198" t="s">
        <v>2117</v>
      </c>
    </row>
    <row r="4199" spans="1:9" x14ac:dyDescent="0.35">
      <c r="A4199">
        <v>895400</v>
      </c>
      <c r="B4199" t="s">
        <v>1395</v>
      </c>
      <c r="C4199" s="1">
        <v>45631</v>
      </c>
      <c r="D4199">
        <v>698</v>
      </c>
      <c r="E4199" t="b">
        <v>0</v>
      </c>
      <c r="F4199">
        <v>602</v>
      </c>
      <c r="G4199" t="s">
        <v>53</v>
      </c>
      <c r="H4199" t="s">
        <v>132</v>
      </c>
      <c r="I4199" t="s">
        <v>2117</v>
      </c>
    </row>
    <row r="4200" spans="1:9" x14ac:dyDescent="0.35">
      <c r="A4200">
        <v>895400</v>
      </c>
      <c r="B4200" t="s">
        <v>1395</v>
      </c>
      <c r="C4200" s="1">
        <v>45631</v>
      </c>
      <c r="D4200">
        <v>698</v>
      </c>
      <c r="E4200" t="b">
        <v>0</v>
      </c>
      <c r="F4200">
        <v>602</v>
      </c>
      <c r="G4200" t="s">
        <v>53</v>
      </c>
      <c r="H4200" t="s">
        <v>124</v>
      </c>
      <c r="I4200" t="s">
        <v>2117</v>
      </c>
    </row>
    <row r="4201" spans="1:9" x14ac:dyDescent="0.35">
      <c r="A4201">
        <v>895400</v>
      </c>
      <c r="B4201" t="s">
        <v>1395</v>
      </c>
      <c r="C4201" s="1">
        <v>45631</v>
      </c>
      <c r="D4201">
        <v>698</v>
      </c>
      <c r="E4201" t="b">
        <v>0</v>
      </c>
      <c r="F4201">
        <v>602</v>
      </c>
      <c r="G4201" t="s">
        <v>53</v>
      </c>
      <c r="H4201" t="s">
        <v>1510</v>
      </c>
      <c r="I4201" t="s">
        <v>2117</v>
      </c>
    </row>
    <row r="4202" spans="1:9" x14ac:dyDescent="0.35">
      <c r="A4202">
        <v>848450</v>
      </c>
      <c r="B4202" t="s">
        <v>1397</v>
      </c>
      <c r="C4202" s="1">
        <v>44329</v>
      </c>
      <c r="D4202">
        <v>698</v>
      </c>
      <c r="E4202" t="b">
        <v>1</v>
      </c>
      <c r="F4202">
        <v>602</v>
      </c>
      <c r="G4202" t="s">
        <v>68</v>
      </c>
      <c r="H4202" t="s">
        <v>49</v>
      </c>
      <c r="I4202" t="s">
        <v>2117</v>
      </c>
    </row>
    <row r="4203" spans="1:9" x14ac:dyDescent="0.35">
      <c r="A4203">
        <v>848450</v>
      </c>
      <c r="B4203" t="s">
        <v>1397</v>
      </c>
      <c r="C4203" s="1">
        <v>44329</v>
      </c>
      <c r="D4203">
        <v>698</v>
      </c>
      <c r="E4203" t="b">
        <v>1</v>
      </c>
      <c r="F4203">
        <v>602</v>
      </c>
      <c r="G4203" t="s">
        <v>68</v>
      </c>
      <c r="H4203" t="s">
        <v>792</v>
      </c>
      <c r="I4203" t="s">
        <v>2116</v>
      </c>
    </row>
    <row r="4204" spans="1:9" x14ac:dyDescent="0.35">
      <c r="A4204">
        <v>848450</v>
      </c>
      <c r="B4204" t="s">
        <v>1397</v>
      </c>
      <c r="C4204" s="1">
        <v>44329</v>
      </c>
      <c r="D4204">
        <v>698</v>
      </c>
      <c r="E4204" t="b">
        <v>1</v>
      </c>
      <c r="F4204">
        <v>602</v>
      </c>
      <c r="G4204" t="s">
        <v>68</v>
      </c>
      <c r="H4204" t="s">
        <v>346</v>
      </c>
      <c r="I4204" t="s">
        <v>2116</v>
      </c>
    </row>
    <row r="4205" spans="1:9" x14ac:dyDescent="0.35">
      <c r="A4205">
        <v>848450</v>
      </c>
      <c r="B4205" t="s">
        <v>1397</v>
      </c>
      <c r="C4205" s="1">
        <v>44329</v>
      </c>
      <c r="D4205">
        <v>698</v>
      </c>
      <c r="E4205" t="b">
        <v>1</v>
      </c>
      <c r="F4205">
        <v>602</v>
      </c>
      <c r="G4205" t="s">
        <v>68</v>
      </c>
      <c r="H4205" t="s">
        <v>239</v>
      </c>
      <c r="I4205" t="s">
        <v>2117</v>
      </c>
    </row>
    <row r="4206" spans="1:9" x14ac:dyDescent="0.35">
      <c r="A4206">
        <v>848450</v>
      </c>
      <c r="B4206" t="s">
        <v>1397</v>
      </c>
      <c r="C4206" s="1">
        <v>44329</v>
      </c>
      <c r="D4206">
        <v>698</v>
      </c>
      <c r="E4206" t="b">
        <v>1</v>
      </c>
      <c r="F4206">
        <v>602</v>
      </c>
      <c r="G4206" t="s">
        <v>68</v>
      </c>
      <c r="H4206" t="s">
        <v>132</v>
      </c>
      <c r="I4206" t="s">
        <v>2117</v>
      </c>
    </row>
    <row r="4207" spans="1:9" x14ac:dyDescent="0.35">
      <c r="A4207">
        <v>848450</v>
      </c>
      <c r="B4207" t="s">
        <v>1397</v>
      </c>
      <c r="C4207" s="1">
        <v>44329</v>
      </c>
      <c r="D4207">
        <v>698</v>
      </c>
      <c r="E4207" t="b">
        <v>1</v>
      </c>
      <c r="F4207">
        <v>602</v>
      </c>
      <c r="G4207" t="s">
        <v>68</v>
      </c>
      <c r="H4207" t="s">
        <v>124</v>
      </c>
      <c r="I4207" t="s">
        <v>2117</v>
      </c>
    </row>
    <row r="4208" spans="1:9" x14ac:dyDescent="0.35">
      <c r="A4208">
        <v>848450</v>
      </c>
      <c r="B4208" t="s">
        <v>1397</v>
      </c>
      <c r="C4208" s="1">
        <v>44329</v>
      </c>
      <c r="D4208">
        <v>698</v>
      </c>
      <c r="E4208" t="b">
        <v>1</v>
      </c>
      <c r="F4208">
        <v>602</v>
      </c>
      <c r="G4208" t="s">
        <v>68</v>
      </c>
      <c r="H4208" t="s">
        <v>1510</v>
      </c>
      <c r="I4208" t="s">
        <v>2117</v>
      </c>
    </row>
    <row r="4209" spans="1:9" x14ac:dyDescent="0.35">
      <c r="A4209">
        <v>1057090</v>
      </c>
      <c r="B4209" t="s">
        <v>1398</v>
      </c>
      <c r="C4209" s="1">
        <v>43900</v>
      </c>
      <c r="D4209">
        <v>697</v>
      </c>
      <c r="E4209" t="b">
        <v>0</v>
      </c>
      <c r="F4209">
        <v>604</v>
      </c>
      <c r="G4209" t="s">
        <v>33</v>
      </c>
      <c r="H4209" t="s">
        <v>49</v>
      </c>
      <c r="I4209" t="s">
        <v>2116</v>
      </c>
    </row>
    <row r="4210" spans="1:9" x14ac:dyDescent="0.35">
      <c r="A4210">
        <v>1057090</v>
      </c>
      <c r="B4210" t="s">
        <v>1398</v>
      </c>
      <c r="C4210" s="1">
        <v>43900</v>
      </c>
      <c r="D4210">
        <v>697</v>
      </c>
      <c r="E4210" t="b">
        <v>0</v>
      </c>
      <c r="F4210">
        <v>604</v>
      </c>
      <c r="G4210" t="s">
        <v>33</v>
      </c>
      <c r="H4210" t="s">
        <v>792</v>
      </c>
      <c r="I4210" t="s">
        <v>2117</v>
      </c>
    </row>
    <row r="4211" spans="1:9" x14ac:dyDescent="0.35">
      <c r="A4211">
        <v>1057090</v>
      </c>
      <c r="B4211" t="s">
        <v>1398</v>
      </c>
      <c r="C4211" s="1">
        <v>43900</v>
      </c>
      <c r="D4211">
        <v>697</v>
      </c>
      <c r="E4211" t="b">
        <v>0</v>
      </c>
      <c r="F4211">
        <v>604</v>
      </c>
      <c r="G4211" t="s">
        <v>33</v>
      </c>
      <c r="H4211" t="s">
        <v>346</v>
      </c>
      <c r="I4211" t="s">
        <v>2117</v>
      </c>
    </row>
    <row r="4212" spans="1:9" x14ac:dyDescent="0.35">
      <c r="A4212">
        <v>1057090</v>
      </c>
      <c r="B4212" t="s">
        <v>1398</v>
      </c>
      <c r="C4212" s="1">
        <v>43900</v>
      </c>
      <c r="D4212">
        <v>697</v>
      </c>
      <c r="E4212" t="b">
        <v>0</v>
      </c>
      <c r="F4212">
        <v>604</v>
      </c>
      <c r="G4212" t="s">
        <v>33</v>
      </c>
      <c r="H4212" t="s">
        <v>239</v>
      </c>
      <c r="I4212" t="s">
        <v>2117</v>
      </c>
    </row>
    <row r="4213" spans="1:9" x14ac:dyDescent="0.35">
      <c r="A4213">
        <v>1057090</v>
      </c>
      <c r="B4213" t="s">
        <v>1398</v>
      </c>
      <c r="C4213" s="1">
        <v>43900</v>
      </c>
      <c r="D4213">
        <v>697</v>
      </c>
      <c r="E4213" t="b">
        <v>0</v>
      </c>
      <c r="F4213">
        <v>604</v>
      </c>
      <c r="G4213" t="s">
        <v>33</v>
      </c>
      <c r="H4213" t="s">
        <v>132</v>
      </c>
      <c r="I4213" t="s">
        <v>2117</v>
      </c>
    </row>
    <row r="4214" spans="1:9" x14ac:dyDescent="0.35">
      <c r="A4214">
        <v>1057090</v>
      </c>
      <c r="B4214" t="s">
        <v>1398</v>
      </c>
      <c r="C4214" s="1">
        <v>43900</v>
      </c>
      <c r="D4214">
        <v>697</v>
      </c>
      <c r="E4214" t="b">
        <v>0</v>
      </c>
      <c r="F4214">
        <v>604</v>
      </c>
      <c r="G4214" t="s">
        <v>33</v>
      </c>
      <c r="H4214" t="s">
        <v>124</v>
      </c>
      <c r="I4214" t="s">
        <v>2117</v>
      </c>
    </row>
    <row r="4215" spans="1:9" x14ac:dyDescent="0.35">
      <c r="A4215">
        <v>1057090</v>
      </c>
      <c r="B4215" t="s">
        <v>1398</v>
      </c>
      <c r="C4215" s="1">
        <v>43900</v>
      </c>
      <c r="D4215">
        <v>697</v>
      </c>
      <c r="E4215" t="b">
        <v>0</v>
      </c>
      <c r="F4215">
        <v>604</v>
      </c>
      <c r="G4215" t="s">
        <v>33</v>
      </c>
      <c r="H4215" t="s">
        <v>1510</v>
      </c>
      <c r="I4215" t="s">
        <v>2117</v>
      </c>
    </row>
    <row r="4216" spans="1:9" x14ac:dyDescent="0.35">
      <c r="A4216">
        <v>1176470</v>
      </c>
      <c r="B4216" t="s">
        <v>1400</v>
      </c>
      <c r="C4216" s="1">
        <v>44830</v>
      </c>
      <c r="D4216">
        <v>697</v>
      </c>
      <c r="E4216" t="b">
        <v>0</v>
      </c>
      <c r="F4216">
        <v>604</v>
      </c>
      <c r="G4216" t="s">
        <v>53</v>
      </c>
      <c r="H4216" t="s">
        <v>49</v>
      </c>
      <c r="I4216" t="s">
        <v>2117</v>
      </c>
    </row>
    <row r="4217" spans="1:9" x14ac:dyDescent="0.35">
      <c r="A4217">
        <v>1176470</v>
      </c>
      <c r="B4217" t="s">
        <v>1400</v>
      </c>
      <c r="C4217" s="1">
        <v>44830</v>
      </c>
      <c r="D4217">
        <v>697</v>
      </c>
      <c r="E4217" t="b">
        <v>0</v>
      </c>
      <c r="F4217">
        <v>604</v>
      </c>
      <c r="G4217" t="s">
        <v>53</v>
      </c>
      <c r="H4217" t="s">
        <v>792</v>
      </c>
      <c r="I4217" t="s">
        <v>2117</v>
      </c>
    </row>
    <row r="4218" spans="1:9" x14ac:dyDescent="0.35">
      <c r="A4218">
        <v>1176470</v>
      </c>
      <c r="B4218" t="s">
        <v>1400</v>
      </c>
      <c r="C4218" s="1">
        <v>44830</v>
      </c>
      <c r="D4218">
        <v>697</v>
      </c>
      <c r="E4218" t="b">
        <v>0</v>
      </c>
      <c r="F4218">
        <v>604</v>
      </c>
      <c r="G4218" t="s">
        <v>53</v>
      </c>
      <c r="H4218" t="s">
        <v>346</v>
      </c>
      <c r="I4218" t="s">
        <v>2117</v>
      </c>
    </row>
    <row r="4219" spans="1:9" x14ac:dyDescent="0.35">
      <c r="A4219">
        <v>1176470</v>
      </c>
      <c r="B4219" t="s">
        <v>1400</v>
      </c>
      <c r="C4219" s="1">
        <v>44830</v>
      </c>
      <c r="D4219">
        <v>697</v>
      </c>
      <c r="E4219" t="b">
        <v>0</v>
      </c>
      <c r="F4219">
        <v>604</v>
      </c>
      <c r="G4219" t="s">
        <v>53</v>
      </c>
      <c r="H4219" t="s">
        <v>239</v>
      </c>
      <c r="I4219" t="s">
        <v>2116</v>
      </c>
    </row>
    <row r="4220" spans="1:9" x14ac:dyDescent="0.35">
      <c r="A4220">
        <v>1176470</v>
      </c>
      <c r="B4220" t="s">
        <v>1400</v>
      </c>
      <c r="C4220" s="1">
        <v>44830</v>
      </c>
      <c r="D4220">
        <v>697</v>
      </c>
      <c r="E4220" t="b">
        <v>0</v>
      </c>
      <c r="F4220">
        <v>604</v>
      </c>
      <c r="G4220" t="s">
        <v>53</v>
      </c>
      <c r="H4220" t="s">
        <v>132</v>
      </c>
      <c r="I4220" t="s">
        <v>2117</v>
      </c>
    </row>
    <row r="4221" spans="1:9" x14ac:dyDescent="0.35">
      <c r="A4221">
        <v>1176470</v>
      </c>
      <c r="B4221" t="s">
        <v>1400</v>
      </c>
      <c r="C4221" s="1">
        <v>44830</v>
      </c>
      <c r="D4221">
        <v>697</v>
      </c>
      <c r="E4221" t="b">
        <v>0</v>
      </c>
      <c r="F4221">
        <v>604</v>
      </c>
      <c r="G4221" t="s">
        <v>53</v>
      </c>
      <c r="H4221" t="s">
        <v>124</v>
      </c>
      <c r="I4221" t="s">
        <v>2116</v>
      </c>
    </row>
    <row r="4222" spans="1:9" x14ac:dyDescent="0.35">
      <c r="A4222">
        <v>1176470</v>
      </c>
      <c r="B4222" t="s">
        <v>1400</v>
      </c>
      <c r="C4222" s="1">
        <v>44830</v>
      </c>
      <c r="D4222">
        <v>697</v>
      </c>
      <c r="E4222" t="b">
        <v>0</v>
      </c>
      <c r="F4222">
        <v>604</v>
      </c>
      <c r="G4222" t="s">
        <v>53</v>
      </c>
      <c r="H4222" t="s">
        <v>1510</v>
      </c>
      <c r="I4222" t="s">
        <v>2117</v>
      </c>
    </row>
    <row r="4223" spans="1:9" x14ac:dyDescent="0.35">
      <c r="A4223">
        <v>382310</v>
      </c>
      <c r="B4223" t="s">
        <v>1402</v>
      </c>
      <c r="C4223" s="1">
        <v>43137</v>
      </c>
      <c r="D4223">
        <v>692</v>
      </c>
      <c r="E4223" t="b">
        <v>0</v>
      </c>
      <c r="F4223">
        <v>606</v>
      </c>
      <c r="G4223" t="s">
        <v>486</v>
      </c>
      <c r="H4223" t="s">
        <v>49</v>
      </c>
      <c r="I4223" t="s">
        <v>2117</v>
      </c>
    </row>
    <row r="4224" spans="1:9" x14ac:dyDescent="0.35">
      <c r="A4224">
        <v>382310</v>
      </c>
      <c r="B4224" t="s">
        <v>1402</v>
      </c>
      <c r="C4224" s="1">
        <v>43137</v>
      </c>
      <c r="D4224">
        <v>692</v>
      </c>
      <c r="E4224" t="b">
        <v>0</v>
      </c>
      <c r="F4224">
        <v>606</v>
      </c>
      <c r="G4224" t="s">
        <v>486</v>
      </c>
      <c r="H4224" t="s">
        <v>792</v>
      </c>
      <c r="I4224" t="s">
        <v>2116</v>
      </c>
    </row>
    <row r="4225" spans="1:9" x14ac:dyDescent="0.35">
      <c r="A4225">
        <v>382310</v>
      </c>
      <c r="B4225" t="s">
        <v>1402</v>
      </c>
      <c r="C4225" s="1">
        <v>43137</v>
      </c>
      <c r="D4225">
        <v>692</v>
      </c>
      <c r="E4225" t="b">
        <v>0</v>
      </c>
      <c r="F4225">
        <v>606</v>
      </c>
      <c r="G4225" t="s">
        <v>486</v>
      </c>
      <c r="H4225" t="s">
        <v>346</v>
      </c>
      <c r="I4225" t="s">
        <v>2117</v>
      </c>
    </row>
    <row r="4226" spans="1:9" x14ac:dyDescent="0.35">
      <c r="A4226">
        <v>382310</v>
      </c>
      <c r="B4226" t="s">
        <v>1402</v>
      </c>
      <c r="C4226" s="1">
        <v>43137</v>
      </c>
      <c r="D4226">
        <v>692</v>
      </c>
      <c r="E4226" t="b">
        <v>0</v>
      </c>
      <c r="F4226">
        <v>606</v>
      </c>
      <c r="G4226" t="s">
        <v>486</v>
      </c>
      <c r="H4226" t="s">
        <v>239</v>
      </c>
      <c r="I4226" t="s">
        <v>2116</v>
      </c>
    </row>
    <row r="4227" spans="1:9" x14ac:dyDescent="0.35">
      <c r="A4227">
        <v>382310</v>
      </c>
      <c r="B4227" t="s">
        <v>1402</v>
      </c>
      <c r="C4227" s="1">
        <v>43137</v>
      </c>
      <c r="D4227">
        <v>692</v>
      </c>
      <c r="E4227" t="b">
        <v>0</v>
      </c>
      <c r="F4227">
        <v>606</v>
      </c>
      <c r="G4227" t="s">
        <v>486</v>
      </c>
      <c r="H4227" t="s">
        <v>132</v>
      </c>
      <c r="I4227" t="s">
        <v>2117</v>
      </c>
    </row>
    <row r="4228" spans="1:9" x14ac:dyDescent="0.35">
      <c r="A4228">
        <v>382310</v>
      </c>
      <c r="B4228" t="s">
        <v>1402</v>
      </c>
      <c r="C4228" s="1">
        <v>43137</v>
      </c>
      <c r="D4228">
        <v>692</v>
      </c>
      <c r="E4228" t="b">
        <v>0</v>
      </c>
      <c r="F4228">
        <v>606</v>
      </c>
      <c r="G4228" t="s">
        <v>486</v>
      </c>
      <c r="H4228" t="s">
        <v>124</v>
      </c>
      <c r="I4228" t="s">
        <v>2117</v>
      </c>
    </row>
    <row r="4229" spans="1:9" x14ac:dyDescent="0.35">
      <c r="A4229">
        <v>382310</v>
      </c>
      <c r="B4229" t="s">
        <v>1402</v>
      </c>
      <c r="C4229" s="1">
        <v>43137</v>
      </c>
      <c r="D4229">
        <v>692</v>
      </c>
      <c r="E4229" t="b">
        <v>0</v>
      </c>
      <c r="F4229">
        <v>606</v>
      </c>
      <c r="G4229" t="s">
        <v>486</v>
      </c>
      <c r="H4229" t="s">
        <v>1510</v>
      </c>
      <c r="I4229" t="s">
        <v>2117</v>
      </c>
    </row>
    <row r="4230" spans="1:9" x14ac:dyDescent="0.35">
      <c r="A4230">
        <v>9420</v>
      </c>
      <c r="B4230" t="s">
        <v>1404</v>
      </c>
      <c r="C4230" s="1">
        <v>40814</v>
      </c>
      <c r="D4230">
        <v>691</v>
      </c>
      <c r="E4230" t="b">
        <v>0</v>
      </c>
      <c r="F4230">
        <v>607</v>
      </c>
      <c r="G4230" t="s">
        <v>2084</v>
      </c>
      <c r="H4230" t="s">
        <v>49</v>
      </c>
      <c r="I4230" t="s">
        <v>2117</v>
      </c>
    </row>
    <row r="4231" spans="1:9" x14ac:dyDescent="0.35">
      <c r="A4231">
        <v>9420</v>
      </c>
      <c r="B4231" t="s">
        <v>1404</v>
      </c>
      <c r="C4231" s="1">
        <v>40814</v>
      </c>
      <c r="D4231">
        <v>691</v>
      </c>
      <c r="E4231" t="b">
        <v>0</v>
      </c>
      <c r="F4231">
        <v>607</v>
      </c>
      <c r="G4231" t="s">
        <v>2084</v>
      </c>
      <c r="H4231" t="s">
        <v>792</v>
      </c>
      <c r="I4231" t="s">
        <v>2117</v>
      </c>
    </row>
    <row r="4232" spans="1:9" x14ac:dyDescent="0.35">
      <c r="A4232">
        <v>9420</v>
      </c>
      <c r="B4232" t="s">
        <v>1404</v>
      </c>
      <c r="C4232" s="1">
        <v>40814</v>
      </c>
      <c r="D4232">
        <v>691</v>
      </c>
      <c r="E4232" t="b">
        <v>0</v>
      </c>
      <c r="F4232">
        <v>607</v>
      </c>
      <c r="G4232" t="s">
        <v>2084</v>
      </c>
      <c r="H4232" t="s">
        <v>346</v>
      </c>
      <c r="I4232" t="s">
        <v>2117</v>
      </c>
    </row>
    <row r="4233" spans="1:9" x14ac:dyDescent="0.35">
      <c r="A4233">
        <v>9420</v>
      </c>
      <c r="B4233" t="s">
        <v>1404</v>
      </c>
      <c r="C4233" s="1">
        <v>40814</v>
      </c>
      <c r="D4233">
        <v>691</v>
      </c>
      <c r="E4233" t="b">
        <v>0</v>
      </c>
      <c r="F4233">
        <v>607</v>
      </c>
      <c r="G4233" t="s">
        <v>2084</v>
      </c>
      <c r="H4233" t="s">
        <v>239</v>
      </c>
      <c r="I4233" t="s">
        <v>2117</v>
      </c>
    </row>
    <row r="4234" spans="1:9" x14ac:dyDescent="0.35">
      <c r="A4234">
        <v>9420</v>
      </c>
      <c r="B4234" t="s">
        <v>1404</v>
      </c>
      <c r="C4234" s="1">
        <v>40814</v>
      </c>
      <c r="D4234">
        <v>691</v>
      </c>
      <c r="E4234" t="b">
        <v>0</v>
      </c>
      <c r="F4234">
        <v>607</v>
      </c>
      <c r="G4234" t="s">
        <v>2084</v>
      </c>
      <c r="H4234" t="s">
        <v>132</v>
      </c>
      <c r="I4234" t="s">
        <v>2117</v>
      </c>
    </row>
    <row r="4235" spans="1:9" x14ac:dyDescent="0.35">
      <c r="A4235">
        <v>9420</v>
      </c>
      <c r="B4235" t="s">
        <v>1404</v>
      </c>
      <c r="C4235" s="1">
        <v>40814</v>
      </c>
      <c r="D4235">
        <v>691</v>
      </c>
      <c r="E4235" t="b">
        <v>0</v>
      </c>
      <c r="F4235">
        <v>607</v>
      </c>
      <c r="G4235" t="s">
        <v>2084</v>
      </c>
      <c r="H4235" t="s">
        <v>124</v>
      </c>
      <c r="I4235" t="s">
        <v>2116</v>
      </c>
    </row>
    <row r="4236" spans="1:9" x14ac:dyDescent="0.35">
      <c r="A4236">
        <v>9420</v>
      </c>
      <c r="B4236" t="s">
        <v>1404</v>
      </c>
      <c r="C4236" s="1">
        <v>40814</v>
      </c>
      <c r="D4236">
        <v>691</v>
      </c>
      <c r="E4236" t="b">
        <v>0</v>
      </c>
      <c r="F4236">
        <v>607</v>
      </c>
      <c r="G4236" t="s">
        <v>2084</v>
      </c>
      <c r="H4236" t="s">
        <v>1510</v>
      </c>
      <c r="I4236" t="s">
        <v>2117</v>
      </c>
    </row>
    <row r="4237" spans="1:9" x14ac:dyDescent="0.35">
      <c r="A4237">
        <v>1583320</v>
      </c>
      <c r="B4237" t="s">
        <v>1406</v>
      </c>
      <c r="C4237" s="1">
        <v>45996</v>
      </c>
      <c r="D4237">
        <v>690</v>
      </c>
      <c r="E4237" t="b">
        <v>0</v>
      </c>
      <c r="F4237">
        <v>608</v>
      </c>
      <c r="G4237" t="s">
        <v>417</v>
      </c>
      <c r="H4237" t="s">
        <v>49</v>
      </c>
      <c r="I4237" t="s">
        <v>2117</v>
      </c>
    </row>
    <row r="4238" spans="1:9" x14ac:dyDescent="0.35">
      <c r="A4238">
        <v>1583320</v>
      </c>
      <c r="B4238" t="s">
        <v>1406</v>
      </c>
      <c r="C4238" s="1">
        <v>45996</v>
      </c>
      <c r="D4238">
        <v>690</v>
      </c>
      <c r="E4238" t="b">
        <v>0</v>
      </c>
      <c r="F4238">
        <v>608</v>
      </c>
      <c r="G4238" t="s">
        <v>417</v>
      </c>
      <c r="H4238" t="s">
        <v>792</v>
      </c>
      <c r="I4238" t="s">
        <v>2117</v>
      </c>
    </row>
    <row r="4239" spans="1:9" x14ac:dyDescent="0.35">
      <c r="A4239">
        <v>1583320</v>
      </c>
      <c r="B4239" t="s">
        <v>1406</v>
      </c>
      <c r="C4239" s="1">
        <v>45996</v>
      </c>
      <c r="D4239">
        <v>690</v>
      </c>
      <c r="E4239" t="b">
        <v>0</v>
      </c>
      <c r="F4239">
        <v>608</v>
      </c>
      <c r="G4239" t="s">
        <v>417</v>
      </c>
      <c r="H4239" t="s">
        <v>346</v>
      </c>
      <c r="I4239" t="s">
        <v>2117</v>
      </c>
    </row>
    <row r="4240" spans="1:9" x14ac:dyDescent="0.35">
      <c r="A4240">
        <v>1583320</v>
      </c>
      <c r="B4240" t="s">
        <v>1406</v>
      </c>
      <c r="C4240" s="1">
        <v>45996</v>
      </c>
      <c r="D4240">
        <v>690</v>
      </c>
      <c r="E4240" t="b">
        <v>0</v>
      </c>
      <c r="F4240">
        <v>608</v>
      </c>
      <c r="G4240" t="s">
        <v>417</v>
      </c>
      <c r="H4240" t="s">
        <v>239</v>
      </c>
      <c r="I4240" t="s">
        <v>2117</v>
      </c>
    </row>
    <row r="4241" spans="1:9" x14ac:dyDescent="0.35">
      <c r="A4241">
        <v>1583320</v>
      </c>
      <c r="B4241" t="s">
        <v>1406</v>
      </c>
      <c r="C4241" s="1">
        <v>45996</v>
      </c>
      <c r="D4241">
        <v>690</v>
      </c>
      <c r="E4241" t="b">
        <v>0</v>
      </c>
      <c r="F4241">
        <v>608</v>
      </c>
      <c r="G4241" t="s">
        <v>417</v>
      </c>
      <c r="H4241" t="s">
        <v>132</v>
      </c>
      <c r="I4241" t="s">
        <v>2117</v>
      </c>
    </row>
    <row r="4242" spans="1:9" x14ac:dyDescent="0.35">
      <c r="A4242">
        <v>1583320</v>
      </c>
      <c r="B4242" t="s">
        <v>1406</v>
      </c>
      <c r="C4242" s="1">
        <v>45996</v>
      </c>
      <c r="D4242">
        <v>690</v>
      </c>
      <c r="E4242" t="b">
        <v>0</v>
      </c>
      <c r="F4242">
        <v>608</v>
      </c>
      <c r="G4242" t="s">
        <v>417</v>
      </c>
      <c r="H4242" t="s">
        <v>124</v>
      </c>
      <c r="I4242" t="s">
        <v>2117</v>
      </c>
    </row>
    <row r="4243" spans="1:9" x14ac:dyDescent="0.35">
      <c r="A4243">
        <v>1583320</v>
      </c>
      <c r="B4243" t="s">
        <v>1406</v>
      </c>
      <c r="C4243" s="1">
        <v>45996</v>
      </c>
      <c r="D4243">
        <v>690</v>
      </c>
      <c r="E4243" t="b">
        <v>0</v>
      </c>
      <c r="F4243">
        <v>608</v>
      </c>
      <c r="G4243" t="s">
        <v>417</v>
      </c>
      <c r="H4243" t="s">
        <v>1510</v>
      </c>
      <c r="I4243" t="s">
        <v>2117</v>
      </c>
    </row>
    <row r="4244" spans="1:9" x14ac:dyDescent="0.35">
      <c r="A4244">
        <v>524220</v>
      </c>
      <c r="B4244" t="s">
        <v>1408</v>
      </c>
      <c r="C4244" s="1">
        <v>42811</v>
      </c>
      <c r="D4244">
        <v>690</v>
      </c>
      <c r="E4244" t="b">
        <v>0</v>
      </c>
      <c r="F4244">
        <v>608</v>
      </c>
      <c r="G4244" t="s">
        <v>438</v>
      </c>
      <c r="H4244" t="s">
        <v>49</v>
      </c>
      <c r="I4244" t="s">
        <v>2116</v>
      </c>
    </row>
    <row r="4245" spans="1:9" x14ac:dyDescent="0.35">
      <c r="A4245">
        <v>524220</v>
      </c>
      <c r="B4245" t="s">
        <v>1408</v>
      </c>
      <c r="C4245" s="1">
        <v>42811</v>
      </c>
      <c r="D4245">
        <v>690</v>
      </c>
      <c r="E4245" t="b">
        <v>0</v>
      </c>
      <c r="F4245">
        <v>608</v>
      </c>
      <c r="G4245" t="s">
        <v>438</v>
      </c>
      <c r="H4245" t="s">
        <v>792</v>
      </c>
      <c r="I4245" t="s">
        <v>2117</v>
      </c>
    </row>
    <row r="4246" spans="1:9" x14ac:dyDescent="0.35">
      <c r="A4246">
        <v>524220</v>
      </c>
      <c r="B4246" t="s">
        <v>1408</v>
      </c>
      <c r="C4246" s="1">
        <v>42811</v>
      </c>
      <c r="D4246">
        <v>690</v>
      </c>
      <c r="E4246" t="b">
        <v>0</v>
      </c>
      <c r="F4246">
        <v>608</v>
      </c>
      <c r="G4246" t="s">
        <v>438</v>
      </c>
      <c r="H4246" t="s">
        <v>346</v>
      </c>
      <c r="I4246" t="s">
        <v>2117</v>
      </c>
    </row>
    <row r="4247" spans="1:9" x14ac:dyDescent="0.35">
      <c r="A4247">
        <v>524220</v>
      </c>
      <c r="B4247" t="s">
        <v>1408</v>
      </c>
      <c r="C4247" s="1">
        <v>42811</v>
      </c>
      <c r="D4247">
        <v>690</v>
      </c>
      <c r="E4247" t="b">
        <v>0</v>
      </c>
      <c r="F4247">
        <v>608</v>
      </c>
      <c r="G4247" t="s">
        <v>438</v>
      </c>
      <c r="H4247" t="s">
        <v>239</v>
      </c>
      <c r="I4247" t="s">
        <v>2117</v>
      </c>
    </row>
    <row r="4248" spans="1:9" x14ac:dyDescent="0.35">
      <c r="A4248">
        <v>524220</v>
      </c>
      <c r="B4248" t="s">
        <v>1408</v>
      </c>
      <c r="C4248" s="1">
        <v>42811</v>
      </c>
      <c r="D4248">
        <v>690</v>
      </c>
      <c r="E4248" t="b">
        <v>0</v>
      </c>
      <c r="F4248">
        <v>608</v>
      </c>
      <c r="G4248" t="s">
        <v>438</v>
      </c>
      <c r="H4248" t="s">
        <v>132</v>
      </c>
      <c r="I4248" t="s">
        <v>2116</v>
      </c>
    </row>
    <row r="4249" spans="1:9" x14ac:dyDescent="0.35">
      <c r="A4249">
        <v>524220</v>
      </c>
      <c r="B4249" t="s">
        <v>1408</v>
      </c>
      <c r="C4249" s="1">
        <v>42811</v>
      </c>
      <c r="D4249">
        <v>690</v>
      </c>
      <c r="E4249" t="b">
        <v>0</v>
      </c>
      <c r="F4249">
        <v>608</v>
      </c>
      <c r="G4249" t="s">
        <v>438</v>
      </c>
      <c r="H4249" t="s">
        <v>124</v>
      </c>
      <c r="I4249" t="s">
        <v>2117</v>
      </c>
    </row>
    <row r="4250" spans="1:9" x14ac:dyDescent="0.35">
      <c r="A4250">
        <v>524220</v>
      </c>
      <c r="B4250" t="s">
        <v>1408</v>
      </c>
      <c r="C4250" s="1">
        <v>42811</v>
      </c>
      <c r="D4250">
        <v>690</v>
      </c>
      <c r="E4250" t="b">
        <v>0</v>
      </c>
      <c r="F4250">
        <v>608</v>
      </c>
      <c r="G4250" t="s">
        <v>438</v>
      </c>
      <c r="H4250" t="s">
        <v>1510</v>
      </c>
      <c r="I4250" t="s">
        <v>2117</v>
      </c>
    </row>
    <row r="4251" spans="1:9" x14ac:dyDescent="0.35">
      <c r="A4251">
        <v>2244130</v>
      </c>
      <c r="B4251" t="s">
        <v>1409</v>
      </c>
      <c r="C4251" s="1">
        <v>45777</v>
      </c>
      <c r="D4251">
        <v>687</v>
      </c>
      <c r="E4251" t="b">
        <v>1</v>
      </c>
      <c r="F4251">
        <v>610</v>
      </c>
      <c r="G4251" t="s">
        <v>14</v>
      </c>
      <c r="H4251" t="s">
        <v>49</v>
      </c>
      <c r="I4251" t="s">
        <v>2117</v>
      </c>
    </row>
    <row r="4252" spans="1:9" x14ac:dyDescent="0.35">
      <c r="A4252">
        <v>2244130</v>
      </c>
      <c r="B4252" t="s">
        <v>1409</v>
      </c>
      <c r="C4252" s="1">
        <v>45777</v>
      </c>
      <c r="D4252">
        <v>687</v>
      </c>
      <c r="E4252" t="b">
        <v>1</v>
      </c>
      <c r="F4252">
        <v>610</v>
      </c>
      <c r="G4252" t="s">
        <v>14</v>
      </c>
      <c r="H4252" t="s">
        <v>792</v>
      </c>
      <c r="I4252" t="s">
        <v>2116</v>
      </c>
    </row>
    <row r="4253" spans="1:9" x14ac:dyDescent="0.35">
      <c r="A4253">
        <v>2244130</v>
      </c>
      <c r="B4253" t="s">
        <v>1409</v>
      </c>
      <c r="C4253" s="1">
        <v>45777</v>
      </c>
      <c r="D4253">
        <v>687</v>
      </c>
      <c r="E4253" t="b">
        <v>1</v>
      </c>
      <c r="F4253">
        <v>610</v>
      </c>
      <c r="G4253" t="s">
        <v>14</v>
      </c>
      <c r="H4253" t="s">
        <v>346</v>
      </c>
      <c r="I4253" t="s">
        <v>2116</v>
      </c>
    </row>
    <row r="4254" spans="1:9" x14ac:dyDescent="0.35">
      <c r="A4254">
        <v>2244130</v>
      </c>
      <c r="B4254" t="s">
        <v>1409</v>
      </c>
      <c r="C4254" s="1">
        <v>45777</v>
      </c>
      <c r="D4254">
        <v>687</v>
      </c>
      <c r="E4254" t="b">
        <v>1</v>
      </c>
      <c r="F4254">
        <v>610</v>
      </c>
      <c r="G4254" t="s">
        <v>14</v>
      </c>
      <c r="H4254" t="s">
        <v>239</v>
      </c>
      <c r="I4254" t="s">
        <v>2116</v>
      </c>
    </row>
    <row r="4255" spans="1:9" x14ac:dyDescent="0.35">
      <c r="A4255">
        <v>2244130</v>
      </c>
      <c r="B4255" t="s">
        <v>1409</v>
      </c>
      <c r="C4255" s="1">
        <v>45777</v>
      </c>
      <c r="D4255">
        <v>687</v>
      </c>
      <c r="E4255" t="b">
        <v>1</v>
      </c>
      <c r="F4255">
        <v>610</v>
      </c>
      <c r="G4255" t="s">
        <v>14</v>
      </c>
      <c r="H4255" t="s">
        <v>132</v>
      </c>
      <c r="I4255" t="s">
        <v>2117</v>
      </c>
    </row>
    <row r="4256" spans="1:9" x14ac:dyDescent="0.35">
      <c r="A4256">
        <v>2244130</v>
      </c>
      <c r="B4256" t="s">
        <v>1409</v>
      </c>
      <c r="C4256" s="1">
        <v>45777</v>
      </c>
      <c r="D4256">
        <v>687</v>
      </c>
      <c r="E4256" t="b">
        <v>1</v>
      </c>
      <c r="F4256">
        <v>610</v>
      </c>
      <c r="G4256" t="s">
        <v>14</v>
      </c>
      <c r="H4256" t="s">
        <v>124</v>
      </c>
      <c r="I4256" t="s">
        <v>2116</v>
      </c>
    </row>
    <row r="4257" spans="1:9" x14ac:dyDescent="0.35">
      <c r="A4257">
        <v>2244130</v>
      </c>
      <c r="B4257" t="s">
        <v>1409</v>
      </c>
      <c r="C4257" s="1">
        <v>45777</v>
      </c>
      <c r="D4257">
        <v>687</v>
      </c>
      <c r="E4257" t="b">
        <v>1</v>
      </c>
      <c r="F4257">
        <v>610</v>
      </c>
      <c r="G4257" t="s">
        <v>14</v>
      </c>
      <c r="H4257" t="s">
        <v>1510</v>
      </c>
      <c r="I4257" t="s">
        <v>2117</v>
      </c>
    </row>
    <row r="4258" spans="1:9" x14ac:dyDescent="0.35">
      <c r="A4258">
        <v>469600</v>
      </c>
      <c r="B4258" t="s">
        <v>1411</v>
      </c>
      <c r="C4258" s="1">
        <v>44470</v>
      </c>
      <c r="D4258">
        <v>687</v>
      </c>
      <c r="E4258" t="b">
        <v>1</v>
      </c>
      <c r="F4258">
        <v>610</v>
      </c>
      <c r="G4258" t="s">
        <v>53</v>
      </c>
      <c r="H4258" t="s">
        <v>49</v>
      </c>
      <c r="I4258" t="s">
        <v>2117</v>
      </c>
    </row>
    <row r="4259" spans="1:9" x14ac:dyDescent="0.35">
      <c r="A4259">
        <v>469600</v>
      </c>
      <c r="B4259" t="s">
        <v>1411</v>
      </c>
      <c r="C4259" s="1">
        <v>44470</v>
      </c>
      <c r="D4259">
        <v>687</v>
      </c>
      <c r="E4259" t="b">
        <v>1</v>
      </c>
      <c r="F4259">
        <v>610</v>
      </c>
      <c r="G4259" t="s">
        <v>53</v>
      </c>
      <c r="H4259" t="s">
        <v>792</v>
      </c>
      <c r="I4259" t="s">
        <v>2116</v>
      </c>
    </row>
    <row r="4260" spans="1:9" x14ac:dyDescent="0.35">
      <c r="A4260">
        <v>469600</v>
      </c>
      <c r="B4260" t="s">
        <v>1411</v>
      </c>
      <c r="C4260" s="1">
        <v>44470</v>
      </c>
      <c r="D4260">
        <v>687</v>
      </c>
      <c r="E4260" t="b">
        <v>1</v>
      </c>
      <c r="F4260">
        <v>610</v>
      </c>
      <c r="G4260" t="s">
        <v>53</v>
      </c>
      <c r="H4260" t="s">
        <v>346</v>
      </c>
      <c r="I4260" t="s">
        <v>2117</v>
      </c>
    </row>
    <row r="4261" spans="1:9" x14ac:dyDescent="0.35">
      <c r="A4261">
        <v>469600</v>
      </c>
      <c r="B4261" t="s">
        <v>1411</v>
      </c>
      <c r="C4261" s="1">
        <v>44470</v>
      </c>
      <c r="D4261">
        <v>687</v>
      </c>
      <c r="E4261" t="b">
        <v>1</v>
      </c>
      <c r="F4261">
        <v>610</v>
      </c>
      <c r="G4261" t="s">
        <v>53</v>
      </c>
      <c r="H4261" t="s">
        <v>239</v>
      </c>
      <c r="I4261" t="s">
        <v>2117</v>
      </c>
    </row>
    <row r="4262" spans="1:9" x14ac:dyDescent="0.35">
      <c r="A4262">
        <v>469600</v>
      </c>
      <c r="B4262" t="s">
        <v>1411</v>
      </c>
      <c r="C4262" s="1">
        <v>44470</v>
      </c>
      <c r="D4262">
        <v>687</v>
      </c>
      <c r="E4262" t="b">
        <v>1</v>
      </c>
      <c r="F4262">
        <v>610</v>
      </c>
      <c r="G4262" t="s">
        <v>53</v>
      </c>
      <c r="H4262" t="s">
        <v>132</v>
      </c>
      <c r="I4262" t="s">
        <v>2117</v>
      </c>
    </row>
    <row r="4263" spans="1:9" x14ac:dyDescent="0.35">
      <c r="A4263">
        <v>469600</v>
      </c>
      <c r="B4263" t="s">
        <v>1411</v>
      </c>
      <c r="C4263" s="1">
        <v>44470</v>
      </c>
      <c r="D4263">
        <v>687</v>
      </c>
      <c r="E4263" t="b">
        <v>1</v>
      </c>
      <c r="F4263">
        <v>610</v>
      </c>
      <c r="G4263" t="s">
        <v>53</v>
      </c>
      <c r="H4263" t="s">
        <v>124</v>
      </c>
      <c r="I4263" t="s">
        <v>2116</v>
      </c>
    </row>
    <row r="4264" spans="1:9" x14ac:dyDescent="0.35">
      <c r="A4264">
        <v>469600</v>
      </c>
      <c r="B4264" t="s">
        <v>1411</v>
      </c>
      <c r="C4264" s="1">
        <v>44470</v>
      </c>
      <c r="D4264">
        <v>687</v>
      </c>
      <c r="E4264" t="b">
        <v>1</v>
      </c>
      <c r="F4264">
        <v>610</v>
      </c>
      <c r="G4264" t="s">
        <v>53</v>
      </c>
      <c r="H4264" t="s">
        <v>1510</v>
      </c>
      <c r="I4264" t="s">
        <v>2117</v>
      </c>
    </row>
    <row r="4265" spans="1:9" x14ac:dyDescent="0.35">
      <c r="A4265">
        <v>493340</v>
      </c>
      <c r="B4265" t="s">
        <v>1413</v>
      </c>
      <c r="C4265" s="1">
        <v>42691</v>
      </c>
      <c r="D4265">
        <v>687</v>
      </c>
      <c r="E4265" t="b">
        <v>1</v>
      </c>
      <c r="F4265">
        <v>610</v>
      </c>
      <c r="G4265" t="s">
        <v>438</v>
      </c>
      <c r="H4265" t="s">
        <v>49</v>
      </c>
      <c r="I4265" t="s">
        <v>2116</v>
      </c>
    </row>
    <row r="4266" spans="1:9" x14ac:dyDescent="0.35">
      <c r="A4266">
        <v>493340</v>
      </c>
      <c r="B4266" t="s">
        <v>1413</v>
      </c>
      <c r="C4266" s="1">
        <v>42691</v>
      </c>
      <c r="D4266">
        <v>687</v>
      </c>
      <c r="E4266" t="b">
        <v>1</v>
      </c>
      <c r="F4266">
        <v>610</v>
      </c>
      <c r="G4266" t="s">
        <v>438</v>
      </c>
      <c r="H4266" t="s">
        <v>792</v>
      </c>
      <c r="I4266" t="s">
        <v>2117</v>
      </c>
    </row>
    <row r="4267" spans="1:9" x14ac:dyDescent="0.35">
      <c r="A4267">
        <v>493340</v>
      </c>
      <c r="B4267" t="s">
        <v>1413</v>
      </c>
      <c r="C4267" s="1">
        <v>42691</v>
      </c>
      <c r="D4267">
        <v>687</v>
      </c>
      <c r="E4267" t="b">
        <v>1</v>
      </c>
      <c r="F4267">
        <v>610</v>
      </c>
      <c r="G4267" t="s">
        <v>438</v>
      </c>
      <c r="H4267" t="s">
        <v>346</v>
      </c>
      <c r="I4267" t="s">
        <v>2116</v>
      </c>
    </row>
    <row r="4268" spans="1:9" x14ac:dyDescent="0.35">
      <c r="A4268">
        <v>493340</v>
      </c>
      <c r="B4268" t="s">
        <v>1413</v>
      </c>
      <c r="C4268" s="1">
        <v>42691</v>
      </c>
      <c r="D4268">
        <v>687</v>
      </c>
      <c r="E4268" t="b">
        <v>1</v>
      </c>
      <c r="F4268">
        <v>610</v>
      </c>
      <c r="G4268" t="s">
        <v>438</v>
      </c>
      <c r="H4268" t="s">
        <v>239</v>
      </c>
      <c r="I4268" t="s">
        <v>2116</v>
      </c>
    </row>
    <row r="4269" spans="1:9" x14ac:dyDescent="0.35">
      <c r="A4269">
        <v>493340</v>
      </c>
      <c r="B4269" t="s">
        <v>1413</v>
      </c>
      <c r="C4269" s="1">
        <v>42691</v>
      </c>
      <c r="D4269">
        <v>687</v>
      </c>
      <c r="E4269" t="b">
        <v>1</v>
      </c>
      <c r="F4269">
        <v>610</v>
      </c>
      <c r="G4269" t="s">
        <v>438</v>
      </c>
      <c r="H4269" t="s">
        <v>132</v>
      </c>
      <c r="I4269" t="s">
        <v>2117</v>
      </c>
    </row>
    <row r="4270" spans="1:9" x14ac:dyDescent="0.35">
      <c r="A4270">
        <v>493340</v>
      </c>
      <c r="B4270" t="s">
        <v>1413</v>
      </c>
      <c r="C4270" s="1">
        <v>42691</v>
      </c>
      <c r="D4270">
        <v>687</v>
      </c>
      <c r="E4270" t="b">
        <v>1</v>
      </c>
      <c r="F4270">
        <v>610</v>
      </c>
      <c r="G4270" t="s">
        <v>438</v>
      </c>
      <c r="H4270" t="s">
        <v>124</v>
      </c>
      <c r="I4270" t="s">
        <v>2116</v>
      </c>
    </row>
    <row r="4271" spans="1:9" x14ac:dyDescent="0.35">
      <c r="A4271">
        <v>493340</v>
      </c>
      <c r="B4271" t="s">
        <v>1413</v>
      </c>
      <c r="C4271" s="1">
        <v>42691</v>
      </c>
      <c r="D4271">
        <v>687</v>
      </c>
      <c r="E4271" t="b">
        <v>1</v>
      </c>
      <c r="F4271">
        <v>610</v>
      </c>
      <c r="G4271" t="s">
        <v>438</v>
      </c>
      <c r="H4271" t="s">
        <v>1510</v>
      </c>
      <c r="I4271" t="s">
        <v>2117</v>
      </c>
    </row>
    <row r="4272" spans="1:9" x14ac:dyDescent="0.35">
      <c r="A4272">
        <v>3146520</v>
      </c>
      <c r="B4272" t="s">
        <v>1415</v>
      </c>
      <c r="C4272" s="1">
        <v>45576</v>
      </c>
      <c r="D4272">
        <v>686</v>
      </c>
      <c r="E4272" t="b">
        <v>0</v>
      </c>
      <c r="F4272">
        <v>613</v>
      </c>
      <c r="G4272" t="s">
        <v>304</v>
      </c>
      <c r="H4272" t="s">
        <v>49</v>
      </c>
      <c r="I4272" t="s">
        <v>2117</v>
      </c>
    </row>
    <row r="4273" spans="1:9" x14ac:dyDescent="0.35">
      <c r="A4273">
        <v>3146520</v>
      </c>
      <c r="B4273" t="s">
        <v>1415</v>
      </c>
      <c r="C4273" s="1">
        <v>45576</v>
      </c>
      <c r="D4273">
        <v>686</v>
      </c>
      <c r="E4273" t="b">
        <v>0</v>
      </c>
      <c r="F4273">
        <v>613</v>
      </c>
      <c r="G4273" t="s">
        <v>304</v>
      </c>
      <c r="H4273" t="s">
        <v>792</v>
      </c>
      <c r="I4273" t="s">
        <v>2116</v>
      </c>
    </row>
    <row r="4274" spans="1:9" x14ac:dyDescent="0.35">
      <c r="A4274">
        <v>3146520</v>
      </c>
      <c r="B4274" t="s">
        <v>1415</v>
      </c>
      <c r="C4274" s="1">
        <v>45576</v>
      </c>
      <c r="D4274">
        <v>686</v>
      </c>
      <c r="E4274" t="b">
        <v>0</v>
      </c>
      <c r="F4274">
        <v>613</v>
      </c>
      <c r="G4274" t="s">
        <v>304</v>
      </c>
      <c r="H4274" t="s">
        <v>346</v>
      </c>
      <c r="I4274" t="s">
        <v>2117</v>
      </c>
    </row>
    <row r="4275" spans="1:9" x14ac:dyDescent="0.35">
      <c r="A4275">
        <v>3146520</v>
      </c>
      <c r="B4275" t="s">
        <v>1415</v>
      </c>
      <c r="C4275" s="1">
        <v>45576</v>
      </c>
      <c r="D4275">
        <v>686</v>
      </c>
      <c r="E4275" t="b">
        <v>0</v>
      </c>
      <c r="F4275">
        <v>613</v>
      </c>
      <c r="G4275" t="s">
        <v>304</v>
      </c>
      <c r="H4275" t="s">
        <v>239</v>
      </c>
      <c r="I4275" t="s">
        <v>2117</v>
      </c>
    </row>
    <row r="4276" spans="1:9" x14ac:dyDescent="0.35">
      <c r="A4276">
        <v>3146520</v>
      </c>
      <c r="B4276" t="s">
        <v>1415</v>
      </c>
      <c r="C4276" s="1">
        <v>45576</v>
      </c>
      <c r="D4276">
        <v>686</v>
      </c>
      <c r="E4276" t="b">
        <v>0</v>
      </c>
      <c r="F4276">
        <v>613</v>
      </c>
      <c r="G4276" t="s">
        <v>304</v>
      </c>
      <c r="H4276" t="s">
        <v>132</v>
      </c>
      <c r="I4276" t="s">
        <v>2117</v>
      </c>
    </row>
    <row r="4277" spans="1:9" x14ac:dyDescent="0.35">
      <c r="A4277">
        <v>3146520</v>
      </c>
      <c r="B4277" t="s">
        <v>1415</v>
      </c>
      <c r="C4277" s="1">
        <v>45576</v>
      </c>
      <c r="D4277">
        <v>686</v>
      </c>
      <c r="E4277" t="b">
        <v>0</v>
      </c>
      <c r="F4277">
        <v>613</v>
      </c>
      <c r="G4277" t="s">
        <v>304</v>
      </c>
      <c r="H4277" t="s">
        <v>124</v>
      </c>
      <c r="I4277" t="s">
        <v>2117</v>
      </c>
    </row>
    <row r="4278" spans="1:9" x14ac:dyDescent="0.35">
      <c r="A4278">
        <v>3146520</v>
      </c>
      <c r="B4278" t="s">
        <v>1415</v>
      </c>
      <c r="C4278" s="1">
        <v>45576</v>
      </c>
      <c r="D4278">
        <v>686</v>
      </c>
      <c r="E4278" t="b">
        <v>0</v>
      </c>
      <c r="F4278">
        <v>613</v>
      </c>
      <c r="G4278" t="s">
        <v>304</v>
      </c>
      <c r="H4278" t="s">
        <v>1510</v>
      </c>
      <c r="I4278" t="s">
        <v>2117</v>
      </c>
    </row>
    <row r="4279" spans="1:9" x14ac:dyDescent="0.35">
      <c r="A4279">
        <v>1030840</v>
      </c>
      <c r="B4279" t="s">
        <v>1418</v>
      </c>
      <c r="C4279" s="1">
        <v>44098</v>
      </c>
      <c r="D4279">
        <v>686</v>
      </c>
      <c r="E4279" t="b">
        <v>0</v>
      </c>
      <c r="F4279">
        <v>613</v>
      </c>
      <c r="G4279" t="s">
        <v>371</v>
      </c>
      <c r="H4279" t="s">
        <v>49</v>
      </c>
      <c r="I4279" t="s">
        <v>2116</v>
      </c>
    </row>
    <row r="4280" spans="1:9" x14ac:dyDescent="0.35">
      <c r="A4280">
        <v>1030840</v>
      </c>
      <c r="B4280" t="s">
        <v>1418</v>
      </c>
      <c r="C4280" s="1">
        <v>44098</v>
      </c>
      <c r="D4280">
        <v>686</v>
      </c>
      <c r="E4280" t="b">
        <v>0</v>
      </c>
      <c r="F4280">
        <v>613</v>
      </c>
      <c r="G4280" t="s">
        <v>371</v>
      </c>
      <c r="H4280" t="s">
        <v>792</v>
      </c>
      <c r="I4280" t="s">
        <v>2117</v>
      </c>
    </row>
    <row r="4281" spans="1:9" x14ac:dyDescent="0.35">
      <c r="A4281">
        <v>1030840</v>
      </c>
      <c r="B4281" t="s">
        <v>1418</v>
      </c>
      <c r="C4281" s="1">
        <v>44098</v>
      </c>
      <c r="D4281">
        <v>686</v>
      </c>
      <c r="E4281" t="b">
        <v>0</v>
      </c>
      <c r="F4281">
        <v>613</v>
      </c>
      <c r="G4281" t="s">
        <v>371</v>
      </c>
      <c r="H4281" t="s">
        <v>346</v>
      </c>
      <c r="I4281" t="s">
        <v>2116</v>
      </c>
    </row>
    <row r="4282" spans="1:9" x14ac:dyDescent="0.35">
      <c r="A4282">
        <v>1030840</v>
      </c>
      <c r="B4282" t="s">
        <v>1418</v>
      </c>
      <c r="C4282" s="1">
        <v>44098</v>
      </c>
      <c r="D4282">
        <v>686</v>
      </c>
      <c r="E4282" t="b">
        <v>0</v>
      </c>
      <c r="F4282">
        <v>613</v>
      </c>
      <c r="G4282" t="s">
        <v>371</v>
      </c>
      <c r="H4282" t="s">
        <v>239</v>
      </c>
      <c r="I4282" t="s">
        <v>2117</v>
      </c>
    </row>
    <row r="4283" spans="1:9" x14ac:dyDescent="0.35">
      <c r="A4283">
        <v>1030840</v>
      </c>
      <c r="B4283" t="s">
        <v>1418</v>
      </c>
      <c r="C4283" s="1">
        <v>44098</v>
      </c>
      <c r="D4283">
        <v>686</v>
      </c>
      <c r="E4283" t="b">
        <v>0</v>
      </c>
      <c r="F4283">
        <v>613</v>
      </c>
      <c r="G4283" t="s">
        <v>371</v>
      </c>
      <c r="H4283" t="s">
        <v>132</v>
      </c>
      <c r="I4283" t="s">
        <v>2117</v>
      </c>
    </row>
    <row r="4284" spans="1:9" x14ac:dyDescent="0.35">
      <c r="A4284">
        <v>1030840</v>
      </c>
      <c r="B4284" t="s">
        <v>1418</v>
      </c>
      <c r="C4284" s="1">
        <v>44098</v>
      </c>
      <c r="D4284">
        <v>686</v>
      </c>
      <c r="E4284" t="b">
        <v>0</v>
      </c>
      <c r="F4284">
        <v>613</v>
      </c>
      <c r="G4284" t="s">
        <v>371</v>
      </c>
      <c r="H4284" t="s">
        <v>124</v>
      </c>
      <c r="I4284" t="s">
        <v>2117</v>
      </c>
    </row>
    <row r="4285" spans="1:9" x14ac:dyDescent="0.35">
      <c r="A4285">
        <v>1030840</v>
      </c>
      <c r="B4285" t="s">
        <v>1418</v>
      </c>
      <c r="C4285" s="1">
        <v>44098</v>
      </c>
      <c r="D4285">
        <v>686</v>
      </c>
      <c r="E4285" t="b">
        <v>0</v>
      </c>
      <c r="F4285">
        <v>613</v>
      </c>
      <c r="G4285" t="s">
        <v>371</v>
      </c>
      <c r="H4285" t="s">
        <v>1510</v>
      </c>
      <c r="I4285" t="s">
        <v>2117</v>
      </c>
    </row>
    <row r="4286" spans="1:9" x14ac:dyDescent="0.35">
      <c r="A4286">
        <v>221680</v>
      </c>
      <c r="B4286" t="s">
        <v>1419</v>
      </c>
      <c r="C4286" s="1">
        <v>45645</v>
      </c>
      <c r="D4286">
        <v>683</v>
      </c>
      <c r="E4286" t="b">
        <v>0</v>
      </c>
      <c r="F4286">
        <v>615</v>
      </c>
      <c r="G4286" t="s">
        <v>932</v>
      </c>
      <c r="H4286" t="s">
        <v>49</v>
      </c>
      <c r="I4286" t="s">
        <v>2117</v>
      </c>
    </row>
    <row r="4287" spans="1:9" x14ac:dyDescent="0.35">
      <c r="A4287">
        <v>221680</v>
      </c>
      <c r="B4287" t="s">
        <v>1419</v>
      </c>
      <c r="C4287" s="1">
        <v>45645</v>
      </c>
      <c r="D4287">
        <v>683</v>
      </c>
      <c r="E4287" t="b">
        <v>0</v>
      </c>
      <c r="F4287">
        <v>615</v>
      </c>
      <c r="G4287" t="s">
        <v>932</v>
      </c>
      <c r="H4287" t="s">
        <v>792</v>
      </c>
      <c r="I4287" t="s">
        <v>2117</v>
      </c>
    </row>
    <row r="4288" spans="1:9" x14ac:dyDescent="0.35">
      <c r="A4288">
        <v>221680</v>
      </c>
      <c r="B4288" t="s">
        <v>1419</v>
      </c>
      <c r="C4288" s="1">
        <v>45645</v>
      </c>
      <c r="D4288">
        <v>683</v>
      </c>
      <c r="E4288" t="b">
        <v>0</v>
      </c>
      <c r="F4288">
        <v>615</v>
      </c>
      <c r="G4288" t="s">
        <v>932</v>
      </c>
      <c r="H4288" t="s">
        <v>346</v>
      </c>
      <c r="I4288" t="s">
        <v>2117</v>
      </c>
    </row>
    <row r="4289" spans="1:9" x14ac:dyDescent="0.35">
      <c r="A4289">
        <v>221680</v>
      </c>
      <c r="B4289" t="s">
        <v>1419</v>
      </c>
      <c r="C4289" s="1">
        <v>45645</v>
      </c>
      <c r="D4289">
        <v>683</v>
      </c>
      <c r="E4289" t="b">
        <v>0</v>
      </c>
      <c r="F4289">
        <v>615</v>
      </c>
      <c r="G4289" t="s">
        <v>932</v>
      </c>
      <c r="H4289" t="s">
        <v>239</v>
      </c>
      <c r="I4289" t="s">
        <v>2116</v>
      </c>
    </row>
    <row r="4290" spans="1:9" x14ac:dyDescent="0.35">
      <c r="A4290">
        <v>221680</v>
      </c>
      <c r="B4290" t="s">
        <v>1419</v>
      </c>
      <c r="C4290" s="1">
        <v>45645</v>
      </c>
      <c r="D4290">
        <v>683</v>
      </c>
      <c r="E4290" t="b">
        <v>0</v>
      </c>
      <c r="F4290">
        <v>615</v>
      </c>
      <c r="G4290" t="s">
        <v>932</v>
      </c>
      <c r="H4290" t="s">
        <v>132</v>
      </c>
      <c r="I4290" t="s">
        <v>2117</v>
      </c>
    </row>
    <row r="4291" spans="1:9" x14ac:dyDescent="0.35">
      <c r="A4291">
        <v>221680</v>
      </c>
      <c r="B4291" t="s">
        <v>1419</v>
      </c>
      <c r="C4291" s="1">
        <v>45645</v>
      </c>
      <c r="D4291">
        <v>683</v>
      </c>
      <c r="E4291" t="b">
        <v>0</v>
      </c>
      <c r="F4291">
        <v>615</v>
      </c>
      <c r="G4291" t="s">
        <v>932</v>
      </c>
      <c r="H4291" t="s">
        <v>124</v>
      </c>
      <c r="I4291" t="s">
        <v>2117</v>
      </c>
    </row>
    <row r="4292" spans="1:9" x14ac:dyDescent="0.35">
      <c r="A4292">
        <v>221680</v>
      </c>
      <c r="B4292" t="s">
        <v>1419</v>
      </c>
      <c r="C4292" s="1">
        <v>45645</v>
      </c>
      <c r="D4292">
        <v>683</v>
      </c>
      <c r="E4292" t="b">
        <v>0</v>
      </c>
      <c r="F4292">
        <v>615</v>
      </c>
      <c r="G4292" t="s">
        <v>932</v>
      </c>
      <c r="H4292" t="s">
        <v>1510</v>
      </c>
      <c r="I4292" t="s">
        <v>2117</v>
      </c>
    </row>
    <row r="4293" spans="1:9" x14ac:dyDescent="0.35">
      <c r="A4293">
        <v>2289450</v>
      </c>
      <c r="B4293" t="s">
        <v>1421</v>
      </c>
      <c r="C4293" s="1">
        <v>45267</v>
      </c>
      <c r="D4293">
        <v>683</v>
      </c>
      <c r="E4293" t="b">
        <v>1</v>
      </c>
      <c r="F4293">
        <v>615</v>
      </c>
      <c r="G4293" t="s">
        <v>33</v>
      </c>
      <c r="H4293" t="s">
        <v>49</v>
      </c>
      <c r="I4293" t="s">
        <v>2117</v>
      </c>
    </row>
    <row r="4294" spans="1:9" x14ac:dyDescent="0.35">
      <c r="A4294">
        <v>2289450</v>
      </c>
      <c r="B4294" t="s">
        <v>1421</v>
      </c>
      <c r="C4294" s="1">
        <v>45267</v>
      </c>
      <c r="D4294">
        <v>683</v>
      </c>
      <c r="E4294" t="b">
        <v>1</v>
      </c>
      <c r="F4294">
        <v>615</v>
      </c>
      <c r="G4294" t="s">
        <v>33</v>
      </c>
      <c r="H4294" t="s">
        <v>792</v>
      </c>
      <c r="I4294" t="s">
        <v>2116</v>
      </c>
    </row>
    <row r="4295" spans="1:9" x14ac:dyDescent="0.35">
      <c r="A4295">
        <v>2289450</v>
      </c>
      <c r="B4295" t="s">
        <v>1421</v>
      </c>
      <c r="C4295" s="1">
        <v>45267</v>
      </c>
      <c r="D4295">
        <v>683</v>
      </c>
      <c r="E4295" t="b">
        <v>1</v>
      </c>
      <c r="F4295">
        <v>615</v>
      </c>
      <c r="G4295" t="s">
        <v>33</v>
      </c>
      <c r="H4295" t="s">
        <v>346</v>
      </c>
      <c r="I4295" t="s">
        <v>2117</v>
      </c>
    </row>
    <row r="4296" spans="1:9" x14ac:dyDescent="0.35">
      <c r="A4296">
        <v>2289450</v>
      </c>
      <c r="B4296" t="s">
        <v>1421</v>
      </c>
      <c r="C4296" s="1">
        <v>45267</v>
      </c>
      <c r="D4296">
        <v>683</v>
      </c>
      <c r="E4296" t="b">
        <v>1</v>
      </c>
      <c r="F4296">
        <v>615</v>
      </c>
      <c r="G4296" t="s">
        <v>33</v>
      </c>
      <c r="H4296" t="s">
        <v>239</v>
      </c>
      <c r="I4296" t="s">
        <v>2116</v>
      </c>
    </row>
    <row r="4297" spans="1:9" x14ac:dyDescent="0.35">
      <c r="A4297">
        <v>2289450</v>
      </c>
      <c r="B4297" t="s">
        <v>1421</v>
      </c>
      <c r="C4297" s="1">
        <v>45267</v>
      </c>
      <c r="D4297">
        <v>683</v>
      </c>
      <c r="E4297" t="b">
        <v>1</v>
      </c>
      <c r="F4297">
        <v>615</v>
      </c>
      <c r="G4297" t="s">
        <v>33</v>
      </c>
      <c r="H4297" t="s">
        <v>132</v>
      </c>
      <c r="I4297" t="s">
        <v>2117</v>
      </c>
    </row>
    <row r="4298" spans="1:9" x14ac:dyDescent="0.35">
      <c r="A4298">
        <v>2289450</v>
      </c>
      <c r="B4298" t="s">
        <v>1421</v>
      </c>
      <c r="C4298" s="1">
        <v>45267</v>
      </c>
      <c r="D4298">
        <v>683</v>
      </c>
      <c r="E4298" t="b">
        <v>1</v>
      </c>
      <c r="F4298">
        <v>615</v>
      </c>
      <c r="G4298" t="s">
        <v>33</v>
      </c>
      <c r="H4298" t="s">
        <v>124</v>
      </c>
      <c r="I4298" t="s">
        <v>2117</v>
      </c>
    </row>
    <row r="4299" spans="1:9" x14ac:dyDescent="0.35">
      <c r="A4299">
        <v>2289450</v>
      </c>
      <c r="B4299" t="s">
        <v>1421</v>
      </c>
      <c r="C4299" s="1">
        <v>45267</v>
      </c>
      <c r="D4299">
        <v>683</v>
      </c>
      <c r="E4299" t="b">
        <v>1</v>
      </c>
      <c r="F4299">
        <v>615</v>
      </c>
      <c r="G4299" t="s">
        <v>33</v>
      </c>
      <c r="H4299" t="s">
        <v>1510</v>
      </c>
      <c r="I4299" t="s">
        <v>2116</v>
      </c>
    </row>
    <row r="4300" spans="1:9" x14ac:dyDescent="0.35">
      <c r="A4300">
        <v>1449690</v>
      </c>
      <c r="B4300" t="s">
        <v>1423</v>
      </c>
      <c r="C4300" s="1">
        <v>44133</v>
      </c>
      <c r="D4300">
        <v>677</v>
      </c>
      <c r="E4300" t="b">
        <v>0</v>
      </c>
      <c r="F4300">
        <v>617</v>
      </c>
      <c r="G4300" t="s">
        <v>133</v>
      </c>
      <c r="H4300" t="s">
        <v>49</v>
      </c>
      <c r="I4300" t="s">
        <v>2117</v>
      </c>
    </row>
    <row r="4301" spans="1:9" x14ac:dyDescent="0.35">
      <c r="A4301">
        <v>1449690</v>
      </c>
      <c r="B4301" t="s">
        <v>1423</v>
      </c>
      <c r="C4301" s="1">
        <v>44133</v>
      </c>
      <c r="D4301">
        <v>677</v>
      </c>
      <c r="E4301" t="b">
        <v>0</v>
      </c>
      <c r="F4301">
        <v>617</v>
      </c>
      <c r="G4301" t="s">
        <v>133</v>
      </c>
      <c r="H4301" t="s">
        <v>792</v>
      </c>
      <c r="I4301" t="s">
        <v>2117</v>
      </c>
    </row>
    <row r="4302" spans="1:9" x14ac:dyDescent="0.35">
      <c r="A4302">
        <v>1449690</v>
      </c>
      <c r="B4302" t="s">
        <v>1423</v>
      </c>
      <c r="C4302" s="1">
        <v>44133</v>
      </c>
      <c r="D4302">
        <v>677</v>
      </c>
      <c r="E4302" t="b">
        <v>0</v>
      </c>
      <c r="F4302">
        <v>617</v>
      </c>
      <c r="G4302" t="s">
        <v>133</v>
      </c>
      <c r="H4302" t="s">
        <v>346</v>
      </c>
      <c r="I4302" t="s">
        <v>2116</v>
      </c>
    </row>
    <row r="4303" spans="1:9" x14ac:dyDescent="0.35">
      <c r="A4303">
        <v>1449690</v>
      </c>
      <c r="B4303" t="s">
        <v>1423</v>
      </c>
      <c r="C4303" s="1">
        <v>44133</v>
      </c>
      <c r="D4303">
        <v>677</v>
      </c>
      <c r="E4303" t="b">
        <v>0</v>
      </c>
      <c r="F4303">
        <v>617</v>
      </c>
      <c r="G4303" t="s">
        <v>133</v>
      </c>
      <c r="H4303" t="s">
        <v>239</v>
      </c>
      <c r="I4303" t="s">
        <v>2117</v>
      </c>
    </row>
    <row r="4304" spans="1:9" x14ac:dyDescent="0.35">
      <c r="A4304">
        <v>1449690</v>
      </c>
      <c r="B4304" t="s">
        <v>1423</v>
      </c>
      <c r="C4304" s="1">
        <v>44133</v>
      </c>
      <c r="D4304">
        <v>677</v>
      </c>
      <c r="E4304" t="b">
        <v>0</v>
      </c>
      <c r="F4304">
        <v>617</v>
      </c>
      <c r="G4304" t="s">
        <v>133</v>
      </c>
      <c r="H4304" t="s">
        <v>132</v>
      </c>
      <c r="I4304" t="s">
        <v>2117</v>
      </c>
    </row>
    <row r="4305" spans="1:9" x14ac:dyDescent="0.35">
      <c r="A4305">
        <v>1449690</v>
      </c>
      <c r="B4305" t="s">
        <v>1423</v>
      </c>
      <c r="C4305" s="1">
        <v>44133</v>
      </c>
      <c r="D4305">
        <v>677</v>
      </c>
      <c r="E4305" t="b">
        <v>0</v>
      </c>
      <c r="F4305">
        <v>617</v>
      </c>
      <c r="G4305" t="s">
        <v>133</v>
      </c>
      <c r="H4305" t="s">
        <v>124</v>
      </c>
      <c r="I4305" t="s">
        <v>2117</v>
      </c>
    </row>
    <row r="4306" spans="1:9" x14ac:dyDescent="0.35">
      <c r="A4306">
        <v>1449690</v>
      </c>
      <c r="B4306" t="s">
        <v>1423</v>
      </c>
      <c r="C4306" s="1">
        <v>44133</v>
      </c>
      <c r="D4306">
        <v>677</v>
      </c>
      <c r="E4306" t="b">
        <v>0</v>
      </c>
      <c r="F4306">
        <v>617</v>
      </c>
      <c r="G4306" t="s">
        <v>133</v>
      </c>
      <c r="H4306" t="s">
        <v>1510</v>
      </c>
      <c r="I4306" t="s">
        <v>2117</v>
      </c>
    </row>
    <row r="4307" spans="1:9" x14ac:dyDescent="0.35">
      <c r="A4307">
        <v>631510</v>
      </c>
      <c r="B4307" t="s">
        <v>1424</v>
      </c>
      <c r="C4307" s="1">
        <v>43172</v>
      </c>
      <c r="D4307">
        <v>675</v>
      </c>
      <c r="E4307" t="b">
        <v>0</v>
      </c>
      <c r="F4307">
        <v>618</v>
      </c>
      <c r="G4307" t="s">
        <v>133</v>
      </c>
      <c r="H4307" t="s">
        <v>49</v>
      </c>
      <c r="I4307" t="s">
        <v>2116</v>
      </c>
    </row>
    <row r="4308" spans="1:9" x14ac:dyDescent="0.35">
      <c r="A4308">
        <v>631510</v>
      </c>
      <c r="B4308" t="s">
        <v>1424</v>
      </c>
      <c r="C4308" s="1">
        <v>43172</v>
      </c>
      <c r="D4308">
        <v>675</v>
      </c>
      <c r="E4308" t="b">
        <v>0</v>
      </c>
      <c r="F4308">
        <v>618</v>
      </c>
      <c r="G4308" t="s">
        <v>133</v>
      </c>
      <c r="H4308" t="s">
        <v>792</v>
      </c>
      <c r="I4308" t="s">
        <v>2117</v>
      </c>
    </row>
    <row r="4309" spans="1:9" x14ac:dyDescent="0.35">
      <c r="A4309">
        <v>631510</v>
      </c>
      <c r="B4309" t="s">
        <v>1424</v>
      </c>
      <c r="C4309" s="1">
        <v>43172</v>
      </c>
      <c r="D4309">
        <v>675</v>
      </c>
      <c r="E4309" t="b">
        <v>0</v>
      </c>
      <c r="F4309">
        <v>618</v>
      </c>
      <c r="G4309" t="s">
        <v>133</v>
      </c>
      <c r="H4309" t="s">
        <v>346</v>
      </c>
      <c r="I4309" t="s">
        <v>2117</v>
      </c>
    </row>
    <row r="4310" spans="1:9" x14ac:dyDescent="0.35">
      <c r="A4310">
        <v>631510</v>
      </c>
      <c r="B4310" t="s">
        <v>1424</v>
      </c>
      <c r="C4310" s="1">
        <v>43172</v>
      </c>
      <c r="D4310">
        <v>675</v>
      </c>
      <c r="E4310" t="b">
        <v>0</v>
      </c>
      <c r="F4310">
        <v>618</v>
      </c>
      <c r="G4310" t="s">
        <v>133</v>
      </c>
      <c r="H4310" t="s">
        <v>239</v>
      </c>
      <c r="I4310" t="s">
        <v>2117</v>
      </c>
    </row>
    <row r="4311" spans="1:9" x14ac:dyDescent="0.35">
      <c r="A4311">
        <v>631510</v>
      </c>
      <c r="B4311" t="s">
        <v>1424</v>
      </c>
      <c r="C4311" s="1">
        <v>43172</v>
      </c>
      <c r="D4311">
        <v>675</v>
      </c>
      <c r="E4311" t="b">
        <v>0</v>
      </c>
      <c r="F4311">
        <v>618</v>
      </c>
      <c r="G4311" t="s">
        <v>133</v>
      </c>
      <c r="H4311" t="s">
        <v>132</v>
      </c>
      <c r="I4311" t="s">
        <v>2117</v>
      </c>
    </row>
    <row r="4312" spans="1:9" x14ac:dyDescent="0.35">
      <c r="A4312">
        <v>631510</v>
      </c>
      <c r="B4312" t="s">
        <v>1424</v>
      </c>
      <c r="C4312" s="1">
        <v>43172</v>
      </c>
      <c r="D4312">
        <v>675</v>
      </c>
      <c r="E4312" t="b">
        <v>0</v>
      </c>
      <c r="F4312">
        <v>618</v>
      </c>
      <c r="G4312" t="s">
        <v>133</v>
      </c>
      <c r="H4312" t="s">
        <v>124</v>
      </c>
      <c r="I4312" t="s">
        <v>2117</v>
      </c>
    </row>
    <row r="4313" spans="1:9" x14ac:dyDescent="0.35">
      <c r="A4313">
        <v>631510</v>
      </c>
      <c r="B4313" t="s">
        <v>1424</v>
      </c>
      <c r="C4313" s="1">
        <v>43172</v>
      </c>
      <c r="D4313">
        <v>675</v>
      </c>
      <c r="E4313" t="b">
        <v>0</v>
      </c>
      <c r="F4313">
        <v>618</v>
      </c>
      <c r="G4313" t="s">
        <v>133</v>
      </c>
      <c r="H4313" t="s">
        <v>1510</v>
      </c>
      <c r="I4313" t="s">
        <v>2117</v>
      </c>
    </row>
    <row r="4314" spans="1:9" x14ac:dyDescent="0.35">
      <c r="A4314">
        <v>2066020</v>
      </c>
      <c r="B4314" t="s">
        <v>1426</v>
      </c>
      <c r="C4314" s="1">
        <v>45825</v>
      </c>
      <c r="D4314">
        <v>674</v>
      </c>
      <c r="E4314" t="b">
        <v>1</v>
      </c>
      <c r="F4314">
        <v>619</v>
      </c>
      <c r="G4314" t="s">
        <v>53</v>
      </c>
      <c r="H4314" t="s">
        <v>49</v>
      </c>
      <c r="I4314" t="s">
        <v>2116</v>
      </c>
    </row>
    <row r="4315" spans="1:9" x14ac:dyDescent="0.35">
      <c r="A4315">
        <v>2066020</v>
      </c>
      <c r="B4315" t="s">
        <v>1426</v>
      </c>
      <c r="C4315" s="1">
        <v>45825</v>
      </c>
      <c r="D4315">
        <v>674</v>
      </c>
      <c r="E4315" t="b">
        <v>1</v>
      </c>
      <c r="F4315">
        <v>619</v>
      </c>
      <c r="G4315" t="s">
        <v>53</v>
      </c>
      <c r="H4315" t="s">
        <v>792</v>
      </c>
      <c r="I4315" t="s">
        <v>2116</v>
      </c>
    </row>
    <row r="4316" spans="1:9" x14ac:dyDescent="0.35">
      <c r="A4316">
        <v>2066020</v>
      </c>
      <c r="B4316" t="s">
        <v>1426</v>
      </c>
      <c r="C4316" s="1">
        <v>45825</v>
      </c>
      <c r="D4316">
        <v>674</v>
      </c>
      <c r="E4316" t="b">
        <v>1</v>
      </c>
      <c r="F4316">
        <v>619</v>
      </c>
      <c r="G4316" t="s">
        <v>53</v>
      </c>
      <c r="H4316" t="s">
        <v>346</v>
      </c>
      <c r="I4316" t="s">
        <v>2117</v>
      </c>
    </row>
    <row r="4317" spans="1:9" x14ac:dyDescent="0.35">
      <c r="A4317">
        <v>2066020</v>
      </c>
      <c r="B4317" t="s">
        <v>1426</v>
      </c>
      <c r="C4317" s="1">
        <v>45825</v>
      </c>
      <c r="D4317">
        <v>674</v>
      </c>
      <c r="E4317" t="b">
        <v>1</v>
      </c>
      <c r="F4317">
        <v>619</v>
      </c>
      <c r="G4317" t="s">
        <v>53</v>
      </c>
      <c r="H4317" t="s">
        <v>239</v>
      </c>
      <c r="I4317" t="s">
        <v>2117</v>
      </c>
    </row>
    <row r="4318" spans="1:9" x14ac:dyDescent="0.35">
      <c r="A4318">
        <v>2066020</v>
      </c>
      <c r="B4318" t="s">
        <v>1426</v>
      </c>
      <c r="C4318" s="1">
        <v>45825</v>
      </c>
      <c r="D4318">
        <v>674</v>
      </c>
      <c r="E4318" t="b">
        <v>1</v>
      </c>
      <c r="F4318">
        <v>619</v>
      </c>
      <c r="G4318" t="s">
        <v>53</v>
      </c>
      <c r="H4318" t="s">
        <v>132</v>
      </c>
      <c r="I4318" t="s">
        <v>2116</v>
      </c>
    </row>
    <row r="4319" spans="1:9" x14ac:dyDescent="0.35">
      <c r="A4319">
        <v>2066020</v>
      </c>
      <c r="B4319" t="s">
        <v>1426</v>
      </c>
      <c r="C4319" s="1">
        <v>45825</v>
      </c>
      <c r="D4319">
        <v>674</v>
      </c>
      <c r="E4319" t="b">
        <v>1</v>
      </c>
      <c r="F4319">
        <v>619</v>
      </c>
      <c r="G4319" t="s">
        <v>53</v>
      </c>
      <c r="H4319" t="s">
        <v>124</v>
      </c>
      <c r="I4319" t="s">
        <v>2117</v>
      </c>
    </row>
    <row r="4320" spans="1:9" x14ac:dyDescent="0.35">
      <c r="A4320">
        <v>2066020</v>
      </c>
      <c r="B4320" t="s">
        <v>1426</v>
      </c>
      <c r="C4320" s="1">
        <v>45825</v>
      </c>
      <c r="D4320">
        <v>674</v>
      </c>
      <c r="E4320" t="b">
        <v>1</v>
      </c>
      <c r="F4320">
        <v>619</v>
      </c>
      <c r="G4320" t="s">
        <v>53</v>
      </c>
      <c r="H4320" t="s">
        <v>1510</v>
      </c>
      <c r="I4320" t="s">
        <v>2117</v>
      </c>
    </row>
    <row r="4321" spans="1:9" x14ac:dyDescent="0.35">
      <c r="A4321">
        <v>1435790</v>
      </c>
      <c r="B4321" t="s">
        <v>1428</v>
      </c>
      <c r="C4321" s="1">
        <v>44488</v>
      </c>
      <c r="D4321">
        <v>674</v>
      </c>
      <c r="E4321" t="b">
        <v>1</v>
      </c>
      <c r="F4321">
        <v>619</v>
      </c>
      <c r="G4321" t="s">
        <v>53</v>
      </c>
      <c r="H4321" t="s">
        <v>49</v>
      </c>
      <c r="I4321" t="s">
        <v>2117</v>
      </c>
    </row>
    <row r="4322" spans="1:9" x14ac:dyDescent="0.35">
      <c r="A4322">
        <v>1435790</v>
      </c>
      <c r="B4322" t="s">
        <v>1428</v>
      </c>
      <c r="C4322" s="1">
        <v>44488</v>
      </c>
      <c r="D4322">
        <v>674</v>
      </c>
      <c r="E4322" t="b">
        <v>1</v>
      </c>
      <c r="F4322">
        <v>619</v>
      </c>
      <c r="G4322" t="s">
        <v>53</v>
      </c>
      <c r="H4322" t="s">
        <v>792</v>
      </c>
      <c r="I4322" t="s">
        <v>2116</v>
      </c>
    </row>
    <row r="4323" spans="1:9" x14ac:dyDescent="0.35">
      <c r="A4323">
        <v>1435790</v>
      </c>
      <c r="B4323" t="s">
        <v>1428</v>
      </c>
      <c r="C4323" s="1">
        <v>44488</v>
      </c>
      <c r="D4323">
        <v>674</v>
      </c>
      <c r="E4323" t="b">
        <v>1</v>
      </c>
      <c r="F4323">
        <v>619</v>
      </c>
      <c r="G4323" t="s">
        <v>53</v>
      </c>
      <c r="H4323" t="s">
        <v>346</v>
      </c>
      <c r="I4323" t="s">
        <v>2116</v>
      </c>
    </row>
    <row r="4324" spans="1:9" x14ac:dyDescent="0.35">
      <c r="A4324">
        <v>1435790</v>
      </c>
      <c r="B4324" t="s">
        <v>1428</v>
      </c>
      <c r="C4324" s="1">
        <v>44488</v>
      </c>
      <c r="D4324">
        <v>674</v>
      </c>
      <c r="E4324" t="b">
        <v>1</v>
      </c>
      <c r="F4324">
        <v>619</v>
      </c>
      <c r="G4324" t="s">
        <v>53</v>
      </c>
      <c r="H4324" t="s">
        <v>239</v>
      </c>
      <c r="I4324" t="s">
        <v>2116</v>
      </c>
    </row>
    <row r="4325" spans="1:9" x14ac:dyDescent="0.35">
      <c r="A4325">
        <v>1435790</v>
      </c>
      <c r="B4325" t="s">
        <v>1428</v>
      </c>
      <c r="C4325" s="1">
        <v>44488</v>
      </c>
      <c r="D4325">
        <v>674</v>
      </c>
      <c r="E4325" t="b">
        <v>1</v>
      </c>
      <c r="F4325">
        <v>619</v>
      </c>
      <c r="G4325" t="s">
        <v>53</v>
      </c>
      <c r="H4325" t="s">
        <v>132</v>
      </c>
      <c r="I4325" t="s">
        <v>2117</v>
      </c>
    </row>
    <row r="4326" spans="1:9" x14ac:dyDescent="0.35">
      <c r="A4326">
        <v>1435790</v>
      </c>
      <c r="B4326" t="s">
        <v>1428</v>
      </c>
      <c r="C4326" s="1">
        <v>44488</v>
      </c>
      <c r="D4326">
        <v>674</v>
      </c>
      <c r="E4326" t="b">
        <v>1</v>
      </c>
      <c r="F4326">
        <v>619</v>
      </c>
      <c r="G4326" t="s">
        <v>53</v>
      </c>
      <c r="H4326" t="s">
        <v>124</v>
      </c>
      <c r="I4326" t="s">
        <v>2117</v>
      </c>
    </row>
    <row r="4327" spans="1:9" x14ac:dyDescent="0.35">
      <c r="A4327">
        <v>1435790</v>
      </c>
      <c r="B4327" t="s">
        <v>1428</v>
      </c>
      <c r="C4327" s="1">
        <v>44488</v>
      </c>
      <c r="D4327">
        <v>674</v>
      </c>
      <c r="E4327" t="b">
        <v>1</v>
      </c>
      <c r="F4327">
        <v>619</v>
      </c>
      <c r="G4327" t="s">
        <v>53</v>
      </c>
      <c r="H4327" t="s">
        <v>1510</v>
      </c>
      <c r="I4327" t="s">
        <v>2117</v>
      </c>
    </row>
    <row r="4328" spans="1:9" x14ac:dyDescent="0.35">
      <c r="A4328">
        <v>9450</v>
      </c>
      <c r="B4328" t="s">
        <v>1430</v>
      </c>
      <c r="C4328" s="1">
        <v>39512</v>
      </c>
      <c r="D4328">
        <v>673</v>
      </c>
      <c r="E4328" t="b">
        <v>0</v>
      </c>
      <c r="F4328">
        <v>621</v>
      </c>
      <c r="G4328" t="s">
        <v>2084</v>
      </c>
      <c r="H4328" t="s">
        <v>49</v>
      </c>
      <c r="I4328" t="s">
        <v>2117</v>
      </c>
    </row>
    <row r="4329" spans="1:9" x14ac:dyDescent="0.35">
      <c r="A4329">
        <v>9450</v>
      </c>
      <c r="B4329" t="s">
        <v>1430</v>
      </c>
      <c r="C4329" s="1">
        <v>39512</v>
      </c>
      <c r="D4329">
        <v>673</v>
      </c>
      <c r="E4329" t="b">
        <v>0</v>
      </c>
      <c r="F4329">
        <v>621</v>
      </c>
      <c r="G4329" t="s">
        <v>2084</v>
      </c>
      <c r="H4329" t="s">
        <v>792</v>
      </c>
      <c r="I4329" t="s">
        <v>2117</v>
      </c>
    </row>
    <row r="4330" spans="1:9" x14ac:dyDescent="0.35">
      <c r="A4330">
        <v>9450</v>
      </c>
      <c r="B4330" t="s">
        <v>1430</v>
      </c>
      <c r="C4330" s="1">
        <v>39512</v>
      </c>
      <c r="D4330">
        <v>673</v>
      </c>
      <c r="E4330" t="b">
        <v>0</v>
      </c>
      <c r="F4330">
        <v>621</v>
      </c>
      <c r="G4330" t="s">
        <v>2084</v>
      </c>
      <c r="H4330" t="s">
        <v>346</v>
      </c>
      <c r="I4330" t="s">
        <v>2117</v>
      </c>
    </row>
    <row r="4331" spans="1:9" x14ac:dyDescent="0.35">
      <c r="A4331">
        <v>9450</v>
      </c>
      <c r="B4331" t="s">
        <v>1430</v>
      </c>
      <c r="C4331" s="1">
        <v>39512</v>
      </c>
      <c r="D4331">
        <v>673</v>
      </c>
      <c r="E4331" t="b">
        <v>0</v>
      </c>
      <c r="F4331">
        <v>621</v>
      </c>
      <c r="G4331" t="s">
        <v>2084</v>
      </c>
      <c r="H4331" t="s">
        <v>239</v>
      </c>
      <c r="I4331" t="s">
        <v>2117</v>
      </c>
    </row>
    <row r="4332" spans="1:9" x14ac:dyDescent="0.35">
      <c r="A4332">
        <v>9450</v>
      </c>
      <c r="B4332" t="s">
        <v>1430</v>
      </c>
      <c r="C4332" s="1">
        <v>39512</v>
      </c>
      <c r="D4332">
        <v>673</v>
      </c>
      <c r="E4332" t="b">
        <v>0</v>
      </c>
      <c r="F4332">
        <v>621</v>
      </c>
      <c r="G4332" t="s">
        <v>2084</v>
      </c>
      <c r="H4332" t="s">
        <v>132</v>
      </c>
      <c r="I4332" t="s">
        <v>2117</v>
      </c>
    </row>
    <row r="4333" spans="1:9" x14ac:dyDescent="0.35">
      <c r="A4333">
        <v>9450</v>
      </c>
      <c r="B4333" t="s">
        <v>1430</v>
      </c>
      <c r="C4333" s="1">
        <v>39512</v>
      </c>
      <c r="D4333">
        <v>673</v>
      </c>
      <c r="E4333" t="b">
        <v>0</v>
      </c>
      <c r="F4333">
        <v>621</v>
      </c>
      <c r="G4333" t="s">
        <v>2084</v>
      </c>
      <c r="H4333" t="s">
        <v>124</v>
      </c>
      <c r="I4333" t="s">
        <v>2116</v>
      </c>
    </row>
    <row r="4334" spans="1:9" x14ac:dyDescent="0.35">
      <c r="A4334">
        <v>9450</v>
      </c>
      <c r="B4334" t="s">
        <v>1430</v>
      </c>
      <c r="C4334" s="1">
        <v>39512</v>
      </c>
      <c r="D4334">
        <v>673</v>
      </c>
      <c r="E4334" t="b">
        <v>0</v>
      </c>
      <c r="F4334">
        <v>621</v>
      </c>
      <c r="G4334" t="s">
        <v>2084</v>
      </c>
      <c r="H4334" t="s">
        <v>1510</v>
      </c>
      <c r="I4334" t="s">
        <v>2117</v>
      </c>
    </row>
    <row r="4335" spans="1:9" x14ac:dyDescent="0.35">
      <c r="A4335">
        <v>254700</v>
      </c>
      <c r="B4335" t="s">
        <v>1432</v>
      </c>
      <c r="C4335" s="1">
        <v>41697</v>
      </c>
      <c r="D4335">
        <v>673</v>
      </c>
      <c r="E4335" t="b">
        <v>0</v>
      </c>
      <c r="F4335">
        <v>621</v>
      </c>
      <c r="G4335" t="s">
        <v>2084</v>
      </c>
      <c r="H4335" t="s">
        <v>49</v>
      </c>
      <c r="I4335" t="s">
        <v>2116</v>
      </c>
    </row>
    <row r="4336" spans="1:9" x14ac:dyDescent="0.35">
      <c r="A4336">
        <v>254700</v>
      </c>
      <c r="B4336" t="s">
        <v>1432</v>
      </c>
      <c r="C4336" s="1">
        <v>41697</v>
      </c>
      <c r="D4336">
        <v>673</v>
      </c>
      <c r="E4336" t="b">
        <v>0</v>
      </c>
      <c r="F4336">
        <v>621</v>
      </c>
      <c r="G4336" t="s">
        <v>2084</v>
      </c>
      <c r="H4336" t="s">
        <v>792</v>
      </c>
      <c r="I4336" t="s">
        <v>2117</v>
      </c>
    </row>
    <row r="4337" spans="1:9" x14ac:dyDescent="0.35">
      <c r="A4337">
        <v>254700</v>
      </c>
      <c r="B4337" t="s">
        <v>1432</v>
      </c>
      <c r="C4337" s="1">
        <v>41697</v>
      </c>
      <c r="D4337">
        <v>673</v>
      </c>
      <c r="E4337" t="b">
        <v>0</v>
      </c>
      <c r="F4337">
        <v>621</v>
      </c>
      <c r="G4337" t="s">
        <v>2084</v>
      </c>
      <c r="H4337" t="s">
        <v>346</v>
      </c>
      <c r="I4337" t="s">
        <v>2116</v>
      </c>
    </row>
    <row r="4338" spans="1:9" x14ac:dyDescent="0.35">
      <c r="A4338">
        <v>254700</v>
      </c>
      <c r="B4338" t="s">
        <v>1432</v>
      </c>
      <c r="C4338" s="1">
        <v>41697</v>
      </c>
      <c r="D4338">
        <v>673</v>
      </c>
      <c r="E4338" t="b">
        <v>0</v>
      </c>
      <c r="F4338">
        <v>621</v>
      </c>
      <c r="G4338" t="s">
        <v>2084</v>
      </c>
      <c r="H4338" t="s">
        <v>239</v>
      </c>
      <c r="I4338" t="s">
        <v>2117</v>
      </c>
    </row>
    <row r="4339" spans="1:9" x14ac:dyDescent="0.35">
      <c r="A4339">
        <v>254700</v>
      </c>
      <c r="B4339" t="s">
        <v>1432</v>
      </c>
      <c r="C4339" s="1">
        <v>41697</v>
      </c>
      <c r="D4339">
        <v>673</v>
      </c>
      <c r="E4339" t="b">
        <v>0</v>
      </c>
      <c r="F4339">
        <v>621</v>
      </c>
      <c r="G4339" t="s">
        <v>2084</v>
      </c>
      <c r="H4339" t="s">
        <v>132</v>
      </c>
      <c r="I4339" t="s">
        <v>2117</v>
      </c>
    </row>
    <row r="4340" spans="1:9" x14ac:dyDescent="0.35">
      <c r="A4340">
        <v>254700</v>
      </c>
      <c r="B4340" t="s">
        <v>1432</v>
      </c>
      <c r="C4340" s="1">
        <v>41697</v>
      </c>
      <c r="D4340">
        <v>673</v>
      </c>
      <c r="E4340" t="b">
        <v>0</v>
      </c>
      <c r="F4340">
        <v>621</v>
      </c>
      <c r="G4340" t="s">
        <v>2084</v>
      </c>
      <c r="H4340" t="s">
        <v>124</v>
      </c>
      <c r="I4340" t="s">
        <v>2117</v>
      </c>
    </row>
    <row r="4341" spans="1:9" x14ac:dyDescent="0.35">
      <c r="A4341">
        <v>254700</v>
      </c>
      <c r="B4341" t="s">
        <v>1432</v>
      </c>
      <c r="C4341" s="1">
        <v>41697</v>
      </c>
      <c r="D4341">
        <v>673</v>
      </c>
      <c r="E4341" t="b">
        <v>0</v>
      </c>
      <c r="F4341">
        <v>621</v>
      </c>
      <c r="G4341" t="s">
        <v>2084</v>
      </c>
      <c r="H4341" t="s">
        <v>1510</v>
      </c>
      <c r="I4341" t="s">
        <v>2117</v>
      </c>
    </row>
    <row r="4342" spans="1:9" x14ac:dyDescent="0.35">
      <c r="A4342">
        <v>774171</v>
      </c>
      <c r="B4342" t="s">
        <v>1434</v>
      </c>
      <c r="C4342" s="1">
        <v>43635</v>
      </c>
      <c r="D4342">
        <v>672</v>
      </c>
      <c r="E4342" t="b">
        <v>1</v>
      </c>
      <c r="F4342">
        <v>623</v>
      </c>
      <c r="G4342" t="s">
        <v>14</v>
      </c>
      <c r="H4342" t="s">
        <v>49</v>
      </c>
      <c r="I4342" t="s">
        <v>2116</v>
      </c>
    </row>
    <row r="4343" spans="1:9" x14ac:dyDescent="0.35">
      <c r="A4343">
        <v>774171</v>
      </c>
      <c r="B4343" t="s">
        <v>1434</v>
      </c>
      <c r="C4343" s="1">
        <v>43635</v>
      </c>
      <c r="D4343">
        <v>672</v>
      </c>
      <c r="E4343" t="b">
        <v>1</v>
      </c>
      <c r="F4343">
        <v>623</v>
      </c>
      <c r="G4343" t="s">
        <v>14</v>
      </c>
      <c r="H4343" t="s">
        <v>792</v>
      </c>
      <c r="I4343" t="s">
        <v>2116</v>
      </c>
    </row>
    <row r="4344" spans="1:9" x14ac:dyDescent="0.35">
      <c r="A4344">
        <v>774171</v>
      </c>
      <c r="B4344" t="s">
        <v>1434</v>
      </c>
      <c r="C4344" s="1">
        <v>43635</v>
      </c>
      <c r="D4344">
        <v>672</v>
      </c>
      <c r="E4344" t="b">
        <v>1</v>
      </c>
      <c r="F4344">
        <v>623</v>
      </c>
      <c r="G4344" t="s">
        <v>14</v>
      </c>
      <c r="H4344" t="s">
        <v>346</v>
      </c>
      <c r="I4344" t="s">
        <v>2117</v>
      </c>
    </row>
    <row r="4345" spans="1:9" x14ac:dyDescent="0.35">
      <c r="A4345">
        <v>774171</v>
      </c>
      <c r="B4345" t="s">
        <v>1434</v>
      </c>
      <c r="C4345" s="1">
        <v>43635</v>
      </c>
      <c r="D4345">
        <v>672</v>
      </c>
      <c r="E4345" t="b">
        <v>1</v>
      </c>
      <c r="F4345">
        <v>623</v>
      </c>
      <c r="G4345" t="s">
        <v>14</v>
      </c>
      <c r="H4345" t="s">
        <v>239</v>
      </c>
      <c r="I4345" t="s">
        <v>2117</v>
      </c>
    </row>
    <row r="4346" spans="1:9" x14ac:dyDescent="0.35">
      <c r="A4346">
        <v>774171</v>
      </c>
      <c r="B4346" t="s">
        <v>1434</v>
      </c>
      <c r="C4346" s="1">
        <v>43635</v>
      </c>
      <c r="D4346">
        <v>672</v>
      </c>
      <c r="E4346" t="b">
        <v>1</v>
      </c>
      <c r="F4346">
        <v>623</v>
      </c>
      <c r="G4346" t="s">
        <v>14</v>
      </c>
      <c r="H4346" t="s">
        <v>132</v>
      </c>
      <c r="I4346" t="s">
        <v>2117</v>
      </c>
    </row>
    <row r="4347" spans="1:9" x14ac:dyDescent="0.35">
      <c r="A4347">
        <v>774171</v>
      </c>
      <c r="B4347" t="s">
        <v>1434</v>
      </c>
      <c r="C4347" s="1">
        <v>43635</v>
      </c>
      <c r="D4347">
        <v>672</v>
      </c>
      <c r="E4347" t="b">
        <v>1</v>
      </c>
      <c r="F4347">
        <v>623</v>
      </c>
      <c r="G4347" t="s">
        <v>14</v>
      </c>
      <c r="H4347" t="s">
        <v>124</v>
      </c>
      <c r="I4347" t="s">
        <v>2117</v>
      </c>
    </row>
    <row r="4348" spans="1:9" x14ac:dyDescent="0.35">
      <c r="A4348">
        <v>774171</v>
      </c>
      <c r="B4348" t="s">
        <v>1434</v>
      </c>
      <c r="C4348" s="1">
        <v>43635</v>
      </c>
      <c r="D4348">
        <v>672</v>
      </c>
      <c r="E4348" t="b">
        <v>1</v>
      </c>
      <c r="F4348">
        <v>623</v>
      </c>
      <c r="G4348" t="s">
        <v>14</v>
      </c>
      <c r="H4348" t="s">
        <v>1510</v>
      </c>
      <c r="I4348" t="s">
        <v>2117</v>
      </c>
    </row>
    <row r="4349" spans="1:9" x14ac:dyDescent="0.35">
      <c r="A4349">
        <v>2294660</v>
      </c>
      <c r="B4349" t="s">
        <v>1436</v>
      </c>
      <c r="C4349" s="1">
        <v>45681</v>
      </c>
      <c r="D4349">
        <v>669</v>
      </c>
      <c r="E4349" t="b">
        <v>0</v>
      </c>
      <c r="F4349">
        <v>624</v>
      </c>
      <c r="G4349" t="s">
        <v>53</v>
      </c>
      <c r="H4349" t="s">
        <v>49</v>
      </c>
      <c r="I4349" t="s">
        <v>2117</v>
      </c>
    </row>
    <row r="4350" spans="1:9" x14ac:dyDescent="0.35">
      <c r="A4350">
        <v>2294660</v>
      </c>
      <c r="B4350" t="s">
        <v>1436</v>
      </c>
      <c r="C4350" s="1">
        <v>45681</v>
      </c>
      <c r="D4350">
        <v>669</v>
      </c>
      <c r="E4350" t="b">
        <v>0</v>
      </c>
      <c r="F4350">
        <v>624</v>
      </c>
      <c r="G4350" t="s">
        <v>53</v>
      </c>
      <c r="H4350" t="s">
        <v>792</v>
      </c>
      <c r="I4350" t="s">
        <v>2117</v>
      </c>
    </row>
    <row r="4351" spans="1:9" x14ac:dyDescent="0.35">
      <c r="A4351">
        <v>2294660</v>
      </c>
      <c r="B4351" t="s">
        <v>1436</v>
      </c>
      <c r="C4351" s="1">
        <v>45681</v>
      </c>
      <c r="D4351">
        <v>669</v>
      </c>
      <c r="E4351" t="b">
        <v>0</v>
      </c>
      <c r="F4351">
        <v>624</v>
      </c>
      <c r="G4351" t="s">
        <v>53</v>
      </c>
      <c r="H4351" t="s">
        <v>346</v>
      </c>
      <c r="I4351" t="s">
        <v>2117</v>
      </c>
    </row>
    <row r="4352" spans="1:9" x14ac:dyDescent="0.35">
      <c r="A4352">
        <v>2294660</v>
      </c>
      <c r="B4352" t="s">
        <v>1436</v>
      </c>
      <c r="C4352" s="1">
        <v>45681</v>
      </c>
      <c r="D4352">
        <v>669</v>
      </c>
      <c r="E4352" t="b">
        <v>0</v>
      </c>
      <c r="F4352">
        <v>624</v>
      </c>
      <c r="G4352" t="s">
        <v>53</v>
      </c>
      <c r="H4352" t="s">
        <v>239</v>
      </c>
      <c r="I4352" t="s">
        <v>2117</v>
      </c>
    </row>
    <row r="4353" spans="1:9" x14ac:dyDescent="0.35">
      <c r="A4353">
        <v>2294660</v>
      </c>
      <c r="B4353" t="s">
        <v>1436</v>
      </c>
      <c r="C4353" s="1">
        <v>45681</v>
      </c>
      <c r="D4353">
        <v>669</v>
      </c>
      <c r="E4353" t="b">
        <v>0</v>
      </c>
      <c r="F4353">
        <v>624</v>
      </c>
      <c r="G4353" t="s">
        <v>53</v>
      </c>
      <c r="H4353" t="s">
        <v>132</v>
      </c>
      <c r="I4353" t="s">
        <v>2117</v>
      </c>
    </row>
    <row r="4354" spans="1:9" x14ac:dyDescent="0.35">
      <c r="A4354">
        <v>2294660</v>
      </c>
      <c r="B4354" t="s">
        <v>1436</v>
      </c>
      <c r="C4354" s="1">
        <v>45681</v>
      </c>
      <c r="D4354">
        <v>669</v>
      </c>
      <c r="E4354" t="b">
        <v>0</v>
      </c>
      <c r="F4354">
        <v>624</v>
      </c>
      <c r="G4354" t="s">
        <v>53</v>
      </c>
      <c r="H4354" t="s">
        <v>124</v>
      </c>
      <c r="I4354" t="s">
        <v>2117</v>
      </c>
    </row>
    <row r="4355" spans="1:9" x14ac:dyDescent="0.35">
      <c r="A4355">
        <v>2294660</v>
      </c>
      <c r="B4355" t="s">
        <v>1436</v>
      </c>
      <c r="C4355" s="1">
        <v>45681</v>
      </c>
      <c r="D4355">
        <v>669</v>
      </c>
      <c r="E4355" t="b">
        <v>0</v>
      </c>
      <c r="F4355">
        <v>624</v>
      </c>
      <c r="G4355" t="s">
        <v>53</v>
      </c>
      <c r="H4355" t="s">
        <v>1510</v>
      </c>
      <c r="I4355" t="s">
        <v>2117</v>
      </c>
    </row>
    <row r="4356" spans="1:9" x14ac:dyDescent="0.35">
      <c r="A4356">
        <v>109600</v>
      </c>
      <c r="B4356" t="s">
        <v>1439</v>
      </c>
      <c r="C4356" s="1">
        <v>41613</v>
      </c>
      <c r="D4356">
        <v>665</v>
      </c>
      <c r="E4356" t="b">
        <v>0</v>
      </c>
      <c r="F4356">
        <v>625</v>
      </c>
      <c r="G4356" t="s">
        <v>438</v>
      </c>
      <c r="H4356" t="s">
        <v>49</v>
      </c>
      <c r="I4356" t="s">
        <v>2116</v>
      </c>
    </row>
    <row r="4357" spans="1:9" x14ac:dyDescent="0.35">
      <c r="A4357">
        <v>109600</v>
      </c>
      <c r="B4357" t="s">
        <v>1439</v>
      </c>
      <c r="C4357" s="1">
        <v>41613</v>
      </c>
      <c r="D4357">
        <v>665</v>
      </c>
      <c r="E4357" t="b">
        <v>0</v>
      </c>
      <c r="F4357">
        <v>625</v>
      </c>
      <c r="G4357" t="s">
        <v>438</v>
      </c>
      <c r="H4357" t="s">
        <v>792</v>
      </c>
      <c r="I4357" t="s">
        <v>2117</v>
      </c>
    </row>
    <row r="4358" spans="1:9" x14ac:dyDescent="0.35">
      <c r="A4358">
        <v>109600</v>
      </c>
      <c r="B4358" t="s">
        <v>1439</v>
      </c>
      <c r="C4358" s="1">
        <v>41613</v>
      </c>
      <c r="D4358">
        <v>665</v>
      </c>
      <c r="E4358" t="b">
        <v>0</v>
      </c>
      <c r="F4358">
        <v>625</v>
      </c>
      <c r="G4358" t="s">
        <v>438</v>
      </c>
      <c r="H4358" t="s">
        <v>346</v>
      </c>
      <c r="I4358" t="s">
        <v>2116</v>
      </c>
    </row>
    <row r="4359" spans="1:9" x14ac:dyDescent="0.35">
      <c r="A4359">
        <v>109600</v>
      </c>
      <c r="B4359" t="s">
        <v>1439</v>
      </c>
      <c r="C4359" s="1">
        <v>41613</v>
      </c>
      <c r="D4359">
        <v>665</v>
      </c>
      <c r="E4359" t="b">
        <v>0</v>
      </c>
      <c r="F4359">
        <v>625</v>
      </c>
      <c r="G4359" t="s">
        <v>438</v>
      </c>
      <c r="H4359" t="s">
        <v>239</v>
      </c>
      <c r="I4359" t="s">
        <v>2117</v>
      </c>
    </row>
    <row r="4360" spans="1:9" x14ac:dyDescent="0.35">
      <c r="A4360">
        <v>109600</v>
      </c>
      <c r="B4360" t="s">
        <v>1439</v>
      </c>
      <c r="C4360" s="1">
        <v>41613</v>
      </c>
      <c r="D4360">
        <v>665</v>
      </c>
      <c r="E4360" t="b">
        <v>0</v>
      </c>
      <c r="F4360">
        <v>625</v>
      </c>
      <c r="G4360" t="s">
        <v>438</v>
      </c>
      <c r="H4360" t="s">
        <v>132</v>
      </c>
      <c r="I4360" t="s">
        <v>2116</v>
      </c>
    </row>
    <row r="4361" spans="1:9" x14ac:dyDescent="0.35">
      <c r="A4361">
        <v>109600</v>
      </c>
      <c r="B4361" t="s">
        <v>1439</v>
      </c>
      <c r="C4361" s="1">
        <v>41613</v>
      </c>
      <c r="D4361">
        <v>665</v>
      </c>
      <c r="E4361" t="b">
        <v>0</v>
      </c>
      <c r="F4361">
        <v>625</v>
      </c>
      <c r="G4361" t="s">
        <v>438</v>
      </c>
      <c r="H4361" t="s">
        <v>124</v>
      </c>
      <c r="I4361" t="s">
        <v>2117</v>
      </c>
    </row>
    <row r="4362" spans="1:9" x14ac:dyDescent="0.35">
      <c r="A4362">
        <v>109600</v>
      </c>
      <c r="B4362" t="s">
        <v>1439</v>
      </c>
      <c r="C4362" s="1">
        <v>41613</v>
      </c>
      <c r="D4362">
        <v>665</v>
      </c>
      <c r="E4362" t="b">
        <v>0</v>
      </c>
      <c r="F4362">
        <v>625</v>
      </c>
      <c r="G4362" t="s">
        <v>438</v>
      </c>
      <c r="H4362" t="s">
        <v>1510</v>
      </c>
      <c r="I4362" t="s">
        <v>2116</v>
      </c>
    </row>
    <row r="4363" spans="1:9" x14ac:dyDescent="0.35">
      <c r="A4363">
        <v>1097150</v>
      </c>
      <c r="B4363" t="s">
        <v>1441</v>
      </c>
      <c r="C4363" s="1">
        <v>44046</v>
      </c>
      <c r="D4363">
        <v>664</v>
      </c>
      <c r="E4363" t="b">
        <v>0</v>
      </c>
      <c r="F4363">
        <v>626</v>
      </c>
      <c r="G4363" t="s">
        <v>40</v>
      </c>
      <c r="H4363" t="s">
        <v>49</v>
      </c>
      <c r="I4363" t="s">
        <v>2116</v>
      </c>
    </row>
    <row r="4364" spans="1:9" x14ac:dyDescent="0.35">
      <c r="A4364">
        <v>1097150</v>
      </c>
      <c r="B4364" t="s">
        <v>1441</v>
      </c>
      <c r="C4364" s="1">
        <v>44046</v>
      </c>
      <c r="D4364">
        <v>664</v>
      </c>
      <c r="E4364" t="b">
        <v>0</v>
      </c>
      <c r="F4364">
        <v>626</v>
      </c>
      <c r="G4364" t="s">
        <v>40</v>
      </c>
      <c r="H4364" t="s">
        <v>792</v>
      </c>
      <c r="I4364" t="s">
        <v>2116</v>
      </c>
    </row>
    <row r="4365" spans="1:9" x14ac:dyDescent="0.35">
      <c r="A4365">
        <v>1097150</v>
      </c>
      <c r="B4365" t="s">
        <v>1441</v>
      </c>
      <c r="C4365" s="1">
        <v>44046</v>
      </c>
      <c r="D4365">
        <v>664</v>
      </c>
      <c r="E4365" t="b">
        <v>0</v>
      </c>
      <c r="F4365">
        <v>626</v>
      </c>
      <c r="G4365" t="s">
        <v>40</v>
      </c>
      <c r="H4365" t="s">
        <v>346</v>
      </c>
      <c r="I4365" t="s">
        <v>2117</v>
      </c>
    </row>
    <row r="4366" spans="1:9" x14ac:dyDescent="0.35">
      <c r="A4366">
        <v>1097150</v>
      </c>
      <c r="B4366" t="s">
        <v>1441</v>
      </c>
      <c r="C4366" s="1">
        <v>44046</v>
      </c>
      <c r="D4366">
        <v>664</v>
      </c>
      <c r="E4366" t="b">
        <v>0</v>
      </c>
      <c r="F4366">
        <v>626</v>
      </c>
      <c r="G4366" t="s">
        <v>40</v>
      </c>
      <c r="H4366" t="s">
        <v>239</v>
      </c>
      <c r="I4366" t="s">
        <v>2117</v>
      </c>
    </row>
    <row r="4367" spans="1:9" x14ac:dyDescent="0.35">
      <c r="A4367">
        <v>1097150</v>
      </c>
      <c r="B4367" t="s">
        <v>1441</v>
      </c>
      <c r="C4367" s="1">
        <v>44046</v>
      </c>
      <c r="D4367">
        <v>664</v>
      </c>
      <c r="E4367" t="b">
        <v>0</v>
      </c>
      <c r="F4367">
        <v>626</v>
      </c>
      <c r="G4367" t="s">
        <v>40</v>
      </c>
      <c r="H4367" t="s">
        <v>132</v>
      </c>
      <c r="I4367" t="s">
        <v>2117</v>
      </c>
    </row>
    <row r="4368" spans="1:9" x14ac:dyDescent="0.35">
      <c r="A4368">
        <v>1097150</v>
      </c>
      <c r="B4368" t="s">
        <v>1441</v>
      </c>
      <c r="C4368" s="1">
        <v>44046</v>
      </c>
      <c r="D4368">
        <v>664</v>
      </c>
      <c r="E4368" t="b">
        <v>0</v>
      </c>
      <c r="F4368">
        <v>626</v>
      </c>
      <c r="G4368" t="s">
        <v>40</v>
      </c>
      <c r="H4368" t="s">
        <v>124</v>
      </c>
      <c r="I4368" t="s">
        <v>2117</v>
      </c>
    </row>
    <row r="4369" spans="1:9" x14ac:dyDescent="0.35">
      <c r="A4369">
        <v>1097150</v>
      </c>
      <c r="B4369" t="s">
        <v>1441</v>
      </c>
      <c r="C4369" s="1">
        <v>44046</v>
      </c>
      <c r="D4369">
        <v>664</v>
      </c>
      <c r="E4369" t="b">
        <v>0</v>
      </c>
      <c r="F4369">
        <v>626</v>
      </c>
      <c r="G4369" t="s">
        <v>40</v>
      </c>
      <c r="H4369" t="s">
        <v>1510</v>
      </c>
      <c r="I4369" t="s">
        <v>2117</v>
      </c>
    </row>
    <row r="4370" spans="1:9" x14ac:dyDescent="0.35">
      <c r="A4370">
        <v>1127400</v>
      </c>
      <c r="B4370" t="s">
        <v>1444</v>
      </c>
      <c r="C4370" s="1">
        <v>43734</v>
      </c>
      <c r="D4370">
        <v>658</v>
      </c>
      <c r="E4370" t="b">
        <v>1</v>
      </c>
      <c r="F4370">
        <v>627</v>
      </c>
      <c r="G4370" t="s">
        <v>14</v>
      </c>
      <c r="H4370" t="s">
        <v>49</v>
      </c>
      <c r="I4370" t="s">
        <v>2117</v>
      </c>
    </row>
    <row r="4371" spans="1:9" x14ac:dyDescent="0.35">
      <c r="A4371">
        <v>1127400</v>
      </c>
      <c r="B4371" t="s">
        <v>1444</v>
      </c>
      <c r="C4371" s="1">
        <v>43734</v>
      </c>
      <c r="D4371">
        <v>658</v>
      </c>
      <c r="E4371" t="b">
        <v>1</v>
      </c>
      <c r="F4371">
        <v>627</v>
      </c>
      <c r="G4371" t="s">
        <v>14</v>
      </c>
      <c r="H4371" t="s">
        <v>792</v>
      </c>
      <c r="I4371" t="s">
        <v>2117</v>
      </c>
    </row>
    <row r="4372" spans="1:9" x14ac:dyDescent="0.35">
      <c r="A4372">
        <v>1127400</v>
      </c>
      <c r="B4372" t="s">
        <v>1444</v>
      </c>
      <c r="C4372" s="1">
        <v>43734</v>
      </c>
      <c r="D4372">
        <v>658</v>
      </c>
      <c r="E4372" t="b">
        <v>1</v>
      </c>
      <c r="F4372">
        <v>627</v>
      </c>
      <c r="G4372" t="s">
        <v>14</v>
      </c>
      <c r="H4372" t="s">
        <v>346</v>
      </c>
      <c r="I4372" t="s">
        <v>2117</v>
      </c>
    </row>
    <row r="4373" spans="1:9" x14ac:dyDescent="0.35">
      <c r="A4373">
        <v>1127400</v>
      </c>
      <c r="B4373" t="s">
        <v>1444</v>
      </c>
      <c r="C4373" s="1">
        <v>43734</v>
      </c>
      <c r="D4373">
        <v>658</v>
      </c>
      <c r="E4373" t="b">
        <v>1</v>
      </c>
      <c r="F4373">
        <v>627</v>
      </c>
      <c r="G4373" t="s">
        <v>14</v>
      </c>
      <c r="H4373" t="s">
        <v>239</v>
      </c>
      <c r="I4373" t="s">
        <v>2117</v>
      </c>
    </row>
    <row r="4374" spans="1:9" x14ac:dyDescent="0.35">
      <c r="A4374">
        <v>1127400</v>
      </c>
      <c r="B4374" t="s">
        <v>1444</v>
      </c>
      <c r="C4374" s="1">
        <v>43734</v>
      </c>
      <c r="D4374">
        <v>658</v>
      </c>
      <c r="E4374" t="b">
        <v>1</v>
      </c>
      <c r="F4374">
        <v>627</v>
      </c>
      <c r="G4374" t="s">
        <v>14</v>
      </c>
      <c r="H4374" t="s">
        <v>132</v>
      </c>
      <c r="I4374" t="s">
        <v>2117</v>
      </c>
    </row>
    <row r="4375" spans="1:9" x14ac:dyDescent="0.35">
      <c r="A4375">
        <v>1127400</v>
      </c>
      <c r="B4375" t="s">
        <v>1444</v>
      </c>
      <c r="C4375" s="1">
        <v>43734</v>
      </c>
      <c r="D4375">
        <v>658</v>
      </c>
      <c r="E4375" t="b">
        <v>1</v>
      </c>
      <c r="F4375">
        <v>627</v>
      </c>
      <c r="G4375" t="s">
        <v>14</v>
      </c>
      <c r="H4375" t="s">
        <v>124</v>
      </c>
      <c r="I4375" t="s">
        <v>2116</v>
      </c>
    </row>
    <row r="4376" spans="1:9" x14ac:dyDescent="0.35">
      <c r="A4376">
        <v>1127400</v>
      </c>
      <c r="B4376" t="s">
        <v>1444</v>
      </c>
      <c r="C4376" s="1">
        <v>43734</v>
      </c>
      <c r="D4376">
        <v>658</v>
      </c>
      <c r="E4376" t="b">
        <v>1</v>
      </c>
      <c r="F4376">
        <v>627</v>
      </c>
      <c r="G4376" t="s">
        <v>14</v>
      </c>
      <c r="H4376" t="s">
        <v>1510</v>
      </c>
      <c r="I4376" t="s">
        <v>2117</v>
      </c>
    </row>
    <row r="4377" spans="1:9" x14ac:dyDescent="0.35">
      <c r="A4377">
        <v>3330</v>
      </c>
      <c r="B4377" t="s">
        <v>1446</v>
      </c>
      <c r="C4377" s="1">
        <v>38959</v>
      </c>
      <c r="D4377">
        <v>658</v>
      </c>
      <c r="E4377" t="b">
        <v>1</v>
      </c>
      <c r="F4377">
        <v>627</v>
      </c>
      <c r="G4377" t="s">
        <v>2083</v>
      </c>
      <c r="H4377" t="s">
        <v>49</v>
      </c>
      <c r="I4377" t="s">
        <v>2117</v>
      </c>
    </row>
    <row r="4378" spans="1:9" x14ac:dyDescent="0.35">
      <c r="A4378">
        <v>3330</v>
      </c>
      <c r="B4378" t="s">
        <v>1446</v>
      </c>
      <c r="C4378" s="1">
        <v>38959</v>
      </c>
      <c r="D4378">
        <v>658</v>
      </c>
      <c r="E4378" t="b">
        <v>1</v>
      </c>
      <c r="F4378">
        <v>627</v>
      </c>
      <c r="G4378" t="s">
        <v>2083</v>
      </c>
      <c r="H4378" t="s">
        <v>792</v>
      </c>
      <c r="I4378" t="s">
        <v>2117</v>
      </c>
    </row>
    <row r="4379" spans="1:9" x14ac:dyDescent="0.35">
      <c r="A4379">
        <v>3330</v>
      </c>
      <c r="B4379" t="s">
        <v>1446</v>
      </c>
      <c r="C4379" s="1">
        <v>38959</v>
      </c>
      <c r="D4379">
        <v>658</v>
      </c>
      <c r="E4379" t="b">
        <v>1</v>
      </c>
      <c r="F4379">
        <v>627</v>
      </c>
      <c r="G4379" t="s">
        <v>2083</v>
      </c>
      <c r="H4379" t="s">
        <v>346</v>
      </c>
      <c r="I4379" t="s">
        <v>2117</v>
      </c>
    </row>
    <row r="4380" spans="1:9" x14ac:dyDescent="0.35">
      <c r="A4380">
        <v>3330</v>
      </c>
      <c r="B4380" t="s">
        <v>1446</v>
      </c>
      <c r="C4380" s="1">
        <v>38959</v>
      </c>
      <c r="D4380">
        <v>658</v>
      </c>
      <c r="E4380" t="b">
        <v>1</v>
      </c>
      <c r="F4380">
        <v>627</v>
      </c>
      <c r="G4380" t="s">
        <v>2083</v>
      </c>
      <c r="H4380" t="s">
        <v>239</v>
      </c>
      <c r="I4380" t="s">
        <v>2117</v>
      </c>
    </row>
    <row r="4381" spans="1:9" x14ac:dyDescent="0.35">
      <c r="A4381">
        <v>3330</v>
      </c>
      <c r="B4381" t="s">
        <v>1446</v>
      </c>
      <c r="C4381" s="1">
        <v>38959</v>
      </c>
      <c r="D4381">
        <v>658</v>
      </c>
      <c r="E4381" t="b">
        <v>1</v>
      </c>
      <c r="F4381">
        <v>627</v>
      </c>
      <c r="G4381" t="s">
        <v>2083</v>
      </c>
      <c r="H4381" t="s">
        <v>132</v>
      </c>
      <c r="I4381" t="s">
        <v>2117</v>
      </c>
    </row>
    <row r="4382" spans="1:9" x14ac:dyDescent="0.35">
      <c r="A4382">
        <v>3330</v>
      </c>
      <c r="B4382" t="s">
        <v>1446</v>
      </c>
      <c r="C4382" s="1">
        <v>38959</v>
      </c>
      <c r="D4382">
        <v>658</v>
      </c>
      <c r="E4382" t="b">
        <v>1</v>
      </c>
      <c r="F4382">
        <v>627</v>
      </c>
      <c r="G4382" t="s">
        <v>2083</v>
      </c>
      <c r="H4382" t="s">
        <v>124</v>
      </c>
      <c r="I4382" t="s">
        <v>2117</v>
      </c>
    </row>
    <row r="4383" spans="1:9" x14ac:dyDescent="0.35">
      <c r="A4383">
        <v>3330</v>
      </c>
      <c r="B4383" t="s">
        <v>1446</v>
      </c>
      <c r="C4383" s="1">
        <v>38959</v>
      </c>
      <c r="D4383">
        <v>658</v>
      </c>
      <c r="E4383" t="b">
        <v>1</v>
      </c>
      <c r="F4383">
        <v>627</v>
      </c>
      <c r="G4383" t="s">
        <v>2083</v>
      </c>
      <c r="H4383" t="s">
        <v>1510</v>
      </c>
      <c r="I4383" t="s">
        <v>2117</v>
      </c>
    </row>
    <row r="4384" spans="1:9" x14ac:dyDescent="0.35">
      <c r="A4384">
        <v>629730</v>
      </c>
      <c r="B4384" t="s">
        <v>1447</v>
      </c>
      <c r="C4384" s="1">
        <v>45460</v>
      </c>
      <c r="D4384">
        <v>657</v>
      </c>
      <c r="E4384" t="b">
        <v>0</v>
      </c>
      <c r="F4384">
        <v>629</v>
      </c>
      <c r="G4384" t="s">
        <v>119</v>
      </c>
      <c r="H4384" t="s">
        <v>49</v>
      </c>
      <c r="I4384" t="s">
        <v>2116</v>
      </c>
    </row>
    <row r="4385" spans="1:9" x14ac:dyDescent="0.35">
      <c r="A4385">
        <v>629730</v>
      </c>
      <c r="B4385" t="s">
        <v>1447</v>
      </c>
      <c r="C4385" s="1">
        <v>45460</v>
      </c>
      <c r="D4385">
        <v>657</v>
      </c>
      <c r="E4385" t="b">
        <v>0</v>
      </c>
      <c r="F4385">
        <v>629</v>
      </c>
      <c r="G4385" t="s">
        <v>119</v>
      </c>
      <c r="H4385" t="s">
        <v>792</v>
      </c>
      <c r="I4385" t="s">
        <v>2116</v>
      </c>
    </row>
    <row r="4386" spans="1:9" x14ac:dyDescent="0.35">
      <c r="A4386">
        <v>629730</v>
      </c>
      <c r="B4386" t="s">
        <v>1447</v>
      </c>
      <c r="C4386" s="1">
        <v>45460</v>
      </c>
      <c r="D4386">
        <v>657</v>
      </c>
      <c r="E4386" t="b">
        <v>0</v>
      </c>
      <c r="F4386">
        <v>629</v>
      </c>
      <c r="G4386" t="s">
        <v>119</v>
      </c>
      <c r="H4386" t="s">
        <v>346</v>
      </c>
      <c r="I4386" t="s">
        <v>2116</v>
      </c>
    </row>
    <row r="4387" spans="1:9" x14ac:dyDescent="0.35">
      <c r="A4387">
        <v>629730</v>
      </c>
      <c r="B4387" t="s">
        <v>1447</v>
      </c>
      <c r="C4387" s="1">
        <v>45460</v>
      </c>
      <c r="D4387">
        <v>657</v>
      </c>
      <c r="E4387" t="b">
        <v>0</v>
      </c>
      <c r="F4387">
        <v>629</v>
      </c>
      <c r="G4387" t="s">
        <v>119</v>
      </c>
      <c r="H4387" t="s">
        <v>239</v>
      </c>
      <c r="I4387" t="s">
        <v>2116</v>
      </c>
    </row>
    <row r="4388" spans="1:9" x14ac:dyDescent="0.35">
      <c r="A4388">
        <v>629730</v>
      </c>
      <c r="B4388" t="s">
        <v>1447</v>
      </c>
      <c r="C4388" s="1">
        <v>45460</v>
      </c>
      <c r="D4388">
        <v>657</v>
      </c>
      <c r="E4388" t="b">
        <v>0</v>
      </c>
      <c r="F4388">
        <v>629</v>
      </c>
      <c r="G4388" t="s">
        <v>119</v>
      </c>
      <c r="H4388" t="s">
        <v>132</v>
      </c>
      <c r="I4388" t="s">
        <v>2116</v>
      </c>
    </row>
    <row r="4389" spans="1:9" x14ac:dyDescent="0.35">
      <c r="A4389">
        <v>629730</v>
      </c>
      <c r="B4389" t="s">
        <v>1447</v>
      </c>
      <c r="C4389" s="1">
        <v>45460</v>
      </c>
      <c r="D4389">
        <v>657</v>
      </c>
      <c r="E4389" t="b">
        <v>0</v>
      </c>
      <c r="F4389">
        <v>629</v>
      </c>
      <c r="G4389" t="s">
        <v>119</v>
      </c>
      <c r="H4389" t="s">
        <v>124</v>
      </c>
      <c r="I4389" t="s">
        <v>2117</v>
      </c>
    </row>
    <row r="4390" spans="1:9" x14ac:dyDescent="0.35">
      <c r="A4390">
        <v>629730</v>
      </c>
      <c r="B4390" t="s">
        <v>1447</v>
      </c>
      <c r="C4390" s="1">
        <v>45460</v>
      </c>
      <c r="D4390">
        <v>657</v>
      </c>
      <c r="E4390" t="b">
        <v>0</v>
      </c>
      <c r="F4390">
        <v>629</v>
      </c>
      <c r="G4390" t="s">
        <v>119</v>
      </c>
      <c r="H4390" t="s">
        <v>1510</v>
      </c>
      <c r="I4390" t="s">
        <v>2117</v>
      </c>
    </row>
    <row r="4391" spans="1:9" x14ac:dyDescent="0.35">
      <c r="A4391">
        <v>363890</v>
      </c>
      <c r="B4391" t="s">
        <v>1449</v>
      </c>
      <c r="C4391" s="1">
        <v>42300</v>
      </c>
      <c r="D4391">
        <v>657</v>
      </c>
      <c r="E4391" t="b">
        <v>1</v>
      </c>
      <c r="F4391">
        <v>629</v>
      </c>
      <c r="G4391" t="s">
        <v>110</v>
      </c>
      <c r="H4391" t="s">
        <v>49</v>
      </c>
      <c r="I4391" t="s">
        <v>2117</v>
      </c>
    </row>
    <row r="4392" spans="1:9" x14ac:dyDescent="0.35">
      <c r="A4392">
        <v>363890</v>
      </c>
      <c r="B4392" t="s">
        <v>1449</v>
      </c>
      <c r="C4392" s="1">
        <v>42300</v>
      </c>
      <c r="D4392">
        <v>657</v>
      </c>
      <c r="E4392" t="b">
        <v>1</v>
      </c>
      <c r="F4392">
        <v>629</v>
      </c>
      <c r="G4392" t="s">
        <v>110</v>
      </c>
      <c r="H4392" t="s">
        <v>792</v>
      </c>
      <c r="I4392" t="s">
        <v>2117</v>
      </c>
    </row>
    <row r="4393" spans="1:9" x14ac:dyDescent="0.35">
      <c r="A4393">
        <v>363890</v>
      </c>
      <c r="B4393" t="s">
        <v>1449</v>
      </c>
      <c r="C4393" s="1">
        <v>42300</v>
      </c>
      <c r="D4393">
        <v>657</v>
      </c>
      <c r="E4393" t="b">
        <v>1</v>
      </c>
      <c r="F4393">
        <v>629</v>
      </c>
      <c r="G4393" t="s">
        <v>110</v>
      </c>
      <c r="H4393" t="s">
        <v>346</v>
      </c>
      <c r="I4393" t="s">
        <v>2117</v>
      </c>
    </row>
    <row r="4394" spans="1:9" x14ac:dyDescent="0.35">
      <c r="A4394">
        <v>363890</v>
      </c>
      <c r="B4394" t="s">
        <v>1449</v>
      </c>
      <c r="C4394" s="1">
        <v>42300</v>
      </c>
      <c r="D4394">
        <v>657</v>
      </c>
      <c r="E4394" t="b">
        <v>1</v>
      </c>
      <c r="F4394">
        <v>629</v>
      </c>
      <c r="G4394" t="s">
        <v>110</v>
      </c>
      <c r="H4394" t="s">
        <v>239</v>
      </c>
      <c r="I4394" t="s">
        <v>2117</v>
      </c>
    </row>
    <row r="4395" spans="1:9" x14ac:dyDescent="0.35">
      <c r="A4395">
        <v>363890</v>
      </c>
      <c r="B4395" t="s">
        <v>1449</v>
      </c>
      <c r="C4395" s="1">
        <v>42300</v>
      </c>
      <c r="D4395">
        <v>657</v>
      </c>
      <c r="E4395" t="b">
        <v>1</v>
      </c>
      <c r="F4395">
        <v>629</v>
      </c>
      <c r="G4395" t="s">
        <v>110</v>
      </c>
      <c r="H4395" t="s">
        <v>132</v>
      </c>
      <c r="I4395" t="s">
        <v>2116</v>
      </c>
    </row>
    <row r="4396" spans="1:9" x14ac:dyDescent="0.35">
      <c r="A4396">
        <v>363890</v>
      </c>
      <c r="B4396" t="s">
        <v>1449</v>
      </c>
      <c r="C4396" s="1">
        <v>42300</v>
      </c>
      <c r="D4396">
        <v>657</v>
      </c>
      <c r="E4396" t="b">
        <v>1</v>
      </c>
      <c r="F4396">
        <v>629</v>
      </c>
      <c r="G4396" t="s">
        <v>110</v>
      </c>
      <c r="H4396" t="s">
        <v>124</v>
      </c>
      <c r="I4396" t="s">
        <v>2117</v>
      </c>
    </row>
    <row r="4397" spans="1:9" x14ac:dyDescent="0.35">
      <c r="A4397">
        <v>363890</v>
      </c>
      <c r="B4397" t="s">
        <v>1449</v>
      </c>
      <c r="C4397" s="1">
        <v>42300</v>
      </c>
      <c r="D4397">
        <v>657</v>
      </c>
      <c r="E4397" t="b">
        <v>1</v>
      </c>
      <c r="F4397">
        <v>629</v>
      </c>
      <c r="G4397" t="s">
        <v>110</v>
      </c>
      <c r="H4397" t="s">
        <v>1510</v>
      </c>
      <c r="I4397" t="s">
        <v>2117</v>
      </c>
    </row>
    <row r="4398" spans="1:9" x14ac:dyDescent="0.35">
      <c r="A4398">
        <v>1520470</v>
      </c>
      <c r="B4398" t="s">
        <v>1451</v>
      </c>
      <c r="C4398" s="1">
        <v>44284</v>
      </c>
      <c r="D4398">
        <v>656</v>
      </c>
      <c r="E4398" t="b">
        <v>0</v>
      </c>
      <c r="F4398">
        <v>631</v>
      </c>
      <c r="G4398" t="s">
        <v>36</v>
      </c>
      <c r="H4398" t="s">
        <v>49</v>
      </c>
      <c r="I4398" t="s">
        <v>2116</v>
      </c>
    </row>
    <row r="4399" spans="1:9" x14ac:dyDescent="0.35">
      <c r="A4399">
        <v>1520470</v>
      </c>
      <c r="B4399" t="s">
        <v>1451</v>
      </c>
      <c r="C4399" s="1">
        <v>44284</v>
      </c>
      <c r="D4399">
        <v>656</v>
      </c>
      <c r="E4399" t="b">
        <v>0</v>
      </c>
      <c r="F4399">
        <v>631</v>
      </c>
      <c r="G4399" t="s">
        <v>36</v>
      </c>
      <c r="H4399" t="s">
        <v>792</v>
      </c>
      <c r="I4399" t="s">
        <v>2117</v>
      </c>
    </row>
    <row r="4400" spans="1:9" x14ac:dyDescent="0.35">
      <c r="A4400">
        <v>1520470</v>
      </c>
      <c r="B4400" t="s">
        <v>1451</v>
      </c>
      <c r="C4400" s="1">
        <v>44284</v>
      </c>
      <c r="D4400">
        <v>656</v>
      </c>
      <c r="E4400" t="b">
        <v>0</v>
      </c>
      <c r="F4400">
        <v>631</v>
      </c>
      <c r="G4400" t="s">
        <v>36</v>
      </c>
      <c r="H4400" t="s">
        <v>346</v>
      </c>
      <c r="I4400" t="s">
        <v>2116</v>
      </c>
    </row>
    <row r="4401" spans="1:9" x14ac:dyDescent="0.35">
      <c r="A4401">
        <v>1520470</v>
      </c>
      <c r="B4401" t="s">
        <v>1451</v>
      </c>
      <c r="C4401" s="1">
        <v>44284</v>
      </c>
      <c r="D4401">
        <v>656</v>
      </c>
      <c r="E4401" t="b">
        <v>0</v>
      </c>
      <c r="F4401">
        <v>631</v>
      </c>
      <c r="G4401" t="s">
        <v>36</v>
      </c>
      <c r="H4401" t="s">
        <v>239</v>
      </c>
      <c r="I4401" t="s">
        <v>2117</v>
      </c>
    </row>
    <row r="4402" spans="1:9" x14ac:dyDescent="0.35">
      <c r="A4402">
        <v>1520470</v>
      </c>
      <c r="B4402" t="s">
        <v>1451</v>
      </c>
      <c r="C4402" s="1">
        <v>44284</v>
      </c>
      <c r="D4402">
        <v>656</v>
      </c>
      <c r="E4402" t="b">
        <v>0</v>
      </c>
      <c r="F4402">
        <v>631</v>
      </c>
      <c r="G4402" t="s">
        <v>36</v>
      </c>
      <c r="H4402" t="s">
        <v>132</v>
      </c>
      <c r="I4402" t="s">
        <v>2116</v>
      </c>
    </row>
    <row r="4403" spans="1:9" x14ac:dyDescent="0.35">
      <c r="A4403">
        <v>1520470</v>
      </c>
      <c r="B4403" t="s">
        <v>1451</v>
      </c>
      <c r="C4403" s="1">
        <v>44284</v>
      </c>
      <c r="D4403">
        <v>656</v>
      </c>
      <c r="E4403" t="b">
        <v>0</v>
      </c>
      <c r="F4403">
        <v>631</v>
      </c>
      <c r="G4403" t="s">
        <v>36</v>
      </c>
      <c r="H4403" t="s">
        <v>124</v>
      </c>
      <c r="I4403" t="s">
        <v>2116</v>
      </c>
    </row>
    <row r="4404" spans="1:9" x14ac:dyDescent="0.35">
      <c r="A4404">
        <v>1520470</v>
      </c>
      <c r="B4404" t="s">
        <v>1451</v>
      </c>
      <c r="C4404" s="1">
        <v>44284</v>
      </c>
      <c r="D4404">
        <v>656</v>
      </c>
      <c r="E4404" t="b">
        <v>0</v>
      </c>
      <c r="F4404">
        <v>631</v>
      </c>
      <c r="G4404" t="s">
        <v>36</v>
      </c>
      <c r="H4404" t="s">
        <v>1510</v>
      </c>
      <c r="I4404" t="s">
        <v>2116</v>
      </c>
    </row>
    <row r="4405" spans="1:9" x14ac:dyDescent="0.35">
      <c r="A4405">
        <v>2826180</v>
      </c>
      <c r="B4405" t="s">
        <v>1452</v>
      </c>
      <c r="C4405" s="1">
        <v>45414</v>
      </c>
      <c r="D4405">
        <v>655</v>
      </c>
      <c r="E4405" t="b">
        <v>1</v>
      </c>
      <c r="F4405">
        <v>632</v>
      </c>
      <c r="G4405" t="s">
        <v>2082</v>
      </c>
      <c r="H4405" t="s">
        <v>49</v>
      </c>
      <c r="I4405" t="s">
        <v>2117</v>
      </c>
    </row>
    <row r="4406" spans="1:9" x14ac:dyDescent="0.35">
      <c r="A4406">
        <v>2826180</v>
      </c>
      <c r="B4406" t="s">
        <v>1452</v>
      </c>
      <c r="C4406" s="1">
        <v>45414</v>
      </c>
      <c r="D4406">
        <v>655</v>
      </c>
      <c r="E4406" t="b">
        <v>1</v>
      </c>
      <c r="F4406">
        <v>632</v>
      </c>
      <c r="G4406" t="s">
        <v>2082</v>
      </c>
      <c r="H4406" t="s">
        <v>792</v>
      </c>
      <c r="I4406" t="s">
        <v>2116</v>
      </c>
    </row>
    <row r="4407" spans="1:9" x14ac:dyDescent="0.35">
      <c r="A4407">
        <v>2826180</v>
      </c>
      <c r="B4407" t="s">
        <v>1452</v>
      </c>
      <c r="C4407" s="1">
        <v>45414</v>
      </c>
      <c r="D4407">
        <v>655</v>
      </c>
      <c r="E4407" t="b">
        <v>1</v>
      </c>
      <c r="F4407">
        <v>632</v>
      </c>
      <c r="G4407" t="s">
        <v>2082</v>
      </c>
      <c r="H4407" t="s">
        <v>346</v>
      </c>
      <c r="I4407" t="s">
        <v>2116</v>
      </c>
    </row>
    <row r="4408" spans="1:9" x14ac:dyDescent="0.35">
      <c r="A4408">
        <v>2826180</v>
      </c>
      <c r="B4408" t="s">
        <v>1452</v>
      </c>
      <c r="C4408" s="1">
        <v>45414</v>
      </c>
      <c r="D4408">
        <v>655</v>
      </c>
      <c r="E4408" t="b">
        <v>1</v>
      </c>
      <c r="F4408">
        <v>632</v>
      </c>
      <c r="G4408" t="s">
        <v>2082</v>
      </c>
      <c r="H4408" t="s">
        <v>239</v>
      </c>
      <c r="I4408" t="s">
        <v>2116</v>
      </c>
    </row>
    <row r="4409" spans="1:9" x14ac:dyDescent="0.35">
      <c r="A4409">
        <v>2826180</v>
      </c>
      <c r="B4409" t="s">
        <v>1452</v>
      </c>
      <c r="C4409" s="1">
        <v>45414</v>
      </c>
      <c r="D4409">
        <v>655</v>
      </c>
      <c r="E4409" t="b">
        <v>1</v>
      </c>
      <c r="F4409">
        <v>632</v>
      </c>
      <c r="G4409" t="s">
        <v>2082</v>
      </c>
      <c r="H4409" t="s">
        <v>132</v>
      </c>
      <c r="I4409" t="s">
        <v>2117</v>
      </c>
    </row>
    <row r="4410" spans="1:9" x14ac:dyDescent="0.35">
      <c r="A4410">
        <v>2826180</v>
      </c>
      <c r="B4410" t="s">
        <v>1452</v>
      </c>
      <c r="C4410" s="1">
        <v>45414</v>
      </c>
      <c r="D4410">
        <v>655</v>
      </c>
      <c r="E4410" t="b">
        <v>1</v>
      </c>
      <c r="F4410">
        <v>632</v>
      </c>
      <c r="G4410" t="s">
        <v>2082</v>
      </c>
      <c r="H4410" t="s">
        <v>124</v>
      </c>
      <c r="I4410" t="s">
        <v>2117</v>
      </c>
    </row>
    <row r="4411" spans="1:9" x14ac:dyDescent="0.35">
      <c r="A4411">
        <v>2826180</v>
      </c>
      <c r="B4411" t="s">
        <v>1452</v>
      </c>
      <c r="C4411" s="1">
        <v>45414</v>
      </c>
      <c r="D4411">
        <v>655</v>
      </c>
      <c r="E4411" t="b">
        <v>1</v>
      </c>
      <c r="F4411">
        <v>632</v>
      </c>
      <c r="G4411" t="s">
        <v>2082</v>
      </c>
      <c r="H4411" t="s">
        <v>1510</v>
      </c>
      <c r="I4411" t="s">
        <v>2117</v>
      </c>
    </row>
    <row r="4412" spans="1:9" x14ac:dyDescent="0.35">
      <c r="A4412">
        <v>200260</v>
      </c>
      <c r="B4412" t="s">
        <v>1453</v>
      </c>
      <c r="C4412" s="1">
        <v>41159</v>
      </c>
      <c r="D4412">
        <v>655</v>
      </c>
      <c r="E4412" t="b">
        <v>0</v>
      </c>
      <c r="F4412">
        <v>632</v>
      </c>
      <c r="G4412" t="s">
        <v>2084</v>
      </c>
      <c r="H4412" t="s">
        <v>49</v>
      </c>
      <c r="I4412" t="s">
        <v>2116</v>
      </c>
    </row>
    <row r="4413" spans="1:9" x14ac:dyDescent="0.35">
      <c r="A4413">
        <v>200260</v>
      </c>
      <c r="B4413" t="s">
        <v>1453</v>
      </c>
      <c r="C4413" s="1">
        <v>41159</v>
      </c>
      <c r="D4413">
        <v>655</v>
      </c>
      <c r="E4413" t="b">
        <v>0</v>
      </c>
      <c r="F4413">
        <v>632</v>
      </c>
      <c r="G4413" t="s">
        <v>2084</v>
      </c>
      <c r="H4413" t="s">
        <v>792</v>
      </c>
      <c r="I4413" t="s">
        <v>2117</v>
      </c>
    </row>
    <row r="4414" spans="1:9" x14ac:dyDescent="0.35">
      <c r="A4414">
        <v>200260</v>
      </c>
      <c r="B4414" t="s">
        <v>1453</v>
      </c>
      <c r="C4414" s="1">
        <v>41159</v>
      </c>
      <c r="D4414">
        <v>655</v>
      </c>
      <c r="E4414" t="b">
        <v>0</v>
      </c>
      <c r="F4414">
        <v>632</v>
      </c>
      <c r="G4414" t="s">
        <v>2084</v>
      </c>
      <c r="H4414" t="s">
        <v>346</v>
      </c>
      <c r="I4414" t="s">
        <v>2116</v>
      </c>
    </row>
    <row r="4415" spans="1:9" x14ac:dyDescent="0.35">
      <c r="A4415">
        <v>200260</v>
      </c>
      <c r="B4415" t="s">
        <v>1453</v>
      </c>
      <c r="C4415" s="1">
        <v>41159</v>
      </c>
      <c r="D4415">
        <v>655</v>
      </c>
      <c r="E4415" t="b">
        <v>0</v>
      </c>
      <c r="F4415">
        <v>632</v>
      </c>
      <c r="G4415" t="s">
        <v>2084</v>
      </c>
      <c r="H4415" t="s">
        <v>239</v>
      </c>
      <c r="I4415" t="s">
        <v>2117</v>
      </c>
    </row>
    <row r="4416" spans="1:9" x14ac:dyDescent="0.35">
      <c r="A4416">
        <v>200260</v>
      </c>
      <c r="B4416" t="s">
        <v>1453</v>
      </c>
      <c r="C4416" s="1">
        <v>41159</v>
      </c>
      <c r="D4416">
        <v>655</v>
      </c>
      <c r="E4416" t="b">
        <v>0</v>
      </c>
      <c r="F4416">
        <v>632</v>
      </c>
      <c r="G4416" t="s">
        <v>2084</v>
      </c>
      <c r="H4416" t="s">
        <v>132</v>
      </c>
      <c r="I4416" t="s">
        <v>2117</v>
      </c>
    </row>
    <row r="4417" spans="1:9" x14ac:dyDescent="0.35">
      <c r="A4417">
        <v>200260</v>
      </c>
      <c r="B4417" t="s">
        <v>1453</v>
      </c>
      <c r="C4417" s="1">
        <v>41159</v>
      </c>
      <c r="D4417">
        <v>655</v>
      </c>
      <c r="E4417" t="b">
        <v>0</v>
      </c>
      <c r="F4417">
        <v>632</v>
      </c>
      <c r="G4417" t="s">
        <v>2084</v>
      </c>
      <c r="H4417" t="s">
        <v>124</v>
      </c>
      <c r="I4417" t="s">
        <v>2117</v>
      </c>
    </row>
    <row r="4418" spans="1:9" x14ac:dyDescent="0.35">
      <c r="A4418">
        <v>200260</v>
      </c>
      <c r="B4418" t="s">
        <v>1453</v>
      </c>
      <c r="C4418" s="1">
        <v>41159</v>
      </c>
      <c r="D4418">
        <v>655</v>
      </c>
      <c r="E4418" t="b">
        <v>0</v>
      </c>
      <c r="F4418">
        <v>632</v>
      </c>
      <c r="G4418" t="s">
        <v>2084</v>
      </c>
      <c r="H4418" t="s">
        <v>1510</v>
      </c>
      <c r="I4418" t="s">
        <v>2117</v>
      </c>
    </row>
    <row r="4419" spans="1:9" x14ac:dyDescent="0.35">
      <c r="A4419">
        <v>2072450</v>
      </c>
      <c r="B4419" t="s">
        <v>1454</v>
      </c>
      <c r="C4419" s="1">
        <v>45316</v>
      </c>
      <c r="D4419">
        <v>655</v>
      </c>
      <c r="E4419" t="b">
        <v>0</v>
      </c>
      <c r="F4419">
        <v>632</v>
      </c>
      <c r="G4419" t="s">
        <v>36</v>
      </c>
      <c r="H4419" t="s">
        <v>49</v>
      </c>
      <c r="I4419" t="s">
        <v>2116</v>
      </c>
    </row>
    <row r="4420" spans="1:9" x14ac:dyDescent="0.35">
      <c r="A4420">
        <v>2072450</v>
      </c>
      <c r="B4420" t="s">
        <v>1454</v>
      </c>
      <c r="C4420" s="1">
        <v>45316</v>
      </c>
      <c r="D4420">
        <v>655</v>
      </c>
      <c r="E4420" t="b">
        <v>0</v>
      </c>
      <c r="F4420">
        <v>632</v>
      </c>
      <c r="G4420" t="s">
        <v>36</v>
      </c>
      <c r="H4420" t="s">
        <v>792</v>
      </c>
      <c r="I4420" t="s">
        <v>2117</v>
      </c>
    </row>
    <row r="4421" spans="1:9" x14ac:dyDescent="0.35">
      <c r="A4421">
        <v>2072450</v>
      </c>
      <c r="B4421" t="s">
        <v>1454</v>
      </c>
      <c r="C4421" s="1">
        <v>45316</v>
      </c>
      <c r="D4421">
        <v>655</v>
      </c>
      <c r="E4421" t="b">
        <v>0</v>
      </c>
      <c r="F4421">
        <v>632</v>
      </c>
      <c r="G4421" t="s">
        <v>36</v>
      </c>
      <c r="H4421" t="s">
        <v>346</v>
      </c>
      <c r="I4421" t="s">
        <v>2116</v>
      </c>
    </row>
    <row r="4422" spans="1:9" x14ac:dyDescent="0.35">
      <c r="A4422">
        <v>2072450</v>
      </c>
      <c r="B4422" t="s">
        <v>1454</v>
      </c>
      <c r="C4422" s="1">
        <v>45316</v>
      </c>
      <c r="D4422">
        <v>655</v>
      </c>
      <c r="E4422" t="b">
        <v>0</v>
      </c>
      <c r="F4422">
        <v>632</v>
      </c>
      <c r="G4422" t="s">
        <v>36</v>
      </c>
      <c r="H4422" t="s">
        <v>239</v>
      </c>
      <c r="I4422" t="s">
        <v>2117</v>
      </c>
    </row>
    <row r="4423" spans="1:9" x14ac:dyDescent="0.35">
      <c r="A4423">
        <v>2072450</v>
      </c>
      <c r="B4423" t="s">
        <v>1454</v>
      </c>
      <c r="C4423" s="1">
        <v>45316</v>
      </c>
      <c r="D4423">
        <v>655</v>
      </c>
      <c r="E4423" t="b">
        <v>0</v>
      </c>
      <c r="F4423">
        <v>632</v>
      </c>
      <c r="G4423" t="s">
        <v>36</v>
      </c>
      <c r="H4423" t="s">
        <v>132</v>
      </c>
      <c r="I4423" t="s">
        <v>2116</v>
      </c>
    </row>
    <row r="4424" spans="1:9" x14ac:dyDescent="0.35">
      <c r="A4424">
        <v>2072450</v>
      </c>
      <c r="B4424" t="s">
        <v>1454</v>
      </c>
      <c r="C4424" s="1">
        <v>45316</v>
      </c>
      <c r="D4424">
        <v>655</v>
      </c>
      <c r="E4424" t="b">
        <v>0</v>
      </c>
      <c r="F4424">
        <v>632</v>
      </c>
      <c r="G4424" t="s">
        <v>36</v>
      </c>
      <c r="H4424" t="s">
        <v>124</v>
      </c>
      <c r="I4424" t="s">
        <v>2117</v>
      </c>
    </row>
    <row r="4425" spans="1:9" x14ac:dyDescent="0.35">
      <c r="A4425">
        <v>2072450</v>
      </c>
      <c r="B4425" t="s">
        <v>1454</v>
      </c>
      <c r="C4425" s="1">
        <v>45316</v>
      </c>
      <c r="D4425">
        <v>655</v>
      </c>
      <c r="E4425" t="b">
        <v>0</v>
      </c>
      <c r="F4425">
        <v>632</v>
      </c>
      <c r="G4425" t="s">
        <v>36</v>
      </c>
      <c r="H4425" t="s">
        <v>1510</v>
      </c>
      <c r="I4425" t="s">
        <v>2117</v>
      </c>
    </row>
    <row r="4426" spans="1:9" x14ac:dyDescent="0.35">
      <c r="A4426">
        <v>1432860</v>
      </c>
      <c r="B4426" t="s">
        <v>1455</v>
      </c>
      <c r="C4426" s="1">
        <v>44995</v>
      </c>
      <c r="D4426">
        <v>653</v>
      </c>
      <c r="E4426" t="b">
        <v>1</v>
      </c>
      <c r="F4426">
        <v>635</v>
      </c>
      <c r="G4426" t="s">
        <v>304</v>
      </c>
      <c r="H4426" t="s">
        <v>49</v>
      </c>
      <c r="I4426" t="s">
        <v>2117</v>
      </c>
    </row>
    <row r="4427" spans="1:9" x14ac:dyDescent="0.35">
      <c r="A4427">
        <v>1432860</v>
      </c>
      <c r="B4427" t="s">
        <v>1455</v>
      </c>
      <c r="C4427" s="1">
        <v>44995</v>
      </c>
      <c r="D4427">
        <v>653</v>
      </c>
      <c r="E4427" t="b">
        <v>1</v>
      </c>
      <c r="F4427">
        <v>635</v>
      </c>
      <c r="G4427" t="s">
        <v>304</v>
      </c>
      <c r="H4427" t="s">
        <v>792</v>
      </c>
      <c r="I4427" t="s">
        <v>2116</v>
      </c>
    </row>
    <row r="4428" spans="1:9" x14ac:dyDescent="0.35">
      <c r="A4428">
        <v>1432860</v>
      </c>
      <c r="B4428" t="s">
        <v>1455</v>
      </c>
      <c r="C4428" s="1">
        <v>44995</v>
      </c>
      <c r="D4428">
        <v>653</v>
      </c>
      <c r="E4428" t="b">
        <v>1</v>
      </c>
      <c r="F4428">
        <v>635</v>
      </c>
      <c r="G4428" t="s">
        <v>304</v>
      </c>
      <c r="H4428" t="s">
        <v>346</v>
      </c>
      <c r="I4428" t="s">
        <v>2116</v>
      </c>
    </row>
    <row r="4429" spans="1:9" x14ac:dyDescent="0.35">
      <c r="A4429">
        <v>1432860</v>
      </c>
      <c r="B4429" t="s">
        <v>1455</v>
      </c>
      <c r="C4429" s="1">
        <v>44995</v>
      </c>
      <c r="D4429">
        <v>653</v>
      </c>
      <c r="E4429" t="b">
        <v>1</v>
      </c>
      <c r="F4429">
        <v>635</v>
      </c>
      <c r="G4429" t="s">
        <v>304</v>
      </c>
      <c r="H4429" t="s">
        <v>239</v>
      </c>
      <c r="I4429" t="s">
        <v>2116</v>
      </c>
    </row>
    <row r="4430" spans="1:9" x14ac:dyDescent="0.35">
      <c r="A4430">
        <v>1432860</v>
      </c>
      <c r="B4430" t="s">
        <v>1455</v>
      </c>
      <c r="C4430" s="1">
        <v>44995</v>
      </c>
      <c r="D4430">
        <v>653</v>
      </c>
      <c r="E4430" t="b">
        <v>1</v>
      </c>
      <c r="F4430">
        <v>635</v>
      </c>
      <c r="G4430" t="s">
        <v>304</v>
      </c>
      <c r="H4430" t="s">
        <v>132</v>
      </c>
      <c r="I4430" t="s">
        <v>2116</v>
      </c>
    </row>
    <row r="4431" spans="1:9" x14ac:dyDescent="0.35">
      <c r="A4431">
        <v>1432860</v>
      </c>
      <c r="B4431" t="s">
        <v>1455</v>
      </c>
      <c r="C4431" s="1">
        <v>44995</v>
      </c>
      <c r="D4431">
        <v>653</v>
      </c>
      <c r="E4431" t="b">
        <v>1</v>
      </c>
      <c r="F4431">
        <v>635</v>
      </c>
      <c r="G4431" t="s">
        <v>304</v>
      </c>
      <c r="H4431" t="s">
        <v>124</v>
      </c>
      <c r="I4431" t="s">
        <v>2117</v>
      </c>
    </row>
    <row r="4432" spans="1:9" x14ac:dyDescent="0.35">
      <c r="A4432">
        <v>1432860</v>
      </c>
      <c r="B4432" t="s">
        <v>1455</v>
      </c>
      <c r="C4432" s="1">
        <v>44995</v>
      </c>
      <c r="D4432">
        <v>653</v>
      </c>
      <c r="E4432" t="b">
        <v>1</v>
      </c>
      <c r="F4432">
        <v>635</v>
      </c>
      <c r="G4432" t="s">
        <v>304</v>
      </c>
      <c r="H4432" t="s">
        <v>1510</v>
      </c>
      <c r="I4432" t="s">
        <v>2117</v>
      </c>
    </row>
    <row r="4433" spans="1:9" x14ac:dyDescent="0.35">
      <c r="A4433">
        <v>454650</v>
      </c>
      <c r="B4433" t="s">
        <v>1457</v>
      </c>
      <c r="C4433" s="1">
        <v>42670</v>
      </c>
      <c r="D4433">
        <v>652</v>
      </c>
      <c r="E4433" t="b">
        <v>0</v>
      </c>
      <c r="F4433">
        <v>636</v>
      </c>
      <c r="G4433" t="s">
        <v>2093</v>
      </c>
      <c r="H4433" t="s">
        <v>49</v>
      </c>
      <c r="I4433" t="s">
        <v>2116</v>
      </c>
    </row>
    <row r="4434" spans="1:9" x14ac:dyDescent="0.35">
      <c r="A4434">
        <v>454650</v>
      </c>
      <c r="B4434" t="s">
        <v>1457</v>
      </c>
      <c r="C4434" s="1">
        <v>42670</v>
      </c>
      <c r="D4434">
        <v>652</v>
      </c>
      <c r="E4434" t="b">
        <v>0</v>
      </c>
      <c r="F4434">
        <v>636</v>
      </c>
      <c r="G4434" t="s">
        <v>2093</v>
      </c>
      <c r="H4434" t="s">
        <v>792</v>
      </c>
      <c r="I4434" t="s">
        <v>2117</v>
      </c>
    </row>
    <row r="4435" spans="1:9" x14ac:dyDescent="0.35">
      <c r="A4435">
        <v>454650</v>
      </c>
      <c r="B4435" t="s">
        <v>1457</v>
      </c>
      <c r="C4435" s="1">
        <v>42670</v>
      </c>
      <c r="D4435">
        <v>652</v>
      </c>
      <c r="E4435" t="b">
        <v>0</v>
      </c>
      <c r="F4435">
        <v>636</v>
      </c>
      <c r="G4435" t="s">
        <v>2093</v>
      </c>
      <c r="H4435" t="s">
        <v>346</v>
      </c>
      <c r="I4435" t="s">
        <v>2116</v>
      </c>
    </row>
    <row r="4436" spans="1:9" x14ac:dyDescent="0.35">
      <c r="A4436">
        <v>454650</v>
      </c>
      <c r="B4436" t="s">
        <v>1457</v>
      </c>
      <c r="C4436" s="1">
        <v>42670</v>
      </c>
      <c r="D4436">
        <v>652</v>
      </c>
      <c r="E4436" t="b">
        <v>0</v>
      </c>
      <c r="F4436">
        <v>636</v>
      </c>
      <c r="G4436" t="s">
        <v>2093</v>
      </c>
      <c r="H4436" t="s">
        <v>239</v>
      </c>
      <c r="I4436" t="s">
        <v>2117</v>
      </c>
    </row>
    <row r="4437" spans="1:9" x14ac:dyDescent="0.35">
      <c r="A4437">
        <v>454650</v>
      </c>
      <c r="B4437" t="s">
        <v>1457</v>
      </c>
      <c r="C4437" s="1">
        <v>42670</v>
      </c>
      <c r="D4437">
        <v>652</v>
      </c>
      <c r="E4437" t="b">
        <v>0</v>
      </c>
      <c r="F4437">
        <v>636</v>
      </c>
      <c r="G4437" t="s">
        <v>2093</v>
      </c>
      <c r="H4437" t="s">
        <v>132</v>
      </c>
      <c r="I4437" t="s">
        <v>2117</v>
      </c>
    </row>
    <row r="4438" spans="1:9" x14ac:dyDescent="0.35">
      <c r="A4438">
        <v>454650</v>
      </c>
      <c r="B4438" t="s">
        <v>1457</v>
      </c>
      <c r="C4438" s="1">
        <v>42670</v>
      </c>
      <c r="D4438">
        <v>652</v>
      </c>
      <c r="E4438" t="b">
        <v>0</v>
      </c>
      <c r="F4438">
        <v>636</v>
      </c>
      <c r="G4438" t="s">
        <v>2093</v>
      </c>
      <c r="H4438" t="s">
        <v>124</v>
      </c>
      <c r="I4438" t="s">
        <v>2117</v>
      </c>
    </row>
    <row r="4439" spans="1:9" x14ac:dyDescent="0.35">
      <c r="A4439">
        <v>454650</v>
      </c>
      <c r="B4439" t="s">
        <v>1457</v>
      </c>
      <c r="C4439" s="1">
        <v>42670</v>
      </c>
      <c r="D4439">
        <v>652</v>
      </c>
      <c r="E4439" t="b">
        <v>0</v>
      </c>
      <c r="F4439">
        <v>636</v>
      </c>
      <c r="G4439" t="s">
        <v>2093</v>
      </c>
      <c r="H4439" t="s">
        <v>1510</v>
      </c>
      <c r="I4439" t="s">
        <v>2117</v>
      </c>
    </row>
    <row r="4440" spans="1:9" x14ac:dyDescent="0.35">
      <c r="A4440">
        <v>870780</v>
      </c>
      <c r="B4440" t="s">
        <v>1460</v>
      </c>
      <c r="C4440" s="1">
        <v>44070</v>
      </c>
      <c r="D4440">
        <v>648</v>
      </c>
      <c r="E4440" t="b">
        <v>1</v>
      </c>
      <c r="F4440">
        <v>637</v>
      </c>
      <c r="G4440" t="s">
        <v>175</v>
      </c>
      <c r="H4440" t="s">
        <v>49</v>
      </c>
      <c r="I4440" t="s">
        <v>2116</v>
      </c>
    </row>
    <row r="4441" spans="1:9" x14ac:dyDescent="0.35">
      <c r="A4441">
        <v>870780</v>
      </c>
      <c r="B4441" t="s">
        <v>1460</v>
      </c>
      <c r="C4441" s="1">
        <v>44070</v>
      </c>
      <c r="D4441">
        <v>648</v>
      </c>
      <c r="E4441" t="b">
        <v>1</v>
      </c>
      <c r="F4441">
        <v>637</v>
      </c>
      <c r="G4441" t="s">
        <v>175</v>
      </c>
      <c r="H4441" t="s">
        <v>792</v>
      </c>
      <c r="I4441" t="s">
        <v>2117</v>
      </c>
    </row>
    <row r="4442" spans="1:9" x14ac:dyDescent="0.35">
      <c r="A4442">
        <v>870780</v>
      </c>
      <c r="B4442" t="s">
        <v>1460</v>
      </c>
      <c r="C4442" s="1">
        <v>44070</v>
      </c>
      <c r="D4442">
        <v>648</v>
      </c>
      <c r="E4442" t="b">
        <v>1</v>
      </c>
      <c r="F4442">
        <v>637</v>
      </c>
      <c r="G4442" t="s">
        <v>175</v>
      </c>
      <c r="H4442" t="s">
        <v>346</v>
      </c>
      <c r="I4442" t="s">
        <v>2116</v>
      </c>
    </row>
    <row r="4443" spans="1:9" x14ac:dyDescent="0.35">
      <c r="A4443">
        <v>870780</v>
      </c>
      <c r="B4443" t="s">
        <v>1460</v>
      </c>
      <c r="C4443" s="1">
        <v>44070</v>
      </c>
      <c r="D4443">
        <v>648</v>
      </c>
      <c r="E4443" t="b">
        <v>1</v>
      </c>
      <c r="F4443">
        <v>637</v>
      </c>
      <c r="G4443" t="s">
        <v>175</v>
      </c>
      <c r="H4443" t="s">
        <v>239</v>
      </c>
      <c r="I4443" t="s">
        <v>2117</v>
      </c>
    </row>
    <row r="4444" spans="1:9" x14ac:dyDescent="0.35">
      <c r="A4444">
        <v>870780</v>
      </c>
      <c r="B4444" t="s">
        <v>1460</v>
      </c>
      <c r="C4444" s="1">
        <v>44070</v>
      </c>
      <c r="D4444">
        <v>648</v>
      </c>
      <c r="E4444" t="b">
        <v>1</v>
      </c>
      <c r="F4444">
        <v>637</v>
      </c>
      <c r="G4444" t="s">
        <v>175</v>
      </c>
      <c r="H4444" t="s">
        <v>132</v>
      </c>
      <c r="I4444" t="s">
        <v>2117</v>
      </c>
    </row>
    <row r="4445" spans="1:9" x14ac:dyDescent="0.35">
      <c r="A4445">
        <v>870780</v>
      </c>
      <c r="B4445" t="s">
        <v>1460</v>
      </c>
      <c r="C4445" s="1">
        <v>44070</v>
      </c>
      <c r="D4445">
        <v>648</v>
      </c>
      <c r="E4445" t="b">
        <v>1</v>
      </c>
      <c r="F4445">
        <v>637</v>
      </c>
      <c r="G4445" t="s">
        <v>175</v>
      </c>
      <c r="H4445" t="s">
        <v>124</v>
      </c>
      <c r="I4445" t="s">
        <v>2117</v>
      </c>
    </row>
    <row r="4446" spans="1:9" x14ac:dyDescent="0.35">
      <c r="A4446">
        <v>870780</v>
      </c>
      <c r="B4446" t="s">
        <v>1460</v>
      </c>
      <c r="C4446" s="1">
        <v>44070</v>
      </c>
      <c r="D4446">
        <v>648</v>
      </c>
      <c r="E4446" t="b">
        <v>1</v>
      </c>
      <c r="F4446">
        <v>637</v>
      </c>
      <c r="G4446" t="s">
        <v>175</v>
      </c>
      <c r="H4446" t="s">
        <v>1510</v>
      </c>
      <c r="I4446" t="s">
        <v>2117</v>
      </c>
    </row>
    <row r="4447" spans="1:9" x14ac:dyDescent="0.35">
      <c r="A4447">
        <v>1097430</v>
      </c>
      <c r="B4447" t="s">
        <v>1462</v>
      </c>
      <c r="C4447" s="1">
        <v>44771</v>
      </c>
      <c r="D4447">
        <v>647</v>
      </c>
      <c r="E4447" t="b">
        <v>0</v>
      </c>
      <c r="F4447">
        <v>638</v>
      </c>
      <c r="G4447" t="s">
        <v>304</v>
      </c>
      <c r="H4447" t="s">
        <v>49</v>
      </c>
      <c r="I4447" t="s">
        <v>2116</v>
      </c>
    </row>
    <row r="4448" spans="1:9" x14ac:dyDescent="0.35">
      <c r="A4448">
        <v>1097430</v>
      </c>
      <c r="B4448" t="s">
        <v>1462</v>
      </c>
      <c r="C4448" s="1">
        <v>44771</v>
      </c>
      <c r="D4448">
        <v>647</v>
      </c>
      <c r="E4448" t="b">
        <v>0</v>
      </c>
      <c r="F4448">
        <v>638</v>
      </c>
      <c r="G4448" t="s">
        <v>304</v>
      </c>
      <c r="H4448" t="s">
        <v>792</v>
      </c>
      <c r="I4448" t="s">
        <v>2116</v>
      </c>
    </row>
    <row r="4449" spans="1:9" x14ac:dyDescent="0.35">
      <c r="A4449">
        <v>1097430</v>
      </c>
      <c r="B4449" t="s">
        <v>1462</v>
      </c>
      <c r="C4449" s="1">
        <v>44771</v>
      </c>
      <c r="D4449">
        <v>647</v>
      </c>
      <c r="E4449" t="b">
        <v>0</v>
      </c>
      <c r="F4449">
        <v>638</v>
      </c>
      <c r="G4449" t="s">
        <v>304</v>
      </c>
      <c r="H4449" t="s">
        <v>346</v>
      </c>
      <c r="I4449" t="s">
        <v>2116</v>
      </c>
    </row>
    <row r="4450" spans="1:9" x14ac:dyDescent="0.35">
      <c r="A4450">
        <v>1097430</v>
      </c>
      <c r="B4450" t="s">
        <v>1462</v>
      </c>
      <c r="C4450" s="1">
        <v>44771</v>
      </c>
      <c r="D4450">
        <v>647</v>
      </c>
      <c r="E4450" t="b">
        <v>0</v>
      </c>
      <c r="F4450">
        <v>638</v>
      </c>
      <c r="G4450" t="s">
        <v>304</v>
      </c>
      <c r="H4450" t="s">
        <v>239</v>
      </c>
      <c r="I4450" t="s">
        <v>2117</v>
      </c>
    </row>
    <row r="4451" spans="1:9" x14ac:dyDescent="0.35">
      <c r="A4451">
        <v>1097430</v>
      </c>
      <c r="B4451" t="s">
        <v>1462</v>
      </c>
      <c r="C4451" s="1">
        <v>44771</v>
      </c>
      <c r="D4451">
        <v>647</v>
      </c>
      <c r="E4451" t="b">
        <v>0</v>
      </c>
      <c r="F4451">
        <v>638</v>
      </c>
      <c r="G4451" t="s">
        <v>304</v>
      </c>
      <c r="H4451" t="s">
        <v>132</v>
      </c>
      <c r="I4451" t="s">
        <v>2116</v>
      </c>
    </row>
    <row r="4452" spans="1:9" x14ac:dyDescent="0.35">
      <c r="A4452">
        <v>1097430</v>
      </c>
      <c r="B4452" t="s">
        <v>1462</v>
      </c>
      <c r="C4452" s="1">
        <v>44771</v>
      </c>
      <c r="D4452">
        <v>647</v>
      </c>
      <c r="E4452" t="b">
        <v>0</v>
      </c>
      <c r="F4452">
        <v>638</v>
      </c>
      <c r="G4452" t="s">
        <v>304</v>
      </c>
      <c r="H4452" t="s">
        <v>124</v>
      </c>
      <c r="I4452" t="s">
        <v>2116</v>
      </c>
    </row>
    <row r="4453" spans="1:9" x14ac:dyDescent="0.35">
      <c r="A4453">
        <v>1097430</v>
      </c>
      <c r="B4453" t="s">
        <v>1462</v>
      </c>
      <c r="C4453" s="1">
        <v>44771</v>
      </c>
      <c r="D4453">
        <v>647</v>
      </c>
      <c r="E4453" t="b">
        <v>0</v>
      </c>
      <c r="F4453">
        <v>638</v>
      </c>
      <c r="G4453" t="s">
        <v>304</v>
      </c>
      <c r="H4453" t="s">
        <v>1510</v>
      </c>
      <c r="I4453" t="s">
        <v>2116</v>
      </c>
    </row>
    <row r="4454" spans="1:9" x14ac:dyDescent="0.35">
      <c r="A4454">
        <v>744900</v>
      </c>
      <c r="B4454" t="s">
        <v>1465</v>
      </c>
      <c r="C4454" s="1">
        <v>43661</v>
      </c>
      <c r="D4454">
        <v>647</v>
      </c>
      <c r="E4454" t="b">
        <v>0</v>
      </c>
      <c r="F4454">
        <v>638</v>
      </c>
      <c r="G4454" t="s">
        <v>304</v>
      </c>
      <c r="H4454" t="s">
        <v>49</v>
      </c>
      <c r="I4454" t="s">
        <v>2116</v>
      </c>
    </row>
    <row r="4455" spans="1:9" x14ac:dyDescent="0.35">
      <c r="A4455">
        <v>744900</v>
      </c>
      <c r="B4455" t="s">
        <v>1465</v>
      </c>
      <c r="C4455" s="1">
        <v>43661</v>
      </c>
      <c r="D4455">
        <v>647</v>
      </c>
      <c r="E4455" t="b">
        <v>0</v>
      </c>
      <c r="F4455">
        <v>638</v>
      </c>
      <c r="G4455" t="s">
        <v>304</v>
      </c>
      <c r="H4455" t="s">
        <v>792</v>
      </c>
      <c r="I4455" t="s">
        <v>2116</v>
      </c>
    </row>
    <row r="4456" spans="1:9" x14ac:dyDescent="0.35">
      <c r="A4456">
        <v>744900</v>
      </c>
      <c r="B4456" t="s">
        <v>1465</v>
      </c>
      <c r="C4456" s="1">
        <v>43661</v>
      </c>
      <c r="D4456">
        <v>647</v>
      </c>
      <c r="E4456" t="b">
        <v>0</v>
      </c>
      <c r="F4456">
        <v>638</v>
      </c>
      <c r="G4456" t="s">
        <v>304</v>
      </c>
      <c r="H4456" t="s">
        <v>346</v>
      </c>
      <c r="I4456" t="s">
        <v>2117</v>
      </c>
    </row>
    <row r="4457" spans="1:9" x14ac:dyDescent="0.35">
      <c r="A4457">
        <v>744900</v>
      </c>
      <c r="B4457" t="s">
        <v>1465</v>
      </c>
      <c r="C4457" s="1">
        <v>43661</v>
      </c>
      <c r="D4457">
        <v>647</v>
      </c>
      <c r="E4457" t="b">
        <v>0</v>
      </c>
      <c r="F4457">
        <v>638</v>
      </c>
      <c r="G4457" t="s">
        <v>304</v>
      </c>
      <c r="H4457" t="s">
        <v>239</v>
      </c>
      <c r="I4457" t="s">
        <v>2117</v>
      </c>
    </row>
    <row r="4458" spans="1:9" x14ac:dyDescent="0.35">
      <c r="A4458">
        <v>744900</v>
      </c>
      <c r="B4458" t="s">
        <v>1465</v>
      </c>
      <c r="C4458" s="1">
        <v>43661</v>
      </c>
      <c r="D4458">
        <v>647</v>
      </c>
      <c r="E4458" t="b">
        <v>0</v>
      </c>
      <c r="F4458">
        <v>638</v>
      </c>
      <c r="G4458" t="s">
        <v>304</v>
      </c>
      <c r="H4458" t="s">
        <v>132</v>
      </c>
      <c r="I4458" t="s">
        <v>2116</v>
      </c>
    </row>
    <row r="4459" spans="1:9" x14ac:dyDescent="0.35">
      <c r="A4459">
        <v>744900</v>
      </c>
      <c r="B4459" t="s">
        <v>1465</v>
      </c>
      <c r="C4459" s="1">
        <v>43661</v>
      </c>
      <c r="D4459">
        <v>647</v>
      </c>
      <c r="E4459" t="b">
        <v>0</v>
      </c>
      <c r="F4459">
        <v>638</v>
      </c>
      <c r="G4459" t="s">
        <v>304</v>
      </c>
      <c r="H4459" t="s">
        <v>124</v>
      </c>
      <c r="I4459" t="s">
        <v>2117</v>
      </c>
    </row>
    <row r="4460" spans="1:9" x14ac:dyDescent="0.35">
      <c r="A4460">
        <v>744900</v>
      </c>
      <c r="B4460" t="s">
        <v>1465</v>
      </c>
      <c r="C4460" s="1">
        <v>43661</v>
      </c>
      <c r="D4460">
        <v>647</v>
      </c>
      <c r="E4460" t="b">
        <v>0</v>
      </c>
      <c r="F4460">
        <v>638</v>
      </c>
      <c r="G4460" t="s">
        <v>304</v>
      </c>
      <c r="H4460" t="s">
        <v>1510</v>
      </c>
      <c r="I4460" t="s">
        <v>2116</v>
      </c>
    </row>
    <row r="4461" spans="1:9" x14ac:dyDescent="0.35">
      <c r="A4461">
        <v>2420510</v>
      </c>
      <c r="B4461" t="s">
        <v>1468</v>
      </c>
      <c r="C4461" s="1">
        <v>45154</v>
      </c>
      <c r="D4461">
        <v>645</v>
      </c>
      <c r="E4461" t="b">
        <v>0</v>
      </c>
      <c r="F4461">
        <v>640</v>
      </c>
      <c r="G4461" t="s">
        <v>371</v>
      </c>
      <c r="H4461" t="s">
        <v>49</v>
      </c>
      <c r="I4461" t="s">
        <v>2116</v>
      </c>
    </row>
    <row r="4462" spans="1:9" x14ac:dyDescent="0.35">
      <c r="A4462">
        <v>2420510</v>
      </c>
      <c r="B4462" t="s">
        <v>1468</v>
      </c>
      <c r="C4462" s="1">
        <v>45154</v>
      </c>
      <c r="D4462">
        <v>645</v>
      </c>
      <c r="E4462" t="b">
        <v>0</v>
      </c>
      <c r="F4462">
        <v>640</v>
      </c>
      <c r="G4462" t="s">
        <v>371</v>
      </c>
      <c r="H4462" t="s">
        <v>792</v>
      </c>
      <c r="I4462" t="s">
        <v>2116</v>
      </c>
    </row>
    <row r="4463" spans="1:9" x14ac:dyDescent="0.35">
      <c r="A4463">
        <v>2420510</v>
      </c>
      <c r="B4463" t="s">
        <v>1468</v>
      </c>
      <c r="C4463" s="1">
        <v>45154</v>
      </c>
      <c r="D4463">
        <v>645</v>
      </c>
      <c r="E4463" t="b">
        <v>0</v>
      </c>
      <c r="F4463">
        <v>640</v>
      </c>
      <c r="G4463" t="s">
        <v>371</v>
      </c>
      <c r="H4463" t="s">
        <v>346</v>
      </c>
      <c r="I4463" t="s">
        <v>2116</v>
      </c>
    </row>
    <row r="4464" spans="1:9" x14ac:dyDescent="0.35">
      <c r="A4464">
        <v>2420510</v>
      </c>
      <c r="B4464" t="s">
        <v>1468</v>
      </c>
      <c r="C4464" s="1">
        <v>45154</v>
      </c>
      <c r="D4464">
        <v>645</v>
      </c>
      <c r="E4464" t="b">
        <v>0</v>
      </c>
      <c r="F4464">
        <v>640</v>
      </c>
      <c r="G4464" t="s">
        <v>371</v>
      </c>
      <c r="H4464" t="s">
        <v>239</v>
      </c>
      <c r="I4464" t="s">
        <v>2117</v>
      </c>
    </row>
    <row r="4465" spans="1:9" x14ac:dyDescent="0.35">
      <c r="A4465">
        <v>2420510</v>
      </c>
      <c r="B4465" t="s">
        <v>1468</v>
      </c>
      <c r="C4465" s="1">
        <v>45154</v>
      </c>
      <c r="D4465">
        <v>645</v>
      </c>
      <c r="E4465" t="b">
        <v>0</v>
      </c>
      <c r="F4465">
        <v>640</v>
      </c>
      <c r="G4465" t="s">
        <v>371</v>
      </c>
      <c r="H4465" t="s">
        <v>132</v>
      </c>
      <c r="I4465" t="s">
        <v>2117</v>
      </c>
    </row>
    <row r="4466" spans="1:9" x14ac:dyDescent="0.35">
      <c r="A4466">
        <v>2420510</v>
      </c>
      <c r="B4466" t="s">
        <v>1468</v>
      </c>
      <c r="C4466" s="1">
        <v>45154</v>
      </c>
      <c r="D4466">
        <v>645</v>
      </c>
      <c r="E4466" t="b">
        <v>0</v>
      </c>
      <c r="F4466">
        <v>640</v>
      </c>
      <c r="G4466" t="s">
        <v>371</v>
      </c>
      <c r="H4466" t="s">
        <v>124</v>
      </c>
      <c r="I4466" t="s">
        <v>2117</v>
      </c>
    </row>
    <row r="4467" spans="1:9" x14ac:dyDescent="0.35">
      <c r="A4467">
        <v>2420510</v>
      </c>
      <c r="B4467" t="s">
        <v>1468</v>
      </c>
      <c r="C4467" s="1">
        <v>45154</v>
      </c>
      <c r="D4467">
        <v>645</v>
      </c>
      <c r="E4467" t="b">
        <v>0</v>
      </c>
      <c r="F4467">
        <v>640</v>
      </c>
      <c r="G4467" t="s">
        <v>371</v>
      </c>
      <c r="H4467" t="s">
        <v>1510</v>
      </c>
      <c r="I4467" t="s">
        <v>2117</v>
      </c>
    </row>
    <row r="4468" spans="1:9" x14ac:dyDescent="0.35">
      <c r="A4468">
        <v>1272080</v>
      </c>
      <c r="B4468" t="s">
        <v>1471</v>
      </c>
      <c r="C4468" s="1">
        <v>45190</v>
      </c>
      <c r="D4468">
        <v>644</v>
      </c>
      <c r="E4468" t="b">
        <v>0</v>
      </c>
      <c r="F4468">
        <v>641</v>
      </c>
      <c r="G4468" t="s">
        <v>371</v>
      </c>
      <c r="H4468" t="s">
        <v>49</v>
      </c>
      <c r="I4468" t="s">
        <v>2116</v>
      </c>
    </row>
    <row r="4469" spans="1:9" x14ac:dyDescent="0.35">
      <c r="A4469">
        <v>1272080</v>
      </c>
      <c r="B4469" t="s">
        <v>1471</v>
      </c>
      <c r="C4469" s="1">
        <v>45190</v>
      </c>
      <c r="D4469">
        <v>644</v>
      </c>
      <c r="E4469" t="b">
        <v>0</v>
      </c>
      <c r="F4469">
        <v>641</v>
      </c>
      <c r="G4469" t="s">
        <v>371</v>
      </c>
      <c r="H4469" t="s">
        <v>792</v>
      </c>
      <c r="I4469" t="s">
        <v>2117</v>
      </c>
    </row>
    <row r="4470" spans="1:9" x14ac:dyDescent="0.35">
      <c r="A4470">
        <v>1272080</v>
      </c>
      <c r="B4470" t="s">
        <v>1471</v>
      </c>
      <c r="C4470" s="1">
        <v>45190</v>
      </c>
      <c r="D4470">
        <v>644</v>
      </c>
      <c r="E4470" t="b">
        <v>0</v>
      </c>
      <c r="F4470">
        <v>641</v>
      </c>
      <c r="G4470" t="s">
        <v>371</v>
      </c>
      <c r="H4470" t="s">
        <v>346</v>
      </c>
      <c r="I4470" t="s">
        <v>2116</v>
      </c>
    </row>
    <row r="4471" spans="1:9" x14ac:dyDescent="0.35">
      <c r="A4471">
        <v>1272080</v>
      </c>
      <c r="B4471" t="s">
        <v>1471</v>
      </c>
      <c r="C4471" s="1">
        <v>45190</v>
      </c>
      <c r="D4471">
        <v>644</v>
      </c>
      <c r="E4471" t="b">
        <v>0</v>
      </c>
      <c r="F4471">
        <v>641</v>
      </c>
      <c r="G4471" t="s">
        <v>371</v>
      </c>
      <c r="H4471" t="s">
        <v>239</v>
      </c>
      <c r="I4471" t="s">
        <v>2117</v>
      </c>
    </row>
    <row r="4472" spans="1:9" x14ac:dyDescent="0.35">
      <c r="A4472">
        <v>1272080</v>
      </c>
      <c r="B4472" t="s">
        <v>1471</v>
      </c>
      <c r="C4472" s="1">
        <v>45190</v>
      </c>
      <c r="D4472">
        <v>644</v>
      </c>
      <c r="E4472" t="b">
        <v>0</v>
      </c>
      <c r="F4472">
        <v>641</v>
      </c>
      <c r="G4472" t="s">
        <v>371</v>
      </c>
      <c r="H4472" t="s">
        <v>132</v>
      </c>
      <c r="I4472" t="s">
        <v>2116</v>
      </c>
    </row>
    <row r="4473" spans="1:9" x14ac:dyDescent="0.35">
      <c r="A4473">
        <v>1272080</v>
      </c>
      <c r="B4473" t="s">
        <v>1471</v>
      </c>
      <c r="C4473" s="1">
        <v>45190</v>
      </c>
      <c r="D4473">
        <v>644</v>
      </c>
      <c r="E4473" t="b">
        <v>0</v>
      </c>
      <c r="F4473">
        <v>641</v>
      </c>
      <c r="G4473" t="s">
        <v>371</v>
      </c>
      <c r="H4473" t="s">
        <v>124</v>
      </c>
      <c r="I4473" t="s">
        <v>2117</v>
      </c>
    </row>
    <row r="4474" spans="1:9" x14ac:dyDescent="0.35">
      <c r="A4474">
        <v>1272080</v>
      </c>
      <c r="B4474" t="s">
        <v>1471</v>
      </c>
      <c r="C4474" s="1">
        <v>45190</v>
      </c>
      <c r="D4474">
        <v>644</v>
      </c>
      <c r="E4474" t="b">
        <v>0</v>
      </c>
      <c r="F4474">
        <v>641</v>
      </c>
      <c r="G4474" t="s">
        <v>371</v>
      </c>
      <c r="H4474" t="s">
        <v>1510</v>
      </c>
      <c r="I4474" t="s">
        <v>2117</v>
      </c>
    </row>
    <row r="4475" spans="1:9" x14ac:dyDescent="0.35">
      <c r="A4475">
        <v>1985810</v>
      </c>
      <c r="B4475" t="s">
        <v>1473</v>
      </c>
      <c r="C4475" s="1">
        <v>44993</v>
      </c>
      <c r="D4475">
        <v>644</v>
      </c>
      <c r="E4475" t="b">
        <v>0</v>
      </c>
      <c r="F4475">
        <v>641</v>
      </c>
      <c r="G4475" t="s">
        <v>33</v>
      </c>
      <c r="H4475" t="s">
        <v>49</v>
      </c>
      <c r="I4475" t="s">
        <v>2116</v>
      </c>
    </row>
    <row r="4476" spans="1:9" x14ac:dyDescent="0.35">
      <c r="A4476">
        <v>1985810</v>
      </c>
      <c r="B4476" t="s">
        <v>1473</v>
      </c>
      <c r="C4476" s="1">
        <v>44993</v>
      </c>
      <c r="D4476">
        <v>644</v>
      </c>
      <c r="E4476" t="b">
        <v>0</v>
      </c>
      <c r="F4476">
        <v>641</v>
      </c>
      <c r="G4476" t="s">
        <v>33</v>
      </c>
      <c r="H4476" t="s">
        <v>792</v>
      </c>
      <c r="I4476" t="s">
        <v>2117</v>
      </c>
    </row>
    <row r="4477" spans="1:9" x14ac:dyDescent="0.35">
      <c r="A4477">
        <v>1985810</v>
      </c>
      <c r="B4477" t="s">
        <v>1473</v>
      </c>
      <c r="C4477" s="1">
        <v>44993</v>
      </c>
      <c r="D4477">
        <v>644</v>
      </c>
      <c r="E4477" t="b">
        <v>0</v>
      </c>
      <c r="F4477">
        <v>641</v>
      </c>
      <c r="G4477" t="s">
        <v>33</v>
      </c>
      <c r="H4477" t="s">
        <v>346</v>
      </c>
      <c r="I4477" t="s">
        <v>2117</v>
      </c>
    </row>
    <row r="4478" spans="1:9" x14ac:dyDescent="0.35">
      <c r="A4478">
        <v>1985810</v>
      </c>
      <c r="B4478" t="s">
        <v>1473</v>
      </c>
      <c r="C4478" s="1">
        <v>44993</v>
      </c>
      <c r="D4478">
        <v>644</v>
      </c>
      <c r="E4478" t="b">
        <v>0</v>
      </c>
      <c r="F4478">
        <v>641</v>
      </c>
      <c r="G4478" t="s">
        <v>33</v>
      </c>
      <c r="H4478" t="s">
        <v>239</v>
      </c>
      <c r="I4478" t="s">
        <v>2117</v>
      </c>
    </row>
    <row r="4479" spans="1:9" x14ac:dyDescent="0.35">
      <c r="A4479">
        <v>1985810</v>
      </c>
      <c r="B4479" t="s">
        <v>1473</v>
      </c>
      <c r="C4479" s="1">
        <v>44993</v>
      </c>
      <c r="D4479">
        <v>644</v>
      </c>
      <c r="E4479" t="b">
        <v>0</v>
      </c>
      <c r="F4479">
        <v>641</v>
      </c>
      <c r="G4479" t="s">
        <v>33</v>
      </c>
      <c r="H4479" t="s">
        <v>132</v>
      </c>
      <c r="I4479" t="s">
        <v>2117</v>
      </c>
    </row>
    <row r="4480" spans="1:9" x14ac:dyDescent="0.35">
      <c r="A4480">
        <v>1985810</v>
      </c>
      <c r="B4480" t="s">
        <v>1473</v>
      </c>
      <c r="C4480" s="1">
        <v>44993</v>
      </c>
      <c r="D4480">
        <v>644</v>
      </c>
      <c r="E4480" t="b">
        <v>0</v>
      </c>
      <c r="F4480">
        <v>641</v>
      </c>
      <c r="G4480" t="s">
        <v>33</v>
      </c>
      <c r="H4480" t="s">
        <v>124</v>
      </c>
      <c r="I4480" t="s">
        <v>2117</v>
      </c>
    </row>
    <row r="4481" spans="1:9" x14ac:dyDescent="0.35">
      <c r="A4481">
        <v>1985810</v>
      </c>
      <c r="B4481" t="s">
        <v>1473</v>
      </c>
      <c r="C4481" s="1">
        <v>44993</v>
      </c>
      <c r="D4481">
        <v>644</v>
      </c>
      <c r="E4481" t="b">
        <v>0</v>
      </c>
      <c r="F4481">
        <v>641</v>
      </c>
      <c r="G4481" t="s">
        <v>33</v>
      </c>
      <c r="H4481" t="s">
        <v>1510</v>
      </c>
      <c r="I4481" t="s">
        <v>2117</v>
      </c>
    </row>
    <row r="4482" spans="1:9" x14ac:dyDescent="0.35">
      <c r="A4482">
        <v>225540</v>
      </c>
      <c r="B4482" t="s">
        <v>1474</v>
      </c>
      <c r="C4482" s="1">
        <v>42338</v>
      </c>
      <c r="D4482">
        <v>639</v>
      </c>
      <c r="E4482" t="b">
        <v>0</v>
      </c>
      <c r="F4482">
        <v>643</v>
      </c>
      <c r="G4482" t="s">
        <v>2091</v>
      </c>
      <c r="H4482" t="s">
        <v>49</v>
      </c>
      <c r="I4482" t="s">
        <v>2116</v>
      </c>
    </row>
    <row r="4483" spans="1:9" x14ac:dyDescent="0.35">
      <c r="A4483">
        <v>225540</v>
      </c>
      <c r="B4483" t="s">
        <v>1474</v>
      </c>
      <c r="C4483" s="1">
        <v>42338</v>
      </c>
      <c r="D4483">
        <v>639</v>
      </c>
      <c r="E4483" t="b">
        <v>0</v>
      </c>
      <c r="F4483">
        <v>643</v>
      </c>
      <c r="G4483" t="s">
        <v>2091</v>
      </c>
      <c r="H4483" t="s">
        <v>792</v>
      </c>
      <c r="I4483" t="s">
        <v>2117</v>
      </c>
    </row>
    <row r="4484" spans="1:9" x14ac:dyDescent="0.35">
      <c r="A4484">
        <v>225540</v>
      </c>
      <c r="B4484" t="s">
        <v>1474</v>
      </c>
      <c r="C4484" s="1">
        <v>42338</v>
      </c>
      <c r="D4484">
        <v>639</v>
      </c>
      <c r="E4484" t="b">
        <v>0</v>
      </c>
      <c r="F4484">
        <v>643</v>
      </c>
      <c r="G4484" t="s">
        <v>2091</v>
      </c>
      <c r="H4484" t="s">
        <v>346</v>
      </c>
      <c r="I4484" t="s">
        <v>2116</v>
      </c>
    </row>
    <row r="4485" spans="1:9" x14ac:dyDescent="0.35">
      <c r="A4485">
        <v>225540</v>
      </c>
      <c r="B4485" t="s">
        <v>1474</v>
      </c>
      <c r="C4485" s="1">
        <v>42338</v>
      </c>
      <c r="D4485">
        <v>639</v>
      </c>
      <c r="E4485" t="b">
        <v>0</v>
      </c>
      <c r="F4485">
        <v>643</v>
      </c>
      <c r="G4485" t="s">
        <v>2091</v>
      </c>
      <c r="H4485" t="s">
        <v>239</v>
      </c>
      <c r="I4485" t="s">
        <v>2117</v>
      </c>
    </row>
    <row r="4486" spans="1:9" x14ac:dyDescent="0.35">
      <c r="A4486">
        <v>225540</v>
      </c>
      <c r="B4486" t="s">
        <v>1474</v>
      </c>
      <c r="C4486" s="1">
        <v>42338</v>
      </c>
      <c r="D4486">
        <v>639</v>
      </c>
      <c r="E4486" t="b">
        <v>0</v>
      </c>
      <c r="F4486">
        <v>643</v>
      </c>
      <c r="G4486" t="s">
        <v>2091</v>
      </c>
      <c r="H4486" t="s">
        <v>132</v>
      </c>
      <c r="I4486" t="s">
        <v>2117</v>
      </c>
    </row>
    <row r="4487" spans="1:9" x14ac:dyDescent="0.35">
      <c r="A4487">
        <v>225540</v>
      </c>
      <c r="B4487" t="s">
        <v>1474</v>
      </c>
      <c r="C4487" s="1">
        <v>42338</v>
      </c>
      <c r="D4487">
        <v>639</v>
      </c>
      <c r="E4487" t="b">
        <v>0</v>
      </c>
      <c r="F4487">
        <v>643</v>
      </c>
      <c r="G4487" t="s">
        <v>2091</v>
      </c>
      <c r="H4487" t="s">
        <v>124</v>
      </c>
      <c r="I4487" t="s">
        <v>2117</v>
      </c>
    </row>
    <row r="4488" spans="1:9" x14ac:dyDescent="0.35">
      <c r="A4488">
        <v>225540</v>
      </c>
      <c r="B4488" t="s">
        <v>1474</v>
      </c>
      <c r="C4488" s="1">
        <v>42338</v>
      </c>
      <c r="D4488">
        <v>639</v>
      </c>
      <c r="E4488" t="b">
        <v>0</v>
      </c>
      <c r="F4488">
        <v>643</v>
      </c>
      <c r="G4488" t="s">
        <v>2091</v>
      </c>
      <c r="H4488" t="s">
        <v>1510</v>
      </c>
      <c r="I4488" t="s">
        <v>2117</v>
      </c>
    </row>
    <row r="4489" spans="1:9" x14ac:dyDescent="0.35">
      <c r="A4489">
        <v>400</v>
      </c>
      <c r="B4489" t="s">
        <v>1475</v>
      </c>
      <c r="C4489" s="1">
        <v>39365</v>
      </c>
      <c r="D4489">
        <v>638</v>
      </c>
      <c r="E4489" t="b">
        <v>0</v>
      </c>
      <c r="F4489">
        <v>644</v>
      </c>
      <c r="G4489" t="s">
        <v>2084</v>
      </c>
      <c r="H4489" t="s">
        <v>49</v>
      </c>
      <c r="I4489" t="s">
        <v>2116</v>
      </c>
    </row>
    <row r="4490" spans="1:9" x14ac:dyDescent="0.35">
      <c r="A4490">
        <v>400</v>
      </c>
      <c r="B4490" t="s">
        <v>1475</v>
      </c>
      <c r="C4490" s="1">
        <v>39365</v>
      </c>
      <c r="D4490">
        <v>638</v>
      </c>
      <c r="E4490" t="b">
        <v>0</v>
      </c>
      <c r="F4490">
        <v>644</v>
      </c>
      <c r="G4490" t="s">
        <v>2084</v>
      </c>
      <c r="H4490" t="s">
        <v>792</v>
      </c>
      <c r="I4490" t="s">
        <v>2117</v>
      </c>
    </row>
    <row r="4491" spans="1:9" x14ac:dyDescent="0.35">
      <c r="A4491">
        <v>400</v>
      </c>
      <c r="B4491" t="s">
        <v>1475</v>
      </c>
      <c r="C4491" s="1">
        <v>39365</v>
      </c>
      <c r="D4491">
        <v>638</v>
      </c>
      <c r="E4491" t="b">
        <v>0</v>
      </c>
      <c r="F4491">
        <v>644</v>
      </c>
      <c r="G4491" t="s">
        <v>2084</v>
      </c>
      <c r="H4491" t="s">
        <v>346</v>
      </c>
      <c r="I4491" t="s">
        <v>2117</v>
      </c>
    </row>
    <row r="4492" spans="1:9" x14ac:dyDescent="0.35">
      <c r="A4492">
        <v>400</v>
      </c>
      <c r="B4492" t="s">
        <v>1475</v>
      </c>
      <c r="C4492" s="1">
        <v>39365</v>
      </c>
      <c r="D4492">
        <v>638</v>
      </c>
      <c r="E4492" t="b">
        <v>0</v>
      </c>
      <c r="F4492">
        <v>644</v>
      </c>
      <c r="G4492" t="s">
        <v>2084</v>
      </c>
      <c r="H4492" t="s">
        <v>239</v>
      </c>
      <c r="I4492" t="s">
        <v>2117</v>
      </c>
    </row>
    <row r="4493" spans="1:9" x14ac:dyDescent="0.35">
      <c r="A4493">
        <v>400</v>
      </c>
      <c r="B4493" t="s">
        <v>1475</v>
      </c>
      <c r="C4493" s="1">
        <v>39365</v>
      </c>
      <c r="D4493">
        <v>638</v>
      </c>
      <c r="E4493" t="b">
        <v>0</v>
      </c>
      <c r="F4493">
        <v>644</v>
      </c>
      <c r="G4493" t="s">
        <v>2084</v>
      </c>
      <c r="H4493" t="s">
        <v>132</v>
      </c>
      <c r="I4493" t="s">
        <v>2117</v>
      </c>
    </row>
    <row r="4494" spans="1:9" x14ac:dyDescent="0.35">
      <c r="A4494">
        <v>400</v>
      </c>
      <c r="B4494" t="s">
        <v>1475</v>
      </c>
      <c r="C4494" s="1">
        <v>39365</v>
      </c>
      <c r="D4494">
        <v>638</v>
      </c>
      <c r="E4494" t="b">
        <v>0</v>
      </c>
      <c r="F4494">
        <v>644</v>
      </c>
      <c r="G4494" t="s">
        <v>2084</v>
      </c>
      <c r="H4494" t="s">
        <v>124</v>
      </c>
      <c r="I4494" t="s">
        <v>2117</v>
      </c>
    </row>
    <row r="4495" spans="1:9" x14ac:dyDescent="0.35">
      <c r="A4495">
        <v>400</v>
      </c>
      <c r="B4495" t="s">
        <v>1475</v>
      </c>
      <c r="C4495" s="1">
        <v>39365</v>
      </c>
      <c r="D4495">
        <v>638</v>
      </c>
      <c r="E4495" t="b">
        <v>0</v>
      </c>
      <c r="F4495">
        <v>644</v>
      </c>
      <c r="G4495" t="s">
        <v>2084</v>
      </c>
      <c r="H4495" t="s">
        <v>1510</v>
      </c>
      <c r="I4495" t="s">
        <v>2117</v>
      </c>
    </row>
    <row r="4496" spans="1:9" x14ac:dyDescent="0.35">
      <c r="A4496">
        <v>223750</v>
      </c>
      <c r="B4496" t="s">
        <v>1477</v>
      </c>
      <c r="C4496" s="1">
        <v>41488</v>
      </c>
      <c r="D4496">
        <v>636</v>
      </c>
      <c r="E4496" t="b">
        <v>0</v>
      </c>
      <c r="F4496">
        <v>645</v>
      </c>
      <c r="G4496" t="s">
        <v>967</v>
      </c>
      <c r="H4496" t="s">
        <v>49</v>
      </c>
      <c r="I4496" t="s">
        <v>2117</v>
      </c>
    </row>
    <row r="4497" spans="1:9" x14ac:dyDescent="0.35">
      <c r="A4497">
        <v>223750</v>
      </c>
      <c r="B4497" t="s">
        <v>1477</v>
      </c>
      <c r="C4497" s="1">
        <v>41488</v>
      </c>
      <c r="D4497">
        <v>636</v>
      </c>
      <c r="E4497" t="b">
        <v>0</v>
      </c>
      <c r="F4497">
        <v>645</v>
      </c>
      <c r="G4497" t="s">
        <v>967</v>
      </c>
      <c r="H4497" t="s">
        <v>792</v>
      </c>
      <c r="I4497" t="s">
        <v>2117</v>
      </c>
    </row>
    <row r="4498" spans="1:9" x14ac:dyDescent="0.35">
      <c r="A4498">
        <v>223750</v>
      </c>
      <c r="B4498" t="s">
        <v>1477</v>
      </c>
      <c r="C4498" s="1">
        <v>41488</v>
      </c>
      <c r="D4498">
        <v>636</v>
      </c>
      <c r="E4498" t="b">
        <v>0</v>
      </c>
      <c r="F4498">
        <v>645</v>
      </c>
      <c r="G4498" t="s">
        <v>967</v>
      </c>
      <c r="H4498" t="s">
        <v>346</v>
      </c>
      <c r="I4498" t="s">
        <v>2117</v>
      </c>
    </row>
    <row r="4499" spans="1:9" x14ac:dyDescent="0.35">
      <c r="A4499">
        <v>223750</v>
      </c>
      <c r="B4499" t="s">
        <v>1477</v>
      </c>
      <c r="C4499" s="1">
        <v>41488</v>
      </c>
      <c r="D4499">
        <v>636</v>
      </c>
      <c r="E4499" t="b">
        <v>0</v>
      </c>
      <c r="F4499">
        <v>645</v>
      </c>
      <c r="G4499" t="s">
        <v>967</v>
      </c>
      <c r="H4499" t="s">
        <v>239</v>
      </c>
      <c r="I4499" t="s">
        <v>2116</v>
      </c>
    </row>
    <row r="4500" spans="1:9" x14ac:dyDescent="0.35">
      <c r="A4500">
        <v>223750</v>
      </c>
      <c r="B4500" t="s">
        <v>1477</v>
      </c>
      <c r="C4500" s="1">
        <v>41488</v>
      </c>
      <c r="D4500">
        <v>636</v>
      </c>
      <c r="E4500" t="b">
        <v>0</v>
      </c>
      <c r="F4500">
        <v>645</v>
      </c>
      <c r="G4500" t="s">
        <v>967</v>
      </c>
      <c r="H4500" t="s">
        <v>132</v>
      </c>
      <c r="I4500" t="s">
        <v>2117</v>
      </c>
    </row>
    <row r="4501" spans="1:9" x14ac:dyDescent="0.35">
      <c r="A4501">
        <v>223750</v>
      </c>
      <c r="B4501" t="s">
        <v>1477</v>
      </c>
      <c r="C4501" s="1">
        <v>41488</v>
      </c>
      <c r="D4501">
        <v>636</v>
      </c>
      <c r="E4501" t="b">
        <v>0</v>
      </c>
      <c r="F4501">
        <v>645</v>
      </c>
      <c r="G4501" t="s">
        <v>967</v>
      </c>
      <c r="H4501" t="s">
        <v>124</v>
      </c>
      <c r="I4501" t="s">
        <v>2117</v>
      </c>
    </row>
    <row r="4502" spans="1:9" x14ac:dyDescent="0.35">
      <c r="A4502">
        <v>223750</v>
      </c>
      <c r="B4502" t="s">
        <v>1477</v>
      </c>
      <c r="C4502" s="1">
        <v>41488</v>
      </c>
      <c r="D4502">
        <v>636</v>
      </c>
      <c r="E4502" t="b">
        <v>0</v>
      </c>
      <c r="F4502">
        <v>645</v>
      </c>
      <c r="G4502" t="s">
        <v>967</v>
      </c>
      <c r="H4502" t="s">
        <v>1510</v>
      </c>
      <c r="I4502" t="s">
        <v>2116</v>
      </c>
    </row>
    <row r="4503" spans="1:9" x14ac:dyDescent="0.35">
      <c r="A4503">
        <v>784080</v>
      </c>
      <c r="B4503" t="s">
        <v>1480</v>
      </c>
      <c r="C4503" s="1">
        <v>44342</v>
      </c>
      <c r="D4503">
        <v>636</v>
      </c>
      <c r="E4503" t="b">
        <v>0</v>
      </c>
      <c r="F4503">
        <v>645</v>
      </c>
      <c r="G4503" t="s">
        <v>25</v>
      </c>
      <c r="H4503" t="s">
        <v>49</v>
      </c>
      <c r="I4503" t="s">
        <v>2116</v>
      </c>
    </row>
    <row r="4504" spans="1:9" x14ac:dyDescent="0.35">
      <c r="A4504">
        <v>784080</v>
      </c>
      <c r="B4504" t="s">
        <v>1480</v>
      </c>
      <c r="C4504" s="1">
        <v>44342</v>
      </c>
      <c r="D4504">
        <v>636</v>
      </c>
      <c r="E4504" t="b">
        <v>0</v>
      </c>
      <c r="F4504">
        <v>645</v>
      </c>
      <c r="G4504" t="s">
        <v>25</v>
      </c>
      <c r="H4504" t="s">
        <v>792</v>
      </c>
      <c r="I4504" t="s">
        <v>2117</v>
      </c>
    </row>
    <row r="4505" spans="1:9" x14ac:dyDescent="0.35">
      <c r="A4505">
        <v>784080</v>
      </c>
      <c r="B4505" t="s">
        <v>1480</v>
      </c>
      <c r="C4505" s="1">
        <v>44342</v>
      </c>
      <c r="D4505">
        <v>636</v>
      </c>
      <c r="E4505" t="b">
        <v>0</v>
      </c>
      <c r="F4505">
        <v>645</v>
      </c>
      <c r="G4505" t="s">
        <v>25</v>
      </c>
      <c r="H4505" t="s">
        <v>346</v>
      </c>
      <c r="I4505" t="s">
        <v>2117</v>
      </c>
    </row>
    <row r="4506" spans="1:9" x14ac:dyDescent="0.35">
      <c r="A4506">
        <v>784080</v>
      </c>
      <c r="B4506" t="s">
        <v>1480</v>
      </c>
      <c r="C4506" s="1">
        <v>44342</v>
      </c>
      <c r="D4506">
        <v>636</v>
      </c>
      <c r="E4506" t="b">
        <v>0</v>
      </c>
      <c r="F4506">
        <v>645</v>
      </c>
      <c r="G4506" t="s">
        <v>25</v>
      </c>
      <c r="H4506" t="s">
        <v>239</v>
      </c>
      <c r="I4506" t="s">
        <v>2116</v>
      </c>
    </row>
    <row r="4507" spans="1:9" x14ac:dyDescent="0.35">
      <c r="A4507">
        <v>784080</v>
      </c>
      <c r="B4507" t="s">
        <v>1480</v>
      </c>
      <c r="C4507" s="1">
        <v>44342</v>
      </c>
      <c r="D4507">
        <v>636</v>
      </c>
      <c r="E4507" t="b">
        <v>0</v>
      </c>
      <c r="F4507">
        <v>645</v>
      </c>
      <c r="G4507" t="s">
        <v>25</v>
      </c>
      <c r="H4507" t="s">
        <v>132</v>
      </c>
      <c r="I4507" t="s">
        <v>2117</v>
      </c>
    </row>
    <row r="4508" spans="1:9" x14ac:dyDescent="0.35">
      <c r="A4508">
        <v>784080</v>
      </c>
      <c r="B4508" t="s">
        <v>1480</v>
      </c>
      <c r="C4508" s="1">
        <v>44342</v>
      </c>
      <c r="D4508">
        <v>636</v>
      </c>
      <c r="E4508" t="b">
        <v>0</v>
      </c>
      <c r="F4508">
        <v>645</v>
      </c>
      <c r="G4508" t="s">
        <v>25</v>
      </c>
      <c r="H4508" t="s">
        <v>124</v>
      </c>
      <c r="I4508" t="s">
        <v>2117</v>
      </c>
    </row>
    <row r="4509" spans="1:9" x14ac:dyDescent="0.35">
      <c r="A4509">
        <v>784080</v>
      </c>
      <c r="B4509" t="s">
        <v>1480</v>
      </c>
      <c r="C4509" s="1">
        <v>44342</v>
      </c>
      <c r="D4509">
        <v>636</v>
      </c>
      <c r="E4509" t="b">
        <v>0</v>
      </c>
      <c r="F4509">
        <v>645</v>
      </c>
      <c r="G4509" t="s">
        <v>25</v>
      </c>
      <c r="H4509" t="s">
        <v>1510</v>
      </c>
      <c r="I4509" t="s">
        <v>2117</v>
      </c>
    </row>
    <row r="4510" spans="1:9" x14ac:dyDescent="0.35">
      <c r="A4510">
        <v>22320</v>
      </c>
      <c r="B4510" t="s">
        <v>1483</v>
      </c>
      <c r="C4510" s="1">
        <v>39980</v>
      </c>
      <c r="D4510">
        <v>635</v>
      </c>
      <c r="E4510" t="b">
        <v>0</v>
      </c>
      <c r="F4510">
        <v>647</v>
      </c>
      <c r="G4510" t="s">
        <v>2084</v>
      </c>
      <c r="H4510" t="s">
        <v>49</v>
      </c>
      <c r="I4510" t="s">
        <v>2117</v>
      </c>
    </row>
    <row r="4511" spans="1:9" x14ac:dyDescent="0.35">
      <c r="A4511">
        <v>22320</v>
      </c>
      <c r="B4511" t="s">
        <v>1483</v>
      </c>
      <c r="C4511" s="1">
        <v>39980</v>
      </c>
      <c r="D4511">
        <v>635</v>
      </c>
      <c r="E4511" t="b">
        <v>0</v>
      </c>
      <c r="F4511">
        <v>647</v>
      </c>
      <c r="G4511" t="s">
        <v>2084</v>
      </c>
      <c r="H4511" t="s">
        <v>792</v>
      </c>
      <c r="I4511" t="s">
        <v>2117</v>
      </c>
    </row>
    <row r="4512" spans="1:9" x14ac:dyDescent="0.35">
      <c r="A4512">
        <v>22320</v>
      </c>
      <c r="B4512" t="s">
        <v>1483</v>
      </c>
      <c r="C4512" s="1">
        <v>39980</v>
      </c>
      <c r="D4512">
        <v>635</v>
      </c>
      <c r="E4512" t="b">
        <v>0</v>
      </c>
      <c r="F4512">
        <v>647</v>
      </c>
      <c r="G4512" t="s">
        <v>2084</v>
      </c>
      <c r="H4512" t="s">
        <v>346</v>
      </c>
      <c r="I4512" t="s">
        <v>2117</v>
      </c>
    </row>
    <row r="4513" spans="1:9" x14ac:dyDescent="0.35">
      <c r="A4513">
        <v>22320</v>
      </c>
      <c r="B4513" t="s">
        <v>1483</v>
      </c>
      <c r="C4513" s="1">
        <v>39980</v>
      </c>
      <c r="D4513">
        <v>635</v>
      </c>
      <c r="E4513" t="b">
        <v>0</v>
      </c>
      <c r="F4513">
        <v>647</v>
      </c>
      <c r="G4513" t="s">
        <v>2084</v>
      </c>
      <c r="H4513" t="s">
        <v>239</v>
      </c>
      <c r="I4513" t="s">
        <v>2117</v>
      </c>
    </row>
    <row r="4514" spans="1:9" x14ac:dyDescent="0.35">
      <c r="A4514">
        <v>22320</v>
      </c>
      <c r="B4514" t="s">
        <v>1483</v>
      </c>
      <c r="C4514" s="1">
        <v>39980</v>
      </c>
      <c r="D4514">
        <v>635</v>
      </c>
      <c r="E4514" t="b">
        <v>0</v>
      </c>
      <c r="F4514">
        <v>647</v>
      </c>
      <c r="G4514" t="s">
        <v>2084</v>
      </c>
      <c r="H4514" t="s">
        <v>132</v>
      </c>
      <c r="I4514" t="s">
        <v>2116</v>
      </c>
    </row>
    <row r="4515" spans="1:9" x14ac:dyDescent="0.35">
      <c r="A4515">
        <v>22320</v>
      </c>
      <c r="B4515" t="s">
        <v>1483</v>
      </c>
      <c r="C4515" s="1">
        <v>39980</v>
      </c>
      <c r="D4515">
        <v>635</v>
      </c>
      <c r="E4515" t="b">
        <v>0</v>
      </c>
      <c r="F4515">
        <v>647</v>
      </c>
      <c r="G4515" t="s">
        <v>2084</v>
      </c>
      <c r="H4515" t="s">
        <v>124</v>
      </c>
      <c r="I4515" t="s">
        <v>2117</v>
      </c>
    </row>
    <row r="4516" spans="1:9" x14ac:dyDescent="0.35">
      <c r="A4516">
        <v>22320</v>
      </c>
      <c r="B4516" t="s">
        <v>1483</v>
      </c>
      <c r="C4516" s="1">
        <v>39980</v>
      </c>
      <c r="D4516">
        <v>635</v>
      </c>
      <c r="E4516" t="b">
        <v>0</v>
      </c>
      <c r="F4516">
        <v>647</v>
      </c>
      <c r="G4516" t="s">
        <v>2084</v>
      </c>
      <c r="H4516" t="s">
        <v>1510</v>
      </c>
      <c r="I4516" t="s">
        <v>2117</v>
      </c>
    </row>
    <row r="4517" spans="1:9" x14ac:dyDescent="0.35">
      <c r="A4517">
        <v>2892880</v>
      </c>
      <c r="B4517" t="s">
        <v>1484</v>
      </c>
      <c r="C4517" s="1">
        <v>45742</v>
      </c>
      <c r="D4517">
        <v>635</v>
      </c>
      <c r="E4517" t="b">
        <v>0</v>
      </c>
      <c r="F4517">
        <v>647</v>
      </c>
      <c r="G4517" t="s">
        <v>14</v>
      </c>
      <c r="H4517" t="s">
        <v>49</v>
      </c>
      <c r="I4517" t="s">
        <v>2117</v>
      </c>
    </row>
    <row r="4518" spans="1:9" x14ac:dyDescent="0.35">
      <c r="A4518">
        <v>2892880</v>
      </c>
      <c r="B4518" t="s">
        <v>1484</v>
      </c>
      <c r="C4518" s="1">
        <v>45742</v>
      </c>
      <c r="D4518">
        <v>635</v>
      </c>
      <c r="E4518" t="b">
        <v>0</v>
      </c>
      <c r="F4518">
        <v>647</v>
      </c>
      <c r="G4518" t="s">
        <v>14</v>
      </c>
      <c r="H4518" t="s">
        <v>792</v>
      </c>
      <c r="I4518" t="s">
        <v>2117</v>
      </c>
    </row>
    <row r="4519" spans="1:9" x14ac:dyDescent="0.35">
      <c r="A4519">
        <v>2892880</v>
      </c>
      <c r="B4519" t="s">
        <v>1484</v>
      </c>
      <c r="C4519" s="1">
        <v>45742</v>
      </c>
      <c r="D4519">
        <v>635</v>
      </c>
      <c r="E4519" t="b">
        <v>0</v>
      </c>
      <c r="F4519">
        <v>647</v>
      </c>
      <c r="G4519" t="s">
        <v>14</v>
      </c>
      <c r="H4519" t="s">
        <v>346</v>
      </c>
      <c r="I4519" t="s">
        <v>2117</v>
      </c>
    </row>
    <row r="4520" spans="1:9" x14ac:dyDescent="0.35">
      <c r="A4520">
        <v>2892880</v>
      </c>
      <c r="B4520" t="s">
        <v>1484</v>
      </c>
      <c r="C4520" s="1">
        <v>45742</v>
      </c>
      <c r="D4520">
        <v>635</v>
      </c>
      <c r="E4520" t="b">
        <v>0</v>
      </c>
      <c r="F4520">
        <v>647</v>
      </c>
      <c r="G4520" t="s">
        <v>14</v>
      </c>
      <c r="H4520" t="s">
        <v>239</v>
      </c>
      <c r="I4520" t="s">
        <v>2116</v>
      </c>
    </row>
    <row r="4521" spans="1:9" x14ac:dyDescent="0.35">
      <c r="A4521">
        <v>2892880</v>
      </c>
      <c r="B4521" t="s">
        <v>1484</v>
      </c>
      <c r="C4521" s="1">
        <v>45742</v>
      </c>
      <c r="D4521">
        <v>635</v>
      </c>
      <c r="E4521" t="b">
        <v>0</v>
      </c>
      <c r="F4521">
        <v>647</v>
      </c>
      <c r="G4521" t="s">
        <v>14</v>
      </c>
      <c r="H4521" t="s">
        <v>132</v>
      </c>
      <c r="I4521" t="s">
        <v>2117</v>
      </c>
    </row>
    <row r="4522" spans="1:9" x14ac:dyDescent="0.35">
      <c r="A4522">
        <v>2892880</v>
      </c>
      <c r="B4522" t="s">
        <v>1484</v>
      </c>
      <c r="C4522" s="1">
        <v>45742</v>
      </c>
      <c r="D4522">
        <v>635</v>
      </c>
      <c r="E4522" t="b">
        <v>0</v>
      </c>
      <c r="F4522">
        <v>647</v>
      </c>
      <c r="G4522" t="s">
        <v>14</v>
      </c>
      <c r="H4522" t="s">
        <v>124</v>
      </c>
      <c r="I4522" t="s">
        <v>2117</v>
      </c>
    </row>
    <row r="4523" spans="1:9" x14ac:dyDescent="0.35">
      <c r="A4523">
        <v>2892880</v>
      </c>
      <c r="B4523" t="s">
        <v>1484</v>
      </c>
      <c r="C4523" s="1">
        <v>45742</v>
      </c>
      <c r="D4523">
        <v>635</v>
      </c>
      <c r="E4523" t="b">
        <v>0</v>
      </c>
      <c r="F4523">
        <v>647</v>
      </c>
      <c r="G4523" t="s">
        <v>14</v>
      </c>
      <c r="H4523" t="s">
        <v>1510</v>
      </c>
      <c r="I4523" t="s">
        <v>2116</v>
      </c>
    </row>
    <row r="4524" spans="1:9" x14ac:dyDescent="0.35">
      <c r="A4524">
        <v>70</v>
      </c>
      <c r="B4524" t="s">
        <v>1487</v>
      </c>
      <c r="C4524" s="1">
        <v>36118</v>
      </c>
      <c r="D4524">
        <v>634</v>
      </c>
      <c r="E4524" t="b">
        <v>1</v>
      </c>
      <c r="F4524">
        <v>649</v>
      </c>
      <c r="G4524" t="s">
        <v>2083</v>
      </c>
      <c r="H4524" t="s">
        <v>49</v>
      </c>
      <c r="I4524" t="s">
        <v>2116</v>
      </c>
    </row>
    <row r="4525" spans="1:9" x14ac:dyDescent="0.35">
      <c r="A4525">
        <v>70</v>
      </c>
      <c r="B4525" t="s">
        <v>1487</v>
      </c>
      <c r="C4525" s="1">
        <v>36118</v>
      </c>
      <c r="D4525">
        <v>634</v>
      </c>
      <c r="E4525" t="b">
        <v>1</v>
      </c>
      <c r="F4525">
        <v>649</v>
      </c>
      <c r="G4525" t="s">
        <v>2083</v>
      </c>
      <c r="H4525" t="s">
        <v>792</v>
      </c>
      <c r="I4525" t="s">
        <v>2117</v>
      </c>
    </row>
    <row r="4526" spans="1:9" x14ac:dyDescent="0.35">
      <c r="A4526">
        <v>70</v>
      </c>
      <c r="B4526" t="s">
        <v>1487</v>
      </c>
      <c r="C4526" s="1">
        <v>36118</v>
      </c>
      <c r="D4526">
        <v>634</v>
      </c>
      <c r="E4526" t="b">
        <v>1</v>
      </c>
      <c r="F4526">
        <v>649</v>
      </c>
      <c r="G4526" t="s">
        <v>2083</v>
      </c>
      <c r="H4526" t="s">
        <v>346</v>
      </c>
      <c r="I4526" t="s">
        <v>2117</v>
      </c>
    </row>
    <row r="4527" spans="1:9" x14ac:dyDescent="0.35">
      <c r="A4527">
        <v>70</v>
      </c>
      <c r="B4527" t="s">
        <v>1487</v>
      </c>
      <c r="C4527" s="1">
        <v>36118</v>
      </c>
      <c r="D4527">
        <v>634</v>
      </c>
      <c r="E4527" t="b">
        <v>1</v>
      </c>
      <c r="F4527">
        <v>649</v>
      </c>
      <c r="G4527" t="s">
        <v>2083</v>
      </c>
      <c r="H4527" t="s">
        <v>239</v>
      </c>
      <c r="I4527" t="s">
        <v>2117</v>
      </c>
    </row>
    <row r="4528" spans="1:9" x14ac:dyDescent="0.35">
      <c r="A4528">
        <v>70</v>
      </c>
      <c r="B4528" t="s">
        <v>1487</v>
      </c>
      <c r="C4528" s="1">
        <v>36118</v>
      </c>
      <c r="D4528">
        <v>634</v>
      </c>
      <c r="E4528" t="b">
        <v>1</v>
      </c>
      <c r="F4528">
        <v>649</v>
      </c>
      <c r="G4528" t="s">
        <v>2083</v>
      </c>
      <c r="H4528" t="s">
        <v>132</v>
      </c>
      <c r="I4528" t="s">
        <v>2117</v>
      </c>
    </row>
    <row r="4529" spans="1:9" x14ac:dyDescent="0.35">
      <c r="A4529">
        <v>70</v>
      </c>
      <c r="B4529" t="s">
        <v>1487</v>
      </c>
      <c r="C4529" s="1">
        <v>36118</v>
      </c>
      <c r="D4529">
        <v>634</v>
      </c>
      <c r="E4529" t="b">
        <v>1</v>
      </c>
      <c r="F4529">
        <v>649</v>
      </c>
      <c r="G4529" t="s">
        <v>2083</v>
      </c>
      <c r="H4529" t="s">
        <v>124</v>
      </c>
      <c r="I4529" t="s">
        <v>2117</v>
      </c>
    </row>
    <row r="4530" spans="1:9" x14ac:dyDescent="0.35">
      <c r="A4530">
        <v>70</v>
      </c>
      <c r="B4530" t="s">
        <v>1487</v>
      </c>
      <c r="C4530" s="1">
        <v>36118</v>
      </c>
      <c r="D4530">
        <v>634</v>
      </c>
      <c r="E4530" t="b">
        <v>1</v>
      </c>
      <c r="F4530">
        <v>649</v>
      </c>
      <c r="G4530" t="s">
        <v>2083</v>
      </c>
      <c r="H4530" t="s">
        <v>1510</v>
      </c>
      <c r="I4530" t="s">
        <v>2117</v>
      </c>
    </row>
    <row r="4531" spans="1:9" x14ac:dyDescent="0.35">
      <c r="A4531">
        <v>494840</v>
      </c>
      <c r="B4531" t="s">
        <v>1489</v>
      </c>
      <c r="C4531" s="1">
        <v>45506</v>
      </c>
      <c r="D4531">
        <v>633</v>
      </c>
      <c r="E4531" t="b">
        <v>0</v>
      </c>
      <c r="F4531">
        <v>650</v>
      </c>
      <c r="G4531" t="s">
        <v>53</v>
      </c>
      <c r="H4531" t="s">
        <v>49</v>
      </c>
      <c r="I4531" t="s">
        <v>2116</v>
      </c>
    </row>
    <row r="4532" spans="1:9" x14ac:dyDescent="0.35">
      <c r="A4532">
        <v>494840</v>
      </c>
      <c r="B4532" t="s">
        <v>1489</v>
      </c>
      <c r="C4532" s="1">
        <v>45506</v>
      </c>
      <c r="D4532">
        <v>633</v>
      </c>
      <c r="E4532" t="b">
        <v>0</v>
      </c>
      <c r="F4532">
        <v>650</v>
      </c>
      <c r="G4532" t="s">
        <v>53</v>
      </c>
      <c r="H4532" t="s">
        <v>792</v>
      </c>
      <c r="I4532" t="s">
        <v>2116</v>
      </c>
    </row>
    <row r="4533" spans="1:9" x14ac:dyDescent="0.35">
      <c r="A4533">
        <v>494840</v>
      </c>
      <c r="B4533" t="s">
        <v>1489</v>
      </c>
      <c r="C4533" s="1">
        <v>45506</v>
      </c>
      <c r="D4533">
        <v>633</v>
      </c>
      <c r="E4533" t="b">
        <v>0</v>
      </c>
      <c r="F4533">
        <v>650</v>
      </c>
      <c r="G4533" t="s">
        <v>53</v>
      </c>
      <c r="H4533" t="s">
        <v>346</v>
      </c>
      <c r="I4533" t="s">
        <v>2117</v>
      </c>
    </row>
    <row r="4534" spans="1:9" x14ac:dyDescent="0.35">
      <c r="A4534">
        <v>494840</v>
      </c>
      <c r="B4534" t="s">
        <v>1489</v>
      </c>
      <c r="C4534" s="1">
        <v>45506</v>
      </c>
      <c r="D4534">
        <v>633</v>
      </c>
      <c r="E4534" t="b">
        <v>0</v>
      </c>
      <c r="F4534">
        <v>650</v>
      </c>
      <c r="G4534" t="s">
        <v>53</v>
      </c>
      <c r="H4534" t="s">
        <v>239</v>
      </c>
      <c r="I4534" t="s">
        <v>2116</v>
      </c>
    </row>
    <row r="4535" spans="1:9" x14ac:dyDescent="0.35">
      <c r="A4535">
        <v>494840</v>
      </c>
      <c r="B4535" t="s">
        <v>1489</v>
      </c>
      <c r="C4535" s="1">
        <v>45506</v>
      </c>
      <c r="D4535">
        <v>633</v>
      </c>
      <c r="E4535" t="b">
        <v>0</v>
      </c>
      <c r="F4535">
        <v>650</v>
      </c>
      <c r="G4535" t="s">
        <v>53</v>
      </c>
      <c r="H4535" t="s">
        <v>132</v>
      </c>
      <c r="I4535" t="s">
        <v>2116</v>
      </c>
    </row>
    <row r="4536" spans="1:9" x14ac:dyDescent="0.35">
      <c r="A4536">
        <v>494840</v>
      </c>
      <c r="B4536" t="s">
        <v>1489</v>
      </c>
      <c r="C4536" s="1">
        <v>45506</v>
      </c>
      <c r="D4536">
        <v>633</v>
      </c>
      <c r="E4536" t="b">
        <v>0</v>
      </c>
      <c r="F4536">
        <v>650</v>
      </c>
      <c r="G4536" t="s">
        <v>53</v>
      </c>
      <c r="H4536" t="s">
        <v>124</v>
      </c>
      <c r="I4536" t="s">
        <v>2116</v>
      </c>
    </row>
    <row r="4537" spans="1:9" x14ac:dyDescent="0.35">
      <c r="A4537">
        <v>494840</v>
      </c>
      <c r="B4537" t="s">
        <v>1489</v>
      </c>
      <c r="C4537" s="1">
        <v>45506</v>
      </c>
      <c r="D4537">
        <v>633</v>
      </c>
      <c r="E4537" t="b">
        <v>0</v>
      </c>
      <c r="F4537">
        <v>650</v>
      </c>
      <c r="G4537" t="s">
        <v>53</v>
      </c>
      <c r="H4537" t="s">
        <v>1510</v>
      </c>
      <c r="I4537" t="s">
        <v>2117</v>
      </c>
    </row>
    <row r="4538" spans="1:9" x14ac:dyDescent="0.35">
      <c r="A4538">
        <v>2527500</v>
      </c>
      <c r="B4538" t="s">
        <v>1490</v>
      </c>
      <c r="C4538" s="1">
        <v>45636</v>
      </c>
      <c r="D4538">
        <v>631</v>
      </c>
      <c r="E4538" t="b">
        <v>0</v>
      </c>
      <c r="F4538">
        <v>651</v>
      </c>
      <c r="G4538" t="s">
        <v>304</v>
      </c>
      <c r="H4538" t="s">
        <v>49</v>
      </c>
      <c r="I4538" t="s">
        <v>2117</v>
      </c>
    </row>
    <row r="4539" spans="1:9" x14ac:dyDescent="0.35">
      <c r="A4539">
        <v>2527500</v>
      </c>
      <c r="B4539" t="s">
        <v>1490</v>
      </c>
      <c r="C4539" s="1">
        <v>45636</v>
      </c>
      <c r="D4539">
        <v>631</v>
      </c>
      <c r="E4539" t="b">
        <v>0</v>
      </c>
      <c r="F4539">
        <v>651</v>
      </c>
      <c r="G4539" t="s">
        <v>304</v>
      </c>
      <c r="H4539" t="s">
        <v>792</v>
      </c>
      <c r="I4539" t="s">
        <v>2116</v>
      </c>
    </row>
    <row r="4540" spans="1:9" x14ac:dyDescent="0.35">
      <c r="A4540">
        <v>2527500</v>
      </c>
      <c r="B4540" t="s">
        <v>1490</v>
      </c>
      <c r="C4540" s="1">
        <v>45636</v>
      </c>
      <c r="D4540">
        <v>631</v>
      </c>
      <c r="E4540" t="b">
        <v>0</v>
      </c>
      <c r="F4540">
        <v>651</v>
      </c>
      <c r="G4540" t="s">
        <v>304</v>
      </c>
      <c r="H4540" t="s">
        <v>346</v>
      </c>
      <c r="I4540" t="s">
        <v>2116</v>
      </c>
    </row>
    <row r="4541" spans="1:9" x14ac:dyDescent="0.35">
      <c r="A4541">
        <v>2527500</v>
      </c>
      <c r="B4541" t="s">
        <v>1490</v>
      </c>
      <c r="C4541" s="1">
        <v>45636</v>
      </c>
      <c r="D4541">
        <v>631</v>
      </c>
      <c r="E4541" t="b">
        <v>0</v>
      </c>
      <c r="F4541">
        <v>651</v>
      </c>
      <c r="G4541" t="s">
        <v>304</v>
      </c>
      <c r="H4541" t="s">
        <v>239</v>
      </c>
      <c r="I4541" t="s">
        <v>2116</v>
      </c>
    </row>
    <row r="4542" spans="1:9" x14ac:dyDescent="0.35">
      <c r="A4542">
        <v>2527500</v>
      </c>
      <c r="B4542" t="s">
        <v>1490</v>
      </c>
      <c r="C4542" s="1">
        <v>45636</v>
      </c>
      <c r="D4542">
        <v>631</v>
      </c>
      <c r="E4542" t="b">
        <v>0</v>
      </c>
      <c r="F4542">
        <v>651</v>
      </c>
      <c r="G4542" t="s">
        <v>304</v>
      </c>
      <c r="H4542" t="s">
        <v>132</v>
      </c>
      <c r="I4542" t="s">
        <v>2116</v>
      </c>
    </row>
    <row r="4543" spans="1:9" x14ac:dyDescent="0.35">
      <c r="A4543">
        <v>2527500</v>
      </c>
      <c r="B4543" t="s">
        <v>1490</v>
      </c>
      <c r="C4543" s="1">
        <v>45636</v>
      </c>
      <c r="D4543">
        <v>631</v>
      </c>
      <c r="E4543" t="b">
        <v>0</v>
      </c>
      <c r="F4543">
        <v>651</v>
      </c>
      <c r="G4543" t="s">
        <v>304</v>
      </c>
      <c r="H4543" t="s">
        <v>124</v>
      </c>
      <c r="I4543" t="s">
        <v>2117</v>
      </c>
    </row>
    <row r="4544" spans="1:9" x14ac:dyDescent="0.35">
      <c r="A4544">
        <v>2527500</v>
      </c>
      <c r="B4544" t="s">
        <v>1490</v>
      </c>
      <c r="C4544" s="1">
        <v>45636</v>
      </c>
      <c r="D4544">
        <v>631</v>
      </c>
      <c r="E4544" t="b">
        <v>0</v>
      </c>
      <c r="F4544">
        <v>651</v>
      </c>
      <c r="G4544" t="s">
        <v>304</v>
      </c>
      <c r="H4544" t="s">
        <v>1510</v>
      </c>
      <c r="I4544" t="s">
        <v>2117</v>
      </c>
    </row>
    <row r="4545" spans="1:9" x14ac:dyDescent="0.35">
      <c r="A4545">
        <v>690790</v>
      </c>
      <c r="B4545" t="s">
        <v>1491</v>
      </c>
      <c r="C4545" s="1">
        <v>43521</v>
      </c>
      <c r="D4545">
        <v>631</v>
      </c>
      <c r="E4545" t="b">
        <v>0</v>
      </c>
      <c r="F4545">
        <v>651</v>
      </c>
      <c r="G4545" t="s">
        <v>25</v>
      </c>
      <c r="H4545" t="s">
        <v>49</v>
      </c>
      <c r="I4545" t="s">
        <v>2117</v>
      </c>
    </row>
    <row r="4546" spans="1:9" x14ac:dyDescent="0.35">
      <c r="A4546">
        <v>690790</v>
      </c>
      <c r="B4546" t="s">
        <v>1491</v>
      </c>
      <c r="C4546" s="1">
        <v>43521</v>
      </c>
      <c r="D4546">
        <v>631</v>
      </c>
      <c r="E4546" t="b">
        <v>0</v>
      </c>
      <c r="F4546">
        <v>651</v>
      </c>
      <c r="G4546" t="s">
        <v>25</v>
      </c>
      <c r="H4546" t="s">
        <v>792</v>
      </c>
      <c r="I4546" t="s">
        <v>2117</v>
      </c>
    </row>
    <row r="4547" spans="1:9" x14ac:dyDescent="0.35">
      <c r="A4547">
        <v>690790</v>
      </c>
      <c r="B4547" t="s">
        <v>1491</v>
      </c>
      <c r="C4547" s="1">
        <v>43521</v>
      </c>
      <c r="D4547">
        <v>631</v>
      </c>
      <c r="E4547" t="b">
        <v>0</v>
      </c>
      <c r="F4547">
        <v>651</v>
      </c>
      <c r="G4547" t="s">
        <v>25</v>
      </c>
      <c r="H4547" t="s">
        <v>346</v>
      </c>
      <c r="I4547" t="s">
        <v>2117</v>
      </c>
    </row>
    <row r="4548" spans="1:9" x14ac:dyDescent="0.35">
      <c r="A4548">
        <v>690790</v>
      </c>
      <c r="B4548" t="s">
        <v>1491</v>
      </c>
      <c r="C4548" s="1">
        <v>43521</v>
      </c>
      <c r="D4548">
        <v>631</v>
      </c>
      <c r="E4548" t="b">
        <v>0</v>
      </c>
      <c r="F4548">
        <v>651</v>
      </c>
      <c r="G4548" t="s">
        <v>25</v>
      </c>
      <c r="H4548" t="s">
        <v>239</v>
      </c>
      <c r="I4548" t="s">
        <v>2116</v>
      </c>
    </row>
    <row r="4549" spans="1:9" x14ac:dyDescent="0.35">
      <c r="A4549">
        <v>690790</v>
      </c>
      <c r="B4549" t="s">
        <v>1491</v>
      </c>
      <c r="C4549" s="1">
        <v>43521</v>
      </c>
      <c r="D4549">
        <v>631</v>
      </c>
      <c r="E4549" t="b">
        <v>0</v>
      </c>
      <c r="F4549">
        <v>651</v>
      </c>
      <c r="G4549" t="s">
        <v>25</v>
      </c>
      <c r="H4549" t="s">
        <v>132</v>
      </c>
      <c r="I4549" t="s">
        <v>2117</v>
      </c>
    </row>
    <row r="4550" spans="1:9" x14ac:dyDescent="0.35">
      <c r="A4550">
        <v>690790</v>
      </c>
      <c r="B4550" t="s">
        <v>1491</v>
      </c>
      <c r="C4550" s="1">
        <v>43521</v>
      </c>
      <c r="D4550">
        <v>631</v>
      </c>
      <c r="E4550" t="b">
        <v>0</v>
      </c>
      <c r="F4550">
        <v>651</v>
      </c>
      <c r="G4550" t="s">
        <v>25</v>
      </c>
      <c r="H4550" t="s">
        <v>124</v>
      </c>
      <c r="I4550" t="s">
        <v>2117</v>
      </c>
    </row>
    <row r="4551" spans="1:9" x14ac:dyDescent="0.35">
      <c r="A4551">
        <v>690790</v>
      </c>
      <c r="B4551" t="s">
        <v>1491</v>
      </c>
      <c r="C4551" s="1">
        <v>43521</v>
      </c>
      <c r="D4551">
        <v>631</v>
      </c>
      <c r="E4551" t="b">
        <v>0</v>
      </c>
      <c r="F4551">
        <v>651</v>
      </c>
      <c r="G4551" t="s">
        <v>25</v>
      </c>
      <c r="H4551" t="s">
        <v>1510</v>
      </c>
      <c r="I4551" t="s">
        <v>2117</v>
      </c>
    </row>
    <row r="4552" spans="1:9" x14ac:dyDescent="0.35">
      <c r="A4552">
        <v>3218580</v>
      </c>
      <c r="B4552" t="s">
        <v>1493</v>
      </c>
      <c r="C4552" s="1">
        <v>45812</v>
      </c>
      <c r="D4552">
        <v>628</v>
      </c>
      <c r="E4552" t="b">
        <v>1</v>
      </c>
      <c r="F4552">
        <v>653</v>
      </c>
      <c r="G4552" t="s">
        <v>371</v>
      </c>
      <c r="H4552" t="s">
        <v>49</v>
      </c>
      <c r="I4552" t="s">
        <v>2117</v>
      </c>
    </row>
    <row r="4553" spans="1:9" x14ac:dyDescent="0.35">
      <c r="A4553">
        <v>3218580</v>
      </c>
      <c r="B4553" t="s">
        <v>1493</v>
      </c>
      <c r="C4553" s="1">
        <v>45812</v>
      </c>
      <c r="D4553">
        <v>628</v>
      </c>
      <c r="E4553" t="b">
        <v>1</v>
      </c>
      <c r="F4553">
        <v>653</v>
      </c>
      <c r="G4553" t="s">
        <v>371</v>
      </c>
      <c r="H4553" t="s">
        <v>792</v>
      </c>
      <c r="I4553" t="s">
        <v>2117</v>
      </c>
    </row>
    <row r="4554" spans="1:9" x14ac:dyDescent="0.35">
      <c r="A4554">
        <v>3218580</v>
      </c>
      <c r="B4554" t="s">
        <v>1493</v>
      </c>
      <c r="C4554" s="1">
        <v>45812</v>
      </c>
      <c r="D4554">
        <v>628</v>
      </c>
      <c r="E4554" t="b">
        <v>1</v>
      </c>
      <c r="F4554">
        <v>653</v>
      </c>
      <c r="G4554" t="s">
        <v>371</v>
      </c>
      <c r="H4554" t="s">
        <v>346</v>
      </c>
      <c r="I4554" t="s">
        <v>2116</v>
      </c>
    </row>
    <row r="4555" spans="1:9" x14ac:dyDescent="0.35">
      <c r="A4555">
        <v>3218580</v>
      </c>
      <c r="B4555" t="s">
        <v>1493</v>
      </c>
      <c r="C4555" s="1">
        <v>45812</v>
      </c>
      <c r="D4555">
        <v>628</v>
      </c>
      <c r="E4555" t="b">
        <v>1</v>
      </c>
      <c r="F4555">
        <v>653</v>
      </c>
      <c r="G4555" t="s">
        <v>371</v>
      </c>
      <c r="H4555" t="s">
        <v>239</v>
      </c>
      <c r="I4555" t="s">
        <v>2116</v>
      </c>
    </row>
    <row r="4556" spans="1:9" x14ac:dyDescent="0.35">
      <c r="A4556">
        <v>3218580</v>
      </c>
      <c r="B4556" t="s">
        <v>1493</v>
      </c>
      <c r="C4556" s="1">
        <v>45812</v>
      </c>
      <c r="D4556">
        <v>628</v>
      </c>
      <c r="E4556" t="b">
        <v>1</v>
      </c>
      <c r="F4556">
        <v>653</v>
      </c>
      <c r="G4556" t="s">
        <v>371</v>
      </c>
      <c r="H4556" t="s">
        <v>132</v>
      </c>
      <c r="I4556" t="s">
        <v>2116</v>
      </c>
    </row>
    <row r="4557" spans="1:9" x14ac:dyDescent="0.35">
      <c r="A4557">
        <v>3218580</v>
      </c>
      <c r="B4557" t="s">
        <v>1493</v>
      </c>
      <c r="C4557" s="1">
        <v>45812</v>
      </c>
      <c r="D4557">
        <v>628</v>
      </c>
      <c r="E4557" t="b">
        <v>1</v>
      </c>
      <c r="F4557">
        <v>653</v>
      </c>
      <c r="G4557" t="s">
        <v>371</v>
      </c>
      <c r="H4557" t="s">
        <v>124</v>
      </c>
      <c r="I4557" t="s">
        <v>2117</v>
      </c>
    </row>
    <row r="4558" spans="1:9" x14ac:dyDescent="0.35">
      <c r="A4558">
        <v>3218580</v>
      </c>
      <c r="B4558" t="s">
        <v>1493</v>
      </c>
      <c r="C4558" s="1">
        <v>45812</v>
      </c>
      <c r="D4558">
        <v>628</v>
      </c>
      <c r="E4558" t="b">
        <v>1</v>
      </c>
      <c r="F4558">
        <v>653</v>
      </c>
      <c r="G4558" t="s">
        <v>371</v>
      </c>
      <c r="H4558" t="s">
        <v>1510</v>
      </c>
      <c r="I4558" t="s">
        <v>2117</v>
      </c>
    </row>
    <row r="4559" spans="1:9" x14ac:dyDescent="0.35">
      <c r="A4559">
        <v>2369390</v>
      </c>
      <c r="B4559" t="s">
        <v>1496</v>
      </c>
      <c r="C4559" s="1">
        <v>45057</v>
      </c>
      <c r="D4559">
        <v>627</v>
      </c>
      <c r="E4559" t="b">
        <v>0</v>
      </c>
      <c r="F4559">
        <v>654</v>
      </c>
      <c r="G4559" t="s">
        <v>371</v>
      </c>
      <c r="H4559" t="s">
        <v>49</v>
      </c>
      <c r="I4559" t="s">
        <v>2116</v>
      </c>
    </row>
    <row r="4560" spans="1:9" x14ac:dyDescent="0.35">
      <c r="A4560">
        <v>2369390</v>
      </c>
      <c r="B4560" t="s">
        <v>1496</v>
      </c>
      <c r="C4560" s="1">
        <v>45057</v>
      </c>
      <c r="D4560">
        <v>627</v>
      </c>
      <c r="E4560" t="b">
        <v>0</v>
      </c>
      <c r="F4560">
        <v>654</v>
      </c>
      <c r="G4560" t="s">
        <v>371</v>
      </c>
      <c r="H4560" t="s">
        <v>792</v>
      </c>
      <c r="I4560" t="s">
        <v>2117</v>
      </c>
    </row>
    <row r="4561" spans="1:9" x14ac:dyDescent="0.35">
      <c r="A4561">
        <v>2369390</v>
      </c>
      <c r="B4561" t="s">
        <v>1496</v>
      </c>
      <c r="C4561" s="1">
        <v>45057</v>
      </c>
      <c r="D4561">
        <v>627</v>
      </c>
      <c r="E4561" t="b">
        <v>0</v>
      </c>
      <c r="F4561">
        <v>654</v>
      </c>
      <c r="G4561" t="s">
        <v>371</v>
      </c>
      <c r="H4561" t="s">
        <v>346</v>
      </c>
      <c r="I4561" t="s">
        <v>2116</v>
      </c>
    </row>
    <row r="4562" spans="1:9" x14ac:dyDescent="0.35">
      <c r="A4562">
        <v>2369390</v>
      </c>
      <c r="B4562" t="s">
        <v>1496</v>
      </c>
      <c r="C4562" s="1">
        <v>45057</v>
      </c>
      <c r="D4562">
        <v>627</v>
      </c>
      <c r="E4562" t="b">
        <v>0</v>
      </c>
      <c r="F4562">
        <v>654</v>
      </c>
      <c r="G4562" t="s">
        <v>371</v>
      </c>
      <c r="H4562" t="s">
        <v>239</v>
      </c>
      <c r="I4562" t="s">
        <v>2117</v>
      </c>
    </row>
    <row r="4563" spans="1:9" x14ac:dyDescent="0.35">
      <c r="A4563">
        <v>2369390</v>
      </c>
      <c r="B4563" t="s">
        <v>1496</v>
      </c>
      <c r="C4563" s="1">
        <v>45057</v>
      </c>
      <c r="D4563">
        <v>627</v>
      </c>
      <c r="E4563" t="b">
        <v>0</v>
      </c>
      <c r="F4563">
        <v>654</v>
      </c>
      <c r="G4563" t="s">
        <v>371</v>
      </c>
      <c r="H4563" t="s">
        <v>132</v>
      </c>
      <c r="I4563" t="s">
        <v>2117</v>
      </c>
    </row>
    <row r="4564" spans="1:9" x14ac:dyDescent="0.35">
      <c r="A4564">
        <v>2369390</v>
      </c>
      <c r="B4564" t="s">
        <v>1496</v>
      </c>
      <c r="C4564" s="1">
        <v>45057</v>
      </c>
      <c r="D4564">
        <v>627</v>
      </c>
      <c r="E4564" t="b">
        <v>0</v>
      </c>
      <c r="F4564">
        <v>654</v>
      </c>
      <c r="G4564" t="s">
        <v>371</v>
      </c>
      <c r="H4564" t="s">
        <v>124</v>
      </c>
      <c r="I4564" t="s">
        <v>2117</v>
      </c>
    </row>
    <row r="4565" spans="1:9" x14ac:dyDescent="0.35">
      <c r="A4565">
        <v>2369390</v>
      </c>
      <c r="B4565" t="s">
        <v>1496</v>
      </c>
      <c r="C4565" s="1">
        <v>45057</v>
      </c>
      <c r="D4565">
        <v>627</v>
      </c>
      <c r="E4565" t="b">
        <v>0</v>
      </c>
      <c r="F4565">
        <v>654</v>
      </c>
      <c r="G4565" t="s">
        <v>371</v>
      </c>
      <c r="H4565" t="s">
        <v>1510</v>
      </c>
      <c r="I4565" t="s">
        <v>2117</v>
      </c>
    </row>
    <row r="4566" spans="1:9" x14ac:dyDescent="0.35">
      <c r="A4566">
        <v>1809540</v>
      </c>
      <c r="B4566" t="s">
        <v>1498</v>
      </c>
      <c r="C4566" s="1">
        <v>45440</v>
      </c>
      <c r="D4566">
        <v>625</v>
      </c>
      <c r="E4566" t="b">
        <v>1</v>
      </c>
      <c r="F4566">
        <v>655</v>
      </c>
      <c r="G4566" t="s">
        <v>33</v>
      </c>
      <c r="H4566" t="s">
        <v>49</v>
      </c>
      <c r="I4566" t="s">
        <v>2116</v>
      </c>
    </row>
    <row r="4567" spans="1:9" x14ac:dyDescent="0.35">
      <c r="A4567">
        <v>1809540</v>
      </c>
      <c r="B4567" t="s">
        <v>1498</v>
      </c>
      <c r="C4567" s="1">
        <v>45440</v>
      </c>
      <c r="D4567">
        <v>625</v>
      </c>
      <c r="E4567" t="b">
        <v>1</v>
      </c>
      <c r="F4567">
        <v>655</v>
      </c>
      <c r="G4567" t="s">
        <v>33</v>
      </c>
      <c r="H4567" t="s">
        <v>792</v>
      </c>
      <c r="I4567" t="s">
        <v>2116</v>
      </c>
    </row>
    <row r="4568" spans="1:9" x14ac:dyDescent="0.35">
      <c r="A4568">
        <v>1809540</v>
      </c>
      <c r="B4568" t="s">
        <v>1498</v>
      </c>
      <c r="C4568" s="1">
        <v>45440</v>
      </c>
      <c r="D4568">
        <v>625</v>
      </c>
      <c r="E4568" t="b">
        <v>1</v>
      </c>
      <c r="F4568">
        <v>655</v>
      </c>
      <c r="G4568" t="s">
        <v>33</v>
      </c>
      <c r="H4568" t="s">
        <v>346</v>
      </c>
      <c r="I4568" t="s">
        <v>2116</v>
      </c>
    </row>
    <row r="4569" spans="1:9" x14ac:dyDescent="0.35">
      <c r="A4569">
        <v>1809540</v>
      </c>
      <c r="B4569" t="s">
        <v>1498</v>
      </c>
      <c r="C4569" s="1">
        <v>45440</v>
      </c>
      <c r="D4569">
        <v>625</v>
      </c>
      <c r="E4569" t="b">
        <v>1</v>
      </c>
      <c r="F4569">
        <v>655</v>
      </c>
      <c r="G4569" t="s">
        <v>33</v>
      </c>
      <c r="H4569" t="s">
        <v>239</v>
      </c>
      <c r="I4569" t="s">
        <v>2117</v>
      </c>
    </row>
    <row r="4570" spans="1:9" x14ac:dyDescent="0.35">
      <c r="A4570">
        <v>1809540</v>
      </c>
      <c r="B4570" t="s">
        <v>1498</v>
      </c>
      <c r="C4570" s="1">
        <v>45440</v>
      </c>
      <c r="D4570">
        <v>625</v>
      </c>
      <c r="E4570" t="b">
        <v>1</v>
      </c>
      <c r="F4570">
        <v>655</v>
      </c>
      <c r="G4570" t="s">
        <v>33</v>
      </c>
      <c r="H4570" t="s">
        <v>132</v>
      </c>
      <c r="I4570" t="s">
        <v>2117</v>
      </c>
    </row>
    <row r="4571" spans="1:9" x14ac:dyDescent="0.35">
      <c r="A4571">
        <v>1809540</v>
      </c>
      <c r="B4571" t="s">
        <v>1498</v>
      </c>
      <c r="C4571" s="1">
        <v>45440</v>
      </c>
      <c r="D4571">
        <v>625</v>
      </c>
      <c r="E4571" t="b">
        <v>1</v>
      </c>
      <c r="F4571">
        <v>655</v>
      </c>
      <c r="G4571" t="s">
        <v>33</v>
      </c>
      <c r="H4571" t="s">
        <v>124</v>
      </c>
      <c r="I4571" t="s">
        <v>2117</v>
      </c>
    </row>
    <row r="4572" spans="1:9" x14ac:dyDescent="0.35">
      <c r="A4572">
        <v>1809540</v>
      </c>
      <c r="B4572" t="s">
        <v>1498</v>
      </c>
      <c r="C4572" s="1">
        <v>45440</v>
      </c>
      <c r="D4572">
        <v>625</v>
      </c>
      <c r="E4572" t="b">
        <v>1</v>
      </c>
      <c r="F4572">
        <v>655</v>
      </c>
      <c r="G4572" t="s">
        <v>33</v>
      </c>
      <c r="H4572" t="s">
        <v>1510</v>
      </c>
      <c r="I4572" t="s">
        <v>2117</v>
      </c>
    </row>
    <row r="4573" spans="1:9" x14ac:dyDescent="0.35">
      <c r="A4573">
        <v>1211020</v>
      </c>
      <c r="B4573" t="s">
        <v>1500</v>
      </c>
      <c r="C4573" s="1">
        <v>45918</v>
      </c>
      <c r="D4573">
        <v>625</v>
      </c>
      <c r="E4573" t="b">
        <v>0</v>
      </c>
      <c r="F4573">
        <v>655</v>
      </c>
      <c r="G4573" t="s">
        <v>513</v>
      </c>
      <c r="H4573" t="s">
        <v>49</v>
      </c>
      <c r="I4573" t="s">
        <v>2116</v>
      </c>
    </row>
    <row r="4574" spans="1:9" x14ac:dyDescent="0.35">
      <c r="A4574">
        <v>1211020</v>
      </c>
      <c r="B4574" t="s">
        <v>1500</v>
      </c>
      <c r="C4574" s="1">
        <v>45918</v>
      </c>
      <c r="D4574">
        <v>625</v>
      </c>
      <c r="E4574" t="b">
        <v>0</v>
      </c>
      <c r="F4574">
        <v>655</v>
      </c>
      <c r="G4574" t="s">
        <v>513</v>
      </c>
      <c r="H4574" t="s">
        <v>792</v>
      </c>
      <c r="I4574" t="s">
        <v>2116</v>
      </c>
    </row>
    <row r="4575" spans="1:9" x14ac:dyDescent="0.35">
      <c r="A4575">
        <v>1211020</v>
      </c>
      <c r="B4575" t="s">
        <v>1500</v>
      </c>
      <c r="C4575" s="1">
        <v>45918</v>
      </c>
      <c r="D4575">
        <v>625</v>
      </c>
      <c r="E4575" t="b">
        <v>0</v>
      </c>
      <c r="F4575">
        <v>655</v>
      </c>
      <c r="G4575" t="s">
        <v>513</v>
      </c>
      <c r="H4575" t="s">
        <v>346</v>
      </c>
      <c r="I4575" t="s">
        <v>2116</v>
      </c>
    </row>
    <row r="4576" spans="1:9" x14ac:dyDescent="0.35">
      <c r="A4576">
        <v>1211020</v>
      </c>
      <c r="B4576" t="s">
        <v>1500</v>
      </c>
      <c r="C4576" s="1">
        <v>45918</v>
      </c>
      <c r="D4576">
        <v>625</v>
      </c>
      <c r="E4576" t="b">
        <v>0</v>
      </c>
      <c r="F4576">
        <v>655</v>
      </c>
      <c r="G4576" t="s">
        <v>513</v>
      </c>
      <c r="H4576" t="s">
        <v>239</v>
      </c>
      <c r="I4576" t="s">
        <v>2116</v>
      </c>
    </row>
    <row r="4577" spans="1:9" x14ac:dyDescent="0.35">
      <c r="A4577">
        <v>1211020</v>
      </c>
      <c r="B4577" t="s">
        <v>1500</v>
      </c>
      <c r="C4577" s="1">
        <v>45918</v>
      </c>
      <c r="D4577">
        <v>625</v>
      </c>
      <c r="E4577" t="b">
        <v>0</v>
      </c>
      <c r="F4577">
        <v>655</v>
      </c>
      <c r="G4577" t="s">
        <v>513</v>
      </c>
      <c r="H4577" t="s">
        <v>132</v>
      </c>
      <c r="I4577" t="s">
        <v>2117</v>
      </c>
    </row>
    <row r="4578" spans="1:9" x14ac:dyDescent="0.35">
      <c r="A4578">
        <v>1211020</v>
      </c>
      <c r="B4578" t="s">
        <v>1500</v>
      </c>
      <c r="C4578" s="1">
        <v>45918</v>
      </c>
      <c r="D4578">
        <v>625</v>
      </c>
      <c r="E4578" t="b">
        <v>0</v>
      </c>
      <c r="F4578">
        <v>655</v>
      </c>
      <c r="G4578" t="s">
        <v>513</v>
      </c>
      <c r="H4578" t="s">
        <v>124</v>
      </c>
      <c r="I4578" t="s">
        <v>2117</v>
      </c>
    </row>
    <row r="4579" spans="1:9" x14ac:dyDescent="0.35">
      <c r="A4579">
        <v>1211020</v>
      </c>
      <c r="B4579" t="s">
        <v>1500</v>
      </c>
      <c r="C4579" s="1">
        <v>45918</v>
      </c>
      <c r="D4579">
        <v>625</v>
      </c>
      <c r="E4579" t="b">
        <v>0</v>
      </c>
      <c r="F4579">
        <v>655</v>
      </c>
      <c r="G4579" t="s">
        <v>513</v>
      </c>
      <c r="H4579" t="s">
        <v>1510</v>
      </c>
      <c r="I4579" t="s">
        <v>2117</v>
      </c>
    </row>
    <row r="4580" spans="1:9" x14ac:dyDescent="0.35">
      <c r="A4580">
        <v>3900</v>
      </c>
      <c r="B4580" t="s">
        <v>1503</v>
      </c>
      <c r="C4580" s="1">
        <v>39015</v>
      </c>
      <c r="D4580">
        <v>620</v>
      </c>
      <c r="E4580" t="b">
        <v>1</v>
      </c>
      <c r="F4580">
        <v>657</v>
      </c>
      <c r="G4580" t="s">
        <v>2083</v>
      </c>
      <c r="H4580" t="s">
        <v>49</v>
      </c>
      <c r="I4580" t="s">
        <v>2117</v>
      </c>
    </row>
    <row r="4581" spans="1:9" x14ac:dyDescent="0.35">
      <c r="A4581">
        <v>3900</v>
      </c>
      <c r="B4581" t="s">
        <v>1503</v>
      </c>
      <c r="C4581" s="1">
        <v>39015</v>
      </c>
      <c r="D4581">
        <v>620</v>
      </c>
      <c r="E4581" t="b">
        <v>1</v>
      </c>
      <c r="F4581">
        <v>657</v>
      </c>
      <c r="G4581" t="s">
        <v>2083</v>
      </c>
      <c r="H4581" t="s">
        <v>792</v>
      </c>
      <c r="I4581" t="s">
        <v>2117</v>
      </c>
    </row>
    <row r="4582" spans="1:9" x14ac:dyDescent="0.35">
      <c r="A4582">
        <v>3900</v>
      </c>
      <c r="B4582" t="s">
        <v>1503</v>
      </c>
      <c r="C4582" s="1">
        <v>39015</v>
      </c>
      <c r="D4582">
        <v>620</v>
      </c>
      <c r="E4582" t="b">
        <v>1</v>
      </c>
      <c r="F4582">
        <v>657</v>
      </c>
      <c r="G4582" t="s">
        <v>2083</v>
      </c>
      <c r="H4582" t="s">
        <v>346</v>
      </c>
      <c r="I4582" t="s">
        <v>2117</v>
      </c>
    </row>
    <row r="4583" spans="1:9" x14ac:dyDescent="0.35">
      <c r="A4583">
        <v>3900</v>
      </c>
      <c r="B4583" t="s">
        <v>1503</v>
      </c>
      <c r="C4583" s="1">
        <v>39015</v>
      </c>
      <c r="D4583">
        <v>620</v>
      </c>
      <c r="E4583" t="b">
        <v>1</v>
      </c>
      <c r="F4583">
        <v>657</v>
      </c>
      <c r="G4583" t="s">
        <v>2083</v>
      </c>
      <c r="H4583" t="s">
        <v>239</v>
      </c>
      <c r="I4583" t="s">
        <v>2117</v>
      </c>
    </row>
    <row r="4584" spans="1:9" x14ac:dyDescent="0.35">
      <c r="A4584">
        <v>3900</v>
      </c>
      <c r="B4584" t="s">
        <v>1503</v>
      </c>
      <c r="C4584" s="1">
        <v>39015</v>
      </c>
      <c r="D4584">
        <v>620</v>
      </c>
      <c r="E4584" t="b">
        <v>1</v>
      </c>
      <c r="F4584">
        <v>657</v>
      </c>
      <c r="G4584" t="s">
        <v>2083</v>
      </c>
      <c r="H4584" t="s">
        <v>132</v>
      </c>
      <c r="I4584" t="s">
        <v>2117</v>
      </c>
    </row>
    <row r="4585" spans="1:9" x14ac:dyDescent="0.35">
      <c r="A4585">
        <v>3900</v>
      </c>
      <c r="B4585" t="s">
        <v>1503</v>
      </c>
      <c r="C4585" s="1">
        <v>39015</v>
      </c>
      <c r="D4585">
        <v>620</v>
      </c>
      <c r="E4585" t="b">
        <v>1</v>
      </c>
      <c r="F4585">
        <v>657</v>
      </c>
      <c r="G4585" t="s">
        <v>2083</v>
      </c>
      <c r="H4585" t="s">
        <v>124</v>
      </c>
      <c r="I4585" t="s">
        <v>2116</v>
      </c>
    </row>
    <row r="4586" spans="1:9" x14ac:dyDescent="0.35">
      <c r="A4586">
        <v>3900</v>
      </c>
      <c r="B4586" t="s">
        <v>1503</v>
      </c>
      <c r="C4586" s="1">
        <v>39015</v>
      </c>
      <c r="D4586">
        <v>620</v>
      </c>
      <c r="E4586" t="b">
        <v>1</v>
      </c>
      <c r="F4586">
        <v>657</v>
      </c>
      <c r="G4586" t="s">
        <v>2083</v>
      </c>
      <c r="H4586" t="s">
        <v>1510</v>
      </c>
      <c r="I4586" t="s">
        <v>2117</v>
      </c>
    </row>
    <row r="4587" spans="1:9" x14ac:dyDescent="0.35">
      <c r="A4587">
        <v>729040</v>
      </c>
      <c r="B4587" t="s">
        <v>1504</v>
      </c>
      <c r="C4587" s="1">
        <v>45169</v>
      </c>
      <c r="D4587">
        <v>620</v>
      </c>
      <c r="E4587" t="b">
        <v>0</v>
      </c>
      <c r="F4587">
        <v>657</v>
      </c>
      <c r="G4587" t="s">
        <v>304</v>
      </c>
      <c r="H4587" t="s">
        <v>49</v>
      </c>
      <c r="I4587" t="s">
        <v>2116</v>
      </c>
    </row>
    <row r="4588" spans="1:9" x14ac:dyDescent="0.35">
      <c r="A4588">
        <v>729040</v>
      </c>
      <c r="B4588" t="s">
        <v>1504</v>
      </c>
      <c r="C4588" s="1">
        <v>45169</v>
      </c>
      <c r="D4588">
        <v>620</v>
      </c>
      <c r="E4588" t="b">
        <v>0</v>
      </c>
      <c r="F4588">
        <v>657</v>
      </c>
      <c r="G4588" t="s">
        <v>304</v>
      </c>
      <c r="H4588" t="s">
        <v>792</v>
      </c>
      <c r="I4588" t="s">
        <v>2117</v>
      </c>
    </row>
    <row r="4589" spans="1:9" x14ac:dyDescent="0.35">
      <c r="A4589">
        <v>729040</v>
      </c>
      <c r="B4589" t="s">
        <v>1504</v>
      </c>
      <c r="C4589" s="1">
        <v>45169</v>
      </c>
      <c r="D4589">
        <v>620</v>
      </c>
      <c r="E4589" t="b">
        <v>0</v>
      </c>
      <c r="F4589">
        <v>657</v>
      </c>
      <c r="G4589" t="s">
        <v>304</v>
      </c>
      <c r="H4589" t="s">
        <v>346</v>
      </c>
      <c r="I4589" t="s">
        <v>2117</v>
      </c>
    </row>
    <row r="4590" spans="1:9" x14ac:dyDescent="0.35">
      <c r="A4590">
        <v>729040</v>
      </c>
      <c r="B4590" t="s">
        <v>1504</v>
      </c>
      <c r="C4590" s="1">
        <v>45169</v>
      </c>
      <c r="D4590">
        <v>620</v>
      </c>
      <c r="E4590" t="b">
        <v>0</v>
      </c>
      <c r="F4590">
        <v>657</v>
      </c>
      <c r="G4590" t="s">
        <v>304</v>
      </c>
      <c r="H4590" t="s">
        <v>239</v>
      </c>
      <c r="I4590" t="s">
        <v>2117</v>
      </c>
    </row>
    <row r="4591" spans="1:9" x14ac:dyDescent="0.35">
      <c r="A4591">
        <v>729040</v>
      </c>
      <c r="B4591" t="s">
        <v>1504</v>
      </c>
      <c r="C4591" s="1">
        <v>45169</v>
      </c>
      <c r="D4591">
        <v>620</v>
      </c>
      <c r="E4591" t="b">
        <v>0</v>
      </c>
      <c r="F4591">
        <v>657</v>
      </c>
      <c r="G4591" t="s">
        <v>304</v>
      </c>
      <c r="H4591" t="s">
        <v>132</v>
      </c>
      <c r="I4591" t="s">
        <v>2116</v>
      </c>
    </row>
    <row r="4592" spans="1:9" x14ac:dyDescent="0.35">
      <c r="A4592">
        <v>729040</v>
      </c>
      <c r="B4592" t="s">
        <v>1504</v>
      </c>
      <c r="C4592" s="1">
        <v>45169</v>
      </c>
      <c r="D4592">
        <v>620</v>
      </c>
      <c r="E4592" t="b">
        <v>0</v>
      </c>
      <c r="F4592">
        <v>657</v>
      </c>
      <c r="G4592" t="s">
        <v>304</v>
      </c>
      <c r="H4592" t="s">
        <v>124</v>
      </c>
      <c r="I4592" t="s">
        <v>2117</v>
      </c>
    </row>
    <row r="4593" spans="1:9" x14ac:dyDescent="0.35">
      <c r="A4593">
        <v>729040</v>
      </c>
      <c r="B4593" t="s">
        <v>1504</v>
      </c>
      <c r="C4593" s="1">
        <v>45169</v>
      </c>
      <c r="D4593">
        <v>620</v>
      </c>
      <c r="E4593" t="b">
        <v>0</v>
      </c>
      <c r="F4593">
        <v>657</v>
      </c>
      <c r="G4593" t="s">
        <v>304</v>
      </c>
      <c r="H4593" t="s">
        <v>1510</v>
      </c>
      <c r="I4593" t="s">
        <v>2117</v>
      </c>
    </row>
    <row r="4594" spans="1:9" x14ac:dyDescent="0.35">
      <c r="A4594">
        <v>1284410</v>
      </c>
      <c r="B4594" t="s">
        <v>1505</v>
      </c>
      <c r="C4594" s="1">
        <v>43970</v>
      </c>
      <c r="D4594">
        <v>619</v>
      </c>
      <c r="E4594" t="b">
        <v>0</v>
      </c>
      <c r="F4594">
        <v>659</v>
      </c>
      <c r="G4594" t="s">
        <v>40</v>
      </c>
      <c r="H4594" t="s">
        <v>49</v>
      </c>
      <c r="I4594" t="s">
        <v>2117</v>
      </c>
    </row>
    <row r="4595" spans="1:9" x14ac:dyDescent="0.35">
      <c r="A4595">
        <v>1284410</v>
      </c>
      <c r="B4595" t="s">
        <v>1505</v>
      </c>
      <c r="C4595" s="1">
        <v>43970</v>
      </c>
      <c r="D4595">
        <v>619</v>
      </c>
      <c r="E4595" t="b">
        <v>0</v>
      </c>
      <c r="F4595">
        <v>659</v>
      </c>
      <c r="G4595" t="s">
        <v>40</v>
      </c>
      <c r="H4595" t="s">
        <v>792</v>
      </c>
      <c r="I4595" t="s">
        <v>2117</v>
      </c>
    </row>
    <row r="4596" spans="1:9" x14ac:dyDescent="0.35">
      <c r="A4596">
        <v>1284410</v>
      </c>
      <c r="B4596" t="s">
        <v>1505</v>
      </c>
      <c r="C4596" s="1">
        <v>43970</v>
      </c>
      <c r="D4596">
        <v>619</v>
      </c>
      <c r="E4596" t="b">
        <v>0</v>
      </c>
      <c r="F4596">
        <v>659</v>
      </c>
      <c r="G4596" t="s">
        <v>40</v>
      </c>
      <c r="H4596" t="s">
        <v>346</v>
      </c>
      <c r="I4596" t="s">
        <v>2117</v>
      </c>
    </row>
    <row r="4597" spans="1:9" x14ac:dyDescent="0.35">
      <c r="A4597">
        <v>1284410</v>
      </c>
      <c r="B4597" t="s">
        <v>1505</v>
      </c>
      <c r="C4597" s="1">
        <v>43970</v>
      </c>
      <c r="D4597">
        <v>619</v>
      </c>
      <c r="E4597" t="b">
        <v>0</v>
      </c>
      <c r="F4597">
        <v>659</v>
      </c>
      <c r="G4597" t="s">
        <v>40</v>
      </c>
      <c r="H4597" t="s">
        <v>239</v>
      </c>
      <c r="I4597" t="s">
        <v>2117</v>
      </c>
    </row>
    <row r="4598" spans="1:9" x14ac:dyDescent="0.35">
      <c r="A4598">
        <v>1284410</v>
      </c>
      <c r="B4598" t="s">
        <v>1505</v>
      </c>
      <c r="C4598" s="1">
        <v>43970</v>
      </c>
      <c r="D4598">
        <v>619</v>
      </c>
      <c r="E4598" t="b">
        <v>0</v>
      </c>
      <c r="F4598">
        <v>659</v>
      </c>
      <c r="G4598" t="s">
        <v>40</v>
      </c>
      <c r="H4598" t="s">
        <v>132</v>
      </c>
      <c r="I4598" t="s">
        <v>2116</v>
      </c>
    </row>
    <row r="4599" spans="1:9" x14ac:dyDescent="0.35">
      <c r="A4599">
        <v>1284410</v>
      </c>
      <c r="B4599" t="s">
        <v>1505</v>
      </c>
      <c r="C4599" s="1">
        <v>43970</v>
      </c>
      <c r="D4599">
        <v>619</v>
      </c>
      <c r="E4599" t="b">
        <v>0</v>
      </c>
      <c r="F4599">
        <v>659</v>
      </c>
      <c r="G4599" t="s">
        <v>40</v>
      </c>
      <c r="H4599" t="s">
        <v>124</v>
      </c>
      <c r="I4599" t="s">
        <v>2116</v>
      </c>
    </row>
    <row r="4600" spans="1:9" x14ac:dyDescent="0.35">
      <c r="A4600">
        <v>1284410</v>
      </c>
      <c r="B4600" t="s">
        <v>1505</v>
      </c>
      <c r="C4600" s="1">
        <v>43970</v>
      </c>
      <c r="D4600">
        <v>619</v>
      </c>
      <c r="E4600" t="b">
        <v>0</v>
      </c>
      <c r="F4600">
        <v>659</v>
      </c>
      <c r="G4600" t="s">
        <v>40</v>
      </c>
      <c r="H4600" t="s">
        <v>1510</v>
      </c>
      <c r="I4600" t="s">
        <v>2116</v>
      </c>
    </row>
    <row r="4601" spans="1:9" x14ac:dyDescent="0.35">
      <c r="A4601">
        <v>1118310</v>
      </c>
      <c r="B4601" t="s">
        <v>1508</v>
      </c>
      <c r="C4601" s="1">
        <v>44708</v>
      </c>
      <c r="D4601">
        <v>619</v>
      </c>
      <c r="E4601" t="b">
        <v>1</v>
      </c>
      <c r="F4601">
        <v>659</v>
      </c>
      <c r="G4601" t="s">
        <v>119</v>
      </c>
      <c r="H4601" t="s">
        <v>49</v>
      </c>
      <c r="I4601" t="s">
        <v>2117</v>
      </c>
    </row>
    <row r="4602" spans="1:9" x14ac:dyDescent="0.35">
      <c r="A4602">
        <v>1118310</v>
      </c>
      <c r="B4602" t="s">
        <v>1508</v>
      </c>
      <c r="C4602" s="1">
        <v>44708</v>
      </c>
      <c r="D4602">
        <v>619</v>
      </c>
      <c r="E4602" t="b">
        <v>1</v>
      </c>
      <c r="F4602">
        <v>659</v>
      </c>
      <c r="G4602" t="s">
        <v>119</v>
      </c>
      <c r="H4602" t="s">
        <v>792</v>
      </c>
      <c r="I4602" t="s">
        <v>2117</v>
      </c>
    </row>
    <row r="4603" spans="1:9" x14ac:dyDescent="0.35">
      <c r="A4603">
        <v>1118310</v>
      </c>
      <c r="B4603" t="s">
        <v>1508</v>
      </c>
      <c r="C4603" s="1">
        <v>44708</v>
      </c>
      <c r="D4603">
        <v>619</v>
      </c>
      <c r="E4603" t="b">
        <v>1</v>
      </c>
      <c r="F4603">
        <v>659</v>
      </c>
      <c r="G4603" t="s">
        <v>119</v>
      </c>
      <c r="H4603" t="s">
        <v>346</v>
      </c>
      <c r="I4603" t="s">
        <v>2117</v>
      </c>
    </row>
    <row r="4604" spans="1:9" x14ac:dyDescent="0.35">
      <c r="A4604">
        <v>1118310</v>
      </c>
      <c r="B4604" t="s">
        <v>1508</v>
      </c>
      <c r="C4604" s="1">
        <v>44708</v>
      </c>
      <c r="D4604">
        <v>619</v>
      </c>
      <c r="E4604" t="b">
        <v>1</v>
      </c>
      <c r="F4604">
        <v>659</v>
      </c>
      <c r="G4604" t="s">
        <v>119</v>
      </c>
      <c r="H4604" t="s">
        <v>239</v>
      </c>
      <c r="I4604" t="s">
        <v>2117</v>
      </c>
    </row>
    <row r="4605" spans="1:9" x14ac:dyDescent="0.35">
      <c r="A4605">
        <v>1118310</v>
      </c>
      <c r="B4605" t="s">
        <v>1508</v>
      </c>
      <c r="C4605" s="1">
        <v>44708</v>
      </c>
      <c r="D4605">
        <v>619</v>
      </c>
      <c r="E4605" t="b">
        <v>1</v>
      </c>
      <c r="F4605">
        <v>659</v>
      </c>
      <c r="G4605" t="s">
        <v>119</v>
      </c>
      <c r="H4605" t="s">
        <v>132</v>
      </c>
      <c r="I4605" t="s">
        <v>2117</v>
      </c>
    </row>
    <row r="4606" spans="1:9" x14ac:dyDescent="0.35">
      <c r="A4606">
        <v>1118310</v>
      </c>
      <c r="B4606" t="s">
        <v>1508</v>
      </c>
      <c r="C4606" s="1">
        <v>44708</v>
      </c>
      <c r="D4606">
        <v>619</v>
      </c>
      <c r="E4606" t="b">
        <v>1</v>
      </c>
      <c r="F4606">
        <v>659</v>
      </c>
      <c r="G4606" t="s">
        <v>119</v>
      </c>
      <c r="H4606" t="s">
        <v>124</v>
      </c>
      <c r="I4606" t="s">
        <v>2117</v>
      </c>
    </row>
    <row r="4607" spans="1:9" x14ac:dyDescent="0.35">
      <c r="A4607">
        <v>1118310</v>
      </c>
      <c r="B4607" t="s">
        <v>1508</v>
      </c>
      <c r="C4607" s="1">
        <v>44708</v>
      </c>
      <c r="D4607">
        <v>619</v>
      </c>
      <c r="E4607" t="b">
        <v>1</v>
      </c>
      <c r="F4607">
        <v>659</v>
      </c>
      <c r="G4607" t="s">
        <v>119</v>
      </c>
      <c r="H4607" t="s">
        <v>1510</v>
      </c>
      <c r="I4607" t="s">
        <v>2116</v>
      </c>
    </row>
    <row r="4608" spans="1:9" x14ac:dyDescent="0.35">
      <c r="A4608">
        <v>1846380</v>
      </c>
      <c r="B4608" t="s">
        <v>1511</v>
      </c>
      <c r="C4608" s="1">
        <v>44896</v>
      </c>
      <c r="D4608">
        <v>618</v>
      </c>
      <c r="E4608" t="b">
        <v>0</v>
      </c>
      <c r="F4608">
        <v>661</v>
      </c>
      <c r="G4608" t="s">
        <v>486</v>
      </c>
      <c r="H4608" t="s">
        <v>49</v>
      </c>
      <c r="I4608" t="s">
        <v>2116</v>
      </c>
    </row>
    <row r="4609" spans="1:9" x14ac:dyDescent="0.35">
      <c r="A4609">
        <v>1846380</v>
      </c>
      <c r="B4609" t="s">
        <v>1511</v>
      </c>
      <c r="C4609" s="1">
        <v>44896</v>
      </c>
      <c r="D4609">
        <v>618</v>
      </c>
      <c r="E4609" t="b">
        <v>0</v>
      </c>
      <c r="F4609">
        <v>661</v>
      </c>
      <c r="G4609" t="s">
        <v>486</v>
      </c>
      <c r="H4609" t="s">
        <v>792</v>
      </c>
      <c r="I4609" t="s">
        <v>2117</v>
      </c>
    </row>
    <row r="4610" spans="1:9" x14ac:dyDescent="0.35">
      <c r="A4610">
        <v>1846380</v>
      </c>
      <c r="B4610" t="s">
        <v>1511</v>
      </c>
      <c r="C4610" s="1">
        <v>44896</v>
      </c>
      <c r="D4610">
        <v>618</v>
      </c>
      <c r="E4610" t="b">
        <v>0</v>
      </c>
      <c r="F4610">
        <v>661</v>
      </c>
      <c r="G4610" t="s">
        <v>486</v>
      </c>
      <c r="H4610" t="s">
        <v>346</v>
      </c>
      <c r="I4610" t="s">
        <v>2117</v>
      </c>
    </row>
    <row r="4611" spans="1:9" x14ac:dyDescent="0.35">
      <c r="A4611">
        <v>1846380</v>
      </c>
      <c r="B4611" t="s">
        <v>1511</v>
      </c>
      <c r="C4611" s="1">
        <v>44896</v>
      </c>
      <c r="D4611">
        <v>618</v>
      </c>
      <c r="E4611" t="b">
        <v>0</v>
      </c>
      <c r="F4611">
        <v>661</v>
      </c>
      <c r="G4611" t="s">
        <v>486</v>
      </c>
      <c r="H4611" t="s">
        <v>239</v>
      </c>
      <c r="I4611" t="s">
        <v>2117</v>
      </c>
    </row>
    <row r="4612" spans="1:9" x14ac:dyDescent="0.35">
      <c r="A4612">
        <v>1846380</v>
      </c>
      <c r="B4612" t="s">
        <v>1511</v>
      </c>
      <c r="C4612" s="1">
        <v>44896</v>
      </c>
      <c r="D4612">
        <v>618</v>
      </c>
      <c r="E4612" t="b">
        <v>0</v>
      </c>
      <c r="F4612">
        <v>661</v>
      </c>
      <c r="G4612" t="s">
        <v>486</v>
      </c>
      <c r="H4612" t="s">
        <v>132</v>
      </c>
      <c r="I4612" t="s">
        <v>2117</v>
      </c>
    </row>
    <row r="4613" spans="1:9" x14ac:dyDescent="0.35">
      <c r="A4613">
        <v>1846380</v>
      </c>
      <c r="B4613" t="s">
        <v>1511</v>
      </c>
      <c r="C4613" s="1">
        <v>44896</v>
      </c>
      <c r="D4613">
        <v>618</v>
      </c>
      <c r="E4613" t="b">
        <v>0</v>
      </c>
      <c r="F4613">
        <v>661</v>
      </c>
      <c r="G4613" t="s">
        <v>486</v>
      </c>
      <c r="H4613" t="s">
        <v>124</v>
      </c>
      <c r="I4613" t="s">
        <v>2117</v>
      </c>
    </row>
    <row r="4614" spans="1:9" x14ac:dyDescent="0.35">
      <c r="A4614">
        <v>1846380</v>
      </c>
      <c r="B4614" t="s">
        <v>1511</v>
      </c>
      <c r="C4614" s="1">
        <v>44896</v>
      </c>
      <c r="D4614">
        <v>618</v>
      </c>
      <c r="E4614" t="b">
        <v>0</v>
      </c>
      <c r="F4614">
        <v>661</v>
      </c>
      <c r="G4614" t="s">
        <v>486</v>
      </c>
      <c r="H4614" t="s">
        <v>1510</v>
      </c>
      <c r="I4614" t="s">
        <v>2117</v>
      </c>
    </row>
    <row r="4615" spans="1:9" x14ac:dyDescent="0.35">
      <c r="A4615">
        <v>445220</v>
      </c>
      <c r="B4615" t="s">
        <v>1514</v>
      </c>
      <c r="C4615" s="1">
        <v>43899</v>
      </c>
      <c r="D4615">
        <v>618</v>
      </c>
      <c r="E4615" t="b">
        <v>1</v>
      </c>
      <c r="F4615">
        <v>661</v>
      </c>
      <c r="G4615" t="s">
        <v>304</v>
      </c>
      <c r="H4615" t="s">
        <v>49</v>
      </c>
      <c r="I4615" t="s">
        <v>2116</v>
      </c>
    </row>
    <row r="4616" spans="1:9" x14ac:dyDescent="0.35">
      <c r="A4616">
        <v>445220</v>
      </c>
      <c r="B4616" t="s">
        <v>1514</v>
      </c>
      <c r="C4616" s="1">
        <v>43899</v>
      </c>
      <c r="D4616">
        <v>618</v>
      </c>
      <c r="E4616" t="b">
        <v>1</v>
      </c>
      <c r="F4616">
        <v>661</v>
      </c>
      <c r="G4616" t="s">
        <v>304</v>
      </c>
      <c r="H4616" t="s">
        <v>792</v>
      </c>
      <c r="I4616" t="s">
        <v>2116</v>
      </c>
    </row>
    <row r="4617" spans="1:9" x14ac:dyDescent="0.35">
      <c r="A4617">
        <v>445220</v>
      </c>
      <c r="B4617" t="s">
        <v>1514</v>
      </c>
      <c r="C4617" s="1">
        <v>43899</v>
      </c>
      <c r="D4617">
        <v>618</v>
      </c>
      <c r="E4617" t="b">
        <v>1</v>
      </c>
      <c r="F4617">
        <v>661</v>
      </c>
      <c r="G4617" t="s">
        <v>304</v>
      </c>
      <c r="H4617" t="s">
        <v>346</v>
      </c>
      <c r="I4617" t="s">
        <v>2117</v>
      </c>
    </row>
    <row r="4618" spans="1:9" x14ac:dyDescent="0.35">
      <c r="A4618">
        <v>445220</v>
      </c>
      <c r="B4618" t="s">
        <v>1514</v>
      </c>
      <c r="C4618" s="1">
        <v>43899</v>
      </c>
      <c r="D4618">
        <v>618</v>
      </c>
      <c r="E4618" t="b">
        <v>1</v>
      </c>
      <c r="F4618">
        <v>661</v>
      </c>
      <c r="G4618" t="s">
        <v>304</v>
      </c>
      <c r="H4618" t="s">
        <v>239</v>
      </c>
      <c r="I4618" t="s">
        <v>2116</v>
      </c>
    </row>
    <row r="4619" spans="1:9" x14ac:dyDescent="0.35">
      <c r="A4619">
        <v>445220</v>
      </c>
      <c r="B4619" t="s">
        <v>1514</v>
      </c>
      <c r="C4619" s="1">
        <v>43899</v>
      </c>
      <c r="D4619">
        <v>618</v>
      </c>
      <c r="E4619" t="b">
        <v>1</v>
      </c>
      <c r="F4619">
        <v>661</v>
      </c>
      <c r="G4619" t="s">
        <v>304</v>
      </c>
      <c r="H4619" t="s">
        <v>132</v>
      </c>
      <c r="I4619" t="s">
        <v>2117</v>
      </c>
    </row>
    <row r="4620" spans="1:9" x14ac:dyDescent="0.35">
      <c r="A4620">
        <v>445220</v>
      </c>
      <c r="B4620" t="s">
        <v>1514</v>
      </c>
      <c r="C4620" s="1">
        <v>43899</v>
      </c>
      <c r="D4620">
        <v>618</v>
      </c>
      <c r="E4620" t="b">
        <v>1</v>
      </c>
      <c r="F4620">
        <v>661</v>
      </c>
      <c r="G4620" t="s">
        <v>304</v>
      </c>
      <c r="H4620" t="s">
        <v>124</v>
      </c>
      <c r="I4620" t="s">
        <v>2117</v>
      </c>
    </row>
    <row r="4621" spans="1:9" x14ac:dyDescent="0.35">
      <c r="A4621">
        <v>445220</v>
      </c>
      <c r="B4621" t="s">
        <v>1514</v>
      </c>
      <c r="C4621" s="1">
        <v>43899</v>
      </c>
      <c r="D4621">
        <v>618</v>
      </c>
      <c r="E4621" t="b">
        <v>1</v>
      </c>
      <c r="F4621">
        <v>661</v>
      </c>
      <c r="G4621" t="s">
        <v>304</v>
      </c>
      <c r="H4621" t="s">
        <v>1510</v>
      </c>
      <c r="I4621" t="s">
        <v>2117</v>
      </c>
    </row>
    <row r="4622" spans="1:9" x14ac:dyDescent="0.35">
      <c r="A4622">
        <v>203140</v>
      </c>
      <c r="B4622" t="s">
        <v>1516</v>
      </c>
      <c r="C4622" s="1">
        <v>41232</v>
      </c>
      <c r="D4622">
        <v>618</v>
      </c>
      <c r="E4622" t="b">
        <v>0</v>
      </c>
      <c r="F4622">
        <v>661</v>
      </c>
      <c r="G4622" t="s">
        <v>2084</v>
      </c>
      <c r="H4622" t="s">
        <v>49</v>
      </c>
      <c r="I4622" t="s">
        <v>2116</v>
      </c>
    </row>
    <row r="4623" spans="1:9" x14ac:dyDescent="0.35">
      <c r="A4623">
        <v>203140</v>
      </c>
      <c r="B4623" t="s">
        <v>1516</v>
      </c>
      <c r="C4623" s="1">
        <v>41232</v>
      </c>
      <c r="D4623">
        <v>618</v>
      </c>
      <c r="E4623" t="b">
        <v>0</v>
      </c>
      <c r="F4623">
        <v>661</v>
      </c>
      <c r="G4623" t="s">
        <v>2084</v>
      </c>
      <c r="H4623" t="s">
        <v>792</v>
      </c>
      <c r="I4623" t="s">
        <v>2117</v>
      </c>
    </row>
    <row r="4624" spans="1:9" x14ac:dyDescent="0.35">
      <c r="A4624">
        <v>203140</v>
      </c>
      <c r="B4624" t="s">
        <v>1516</v>
      </c>
      <c r="C4624" s="1">
        <v>41232</v>
      </c>
      <c r="D4624">
        <v>618</v>
      </c>
      <c r="E4624" t="b">
        <v>0</v>
      </c>
      <c r="F4624">
        <v>661</v>
      </c>
      <c r="G4624" t="s">
        <v>2084</v>
      </c>
      <c r="H4624" t="s">
        <v>346</v>
      </c>
      <c r="I4624" t="s">
        <v>2117</v>
      </c>
    </row>
    <row r="4625" spans="1:9" x14ac:dyDescent="0.35">
      <c r="A4625">
        <v>203140</v>
      </c>
      <c r="B4625" t="s">
        <v>1516</v>
      </c>
      <c r="C4625" s="1">
        <v>41232</v>
      </c>
      <c r="D4625">
        <v>618</v>
      </c>
      <c r="E4625" t="b">
        <v>0</v>
      </c>
      <c r="F4625">
        <v>661</v>
      </c>
      <c r="G4625" t="s">
        <v>2084</v>
      </c>
      <c r="H4625" t="s">
        <v>239</v>
      </c>
      <c r="I4625" t="s">
        <v>2117</v>
      </c>
    </row>
    <row r="4626" spans="1:9" x14ac:dyDescent="0.35">
      <c r="A4626">
        <v>203140</v>
      </c>
      <c r="B4626" t="s">
        <v>1516</v>
      </c>
      <c r="C4626" s="1">
        <v>41232</v>
      </c>
      <c r="D4626">
        <v>618</v>
      </c>
      <c r="E4626" t="b">
        <v>0</v>
      </c>
      <c r="F4626">
        <v>661</v>
      </c>
      <c r="G4626" t="s">
        <v>2084</v>
      </c>
      <c r="H4626" t="s">
        <v>132</v>
      </c>
      <c r="I4626" t="s">
        <v>2117</v>
      </c>
    </row>
    <row r="4627" spans="1:9" x14ac:dyDescent="0.35">
      <c r="A4627">
        <v>203140</v>
      </c>
      <c r="B4627" t="s">
        <v>1516</v>
      </c>
      <c r="C4627" s="1">
        <v>41232</v>
      </c>
      <c r="D4627">
        <v>618</v>
      </c>
      <c r="E4627" t="b">
        <v>0</v>
      </c>
      <c r="F4627">
        <v>661</v>
      </c>
      <c r="G4627" t="s">
        <v>2084</v>
      </c>
      <c r="H4627" t="s">
        <v>124</v>
      </c>
      <c r="I4627" t="s">
        <v>2117</v>
      </c>
    </row>
    <row r="4628" spans="1:9" x14ac:dyDescent="0.35">
      <c r="A4628">
        <v>203140</v>
      </c>
      <c r="B4628" t="s">
        <v>1516</v>
      </c>
      <c r="C4628" s="1">
        <v>41232</v>
      </c>
      <c r="D4628">
        <v>618</v>
      </c>
      <c r="E4628" t="b">
        <v>0</v>
      </c>
      <c r="F4628">
        <v>661</v>
      </c>
      <c r="G4628" t="s">
        <v>2084</v>
      </c>
      <c r="H4628" t="s">
        <v>1510</v>
      </c>
      <c r="I4628" t="s">
        <v>2117</v>
      </c>
    </row>
    <row r="4629" spans="1:9" x14ac:dyDescent="0.35">
      <c r="A4629">
        <v>636480</v>
      </c>
      <c r="B4629" t="s">
        <v>1517</v>
      </c>
      <c r="C4629" s="1">
        <v>42873</v>
      </c>
      <c r="D4629">
        <v>617</v>
      </c>
      <c r="E4629" t="b">
        <v>1</v>
      </c>
      <c r="F4629">
        <v>664</v>
      </c>
      <c r="G4629" t="s">
        <v>110</v>
      </c>
      <c r="H4629" t="s">
        <v>49</v>
      </c>
      <c r="I4629" t="s">
        <v>2116</v>
      </c>
    </row>
    <row r="4630" spans="1:9" x14ac:dyDescent="0.35">
      <c r="A4630">
        <v>636480</v>
      </c>
      <c r="B4630" t="s">
        <v>1517</v>
      </c>
      <c r="C4630" s="1">
        <v>42873</v>
      </c>
      <c r="D4630">
        <v>617</v>
      </c>
      <c r="E4630" t="b">
        <v>1</v>
      </c>
      <c r="F4630">
        <v>664</v>
      </c>
      <c r="G4630" t="s">
        <v>110</v>
      </c>
      <c r="H4630" t="s">
        <v>792</v>
      </c>
      <c r="I4630" t="s">
        <v>2116</v>
      </c>
    </row>
    <row r="4631" spans="1:9" x14ac:dyDescent="0.35">
      <c r="A4631">
        <v>636480</v>
      </c>
      <c r="B4631" t="s">
        <v>1517</v>
      </c>
      <c r="C4631" s="1">
        <v>42873</v>
      </c>
      <c r="D4631">
        <v>617</v>
      </c>
      <c r="E4631" t="b">
        <v>1</v>
      </c>
      <c r="F4631">
        <v>664</v>
      </c>
      <c r="G4631" t="s">
        <v>110</v>
      </c>
      <c r="H4631" t="s">
        <v>346</v>
      </c>
      <c r="I4631" t="s">
        <v>2117</v>
      </c>
    </row>
    <row r="4632" spans="1:9" x14ac:dyDescent="0.35">
      <c r="A4632">
        <v>636480</v>
      </c>
      <c r="B4632" t="s">
        <v>1517</v>
      </c>
      <c r="C4632" s="1">
        <v>42873</v>
      </c>
      <c r="D4632">
        <v>617</v>
      </c>
      <c r="E4632" t="b">
        <v>1</v>
      </c>
      <c r="F4632">
        <v>664</v>
      </c>
      <c r="G4632" t="s">
        <v>110</v>
      </c>
      <c r="H4632" t="s">
        <v>239</v>
      </c>
      <c r="I4632" t="s">
        <v>2117</v>
      </c>
    </row>
    <row r="4633" spans="1:9" x14ac:dyDescent="0.35">
      <c r="A4633">
        <v>636480</v>
      </c>
      <c r="B4633" t="s">
        <v>1517</v>
      </c>
      <c r="C4633" s="1">
        <v>42873</v>
      </c>
      <c r="D4633">
        <v>617</v>
      </c>
      <c r="E4633" t="b">
        <v>1</v>
      </c>
      <c r="F4633">
        <v>664</v>
      </c>
      <c r="G4633" t="s">
        <v>110</v>
      </c>
      <c r="H4633" t="s">
        <v>132</v>
      </c>
      <c r="I4633" t="s">
        <v>2117</v>
      </c>
    </row>
    <row r="4634" spans="1:9" x14ac:dyDescent="0.35">
      <c r="A4634">
        <v>636480</v>
      </c>
      <c r="B4634" t="s">
        <v>1517</v>
      </c>
      <c r="C4634" s="1">
        <v>42873</v>
      </c>
      <c r="D4634">
        <v>617</v>
      </c>
      <c r="E4634" t="b">
        <v>1</v>
      </c>
      <c r="F4634">
        <v>664</v>
      </c>
      <c r="G4634" t="s">
        <v>110</v>
      </c>
      <c r="H4634" t="s">
        <v>124</v>
      </c>
      <c r="I4634" t="s">
        <v>2117</v>
      </c>
    </row>
    <row r="4635" spans="1:9" x14ac:dyDescent="0.35">
      <c r="A4635">
        <v>636480</v>
      </c>
      <c r="B4635" t="s">
        <v>1517</v>
      </c>
      <c r="C4635" s="1">
        <v>42873</v>
      </c>
      <c r="D4635">
        <v>617</v>
      </c>
      <c r="E4635" t="b">
        <v>1</v>
      </c>
      <c r="F4635">
        <v>664</v>
      </c>
      <c r="G4635" t="s">
        <v>110</v>
      </c>
      <c r="H4635" t="s">
        <v>1510</v>
      </c>
      <c r="I4635" t="s">
        <v>2117</v>
      </c>
    </row>
    <row r="4636" spans="1:9" x14ac:dyDescent="0.35">
      <c r="A4636">
        <v>20900</v>
      </c>
      <c r="B4636" t="s">
        <v>1519</v>
      </c>
      <c r="C4636" s="1">
        <v>39710</v>
      </c>
      <c r="D4636">
        <v>616</v>
      </c>
      <c r="E4636" t="b">
        <v>1</v>
      </c>
      <c r="F4636">
        <v>665</v>
      </c>
      <c r="G4636" t="s">
        <v>2084</v>
      </c>
      <c r="H4636" t="s">
        <v>49</v>
      </c>
      <c r="I4636" t="s">
        <v>2116</v>
      </c>
    </row>
    <row r="4637" spans="1:9" x14ac:dyDescent="0.35">
      <c r="A4637">
        <v>20900</v>
      </c>
      <c r="B4637" t="s">
        <v>1519</v>
      </c>
      <c r="C4637" s="1">
        <v>39710</v>
      </c>
      <c r="D4637">
        <v>616</v>
      </c>
      <c r="E4637" t="b">
        <v>1</v>
      </c>
      <c r="F4637">
        <v>665</v>
      </c>
      <c r="G4637" t="s">
        <v>2084</v>
      </c>
      <c r="H4637" t="s">
        <v>792</v>
      </c>
      <c r="I4637" t="s">
        <v>2117</v>
      </c>
    </row>
    <row r="4638" spans="1:9" x14ac:dyDescent="0.35">
      <c r="A4638">
        <v>20900</v>
      </c>
      <c r="B4638" t="s">
        <v>1519</v>
      </c>
      <c r="C4638" s="1">
        <v>39710</v>
      </c>
      <c r="D4638">
        <v>616</v>
      </c>
      <c r="E4638" t="b">
        <v>1</v>
      </c>
      <c r="F4638">
        <v>665</v>
      </c>
      <c r="G4638" t="s">
        <v>2084</v>
      </c>
      <c r="H4638" t="s">
        <v>346</v>
      </c>
      <c r="I4638" t="s">
        <v>2117</v>
      </c>
    </row>
    <row r="4639" spans="1:9" x14ac:dyDescent="0.35">
      <c r="A4639">
        <v>20900</v>
      </c>
      <c r="B4639" t="s">
        <v>1519</v>
      </c>
      <c r="C4639" s="1">
        <v>39710</v>
      </c>
      <c r="D4639">
        <v>616</v>
      </c>
      <c r="E4639" t="b">
        <v>1</v>
      </c>
      <c r="F4639">
        <v>665</v>
      </c>
      <c r="G4639" t="s">
        <v>2084</v>
      </c>
      <c r="H4639" t="s">
        <v>239</v>
      </c>
      <c r="I4639" t="s">
        <v>2117</v>
      </c>
    </row>
    <row r="4640" spans="1:9" x14ac:dyDescent="0.35">
      <c r="A4640">
        <v>20900</v>
      </c>
      <c r="B4640" t="s">
        <v>1519</v>
      </c>
      <c r="C4640" s="1">
        <v>39710</v>
      </c>
      <c r="D4640">
        <v>616</v>
      </c>
      <c r="E4640" t="b">
        <v>1</v>
      </c>
      <c r="F4640">
        <v>665</v>
      </c>
      <c r="G4640" t="s">
        <v>2084</v>
      </c>
      <c r="H4640" t="s">
        <v>132</v>
      </c>
      <c r="I4640" t="s">
        <v>2116</v>
      </c>
    </row>
    <row r="4641" spans="1:9" x14ac:dyDescent="0.35">
      <c r="A4641">
        <v>20900</v>
      </c>
      <c r="B4641" t="s">
        <v>1519</v>
      </c>
      <c r="C4641" s="1">
        <v>39710</v>
      </c>
      <c r="D4641">
        <v>616</v>
      </c>
      <c r="E4641" t="b">
        <v>1</v>
      </c>
      <c r="F4641">
        <v>665</v>
      </c>
      <c r="G4641" t="s">
        <v>2084</v>
      </c>
      <c r="H4641" t="s">
        <v>124</v>
      </c>
      <c r="I4641" t="s">
        <v>2117</v>
      </c>
    </row>
    <row r="4642" spans="1:9" x14ac:dyDescent="0.35">
      <c r="A4642">
        <v>20900</v>
      </c>
      <c r="B4642" t="s">
        <v>1519</v>
      </c>
      <c r="C4642" s="1">
        <v>39710</v>
      </c>
      <c r="D4642">
        <v>616</v>
      </c>
      <c r="E4642" t="b">
        <v>1</v>
      </c>
      <c r="F4642">
        <v>665</v>
      </c>
      <c r="G4642" t="s">
        <v>2084</v>
      </c>
      <c r="H4642" t="s">
        <v>1510</v>
      </c>
      <c r="I4642" t="s">
        <v>2117</v>
      </c>
    </row>
    <row r="4643" spans="1:9" x14ac:dyDescent="0.35">
      <c r="A4643">
        <v>209000</v>
      </c>
      <c r="B4643" t="s">
        <v>1521</v>
      </c>
      <c r="C4643" s="1">
        <v>41571</v>
      </c>
      <c r="D4643">
        <v>616</v>
      </c>
      <c r="E4643" t="b">
        <v>0</v>
      </c>
      <c r="F4643">
        <v>665</v>
      </c>
      <c r="G4643" t="s">
        <v>2084</v>
      </c>
      <c r="H4643" t="s">
        <v>49</v>
      </c>
      <c r="I4643" t="s">
        <v>2116</v>
      </c>
    </row>
    <row r="4644" spans="1:9" x14ac:dyDescent="0.35">
      <c r="A4644">
        <v>209000</v>
      </c>
      <c r="B4644" t="s">
        <v>1521</v>
      </c>
      <c r="C4644" s="1">
        <v>41571</v>
      </c>
      <c r="D4644">
        <v>616</v>
      </c>
      <c r="E4644" t="b">
        <v>0</v>
      </c>
      <c r="F4644">
        <v>665</v>
      </c>
      <c r="G4644" t="s">
        <v>2084</v>
      </c>
      <c r="H4644" t="s">
        <v>792</v>
      </c>
      <c r="I4644" t="s">
        <v>2117</v>
      </c>
    </row>
    <row r="4645" spans="1:9" x14ac:dyDescent="0.35">
      <c r="A4645">
        <v>209000</v>
      </c>
      <c r="B4645" t="s">
        <v>1521</v>
      </c>
      <c r="C4645" s="1">
        <v>41571</v>
      </c>
      <c r="D4645">
        <v>616</v>
      </c>
      <c r="E4645" t="b">
        <v>0</v>
      </c>
      <c r="F4645">
        <v>665</v>
      </c>
      <c r="G4645" t="s">
        <v>2084</v>
      </c>
      <c r="H4645" t="s">
        <v>346</v>
      </c>
      <c r="I4645" t="s">
        <v>2116</v>
      </c>
    </row>
    <row r="4646" spans="1:9" x14ac:dyDescent="0.35">
      <c r="A4646">
        <v>209000</v>
      </c>
      <c r="B4646" t="s">
        <v>1521</v>
      </c>
      <c r="C4646" s="1">
        <v>41571</v>
      </c>
      <c r="D4646">
        <v>616</v>
      </c>
      <c r="E4646" t="b">
        <v>0</v>
      </c>
      <c r="F4646">
        <v>665</v>
      </c>
      <c r="G4646" t="s">
        <v>2084</v>
      </c>
      <c r="H4646" t="s">
        <v>239</v>
      </c>
      <c r="I4646" t="s">
        <v>2117</v>
      </c>
    </row>
    <row r="4647" spans="1:9" x14ac:dyDescent="0.35">
      <c r="A4647">
        <v>209000</v>
      </c>
      <c r="B4647" t="s">
        <v>1521</v>
      </c>
      <c r="C4647" s="1">
        <v>41571</v>
      </c>
      <c r="D4647">
        <v>616</v>
      </c>
      <c r="E4647" t="b">
        <v>0</v>
      </c>
      <c r="F4647">
        <v>665</v>
      </c>
      <c r="G4647" t="s">
        <v>2084</v>
      </c>
      <c r="H4647" t="s">
        <v>132</v>
      </c>
      <c r="I4647" t="s">
        <v>2117</v>
      </c>
    </row>
    <row r="4648" spans="1:9" x14ac:dyDescent="0.35">
      <c r="A4648">
        <v>209000</v>
      </c>
      <c r="B4648" t="s">
        <v>1521</v>
      </c>
      <c r="C4648" s="1">
        <v>41571</v>
      </c>
      <c r="D4648">
        <v>616</v>
      </c>
      <c r="E4648" t="b">
        <v>0</v>
      </c>
      <c r="F4648">
        <v>665</v>
      </c>
      <c r="G4648" t="s">
        <v>2084</v>
      </c>
      <c r="H4648" t="s">
        <v>124</v>
      </c>
      <c r="I4648" t="s">
        <v>2117</v>
      </c>
    </row>
    <row r="4649" spans="1:9" x14ac:dyDescent="0.35">
      <c r="A4649">
        <v>209000</v>
      </c>
      <c r="B4649" t="s">
        <v>1521</v>
      </c>
      <c r="C4649" s="1">
        <v>41571</v>
      </c>
      <c r="D4649">
        <v>616</v>
      </c>
      <c r="E4649" t="b">
        <v>0</v>
      </c>
      <c r="F4649">
        <v>665</v>
      </c>
      <c r="G4649" t="s">
        <v>2084</v>
      </c>
      <c r="H4649" t="s">
        <v>1510</v>
      </c>
      <c r="I4649" t="s">
        <v>2117</v>
      </c>
    </row>
    <row r="4650" spans="1:9" x14ac:dyDescent="0.35">
      <c r="A4650">
        <v>2996990</v>
      </c>
      <c r="B4650" t="s">
        <v>1523</v>
      </c>
      <c r="C4650" s="1">
        <v>45612</v>
      </c>
      <c r="D4650">
        <v>615</v>
      </c>
      <c r="E4650" t="b">
        <v>0</v>
      </c>
      <c r="F4650">
        <v>667</v>
      </c>
      <c r="G4650" t="s">
        <v>932</v>
      </c>
      <c r="H4650" t="s">
        <v>49</v>
      </c>
      <c r="I4650" t="s">
        <v>2117</v>
      </c>
    </row>
    <row r="4651" spans="1:9" x14ac:dyDescent="0.35">
      <c r="A4651">
        <v>2996990</v>
      </c>
      <c r="B4651" t="s">
        <v>1523</v>
      </c>
      <c r="C4651" s="1">
        <v>45612</v>
      </c>
      <c r="D4651">
        <v>615</v>
      </c>
      <c r="E4651" t="b">
        <v>0</v>
      </c>
      <c r="F4651">
        <v>667</v>
      </c>
      <c r="G4651" t="s">
        <v>932</v>
      </c>
      <c r="H4651" t="s">
        <v>792</v>
      </c>
      <c r="I4651" t="s">
        <v>2116</v>
      </c>
    </row>
    <row r="4652" spans="1:9" x14ac:dyDescent="0.35">
      <c r="A4652">
        <v>2996990</v>
      </c>
      <c r="B4652" t="s">
        <v>1523</v>
      </c>
      <c r="C4652" s="1">
        <v>45612</v>
      </c>
      <c r="D4652">
        <v>615</v>
      </c>
      <c r="E4652" t="b">
        <v>0</v>
      </c>
      <c r="F4652">
        <v>667</v>
      </c>
      <c r="G4652" t="s">
        <v>932</v>
      </c>
      <c r="H4652" t="s">
        <v>346</v>
      </c>
      <c r="I4652" t="s">
        <v>2117</v>
      </c>
    </row>
    <row r="4653" spans="1:9" x14ac:dyDescent="0.35">
      <c r="A4653">
        <v>2996990</v>
      </c>
      <c r="B4653" t="s">
        <v>1523</v>
      </c>
      <c r="C4653" s="1">
        <v>45612</v>
      </c>
      <c r="D4653">
        <v>615</v>
      </c>
      <c r="E4653" t="b">
        <v>0</v>
      </c>
      <c r="F4653">
        <v>667</v>
      </c>
      <c r="G4653" t="s">
        <v>932</v>
      </c>
      <c r="H4653" t="s">
        <v>239</v>
      </c>
      <c r="I4653" t="s">
        <v>2117</v>
      </c>
    </row>
    <row r="4654" spans="1:9" x14ac:dyDescent="0.35">
      <c r="A4654">
        <v>2996990</v>
      </c>
      <c r="B4654" t="s">
        <v>1523</v>
      </c>
      <c r="C4654" s="1">
        <v>45612</v>
      </c>
      <c r="D4654">
        <v>615</v>
      </c>
      <c r="E4654" t="b">
        <v>0</v>
      </c>
      <c r="F4654">
        <v>667</v>
      </c>
      <c r="G4654" t="s">
        <v>932</v>
      </c>
      <c r="H4654" t="s">
        <v>132</v>
      </c>
      <c r="I4654" t="s">
        <v>2117</v>
      </c>
    </row>
    <row r="4655" spans="1:9" x14ac:dyDescent="0.35">
      <c r="A4655">
        <v>2996990</v>
      </c>
      <c r="B4655" t="s">
        <v>1523</v>
      </c>
      <c r="C4655" s="1">
        <v>45612</v>
      </c>
      <c r="D4655">
        <v>615</v>
      </c>
      <c r="E4655" t="b">
        <v>0</v>
      </c>
      <c r="F4655">
        <v>667</v>
      </c>
      <c r="G4655" t="s">
        <v>932</v>
      </c>
      <c r="H4655" t="s">
        <v>124</v>
      </c>
      <c r="I4655" t="s">
        <v>2117</v>
      </c>
    </row>
    <row r="4656" spans="1:9" x14ac:dyDescent="0.35">
      <c r="A4656">
        <v>2996990</v>
      </c>
      <c r="B4656" t="s">
        <v>1523</v>
      </c>
      <c r="C4656" s="1">
        <v>45612</v>
      </c>
      <c r="D4656">
        <v>615</v>
      </c>
      <c r="E4656" t="b">
        <v>0</v>
      </c>
      <c r="F4656">
        <v>667</v>
      </c>
      <c r="G4656" t="s">
        <v>932</v>
      </c>
      <c r="H4656" t="s">
        <v>1510</v>
      </c>
      <c r="I4656" t="s">
        <v>2116</v>
      </c>
    </row>
    <row r="4657" spans="1:9" x14ac:dyDescent="0.35">
      <c r="A4657">
        <v>207610</v>
      </c>
      <c r="B4657" t="s">
        <v>1525</v>
      </c>
      <c r="C4657" s="1">
        <v>41023</v>
      </c>
      <c r="D4657">
        <v>614</v>
      </c>
      <c r="E4657" t="b">
        <v>1</v>
      </c>
      <c r="F4657">
        <v>668</v>
      </c>
      <c r="G4657" t="s">
        <v>2084</v>
      </c>
      <c r="H4657" t="s">
        <v>49</v>
      </c>
      <c r="I4657" t="s">
        <v>2117</v>
      </c>
    </row>
    <row r="4658" spans="1:9" x14ac:dyDescent="0.35">
      <c r="A4658">
        <v>207610</v>
      </c>
      <c r="B4658" t="s">
        <v>1525</v>
      </c>
      <c r="C4658" s="1">
        <v>41023</v>
      </c>
      <c r="D4658">
        <v>614</v>
      </c>
      <c r="E4658" t="b">
        <v>1</v>
      </c>
      <c r="F4658">
        <v>668</v>
      </c>
      <c r="G4658" t="s">
        <v>2084</v>
      </c>
      <c r="H4658" t="s">
        <v>792</v>
      </c>
      <c r="I4658" t="s">
        <v>2117</v>
      </c>
    </row>
    <row r="4659" spans="1:9" x14ac:dyDescent="0.35">
      <c r="A4659">
        <v>207610</v>
      </c>
      <c r="B4659" t="s">
        <v>1525</v>
      </c>
      <c r="C4659" s="1">
        <v>41023</v>
      </c>
      <c r="D4659">
        <v>614</v>
      </c>
      <c r="E4659" t="b">
        <v>1</v>
      </c>
      <c r="F4659">
        <v>668</v>
      </c>
      <c r="G4659" t="s">
        <v>2084</v>
      </c>
      <c r="H4659" t="s">
        <v>346</v>
      </c>
      <c r="I4659" t="s">
        <v>2116</v>
      </c>
    </row>
    <row r="4660" spans="1:9" x14ac:dyDescent="0.35">
      <c r="A4660">
        <v>207610</v>
      </c>
      <c r="B4660" t="s">
        <v>1525</v>
      </c>
      <c r="C4660" s="1">
        <v>41023</v>
      </c>
      <c r="D4660">
        <v>614</v>
      </c>
      <c r="E4660" t="b">
        <v>1</v>
      </c>
      <c r="F4660">
        <v>668</v>
      </c>
      <c r="G4660" t="s">
        <v>2084</v>
      </c>
      <c r="H4660" t="s">
        <v>239</v>
      </c>
      <c r="I4660" t="s">
        <v>2117</v>
      </c>
    </row>
    <row r="4661" spans="1:9" x14ac:dyDescent="0.35">
      <c r="A4661">
        <v>207610</v>
      </c>
      <c r="B4661" t="s">
        <v>1525</v>
      </c>
      <c r="C4661" s="1">
        <v>41023</v>
      </c>
      <c r="D4661">
        <v>614</v>
      </c>
      <c r="E4661" t="b">
        <v>1</v>
      </c>
      <c r="F4661">
        <v>668</v>
      </c>
      <c r="G4661" t="s">
        <v>2084</v>
      </c>
      <c r="H4661" t="s">
        <v>132</v>
      </c>
      <c r="I4661" t="s">
        <v>2117</v>
      </c>
    </row>
    <row r="4662" spans="1:9" x14ac:dyDescent="0.35">
      <c r="A4662">
        <v>207610</v>
      </c>
      <c r="B4662" t="s">
        <v>1525</v>
      </c>
      <c r="C4662" s="1">
        <v>41023</v>
      </c>
      <c r="D4662">
        <v>614</v>
      </c>
      <c r="E4662" t="b">
        <v>1</v>
      </c>
      <c r="F4662">
        <v>668</v>
      </c>
      <c r="G4662" t="s">
        <v>2084</v>
      </c>
      <c r="H4662" t="s">
        <v>124</v>
      </c>
      <c r="I4662" t="s">
        <v>2117</v>
      </c>
    </row>
    <row r="4663" spans="1:9" x14ac:dyDescent="0.35">
      <c r="A4663">
        <v>207610</v>
      </c>
      <c r="B4663" t="s">
        <v>1525</v>
      </c>
      <c r="C4663" s="1">
        <v>41023</v>
      </c>
      <c r="D4663">
        <v>614</v>
      </c>
      <c r="E4663" t="b">
        <v>1</v>
      </c>
      <c r="F4663">
        <v>668</v>
      </c>
      <c r="G4663" t="s">
        <v>2084</v>
      </c>
      <c r="H4663" t="s">
        <v>1510</v>
      </c>
      <c r="I4663" t="s">
        <v>2117</v>
      </c>
    </row>
    <row r="4664" spans="1:9" x14ac:dyDescent="0.35">
      <c r="A4664">
        <v>2212330</v>
      </c>
      <c r="B4664" t="s">
        <v>1526</v>
      </c>
      <c r="C4664" s="1">
        <v>44959</v>
      </c>
      <c r="D4664">
        <v>613</v>
      </c>
      <c r="E4664" t="b">
        <v>0</v>
      </c>
      <c r="F4664">
        <v>669</v>
      </c>
      <c r="G4664" t="s">
        <v>14</v>
      </c>
      <c r="H4664" t="s">
        <v>49</v>
      </c>
      <c r="I4664" t="s">
        <v>2116</v>
      </c>
    </row>
    <row r="4665" spans="1:9" x14ac:dyDescent="0.35">
      <c r="A4665">
        <v>2212330</v>
      </c>
      <c r="B4665" t="s">
        <v>1526</v>
      </c>
      <c r="C4665" s="1">
        <v>44959</v>
      </c>
      <c r="D4665">
        <v>613</v>
      </c>
      <c r="E4665" t="b">
        <v>0</v>
      </c>
      <c r="F4665">
        <v>669</v>
      </c>
      <c r="G4665" t="s">
        <v>14</v>
      </c>
      <c r="H4665" t="s">
        <v>792</v>
      </c>
      <c r="I4665" t="s">
        <v>2116</v>
      </c>
    </row>
    <row r="4666" spans="1:9" x14ac:dyDescent="0.35">
      <c r="A4666">
        <v>2212330</v>
      </c>
      <c r="B4666" t="s">
        <v>1526</v>
      </c>
      <c r="C4666" s="1">
        <v>44959</v>
      </c>
      <c r="D4666">
        <v>613</v>
      </c>
      <c r="E4666" t="b">
        <v>0</v>
      </c>
      <c r="F4666">
        <v>669</v>
      </c>
      <c r="G4666" t="s">
        <v>14</v>
      </c>
      <c r="H4666" t="s">
        <v>346</v>
      </c>
      <c r="I4666" t="s">
        <v>2117</v>
      </c>
    </row>
    <row r="4667" spans="1:9" x14ac:dyDescent="0.35">
      <c r="A4667">
        <v>2212330</v>
      </c>
      <c r="B4667" t="s">
        <v>1526</v>
      </c>
      <c r="C4667" s="1">
        <v>44959</v>
      </c>
      <c r="D4667">
        <v>613</v>
      </c>
      <c r="E4667" t="b">
        <v>0</v>
      </c>
      <c r="F4667">
        <v>669</v>
      </c>
      <c r="G4667" t="s">
        <v>14</v>
      </c>
      <c r="H4667" t="s">
        <v>239</v>
      </c>
      <c r="I4667" t="s">
        <v>2116</v>
      </c>
    </row>
    <row r="4668" spans="1:9" x14ac:dyDescent="0.35">
      <c r="A4668">
        <v>2212330</v>
      </c>
      <c r="B4668" t="s">
        <v>1526</v>
      </c>
      <c r="C4668" s="1">
        <v>44959</v>
      </c>
      <c r="D4668">
        <v>613</v>
      </c>
      <c r="E4668" t="b">
        <v>0</v>
      </c>
      <c r="F4668">
        <v>669</v>
      </c>
      <c r="G4668" t="s">
        <v>14</v>
      </c>
      <c r="H4668" t="s">
        <v>132</v>
      </c>
      <c r="I4668" t="s">
        <v>2117</v>
      </c>
    </row>
    <row r="4669" spans="1:9" x14ac:dyDescent="0.35">
      <c r="A4669">
        <v>2212330</v>
      </c>
      <c r="B4669" t="s">
        <v>1526</v>
      </c>
      <c r="C4669" s="1">
        <v>44959</v>
      </c>
      <c r="D4669">
        <v>613</v>
      </c>
      <c r="E4669" t="b">
        <v>0</v>
      </c>
      <c r="F4669">
        <v>669</v>
      </c>
      <c r="G4669" t="s">
        <v>14</v>
      </c>
      <c r="H4669" t="s">
        <v>124</v>
      </c>
      <c r="I4669" t="s">
        <v>2116</v>
      </c>
    </row>
    <row r="4670" spans="1:9" x14ac:dyDescent="0.35">
      <c r="A4670">
        <v>2212330</v>
      </c>
      <c r="B4670" t="s">
        <v>1526</v>
      </c>
      <c r="C4670" s="1">
        <v>44959</v>
      </c>
      <c r="D4670">
        <v>613</v>
      </c>
      <c r="E4670" t="b">
        <v>0</v>
      </c>
      <c r="F4670">
        <v>669</v>
      </c>
      <c r="G4670" t="s">
        <v>14</v>
      </c>
      <c r="H4670" t="s">
        <v>1510</v>
      </c>
      <c r="I4670" t="s">
        <v>2117</v>
      </c>
    </row>
    <row r="4671" spans="1:9" x14ac:dyDescent="0.35">
      <c r="A4671">
        <v>258890</v>
      </c>
      <c r="B4671" t="s">
        <v>1528</v>
      </c>
      <c r="C4671" s="1">
        <v>41584</v>
      </c>
      <c r="D4671">
        <v>611</v>
      </c>
      <c r="E4671" t="b">
        <v>1</v>
      </c>
      <c r="F4671">
        <v>670</v>
      </c>
      <c r="G4671" t="s">
        <v>2084</v>
      </c>
      <c r="H4671" t="s">
        <v>49</v>
      </c>
      <c r="I4671" t="s">
        <v>2116</v>
      </c>
    </row>
    <row r="4672" spans="1:9" x14ac:dyDescent="0.35">
      <c r="A4672">
        <v>258890</v>
      </c>
      <c r="B4672" t="s">
        <v>1528</v>
      </c>
      <c r="C4672" s="1">
        <v>41584</v>
      </c>
      <c r="D4672">
        <v>611</v>
      </c>
      <c r="E4672" t="b">
        <v>1</v>
      </c>
      <c r="F4672">
        <v>670</v>
      </c>
      <c r="G4672" t="s">
        <v>2084</v>
      </c>
      <c r="H4672" t="s">
        <v>792</v>
      </c>
      <c r="I4672" t="s">
        <v>2116</v>
      </c>
    </row>
    <row r="4673" spans="1:9" x14ac:dyDescent="0.35">
      <c r="A4673">
        <v>258890</v>
      </c>
      <c r="B4673" t="s">
        <v>1528</v>
      </c>
      <c r="C4673" s="1">
        <v>41584</v>
      </c>
      <c r="D4673">
        <v>611</v>
      </c>
      <c r="E4673" t="b">
        <v>1</v>
      </c>
      <c r="F4673">
        <v>670</v>
      </c>
      <c r="G4673" t="s">
        <v>2084</v>
      </c>
      <c r="H4673" t="s">
        <v>346</v>
      </c>
      <c r="I4673" t="s">
        <v>2116</v>
      </c>
    </row>
    <row r="4674" spans="1:9" x14ac:dyDescent="0.35">
      <c r="A4674">
        <v>258890</v>
      </c>
      <c r="B4674" t="s">
        <v>1528</v>
      </c>
      <c r="C4674" s="1">
        <v>41584</v>
      </c>
      <c r="D4674">
        <v>611</v>
      </c>
      <c r="E4674" t="b">
        <v>1</v>
      </c>
      <c r="F4674">
        <v>670</v>
      </c>
      <c r="G4674" t="s">
        <v>2084</v>
      </c>
      <c r="H4674" t="s">
        <v>239</v>
      </c>
      <c r="I4674" t="s">
        <v>2117</v>
      </c>
    </row>
    <row r="4675" spans="1:9" x14ac:dyDescent="0.35">
      <c r="A4675">
        <v>258890</v>
      </c>
      <c r="B4675" t="s">
        <v>1528</v>
      </c>
      <c r="C4675" s="1">
        <v>41584</v>
      </c>
      <c r="D4675">
        <v>611</v>
      </c>
      <c r="E4675" t="b">
        <v>1</v>
      </c>
      <c r="F4675">
        <v>670</v>
      </c>
      <c r="G4675" t="s">
        <v>2084</v>
      </c>
      <c r="H4675" t="s">
        <v>132</v>
      </c>
      <c r="I4675" t="s">
        <v>2117</v>
      </c>
    </row>
    <row r="4676" spans="1:9" x14ac:dyDescent="0.35">
      <c r="A4676">
        <v>258890</v>
      </c>
      <c r="B4676" t="s">
        <v>1528</v>
      </c>
      <c r="C4676" s="1">
        <v>41584</v>
      </c>
      <c r="D4676">
        <v>611</v>
      </c>
      <c r="E4676" t="b">
        <v>1</v>
      </c>
      <c r="F4676">
        <v>670</v>
      </c>
      <c r="G4676" t="s">
        <v>2084</v>
      </c>
      <c r="H4676" t="s">
        <v>124</v>
      </c>
      <c r="I4676" t="s">
        <v>2117</v>
      </c>
    </row>
    <row r="4677" spans="1:9" x14ac:dyDescent="0.35">
      <c r="A4677">
        <v>258890</v>
      </c>
      <c r="B4677" t="s">
        <v>1528</v>
      </c>
      <c r="C4677" s="1">
        <v>41584</v>
      </c>
      <c r="D4677">
        <v>611</v>
      </c>
      <c r="E4677" t="b">
        <v>1</v>
      </c>
      <c r="F4677">
        <v>670</v>
      </c>
      <c r="G4677" t="s">
        <v>2084</v>
      </c>
      <c r="H4677" t="s">
        <v>1510</v>
      </c>
      <c r="I4677" t="s">
        <v>2117</v>
      </c>
    </row>
    <row r="4678" spans="1:9" x14ac:dyDescent="0.35">
      <c r="A4678">
        <v>3097560</v>
      </c>
      <c r="B4678" t="s">
        <v>1529</v>
      </c>
      <c r="C4678" s="1">
        <v>45567</v>
      </c>
      <c r="D4678">
        <v>605</v>
      </c>
      <c r="E4678" t="b">
        <v>0</v>
      </c>
      <c r="F4678">
        <v>671</v>
      </c>
      <c r="G4678" t="s">
        <v>36</v>
      </c>
      <c r="H4678" t="s">
        <v>49</v>
      </c>
      <c r="I4678" t="s">
        <v>2117</v>
      </c>
    </row>
    <row r="4679" spans="1:9" x14ac:dyDescent="0.35">
      <c r="A4679">
        <v>3097560</v>
      </c>
      <c r="B4679" t="s">
        <v>1529</v>
      </c>
      <c r="C4679" s="1">
        <v>45567</v>
      </c>
      <c r="D4679">
        <v>605</v>
      </c>
      <c r="E4679" t="b">
        <v>0</v>
      </c>
      <c r="F4679">
        <v>671</v>
      </c>
      <c r="G4679" t="s">
        <v>36</v>
      </c>
      <c r="H4679" t="s">
        <v>792</v>
      </c>
      <c r="I4679" t="s">
        <v>2116</v>
      </c>
    </row>
    <row r="4680" spans="1:9" x14ac:dyDescent="0.35">
      <c r="A4680">
        <v>3097560</v>
      </c>
      <c r="B4680" t="s">
        <v>1529</v>
      </c>
      <c r="C4680" s="1">
        <v>45567</v>
      </c>
      <c r="D4680">
        <v>605</v>
      </c>
      <c r="E4680" t="b">
        <v>0</v>
      </c>
      <c r="F4680">
        <v>671</v>
      </c>
      <c r="G4680" t="s">
        <v>36</v>
      </c>
      <c r="H4680" t="s">
        <v>346</v>
      </c>
      <c r="I4680" t="s">
        <v>2117</v>
      </c>
    </row>
    <row r="4681" spans="1:9" x14ac:dyDescent="0.35">
      <c r="A4681">
        <v>3097560</v>
      </c>
      <c r="B4681" t="s">
        <v>1529</v>
      </c>
      <c r="C4681" s="1">
        <v>45567</v>
      </c>
      <c r="D4681">
        <v>605</v>
      </c>
      <c r="E4681" t="b">
        <v>0</v>
      </c>
      <c r="F4681">
        <v>671</v>
      </c>
      <c r="G4681" t="s">
        <v>36</v>
      </c>
      <c r="H4681" t="s">
        <v>239</v>
      </c>
      <c r="I4681" t="s">
        <v>2116</v>
      </c>
    </row>
    <row r="4682" spans="1:9" x14ac:dyDescent="0.35">
      <c r="A4682">
        <v>3097560</v>
      </c>
      <c r="B4682" t="s">
        <v>1529</v>
      </c>
      <c r="C4682" s="1">
        <v>45567</v>
      </c>
      <c r="D4682">
        <v>605</v>
      </c>
      <c r="E4682" t="b">
        <v>0</v>
      </c>
      <c r="F4682">
        <v>671</v>
      </c>
      <c r="G4682" t="s">
        <v>36</v>
      </c>
      <c r="H4682" t="s">
        <v>132</v>
      </c>
      <c r="I4682" t="s">
        <v>2117</v>
      </c>
    </row>
    <row r="4683" spans="1:9" x14ac:dyDescent="0.35">
      <c r="A4683">
        <v>3097560</v>
      </c>
      <c r="B4683" t="s">
        <v>1529</v>
      </c>
      <c r="C4683" s="1">
        <v>45567</v>
      </c>
      <c r="D4683">
        <v>605</v>
      </c>
      <c r="E4683" t="b">
        <v>0</v>
      </c>
      <c r="F4683">
        <v>671</v>
      </c>
      <c r="G4683" t="s">
        <v>36</v>
      </c>
      <c r="H4683" t="s">
        <v>124</v>
      </c>
      <c r="I4683" t="s">
        <v>2116</v>
      </c>
    </row>
    <row r="4684" spans="1:9" x14ac:dyDescent="0.35">
      <c r="A4684">
        <v>3097560</v>
      </c>
      <c r="B4684" t="s">
        <v>1529</v>
      </c>
      <c r="C4684" s="1">
        <v>45567</v>
      </c>
      <c r="D4684">
        <v>605</v>
      </c>
      <c r="E4684" t="b">
        <v>0</v>
      </c>
      <c r="F4684">
        <v>671</v>
      </c>
      <c r="G4684" t="s">
        <v>36</v>
      </c>
      <c r="H4684" t="s">
        <v>1510</v>
      </c>
      <c r="I4684" t="s">
        <v>2117</v>
      </c>
    </row>
    <row r="4685" spans="1:9" x14ac:dyDescent="0.35">
      <c r="A4685">
        <v>1066890</v>
      </c>
      <c r="B4685" t="s">
        <v>1531</v>
      </c>
      <c r="C4685" s="1">
        <v>44012</v>
      </c>
      <c r="D4685">
        <v>605</v>
      </c>
      <c r="E4685" t="b">
        <v>0</v>
      </c>
      <c r="F4685">
        <v>671</v>
      </c>
      <c r="G4685" t="s">
        <v>408</v>
      </c>
      <c r="H4685" t="s">
        <v>49</v>
      </c>
      <c r="I4685" t="s">
        <v>2116</v>
      </c>
    </row>
    <row r="4686" spans="1:9" x14ac:dyDescent="0.35">
      <c r="A4686">
        <v>1066890</v>
      </c>
      <c r="B4686" t="s">
        <v>1531</v>
      </c>
      <c r="C4686" s="1">
        <v>44012</v>
      </c>
      <c r="D4686">
        <v>605</v>
      </c>
      <c r="E4686" t="b">
        <v>0</v>
      </c>
      <c r="F4686">
        <v>671</v>
      </c>
      <c r="G4686" t="s">
        <v>408</v>
      </c>
      <c r="H4686" t="s">
        <v>792</v>
      </c>
      <c r="I4686" t="s">
        <v>2116</v>
      </c>
    </row>
    <row r="4687" spans="1:9" x14ac:dyDescent="0.35">
      <c r="A4687">
        <v>1066890</v>
      </c>
      <c r="B4687" t="s">
        <v>1531</v>
      </c>
      <c r="C4687" s="1">
        <v>44012</v>
      </c>
      <c r="D4687">
        <v>605</v>
      </c>
      <c r="E4687" t="b">
        <v>0</v>
      </c>
      <c r="F4687">
        <v>671</v>
      </c>
      <c r="G4687" t="s">
        <v>408</v>
      </c>
      <c r="H4687" t="s">
        <v>346</v>
      </c>
      <c r="I4687" t="s">
        <v>2117</v>
      </c>
    </row>
    <row r="4688" spans="1:9" x14ac:dyDescent="0.35">
      <c r="A4688">
        <v>1066890</v>
      </c>
      <c r="B4688" t="s">
        <v>1531</v>
      </c>
      <c r="C4688" s="1">
        <v>44012</v>
      </c>
      <c r="D4688">
        <v>605</v>
      </c>
      <c r="E4688" t="b">
        <v>0</v>
      </c>
      <c r="F4688">
        <v>671</v>
      </c>
      <c r="G4688" t="s">
        <v>408</v>
      </c>
      <c r="H4688" t="s">
        <v>239</v>
      </c>
      <c r="I4688" t="s">
        <v>2116</v>
      </c>
    </row>
    <row r="4689" spans="1:9" x14ac:dyDescent="0.35">
      <c r="A4689">
        <v>1066890</v>
      </c>
      <c r="B4689" t="s">
        <v>1531</v>
      </c>
      <c r="C4689" s="1">
        <v>44012</v>
      </c>
      <c r="D4689">
        <v>605</v>
      </c>
      <c r="E4689" t="b">
        <v>0</v>
      </c>
      <c r="F4689">
        <v>671</v>
      </c>
      <c r="G4689" t="s">
        <v>408</v>
      </c>
      <c r="H4689" t="s">
        <v>132</v>
      </c>
      <c r="I4689" t="s">
        <v>2117</v>
      </c>
    </row>
    <row r="4690" spans="1:9" x14ac:dyDescent="0.35">
      <c r="A4690">
        <v>1066890</v>
      </c>
      <c r="B4690" t="s">
        <v>1531</v>
      </c>
      <c r="C4690" s="1">
        <v>44012</v>
      </c>
      <c r="D4690">
        <v>605</v>
      </c>
      <c r="E4690" t="b">
        <v>0</v>
      </c>
      <c r="F4690">
        <v>671</v>
      </c>
      <c r="G4690" t="s">
        <v>408</v>
      </c>
      <c r="H4690" t="s">
        <v>124</v>
      </c>
      <c r="I4690" t="s">
        <v>2117</v>
      </c>
    </row>
    <row r="4691" spans="1:9" x14ac:dyDescent="0.35">
      <c r="A4691">
        <v>1066890</v>
      </c>
      <c r="B4691" t="s">
        <v>1531</v>
      </c>
      <c r="C4691" s="1">
        <v>44012</v>
      </c>
      <c r="D4691">
        <v>605</v>
      </c>
      <c r="E4691" t="b">
        <v>0</v>
      </c>
      <c r="F4691">
        <v>671</v>
      </c>
      <c r="G4691" t="s">
        <v>408</v>
      </c>
      <c r="H4691" t="s">
        <v>1510</v>
      </c>
      <c r="I4691" t="s">
        <v>2117</v>
      </c>
    </row>
    <row r="4692" spans="1:9" x14ac:dyDescent="0.35">
      <c r="A4692">
        <v>35140</v>
      </c>
      <c r="B4692" t="s">
        <v>1534</v>
      </c>
      <c r="C4692" s="1">
        <v>40263</v>
      </c>
      <c r="D4692">
        <v>601</v>
      </c>
      <c r="E4692" t="b">
        <v>0</v>
      </c>
      <c r="F4692">
        <v>673</v>
      </c>
      <c r="G4692" t="s">
        <v>2084</v>
      </c>
      <c r="H4692" t="s">
        <v>49</v>
      </c>
      <c r="I4692" t="s">
        <v>2116</v>
      </c>
    </row>
    <row r="4693" spans="1:9" x14ac:dyDescent="0.35">
      <c r="A4693">
        <v>35140</v>
      </c>
      <c r="B4693" t="s">
        <v>1534</v>
      </c>
      <c r="C4693" s="1">
        <v>40263</v>
      </c>
      <c r="D4693">
        <v>601</v>
      </c>
      <c r="E4693" t="b">
        <v>0</v>
      </c>
      <c r="F4693">
        <v>673</v>
      </c>
      <c r="G4693" t="s">
        <v>2084</v>
      </c>
      <c r="H4693" t="s">
        <v>792</v>
      </c>
      <c r="I4693" t="s">
        <v>2117</v>
      </c>
    </row>
    <row r="4694" spans="1:9" x14ac:dyDescent="0.35">
      <c r="A4694">
        <v>35140</v>
      </c>
      <c r="B4694" t="s">
        <v>1534</v>
      </c>
      <c r="C4694" s="1">
        <v>40263</v>
      </c>
      <c r="D4694">
        <v>601</v>
      </c>
      <c r="E4694" t="b">
        <v>0</v>
      </c>
      <c r="F4694">
        <v>673</v>
      </c>
      <c r="G4694" t="s">
        <v>2084</v>
      </c>
      <c r="H4694" t="s">
        <v>346</v>
      </c>
      <c r="I4694" t="s">
        <v>2116</v>
      </c>
    </row>
    <row r="4695" spans="1:9" x14ac:dyDescent="0.35">
      <c r="A4695">
        <v>35140</v>
      </c>
      <c r="B4695" t="s">
        <v>1534</v>
      </c>
      <c r="C4695" s="1">
        <v>40263</v>
      </c>
      <c r="D4695">
        <v>601</v>
      </c>
      <c r="E4695" t="b">
        <v>0</v>
      </c>
      <c r="F4695">
        <v>673</v>
      </c>
      <c r="G4695" t="s">
        <v>2084</v>
      </c>
      <c r="H4695" t="s">
        <v>239</v>
      </c>
      <c r="I4695" t="s">
        <v>2117</v>
      </c>
    </row>
    <row r="4696" spans="1:9" x14ac:dyDescent="0.35">
      <c r="A4696">
        <v>35140</v>
      </c>
      <c r="B4696" t="s">
        <v>1534</v>
      </c>
      <c r="C4696" s="1">
        <v>40263</v>
      </c>
      <c r="D4696">
        <v>601</v>
      </c>
      <c r="E4696" t="b">
        <v>0</v>
      </c>
      <c r="F4696">
        <v>673</v>
      </c>
      <c r="G4696" t="s">
        <v>2084</v>
      </c>
      <c r="H4696" t="s">
        <v>132</v>
      </c>
      <c r="I4696" t="s">
        <v>2117</v>
      </c>
    </row>
    <row r="4697" spans="1:9" x14ac:dyDescent="0.35">
      <c r="A4697">
        <v>35140</v>
      </c>
      <c r="B4697" t="s">
        <v>1534</v>
      </c>
      <c r="C4697" s="1">
        <v>40263</v>
      </c>
      <c r="D4697">
        <v>601</v>
      </c>
      <c r="E4697" t="b">
        <v>0</v>
      </c>
      <c r="F4697">
        <v>673</v>
      </c>
      <c r="G4697" t="s">
        <v>2084</v>
      </c>
      <c r="H4697" t="s">
        <v>124</v>
      </c>
      <c r="I4697" t="s">
        <v>2117</v>
      </c>
    </row>
    <row r="4698" spans="1:9" x14ac:dyDescent="0.35">
      <c r="A4698">
        <v>35140</v>
      </c>
      <c r="B4698" t="s">
        <v>1534</v>
      </c>
      <c r="C4698" s="1">
        <v>40263</v>
      </c>
      <c r="D4698">
        <v>601</v>
      </c>
      <c r="E4698" t="b">
        <v>0</v>
      </c>
      <c r="F4698">
        <v>673</v>
      </c>
      <c r="G4698" t="s">
        <v>2084</v>
      </c>
      <c r="H4698" t="s">
        <v>1510</v>
      </c>
      <c r="I4698" t="s">
        <v>2117</v>
      </c>
    </row>
    <row r="4699" spans="1:9" x14ac:dyDescent="0.35">
      <c r="A4699">
        <v>2103140</v>
      </c>
      <c r="B4699" t="s">
        <v>1535</v>
      </c>
      <c r="C4699" s="1">
        <v>45597</v>
      </c>
      <c r="D4699">
        <v>600</v>
      </c>
      <c r="E4699" t="b">
        <v>0</v>
      </c>
      <c r="F4699">
        <v>674</v>
      </c>
      <c r="G4699" t="s">
        <v>304</v>
      </c>
      <c r="H4699" t="s">
        <v>49</v>
      </c>
      <c r="I4699" t="s">
        <v>2116</v>
      </c>
    </row>
    <row r="4700" spans="1:9" x14ac:dyDescent="0.35">
      <c r="A4700">
        <v>2103140</v>
      </c>
      <c r="B4700" t="s">
        <v>1535</v>
      </c>
      <c r="C4700" s="1">
        <v>45597</v>
      </c>
      <c r="D4700">
        <v>600</v>
      </c>
      <c r="E4700" t="b">
        <v>0</v>
      </c>
      <c r="F4700">
        <v>674</v>
      </c>
      <c r="G4700" t="s">
        <v>304</v>
      </c>
      <c r="H4700" t="s">
        <v>792</v>
      </c>
      <c r="I4700" t="s">
        <v>2116</v>
      </c>
    </row>
    <row r="4701" spans="1:9" x14ac:dyDescent="0.35">
      <c r="A4701">
        <v>2103140</v>
      </c>
      <c r="B4701" t="s">
        <v>1535</v>
      </c>
      <c r="C4701" s="1">
        <v>45597</v>
      </c>
      <c r="D4701">
        <v>600</v>
      </c>
      <c r="E4701" t="b">
        <v>0</v>
      </c>
      <c r="F4701">
        <v>674</v>
      </c>
      <c r="G4701" t="s">
        <v>304</v>
      </c>
      <c r="H4701" t="s">
        <v>346</v>
      </c>
      <c r="I4701" t="s">
        <v>2116</v>
      </c>
    </row>
    <row r="4702" spans="1:9" x14ac:dyDescent="0.35">
      <c r="A4702">
        <v>2103140</v>
      </c>
      <c r="B4702" t="s">
        <v>1535</v>
      </c>
      <c r="C4702" s="1">
        <v>45597</v>
      </c>
      <c r="D4702">
        <v>600</v>
      </c>
      <c r="E4702" t="b">
        <v>0</v>
      </c>
      <c r="F4702">
        <v>674</v>
      </c>
      <c r="G4702" t="s">
        <v>304</v>
      </c>
      <c r="H4702" t="s">
        <v>239</v>
      </c>
      <c r="I4702" t="s">
        <v>2117</v>
      </c>
    </row>
    <row r="4703" spans="1:9" x14ac:dyDescent="0.35">
      <c r="A4703">
        <v>2103140</v>
      </c>
      <c r="B4703" t="s">
        <v>1535</v>
      </c>
      <c r="C4703" s="1">
        <v>45597</v>
      </c>
      <c r="D4703">
        <v>600</v>
      </c>
      <c r="E4703" t="b">
        <v>0</v>
      </c>
      <c r="F4703">
        <v>674</v>
      </c>
      <c r="G4703" t="s">
        <v>304</v>
      </c>
      <c r="H4703" t="s">
        <v>132</v>
      </c>
      <c r="I4703" t="s">
        <v>2116</v>
      </c>
    </row>
    <row r="4704" spans="1:9" x14ac:dyDescent="0.35">
      <c r="A4704">
        <v>2103140</v>
      </c>
      <c r="B4704" t="s">
        <v>1535</v>
      </c>
      <c r="C4704" s="1">
        <v>45597</v>
      </c>
      <c r="D4704">
        <v>600</v>
      </c>
      <c r="E4704" t="b">
        <v>0</v>
      </c>
      <c r="F4704">
        <v>674</v>
      </c>
      <c r="G4704" t="s">
        <v>304</v>
      </c>
      <c r="H4704" t="s">
        <v>124</v>
      </c>
      <c r="I4704" t="s">
        <v>2117</v>
      </c>
    </row>
    <row r="4705" spans="1:9" x14ac:dyDescent="0.35">
      <c r="A4705">
        <v>2103140</v>
      </c>
      <c r="B4705" t="s">
        <v>1535</v>
      </c>
      <c r="C4705" s="1">
        <v>45597</v>
      </c>
      <c r="D4705">
        <v>600</v>
      </c>
      <c r="E4705" t="b">
        <v>0</v>
      </c>
      <c r="F4705">
        <v>674</v>
      </c>
      <c r="G4705" t="s">
        <v>304</v>
      </c>
      <c r="H4705" t="s">
        <v>1510</v>
      </c>
      <c r="I4705" t="s">
        <v>2117</v>
      </c>
    </row>
    <row r="4706" spans="1:9" x14ac:dyDescent="0.35">
      <c r="A4706">
        <v>2239710</v>
      </c>
      <c r="B4706" t="s">
        <v>1536</v>
      </c>
      <c r="C4706" s="1">
        <v>45756</v>
      </c>
      <c r="D4706">
        <v>599</v>
      </c>
      <c r="E4706" t="b">
        <v>1</v>
      </c>
      <c r="F4706">
        <v>675</v>
      </c>
      <c r="G4706" t="s">
        <v>119</v>
      </c>
      <c r="H4706" t="s">
        <v>49</v>
      </c>
      <c r="I4706" t="s">
        <v>2116</v>
      </c>
    </row>
    <row r="4707" spans="1:9" x14ac:dyDescent="0.35">
      <c r="A4707">
        <v>2239710</v>
      </c>
      <c r="B4707" t="s">
        <v>1536</v>
      </c>
      <c r="C4707" s="1">
        <v>45756</v>
      </c>
      <c r="D4707">
        <v>599</v>
      </c>
      <c r="E4707" t="b">
        <v>1</v>
      </c>
      <c r="F4707">
        <v>675</v>
      </c>
      <c r="G4707" t="s">
        <v>119</v>
      </c>
      <c r="H4707" t="s">
        <v>792</v>
      </c>
      <c r="I4707" t="s">
        <v>2117</v>
      </c>
    </row>
    <row r="4708" spans="1:9" x14ac:dyDescent="0.35">
      <c r="A4708">
        <v>2239710</v>
      </c>
      <c r="B4708" t="s">
        <v>1536</v>
      </c>
      <c r="C4708" s="1">
        <v>45756</v>
      </c>
      <c r="D4708">
        <v>599</v>
      </c>
      <c r="E4708" t="b">
        <v>1</v>
      </c>
      <c r="F4708">
        <v>675</v>
      </c>
      <c r="G4708" t="s">
        <v>119</v>
      </c>
      <c r="H4708" t="s">
        <v>346</v>
      </c>
      <c r="I4708" t="s">
        <v>2117</v>
      </c>
    </row>
    <row r="4709" spans="1:9" x14ac:dyDescent="0.35">
      <c r="A4709">
        <v>2239710</v>
      </c>
      <c r="B4709" t="s">
        <v>1536</v>
      </c>
      <c r="C4709" s="1">
        <v>45756</v>
      </c>
      <c r="D4709">
        <v>599</v>
      </c>
      <c r="E4709" t="b">
        <v>1</v>
      </c>
      <c r="F4709">
        <v>675</v>
      </c>
      <c r="G4709" t="s">
        <v>119</v>
      </c>
      <c r="H4709" t="s">
        <v>239</v>
      </c>
      <c r="I4709" t="s">
        <v>2116</v>
      </c>
    </row>
    <row r="4710" spans="1:9" x14ac:dyDescent="0.35">
      <c r="A4710">
        <v>2239710</v>
      </c>
      <c r="B4710" t="s">
        <v>1536</v>
      </c>
      <c r="C4710" s="1">
        <v>45756</v>
      </c>
      <c r="D4710">
        <v>599</v>
      </c>
      <c r="E4710" t="b">
        <v>1</v>
      </c>
      <c r="F4710">
        <v>675</v>
      </c>
      <c r="G4710" t="s">
        <v>119</v>
      </c>
      <c r="H4710" t="s">
        <v>132</v>
      </c>
      <c r="I4710" t="s">
        <v>2117</v>
      </c>
    </row>
    <row r="4711" spans="1:9" x14ac:dyDescent="0.35">
      <c r="A4711">
        <v>2239710</v>
      </c>
      <c r="B4711" t="s">
        <v>1536</v>
      </c>
      <c r="C4711" s="1">
        <v>45756</v>
      </c>
      <c r="D4711">
        <v>599</v>
      </c>
      <c r="E4711" t="b">
        <v>1</v>
      </c>
      <c r="F4711">
        <v>675</v>
      </c>
      <c r="G4711" t="s">
        <v>119</v>
      </c>
      <c r="H4711" t="s">
        <v>124</v>
      </c>
      <c r="I4711" t="s">
        <v>2116</v>
      </c>
    </row>
    <row r="4712" spans="1:9" x14ac:dyDescent="0.35">
      <c r="A4712">
        <v>2239710</v>
      </c>
      <c r="B4712" t="s">
        <v>1536</v>
      </c>
      <c r="C4712" s="1">
        <v>45756</v>
      </c>
      <c r="D4712">
        <v>599</v>
      </c>
      <c r="E4712" t="b">
        <v>1</v>
      </c>
      <c r="F4712">
        <v>675</v>
      </c>
      <c r="G4712" t="s">
        <v>119</v>
      </c>
      <c r="H4712" t="s">
        <v>1510</v>
      </c>
      <c r="I4712" t="s">
        <v>2117</v>
      </c>
    </row>
    <row r="4713" spans="1:9" x14ac:dyDescent="0.35">
      <c r="A4713">
        <v>389730</v>
      </c>
      <c r="B4713" t="s">
        <v>1538</v>
      </c>
      <c r="C4713" s="1">
        <v>42887</v>
      </c>
      <c r="D4713">
        <v>599</v>
      </c>
      <c r="E4713" t="b">
        <v>0</v>
      </c>
      <c r="F4713">
        <v>675</v>
      </c>
      <c r="G4713" t="s">
        <v>53</v>
      </c>
      <c r="H4713" t="s">
        <v>49</v>
      </c>
      <c r="I4713" t="s">
        <v>2116</v>
      </c>
    </row>
    <row r="4714" spans="1:9" x14ac:dyDescent="0.35">
      <c r="A4714">
        <v>389730</v>
      </c>
      <c r="B4714" t="s">
        <v>1538</v>
      </c>
      <c r="C4714" s="1">
        <v>42887</v>
      </c>
      <c r="D4714">
        <v>599</v>
      </c>
      <c r="E4714" t="b">
        <v>0</v>
      </c>
      <c r="F4714">
        <v>675</v>
      </c>
      <c r="G4714" t="s">
        <v>53</v>
      </c>
      <c r="H4714" t="s">
        <v>792</v>
      </c>
      <c r="I4714" t="s">
        <v>2117</v>
      </c>
    </row>
    <row r="4715" spans="1:9" x14ac:dyDescent="0.35">
      <c r="A4715">
        <v>389730</v>
      </c>
      <c r="B4715" t="s">
        <v>1538</v>
      </c>
      <c r="C4715" s="1">
        <v>42887</v>
      </c>
      <c r="D4715">
        <v>599</v>
      </c>
      <c r="E4715" t="b">
        <v>0</v>
      </c>
      <c r="F4715">
        <v>675</v>
      </c>
      <c r="G4715" t="s">
        <v>53</v>
      </c>
      <c r="H4715" t="s">
        <v>346</v>
      </c>
      <c r="I4715" t="s">
        <v>2117</v>
      </c>
    </row>
    <row r="4716" spans="1:9" x14ac:dyDescent="0.35">
      <c r="A4716">
        <v>389730</v>
      </c>
      <c r="B4716" t="s">
        <v>1538</v>
      </c>
      <c r="C4716" s="1">
        <v>42887</v>
      </c>
      <c r="D4716">
        <v>599</v>
      </c>
      <c r="E4716" t="b">
        <v>0</v>
      </c>
      <c r="F4716">
        <v>675</v>
      </c>
      <c r="G4716" t="s">
        <v>53</v>
      </c>
      <c r="H4716" t="s">
        <v>239</v>
      </c>
      <c r="I4716" t="s">
        <v>2117</v>
      </c>
    </row>
    <row r="4717" spans="1:9" x14ac:dyDescent="0.35">
      <c r="A4717">
        <v>389730</v>
      </c>
      <c r="B4717" t="s">
        <v>1538</v>
      </c>
      <c r="C4717" s="1">
        <v>42887</v>
      </c>
      <c r="D4717">
        <v>599</v>
      </c>
      <c r="E4717" t="b">
        <v>0</v>
      </c>
      <c r="F4717">
        <v>675</v>
      </c>
      <c r="G4717" t="s">
        <v>53</v>
      </c>
      <c r="H4717" t="s">
        <v>132</v>
      </c>
      <c r="I4717" t="s">
        <v>2117</v>
      </c>
    </row>
    <row r="4718" spans="1:9" x14ac:dyDescent="0.35">
      <c r="A4718">
        <v>389730</v>
      </c>
      <c r="B4718" t="s">
        <v>1538</v>
      </c>
      <c r="C4718" s="1">
        <v>42887</v>
      </c>
      <c r="D4718">
        <v>599</v>
      </c>
      <c r="E4718" t="b">
        <v>0</v>
      </c>
      <c r="F4718">
        <v>675</v>
      </c>
      <c r="G4718" t="s">
        <v>53</v>
      </c>
      <c r="H4718" t="s">
        <v>124</v>
      </c>
      <c r="I4718" t="s">
        <v>2117</v>
      </c>
    </row>
    <row r="4719" spans="1:9" x14ac:dyDescent="0.35">
      <c r="A4719">
        <v>389730</v>
      </c>
      <c r="B4719" t="s">
        <v>1538</v>
      </c>
      <c r="C4719" s="1">
        <v>42887</v>
      </c>
      <c r="D4719">
        <v>599</v>
      </c>
      <c r="E4719" t="b">
        <v>0</v>
      </c>
      <c r="F4719">
        <v>675</v>
      </c>
      <c r="G4719" t="s">
        <v>53</v>
      </c>
      <c r="H4719" t="s">
        <v>1510</v>
      </c>
      <c r="I4719" t="s">
        <v>2117</v>
      </c>
    </row>
    <row r="4720" spans="1:9" x14ac:dyDescent="0.35">
      <c r="A4720">
        <v>475150</v>
      </c>
      <c r="B4720" t="s">
        <v>1541</v>
      </c>
      <c r="C4720" s="1">
        <v>42613</v>
      </c>
      <c r="D4720">
        <v>599</v>
      </c>
      <c r="E4720" t="b">
        <v>0</v>
      </c>
      <c r="F4720">
        <v>675</v>
      </c>
      <c r="G4720" t="s">
        <v>2084</v>
      </c>
      <c r="H4720" t="s">
        <v>49</v>
      </c>
      <c r="I4720" t="s">
        <v>2116</v>
      </c>
    </row>
    <row r="4721" spans="1:9" x14ac:dyDescent="0.35">
      <c r="A4721">
        <v>475150</v>
      </c>
      <c r="B4721" t="s">
        <v>1541</v>
      </c>
      <c r="C4721" s="1">
        <v>42613</v>
      </c>
      <c r="D4721">
        <v>599</v>
      </c>
      <c r="E4721" t="b">
        <v>0</v>
      </c>
      <c r="F4721">
        <v>675</v>
      </c>
      <c r="G4721" t="s">
        <v>2084</v>
      </c>
      <c r="H4721" t="s">
        <v>792</v>
      </c>
      <c r="I4721" t="s">
        <v>2117</v>
      </c>
    </row>
    <row r="4722" spans="1:9" x14ac:dyDescent="0.35">
      <c r="A4722">
        <v>475150</v>
      </c>
      <c r="B4722" t="s">
        <v>1541</v>
      </c>
      <c r="C4722" s="1">
        <v>42613</v>
      </c>
      <c r="D4722">
        <v>599</v>
      </c>
      <c r="E4722" t="b">
        <v>0</v>
      </c>
      <c r="F4722">
        <v>675</v>
      </c>
      <c r="G4722" t="s">
        <v>2084</v>
      </c>
      <c r="H4722" t="s">
        <v>346</v>
      </c>
      <c r="I4722" t="s">
        <v>2117</v>
      </c>
    </row>
    <row r="4723" spans="1:9" x14ac:dyDescent="0.35">
      <c r="A4723">
        <v>475150</v>
      </c>
      <c r="B4723" t="s">
        <v>1541</v>
      </c>
      <c r="C4723" s="1">
        <v>42613</v>
      </c>
      <c r="D4723">
        <v>599</v>
      </c>
      <c r="E4723" t="b">
        <v>0</v>
      </c>
      <c r="F4723">
        <v>675</v>
      </c>
      <c r="G4723" t="s">
        <v>2084</v>
      </c>
      <c r="H4723" t="s">
        <v>239</v>
      </c>
      <c r="I4723" t="s">
        <v>2117</v>
      </c>
    </row>
    <row r="4724" spans="1:9" x14ac:dyDescent="0.35">
      <c r="A4724">
        <v>475150</v>
      </c>
      <c r="B4724" t="s">
        <v>1541</v>
      </c>
      <c r="C4724" s="1">
        <v>42613</v>
      </c>
      <c r="D4724">
        <v>599</v>
      </c>
      <c r="E4724" t="b">
        <v>0</v>
      </c>
      <c r="F4724">
        <v>675</v>
      </c>
      <c r="G4724" t="s">
        <v>2084</v>
      </c>
      <c r="H4724" t="s">
        <v>132</v>
      </c>
      <c r="I4724" t="s">
        <v>2116</v>
      </c>
    </row>
    <row r="4725" spans="1:9" x14ac:dyDescent="0.35">
      <c r="A4725">
        <v>475150</v>
      </c>
      <c r="B4725" t="s">
        <v>1541</v>
      </c>
      <c r="C4725" s="1">
        <v>42613</v>
      </c>
      <c r="D4725">
        <v>599</v>
      </c>
      <c r="E4725" t="b">
        <v>0</v>
      </c>
      <c r="F4725">
        <v>675</v>
      </c>
      <c r="G4725" t="s">
        <v>2084</v>
      </c>
      <c r="H4725" t="s">
        <v>124</v>
      </c>
      <c r="I4725" t="s">
        <v>2117</v>
      </c>
    </row>
    <row r="4726" spans="1:9" x14ac:dyDescent="0.35">
      <c r="A4726">
        <v>475150</v>
      </c>
      <c r="B4726" t="s">
        <v>1541</v>
      </c>
      <c r="C4726" s="1">
        <v>42613</v>
      </c>
      <c r="D4726">
        <v>599</v>
      </c>
      <c r="E4726" t="b">
        <v>0</v>
      </c>
      <c r="F4726">
        <v>675</v>
      </c>
      <c r="G4726" t="s">
        <v>2084</v>
      </c>
      <c r="H4726" t="s">
        <v>1510</v>
      </c>
      <c r="I4726" t="s">
        <v>2117</v>
      </c>
    </row>
    <row r="4727" spans="1:9" x14ac:dyDescent="0.35">
      <c r="A4727">
        <v>17390</v>
      </c>
      <c r="B4727" t="s">
        <v>1543</v>
      </c>
      <c r="C4727" s="1">
        <v>39801</v>
      </c>
      <c r="D4727">
        <v>599</v>
      </c>
      <c r="E4727" t="b">
        <v>0</v>
      </c>
      <c r="F4727">
        <v>675</v>
      </c>
      <c r="G4727" t="s">
        <v>2084</v>
      </c>
      <c r="H4727" t="s">
        <v>49</v>
      </c>
      <c r="I4727" t="s">
        <v>2116</v>
      </c>
    </row>
    <row r="4728" spans="1:9" x14ac:dyDescent="0.35">
      <c r="A4728">
        <v>17390</v>
      </c>
      <c r="B4728" t="s">
        <v>1543</v>
      </c>
      <c r="C4728" s="1">
        <v>39801</v>
      </c>
      <c r="D4728">
        <v>599</v>
      </c>
      <c r="E4728" t="b">
        <v>0</v>
      </c>
      <c r="F4728">
        <v>675</v>
      </c>
      <c r="G4728" t="s">
        <v>2084</v>
      </c>
      <c r="H4728" t="s">
        <v>792</v>
      </c>
      <c r="I4728" t="s">
        <v>2117</v>
      </c>
    </row>
    <row r="4729" spans="1:9" x14ac:dyDescent="0.35">
      <c r="A4729">
        <v>17390</v>
      </c>
      <c r="B4729" t="s">
        <v>1543</v>
      </c>
      <c r="C4729" s="1">
        <v>39801</v>
      </c>
      <c r="D4729">
        <v>599</v>
      </c>
      <c r="E4729" t="b">
        <v>0</v>
      </c>
      <c r="F4729">
        <v>675</v>
      </c>
      <c r="G4729" t="s">
        <v>2084</v>
      </c>
      <c r="H4729" t="s">
        <v>346</v>
      </c>
      <c r="I4729" t="s">
        <v>2116</v>
      </c>
    </row>
    <row r="4730" spans="1:9" x14ac:dyDescent="0.35">
      <c r="A4730">
        <v>17390</v>
      </c>
      <c r="B4730" t="s">
        <v>1543</v>
      </c>
      <c r="C4730" s="1">
        <v>39801</v>
      </c>
      <c r="D4730">
        <v>599</v>
      </c>
      <c r="E4730" t="b">
        <v>0</v>
      </c>
      <c r="F4730">
        <v>675</v>
      </c>
      <c r="G4730" t="s">
        <v>2084</v>
      </c>
      <c r="H4730" t="s">
        <v>239</v>
      </c>
      <c r="I4730" t="s">
        <v>2116</v>
      </c>
    </row>
    <row r="4731" spans="1:9" x14ac:dyDescent="0.35">
      <c r="A4731">
        <v>17390</v>
      </c>
      <c r="B4731" t="s">
        <v>1543</v>
      </c>
      <c r="C4731" s="1">
        <v>39801</v>
      </c>
      <c r="D4731">
        <v>599</v>
      </c>
      <c r="E4731" t="b">
        <v>0</v>
      </c>
      <c r="F4731">
        <v>675</v>
      </c>
      <c r="G4731" t="s">
        <v>2084</v>
      </c>
      <c r="H4731" t="s">
        <v>132</v>
      </c>
      <c r="I4731" t="s">
        <v>2116</v>
      </c>
    </row>
    <row r="4732" spans="1:9" x14ac:dyDescent="0.35">
      <c r="A4732">
        <v>17390</v>
      </c>
      <c r="B4732" t="s">
        <v>1543</v>
      </c>
      <c r="C4732" s="1">
        <v>39801</v>
      </c>
      <c r="D4732">
        <v>599</v>
      </c>
      <c r="E4732" t="b">
        <v>0</v>
      </c>
      <c r="F4732">
        <v>675</v>
      </c>
      <c r="G4732" t="s">
        <v>2084</v>
      </c>
      <c r="H4732" t="s">
        <v>124</v>
      </c>
      <c r="I4732" t="s">
        <v>2116</v>
      </c>
    </row>
    <row r="4733" spans="1:9" x14ac:dyDescent="0.35">
      <c r="A4733">
        <v>17390</v>
      </c>
      <c r="B4733" t="s">
        <v>1543</v>
      </c>
      <c r="C4733" s="1">
        <v>39801</v>
      </c>
      <c r="D4733">
        <v>599</v>
      </c>
      <c r="E4733" t="b">
        <v>0</v>
      </c>
      <c r="F4733">
        <v>675</v>
      </c>
      <c r="G4733" t="s">
        <v>2084</v>
      </c>
      <c r="H4733" t="s">
        <v>1510</v>
      </c>
      <c r="I4733" t="s">
        <v>2117</v>
      </c>
    </row>
    <row r="4734" spans="1:9" x14ac:dyDescent="0.35">
      <c r="A4734">
        <v>280680</v>
      </c>
      <c r="B4734" t="s">
        <v>1545</v>
      </c>
      <c r="C4734" s="1">
        <v>41800</v>
      </c>
      <c r="D4734">
        <v>598</v>
      </c>
      <c r="E4734" t="b">
        <v>1</v>
      </c>
      <c r="F4734">
        <v>679</v>
      </c>
      <c r="G4734" t="s">
        <v>967</v>
      </c>
      <c r="H4734" t="s">
        <v>49</v>
      </c>
      <c r="I4734" t="s">
        <v>2117</v>
      </c>
    </row>
    <row r="4735" spans="1:9" x14ac:dyDescent="0.35">
      <c r="A4735">
        <v>280680</v>
      </c>
      <c r="B4735" t="s">
        <v>1545</v>
      </c>
      <c r="C4735" s="1">
        <v>41800</v>
      </c>
      <c r="D4735">
        <v>598</v>
      </c>
      <c r="E4735" t="b">
        <v>1</v>
      </c>
      <c r="F4735">
        <v>679</v>
      </c>
      <c r="G4735" t="s">
        <v>967</v>
      </c>
      <c r="H4735" t="s">
        <v>792</v>
      </c>
      <c r="I4735" t="s">
        <v>2116</v>
      </c>
    </row>
    <row r="4736" spans="1:9" x14ac:dyDescent="0.35">
      <c r="A4736">
        <v>280680</v>
      </c>
      <c r="B4736" t="s">
        <v>1545</v>
      </c>
      <c r="C4736" s="1">
        <v>41800</v>
      </c>
      <c r="D4736">
        <v>598</v>
      </c>
      <c r="E4736" t="b">
        <v>1</v>
      </c>
      <c r="F4736">
        <v>679</v>
      </c>
      <c r="G4736" t="s">
        <v>967</v>
      </c>
      <c r="H4736" t="s">
        <v>346</v>
      </c>
      <c r="I4736" t="s">
        <v>2117</v>
      </c>
    </row>
    <row r="4737" spans="1:9" x14ac:dyDescent="0.35">
      <c r="A4737">
        <v>280680</v>
      </c>
      <c r="B4737" t="s">
        <v>1545</v>
      </c>
      <c r="C4737" s="1">
        <v>41800</v>
      </c>
      <c r="D4737">
        <v>598</v>
      </c>
      <c r="E4737" t="b">
        <v>1</v>
      </c>
      <c r="F4737">
        <v>679</v>
      </c>
      <c r="G4737" t="s">
        <v>967</v>
      </c>
      <c r="H4737" t="s">
        <v>239</v>
      </c>
      <c r="I4737" t="s">
        <v>2117</v>
      </c>
    </row>
    <row r="4738" spans="1:9" x14ac:dyDescent="0.35">
      <c r="A4738">
        <v>280680</v>
      </c>
      <c r="B4738" t="s">
        <v>1545</v>
      </c>
      <c r="C4738" s="1">
        <v>41800</v>
      </c>
      <c r="D4738">
        <v>598</v>
      </c>
      <c r="E4738" t="b">
        <v>1</v>
      </c>
      <c r="F4738">
        <v>679</v>
      </c>
      <c r="G4738" t="s">
        <v>967</v>
      </c>
      <c r="H4738" t="s">
        <v>132</v>
      </c>
      <c r="I4738" t="s">
        <v>2117</v>
      </c>
    </row>
    <row r="4739" spans="1:9" x14ac:dyDescent="0.35">
      <c r="A4739">
        <v>280680</v>
      </c>
      <c r="B4739" t="s">
        <v>1545</v>
      </c>
      <c r="C4739" s="1">
        <v>41800</v>
      </c>
      <c r="D4739">
        <v>598</v>
      </c>
      <c r="E4739" t="b">
        <v>1</v>
      </c>
      <c r="F4739">
        <v>679</v>
      </c>
      <c r="G4739" t="s">
        <v>967</v>
      </c>
      <c r="H4739" t="s">
        <v>124</v>
      </c>
      <c r="I4739" t="s">
        <v>2117</v>
      </c>
    </row>
    <row r="4740" spans="1:9" x14ac:dyDescent="0.35">
      <c r="A4740">
        <v>280680</v>
      </c>
      <c r="B4740" t="s">
        <v>1545</v>
      </c>
      <c r="C4740" s="1">
        <v>41800</v>
      </c>
      <c r="D4740">
        <v>598</v>
      </c>
      <c r="E4740" t="b">
        <v>1</v>
      </c>
      <c r="F4740">
        <v>679</v>
      </c>
      <c r="G4740" t="s">
        <v>967</v>
      </c>
      <c r="H4740" t="s">
        <v>1510</v>
      </c>
      <c r="I4740" t="s">
        <v>2117</v>
      </c>
    </row>
    <row r="4741" spans="1:9" x14ac:dyDescent="0.35">
      <c r="A4741">
        <v>1651560</v>
      </c>
      <c r="B4741" t="s">
        <v>1547</v>
      </c>
      <c r="C4741" s="1">
        <v>45425</v>
      </c>
      <c r="D4741">
        <v>598</v>
      </c>
      <c r="E4741" t="b">
        <v>0</v>
      </c>
      <c r="F4741">
        <v>679</v>
      </c>
      <c r="G4741" t="s">
        <v>25</v>
      </c>
      <c r="H4741" t="s">
        <v>49</v>
      </c>
      <c r="I4741" t="s">
        <v>2117</v>
      </c>
    </row>
    <row r="4742" spans="1:9" x14ac:dyDescent="0.35">
      <c r="A4742">
        <v>1651560</v>
      </c>
      <c r="B4742" t="s">
        <v>1547</v>
      </c>
      <c r="C4742" s="1">
        <v>45425</v>
      </c>
      <c r="D4742">
        <v>598</v>
      </c>
      <c r="E4742" t="b">
        <v>0</v>
      </c>
      <c r="F4742">
        <v>679</v>
      </c>
      <c r="G4742" t="s">
        <v>25</v>
      </c>
      <c r="H4742" t="s">
        <v>792</v>
      </c>
      <c r="I4742" t="s">
        <v>2117</v>
      </c>
    </row>
    <row r="4743" spans="1:9" x14ac:dyDescent="0.35">
      <c r="A4743">
        <v>1651560</v>
      </c>
      <c r="B4743" t="s">
        <v>1547</v>
      </c>
      <c r="C4743" s="1">
        <v>45425</v>
      </c>
      <c r="D4743">
        <v>598</v>
      </c>
      <c r="E4743" t="b">
        <v>0</v>
      </c>
      <c r="F4743">
        <v>679</v>
      </c>
      <c r="G4743" t="s">
        <v>25</v>
      </c>
      <c r="H4743" t="s">
        <v>346</v>
      </c>
      <c r="I4743" t="s">
        <v>2117</v>
      </c>
    </row>
    <row r="4744" spans="1:9" x14ac:dyDescent="0.35">
      <c r="A4744">
        <v>1651560</v>
      </c>
      <c r="B4744" t="s">
        <v>1547</v>
      </c>
      <c r="C4744" s="1">
        <v>45425</v>
      </c>
      <c r="D4744">
        <v>598</v>
      </c>
      <c r="E4744" t="b">
        <v>0</v>
      </c>
      <c r="F4744">
        <v>679</v>
      </c>
      <c r="G4744" t="s">
        <v>25</v>
      </c>
      <c r="H4744" t="s">
        <v>239</v>
      </c>
      <c r="I4744" t="s">
        <v>2116</v>
      </c>
    </row>
    <row r="4745" spans="1:9" x14ac:dyDescent="0.35">
      <c r="A4745">
        <v>1651560</v>
      </c>
      <c r="B4745" t="s">
        <v>1547</v>
      </c>
      <c r="C4745" s="1">
        <v>45425</v>
      </c>
      <c r="D4745">
        <v>598</v>
      </c>
      <c r="E4745" t="b">
        <v>0</v>
      </c>
      <c r="F4745">
        <v>679</v>
      </c>
      <c r="G4745" t="s">
        <v>25</v>
      </c>
      <c r="H4745" t="s">
        <v>132</v>
      </c>
      <c r="I4745" t="s">
        <v>2117</v>
      </c>
    </row>
    <row r="4746" spans="1:9" x14ac:dyDescent="0.35">
      <c r="A4746">
        <v>1651560</v>
      </c>
      <c r="B4746" t="s">
        <v>1547</v>
      </c>
      <c r="C4746" s="1">
        <v>45425</v>
      </c>
      <c r="D4746">
        <v>598</v>
      </c>
      <c r="E4746" t="b">
        <v>0</v>
      </c>
      <c r="F4746">
        <v>679</v>
      </c>
      <c r="G4746" t="s">
        <v>25</v>
      </c>
      <c r="H4746" t="s">
        <v>124</v>
      </c>
      <c r="I4746" t="s">
        <v>2116</v>
      </c>
    </row>
    <row r="4747" spans="1:9" x14ac:dyDescent="0.35">
      <c r="A4747">
        <v>1651560</v>
      </c>
      <c r="B4747" t="s">
        <v>1547</v>
      </c>
      <c r="C4747" s="1">
        <v>45425</v>
      </c>
      <c r="D4747">
        <v>598</v>
      </c>
      <c r="E4747" t="b">
        <v>0</v>
      </c>
      <c r="F4747">
        <v>679</v>
      </c>
      <c r="G4747" t="s">
        <v>25</v>
      </c>
      <c r="H4747" t="s">
        <v>1510</v>
      </c>
      <c r="I4747" t="s">
        <v>2117</v>
      </c>
    </row>
    <row r="4748" spans="1:9" x14ac:dyDescent="0.35">
      <c r="A4748">
        <v>2217000</v>
      </c>
      <c r="B4748" t="s">
        <v>1548</v>
      </c>
      <c r="C4748" s="1">
        <v>45588</v>
      </c>
      <c r="D4748">
        <v>596</v>
      </c>
      <c r="E4748" t="b">
        <v>0</v>
      </c>
      <c r="F4748">
        <v>681</v>
      </c>
      <c r="G4748" t="s">
        <v>53</v>
      </c>
      <c r="H4748" t="s">
        <v>49</v>
      </c>
      <c r="I4748" t="s">
        <v>2116</v>
      </c>
    </row>
    <row r="4749" spans="1:9" x14ac:dyDescent="0.35">
      <c r="A4749">
        <v>2217000</v>
      </c>
      <c r="B4749" t="s">
        <v>1548</v>
      </c>
      <c r="C4749" s="1">
        <v>45588</v>
      </c>
      <c r="D4749">
        <v>596</v>
      </c>
      <c r="E4749" t="b">
        <v>0</v>
      </c>
      <c r="F4749">
        <v>681</v>
      </c>
      <c r="G4749" t="s">
        <v>53</v>
      </c>
      <c r="H4749" t="s">
        <v>792</v>
      </c>
      <c r="I4749" t="s">
        <v>2116</v>
      </c>
    </row>
    <row r="4750" spans="1:9" x14ac:dyDescent="0.35">
      <c r="A4750">
        <v>2217000</v>
      </c>
      <c r="B4750" t="s">
        <v>1548</v>
      </c>
      <c r="C4750" s="1">
        <v>45588</v>
      </c>
      <c r="D4750">
        <v>596</v>
      </c>
      <c r="E4750" t="b">
        <v>0</v>
      </c>
      <c r="F4750">
        <v>681</v>
      </c>
      <c r="G4750" t="s">
        <v>53</v>
      </c>
      <c r="H4750" t="s">
        <v>346</v>
      </c>
      <c r="I4750" t="s">
        <v>2117</v>
      </c>
    </row>
    <row r="4751" spans="1:9" x14ac:dyDescent="0.35">
      <c r="A4751">
        <v>2217000</v>
      </c>
      <c r="B4751" t="s">
        <v>1548</v>
      </c>
      <c r="C4751" s="1">
        <v>45588</v>
      </c>
      <c r="D4751">
        <v>596</v>
      </c>
      <c r="E4751" t="b">
        <v>0</v>
      </c>
      <c r="F4751">
        <v>681</v>
      </c>
      <c r="G4751" t="s">
        <v>53</v>
      </c>
      <c r="H4751" t="s">
        <v>239</v>
      </c>
      <c r="I4751" t="s">
        <v>2117</v>
      </c>
    </row>
    <row r="4752" spans="1:9" x14ac:dyDescent="0.35">
      <c r="A4752">
        <v>2217000</v>
      </c>
      <c r="B4752" t="s">
        <v>1548</v>
      </c>
      <c r="C4752" s="1">
        <v>45588</v>
      </c>
      <c r="D4752">
        <v>596</v>
      </c>
      <c r="E4752" t="b">
        <v>0</v>
      </c>
      <c r="F4752">
        <v>681</v>
      </c>
      <c r="G4752" t="s">
        <v>53</v>
      </c>
      <c r="H4752" t="s">
        <v>132</v>
      </c>
      <c r="I4752" t="s">
        <v>2117</v>
      </c>
    </row>
    <row r="4753" spans="1:9" x14ac:dyDescent="0.35">
      <c r="A4753">
        <v>2217000</v>
      </c>
      <c r="B4753" t="s">
        <v>1548</v>
      </c>
      <c r="C4753" s="1">
        <v>45588</v>
      </c>
      <c r="D4753">
        <v>596</v>
      </c>
      <c r="E4753" t="b">
        <v>0</v>
      </c>
      <c r="F4753">
        <v>681</v>
      </c>
      <c r="G4753" t="s">
        <v>53</v>
      </c>
      <c r="H4753" t="s">
        <v>124</v>
      </c>
      <c r="I4753" t="s">
        <v>2117</v>
      </c>
    </row>
    <row r="4754" spans="1:9" x14ac:dyDescent="0.35">
      <c r="A4754">
        <v>2217000</v>
      </c>
      <c r="B4754" t="s">
        <v>1548</v>
      </c>
      <c r="C4754" s="1">
        <v>45588</v>
      </c>
      <c r="D4754">
        <v>596</v>
      </c>
      <c r="E4754" t="b">
        <v>0</v>
      </c>
      <c r="F4754">
        <v>681</v>
      </c>
      <c r="G4754" t="s">
        <v>53</v>
      </c>
      <c r="H4754" t="s">
        <v>1510</v>
      </c>
      <c r="I4754" t="s">
        <v>2117</v>
      </c>
    </row>
    <row r="4755" spans="1:9" x14ac:dyDescent="0.35">
      <c r="A4755">
        <v>1040200</v>
      </c>
      <c r="B4755" t="s">
        <v>1550</v>
      </c>
      <c r="C4755" s="1">
        <v>45518</v>
      </c>
      <c r="D4755">
        <v>596</v>
      </c>
      <c r="E4755" t="b">
        <v>0</v>
      </c>
      <c r="F4755">
        <v>681</v>
      </c>
      <c r="G4755" t="s">
        <v>276</v>
      </c>
      <c r="H4755" t="s">
        <v>49</v>
      </c>
      <c r="I4755" t="s">
        <v>2116</v>
      </c>
    </row>
    <row r="4756" spans="1:9" x14ac:dyDescent="0.35">
      <c r="A4756">
        <v>1040200</v>
      </c>
      <c r="B4756" t="s">
        <v>1550</v>
      </c>
      <c r="C4756" s="1">
        <v>45518</v>
      </c>
      <c r="D4756">
        <v>596</v>
      </c>
      <c r="E4756" t="b">
        <v>0</v>
      </c>
      <c r="F4756">
        <v>681</v>
      </c>
      <c r="G4756" t="s">
        <v>276</v>
      </c>
      <c r="H4756" t="s">
        <v>792</v>
      </c>
      <c r="I4756" t="s">
        <v>2117</v>
      </c>
    </row>
    <row r="4757" spans="1:9" x14ac:dyDescent="0.35">
      <c r="A4757">
        <v>1040200</v>
      </c>
      <c r="B4757" t="s">
        <v>1550</v>
      </c>
      <c r="C4757" s="1">
        <v>45518</v>
      </c>
      <c r="D4757">
        <v>596</v>
      </c>
      <c r="E4757" t="b">
        <v>0</v>
      </c>
      <c r="F4757">
        <v>681</v>
      </c>
      <c r="G4757" t="s">
        <v>276</v>
      </c>
      <c r="H4757" t="s">
        <v>346</v>
      </c>
      <c r="I4757" t="s">
        <v>2117</v>
      </c>
    </row>
    <row r="4758" spans="1:9" x14ac:dyDescent="0.35">
      <c r="A4758">
        <v>1040200</v>
      </c>
      <c r="B4758" t="s">
        <v>1550</v>
      </c>
      <c r="C4758" s="1">
        <v>45518</v>
      </c>
      <c r="D4758">
        <v>596</v>
      </c>
      <c r="E4758" t="b">
        <v>0</v>
      </c>
      <c r="F4758">
        <v>681</v>
      </c>
      <c r="G4758" t="s">
        <v>276</v>
      </c>
      <c r="H4758" t="s">
        <v>239</v>
      </c>
      <c r="I4758" t="s">
        <v>2116</v>
      </c>
    </row>
    <row r="4759" spans="1:9" x14ac:dyDescent="0.35">
      <c r="A4759">
        <v>1040200</v>
      </c>
      <c r="B4759" t="s">
        <v>1550</v>
      </c>
      <c r="C4759" s="1">
        <v>45518</v>
      </c>
      <c r="D4759">
        <v>596</v>
      </c>
      <c r="E4759" t="b">
        <v>0</v>
      </c>
      <c r="F4759">
        <v>681</v>
      </c>
      <c r="G4759" t="s">
        <v>276</v>
      </c>
      <c r="H4759" t="s">
        <v>132</v>
      </c>
      <c r="I4759" t="s">
        <v>2117</v>
      </c>
    </row>
    <row r="4760" spans="1:9" x14ac:dyDescent="0.35">
      <c r="A4760">
        <v>1040200</v>
      </c>
      <c r="B4760" t="s">
        <v>1550</v>
      </c>
      <c r="C4760" s="1">
        <v>45518</v>
      </c>
      <c r="D4760">
        <v>596</v>
      </c>
      <c r="E4760" t="b">
        <v>0</v>
      </c>
      <c r="F4760">
        <v>681</v>
      </c>
      <c r="G4760" t="s">
        <v>276</v>
      </c>
      <c r="H4760" t="s">
        <v>124</v>
      </c>
      <c r="I4760" t="s">
        <v>2117</v>
      </c>
    </row>
    <row r="4761" spans="1:9" x14ac:dyDescent="0.35">
      <c r="A4761">
        <v>1040200</v>
      </c>
      <c r="B4761" t="s">
        <v>1550</v>
      </c>
      <c r="C4761" s="1">
        <v>45518</v>
      </c>
      <c r="D4761">
        <v>596</v>
      </c>
      <c r="E4761" t="b">
        <v>0</v>
      </c>
      <c r="F4761">
        <v>681</v>
      </c>
      <c r="G4761" t="s">
        <v>276</v>
      </c>
      <c r="H4761" t="s">
        <v>1510</v>
      </c>
      <c r="I4761" t="s">
        <v>2117</v>
      </c>
    </row>
    <row r="4762" spans="1:9" x14ac:dyDescent="0.35">
      <c r="A4762">
        <v>1102190</v>
      </c>
      <c r="B4762" t="s">
        <v>1551</v>
      </c>
      <c r="C4762" s="1">
        <v>43972</v>
      </c>
      <c r="D4762">
        <v>595</v>
      </c>
      <c r="E4762" t="b">
        <v>0</v>
      </c>
      <c r="F4762">
        <v>683</v>
      </c>
      <c r="G4762" t="s">
        <v>304</v>
      </c>
      <c r="H4762" t="s">
        <v>49</v>
      </c>
      <c r="I4762" t="s">
        <v>2117</v>
      </c>
    </row>
    <row r="4763" spans="1:9" x14ac:dyDescent="0.35">
      <c r="A4763">
        <v>1102190</v>
      </c>
      <c r="B4763" t="s">
        <v>1551</v>
      </c>
      <c r="C4763" s="1">
        <v>43972</v>
      </c>
      <c r="D4763">
        <v>595</v>
      </c>
      <c r="E4763" t="b">
        <v>0</v>
      </c>
      <c r="F4763">
        <v>683</v>
      </c>
      <c r="G4763" t="s">
        <v>304</v>
      </c>
      <c r="H4763" t="s">
        <v>792</v>
      </c>
      <c r="I4763" t="s">
        <v>2117</v>
      </c>
    </row>
    <row r="4764" spans="1:9" x14ac:dyDescent="0.35">
      <c r="A4764">
        <v>1102190</v>
      </c>
      <c r="B4764" t="s">
        <v>1551</v>
      </c>
      <c r="C4764" s="1">
        <v>43972</v>
      </c>
      <c r="D4764">
        <v>595</v>
      </c>
      <c r="E4764" t="b">
        <v>0</v>
      </c>
      <c r="F4764">
        <v>683</v>
      </c>
      <c r="G4764" t="s">
        <v>304</v>
      </c>
      <c r="H4764" t="s">
        <v>346</v>
      </c>
      <c r="I4764" t="s">
        <v>2117</v>
      </c>
    </row>
    <row r="4765" spans="1:9" x14ac:dyDescent="0.35">
      <c r="A4765">
        <v>1102190</v>
      </c>
      <c r="B4765" t="s">
        <v>1551</v>
      </c>
      <c r="C4765" s="1">
        <v>43972</v>
      </c>
      <c r="D4765">
        <v>595</v>
      </c>
      <c r="E4765" t="b">
        <v>0</v>
      </c>
      <c r="F4765">
        <v>683</v>
      </c>
      <c r="G4765" t="s">
        <v>304</v>
      </c>
      <c r="H4765" t="s">
        <v>239</v>
      </c>
      <c r="I4765" t="s">
        <v>2117</v>
      </c>
    </row>
    <row r="4766" spans="1:9" x14ac:dyDescent="0.35">
      <c r="A4766">
        <v>1102190</v>
      </c>
      <c r="B4766" t="s">
        <v>1551</v>
      </c>
      <c r="C4766" s="1">
        <v>43972</v>
      </c>
      <c r="D4766">
        <v>595</v>
      </c>
      <c r="E4766" t="b">
        <v>0</v>
      </c>
      <c r="F4766">
        <v>683</v>
      </c>
      <c r="G4766" t="s">
        <v>304</v>
      </c>
      <c r="H4766" t="s">
        <v>132</v>
      </c>
      <c r="I4766" t="s">
        <v>2117</v>
      </c>
    </row>
    <row r="4767" spans="1:9" x14ac:dyDescent="0.35">
      <c r="A4767">
        <v>1102190</v>
      </c>
      <c r="B4767" t="s">
        <v>1551</v>
      </c>
      <c r="C4767" s="1">
        <v>43972</v>
      </c>
      <c r="D4767">
        <v>595</v>
      </c>
      <c r="E4767" t="b">
        <v>0</v>
      </c>
      <c r="F4767">
        <v>683</v>
      </c>
      <c r="G4767" t="s">
        <v>304</v>
      </c>
      <c r="H4767" t="s">
        <v>124</v>
      </c>
      <c r="I4767" t="s">
        <v>2116</v>
      </c>
    </row>
    <row r="4768" spans="1:9" x14ac:dyDescent="0.35">
      <c r="A4768">
        <v>1102190</v>
      </c>
      <c r="B4768" t="s">
        <v>1551</v>
      </c>
      <c r="C4768" s="1">
        <v>43972</v>
      </c>
      <c r="D4768">
        <v>595</v>
      </c>
      <c r="E4768" t="b">
        <v>0</v>
      </c>
      <c r="F4768">
        <v>683</v>
      </c>
      <c r="G4768" t="s">
        <v>304</v>
      </c>
      <c r="H4768" t="s">
        <v>1510</v>
      </c>
      <c r="I4768" t="s">
        <v>2117</v>
      </c>
    </row>
    <row r="4769" spans="1:9" x14ac:dyDescent="0.35">
      <c r="A4769">
        <v>610080</v>
      </c>
      <c r="B4769" t="s">
        <v>1553</v>
      </c>
      <c r="C4769" s="1">
        <v>42901</v>
      </c>
      <c r="D4769">
        <v>595</v>
      </c>
      <c r="E4769" t="b">
        <v>1</v>
      </c>
      <c r="F4769">
        <v>683</v>
      </c>
      <c r="G4769" t="s">
        <v>110</v>
      </c>
      <c r="H4769" t="s">
        <v>49</v>
      </c>
      <c r="I4769" t="s">
        <v>2117</v>
      </c>
    </row>
    <row r="4770" spans="1:9" x14ac:dyDescent="0.35">
      <c r="A4770">
        <v>610080</v>
      </c>
      <c r="B4770" t="s">
        <v>1553</v>
      </c>
      <c r="C4770" s="1">
        <v>42901</v>
      </c>
      <c r="D4770">
        <v>595</v>
      </c>
      <c r="E4770" t="b">
        <v>1</v>
      </c>
      <c r="F4770">
        <v>683</v>
      </c>
      <c r="G4770" t="s">
        <v>110</v>
      </c>
      <c r="H4770" t="s">
        <v>792</v>
      </c>
      <c r="I4770" t="s">
        <v>2117</v>
      </c>
    </row>
    <row r="4771" spans="1:9" x14ac:dyDescent="0.35">
      <c r="A4771">
        <v>610080</v>
      </c>
      <c r="B4771" t="s">
        <v>1553</v>
      </c>
      <c r="C4771" s="1">
        <v>42901</v>
      </c>
      <c r="D4771">
        <v>595</v>
      </c>
      <c r="E4771" t="b">
        <v>1</v>
      </c>
      <c r="F4771">
        <v>683</v>
      </c>
      <c r="G4771" t="s">
        <v>110</v>
      </c>
      <c r="H4771" t="s">
        <v>346</v>
      </c>
      <c r="I4771" t="s">
        <v>2117</v>
      </c>
    </row>
    <row r="4772" spans="1:9" x14ac:dyDescent="0.35">
      <c r="A4772">
        <v>610080</v>
      </c>
      <c r="B4772" t="s">
        <v>1553</v>
      </c>
      <c r="C4772" s="1">
        <v>42901</v>
      </c>
      <c r="D4772">
        <v>595</v>
      </c>
      <c r="E4772" t="b">
        <v>1</v>
      </c>
      <c r="F4772">
        <v>683</v>
      </c>
      <c r="G4772" t="s">
        <v>110</v>
      </c>
      <c r="H4772" t="s">
        <v>239</v>
      </c>
      <c r="I4772" t="s">
        <v>2117</v>
      </c>
    </row>
    <row r="4773" spans="1:9" x14ac:dyDescent="0.35">
      <c r="A4773">
        <v>610080</v>
      </c>
      <c r="B4773" t="s">
        <v>1553</v>
      </c>
      <c r="C4773" s="1">
        <v>42901</v>
      </c>
      <c r="D4773">
        <v>595</v>
      </c>
      <c r="E4773" t="b">
        <v>1</v>
      </c>
      <c r="F4773">
        <v>683</v>
      </c>
      <c r="G4773" t="s">
        <v>110</v>
      </c>
      <c r="H4773" t="s">
        <v>132</v>
      </c>
      <c r="I4773" t="s">
        <v>2116</v>
      </c>
    </row>
    <row r="4774" spans="1:9" x14ac:dyDescent="0.35">
      <c r="A4774">
        <v>610080</v>
      </c>
      <c r="B4774" t="s">
        <v>1553</v>
      </c>
      <c r="C4774" s="1">
        <v>42901</v>
      </c>
      <c r="D4774">
        <v>595</v>
      </c>
      <c r="E4774" t="b">
        <v>1</v>
      </c>
      <c r="F4774">
        <v>683</v>
      </c>
      <c r="G4774" t="s">
        <v>110</v>
      </c>
      <c r="H4774" t="s">
        <v>124</v>
      </c>
      <c r="I4774" t="s">
        <v>2116</v>
      </c>
    </row>
    <row r="4775" spans="1:9" x14ac:dyDescent="0.35">
      <c r="A4775">
        <v>610080</v>
      </c>
      <c r="B4775" t="s">
        <v>1553</v>
      </c>
      <c r="C4775" s="1">
        <v>42901</v>
      </c>
      <c r="D4775">
        <v>595</v>
      </c>
      <c r="E4775" t="b">
        <v>1</v>
      </c>
      <c r="F4775">
        <v>683</v>
      </c>
      <c r="G4775" t="s">
        <v>110</v>
      </c>
      <c r="H4775" t="s">
        <v>1510</v>
      </c>
      <c r="I4775" t="s">
        <v>2116</v>
      </c>
    </row>
    <row r="4776" spans="1:9" x14ac:dyDescent="0.35">
      <c r="A4776">
        <v>2393160</v>
      </c>
      <c r="B4776" t="s">
        <v>1556</v>
      </c>
      <c r="C4776" s="1">
        <v>45806</v>
      </c>
      <c r="D4776">
        <v>594</v>
      </c>
      <c r="E4776" t="b">
        <v>0</v>
      </c>
      <c r="F4776">
        <v>685</v>
      </c>
      <c r="G4776" t="s">
        <v>304</v>
      </c>
      <c r="H4776" t="s">
        <v>49</v>
      </c>
      <c r="I4776" t="s">
        <v>2117</v>
      </c>
    </row>
    <row r="4777" spans="1:9" x14ac:dyDescent="0.35">
      <c r="A4777">
        <v>2393160</v>
      </c>
      <c r="B4777" t="s">
        <v>1556</v>
      </c>
      <c r="C4777" s="1">
        <v>45806</v>
      </c>
      <c r="D4777">
        <v>594</v>
      </c>
      <c r="E4777" t="b">
        <v>0</v>
      </c>
      <c r="F4777">
        <v>685</v>
      </c>
      <c r="G4777" t="s">
        <v>304</v>
      </c>
      <c r="H4777" t="s">
        <v>792</v>
      </c>
      <c r="I4777" t="s">
        <v>2117</v>
      </c>
    </row>
    <row r="4778" spans="1:9" x14ac:dyDescent="0.35">
      <c r="A4778">
        <v>2393160</v>
      </c>
      <c r="B4778" t="s">
        <v>1556</v>
      </c>
      <c r="C4778" s="1">
        <v>45806</v>
      </c>
      <c r="D4778">
        <v>594</v>
      </c>
      <c r="E4778" t="b">
        <v>0</v>
      </c>
      <c r="F4778">
        <v>685</v>
      </c>
      <c r="G4778" t="s">
        <v>304</v>
      </c>
      <c r="H4778" t="s">
        <v>346</v>
      </c>
      <c r="I4778" t="s">
        <v>2116</v>
      </c>
    </row>
    <row r="4779" spans="1:9" x14ac:dyDescent="0.35">
      <c r="A4779">
        <v>2393160</v>
      </c>
      <c r="B4779" t="s">
        <v>1556</v>
      </c>
      <c r="C4779" s="1">
        <v>45806</v>
      </c>
      <c r="D4779">
        <v>594</v>
      </c>
      <c r="E4779" t="b">
        <v>0</v>
      </c>
      <c r="F4779">
        <v>685</v>
      </c>
      <c r="G4779" t="s">
        <v>304</v>
      </c>
      <c r="H4779" t="s">
        <v>239</v>
      </c>
      <c r="I4779" t="s">
        <v>2117</v>
      </c>
    </row>
    <row r="4780" spans="1:9" x14ac:dyDescent="0.35">
      <c r="A4780">
        <v>2393160</v>
      </c>
      <c r="B4780" t="s">
        <v>1556</v>
      </c>
      <c r="C4780" s="1">
        <v>45806</v>
      </c>
      <c r="D4780">
        <v>594</v>
      </c>
      <c r="E4780" t="b">
        <v>0</v>
      </c>
      <c r="F4780">
        <v>685</v>
      </c>
      <c r="G4780" t="s">
        <v>304</v>
      </c>
      <c r="H4780" t="s">
        <v>132</v>
      </c>
      <c r="I4780" t="s">
        <v>2116</v>
      </c>
    </row>
    <row r="4781" spans="1:9" x14ac:dyDescent="0.35">
      <c r="A4781">
        <v>2393160</v>
      </c>
      <c r="B4781" t="s">
        <v>1556</v>
      </c>
      <c r="C4781" s="1">
        <v>45806</v>
      </c>
      <c r="D4781">
        <v>594</v>
      </c>
      <c r="E4781" t="b">
        <v>0</v>
      </c>
      <c r="F4781">
        <v>685</v>
      </c>
      <c r="G4781" t="s">
        <v>304</v>
      </c>
      <c r="H4781" t="s">
        <v>124</v>
      </c>
      <c r="I4781" t="s">
        <v>2117</v>
      </c>
    </row>
    <row r="4782" spans="1:9" x14ac:dyDescent="0.35">
      <c r="A4782">
        <v>2393160</v>
      </c>
      <c r="B4782" t="s">
        <v>1556</v>
      </c>
      <c r="C4782" s="1">
        <v>45806</v>
      </c>
      <c r="D4782">
        <v>594</v>
      </c>
      <c r="E4782" t="b">
        <v>0</v>
      </c>
      <c r="F4782">
        <v>685</v>
      </c>
      <c r="G4782" t="s">
        <v>304</v>
      </c>
      <c r="H4782" t="s">
        <v>1510</v>
      </c>
      <c r="I4782" t="s">
        <v>2117</v>
      </c>
    </row>
    <row r="4783" spans="1:9" x14ac:dyDescent="0.35">
      <c r="A4783">
        <v>666140</v>
      </c>
      <c r="B4783" t="s">
        <v>1557</v>
      </c>
      <c r="C4783" s="1">
        <v>43480</v>
      </c>
      <c r="D4783">
        <v>593</v>
      </c>
      <c r="E4783" t="b">
        <v>1</v>
      </c>
      <c r="F4783">
        <v>686</v>
      </c>
      <c r="G4783" t="s">
        <v>133</v>
      </c>
      <c r="H4783" t="s">
        <v>49</v>
      </c>
      <c r="I4783" t="s">
        <v>2117</v>
      </c>
    </row>
    <row r="4784" spans="1:9" x14ac:dyDescent="0.35">
      <c r="A4784">
        <v>666140</v>
      </c>
      <c r="B4784" t="s">
        <v>1557</v>
      </c>
      <c r="C4784" s="1">
        <v>43480</v>
      </c>
      <c r="D4784">
        <v>593</v>
      </c>
      <c r="E4784" t="b">
        <v>1</v>
      </c>
      <c r="F4784">
        <v>686</v>
      </c>
      <c r="G4784" t="s">
        <v>133</v>
      </c>
      <c r="H4784" t="s">
        <v>792</v>
      </c>
      <c r="I4784" t="s">
        <v>2116</v>
      </c>
    </row>
    <row r="4785" spans="1:9" x14ac:dyDescent="0.35">
      <c r="A4785">
        <v>666140</v>
      </c>
      <c r="B4785" t="s">
        <v>1557</v>
      </c>
      <c r="C4785" s="1">
        <v>43480</v>
      </c>
      <c r="D4785">
        <v>593</v>
      </c>
      <c r="E4785" t="b">
        <v>1</v>
      </c>
      <c r="F4785">
        <v>686</v>
      </c>
      <c r="G4785" t="s">
        <v>133</v>
      </c>
      <c r="H4785" t="s">
        <v>346</v>
      </c>
      <c r="I4785" t="s">
        <v>2116</v>
      </c>
    </row>
    <row r="4786" spans="1:9" x14ac:dyDescent="0.35">
      <c r="A4786">
        <v>666140</v>
      </c>
      <c r="B4786" t="s">
        <v>1557</v>
      </c>
      <c r="C4786" s="1">
        <v>43480</v>
      </c>
      <c r="D4786">
        <v>593</v>
      </c>
      <c r="E4786" t="b">
        <v>1</v>
      </c>
      <c r="F4786">
        <v>686</v>
      </c>
      <c r="G4786" t="s">
        <v>133</v>
      </c>
      <c r="H4786" t="s">
        <v>239</v>
      </c>
      <c r="I4786" t="s">
        <v>2116</v>
      </c>
    </row>
    <row r="4787" spans="1:9" x14ac:dyDescent="0.35">
      <c r="A4787">
        <v>666140</v>
      </c>
      <c r="B4787" t="s">
        <v>1557</v>
      </c>
      <c r="C4787" s="1">
        <v>43480</v>
      </c>
      <c r="D4787">
        <v>593</v>
      </c>
      <c r="E4787" t="b">
        <v>1</v>
      </c>
      <c r="F4787">
        <v>686</v>
      </c>
      <c r="G4787" t="s">
        <v>133</v>
      </c>
      <c r="H4787" t="s">
        <v>132</v>
      </c>
      <c r="I4787" t="s">
        <v>2116</v>
      </c>
    </row>
    <row r="4788" spans="1:9" x14ac:dyDescent="0.35">
      <c r="A4788">
        <v>666140</v>
      </c>
      <c r="B4788" t="s">
        <v>1557</v>
      </c>
      <c r="C4788" s="1">
        <v>43480</v>
      </c>
      <c r="D4788">
        <v>593</v>
      </c>
      <c r="E4788" t="b">
        <v>1</v>
      </c>
      <c r="F4788">
        <v>686</v>
      </c>
      <c r="G4788" t="s">
        <v>133</v>
      </c>
      <c r="H4788" t="s">
        <v>124</v>
      </c>
      <c r="I4788" t="s">
        <v>2117</v>
      </c>
    </row>
    <row r="4789" spans="1:9" x14ac:dyDescent="0.35">
      <c r="A4789">
        <v>666140</v>
      </c>
      <c r="B4789" t="s">
        <v>1557</v>
      </c>
      <c r="C4789" s="1">
        <v>43480</v>
      </c>
      <c r="D4789">
        <v>593</v>
      </c>
      <c r="E4789" t="b">
        <v>1</v>
      </c>
      <c r="F4789">
        <v>686</v>
      </c>
      <c r="G4789" t="s">
        <v>133</v>
      </c>
      <c r="H4789" t="s">
        <v>1510</v>
      </c>
      <c r="I4789" t="s">
        <v>2117</v>
      </c>
    </row>
    <row r="4790" spans="1:9" x14ac:dyDescent="0.35">
      <c r="A4790">
        <v>200510</v>
      </c>
      <c r="B4790" t="s">
        <v>1558</v>
      </c>
      <c r="C4790" s="1">
        <v>41190</v>
      </c>
      <c r="D4790">
        <v>590</v>
      </c>
      <c r="E4790" t="b">
        <v>0</v>
      </c>
      <c r="F4790">
        <v>687</v>
      </c>
      <c r="G4790" t="s">
        <v>2084</v>
      </c>
      <c r="H4790" t="s">
        <v>49</v>
      </c>
      <c r="I4790" t="s">
        <v>2117</v>
      </c>
    </row>
    <row r="4791" spans="1:9" x14ac:dyDescent="0.35">
      <c r="A4791">
        <v>200510</v>
      </c>
      <c r="B4791" t="s">
        <v>1558</v>
      </c>
      <c r="C4791" s="1">
        <v>41190</v>
      </c>
      <c r="D4791">
        <v>590</v>
      </c>
      <c r="E4791" t="b">
        <v>0</v>
      </c>
      <c r="F4791">
        <v>687</v>
      </c>
      <c r="G4791" t="s">
        <v>2084</v>
      </c>
      <c r="H4791" t="s">
        <v>792</v>
      </c>
      <c r="I4791" t="s">
        <v>2117</v>
      </c>
    </row>
    <row r="4792" spans="1:9" x14ac:dyDescent="0.35">
      <c r="A4792">
        <v>200510</v>
      </c>
      <c r="B4792" t="s">
        <v>1558</v>
      </c>
      <c r="C4792" s="1">
        <v>41190</v>
      </c>
      <c r="D4792">
        <v>590</v>
      </c>
      <c r="E4792" t="b">
        <v>0</v>
      </c>
      <c r="F4792">
        <v>687</v>
      </c>
      <c r="G4792" t="s">
        <v>2084</v>
      </c>
      <c r="H4792" t="s">
        <v>346</v>
      </c>
      <c r="I4792" t="s">
        <v>2117</v>
      </c>
    </row>
    <row r="4793" spans="1:9" x14ac:dyDescent="0.35">
      <c r="A4793">
        <v>200510</v>
      </c>
      <c r="B4793" t="s">
        <v>1558</v>
      </c>
      <c r="C4793" s="1">
        <v>41190</v>
      </c>
      <c r="D4793">
        <v>590</v>
      </c>
      <c r="E4793" t="b">
        <v>0</v>
      </c>
      <c r="F4793">
        <v>687</v>
      </c>
      <c r="G4793" t="s">
        <v>2084</v>
      </c>
      <c r="H4793" t="s">
        <v>239</v>
      </c>
      <c r="I4793" t="s">
        <v>2117</v>
      </c>
    </row>
    <row r="4794" spans="1:9" x14ac:dyDescent="0.35">
      <c r="A4794">
        <v>200510</v>
      </c>
      <c r="B4794" t="s">
        <v>1558</v>
      </c>
      <c r="C4794" s="1">
        <v>41190</v>
      </c>
      <c r="D4794">
        <v>590</v>
      </c>
      <c r="E4794" t="b">
        <v>0</v>
      </c>
      <c r="F4794">
        <v>687</v>
      </c>
      <c r="G4794" t="s">
        <v>2084</v>
      </c>
      <c r="H4794" t="s">
        <v>132</v>
      </c>
      <c r="I4794" t="s">
        <v>2117</v>
      </c>
    </row>
    <row r="4795" spans="1:9" x14ac:dyDescent="0.35">
      <c r="A4795">
        <v>200510</v>
      </c>
      <c r="B4795" t="s">
        <v>1558</v>
      </c>
      <c r="C4795" s="1">
        <v>41190</v>
      </c>
      <c r="D4795">
        <v>590</v>
      </c>
      <c r="E4795" t="b">
        <v>0</v>
      </c>
      <c r="F4795">
        <v>687</v>
      </c>
      <c r="G4795" t="s">
        <v>2084</v>
      </c>
      <c r="H4795" t="s">
        <v>124</v>
      </c>
      <c r="I4795" t="s">
        <v>2116</v>
      </c>
    </row>
    <row r="4796" spans="1:9" x14ac:dyDescent="0.35">
      <c r="A4796">
        <v>200510</v>
      </c>
      <c r="B4796" t="s">
        <v>1558</v>
      </c>
      <c r="C4796" s="1">
        <v>41190</v>
      </c>
      <c r="D4796">
        <v>590</v>
      </c>
      <c r="E4796" t="b">
        <v>0</v>
      </c>
      <c r="F4796">
        <v>687</v>
      </c>
      <c r="G4796" t="s">
        <v>2084</v>
      </c>
      <c r="H4796" t="s">
        <v>1510</v>
      </c>
      <c r="I4796" t="s">
        <v>2117</v>
      </c>
    </row>
    <row r="4797" spans="1:9" x14ac:dyDescent="0.35">
      <c r="A4797">
        <v>640820</v>
      </c>
      <c r="B4797" t="s">
        <v>1560</v>
      </c>
      <c r="C4797" s="1">
        <v>43368</v>
      </c>
      <c r="D4797">
        <v>590</v>
      </c>
      <c r="E4797" t="b">
        <v>1</v>
      </c>
      <c r="F4797">
        <v>687</v>
      </c>
      <c r="G4797" t="s">
        <v>110</v>
      </c>
      <c r="H4797" t="s">
        <v>49</v>
      </c>
      <c r="I4797" t="s">
        <v>2117</v>
      </c>
    </row>
    <row r="4798" spans="1:9" x14ac:dyDescent="0.35">
      <c r="A4798">
        <v>640820</v>
      </c>
      <c r="B4798" t="s">
        <v>1560</v>
      </c>
      <c r="C4798" s="1">
        <v>43368</v>
      </c>
      <c r="D4798">
        <v>590</v>
      </c>
      <c r="E4798" t="b">
        <v>1</v>
      </c>
      <c r="F4798">
        <v>687</v>
      </c>
      <c r="G4798" t="s">
        <v>110</v>
      </c>
      <c r="H4798" t="s">
        <v>792</v>
      </c>
      <c r="I4798" t="s">
        <v>2117</v>
      </c>
    </row>
    <row r="4799" spans="1:9" x14ac:dyDescent="0.35">
      <c r="A4799">
        <v>640820</v>
      </c>
      <c r="B4799" t="s">
        <v>1560</v>
      </c>
      <c r="C4799" s="1">
        <v>43368</v>
      </c>
      <c r="D4799">
        <v>590</v>
      </c>
      <c r="E4799" t="b">
        <v>1</v>
      </c>
      <c r="F4799">
        <v>687</v>
      </c>
      <c r="G4799" t="s">
        <v>110</v>
      </c>
      <c r="H4799" t="s">
        <v>346</v>
      </c>
      <c r="I4799" t="s">
        <v>2116</v>
      </c>
    </row>
    <row r="4800" spans="1:9" x14ac:dyDescent="0.35">
      <c r="A4800">
        <v>640820</v>
      </c>
      <c r="B4800" t="s">
        <v>1560</v>
      </c>
      <c r="C4800" s="1">
        <v>43368</v>
      </c>
      <c r="D4800">
        <v>590</v>
      </c>
      <c r="E4800" t="b">
        <v>1</v>
      </c>
      <c r="F4800">
        <v>687</v>
      </c>
      <c r="G4800" t="s">
        <v>110</v>
      </c>
      <c r="H4800" t="s">
        <v>239</v>
      </c>
      <c r="I4800" t="s">
        <v>2117</v>
      </c>
    </row>
    <row r="4801" spans="1:9" x14ac:dyDescent="0.35">
      <c r="A4801">
        <v>640820</v>
      </c>
      <c r="B4801" t="s">
        <v>1560</v>
      </c>
      <c r="C4801" s="1">
        <v>43368</v>
      </c>
      <c r="D4801">
        <v>590</v>
      </c>
      <c r="E4801" t="b">
        <v>1</v>
      </c>
      <c r="F4801">
        <v>687</v>
      </c>
      <c r="G4801" t="s">
        <v>110</v>
      </c>
      <c r="H4801" t="s">
        <v>132</v>
      </c>
      <c r="I4801" t="s">
        <v>2116</v>
      </c>
    </row>
    <row r="4802" spans="1:9" x14ac:dyDescent="0.35">
      <c r="A4802">
        <v>640820</v>
      </c>
      <c r="B4802" t="s">
        <v>1560</v>
      </c>
      <c r="C4802" s="1">
        <v>43368</v>
      </c>
      <c r="D4802">
        <v>590</v>
      </c>
      <c r="E4802" t="b">
        <v>1</v>
      </c>
      <c r="F4802">
        <v>687</v>
      </c>
      <c r="G4802" t="s">
        <v>110</v>
      </c>
      <c r="H4802" t="s">
        <v>124</v>
      </c>
      <c r="I4802" t="s">
        <v>2117</v>
      </c>
    </row>
    <row r="4803" spans="1:9" x14ac:dyDescent="0.35">
      <c r="A4803">
        <v>640820</v>
      </c>
      <c r="B4803" t="s">
        <v>1560</v>
      </c>
      <c r="C4803" s="1">
        <v>43368</v>
      </c>
      <c r="D4803">
        <v>590</v>
      </c>
      <c r="E4803" t="b">
        <v>1</v>
      </c>
      <c r="F4803">
        <v>687</v>
      </c>
      <c r="G4803" t="s">
        <v>110</v>
      </c>
      <c r="H4803" t="s">
        <v>1510</v>
      </c>
      <c r="I4803" t="s">
        <v>2117</v>
      </c>
    </row>
    <row r="4804" spans="1:9" x14ac:dyDescent="0.35">
      <c r="A4804">
        <v>1721470</v>
      </c>
      <c r="B4804" t="s">
        <v>1561</v>
      </c>
      <c r="C4804" s="1">
        <v>44481</v>
      </c>
      <c r="D4804">
        <v>588</v>
      </c>
      <c r="E4804" t="b">
        <v>0</v>
      </c>
      <c r="F4804">
        <v>689</v>
      </c>
      <c r="G4804" t="s">
        <v>18</v>
      </c>
      <c r="H4804" t="s">
        <v>49</v>
      </c>
      <c r="I4804" t="s">
        <v>2116</v>
      </c>
    </row>
    <row r="4805" spans="1:9" x14ac:dyDescent="0.35">
      <c r="A4805">
        <v>1721470</v>
      </c>
      <c r="B4805" t="s">
        <v>1561</v>
      </c>
      <c r="C4805" s="1">
        <v>44481</v>
      </c>
      <c r="D4805">
        <v>588</v>
      </c>
      <c r="E4805" t="b">
        <v>0</v>
      </c>
      <c r="F4805">
        <v>689</v>
      </c>
      <c r="G4805" t="s">
        <v>18</v>
      </c>
      <c r="H4805" t="s">
        <v>792</v>
      </c>
      <c r="I4805" t="s">
        <v>2116</v>
      </c>
    </row>
    <row r="4806" spans="1:9" x14ac:dyDescent="0.35">
      <c r="A4806">
        <v>1721470</v>
      </c>
      <c r="B4806" t="s">
        <v>1561</v>
      </c>
      <c r="C4806" s="1">
        <v>44481</v>
      </c>
      <c r="D4806">
        <v>588</v>
      </c>
      <c r="E4806" t="b">
        <v>0</v>
      </c>
      <c r="F4806">
        <v>689</v>
      </c>
      <c r="G4806" t="s">
        <v>18</v>
      </c>
      <c r="H4806" t="s">
        <v>346</v>
      </c>
      <c r="I4806" t="s">
        <v>2116</v>
      </c>
    </row>
    <row r="4807" spans="1:9" x14ac:dyDescent="0.35">
      <c r="A4807">
        <v>1721470</v>
      </c>
      <c r="B4807" t="s">
        <v>1561</v>
      </c>
      <c r="C4807" s="1">
        <v>44481</v>
      </c>
      <c r="D4807">
        <v>588</v>
      </c>
      <c r="E4807" t="b">
        <v>0</v>
      </c>
      <c r="F4807">
        <v>689</v>
      </c>
      <c r="G4807" t="s">
        <v>18</v>
      </c>
      <c r="H4807" t="s">
        <v>239</v>
      </c>
      <c r="I4807" t="s">
        <v>2117</v>
      </c>
    </row>
    <row r="4808" spans="1:9" x14ac:dyDescent="0.35">
      <c r="A4808">
        <v>1721470</v>
      </c>
      <c r="B4808" t="s">
        <v>1561</v>
      </c>
      <c r="C4808" s="1">
        <v>44481</v>
      </c>
      <c r="D4808">
        <v>588</v>
      </c>
      <c r="E4808" t="b">
        <v>0</v>
      </c>
      <c r="F4808">
        <v>689</v>
      </c>
      <c r="G4808" t="s">
        <v>18</v>
      </c>
      <c r="H4808" t="s">
        <v>132</v>
      </c>
      <c r="I4808" t="s">
        <v>2117</v>
      </c>
    </row>
    <row r="4809" spans="1:9" x14ac:dyDescent="0.35">
      <c r="A4809">
        <v>1721470</v>
      </c>
      <c r="B4809" t="s">
        <v>1561</v>
      </c>
      <c r="C4809" s="1">
        <v>44481</v>
      </c>
      <c r="D4809">
        <v>588</v>
      </c>
      <c r="E4809" t="b">
        <v>0</v>
      </c>
      <c r="F4809">
        <v>689</v>
      </c>
      <c r="G4809" t="s">
        <v>18</v>
      </c>
      <c r="H4809" t="s">
        <v>124</v>
      </c>
      <c r="I4809" t="s">
        <v>2117</v>
      </c>
    </row>
    <row r="4810" spans="1:9" x14ac:dyDescent="0.35">
      <c r="A4810">
        <v>1721470</v>
      </c>
      <c r="B4810" t="s">
        <v>1561</v>
      </c>
      <c r="C4810" s="1">
        <v>44481</v>
      </c>
      <c r="D4810">
        <v>588</v>
      </c>
      <c r="E4810" t="b">
        <v>0</v>
      </c>
      <c r="F4810">
        <v>689</v>
      </c>
      <c r="G4810" t="s">
        <v>18</v>
      </c>
      <c r="H4810" t="s">
        <v>1510</v>
      </c>
      <c r="I4810" t="s">
        <v>2117</v>
      </c>
    </row>
    <row r="4811" spans="1:9" x14ac:dyDescent="0.35">
      <c r="A4811">
        <v>252530</v>
      </c>
      <c r="B4811" t="s">
        <v>1562</v>
      </c>
      <c r="C4811" s="1">
        <v>41619</v>
      </c>
      <c r="D4811">
        <v>587</v>
      </c>
      <c r="E4811" t="b">
        <v>0</v>
      </c>
      <c r="F4811">
        <v>690</v>
      </c>
      <c r="G4811" t="s">
        <v>2084</v>
      </c>
      <c r="H4811" t="s">
        <v>49</v>
      </c>
      <c r="I4811" t="s">
        <v>2117</v>
      </c>
    </row>
    <row r="4812" spans="1:9" x14ac:dyDescent="0.35">
      <c r="A4812">
        <v>252530</v>
      </c>
      <c r="B4812" t="s">
        <v>1562</v>
      </c>
      <c r="C4812" s="1">
        <v>41619</v>
      </c>
      <c r="D4812">
        <v>587</v>
      </c>
      <c r="E4812" t="b">
        <v>0</v>
      </c>
      <c r="F4812">
        <v>690</v>
      </c>
      <c r="G4812" t="s">
        <v>2084</v>
      </c>
      <c r="H4812" t="s">
        <v>792</v>
      </c>
      <c r="I4812" t="s">
        <v>2117</v>
      </c>
    </row>
    <row r="4813" spans="1:9" x14ac:dyDescent="0.35">
      <c r="A4813">
        <v>252530</v>
      </c>
      <c r="B4813" t="s">
        <v>1562</v>
      </c>
      <c r="C4813" s="1">
        <v>41619</v>
      </c>
      <c r="D4813">
        <v>587</v>
      </c>
      <c r="E4813" t="b">
        <v>0</v>
      </c>
      <c r="F4813">
        <v>690</v>
      </c>
      <c r="G4813" t="s">
        <v>2084</v>
      </c>
      <c r="H4813" t="s">
        <v>346</v>
      </c>
      <c r="I4813" t="s">
        <v>2117</v>
      </c>
    </row>
    <row r="4814" spans="1:9" x14ac:dyDescent="0.35">
      <c r="A4814">
        <v>252530</v>
      </c>
      <c r="B4814" t="s">
        <v>1562</v>
      </c>
      <c r="C4814" s="1">
        <v>41619</v>
      </c>
      <c r="D4814">
        <v>587</v>
      </c>
      <c r="E4814" t="b">
        <v>0</v>
      </c>
      <c r="F4814">
        <v>690</v>
      </c>
      <c r="G4814" t="s">
        <v>2084</v>
      </c>
      <c r="H4814" t="s">
        <v>239</v>
      </c>
      <c r="I4814" t="s">
        <v>2116</v>
      </c>
    </row>
    <row r="4815" spans="1:9" x14ac:dyDescent="0.35">
      <c r="A4815">
        <v>252530</v>
      </c>
      <c r="B4815" t="s">
        <v>1562</v>
      </c>
      <c r="C4815" s="1">
        <v>41619</v>
      </c>
      <c r="D4815">
        <v>587</v>
      </c>
      <c r="E4815" t="b">
        <v>0</v>
      </c>
      <c r="F4815">
        <v>690</v>
      </c>
      <c r="G4815" t="s">
        <v>2084</v>
      </c>
      <c r="H4815" t="s">
        <v>132</v>
      </c>
      <c r="I4815" t="s">
        <v>2117</v>
      </c>
    </row>
    <row r="4816" spans="1:9" x14ac:dyDescent="0.35">
      <c r="A4816">
        <v>252530</v>
      </c>
      <c r="B4816" t="s">
        <v>1562</v>
      </c>
      <c r="C4816" s="1">
        <v>41619</v>
      </c>
      <c r="D4816">
        <v>587</v>
      </c>
      <c r="E4816" t="b">
        <v>0</v>
      </c>
      <c r="F4816">
        <v>690</v>
      </c>
      <c r="G4816" t="s">
        <v>2084</v>
      </c>
      <c r="H4816" t="s">
        <v>124</v>
      </c>
      <c r="I4816" t="s">
        <v>2117</v>
      </c>
    </row>
    <row r="4817" spans="1:9" x14ac:dyDescent="0.35">
      <c r="A4817">
        <v>252530</v>
      </c>
      <c r="B4817" t="s">
        <v>1562</v>
      </c>
      <c r="C4817" s="1">
        <v>41619</v>
      </c>
      <c r="D4817">
        <v>587</v>
      </c>
      <c r="E4817" t="b">
        <v>0</v>
      </c>
      <c r="F4817">
        <v>690</v>
      </c>
      <c r="G4817" t="s">
        <v>2084</v>
      </c>
      <c r="H4817" t="s">
        <v>1510</v>
      </c>
      <c r="I4817" t="s">
        <v>2117</v>
      </c>
    </row>
    <row r="4818" spans="1:9" x14ac:dyDescent="0.35">
      <c r="A4818">
        <v>2988300</v>
      </c>
      <c r="B4818" t="s">
        <v>1564</v>
      </c>
      <c r="C4818" s="1">
        <v>45798</v>
      </c>
      <c r="D4818">
        <v>583</v>
      </c>
      <c r="E4818" t="b">
        <v>0</v>
      </c>
      <c r="F4818">
        <v>691</v>
      </c>
      <c r="G4818" t="s">
        <v>53</v>
      </c>
      <c r="H4818" t="s">
        <v>49</v>
      </c>
      <c r="I4818" t="s">
        <v>2117</v>
      </c>
    </row>
    <row r="4819" spans="1:9" x14ac:dyDescent="0.35">
      <c r="A4819">
        <v>2988300</v>
      </c>
      <c r="B4819" t="s">
        <v>1564</v>
      </c>
      <c r="C4819" s="1">
        <v>45798</v>
      </c>
      <c r="D4819">
        <v>583</v>
      </c>
      <c r="E4819" t="b">
        <v>0</v>
      </c>
      <c r="F4819">
        <v>691</v>
      </c>
      <c r="G4819" t="s">
        <v>53</v>
      </c>
      <c r="H4819" t="s">
        <v>792</v>
      </c>
      <c r="I4819" t="s">
        <v>2116</v>
      </c>
    </row>
    <row r="4820" spans="1:9" x14ac:dyDescent="0.35">
      <c r="A4820">
        <v>2988300</v>
      </c>
      <c r="B4820" t="s">
        <v>1564</v>
      </c>
      <c r="C4820" s="1">
        <v>45798</v>
      </c>
      <c r="D4820">
        <v>583</v>
      </c>
      <c r="E4820" t="b">
        <v>0</v>
      </c>
      <c r="F4820">
        <v>691</v>
      </c>
      <c r="G4820" t="s">
        <v>53</v>
      </c>
      <c r="H4820" t="s">
        <v>346</v>
      </c>
      <c r="I4820" t="s">
        <v>2117</v>
      </c>
    </row>
    <row r="4821" spans="1:9" x14ac:dyDescent="0.35">
      <c r="A4821">
        <v>2988300</v>
      </c>
      <c r="B4821" t="s">
        <v>1564</v>
      </c>
      <c r="C4821" s="1">
        <v>45798</v>
      </c>
      <c r="D4821">
        <v>583</v>
      </c>
      <c r="E4821" t="b">
        <v>0</v>
      </c>
      <c r="F4821">
        <v>691</v>
      </c>
      <c r="G4821" t="s">
        <v>53</v>
      </c>
      <c r="H4821" t="s">
        <v>239</v>
      </c>
      <c r="I4821" t="s">
        <v>2116</v>
      </c>
    </row>
    <row r="4822" spans="1:9" x14ac:dyDescent="0.35">
      <c r="A4822">
        <v>2988300</v>
      </c>
      <c r="B4822" t="s">
        <v>1564</v>
      </c>
      <c r="C4822" s="1">
        <v>45798</v>
      </c>
      <c r="D4822">
        <v>583</v>
      </c>
      <c r="E4822" t="b">
        <v>0</v>
      </c>
      <c r="F4822">
        <v>691</v>
      </c>
      <c r="G4822" t="s">
        <v>53</v>
      </c>
      <c r="H4822" t="s">
        <v>132</v>
      </c>
      <c r="I4822" t="s">
        <v>2117</v>
      </c>
    </row>
    <row r="4823" spans="1:9" x14ac:dyDescent="0.35">
      <c r="A4823">
        <v>2988300</v>
      </c>
      <c r="B4823" t="s">
        <v>1564</v>
      </c>
      <c r="C4823" s="1">
        <v>45798</v>
      </c>
      <c r="D4823">
        <v>583</v>
      </c>
      <c r="E4823" t="b">
        <v>0</v>
      </c>
      <c r="F4823">
        <v>691</v>
      </c>
      <c r="G4823" t="s">
        <v>53</v>
      </c>
      <c r="H4823" t="s">
        <v>124</v>
      </c>
      <c r="I4823" t="s">
        <v>2117</v>
      </c>
    </row>
    <row r="4824" spans="1:9" x14ac:dyDescent="0.35">
      <c r="A4824">
        <v>2988300</v>
      </c>
      <c r="B4824" t="s">
        <v>1564</v>
      </c>
      <c r="C4824" s="1">
        <v>45798</v>
      </c>
      <c r="D4824">
        <v>583</v>
      </c>
      <c r="E4824" t="b">
        <v>0</v>
      </c>
      <c r="F4824">
        <v>691</v>
      </c>
      <c r="G4824" t="s">
        <v>53</v>
      </c>
      <c r="H4824" t="s">
        <v>1510</v>
      </c>
      <c r="I4824" t="s">
        <v>2117</v>
      </c>
    </row>
    <row r="4825" spans="1:9" x14ac:dyDescent="0.35">
      <c r="A4825">
        <v>750920</v>
      </c>
      <c r="B4825" t="s">
        <v>1566</v>
      </c>
      <c r="C4825" s="1">
        <v>43357</v>
      </c>
      <c r="D4825">
        <v>582</v>
      </c>
      <c r="E4825" t="b">
        <v>1</v>
      </c>
      <c r="F4825">
        <v>692</v>
      </c>
      <c r="G4825" t="s">
        <v>53</v>
      </c>
      <c r="H4825" t="s">
        <v>49</v>
      </c>
      <c r="I4825" t="s">
        <v>2116</v>
      </c>
    </row>
    <row r="4826" spans="1:9" x14ac:dyDescent="0.35">
      <c r="A4826">
        <v>750920</v>
      </c>
      <c r="B4826" t="s">
        <v>1566</v>
      </c>
      <c r="C4826" s="1">
        <v>43357</v>
      </c>
      <c r="D4826">
        <v>582</v>
      </c>
      <c r="E4826" t="b">
        <v>1</v>
      </c>
      <c r="F4826">
        <v>692</v>
      </c>
      <c r="G4826" t="s">
        <v>53</v>
      </c>
      <c r="H4826" t="s">
        <v>792</v>
      </c>
      <c r="I4826" t="s">
        <v>2117</v>
      </c>
    </row>
    <row r="4827" spans="1:9" x14ac:dyDescent="0.35">
      <c r="A4827">
        <v>750920</v>
      </c>
      <c r="B4827" t="s">
        <v>1566</v>
      </c>
      <c r="C4827" s="1">
        <v>43357</v>
      </c>
      <c r="D4827">
        <v>582</v>
      </c>
      <c r="E4827" t="b">
        <v>1</v>
      </c>
      <c r="F4827">
        <v>692</v>
      </c>
      <c r="G4827" t="s">
        <v>53</v>
      </c>
      <c r="H4827" t="s">
        <v>346</v>
      </c>
      <c r="I4827" t="s">
        <v>2116</v>
      </c>
    </row>
    <row r="4828" spans="1:9" x14ac:dyDescent="0.35">
      <c r="A4828">
        <v>750920</v>
      </c>
      <c r="B4828" t="s">
        <v>1566</v>
      </c>
      <c r="C4828" s="1">
        <v>43357</v>
      </c>
      <c r="D4828">
        <v>582</v>
      </c>
      <c r="E4828" t="b">
        <v>1</v>
      </c>
      <c r="F4828">
        <v>692</v>
      </c>
      <c r="G4828" t="s">
        <v>53</v>
      </c>
      <c r="H4828" t="s">
        <v>239</v>
      </c>
      <c r="I4828" t="s">
        <v>2117</v>
      </c>
    </row>
    <row r="4829" spans="1:9" x14ac:dyDescent="0.35">
      <c r="A4829">
        <v>750920</v>
      </c>
      <c r="B4829" t="s">
        <v>1566</v>
      </c>
      <c r="C4829" s="1">
        <v>43357</v>
      </c>
      <c r="D4829">
        <v>582</v>
      </c>
      <c r="E4829" t="b">
        <v>1</v>
      </c>
      <c r="F4829">
        <v>692</v>
      </c>
      <c r="G4829" t="s">
        <v>53</v>
      </c>
      <c r="H4829" t="s">
        <v>132</v>
      </c>
      <c r="I4829" t="s">
        <v>2117</v>
      </c>
    </row>
    <row r="4830" spans="1:9" x14ac:dyDescent="0.35">
      <c r="A4830">
        <v>750920</v>
      </c>
      <c r="B4830" t="s">
        <v>1566</v>
      </c>
      <c r="C4830" s="1">
        <v>43357</v>
      </c>
      <c r="D4830">
        <v>582</v>
      </c>
      <c r="E4830" t="b">
        <v>1</v>
      </c>
      <c r="F4830">
        <v>692</v>
      </c>
      <c r="G4830" t="s">
        <v>53</v>
      </c>
      <c r="H4830" t="s">
        <v>124</v>
      </c>
      <c r="I4830" t="s">
        <v>2117</v>
      </c>
    </row>
    <row r="4831" spans="1:9" x14ac:dyDescent="0.35">
      <c r="A4831">
        <v>750920</v>
      </c>
      <c r="B4831" t="s">
        <v>1566</v>
      </c>
      <c r="C4831" s="1">
        <v>43357</v>
      </c>
      <c r="D4831">
        <v>582</v>
      </c>
      <c r="E4831" t="b">
        <v>1</v>
      </c>
      <c r="F4831">
        <v>692</v>
      </c>
      <c r="G4831" t="s">
        <v>53</v>
      </c>
      <c r="H4831" t="s">
        <v>1510</v>
      </c>
      <c r="I4831" t="s">
        <v>2117</v>
      </c>
    </row>
    <row r="4832" spans="1:9" x14ac:dyDescent="0.35">
      <c r="A4832">
        <v>718670</v>
      </c>
      <c r="B4832" t="s">
        <v>1567</v>
      </c>
      <c r="C4832" s="1">
        <v>43251</v>
      </c>
      <c r="D4832">
        <v>582</v>
      </c>
      <c r="E4832" t="b">
        <v>1</v>
      </c>
      <c r="F4832">
        <v>692</v>
      </c>
      <c r="G4832" t="s">
        <v>14</v>
      </c>
      <c r="H4832" t="s">
        <v>49</v>
      </c>
      <c r="I4832" t="s">
        <v>2117</v>
      </c>
    </row>
    <row r="4833" spans="1:9" x14ac:dyDescent="0.35">
      <c r="A4833">
        <v>718670</v>
      </c>
      <c r="B4833" t="s">
        <v>1567</v>
      </c>
      <c r="C4833" s="1">
        <v>43251</v>
      </c>
      <c r="D4833">
        <v>582</v>
      </c>
      <c r="E4833" t="b">
        <v>1</v>
      </c>
      <c r="F4833">
        <v>692</v>
      </c>
      <c r="G4833" t="s">
        <v>14</v>
      </c>
      <c r="H4833" t="s">
        <v>792</v>
      </c>
      <c r="I4833" t="s">
        <v>2116</v>
      </c>
    </row>
    <row r="4834" spans="1:9" x14ac:dyDescent="0.35">
      <c r="A4834">
        <v>718670</v>
      </c>
      <c r="B4834" t="s">
        <v>1567</v>
      </c>
      <c r="C4834" s="1">
        <v>43251</v>
      </c>
      <c r="D4834">
        <v>582</v>
      </c>
      <c r="E4834" t="b">
        <v>1</v>
      </c>
      <c r="F4834">
        <v>692</v>
      </c>
      <c r="G4834" t="s">
        <v>14</v>
      </c>
      <c r="H4834" t="s">
        <v>346</v>
      </c>
      <c r="I4834" t="s">
        <v>2117</v>
      </c>
    </row>
    <row r="4835" spans="1:9" x14ac:dyDescent="0.35">
      <c r="A4835">
        <v>718670</v>
      </c>
      <c r="B4835" t="s">
        <v>1567</v>
      </c>
      <c r="C4835" s="1">
        <v>43251</v>
      </c>
      <c r="D4835">
        <v>582</v>
      </c>
      <c r="E4835" t="b">
        <v>1</v>
      </c>
      <c r="F4835">
        <v>692</v>
      </c>
      <c r="G4835" t="s">
        <v>14</v>
      </c>
      <c r="H4835" t="s">
        <v>239</v>
      </c>
      <c r="I4835" t="s">
        <v>2116</v>
      </c>
    </row>
    <row r="4836" spans="1:9" x14ac:dyDescent="0.35">
      <c r="A4836">
        <v>718670</v>
      </c>
      <c r="B4836" t="s">
        <v>1567</v>
      </c>
      <c r="C4836" s="1">
        <v>43251</v>
      </c>
      <c r="D4836">
        <v>582</v>
      </c>
      <c r="E4836" t="b">
        <v>1</v>
      </c>
      <c r="F4836">
        <v>692</v>
      </c>
      <c r="G4836" t="s">
        <v>14</v>
      </c>
      <c r="H4836" t="s">
        <v>132</v>
      </c>
      <c r="I4836" t="s">
        <v>2116</v>
      </c>
    </row>
    <row r="4837" spans="1:9" x14ac:dyDescent="0.35">
      <c r="A4837">
        <v>718670</v>
      </c>
      <c r="B4837" t="s">
        <v>1567</v>
      </c>
      <c r="C4837" s="1">
        <v>43251</v>
      </c>
      <c r="D4837">
        <v>582</v>
      </c>
      <c r="E4837" t="b">
        <v>1</v>
      </c>
      <c r="F4837">
        <v>692</v>
      </c>
      <c r="G4837" t="s">
        <v>14</v>
      </c>
      <c r="H4837" t="s">
        <v>124</v>
      </c>
      <c r="I4837" t="s">
        <v>2117</v>
      </c>
    </row>
    <row r="4838" spans="1:9" x14ac:dyDescent="0.35">
      <c r="A4838">
        <v>718670</v>
      </c>
      <c r="B4838" t="s">
        <v>1567</v>
      </c>
      <c r="C4838" s="1">
        <v>43251</v>
      </c>
      <c r="D4838">
        <v>582</v>
      </c>
      <c r="E4838" t="b">
        <v>1</v>
      </c>
      <c r="F4838">
        <v>692</v>
      </c>
      <c r="G4838" t="s">
        <v>14</v>
      </c>
      <c r="H4838" t="s">
        <v>1510</v>
      </c>
      <c r="I4838" t="s">
        <v>2117</v>
      </c>
    </row>
    <row r="4839" spans="1:9" x14ac:dyDescent="0.35">
      <c r="A4839">
        <v>872790</v>
      </c>
      <c r="B4839" t="s">
        <v>1569</v>
      </c>
      <c r="C4839" s="1">
        <v>43406</v>
      </c>
      <c r="D4839">
        <v>581</v>
      </c>
      <c r="E4839" t="b">
        <v>1</v>
      </c>
      <c r="F4839">
        <v>694</v>
      </c>
      <c r="G4839" t="s">
        <v>110</v>
      </c>
      <c r="H4839" t="s">
        <v>49</v>
      </c>
      <c r="I4839" t="s">
        <v>2117</v>
      </c>
    </row>
    <row r="4840" spans="1:9" x14ac:dyDescent="0.35">
      <c r="A4840">
        <v>872790</v>
      </c>
      <c r="B4840" t="s">
        <v>1569</v>
      </c>
      <c r="C4840" s="1">
        <v>43406</v>
      </c>
      <c r="D4840">
        <v>581</v>
      </c>
      <c r="E4840" t="b">
        <v>1</v>
      </c>
      <c r="F4840">
        <v>694</v>
      </c>
      <c r="G4840" t="s">
        <v>110</v>
      </c>
      <c r="H4840" t="s">
        <v>792</v>
      </c>
      <c r="I4840" t="s">
        <v>2117</v>
      </c>
    </row>
    <row r="4841" spans="1:9" x14ac:dyDescent="0.35">
      <c r="A4841">
        <v>872790</v>
      </c>
      <c r="B4841" t="s">
        <v>1569</v>
      </c>
      <c r="C4841" s="1">
        <v>43406</v>
      </c>
      <c r="D4841">
        <v>581</v>
      </c>
      <c r="E4841" t="b">
        <v>1</v>
      </c>
      <c r="F4841">
        <v>694</v>
      </c>
      <c r="G4841" t="s">
        <v>110</v>
      </c>
      <c r="H4841" t="s">
        <v>346</v>
      </c>
      <c r="I4841" t="s">
        <v>2117</v>
      </c>
    </row>
    <row r="4842" spans="1:9" x14ac:dyDescent="0.35">
      <c r="A4842">
        <v>872790</v>
      </c>
      <c r="B4842" t="s">
        <v>1569</v>
      </c>
      <c r="C4842" s="1">
        <v>43406</v>
      </c>
      <c r="D4842">
        <v>581</v>
      </c>
      <c r="E4842" t="b">
        <v>1</v>
      </c>
      <c r="F4842">
        <v>694</v>
      </c>
      <c r="G4842" t="s">
        <v>110</v>
      </c>
      <c r="H4842" t="s">
        <v>239</v>
      </c>
      <c r="I4842" t="s">
        <v>2116</v>
      </c>
    </row>
    <row r="4843" spans="1:9" x14ac:dyDescent="0.35">
      <c r="A4843">
        <v>872790</v>
      </c>
      <c r="B4843" t="s">
        <v>1569</v>
      </c>
      <c r="C4843" s="1">
        <v>43406</v>
      </c>
      <c r="D4843">
        <v>581</v>
      </c>
      <c r="E4843" t="b">
        <v>1</v>
      </c>
      <c r="F4843">
        <v>694</v>
      </c>
      <c r="G4843" t="s">
        <v>110</v>
      </c>
      <c r="H4843" t="s">
        <v>132</v>
      </c>
      <c r="I4843" t="s">
        <v>2117</v>
      </c>
    </row>
    <row r="4844" spans="1:9" x14ac:dyDescent="0.35">
      <c r="A4844">
        <v>872790</v>
      </c>
      <c r="B4844" t="s">
        <v>1569</v>
      </c>
      <c r="C4844" s="1">
        <v>43406</v>
      </c>
      <c r="D4844">
        <v>581</v>
      </c>
      <c r="E4844" t="b">
        <v>1</v>
      </c>
      <c r="F4844">
        <v>694</v>
      </c>
      <c r="G4844" t="s">
        <v>110</v>
      </c>
      <c r="H4844" t="s">
        <v>124</v>
      </c>
      <c r="I4844" t="s">
        <v>2117</v>
      </c>
    </row>
    <row r="4845" spans="1:9" x14ac:dyDescent="0.35">
      <c r="A4845">
        <v>872790</v>
      </c>
      <c r="B4845" t="s">
        <v>1569</v>
      </c>
      <c r="C4845" s="1">
        <v>43406</v>
      </c>
      <c r="D4845">
        <v>581</v>
      </c>
      <c r="E4845" t="b">
        <v>1</v>
      </c>
      <c r="F4845">
        <v>694</v>
      </c>
      <c r="G4845" t="s">
        <v>110</v>
      </c>
      <c r="H4845" t="s">
        <v>1510</v>
      </c>
      <c r="I4845" t="s">
        <v>2117</v>
      </c>
    </row>
    <row r="4846" spans="1:9" x14ac:dyDescent="0.35">
      <c r="A4846">
        <v>2967990</v>
      </c>
      <c r="B4846" t="s">
        <v>1571</v>
      </c>
      <c r="C4846" s="1">
        <v>45552</v>
      </c>
      <c r="D4846">
        <v>581</v>
      </c>
      <c r="E4846" t="b">
        <v>0</v>
      </c>
      <c r="F4846">
        <v>694</v>
      </c>
      <c r="G4846" t="s">
        <v>36</v>
      </c>
      <c r="H4846" t="s">
        <v>49</v>
      </c>
      <c r="I4846" t="s">
        <v>2117</v>
      </c>
    </row>
    <row r="4847" spans="1:9" x14ac:dyDescent="0.35">
      <c r="A4847">
        <v>2967990</v>
      </c>
      <c r="B4847" t="s">
        <v>1571</v>
      </c>
      <c r="C4847" s="1">
        <v>45552</v>
      </c>
      <c r="D4847">
        <v>581</v>
      </c>
      <c r="E4847" t="b">
        <v>0</v>
      </c>
      <c r="F4847">
        <v>694</v>
      </c>
      <c r="G4847" t="s">
        <v>36</v>
      </c>
      <c r="H4847" t="s">
        <v>792</v>
      </c>
      <c r="I4847" t="s">
        <v>2117</v>
      </c>
    </row>
    <row r="4848" spans="1:9" x14ac:dyDescent="0.35">
      <c r="A4848">
        <v>2967990</v>
      </c>
      <c r="B4848" t="s">
        <v>1571</v>
      </c>
      <c r="C4848" s="1">
        <v>45552</v>
      </c>
      <c r="D4848">
        <v>581</v>
      </c>
      <c r="E4848" t="b">
        <v>0</v>
      </c>
      <c r="F4848">
        <v>694</v>
      </c>
      <c r="G4848" t="s">
        <v>36</v>
      </c>
      <c r="H4848" t="s">
        <v>346</v>
      </c>
      <c r="I4848" t="s">
        <v>2117</v>
      </c>
    </row>
    <row r="4849" spans="1:9" x14ac:dyDescent="0.35">
      <c r="A4849">
        <v>2967990</v>
      </c>
      <c r="B4849" t="s">
        <v>1571</v>
      </c>
      <c r="C4849" s="1">
        <v>45552</v>
      </c>
      <c r="D4849">
        <v>581</v>
      </c>
      <c r="E4849" t="b">
        <v>0</v>
      </c>
      <c r="F4849">
        <v>694</v>
      </c>
      <c r="G4849" t="s">
        <v>36</v>
      </c>
      <c r="H4849" t="s">
        <v>239</v>
      </c>
      <c r="I4849" t="s">
        <v>2116</v>
      </c>
    </row>
    <row r="4850" spans="1:9" x14ac:dyDescent="0.35">
      <c r="A4850">
        <v>2967990</v>
      </c>
      <c r="B4850" t="s">
        <v>1571</v>
      </c>
      <c r="C4850" s="1">
        <v>45552</v>
      </c>
      <c r="D4850">
        <v>581</v>
      </c>
      <c r="E4850" t="b">
        <v>0</v>
      </c>
      <c r="F4850">
        <v>694</v>
      </c>
      <c r="G4850" t="s">
        <v>36</v>
      </c>
      <c r="H4850" t="s">
        <v>132</v>
      </c>
      <c r="I4850" t="s">
        <v>2117</v>
      </c>
    </row>
    <row r="4851" spans="1:9" x14ac:dyDescent="0.35">
      <c r="A4851">
        <v>2967990</v>
      </c>
      <c r="B4851" t="s">
        <v>1571</v>
      </c>
      <c r="C4851" s="1">
        <v>45552</v>
      </c>
      <c r="D4851">
        <v>581</v>
      </c>
      <c r="E4851" t="b">
        <v>0</v>
      </c>
      <c r="F4851">
        <v>694</v>
      </c>
      <c r="G4851" t="s">
        <v>36</v>
      </c>
      <c r="H4851" t="s">
        <v>124</v>
      </c>
      <c r="I4851" t="s">
        <v>2117</v>
      </c>
    </row>
    <row r="4852" spans="1:9" x14ac:dyDescent="0.35">
      <c r="A4852">
        <v>2967990</v>
      </c>
      <c r="B4852" t="s">
        <v>1571</v>
      </c>
      <c r="C4852" s="1">
        <v>45552</v>
      </c>
      <c r="D4852">
        <v>581</v>
      </c>
      <c r="E4852" t="b">
        <v>0</v>
      </c>
      <c r="F4852">
        <v>694</v>
      </c>
      <c r="G4852" t="s">
        <v>36</v>
      </c>
      <c r="H4852" t="s">
        <v>1510</v>
      </c>
      <c r="I4852" t="s">
        <v>2117</v>
      </c>
    </row>
    <row r="4853" spans="1:9" x14ac:dyDescent="0.35">
      <c r="A4853">
        <v>898920</v>
      </c>
      <c r="B4853" t="s">
        <v>1573</v>
      </c>
      <c r="C4853" s="1">
        <v>44509</v>
      </c>
      <c r="D4853">
        <v>577</v>
      </c>
      <c r="E4853" t="b">
        <v>1</v>
      </c>
      <c r="F4853">
        <v>696</v>
      </c>
      <c r="G4853" t="s">
        <v>438</v>
      </c>
      <c r="H4853" t="s">
        <v>49</v>
      </c>
      <c r="I4853" t="s">
        <v>2117</v>
      </c>
    </row>
    <row r="4854" spans="1:9" x14ac:dyDescent="0.35">
      <c r="A4854">
        <v>898920</v>
      </c>
      <c r="B4854" t="s">
        <v>1573</v>
      </c>
      <c r="C4854" s="1">
        <v>44509</v>
      </c>
      <c r="D4854">
        <v>577</v>
      </c>
      <c r="E4854" t="b">
        <v>1</v>
      </c>
      <c r="F4854">
        <v>696</v>
      </c>
      <c r="G4854" t="s">
        <v>438</v>
      </c>
      <c r="H4854" t="s">
        <v>792</v>
      </c>
      <c r="I4854" t="s">
        <v>2117</v>
      </c>
    </row>
    <row r="4855" spans="1:9" x14ac:dyDescent="0.35">
      <c r="A4855">
        <v>898920</v>
      </c>
      <c r="B4855" t="s">
        <v>1573</v>
      </c>
      <c r="C4855" s="1">
        <v>44509</v>
      </c>
      <c r="D4855">
        <v>577</v>
      </c>
      <c r="E4855" t="b">
        <v>1</v>
      </c>
      <c r="F4855">
        <v>696</v>
      </c>
      <c r="G4855" t="s">
        <v>438</v>
      </c>
      <c r="H4855" t="s">
        <v>346</v>
      </c>
      <c r="I4855" t="s">
        <v>2117</v>
      </c>
    </row>
    <row r="4856" spans="1:9" x14ac:dyDescent="0.35">
      <c r="A4856">
        <v>898920</v>
      </c>
      <c r="B4856" t="s">
        <v>1573</v>
      </c>
      <c r="C4856" s="1">
        <v>44509</v>
      </c>
      <c r="D4856">
        <v>577</v>
      </c>
      <c r="E4856" t="b">
        <v>1</v>
      </c>
      <c r="F4856">
        <v>696</v>
      </c>
      <c r="G4856" t="s">
        <v>438</v>
      </c>
      <c r="H4856" t="s">
        <v>239</v>
      </c>
      <c r="I4856" t="s">
        <v>2117</v>
      </c>
    </row>
    <row r="4857" spans="1:9" x14ac:dyDescent="0.35">
      <c r="A4857">
        <v>898920</v>
      </c>
      <c r="B4857" t="s">
        <v>1573</v>
      </c>
      <c r="C4857" s="1">
        <v>44509</v>
      </c>
      <c r="D4857">
        <v>577</v>
      </c>
      <c r="E4857" t="b">
        <v>1</v>
      </c>
      <c r="F4857">
        <v>696</v>
      </c>
      <c r="G4857" t="s">
        <v>438</v>
      </c>
      <c r="H4857" t="s">
        <v>132</v>
      </c>
      <c r="I4857" t="s">
        <v>2117</v>
      </c>
    </row>
    <row r="4858" spans="1:9" x14ac:dyDescent="0.35">
      <c r="A4858">
        <v>898920</v>
      </c>
      <c r="B4858" t="s">
        <v>1573</v>
      </c>
      <c r="C4858" s="1">
        <v>44509</v>
      </c>
      <c r="D4858">
        <v>577</v>
      </c>
      <c r="E4858" t="b">
        <v>1</v>
      </c>
      <c r="F4858">
        <v>696</v>
      </c>
      <c r="G4858" t="s">
        <v>438</v>
      </c>
      <c r="H4858" t="s">
        <v>124</v>
      </c>
      <c r="I4858" t="s">
        <v>2116</v>
      </c>
    </row>
    <row r="4859" spans="1:9" x14ac:dyDescent="0.35">
      <c r="A4859">
        <v>898920</v>
      </c>
      <c r="B4859" t="s">
        <v>1573</v>
      </c>
      <c r="C4859" s="1">
        <v>44509</v>
      </c>
      <c r="D4859">
        <v>577</v>
      </c>
      <c r="E4859" t="b">
        <v>1</v>
      </c>
      <c r="F4859">
        <v>696</v>
      </c>
      <c r="G4859" t="s">
        <v>438</v>
      </c>
      <c r="H4859" t="s">
        <v>1510</v>
      </c>
      <c r="I4859" t="s">
        <v>2117</v>
      </c>
    </row>
    <row r="4860" spans="1:9" x14ac:dyDescent="0.35">
      <c r="A4860">
        <v>492720</v>
      </c>
      <c r="B4860" t="s">
        <v>1575</v>
      </c>
      <c r="C4860" s="1">
        <v>43553</v>
      </c>
      <c r="D4860">
        <v>575</v>
      </c>
      <c r="E4860" t="b">
        <v>1</v>
      </c>
      <c r="F4860">
        <v>697</v>
      </c>
      <c r="G4860" t="s">
        <v>133</v>
      </c>
      <c r="H4860" t="s">
        <v>49</v>
      </c>
      <c r="I4860" t="s">
        <v>2117</v>
      </c>
    </row>
    <row r="4861" spans="1:9" x14ac:dyDescent="0.35">
      <c r="A4861">
        <v>492720</v>
      </c>
      <c r="B4861" t="s">
        <v>1575</v>
      </c>
      <c r="C4861" s="1">
        <v>43553</v>
      </c>
      <c r="D4861">
        <v>575</v>
      </c>
      <c r="E4861" t="b">
        <v>1</v>
      </c>
      <c r="F4861">
        <v>697</v>
      </c>
      <c r="G4861" t="s">
        <v>133</v>
      </c>
      <c r="H4861" t="s">
        <v>792</v>
      </c>
      <c r="I4861" t="s">
        <v>2117</v>
      </c>
    </row>
    <row r="4862" spans="1:9" x14ac:dyDescent="0.35">
      <c r="A4862">
        <v>492720</v>
      </c>
      <c r="B4862" t="s">
        <v>1575</v>
      </c>
      <c r="C4862" s="1">
        <v>43553</v>
      </c>
      <c r="D4862">
        <v>575</v>
      </c>
      <c r="E4862" t="b">
        <v>1</v>
      </c>
      <c r="F4862">
        <v>697</v>
      </c>
      <c r="G4862" t="s">
        <v>133</v>
      </c>
      <c r="H4862" t="s">
        <v>346</v>
      </c>
      <c r="I4862" t="s">
        <v>2117</v>
      </c>
    </row>
    <row r="4863" spans="1:9" x14ac:dyDescent="0.35">
      <c r="A4863">
        <v>492720</v>
      </c>
      <c r="B4863" t="s">
        <v>1575</v>
      </c>
      <c r="C4863" s="1">
        <v>43553</v>
      </c>
      <c r="D4863">
        <v>575</v>
      </c>
      <c r="E4863" t="b">
        <v>1</v>
      </c>
      <c r="F4863">
        <v>697</v>
      </c>
      <c r="G4863" t="s">
        <v>133</v>
      </c>
      <c r="H4863" t="s">
        <v>239</v>
      </c>
      <c r="I4863" t="s">
        <v>2116</v>
      </c>
    </row>
    <row r="4864" spans="1:9" x14ac:dyDescent="0.35">
      <c r="A4864">
        <v>492720</v>
      </c>
      <c r="B4864" t="s">
        <v>1575</v>
      </c>
      <c r="C4864" s="1">
        <v>43553</v>
      </c>
      <c r="D4864">
        <v>575</v>
      </c>
      <c r="E4864" t="b">
        <v>1</v>
      </c>
      <c r="F4864">
        <v>697</v>
      </c>
      <c r="G4864" t="s">
        <v>133</v>
      </c>
      <c r="H4864" t="s">
        <v>132</v>
      </c>
      <c r="I4864" t="s">
        <v>2117</v>
      </c>
    </row>
    <row r="4865" spans="1:9" x14ac:dyDescent="0.35">
      <c r="A4865">
        <v>492720</v>
      </c>
      <c r="B4865" t="s">
        <v>1575</v>
      </c>
      <c r="C4865" s="1">
        <v>43553</v>
      </c>
      <c r="D4865">
        <v>575</v>
      </c>
      <c r="E4865" t="b">
        <v>1</v>
      </c>
      <c r="F4865">
        <v>697</v>
      </c>
      <c r="G4865" t="s">
        <v>133</v>
      </c>
      <c r="H4865" t="s">
        <v>124</v>
      </c>
      <c r="I4865" t="s">
        <v>2116</v>
      </c>
    </row>
    <row r="4866" spans="1:9" x14ac:dyDescent="0.35">
      <c r="A4866">
        <v>492720</v>
      </c>
      <c r="B4866" t="s">
        <v>1575</v>
      </c>
      <c r="C4866" s="1">
        <v>43553</v>
      </c>
      <c r="D4866">
        <v>575</v>
      </c>
      <c r="E4866" t="b">
        <v>1</v>
      </c>
      <c r="F4866">
        <v>697</v>
      </c>
      <c r="G4866" t="s">
        <v>133</v>
      </c>
      <c r="H4866" t="s">
        <v>1510</v>
      </c>
      <c r="I4866" t="s">
        <v>2117</v>
      </c>
    </row>
    <row r="4867" spans="1:9" x14ac:dyDescent="0.35">
      <c r="A4867">
        <v>1153410</v>
      </c>
      <c r="B4867" t="s">
        <v>1577</v>
      </c>
      <c r="C4867" s="1">
        <v>45798</v>
      </c>
      <c r="D4867">
        <v>574</v>
      </c>
      <c r="E4867" t="b">
        <v>0</v>
      </c>
      <c r="F4867">
        <v>698</v>
      </c>
      <c r="G4867" t="s">
        <v>113</v>
      </c>
      <c r="H4867" t="s">
        <v>49</v>
      </c>
      <c r="I4867" t="s">
        <v>2117</v>
      </c>
    </row>
    <row r="4868" spans="1:9" x14ac:dyDescent="0.35">
      <c r="A4868">
        <v>1153410</v>
      </c>
      <c r="B4868" t="s">
        <v>1577</v>
      </c>
      <c r="C4868" s="1">
        <v>45798</v>
      </c>
      <c r="D4868">
        <v>574</v>
      </c>
      <c r="E4868" t="b">
        <v>0</v>
      </c>
      <c r="F4868">
        <v>698</v>
      </c>
      <c r="G4868" t="s">
        <v>113</v>
      </c>
      <c r="H4868" t="s">
        <v>792</v>
      </c>
      <c r="I4868" t="s">
        <v>2117</v>
      </c>
    </row>
    <row r="4869" spans="1:9" x14ac:dyDescent="0.35">
      <c r="A4869">
        <v>1153410</v>
      </c>
      <c r="B4869" t="s">
        <v>1577</v>
      </c>
      <c r="C4869" s="1">
        <v>45798</v>
      </c>
      <c r="D4869">
        <v>574</v>
      </c>
      <c r="E4869" t="b">
        <v>0</v>
      </c>
      <c r="F4869">
        <v>698</v>
      </c>
      <c r="G4869" t="s">
        <v>113</v>
      </c>
      <c r="H4869" t="s">
        <v>346</v>
      </c>
      <c r="I4869" t="s">
        <v>2117</v>
      </c>
    </row>
    <row r="4870" spans="1:9" x14ac:dyDescent="0.35">
      <c r="A4870">
        <v>1153410</v>
      </c>
      <c r="B4870" t="s">
        <v>1577</v>
      </c>
      <c r="C4870" s="1">
        <v>45798</v>
      </c>
      <c r="D4870">
        <v>574</v>
      </c>
      <c r="E4870" t="b">
        <v>0</v>
      </c>
      <c r="F4870">
        <v>698</v>
      </c>
      <c r="G4870" t="s">
        <v>113</v>
      </c>
      <c r="H4870" t="s">
        <v>239</v>
      </c>
      <c r="I4870" t="s">
        <v>2116</v>
      </c>
    </row>
    <row r="4871" spans="1:9" x14ac:dyDescent="0.35">
      <c r="A4871">
        <v>1153410</v>
      </c>
      <c r="B4871" t="s">
        <v>1577</v>
      </c>
      <c r="C4871" s="1">
        <v>45798</v>
      </c>
      <c r="D4871">
        <v>574</v>
      </c>
      <c r="E4871" t="b">
        <v>0</v>
      </c>
      <c r="F4871">
        <v>698</v>
      </c>
      <c r="G4871" t="s">
        <v>113</v>
      </c>
      <c r="H4871" t="s">
        <v>132</v>
      </c>
      <c r="I4871" t="s">
        <v>2117</v>
      </c>
    </row>
    <row r="4872" spans="1:9" x14ac:dyDescent="0.35">
      <c r="A4872">
        <v>1153410</v>
      </c>
      <c r="B4872" t="s">
        <v>1577</v>
      </c>
      <c r="C4872" s="1">
        <v>45798</v>
      </c>
      <c r="D4872">
        <v>574</v>
      </c>
      <c r="E4872" t="b">
        <v>0</v>
      </c>
      <c r="F4872">
        <v>698</v>
      </c>
      <c r="G4872" t="s">
        <v>113</v>
      </c>
      <c r="H4872" t="s">
        <v>124</v>
      </c>
      <c r="I4872" t="s">
        <v>2117</v>
      </c>
    </row>
    <row r="4873" spans="1:9" x14ac:dyDescent="0.35">
      <c r="A4873">
        <v>1153410</v>
      </c>
      <c r="B4873" t="s">
        <v>1577</v>
      </c>
      <c r="C4873" s="1">
        <v>45798</v>
      </c>
      <c r="D4873">
        <v>574</v>
      </c>
      <c r="E4873" t="b">
        <v>0</v>
      </c>
      <c r="F4873">
        <v>698</v>
      </c>
      <c r="G4873" t="s">
        <v>113</v>
      </c>
      <c r="H4873" t="s">
        <v>1510</v>
      </c>
      <c r="I4873" t="s">
        <v>2117</v>
      </c>
    </row>
    <row r="4874" spans="1:9" x14ac:dyDescent="0.35">
      <c r="A4874">
        <v>1296610</v>
      </c>
      <c r="B4874" t="s">
        <v>1579</v>
      </c>
      <c r="C4874" s="1">
        <v>45531</v>
      </c>
      <c r="D4874">
        <v>574</v>
      </c>
      <c r="E4874" t="b">
        <v>1</v>
      </c>
      <c r="F4874">
        <v>698</v>
      </c>
      <c r="G4874" t="s">
        <v>14</v>
      </c>
      <c r="H4874" t="s">
        <v>49</v>
      </c>
      <c r="I4874" t="s">
        <v>2117</v>
      </c>
    </row>
    <row r="4875" spans="1:9" x14ac:dyDescent="0.35">
      <c r="A4875">
        <v>1296610</v>
      </c>
      <c r="B4875" t="s">
        <v>1579</v>
      </c>
      <c r="C4875" s="1">
        <v>45531</v>
      </c>
      <c r="D4875">
        <v>574</v>
      </c>
      <c r="E4875" t="b">
        <v>1</v>
      </c>
      <c r="F4875">
        <v>698</v>
      </c>
      <c r="G4875" t="s">
        <v>14</v>
      </c>
      <c r="H4875" t="s">
        <v>792</v>
      </c>
      <c r="I4875" t="s">
        <v>2116</v>
      </c>
    </row>
    <row r="4876" spans="1:9" x14ac:dyDescent="0.35">
      <c r="A4876">
        <v>1296610</v>
      </c>
      <c r="B4876" t="s">
        <v>1579</v>
      </c>
      <c r="C4876" s="1">
        <v>45531</v>
      </c>
      <c r="D4876">
        <v>574</v>
      </c>
      <c r="E4876" t="b">
        <v>1</v>
      </c>
      <c r="F4876">
        <v>698</v>
      </c>
      <c r="G4876" t="s">
        <v>14</v>
      </c>
      <c r="H4876" t="s">
        <v>346</v>
      </c>
      <c r="I4876" t="s">
        <v>2117</v>
      </c>
    </row>
    <row r="4877" spans="1:9" x14ac:dyDescent="0.35">
      <c r="A4877">
        <v>1296610</v>
      </c>
      <c r="B4877" t="s">
        <v>1579</v>
      </c>
      <c r="C4877" s="1">
        <v>45531</v>
      </c>
      <c r="D4877">
        <v>574</v>
      </c>
      <c r="E4877" t="b">
        <v>1</v>
      </c>
      <c r="F4877">
        <v>698</v>
      </c>
      <c r="G4877" t="s">
        <v>14</v>
      </c>
      <c r="H4877" t="s">
        <v>239</v>
      </c>
      <c r="I4877" t="s">
        <v>2117</v>
      </c>
    </row>
    <row r="4878" spans="1:9" x14ac:dyDescent="0.35">
      <c r="A4878">
        <v>1296610</v>
      </c>
      <c r="B4878" t="s">
        <v>1579</v>
      </c>
      <c r="C4878" s="1">
        <v>45531</v>
      </c>
      <c r="D4878">
        <v>574</v>
      </c>
      <c r="E4878" t="b">
        <v>1</v>
      </c>
      <c r="F4878">
        <v>698</v>
      </c>
      <c r="G4878" t="s">
        <v>14</v>
      </c>
      <c r="H4878" t="s">
        <v>132</v>
      </c>
      <c r="I4878" t="s">
        <v>2116</v>
      </c>
    </row>
    <row r="4879" spans="1:9" x14ac:dyDescent="0.35">
      <c r="A4879">
        <v>1296610</v>
      </c>
      <c r="B4879" t="s">
        <v>1579</v>
      </c>
      <c r="C4879" s="1">
        <v>45531</v>
      </c>
      <c r="D4879">
        <v>574</v>
      </c>
      <c r="E4879" t="b">
        <v>1</v>
      </c>
      <c r="F4879">
        <v>698</v>
      </c>
      <c r="G4879" t="s">
        <v>14</v>
      </c>
      <c r="H4879" t="s">
        <v>124</v>
      </c>
      <c r="I4879" t="s">
        <v>2116</v>
      </c>
    </row>
    <row r="4880" spans="1:9" x14ac:dyDescent="0.35">
      <c r="A4880">
        <v>1296610</v>
      </c>
      <c r="B4880" t="s">
        <v>1579</v>
      </c>
      <c r="C4880" s="1">
        <v>45531</v>
      </c>
      <c r="D4880">
        <v>574</v>
      </c>
      <c r="E4880" t="b">
        <v>1</v>
      </c>
      <c r="F4880">
        <v>698</v>
      </c>
      <c r="G4880" t="s">
        <v>14</v>
      </c>
      <c r="H4880" t="s">
        <v>1510</v>
      </c>
      <c r="I4880" t="s">
        <v>2117</v>
      </c>
    </row>
    <row r="4881" spans="1:9" x14ac:dyDescent="0.35">
      <c r="A4881">
        <v>2962300</v>
      </c>
      <c r="B4881" t="s">
        <v>1580</v>
      </c>
      <c r="C4881" s="1">
        <v>45645</v>
      </c>
      <c r="D4881">
        <v>573</v>
      </c>
      <c r="E4881" t="b">
        <v>0</v>
      </c>
      <c r="F4881">
        <v>700</v>
      </c>
      <c r="G4881" t="s">
        <v>119</v>
      </c>
      <c r="H4881" t="s">
        <v>49</v>
      </c>
      <c r="I4881" t="s">
        <v>2117</v>
      </c>
    </row>
    <row r="4882" spans="1:9" x14ac:dyDescent="0.35">
      <c r="A4882">
        <v>2962300</v>
      </c>
      <c r="B4882" t="s">
        <v>1580</v>
      </c>
      <c r="C4882" s="1">
        <v>45645</v>
      </c>
      <c r="D4882">
        <v>573</v>
      </c>
      <c r="E4882" t="b">
        <v>0</v>
      </c>
      <c r="F4882">
        <v>700</v>
      </c>
      <c r="G4882" t="s">
        <v>119</v>
      </c>
      <c r="H4882" t="s">
        <v>792</v>
      </c>
      <c r="I4882" t="s">
        <v>2117</v>
      </c>
    </row>
    <row r="4883" spans="1:9" x14ac:dyDescent="0.35">
      <c r="A4883">
        <v>2962300</v>
      </c>
      <c r="B4883" t="s">
        <v>1580</v>
      </c>
      <c r="C4883" s="1">
        <v>45645</v>
      </c>
      <c r="D4883">
        <v>573</v>
      </c>
      <c r="E4883" t="b">
        <v>0</v>
      </c>
      <c r="F4883">
        <v>700</v>
      </c>
      <c r="G4883" t="s">
        <v>119</v>
      </c>
      <c r="H4883" t="s">
        <v>346</v>
      </c>
      <c r="I4883" t="s">
        <v>2116</v>
      </c>
    </row>
    <row r="4884" spans="1:9" x14ac:dyDescent="0.35">
      <c r="A4884">
        <v>2962300</v>
      </c>
      <c r="B4884" t="s">
        <v>1580</v>
      </c>
      <c r="C4884" s="1">
        <v>45645</v>
      </c>
      <c r="D4884">
        <v>573</v>
      </c>
      <c r="E4884" t="b">
        <v>0</v>
      </c>
      <c r="F4884">
        <v>700</v>
      </c>
      <c r="G4884" t="s">
        <v>119</v>
      </c>
      <c r="H4884" t="s">
        <v>239</v>
      </c>
      <c r="I4884" t="s">
        <v>2117</v>
      </c>
    </row>
    <row r="4885" spans="1:9" x14ac:dyDescent="0.35">
      <c r="A4885">
        <v>2962300</v>
      </c>
      <c r="B4885" t="s">
        <v>1580</v>
      </c>
      <c r="C4885" s="1">
        <v>45645</v>
      </c>
      <c r="D4885">
        <v>573</v>
      </c>
      <c r="E4885" t="b">
        <v>0</v>
      </c>
      <c r="F4885">
        <v>700</v>
      </c>
      <c r="G4885" t="s">
        <v>119</v>
      </c>
      <c r="H4885" t="s">
        <v>132</v>
      </c>
      <c r="I4885" t="s">
        <v>2116</v>
      </c>
    </row>
    <row r="4886" spans="1:9" x14ac:dyDescent="0.35">
      <c r="A4886">
        <v>2962300</v>
      </c>
      <c r="B4886" t="s">
        <v>1580</v>
      </c>
      <c r="C4886" s="1">
        <v>45645</v>
      </c>
      <c r="D4886">
        <v>573</v>
      </c>
      <c r="E4886" t="b">
        <v>0</v>
      </c>
      <c r="F4886">
        <v>700</v>
      </c>
      <c r="G4886" t="s">
        <v>119</v>
      </c>
      <c r="H4886" t="s">
        <v>124</v>
      </c>
      <c r="I4886" t="s">
        <v>2117</v>
      </c>
    </row>
    <row r="4887" spans="1:9" x14ac:dyDescent="0.35">
      <c r="A4887">
        <v>2962300</v>
      </c>
      <c r="B4887" t="s">
        <v>1580</v>
      </c>
      <c r="C4887" s="1">
        <v>45645</v>
      </c>
      <c r="D4887">
        <v>573</v>
      </c>
      <c r="E4887" t="b">
        <v>0</v>
      </c>
      <c r="F4887">
        <v>700</v>
      </c>
      <c r="G4887" t="s">
        <v>119</v>
      </c>
      <c r="H4887" t="s">
        <v>1510</v>
      </c>
      <c r="I4887" t="s">
        <v>2116</v>
      </c>
    </row>
    <row r="4888" spans="1:9" x14ac:dyDescent="0.35">
      <c r="A4888">
        <v>2141730</v>
      </c>
      <c r="B4888" t="s">
        <v>1582</v>
      </c>
      <c r="C4888" s="1">
        <v>44852</v>
      </c>
      <c r="D4888">
        <v>569</v>
      </c>
      <c r="E4888" t="b">
        <v>0</v>
      </c>
      <c r="F4888">
        <v>701</v>
      </c>
      <c r="G4888" t="s">
        <v>119</v>
      </c>
      <c r="H4888" t="s">
        <v>49</v>
      </c>
      <c r="I4888" t="s">
        <v>2116</v>
      </c>
    </row>
    <row r="4889" spans="1:9" x14ac:dyDescent="0.35">
      <c r="A4889">
        <v>2141730</v>
      </c>
      <c r="B4889" t="s">
        <v>1582</v>
      </c>
      <c r="C4889" s="1">
        <v>44852</v>
      </c>
      <c r="D4889">
        <v>569</v>
      </c>
      <c r="E4889" t="b">
        <v>0</v>
      </c>
      <c r="F4889">
        <v>701</v>
      </c>
      <c r="G4889" t="s">
        <v>119</v>
      </c>
      <c r="H4889" t="s">
        <v>792</v>
      </c>
      <c r="I4889" t="s">
        <v>2116</v>
      </c>
    </row>
    <row r="4890" spans="1:9" x14ac:dyDescent="0.35">
      <c r="A4890">
        <v>2141730</v>
      </c>
      <c r="B4890" t="s">
        <v>1582</v>
      </c>
      <c r="C4890" s="1">
        <v>44852</v>
      </c>
      <c r="D4890">
        <v>569</v>
      </c>
      <c r="E4890" t="b">
        <v>0</v>
      </c>
      <c r="F4890">
        <v>701</v>
      </c>
      <c r="G4890" t="s">
        <v>119</v>
      </c>
      <c r="H4890" t="s">
        <v>346</v>
      </c>
      <c r="I4890" t="s">
        <v>2116</v>
      </c>
    </row>
    <row r="4891" spans="1:9" x14ac:dyDescent="0.35">
      <c r="A4891">
        <v>2141730</v>
      </c>
      <c r="B4891" t="s">
        <v>1582</v>
      </c>
      <c r="C4891" s="1">
        <v>44852</v>
      </c>
      <c r="D4891">
        <v>569</v>
      </c>
      <c r="E4891" t="b">
        <v>0</v>
      </c>
      <c r="F4891">
        <v>701</v>
      </c>
      <c r="G4891" t="s">
        <v>119</v>
      </c>
      <c r="H4891" t="s">
        <v>239</v>
      </c>
      <c r="I4891" t="s">
        <v>2117</v>
      </c>
    </row>
    <row r="4892" spans="1:9" x14ac:dyDescent="0.35">
      <c r="A4892">
        <v>2141730</v>
      </c>
      <c r="B4892" t="s">
        <v>1582</v>
      </c>
      <c r="C4892" s="1">
        <v>44852</v>
      </c>
      <c r="D4892">
        <v>569</v>
      </c>
      <c r="E4892" t="b">
        <v>0</v>
      </c>
      <c r="F4892">
        <v>701</v>
      </c>
      <c r="G4892" t="s">
        <v>119</v>
      </c>
      <c r="H4892" t="s">
        <v>132</v>
      </c>
      <c r="I4892" t="s">
        <v>2117</v>
      </c>
    </row>
    <row r="4893" spans="1:9" x14ac:dyDescent="0.35">
      <c r="A4893">
        <v>2141730</v>
      </c>
      <c r="B4893" t="s">
        <v>1582</v>
      </c>
      <c r="C4893" s="1">
        <v>44852</v>
      </c>
      <c r="D4893">
        <v>569</v>
      </c>
      <c r="E4893" t="b">
        <v>0</v>
      </c>
      <c r="F4893">
        <v>701</v>
      </c>
      <c r="G4893" t="s">
        <v>119</v>
      </c>
      <c r="H4893" t="s">
        <v>124</v>
      </c>
      <c r="I4893" t="s">
        <v>2117</v>
      </c>
    </row>
    <row r="4894" spans="1:9" x14ac:dyDescent="0.35">
      <c r="A4894">
        <v>2141730</v>
      </c>
      <c r="B4894" t="s">
        <v>1582</v>
      </c>
      <c r="C4894" s="1">
        <v>44852</v>
      </c>
      <c r="D4894">
        <v>569</v>
      </c>
      <c r="E4894" t="b">
        <v>0</v>
      </c>
      <c r="F4894">
        <v>701</v>
      </c>
      <c r="G4894" t="s">
        <v>119</v>
      </c>
      <c r="H4894" t="s">
        <v>1510</v>
      </c>
      <c r="I4894" t="s">
        <v>2117</v>
      </c>
    </row>
    <row r="4895" spans="1:9" x14ac:dyDescent="0.35">
      <c r="A4895">
        <v>388080</v>
      </c>
      <c r="B4895" t="s">
        <v>1584</v>
      </c>
      <c r="C4895" s="1">
        <v>42208</v>
      </c>
      <c r="D4895">
        <v>569</v>
      </c>
      <c r="E4895" t="b">
        <v>0</v>
      </c>
      <c r="F4895">
        <v>701</v>
      </c>
      <c r="G4895" t="s">
        <v>2084</v>
      </c>
      <c r="H4895" t="s">
        <v>49</v>
      </c>
      <c r="I4895" t="s">
        <v>2116</v>
      </c>
    </row>
    <row r="4896" spans="1:9" x14ac:dyDescent="0.35">
      <c r="A4896">
        <v>388080</v>
      </c>
      <c r="B4896" t="s">
        <v>1584</v>
      </c>
      <c r="C4896" s="1">
        <v>42208</v>
      </c>
      <c r="D4896">
        <v>569</v>
      </c>
      <c r="E4896" t="b">
        <v>0</v>
      </c>
      <c r="F4896">
        <v>701</v>
      </c>
      <c r="G4896" t="s">
        <v>2084</v>
      </c>
      <c r="H4896" t="s">
        <v>792</v>
      </c>
      <c r="I4896" t="s">
        <v>2117</v>
      </c>
    </row>
    <row r="4897" spans="1:9" x14ac:dyDescent="0.35">
      <c r="A4897">
        <v>388080</v>
      </c>
      <c r="B4897" t="s">
        <v>1584</v>
      </c>
      <c r="C4897" s="1">
        <v>42208</v>
      </c>
      <c r="D4897">
        <v>569</v>
      </c>
      <c r="E4897" t="b">
        <v>0</v>
      </c>
      <c r="F4897">
        <v>701</v>
      </c>
      <c r="G4897" t="s">
        <v>2084</v>
      </c>
      <c r="H4897" t="s">
        <v>346</v>
      </c>
      <c r="I4897" t="s">
        <v>2117</v>
      </c>
    </row>
    <row r="4898" spans="1:9" x14ac:dyDescent="0.35">
      <c r="A4898">
        <v>388080</v>
      </c>
      <c r="B4898" t="s">
        <v>1584</v>
      </c>
      <c r="C4898" s="1">
        <v>42208</v>
      </c>
      <c r="D4898">
        <v>569</v>
      </c>
      <c r="E4898" t="b">
        <v>0</v>
      </c>
      <c r="F4898">
        <v>701</v>
      </c>
      <c r="G4898" t="s">
        <v>2084</v>
      </c>
      <c r="H4898" t="s">
        <v>239</v>
      </c>
      <c r="I4898" t="s">
        <v>2117</v>
      </c>
    </row>
    <row r="4899" spans="1:9" x14ac:dyDescent="0.35">
      <c r="A4899">
        <v>388080</v>
      </c>
      <c r="B4899" t="s">
        <v>1584</v>
      </c>
      <c r="C4899" s="1">
        <v>42208</v>
      </c>
      <c r="D4899">
        <v>569</v>
      </c>
      <c r="E4899" t="b">
        <v>0</v>
      </c>
      <c r="F4899">
        <v>701</v>
      </c>
      <c r="G4899" t="s">
        <v>2084</v>
      </c>
      <c r="H4899" t="s">
        <v>132</v>
      </c>
      <c r="I4899" t="s">
        <v>2117</v>
      </c>
    </row>
    <row r="4900" spans="1:9" x14ac:dyDescent="0.35">
      <c r="A4900">
        <v>388080</v>
      </c>
      <c r="B4900" t="s">
        <v>1584</v>
      </c>
      <c r="C4900" s="1">
        <v>42208</v>
      </c>
      <c r="D4900">
        <v>569</v>
      </c>
      <c r="E4900" t="b">
        <v>0</v>
      </c>
      <c r="F4900">
        <v>701</v>
      </c>
      <c r="G4900" t="s">
        <v>2084</v>
      </c>
      <c r="H4900" t="s">
        <v>124</v>
      </c>
      <c r="I4900" t="s">
        <v>2117</v>
      </c>
    </row>
    <row r="4901" spans="1:9" x14ac:dyDescent="0.35">
      <c r="A4901">
        <v>388080</v>
      </c>
      <c r="B4901" t="s">
        <v>1584</v>
      </c>
      <c r="C4901" s="1">
        <v>42208</v>
      </c>
      <c r="D4901">
        <v>569</v>
      </c>
      <c r="E4901" t="b">
        <v>0</v>
      </c>
      <c r="F4901">
        <v>701</v>
      </c>
      <c r="G4901" t="s">
        <v>2084</v>
      </c>
      <c r="H4901" t="s">
        <v>1510</v>
      </c>
      <c r="I4901" t="s">
        <v>2117</v>
      </c>
    </row>
    <row r="4902" spans="1:9" x14ac:dyDescent="0.35">
      <c r="A4902">
        <v>1054490</v>
      </c>
      <c r="B4902" t="s">
        <v>1586</v>
      </c>
      <c r="C4902" s="1">
        <v>44091</v>
      </c>
      <c r="D4902">
        <v>569</v>
      </c>
      <c r="E4902" t="b">
        <v>1</v>
      </c>
      <c r="F4902">
        <v>701</v>
      </c>
      <c r="G4902" t="s">
        <v>932</v>
      </c>
      <c r="H4902" t="s">
        <v>49</v>
      </c>
      <c r="I4902" t="s">
        <v>2117</v>
      </c>
    </row>
    <row r="4903" spans="1:9" x14ac:dyDescent="0.35">
      <c r="A4903">
        <v>1054490</v>
      </c>
      <c r="B4903" t="s">
        <v>1586</v>
      </c>
      <c r="C4903" s="1">
        <v>44091</v>
      </c>
      <c r="D4903">
        <v>569</v>
      </c>
      <c r="E4903" t="b">
        <v>1</v>
      </c>
      <c r="F4903">
        <v>701</v>
      </c>
      <c r="G4903" t="s">
        <v>932</v>
      </c>
      <c r="H4903" t="s">
        <v>792</v>
      </c>
      <c r="I4903" t="s">
        <v>2116</v>
      </c>
    </row>
    <row r="4904" spans="1:9" x14ac:dyDescent="0.35">
      <c r="A4904">
        <v>1054490</v>
      </c>
      <c r="B4904" t="s">
        <v>1586</v>
      </c>
      <c r="C4904" s="1">
        <v>44091</v>
      </c>
      <c r="D4904">
        <v>569</v>
      </c>
      <c r="E4904" t="b">
        <v>1</v>
      </c>
      <c r="F4904">
        <v>701</v>
      </c>
      <c r="G4904" t="s">
        <v>932</v>
      </c>
      <c r="H4904" t="s">
        <v>346</v>
      </c>
      <c r="I4904" t="s">
        <v>2117</v>
      </c>
    </row>
    <row r="4905" spans="1:9" x14ac:dyDescent="0.35">
      <c r="A4905">
        <v>1054490</v>
      </c>
      <c r="B4905" t="s">
        <v>1586</v>
      </c>
      <c r="C4905" s="1">
        <v>44091</v>
      </c>
      <c r="D4905">
        <v>569</v>
      </c>
      <c r="E4905" t="b">
        <v>1</v>
      </c>
      <c r="F4905">
        <v>701</v>
      </c>
      <c r="G4905" t="s">
        <v>932</v>
      </c>
      <c r="H4905" t="s">
        <v>239</v>
      </c>
      <c r="I4905" t="s">
        <v>2117</v>
      </c>
    </row>
    <row r="4906" spans="1:9" x14ac:dyDescent="0.35">
      <c r="A4906">
        <v>1054490</v>
      </c>
      <c r="B4906" t="s">
        <v>1586</v>
      </c>
      <c r="C4906" s="1">
        <v>44091</v>
      </c>
      <c r="D4906">
        <v>569</v>
      </c>
      <c r="E4906" t="b">
        <v>1</v>
      </c>
      <c r="F4906">
        <v>701</v>
      </c>
      <c r="G4906" t="s">
        <v>932</v>
      </c>
      <c r="H4906" t="s">
        <v>132</v>
      </c>
      <c r="I4906" t="s">
        <v>2117</v>
      </c>
    </row>
    <row r="4907" spans="1:9" x14ac:dyDescent="0.35">
      <c r="A4907">
        <v>1054490</v>
      </c>
      <c r="B4907" t="s">
        <v>1586</v>
      </c>
      <c r="C4907" s="1">
        <v>44091</v>
      </c>
      <c r="D4907">
        <v>569</v>
      </c>
      <c r="E4907" t="b">
        <v>1</v>
      </c>
      <c r="F4907">
        <v>701</v>
      </c>
      <c r="G4907" t="s">
        <v>932</v>
      </c>
      <c r="H4907" t="s">
        <v>124</v>
      </c>
      <c r="I4907" t="s">
        <v>2116</v>
      </c>
    </row>
    <row r="4908" spans="1:9" x14ac:dyDescent="0.35">
      <c r="A4908">
        <v>1054490</v>
      </c>
      <c r="B4908" t="s">
        <v>1586</v>
      </c>
      <c r="C4908" s="1">
        <v>44091</v>
      </c>
      <c r="D4908">
        <v>569</v>
      </c>
      <c r="E4908" t="b">
        <v>1</v>
      </c>
      <c r="F4908">
        <v>701</v>
      </c>
      <c r="G4908" t="s">
        <v>932</v>
      </c>
      <c r="H4908" t="s">
        <v>1510</v>
      </c>
      <c r="I4908" t="s">
        <v>2117</v>
      </c>
    </row>
    <row r="4909" spans="1:9" x14ac:dyDescent="0.35">
      <c r="A4909">
        <v>671860</v>
      </c>
      <c r="B4909" t="s">
        <v>1588</v>
      </c>
      <c r="C4909" s="1">
        <v>45092</v>
      </c>
      <c r="D4909">
        <v>568</v>
      </c>
      <c r="E4909" t="b">
        <v>0</v>
      </c>
      <c r="F4909">
        <v>704</v>
      </c>
      <c r="G4909" t="s">
        <v>133</v>
      </c>
      <c r="H4909" t="s">
        <v>49</v>
      </c>
      <c r="I4909" t="s">
        <v>2116</v>
      </c>
    </row>
    <row r="4910" spans="1:9" x14ac:dyDescent="0.35">
      <c r="A4910">
        <v>671860</v>
      </c>
      <c r="B4910" t="s">
        <v>1588</v>
      </c>
      <c r="C4910" s="1">
        <v>45092</v>
      </c>
      <c r="D4910">
        <v>568</v>
      </c>
      <c r="E4910" t="b">
        <v>0</v>
      </c>
      <c r="F4910">
        <v>704</v>
      </c>
      <c r="G4910" t="s">
        <v>133</v>
      </c>
      <c r="H4910" t="s">
        <v>792</v>
      </c>
      <c r="I4910" t="s">
        <v>2117</v>
      </c>
    </row>
    <row r="4911" spans="1:9" x14ac:dyDescent="0.35">
      <c r="A4911">
        <v>671860</v>
      </c>
      <c r="B4911" t="s">
        <v>1588</v>
      </c>
      <c r="C4911" s="1">
        <v>45092</v>
      </c>
      <c r="D4911">
        <v>568</v>
      </c>
      <c r="E4911" t="b">
        <v>0</v>
      </c>
      <c r="F4911">
        <v>704</v>
      </c>
      <c r="G4911" t="s">
        <v>133</v>
      </c>
      <c r="H4911" t="s">
        <v>346</v>
      </c>
      <c r="I4911" t="s">
        <v>2117</v>
      </c>
    </row>
    <row r="4912" spans="1:9" x14ac:dyDescent="0.35">
      <c r="A4912">
        <v>671860</v>
      </c>
      <c r="B4912" t="s">
        <v>1588</v>
      </c>
      <c r="C4912" s="1">
        <v>45092</v>
      </c>
      <c r="D4912">
        <v>568</v>
      </c>
      <c r="E4912" t="b">
        <v>0</v>
      </c>
      <c r="F4912">
        <v>704</v>
      </c>
      <c r="G4912" t="s">
        <v>133</v>
      </c>
      <c r="H4912" t="s">
        <v>239</v>
      </c>
      <c r="I4912" t="s">
        <v>2117</v>
      </c>
    </row>
    <row r="4913" spans="1:9" x14ac:dyDescent="0.35">
      <c r="A4913">
        <v>671860</v>
      </c>
      <c r="B4913" t="s">
        <v>1588</v>
      </c>
      <c r="C4913" s="1">
        <v>45092</v>
      </c>
      <c r="D4913">
        <v>568</v>
      </c>
      <c r="E4913" t="b">
        <v>0</v>
      </c>
      <c r="F4913">
        <v>704</v>
      </c>
      <c r="G4913" t="s">
        <v>133</v>
      </c>
      <c r="H4913" t="s">
        <v>132</v>
      </c>
      <c r="I4913" t="s">
        <v>2117</v>
      </c>
    </row>
    <row r="4914" spans="1:9" x14ac:dyDescent="0.35">
      <c r="A4914">
        <v>671860</v>
      </c>
      <c r="B4914" t="s">
        <v>1588</v>
      </c>
      <c r="C4914" s="1">
        <v>45092</v>
      </c>
      <c r="D4914">
        <v>568</v>
      </c>
      <c r="E4914" t="b">
        <v>0</v>
      </c>
      <c r="F4914">
        <v>704</v>
      </c>
      <c r="G4914" t="s">
        <v>133</v>
      </c>
      <c r="H4914" t="s">
        <v>124</v>
      </c>
      <c r="I4914" t="s">
        <v>2117</v>
      </c>
    </row>
    <row r="4915" spans="1:9" x14ac:dyDescent="0.35">
      <c r="A4915">
        <v>671860</v>
      </c>
      <c r="B4915" t="s">
        <v>1588</v>
      </c>
      <c r="C4915" s="1">
        <v>45092</v>
      </c>
      <c r="D4915">
        <v>568</v>
      </c>
      <c r="E4915" t="b">
        <v>0</v>
      </c>
      <c r="F4915">
        <v>704</v>
      </c>
      <c r="G4915" t="s">
        <v>133</v>
      </c>
      <c r="H4915" t="s">
        <v>1510</v>
      </c>
      <c r="I4915" t="s">
        <v>2117</v>
      </c>
    </row>
    <row r="4916" spans="1:9" x14ac:dyDescent="0.35">
      <c r="A4916">
        <v>2351560</v>
      </c>
      <c r="B4916" t="s">
        <v>1591</v>
      </c>
      <c r="C4916" s="1">
        <v>45260</v>
      </c>
      <c r="D4916">
        <v>567</v>
      </c>
      <c r="E4916" t="b">
        <v>0</v>
      </c>
      <c r="F4916">
        <v>705</v>
      </c>
      <c r="G4916" t="s">
        <v>29</v>
      </c>
      <c r="H4916" t="s">
        <v>49</v>
      </c>
      <c r="I4916" t="s">
        <v>2116</v>
      </c>
    </row>
    <row r="4917" spans="1:9" x14ac:dyDescent="0.35">
      <c r="A4917">
        <v>2351560</v>
      </c>
      <c r="B4917" t="s">
        <v>1591</v>
      </c>
      <c r="C4917" s="1">
        <v>45260</v>
      </c>
      <c r="D4917">
        <v>567</v>
      </c>
      <c r="E4917" t="b">
        <v>0</v>
      </c>
      <c r="F4917">
        <v>705</v>
      </c>
      <c r="G4917" t="s">
        <v>29</v>
      </c>
      <c r="H4917" t="s">
        <v>792</v>
      </c>
      <c r="I4917" t="s">
        <v>2116</v>
      </c>
    </row>
    <row r="4918" spans="1:9" x14ac:dyDescent="0.35">
      <c r="A4918">
        <v>2351560</v>
      </c>
      <c r="B4918" t="s">
        <v>1591</v>
      </c>
      <c r="C4918" s="1">
        <v>45260</v>
      </c>
      <c r="D4918">
        <v>567</v>
      </c>
      <c r="E4918" t="b">
        <v>0</v>
      </c>
      <c r="F4918">
        <v>705</v>
      </c>
      <c r="G4918" t="s">
        <v>29</v>
      </c>
      <c r="H4918" t="s">
        <v>346</v>
      </c>
      <c r="I4918" t="s">
        <v>2117</v>
      </c>
    </row>
    <row r="4919" spans="1:9" x14ac:dyDescent="0.35">
      <c r="A4919">
        <v>2351560</v>
      </c>
      <c r="B4919" t="s">
        <v>1591</v>
      </c>
      <c r="C4919" s="1">
        <v>45260</v>
      </c>
      <c r="D4919">
        <v>567</v>
      </c>
      <c r="E4919" t="b">
        <v>0</v>
      </c>
      <c r="F4919">
        <v>705</v>
      </c>
      <c r="G4919" t="s">
        <v>29</v>
      </c>
      <c r="H4919" t="s">
        <v>239</v>
      </c>
      <c r="I4919" t="s">
        <v>2117</v>
      </c>
    </row>
    <row r="4920" spans="1:9" x14ac:dyDescent="0.35">
      <c r="A4920">
        <v>2351560</v>
      </c>
      <c r="B4920" t="s">
        <v>1591</v>
      </c>
      <c r="C4920" s="1">
        <v>45260</v>
      </c>
      <c r="D4920">
        <v>567</v>
      </c>
      <c r="E4920" t="b">
        <v>0</v>
      </c>
      <c r="F4920">
        <v>705</v>
      </c>
      <c r="G4920" t="s">
        <v>29</v>
      </c>
      <c r="H4920" t="s">
        <v>132</v>
      </c>
      <c r="I4920" t="s">
        <v>2117</v>
      </c>
    </row>
    <row r="4921" spans="1:9" x14ac:dyDescent="0.35">
      <c r="A4921">
        <v>2351560</v>
      </c>
      <c r="B4921" t="s">
        <v>1591</v>
      </c>
      <c r="C4921" s="1">
        <v>45260</v>
      </c>
      <c r="D4921">
        <v>567</v>
      </c>
      <c r="E4921" t="b">
        <v>0</v>
      </c>
      <c r="F4921">
        <v>705</v>
      </c>
      <c r="G4921" t="s">
        <v>29</v>
      </c>
      <c r="H4921" t="s">
        <v>124</v>
      </c>
      <c r="I4921" t="s">
        <v>2116</v>
      </c>
    </row>
    <row r="4922" spans="1:9" x14ac:dyDescent="0.35">
      <c r="A4922">
        <v>2351560</v>
      </c>
      <c r="B4922" t="s">
        <v>1591</v>
      </c>
      <c r="C4922" s="1">
        <v>45260</v>
      </c>
      <c r="D4922">
        <v>567</v>
      </c>
      <c r="E4922" t="b">
        <v>0</v>
      </c>
      <c r="F4922">
        <v>705</v>
      </c>
      <c r="G4922" t="s">
        <v>29</v>
      </c>
      <c r="H4922" t="s">
        <v>1510</v>
      </c>
      <c r="I4922" t="s">
        <v>2117</v>
      </c>
    </row>
    <row r="4923" spans="1:9" x14ac:dyDescent="0.35">
      <c r="A4923">
        <v>21690</v>
      </c>
      <c r="B4923" t="s">
        <v>1592</v>
      </c>
      <c r="C4923" s="1">
        <v>40071</v>
      </c>
      <c r="D4923">
        <v>566</v>
      </c>
      <c r="E4923" t="b">
        <v>0</v>
      </c>
      <c r="F4923">
        <v>706</v>
      </c>
      <c r="G4923" t="s">
        <v>2084</v>
      </c>
      <c r="H4923" t="s">
        <v>49</v>
      </c>
      <c r="I4923" t="s">
        <v>2116</v>
      </c>
    </row>
    <row r="4924" spans="1:9" x14ac:dyDescent="0.35">
      <c r="A4924">
        <v>21690</v>
      </c>
      <c r="B4924" t="s">
        <v>1592</v>
      </c>
      <c r="C4924" s="1">
        <v>40071</v>
      </c>
      <c r="D4924">
        <v>566</v>
      </c>
      <c r="E4924" t="b">
        <v>0</v>
      </c>
      <c r="F4924">
        <v>706</v>
      </c>
      <c r="G4924" t="s">
        <v>2084</v>
      </c>
      <c r="H4924" t="s">
        <v>792</v>
      </c>
      <c r="I4924" t="s">
        <v>2117</v>
      </c>
    </row>
    <row r="4925" spans="1:9" x14ac:dyDescent="0.35">
      <c r="A4925">
        <v>21690</v>
      </c>
      <c r="B4925" t="s">
        <v>1592</v>
      </c>
      <c r="C4925" s="1">
        <v>40071</v>
      </c>
      <c r="D4925">
        <v>566</v>
      </c>
      <c r="E4925" t="b">
        <v>0</v>
      </c>
      <c r="F4925">
        <v>706</v>
      </c>
      <c r="G4925" t="s">
        <v>2084</v>
      </c>
      <c r="H4925" t="s">
        <v>346</v>
      </c>
      <c r="I4925" t="s">
        <v>2116</v>
      </c>
    </row>
    <row r="4926" spans="1:9" x14ac:dyDescent="0.35">
      <c r="A4926">
        <v>21690</v>
      </c>
      <c r="B4926" t="s">
        <v>1592</v>
      </c>
      <c r="C4926" s="1">
        <v>40071</v>
      </c>
      <c r="D4926">
        <v>566</v>
      </c>
      <c r="E4926" t="b">
        <v>0</v>
      </c>
      <c r="F4926">
        <v>706</v>
      </c>
      <c r="G4926" t="s">
        <v>2084</v>
      </c>
      <c r="H4926" t="s">
        <v>239</v>
      </c>
      <c r="I4926" t="s">
        <v>2117</v>
      </c>
    </row>
    <row r="4927" spans="1:9" x14ac:dyDescent="0.35">
      <c r="A4927">
        <v>21690</v>
      </c>
      <c r="B4927" t="s">
        <v>1592</v>
      </c>
      <c r="C4927" s="1">
        <v>40071</v>
      </c>
      <c r="D4927">
        <v>566</v>
      </c>
      <c r="E4927" t="b">
        <v>0</v>
      </c>
      <c r="F4927">
        <v>706</v>
      </c>
      <c r="G4927" t="s">
        <v>2084</v>
      </c>
      <c r="H4927" t="s">
        <v>132</v>
      </c>
      <c r="I4927" t="s">
        <v>2117</v>
      </c>
    </row>
    <row r="4928" spans="1:9" x14ac:dyDescent="0.35">
      <c r="A4928">
        <v>21690</v>
      </c>
      <c r="B4928" t="s">
        <v>1592</v>
      </c>
      <c r="C4928" s="1">
        <v>40071</v>
      </c>
      <c r="D4928">
        <v>566</v>
      </c>
      <c r="E4928" t="b">
        <v>0</v>
      </c>
      <c r="F4928">
        <v>706</v>
      </c>
      <c r="G4928" t="s">
        <v>2084</v>
      </c>
      <c r="H4928" t="s">
        <v>124</v>
      </c>
      <c r="I4928" t="s">
        <v>2117</v>
      </c>
    </row>
    <row r="4929" spans="1:9" x14ac:dyDescent="0.35">
      <c r="A4929">
        <v>21690</v>
      </c>
      <c r="B4929" t="s">
        <v>1592</v>
      </c>
      <c r="C4929" s="1">
        <v>40071</v>
      </c>
      <c r="D4929">
        <v>566</v>
      </c>
      <c r="E4929" t="b">
        <v>0</v>
      </c>
      <c r="F4929">
        <v>706</v>
      </c>
      <c r="G4929" t="s">
        <v>2084</v>
      </c>
      <c r="H4929" t="s">
        <v>1510</v>
      </c>
      <c r="I4929" t="s">
        <v>2117</v>
      </c>
    </row>
    <row r="4930" spans="1:9" x14ac:dyDescent="0.35">
      <c r="A4930">
        <v>1213210</v>
      </c>
      <c r="B4930" t="s">
        <v>1594</v>
      </c>
      <c r="C4930" s="1">
        <v>43987</v>
      </c>
      <c r="D4930">
        <v>564</v>
      </c>
      <c r="E4930" t="b">
        <v>0</v>
      </c>
      <c r="F4930">
        <v>707</v>
      </c>
      <c r="G4930" t="s">
        <v>40</v>
      </c>
      <c r="H4930" t="s">
        <v>49</v>
      </c>
      <c r="I4930" t="s">
        <v>2117</v>
      </c>
    </row>
    <row r="4931" spans="1:9" x14ac:dyDescent="0.35">
      <c r="A4931">
        <v>1213210</v>
      </c>
      <c r="B4931" t="s">
        <v>1594</v>
      </c>
      <c r="C4931" s="1">
        <v>43987</v>
      </c>
      <c r="D4931">
        <v>564</v>
      </c>
      <c r="E4931" t="b">
        <v>0</v>
      </c>
      <c r="F4931">
        <v>707</v>
      </c>
      <c r="G4931" t="s">
        <v>40</v>
      </c>
      <c r="H4931" t="s">
        <v>792</v>
      </c>
      <c r="I4931" t="s">
        <v>2117</v>
      </c>
    </row>
    <row r="4932" spans="1:9" x14ac:dyDescent="0.35">
      <c r="A4932">
        <v>1213210</v>
      </c>
      <c r="B4932" t="s">
        <v>1594</v>
      </c>
      <c r="C4932" s="1">
        <v>43987</v>
      </c>
      <c r="D4932">
        <v>564</v>
      </c>
      <c r="E4932" t="b">
        <v>0</v>
      </c>
      <c r="F4932">
        <v>707</v>
      </c>
      <c r="G4932" t="s">
        <v>40</v>
      </c>
      <c r="H4932" t="s">
        <v>346</v>
      </c>
      <c r="I4932" t="s">
        <v>2117</v>
      </c>
    </row>
    <row r="4933" spans="1:9" x14ac:dyDescent="0.35">
      <c r="A4933">
        <v>1213210</v>
      </c>
      <c r="B4933" t="s">
        <v>1594</v>
      </c>
      <c r="C4933" s="1">
        <v>43987</v>
      </c>
      <c r="D4933">
        <v>564</v>
      </c>
      <c r="E4933" t="b">
        <v>0</v>
      </c>
      <c r="F4933">
        <v>707</v>
      </c>
      <c r="G4933" t="s">
        <v>40</v>
      </c>
      <c r="H4933" t="s">
        <v>239</v>
      </c>
      <c r="I4933" t="s">
        <v>2117</v>
      </c>
    </row>
    <row r="4934" spans="1:9" x14ac:dyDescent="0.35">
      <c r="A4934">
        <v>1213210</v>
      </c>
      <c r="B4934" t="s">
        <v>1594</v>
      </c>
      <c r="C4934" s="1">
        <v>43987</v>
      </c>
      <c r="D4934">
        <v>564</v>
      </c>
      <c r="E4934" t="b">
        <v>0</v>
      </c>
      <c r="F4934">
        <v>707</v>
      </c>
      <c r="G4934" t="s">
        <v>40</v>
      </c>
      <c r="H4934" t="s">
        <v>132</v>
      </c>
      <c r="I4934" t="s">
        <v>2117</v>
      </c>
    </row>
    <row r="4935" spans="1:9" x14ac:dyDescent="0.35">
      <c r="A4935">
        <v>1213210</v>
      </c>
      <c r="B4935" t="s">
        <v>1594</v>
      </c>
      <c r="C4935" s="1">
        <v>43987</v>
      </c>
      <c r="D4935">
        <v>564</v>
      </c>
      <c r="E4935" t="b">
        <v>0</v>
      </c>
      <c r="F4935">
        <v>707</v>
      </c>
      <c r="G4935" t="s">
        <v>40</v>
      </c>
      <c r="H4935" t="s">
        <v>124</v>
      </c>
      <c r="I4935" t="s">
        <v>2116</v>
      </c>
    </row>
    <row r="4936" spans="1:9" x14ac:dyDescent="0.35">
      <c r="A4936">
        <v>1213210</v>
      </c>
      <c r="B4936" t="s">
        <v>1594</v>
      </c>
      <c r="C4936" s="1">
        <v>43987</v>
      </c>
      <c r="D4936">
        <v>564</v>
      </c>
      <c r="E4936" t="b">
        <v>0</v>
      </c>
      <c r="F4936">
        <v>707</v>
      </c>
      <c r="G4936" t="s">
        <v>40</v>
      </c>
      <c r="H4936" t="s">
        <v>1510</v>
      </c>
      <c r="I4936" t="s">
        <v>2117</v>
      </c>
    </row>
    <row r="4937" spans="1:9" x14ac:dyDescent="0.35">
      <c r="A4937">
        <v>234140</v>
      </c>
      <c r="B4937" t="s">
        <v>1596</v>
      </c>
      <c r="C4937" s="1">
        <v>42248</v>
      </c>
      <c r="D4937">
        <v>563</v>
      </c>
      <c r="E4937" t="b">
        <v>0</v>
      </c>
      <c r="F4937">
        <v>708</v>
      </c>
      <c r="G4937" t="s">
        <v>2087</v>
      </c>
      <c r="H4937" t="s">
        <v>49</v>
      </c>
      <c r="I4937" t="s">
        <v>2116</v>
      </c>
    </row>
    <row r="4938" spans="1:9" x14ac:dyDescent="0.35">
      <c r="A4938">
        <v>234140</v>
      </c>
      <c r="B4938" t="s">
        <v>1596</v>
      </c>
      <c r="C4938" s="1">
        <v>42248</v>
      </c>
      <c r="D4938">
        <v>563</v>
      </c>
      <c r="E4938" t="b">
        <v>0</v>
      </c>
      <c r="F4938">
        <v>708</v>
      </c>
      <c r="G4938" t="s">
        <v>2087</v>
      </c>
      <c r="H4938" t="s">
        <v>792</v>
      </c>
      <c r="I4938" t="s">
        <v>2117</v>
      </c>
    </row>
    <row r="4939" spans="1:9" x14ac:dyDescent="0.35">
      <c r="A4939">
        <v>234140</v>
      </c>
      <c r="B4939" t="s">
        <v>1596</v>
      </c>
      <c r="C4939" s="1">
        <v>42248</v>
      </c>
      <c r="D4939">
        <v>563</v>
      </c>
      <c r="E4939" t="b">
        <v>0</v>
      </c>
      <c r="F4939">
        <v>708</v>
      </c>
      <c r="G4939" t="s">
        <v>2087</v>
      </c>
      <c r="H4939" t="s">
        <v>346</v>
      </c>
      <c r="I4939" t="s">
        <v>2116</v>
      </c>
    </row>
    <row r="4940" spans="1:9" x14ac:dyDescent="0.35">
      <c r="A4940">
        <v>234140</v>
      </c>
      <c r="B4940" t="s">
        <v>1596</v>
      </c>
      <c r="C4940" s="1">
        <v>42248</v>
      </c>
      <c r="D4940">
        <v>563</v>
      </c>
      <c r="E4940" t="b">
        <v>0</v>
      </c>
      <c r="F4940">
        <v>708</v>
      </c>
      <c r="G4940" t="s">
        <v>2087</v>
      </c>
      <c r="H4940" t="s">
        <v>239</v>
      </c>
      <c r="I4940" t="s">
        <v>2117</v>
      </c>
    </row>
    <row r="4941" spans="1:9" x14ac:dyDescent="0.35">
      <c r="A4941">
        <v>234140</v>
      </c>
      <c r="B4941" t="s">
        <v>1596</v>
      </c>
      <c r="C4941" s="1">
        <v>42248</v>
      </c>
      <c r="D4941">
        <v>563</v>
      </c>
      <c r="E4941" t="b">
        <v>0</v>
      </c>
      <c r="F4941">
        <v>708</v>
      </c>
      <c r="G4941" t="s">
        <v>2087</v>
      </c>
      <c r="H4941" t="s">
        <v>132</v>
      </c>
      <c r="I4941" t="s">
        <v>2117</v>
      </c>
    </row>
    <row r="4942" spans="1:9" x14ac:dyDescent="0.35">
      <c r="A4942">
        <v>234140</v>
      </c>
      <c r="B4942" t="s">
        <v>1596</v>
      </c>
      <c r="C4942" s="1">
        <v>42248</v>
      </c>
      <c r="D4942">
        <v>563</v>
      </c>
      <c r="E4942" t="b">
        <v>0</v>
      </c>
      <c r="F4942">
        <v>708</v>
      </c>
      <c r="G4942" t="s">
        <v>2087</v>
      </c>
      <c r="H4942" t="s">
        <v>124</v>
      </c>
      <c r="I4942" t="s">
        <v>2117</v>
      </c>
    </row>
    <row r="4943" spans="1:9" x14ac:dyDescent="0.35">
      <c r="A4943">
        <v>234140</v>
      </c>
      <c r="B4943" t="s">
        <v>1596</v>
      </c>
      <c r="C4943" s="1">
        <v>42248</v>
      </c>
      <c r="D4943">
        <v>563</v>
      </c>
      <c r="E4943" t="b">
        <v>0</v>
      </c>
      <c r="F4943">
        <v>708</v>
      </c>
      <c r="G4943" t="s">
        <v>2087</v>
      </c>
      <c r="H4943" t="s">
        <v>1510</v>
      </c>
      <c r="I4943" t="s">
        <v>2117</v>
      </c>
    </row>
    <row r="4944" spans="1:9" x14ac:dyDescent="0.35">
      <c r="A4944">
        <v>212200</v>
      </c>
      <c r="B4944" t="s">
        <v>1597</v>
      </c>
      <c r="C4944" s="1">
        <v>41249</v>
      </c>
      <c r="D4944">
        <v>559</v>
      </c>
      <c r="E4944" t="b">
        <v>0</v>
      </c>
      <c r="F4944">
        <v>709</v>
      </c>
      <c r="G4944" t="s">
        <v>2084</v>
      </c>
      <c r="H4944" t="s">
        <v>49</v>
      </c>
      <c r="I4944" t="s">
        <v>2116</v>
      </c>
    </row>
    <row r="4945" spans="1:9" x14ac:dyDescent="0.35">
      <c r="A4945">
        <v>212200</v>
      </c>
      <c r="B4945" t="s">
        <v>1597</v>
      </c>
      <c r="C4945" s="1">
        <v>41249</v>
      </c>
      <c r="D4945">
        <v>559</v>
      </c>
      <c r="E4945" t="b">
        <v>0</v>
      </c>
      <c r="F4945">
        <v>709</v>
      </c>
      <c r="G4945" t="s">
        <v>2084</v>
      </c>
      <c r="H4945" t="s">
        <v>792</v>
      </c>
      <c r="I4945" t="s">
        <v>2117</v>
      </c>
    </row>
    <row r="4946" spans="1:9" x14ac:dyDescent="0.35">
      <c r="A4946">
        <v>212200</v>
      </c>
      <c r="B4946" t="s">
        <v>1597</v>
      </c>
      <c r="C4946" s="1">
        <v>41249</v>
      </c>
      <c r="D4946">
        <v>559</v>
      </c>
      <c r="E4946" t="b">
        <v>0</v>
      </c>
      <c r="F4946">
        <v>709</v>
      </c>
      <c r="G4946" t="s">
        <v>2084</v>
      </c>
      <c r="H4946" t="s">
        <v>346</v>
      </c>
      <c r="I4946" t="s">
        <v>2116</v>
      </c>
    </row>
    <row r="4947" spans="1:9" x14ac:dyDescent="0.35">
      <c r="A4947">
        <v>212200</v>
      </c>
      <c r="B4947" t="s">
        <v>1597</v>
      </c>
      <c r="C4947" s="1">
        <v>41249</v>
      </c>
      <c r="D4947">
        <v>559</v>
      </c>
      <c r="E4947" t="b">
        <v>0</v>
      </c>
      <c r="F4947">
        <v>709</v>
      </c>
      <c r="G4947" t="s">
        <v>2084</v>
      </c>
      <c r="H4947" t="s">
        <v>239</v>
      </c>
      <c r="I4947" t="s">
        <v>2116</v>
      </c>
    </row>
    <row r="4948" spans="1:9" x14ac:dyDescent="0.35">
      <c r="A4948">
        <v>212200</v>
      </c>
      <c r="B4948" t="s">
        <v>1597</v>
      </c>
      <c r="C4948" s="1">
        <v>41249</v>
      </c>
      <c r="D4948">
        <v>559</v>
      </c>
      <c r="E4948" t="b">
        <v>0</v>
      </c>
      <c r="F4948">
        <v>709</v>
      </c>
      <c r="G4948" t="s">
        <v>2084</v>
      </c>
      <c r="H4948" t="s">
        <v>132</v>
      </c>
      <c r="I4948" t="s">
        <v>2116</v>
      </c>
    </row>
    <row r="4949" spans="1:9" x14ac:dyDescent="0.35">
      <c r="A4949">
        <v>212200</v>
      </c>
      <c r="B4949" t="s">
        <v>1597</v>
      </c>
      <c r="C4949" s="1">
        <v>41249</v>
      </c>
      <c r="D4949">
        <v>559</v>
      </c>
      <c r="E4949" t="b">
        <v>0</v>
      </c>
      <c r="F4949">
        <v>709</v>
      </c>
      <c r="G4949" t="s">
        <v>2084</v>
      </c>
      <c r="H4949" t="s">
        <v>124</v>
      </c>
      <c r="I4949" t="s">
        <v>2117</v>
      </c>
    </row>
    <row r="4950" spans="1:9" x14ac:dyDescent="0.35">
      <c r="A4950">
        <v>212200</v>
      </c>
      <c r="B4950" t="s">
        <v>1597</v>
      </c>
      <c r="C4950" s="1">
        <v>41249</v>
      </c>
      <c r="D4950">
        <v>559</v>
      </c>
      <c r="E4950" t="b">
        <v>0</v>
      </c>
      <c r="F4950">
        <v>709</v>
      </c>
      <c r="G4950" t="s">
        <v>2084</v>
      </c>
      <c r="H4950" t="s">
        <v>1510</v>
      </c>
      <c r="I4950" t="s">
        <v>2116</v>
      </c>
    </row>
    <row r="4951" spans="1:9" x14ac:dyDescent="0.35">
      <c r="A4951">
        <v>1017900</v>
      </c>
      <c r="B4951" t="s">
        <v>1599</v>
      </c>
      <c r="C4951" s="1">
        <v>43696</v>
      </c>
      <c r="D4951">
        <v>559</v>
      </c>
      <c r="E4951" t="b">
        <v>0</v>
      </c>
      <c r="F4951">
        <v>709</v>
      </c>
      <c r="G4951" t="s">
        <v>110</v>
      </c>
      <c r="H4951" t="s">
        <v>49</v>
      </c>
      <c r="I4951" t="s">
        <v>2117</v>
      </c>
    </row>
    <row r="4952" spans="1:9" x14ac:dyDescent="0.35">
      <c r="A4952">
        <v>1017900</v>
      </c>
      <c r="B4952" t="s">
        <v>1599</v>
      </c>
      <c r="C4952" s="1">
        <v>43696</v>
      </c>
      <c r="D4952">
        <v>559</v>
      </c>
      <c r="E4952" t="b">
        <v>0</v>
      </c>
      <c r="F4952">
        <v>709</v>
      </c>
      <c r="G4952" t="s">
        <v>110</v>
      </c>
      <c r="H4952" t="s">
        <v>792</v>
      </c>
      <c r="I4952" t="s">
        <v>2117</v>
      </c>
    </row>
    <row r="4953" spans="1:9" x14ac:dyDescent="0.35">
      <c r="A4953">
        <v>1017900</v>
      </c>
      <c r="B4953" t="s">
        <v>1599</v>
      </c>
      <c r="C4953" s="1">
        <v>43696</v>
      </c>
      <c r="D4953">
        <v>559</v>
      </c>
      <c r="E4953" t="b">
        <v>0</v>
      </c>
      <c r="F4953">
        <v>709</v>
      </c>
      <c r="G4953" t="s">
        <v>110</v>
      </c>
      <c r="H4953" t="s">
        <v>346</v>
      </c>
      <c r="I4953" t="s">
        <v>2117</v>
      </c>
    </row>
    <row r="4954" spans="1:9" x14ac:dyDescent="0.35">
      <c r="A4954">
        <v>1017900</v>
      </c>
      <c r="B4954" t="s">
        <v>1599</v>
      </c>
      <c r="C4954" s="1">
        <v>43696</v>
      </c>
      <c r="D4954">
        <v>559</v>
      </c>
      <c r="E4954" t="b">
        <v>0</v>
      </c>
      <c r="F4954">
        <v>709</v>
      </c>
      <c r="G4954" t="s">
        <v>110</v>
      </c>
      <c r="H4954" t="s">
        <v>239</v>
      </c>
      <c r="I4954" t="s">
        <v>2117</v>
      </c>
    </row>
    <row r="4955" spans="1:9" x14ac:dyDescent="0.35">
      <c r="A4955">
        <v>1017900</v>
      </c>
      <c r="B4955" t="s">
        <v>1599</v>
      </c>
      <c r="C4955" s="1">
        <v>43696</v>
      </c>
      <c r="D4955">
        <v>559</v>
      </c>
      <c r="E4955" t="b">
        <v>0</v>
      </c>
      <c r="F4955">
        <v>709</v>
      </c>
      <c r="G4955" t="s">
        <v>110</v>
      </c>
      <c r="H4955" t="s">
        <v>132</v>
      </c>
      <c r="I4955" t="s">
        <v>2117</v>
      </c>
    </row>
    <row r="4956" spans="1:9" x14ac:dyDescent="0.35">
      <c r="A4956">
        <v>1017900</v>
      </c>
      <c r="B4956" t="s">
        <v>1599</v>
      </c>
      <c r="C4956" s="1">
        <v>43696</v>
      </c>
      <c r="D4956">
        <v>559</v>
      </c>
      <c r="E4956" t="b">
        <v>0</v>
      </c>
      <c r="F4956">
        <v>709</v>
      </c>
      <c r="G4956" t="s">
        <v>110</v>
      </c>
      <c r="H4956" t="s">
        <v>124</v>
      </c>
      <c r="I4956" t="s">
        <v>2116</v>
      </c>
    </row>
    <row r="4957" spans="1:9" x14ac:dyDescent="0.35">
      <c r="A4957">
        <v>1017900</v>
      </c>
      <c r="B4957" t="s">
        <v>1599</v>
      </c>
      <c r="C4957" s="1">
        <v>43696</v>
      </c>
      <c r="D4957">
        <v>559</v>
      </c>
      <c r="E4957" t="b">
        <v>0</v>
      </c>
      <c r="F4957">
        <v>709</v>
      </c>
      <c r="G4957" t="s">
        <v>110</v>
      </c>
      <c r="H4957" t="s">
        <v>1510</v>
      </c>
      <c r="I4957" t="s">
        <v>2117</v>
      </c>
    </row>
    <row r="4958" spans="1:9" x14ac:dyDescent="0.35">
      <c r="A4958">
        <v>1072040</v>
      </c>
      <c r="B4958" t="s">
        <v>1601</v>
      </c>
      <c r="C4958" s="1">
        <v>43909</v>
      </c>
      <c r="D4958">
        <v>559</v>
      </c>
      <c r="E4958" t="b">
        <v>0</v>
      </c>
      <c r="F4958">
        <v>709</v>
      </c>
      <c r="G4958" t="s">
        <v>304</v>
      </c>
      <c r="H4958" t="s">
        <v>49</v>
      </c>
      <c r="I4958" t="s">
        <v>2117</v>
      </c>
    </row>
    <row r="4959" spans="1:9" x14ac:dyDescent="0.35">
      <c r="A4959">
        <v>1072040</v>
      </c>
      <c r="B4959" t="s">
        <v>1601</v>
      </c>
      <c r="C4959" s="1">
        <v>43909</v>
      </c>
      <c r="D4959">
        <v>559</v>
      </c>
      <c r="E4959" t="b">
        <v>0</v>
      </c>
      <c r="F4959">
        <v>709</v>
      </c>
      <c r="G4959" t="s">
        <v>304</v>
      </c>
      <c r="H4959" t="s">
        <v>792</v>
      </c>
      <c r="I4959" t="s">
        <v>2117</v>
      </c>
    </row>
    <row r="4960" spans="1:9" x14ac:dyDescent="0.35">
      <c r="A4960">
        <v>1072040</v>
      </c>
      <c r="B4960" t="s">
        <v>1601</v>
      </c>
      <c r="C4960" s="1">
        <v>43909</v>
      </c>
      <c r="D4960">
        <v>559</v>
      </c>
      <c r="E4960" t="b">
        <v>0</v>
      </c>
      <c r="F4960">
        <v>709</v>
      </c>
      <c r="G4960" t="s">
        <v>304</v>
      </c>
      <c r="H4960" t="s">
        <v>346</v>
      </c>
      <c r="I4960" t="s">
        <v>2117</v>
      </c>
    </row>
    <row r="4961" spans="1:9" x14ac:dyDescent="0.35">
      <c r="A4961">
        <v>1072040</v>
      </c>
      <c r="B4961" t="s">
        <v>1601</v>
      </c>
      <c r="C4961" s="1">
        <v>43909</v>
      </c>
      <c r="D4961">
        <v>559</v>
      </c>
      <c r="E4961" t="b">
        <v>0</v>
      </c>
      <c r="F4961">
        <v>709</v>
      </c>
      <c r="G4961" t="s">
        <v>304</v>
      </c>
      <c r="H4961" t="s">
        <v>239</v>
      </c>
      <c r="I4961" t="s">
        <v>2117</v>
      </c>
    </row>
    <row r="4962" spans="1:9" x14ac:dyDescent="0.35">
      <c r="A4962">
        <v>1072040</v>
      </c>
      <c r="B4962" t="s">
        <v>1601</v>
      </c>
      <c r="C4962" s="1">
        <v>43909</v>
      </c>
      <c r="D4962">
        <v>559</v>
      </c>
      <c r="E4962" t="b">
        <v>0</v>
      </c>
      <c r="F4962">
        <v>709</v>
      </c>
      <c r="G4962" t="s">
        <v>304</v>
      </c>
      <c r="H4962" t="s">
        <v>132</v>
      </c>
      <c r="I4962" t="s">
        <v>2117</v>
      </c>
    </row>
    <row r="4963" spans="1:9" x14ac:dyDescent="0.35">
      <c r="A4963">
        <v>1072040</v>
      </c>
      <c r="B4963" t="s">
        <v>1601</v>
      </c>
      <c r="C4963" s="1">
        <v>43909</v>
      </c>
      <c r="D4963">
        <v>559</v>
      </c>
      <c r="E4963" t="b">
        <v>0</v>
      </c>
      <c r="F4963">
        <v>709</v>
      </c>
      <c r="G4963" t="s">
        <v>304</v>
      </c>
      <c r="H4963" t="s">
        <v>124</v>
      </c>
      <c r="I4963" t="s">
        <v>2116</v>
      </c>
    </row>
    <row r="4964" spans="1:9" x14ac:dyDescent="0.35">
      <c r="A4964">
        <v>1072040</v>
      </c>
      <c r="B4964" t="s">
        <v>1601</v>
      </c>
      <c r="C4964" s="1">
        <v>43909</v>
      </c>
      <c r="D4964">
        <v>559</v>
      </c>
      <c r="E4964" t="b">
        <v>0</v>
      </c>
      <c r="F4964">
        <v>709</v>
      </c>
      <c r="G4964" t="s">
        <v>304</v>
      </c>
      <c r="H4964" t="s">
        <v>1510</v>
      </c>
      <c r="I4964" t="s">
        <v>2117</v>
      </c>
    </row>
    <row r="4965" spans="1:9" x14ac:dyDescent="0.35">
      <c r="A4965">
        <v>298110</v>
      </c>
      <c r="B4965" t="s">
        <v>1603</v>
      </c>
      <c r="C4965" s="1">
        <v>41960</v>
      </c>
      <c r="D4965">
        <v>558</v>
      </c>
      <c r="E4965" t="b">
        <v>0</v>
      </c>
      <c r="F4965">
        <v>712</v>
      </c>
      <c r="G4965" t="s">
        <v>2090</v>
      </c>
      <c r="H4965" t="s">
        <v>49</v>
      </c>
      <c r="I4965" t="s">
        <v>2116</v>
      </c>
    </row>
    <row r="4966" spans="1:9" x14ac:dyDescent="0.35">
      <c r="A4966">
        <v>298110</v>
      </c>
      <c r="B4966" t="s">
        <v>1603</v>
      </c>
      <c r="C4966" s="1">
        <v>41960</v>
      </c>
      <c r="D4966">
        <v>558</v>
      </c>
      <c r="E4966" t="b">
        <v>0</v>
      </c>
      <c r="F4966">
        <v>712</v>
      </c>
      <c r="G4966" t="s">
        <v>2090</v>
      </c>
      <c r="H4966" t="s">
        <v>792</v>
      </c>
      <c r="I4966" t="s">
        <v>2117</v>
      </c>
    </row>
    <row r="4967" spans="1:9" x14ac:dyDescent="0.35">
      <c r="A4967">
        <v>298110</v>
      </c>
      <c r="B4967" t="s">
        <v>1603</v>
      </c>
      <c r="C4967" s="1">
        <v>41960</v>
      </c>
      <c r="D4967">
        <v>558</v>
      </c>
      <c r="E4967" t="b">
        <v>0</v>
      </c>
      <c r="F4967">
        <v>712</v>
      </c>
      <c r="G4967" t="s">
        <v>2090</v>
      </c>
      <c r="H4967" t="s">
        <v>346</v>
      </c>
      <c r="I4967" t="s">
        <v>2116</v>
      </c>
    </row>
    <row r="4968" spans="1:9" x14ac:dyDescent="0.35">
      <c r="A4968">
        <v>298110</v>
      </c>
      <c r="B4968" t="s">
        <v>1603</v>
      </c>
      <c r="C4968" s="1">
        <v>41960</v>
      </c>
      <c r="D4968">
        <v>558</v>
      </c>
      <c r="E4968" t="b">
        <v>0</v>
      </c>
      <c r="F4968">
        <v>712</v>
      </c>
      <c r="G4968" t="s">
        <v>2090</v>
      </c>
      <c r="H4968" t="s">
        <v>239</v>
      </c>
      <c r="I4968" t="s">
        <v>2117</v>
      </c>
    </row>
    <row r="4969" spans="1:9" x14ac:dyDescent="0.35">
      <c r="A4969">
        <v>298110</v>
      </c>
      <c r="B4969" t="s">
        <v>1603</v>
      </c>
      <c r="C4969" s="1">
        <v>41960</v>
      </c>
      <c r="D4969">
        <v>558</v>
      </c>
      <c r="E4969" t="b">
        <v>0</v>
      </c>
      <c r="F4969">
        <v>712</v>
      </c>
      <c r="G4969" t="s">
        <v>2090</v>
      </c>
      <c r="H4969" t="s">
        <v>132</v>
      </c>
      <c r="I4969" t="s">
        <v>2117</v>
      </c>
    </row>
    <row r="4970" spans="1:9" x14ac:dyDescent="0.35">
      <c r="A4970">
        <v>298110</v>
      </c>
      <c r="B4970" t="s">
        <v>1603</v>
      </c>
      <c r="C4970" s="1">
        <v>41960</v>
      </c>
      <c r="D4970">
        <v>558</v>
      </c>
      <c r="E4970" t="b">
        <v>0</v>
      </c>
      <c r="F4970">
        <v>712</v>
      </c>
      <c r="G4970" t="s">
        <v>2090</v>
      </c>
      <c r="H4970" t="s">
        <v>124</v>
      </c>
      <c r="I4970" t="s">
        <v>2117</v>
      </c>
    </row>
    <row r="4971" spans="1:9" x14ac:dyDescent="0.35">
      <c r="A4971">
        <v>298110</v>
      </c>
      <c r="B4971" t="s">
        <v>1603</v>
      </c>
      <c r="C4971" s="1">
        <v>41960</v>
      </c>
      <c r="D4971">
        <v>558</v>
      </c>
      <c r="E4971" t="b">
        <v>0</v>
      </c>
      <c r="F4971">
        <v>712</v>
      </c>
      <c r="G4971" t="s">
        <v>2090</v>
      </c>
      <c r="H4971" t="s">
        <v>1510</v>
      </c>
      <c r="I4971" t="s">
        <v>2117</v>
      </c>
    </row>
    <row r="4972" spans="1:9" x14ac:dyDescent="0.35">
      <c r="A4972">
        <v>203160</v>
      </c>
      <c r="B4972" t="s">
        <v>1605</v>
      </c>
      <c r="C4972" s="1">
        <v>41337</v>
      </c>
      <c r="D4972">
        <v>556</v>
      </c>
      <c r="E4972" t="b">
        <v>1</v>
      </c>
      <c r="F4972">
        <v>713</v>
      </c>
      <c r="G4972" t="s">
        <v>2084</v>
      </c>
      <c r="H4972" t="s">
        <v>49</v>
      </c>
      <c r="I4972" t="s">
        <v>2116</v>
      </c>
    </row>
    <row r="4973" spans="1:9" x14ac:dyDescent="0.35">
      <c r="A4973">
        <v>203160</v>
      </c>
      <c r="B4973" t="s">
        <v>1605</v>
      </c>
      <c r="C4973" s="1">
        <v>41337</v>
      </c>
      <c r="D4973">
        <v>556</v>
      </c>
      <c r="E4973" t="b">
        <v>1</v>
      </c>
      <c r="F4973">
        <v>713</v>
      </c>
      <c r="G4973" t="s">
        <v>2084</v>
      </c>
      <c r="H4973" t="s">
        <v>792</v>
      </c>
      <c r="I4973" t="s">
        <v>2117</v>
      </c>
    </row>
    <row r="4974" spans="1:9" x14ac:dyDescent="0.35">
      <c r="A4974">
        <v>203160</v>
      </c>
      <c r="B4974" t="s">
        <v>1605</v>
      </c>
      <c r="C4974" s="1">
        <v>41337</v>
      </c>
      <c r="D4974">
        <v>556</v>
      </c>
      <c r="E4974" t="b">
        <v>1</v>
      </c>
      <c r="F4974">
        <v>713</v>
      </c>
      <c r="G4974" t="s">
        <v>2084</v>
      </c>
      <c r="H4974" t="s">
        <v>346</v>
      </c>
      <c r="I4974" t="s">
        <v>2116</v>
      </c>
    </row>
    <row r="4975" spans="1:9" x14ac:dyDescent="0.35">
      <c r="A4975">
        <v>203160</v>
      </c>
      <c r="B4975" t="s">
        <v>1605</v>
      </c>
      <c r="C4975" s="1">
        <v>41337</v>
      </c>
      <c r="D4975">
        <v>556</v>
      </c>
      <c r="E4975" t="b">
        <v>1</v>
      </c>
      <c r="F4975">
        <v>713</v>
      </c>
      <c r="G4975" t="s">
        <v>2084</v>
      </c>
      <c r="H4975" t="s">
        <v>239</v>
      </c>
      <c r="I4975" t="s">
        <v>2117</v>
      </c>
    </row>
    <row r="4976" spans="1:9" x14ac:dyDescent="0.35">
      <c r="A4976">
        <v>203160</v>
      </c>
      <c r="B4976" t="s">
        <v>1605</v>
      </c>
      <c r="C4976" s="1">
        <v>41337</v>
      </c>
      <c r="D4976">
        <v>556</v>
      </c>
      <c r="E4976" t="b">
        <v>1</v>
      </c>
      <c r="F4976">
        <v>713</v>
      </c>
      <c r="G4976" t="s">
        <v>2084</v>
      </c>
      <c r="H4976" t="s">
        <v>132</v>
      </c>
      <c r="I4976" t="s">
        <v>2117</v>
      </c>
    </row>
    <row r="4977" spans="1:9" x14ac:dyDescent="0.35">
      <c r="A4977">
        <v>203160</v>
      </c>
      <c r="B4977" t="s">
        <v>1605</v>
      </c>
      <c r="C4977" s="1">
        <v>41337</v>
      </c>
      <c r="D4977">
        <v>556</v>
      </c>
      <c r="E4977" t="b">
        <v>1</v>
      </c>
      <c r="F4977">
        <v>713</v>
      </c>
      <c r="G4977" t="s">
        <v>2084</v>
      </c>
      <c r="H4977" t="s">
        <v>124</v>
      </c>
      <c r="I4977" t="s">
        <v>2117</v>
      </c>
    </row>
    <row r="4978" spans="1:9" x14ac:dyDescent="0.35">
      <c r="A4978">
        <v>203160</v>
      </c>
      <c r="B4978" t="s">
        <v>1605</v>
      </c>
      <c r="C4978" s="1">
        <v>41337</v>
      </c>
      <c r="D4978">
        <v>556</v>
      </c>
      <c r="E4978" t="b">
        <v>1</v>
      </c>
      <c r="F4978">
        <v>713</v>
      </c>
      <c r="G4978" t="s">
        <v>2084</v>
      </c>
      <c r="H4978" t="s">
        <v>1510</v>
      </c>
      <c r="I4978" t="s">
        <v>2117</v>
      </c>
    </row>
    <row r="4979" spans="1:9" x14ac:dyDescent="0.35">
      <c r="A4979">
        <v>1557740</v>
      </c>
      <c r="B4979" t="s">
        <v>1607</v>
      </c>
      <c r="C4979" s="1">
        <v>44287</v>
      </c>
      <c r="D4979">
        <v>555</v>
      </c>
      <c r="E4979" t="b">
        <v>1</v>
      </c>
      <c r="F4979">
        <v>714</v>
      </c>
      <c r="G4979" t="s">
        <v>33</v>
      </c>
      <c r="H4979" t="s">
        <v>49</v>
      </c>
      <c r="I4979" t="s">
        <v>2116</v>
      </c>
    </row>
    <row r="4980" spans="1:9" x14ac:dyDescent="0.35">
      <c r="A4980">
        <v>1557740</v>
      </c>
      <c r="B4980" t="s">
        <v>1607</v>
      </c>
      <c r="C4980" s="1">
        <v>44287</v>
      </c>
      <c r="D4980">
        <v>555</v>
      </c>
      <c r="E4980" t="b">
        <v>1</v>
      </c>
      <c r="F4980">
        <v>714</v>
      </c>
      <c r="G4980" t="s">
        <v>33</v>
      </c>
      <c r="H4980" t="s">
        <v>792</v>
      </c>
      <c r="I4980" t="s">
        <v>2116</v>
      </c>
    </row>
    <row r="4981" spans="1:9" x14ac:dyDescent="0.35">
      <c r="A4981">
        <v>1557740</v>
      </c>
      <c r="B4981" t="s">
        <v>1607</v>
      </c>
      <c r="C4981" s="1">
        <v>44287</v>
      </c>
      <c r="D4981">
        <v>555</v>
      </c>
      <c r="E4981" t="b">
        <v>1</v>
      </c>
      <c r="F4981">
        <v>714</v>
      </c>
      <c r="G4981" t="s">
        <v>33</v>
      </c>
      <c r="H4981" t="s">
        <v>346</v>
      </c>
      <c r="I4981" t="s">
        <v>2117</v>
      </c>
    </row>
    <row r="4982" spans="1:9" x14ac:dyDescent="0.35">
      <c r="A4982">
        <v>1557740</v>
      </c>
      <c r="B4982" t="s">
        <v>1607</v>
      </c>
      <c r="C4982" s="1">
        <v>44287</v>
      </c>
      <c r="D4982">
        <v>555</v>
      </c>
      <c r="E4982" t="b">
        <v>1</v>
      </c>
      <c r="F4982">
        <v>714</v>
      </c>
      <c r="G4982" t="s">
        <v>33</v>
      </c>
      <c r="H4982" t="s">
        <v>239</v>
      </c>
      <c r="I4982" t="s">
        <v>2117</v>
      </c>
    </row>
    <row r="4983" spans="1:9" x14ac:dyDescent="0.35">
      <c r="A4983">
        <v>1557740</v>
      </c>
      <c r="B4983" t="s">
        <v>1607</v>
      </c>
      <c r="C4983" s="1">
        <v>44287</v>
      </c>
      <c r="D4983">
        <v>555</v>
      </c>
      <c r="E4983" t="b">
        <v>1</v>
      </c>
      <c r="F4983">
        <v>714</v>
      </c>
      <c r="G4983" t="s">
        <v>33</v>
      </c>
      <c r="H4983" t="s">
        <v>132</v>
      </c>
      <c r="I4983" t="s">
        <v>2117</v>
      </c>
    </row>
    <row r="4984" spans="1:9" x14ac:dyDescent="0.35">
      <c r="A4984">
        <v>1557740</v>
      </c>
      <c r="B4984" t="s">
        <v>1607</v>
      </c>
      <c r="C4984" s="1">
        <v>44287</v>
      </c>
      <c r="D4984">
        <v>555</v>
      </c>
      <c r="E4984" t="b">
        <v>1</v>
      </c>
      <c r="F4984">
        <v>714</v>
      </c>
      <c r="G4984" t="s">
        <v>33</v>
      </c>
      <c r="H4984" t="s">
        <v>124</v>
      </c>
      <c r="I4984" t="s">
        <v>2117</v>
      </c>
    </row>
    <row r="4985" spans="1:9" x14ac:dyDescent="0.35">
      <c r="A4985">
        <v>1557740</v>
      </c>
      <c r="B4985" t="s">
        <v>1607</v>
      </c>
      <c r="C4985" s="1">
        <v>44287</v>
      </c>
      <c r="D4985">
        <v>555</v>
      </c>
      <c r="E4985" t="b">
        <v>1</v>
      </c>
      <c r="F4985">
        <v>714</v>
      </c>
      <c r="G4985" t="s">
        <v>33</v>
      </c>
      <c r="H4985" t="s">
        <v>1510</v>
      </c>
      <c r="I4985" t="s">
        <v>2117</v>
      </c>
    </row>
    <row r="4986" spans="1:9" x14ac:dyDescent="0.35">
      <c r="A4986">
        <v>293760</v>
      </c>
      <c r="B4986" t="s">
        <v>1609</v>
      </c>
      <c r="C4986" s="1">
        <v>42075</v>
      </c>
      <c r="D4986">
        <v>554</v>
      </c>
      <c r="E4986" t="b">
        <v>0</v>
      </c>
      <c r="F4986">
        <v>715</v>
      </c>
      <c r="G4986" t="s">
        <v>2084</v>
      </c>
      <c r="H4986" t="s">
        <v>49</v>
      </c>
      <c r="I4986" t="s">
        <v>2117</v>
      </c>
    </row>
    <row r="4987" spans="1:9" x14ac:dyDescent="0.35">
      <c r="A4987">
        <v>293760</v>
      </c>
      <c r="B4987" t="s">
        <v>1609</v>
      </c>
      <c r="C4987" s="1">
        <v>42075</v>
      </c>
      <c r="D4987">
        <v>554</v>
      </c>
      <c r="E4987" t="b">
        <v>0</v>
      </c>
      <c r="F4987">
        <v>715</v>
      </c>
      <c r="G4987" t="s">
        <v>2084</v>
      </c>
      <c r="H4987" t="s">
        <v>792</v>
      </c>
      <c r="I4987" t="s">
        <v>2116</v>
      </c>
    </row>
    <row r="4988" spans="1:9" x14ac:dyDescent="0.35">
      <c r="A4988">
        <v>293760</v>
      </c>
      <c r="B4988" t="s">
        <v>1609</v>
      </c>
      <c r="C4988" s="1">
        <v>42075</v>
      </c>
      <c r="D4988">
        <v>554</v>
      </c>
      <c r="E4988" t="b">
        <v>0</v>
      </c>
      <c r="F4988">
        <v>715</v>
      </c>
      <c r="G4988" t="s">
        <v>2084</v>
      </c>
      <c r="H4988" t="s">
        <v>346</v>
      </c>
      <c r="I4988" t="s">
        <v>2117</v>
      </c>
    </row>
    <row r="4989" spans="1:9" x14ac:dyDescent="0.35">
      <c r="A4989">
        <v>293760</v>
      </c>
      <c r="B4989" t="s">
        <v>1609</v>
      </c>
      <c r="C4989" s="1">
        <v>42075</v>
      </c>
      <c r="D4989">
        <v>554</v>
      </c>
      <c r="E4989" t="b">
        <v>0</v>
      </c>
      <c r="F4989">
        <v>715</v>
      </c>
      <c r="G4989" t="s">
        <v>2084</v>
      </c>
      <c r="H4989" t="s">
        <v>239</v>
      </c>
      <c r="I4989" t="s">
        <v>2116</v>
      </c>
    </row>
    <row r="4990" spans="1:9" x14ac:dyDescent="0.35">
      <c r="A4990">
        <v>293760</v>
      </c>
      <c r="B4990" t="s">
        <v>1609</v>
      </c>
      <c r="C4990" s="1">
        <v>42075</v>
      </c>
      <c r="D4990">
        <v>554</v>
      </c>
      <c r="E4990" t="b">
        <v>0</v>
      </c>
      <c r="F4990">
        <v>715</v>
      </c>
      <c r="G4990" t="s">
        <v>2084</v>
      </c>
      <c r="H4990" t="s">
        <v>132</v>
      </c>
      <c r="I4990" t="s">
        <v>2117</v>
      </c>
    </row>
    <row r="4991" spans="1:9" x14ac:dyDescent="0.35">
      <c r="A4991">
        <v>293760</v>
      </c>
      <c r="B4991" t="s">
        <v>1609</v>
      </c>
      <c r="C4991" s="1">
        <v>42075</v>
      </c>
      <c r="D4991">
        <v>554</v>
      </c>
      <c r="E4991" t="b">
        <v>0</v>
      </c>
      <c r="F4991">
        <v>715</v>
      </c>
      <c r="G4991" t="s">
        <v>2084</v>
      </c>
      <c r="H4991" t="s">
        <v>124</v>
      </c>
      <c r="I4991" t="s">
        <v>2116</v>
      </c>
    </row>
    <row r="4992" spans="1:9" x14ac:dyDescent="0.35">
      <c r="A4992">
        <v>293760</v>
      </c>
      <c r="B4992" t="s">
        <v>1609</v>
      </c>
      <c r="C4992" s="1">
        <v>42075</v>
      </c>
      <c r="D4992">
        <v>554</v>
      </c>
      <c r="E4992" t="b">
        <v>0</v>
      </c>
      <c r="F4992">
        <v>715</v>
      </c>
      <c r="G4992" t="s">
        <v>2084</v>
      </c>
      <c r="H4992" t="s">
        <v>1510</v>
      </c>
      <c r="I4992" t="s">
        <v>2117</v>
      </c>
    </row>
    <row r="4993" spans="1:9" x14ac:dyDescent="0.35">
      <c r="A4993">
        <v>1669980</v>
      </c>
      <c r="B4993" t="s">
        <v>1612</v>
      </c>
      <c r="C4993" s="1">
        <v>45036</v>
      </c>
      <c r="D4993">
        <v>553</v>
      </c>
      <c r="E4993" t="b">
        <v>0</v>
      </c>
      <c r="F4993">
        <v>716</v>
      </c>
      <c r="G4993" t="s">
        <v>40</v>
      </c>
      <c r="H4993" t="s">
        <v>49</v>
      </c>
      <c r="I4993" t="s">
        <v>2117</v>
      </c>
    </row>
    <row r="4994" spans="1:9" x14ac:dyDescent="0.35">
      <c r="A4994">
        <v>1669980</v>
      </c>
      <c r="B4994" t="s">
        <v>1612</v>
      </c>
      <c r="C4994" s="1">
        <v>45036</v>
      </c>
      <c r="D4994">
        <v>553</v>
      </c>
      <c r="E4994" t="b">
        <v>0</v>
      </c>
      <c r="F4994">
        <v>716</v>
      </c>
      <c r="G4994" t="s">
        <v>40</v>
      </c>
      <c r="H4994" t="s">
        <v>792</v>
      </c>
      <c r="I4994" t="s">
        <v>2116</v>
      </c>
    </row>
    <row r="4995" spans="1:9" x14ac:dyDescent="0.35">
      <c r="A4995">
        <v>1669980</v>
      </c>
      <c r="B4995" t="s">
        <v>1612</v>
      </c>
      <c r="C4995" s="1">
        <v>45036</v>
      </c>
      <c r="D4995">
        <v>553</v>
      </c>
      <c r="E4995" t="b">
        <v>0</v>
      </c>
      <c r="F4995">
        <v>716</v>
      </c>
      <c r="G4995" t="s">
        <v>40</v>
      </c>
      <c r="H4995" t="s">
        <v>346</v>
      </c>
      <c r="I4995" t="s">
        <v>2117</v>
      </c>
    </row>
    <row r="4996" spans="1:9" x14ac:dyDescent="0.35">
      <c r="A4996">
        <v>1669980</v>
      </c>
      <c r="B4996" t="s">
        <v>1612</v>
      </c>
      <c r="C4996" s="1">
        <v>45036</v>
      </c>
      <c r="D4996">
        <v>553</v>
      </c>
      <c r="E4996" t="b">
        <v>0</v>
      </c>
      <c r="F4996">
        <v>716</v>
      </c>
      <c r="G4996" t="s">
        <v>40</v>
      </c>
      <c r="H4996" t="s">
        <v>239</v>
      </c>
      <c r="I4996" t="s">
        <v>2116</v>
      </c>
    </row>
    <row r="4997" spans="1:9" x14ac:dyDescent="0.35">
      <c r="A4997">
        <v>1669980</v>
      </c>
      <c r="B4997" t="s">
        <v>1612</v>
      </c>
      <c r="C4997" s="1">
        <v>45036</v>
      </c>
      <c r="D4997">
        <v>553</v>
      </c>
      <c r="E4997" t="b">
        <v>0</v>
      </c>
      <c r="F4997">
        <v>716</v>
      </c>
      <c r="G4997" t="s">
        <v>40</v>
      </c>
      <c r="H4997" t="s">
        <v>132</v>
      </c>
      <c r="I4997" t="s">
        <v>2116</v>
      </c>
    </row>
    <row r="4998" spans="1:9" x14ac:dyDescent="0.35">
      <c r="A4998">
        <v>1669980</v>
      </c>
      <c r="B4998" t="s">
        <v>1612</v>
      </c>
      <c r="C4998" s="1">
        <v>45036</v>
      </c>
      <c r="D4998">
        <v>553</v>
      </c>
      <c r="E4998" t="b">
        <v>0</v>
      </c>
      <c r="F4998">
        <v>716</v>
      </c>
      <c r="G4998" t="s">
        <v>40</v>
      </c>
      <c r="H4998" t="s">
        <v>124</v>
      </c>
      <c r="I4998" t="s">
        <v>2116</v>
      </c>
    </row>
    <row r="4999" spans="1:9" x14ac:dyDescent="0.35">
      <c r="A4999">
        <v>1669980</v>
      </c>
      <c r="B4999" t="s">
        <v>1612</v>
      </c>
      <c r="C4999" s="1">
        <v>45036</v>
      </c>
      <c r="D4999">
        <v>553</v>
      </c>
      <c r="E4999" t="b">
        <v>0</v>
      </c>
      <c r="F4999">
        <v>716</v>
      </c>
      <c r="G4999" t="s">
        <v>40</v>
      </c>
      <c r="H4999" t="s">
        <v>1510</v>
      </c>
      <c r="I4999" t="s">
        <v>2117</v>
      </c>
    </row>
    <row r="5000" spans="1:9" x14ac:dyDescent="0.35">
      <c r="A5000">
        <v>490110</v>
      </c>
      <c r="B5000" t="s">
        <v>1613</v>
      </c>
      <c r="C5000" s="1">
        <v>45790</v>
      </c>
      <c r="D5000">
        <v>553</v>
      </c>
      <c r="E5000" t="b">
        <v>0</v>
      </c>
      <c r="F5000">
        <v>716</v>
      </c>
      <c r="G5000" t="s">
        <v>36</v>
      </c>
      <c r="H5000" t="s">
        <v>49</v>
      </c>
      <c r="I5000" t="s">
        <v>2116</v>
      </c>
    </row>
    <row r="5001" spans="1:9" x14ac:dyDescent="0.35">
      <c r="A5001">
        <v>490110</v>
      </c>
      <c r="B5001" t="s">
        <v>1613</v>
      </c>
      <c r="C5001" s="1">
        <v>45790</v>
      </c>
      <c r="D5001">
        <v>553</v>
      </c>
      <c r="E5001" t="b">
        <v>0</v>
      </c>
      <c r="F5001">
        <v>716</v>
      </c>
      <c r="G5001" t="s">
        <v>36</v>
      </c>
      <c r="H5001" t="s">
        <v>792</v>
      </c>
      <c r="I5001" t="s">
        <v>2116</v>
      </c>
    </row>
    <row r="5002" spans="1:9" x14ac:dyDescent="0.35">
      <c r="A5002">
        <v>490110</v>
      </c>
      <c r="B5002" t="s">
        <v>1613</v>
      </c>
      <c r="C5002" s="1">
        <v>45790</v>
      </c>
      <c r="D5002">
        <v>553</v>
      </c>
      <c r="E5002" t="b">
        <v>0</v>
      </c>
      <c r="F5002">
        <v>716</v>
      </c>
      <c r="G5002" t="s">
        <v>36</v>
      </c>
      <c r="H5002" t="s">
        <v>346</v>
      </c>
      <c r="I5002" t="s">
        <v>2117</v>
      </c>
    </row>
    <row r="5003" spans="1:9" x14ac:dyDescent="0.35">
      <c r="A5003">
        <v>490110</v>
      </c>
      <c r="B5003" t="s">
        <v>1613</v>
      </c>
      <c r="C5003" s="1">
        <v>45790</v>
      </c>
      <c r="D5003">
        <v>553</v>
      </c>
      <c r="E5003" t="b">
        <v>0</v>
      </c>
      <c r="F5003">
        <v>716</v>
      </c>
      <c r="G5003" t="s">
        <v>36</v>
      </c>
      <c r="H5003" t="s">
        <v>239</v>
      </c>
      <c r="I5003" t="s">
        <v>2116</v>
      </c>
    </row>
    <row r="5004" spans="1:9" x14ac:dyDescent="0.35">
      <c r="A5004">
        <v>490110</v>
      </c>
      <c r="B5004" t="s">
        <v>1613</v>
      </c>
      <c r="C5004" s="1">
        <v>45790</v>
      </c>
      <c r="D5004">
        <v>553</v>
      </c>
      <c r="E5004" t="b">
        <v>0</v>
      </c>
      <c r="F5004">
        <v>716</v>
      </c>
      <c r="G5004" t="s">
        <v>36</v>
      </c>
      <c r="H5004" t="s">
        <v>132</v>
      </c>
      <c r="I5004" t="s">
        <v>2117</v>
      </c>
    </row>
    <row r="5005" spans="1:9" x14ac:dyDescent="0.35">
      <c r="A5005">
        <v>490110</v>
      </c>
      <c r="B5005" t="s">
        <v>1613</v>
      </c>
      <c r="C5005" s="1">
        <v>45790</v>
      </c>
      <c r="D5005">
        <v>553</v>
      </c>
      <c r="E5005" t="b">
        <v>0</v>
      </c>
      <c r="F5005">
        <v>716</v>
      </c>
      <c r="G5005" t="s">
        <v>36</v>
      </c>
      <c r="H5005" t="s">
        <v>124</v>
      </c>
      <c r="I5005" t="s">
        <v>2117</v>
      </c>
    </row>
    <row r="5006" spans="1:9" x14ac:dyDescent="0.35">
      <c r="A5006">
        <v>490110</v>
      </c>
      <c r="B5006" t="s">
        <v>1613</v>
      </c>
      <c r="C5006" s="1">
        <v>45790</v>
      </c>
      <c r="D5006">
        <v>553</v>
      </c>
      <c r="E5006" t="b">
        <v>0</v>
      </c>
      <c r="F5006">
        <v>716</v>
      </c>
      <c r="G5006" t="s">
        <v>36</v>
      </c>
      <c r="H5006" t="s">
        <v>1510</v>
      </c>
      <c r="I5006" t="s">
        <v>2117</v>
      </c>
    </row>
    <row r="5007" spans="1:9" x14ac:dyDescent="0.35">
      <c r="A5007">
        <v>705210</v>
      </c>
      <c r="B5007" t="s">
        <v>1615</v>
      </c>
      <c r="C5007" s="1">
        <v>43038</v>
      </c>
      <c r="D5007">
        <v>552</v>
      </c>
      <c r="E5007" t="b">
        <v>0</v>
      </c>
      <c r="F5007">
        <v>718</v>
      </c>
      <c r="G5007" t="s">
        <v>110</v>
      </c>
      <c r="H5007" t="s">
        <v>49</v>
      </c>
      <c r="I5007" t="s">
        <v>2116</v>
      </c>
    </row>
    <row r="5008" spans="1:9" x14ac:dyDescent="0.35">
      <c r="A5008">
        <v>705210</v>
      </c>
      <c r="B5008" t="s">
        <v>1615</v>
      </c>
      <c r="C5008" s="1">
        <v>43038</v>
      </c>
      <c r="D5008">
        <v>552</v>
      </c>
      <c r="E5008" t="b">
        <v>0</v>
      </c>
      <c r="F5008">
        <v>718</v>
      </c>
      <c r="G5008" t="s">
        <v>110</v>
      </c>
      <c r="H5008" t="s">
        <v>792</v>
      </c>
      <c r="I5008" t="s">
        <v>2116</v>
      </c>
    </row>
    <row r="5009" spans="1:9" x14ac:dyDescent="0.35">
      <c r="A5009">
        <v>705210</v>
      </c>
      <c r="B5009" t="s">
        <v>1615</v>
      </c>
      <c r="C5009" s="1">
        <v>43038</v>
      </c>
      <c r="D5009">
        <v>552</v>
      </c>
      <c r="E5009" t="b">
        <v>0</v>
      </c>
      <c r="F5009">
        <v>718</v>
      </c>
      <c r="G5009" t="s">
        <v>110</v>
      </c>
      <c r="H5009" t="s">
        <v>346</v>
      </c>
      <c r="I5009" t="s">
        <v>2117</v>
      </c>
    </row>
    <row r="5010" spans="1:9" x14ac:dyDescent="0.35">
      <c r="A5010">
        <v>705210</v>
      </c>
      <c r="B5010" t="s">
        <v>1615</v>
      </c>
      <c r="C5010" s="1">
        <v>43038</v>
      </c>
      <c r="D5010">
        <v>552</v>
      </c>
      <c r="E5010" t="b">
        <v>0</v>
      </c>
      <c r="F5010">
        <v>718</v>
      </c>
      <c r="G5010" t="s">
        <v>110</v>
      </c>
      <c r="H5010" t="s">
        <v>239</v>
      </c>
      <c r="I5010" t="s">
        <v>2117</v>
      </c>
    </row>
    <row r="5011" spans="1:9" x14ac:dyDescent="0.35">
      <c r="A5011">
        <v>705210</v>
      </c>
      <c r="B5011" t="s">
        <v>1615</v>
      </c>
      <c r="C5011" s="1">
        <v>43038</v>
      </c>
      <c r="D5011">
        <v>552</v>
      </c>
      <c r="E5011" t="b">
        <v>0</v>
      </c>
      <c r="F5011">
        <v>718</v>
      </c>
      <c r="G5011" t="s">
        <v>110</v>
      </c>
      <c r="H5011" t="s">
        <v>132</v>
      </c>
      <c r="I5011" t="s">
        <v>2117</v>
      </c>
    </row>
    <row r="5012" spans="1:9" x14ac:dyDescent="0.35">
      <c r="A5012">
        <v>705210</v>
      </c>
      <c r="B5012" t="s">
        <v>1615</v>
      </c>
      <c r="C5012" s="1">
        <v>43038</v>
      </c>
      <c r="D5012">
        <v>552</v>
      </c>
      <c r="E5012" t="b">
        <v>0</v>
      </c>
      <c r="F5012">
        <v>718</v>
      </c>
      <c r="G5012" t="s">
        <v>110</v>
      </c>
      <c r="H5012" t="s">
        <v>124</v>
      </c>
      <c r="I5012" t="s">
        <v>2117</v>
      </c>
    </row>
    <row r="5013" spans="1:9" x14ac:dyDescent="0.35">
      <c r="A5013">
        <v>705210</v>
      </c>
      <c r="B5013" t="s">
        <v>1615</v>
      </c>
      <c r="C5013" s="1">
        <v>43038</v>
      </c>
      <c r="D5013">
        <v>552</v>
      </c>
      <c r="E5013" t="b">
        <v>0</v>
      </c>
      <c r="F5013">
        <v>718</v>
      </c>
      <c r="G5013" t="s">
        <v>110</v>
      </c>
      <c r="H5013" t="s">
        <v>1510</v>
      </c>
      <c r="I5013" t="s">
        <v>2117</v>
      </c>
    </row>
    <row r="5014" spans="1:9" x14ac:dyDescent="0.35">
      <c r="A5014">
        <v>4760</v>
      </c>
      <c r="B5014" t="s">
        <v>1618</v>
      </c>
      <c r="C5014" s="1">
        <v>39322</v>
      </c>
      <c r="D5014">
        <v>552</v>
      </c>
      <c r="E5014" t="b">
        <v>0</v>
      </c>
      <c r="F5014">
        <v>718</v>
      </c>
      <c r="G5014" t="s">
        <v>2084</v>
      </c>
      <c r="H5014" t="s">
        <v>49</v>
      </c>
      <c r="I5014" t="s">
        <v>2117</v>
      </c>
    </row>
    <row r="5015" spans="1:9" x14ac:dyDescent="0.35">
      <c r="A5015">
        <v>4760</v>
      </c>
      <c r="B5015" t="s">
        <v>1618</v>
      </c>
      <c r="C5015" s="1">
        <v>39322</v>
      </c>
      <c r="D5015">
        <v>552</v>
      </c>
      <c r="E5015" t="b">
        <v>0</v>
      </c>
      <c r="F5015">
        <v>718</v>
      </c>
      <c r="G5015" t="s">
        <v>2084</v>
      </c>
      <c r="H5015" t="s">
        <v>792</v>
      </c>
      <c r="I5015" t="s">
        <v>2117</v>
      </c>
    </row>
    <row r="5016" spans="1:9" x14ac:dyDescent="0.35">
      <c r="A5016">
        <v>4760</v>
      </c>
      <c r="B5016" t="s">
        <v>1618</v>
      </c>
      <c r="C5016" s="1">
        <v>39322</v>
      </c>
      <c r="D5016">
        <v>552</v>
      </c>
      <c r="E5016" t="b">
        <v>0</v>
      </c>
      <c r="F5016">
        <v>718</v>
      </c>
      <c r="G5016" t="s">
        <v>2084</v>
      </c>
      <c r="H5016" t="s">
        <v>346</v>
      </c>
      <c r="I5016" t="s">
        <v>2117</v>
      </c>
    </row>
    <row r="5017" spans="1:9" x14ac:dyDescent="0.35">
      <c r="A5017">
        <v>4760</v>
      </c>
      <c r="B5017" t="s">
        <v>1618</v>
      </c>
      <c r="C5017" s="1">
        <v>39322</v>
      </c>
      <c r="D5017">
        <v>552</v>
      </c>
      <c r="E5017" t="b">
        <v>0</v>
      </c>
      <c r="F5017">
        <v>718</v>
      </c>
      <c r="G5017" t="s">
        <v>2084</v>
      </c>
      <c r="H5017" t="s">
        <v>239</v>
      </c>
      <c r="I5017" t="s">
        <v>2117</v>
      </c>
    </row>
    <row r="5018" spans="1:9" x14ac:dyDescent="0.35">
      <c r="A5018">
        <v>4760</v>
      </c>
      <c r="B5018" t="s">
        <v>1618</v>
      </c>
      <c r="C5018" s="1">
        <v>39322</v>
      </c>
      <c r="D5018">
        <v>552</v>
      </c>
      <c r="E5018" t="b">
        <v>0</v>
      </c>
      <c r="F5018">
        <v>718</v>
      </c>
      <c r="G5018" t="s">
        <v>2084</v>
      </c>
      <c r="H5018" t="s">
        <v>132</v>
      </c>
      <c r="I5018" t="s">
        <v>2117</v>
      </c>
    </row>
    <row r="5019" spans="1:9" x14ac:dyDescent="0.35">
      <c r="A5019">
        <v>4760</v>
      </c>
      <c r="B5019" t="s">
        <v>1618</v>
      </c>
      <c r="C5019" s="1">
        <v>39322</v>
      </c>
      <c r="D5019">
        <v>552</v>
      </c>
      <c r="E5019" t="b">
        <v>0</v>
      </c>
      <c r="F5019">
        <v>718</v>
      </c>
      <c r="G5019" t="s">
        <v>2084</v>
      </c>
      <c r="H5019" t="s">
        <v>124</v>
      </c>
      <c r="I5019" t="s">
        <v>2116</v>
      </c>
    </row>
    <row r="5020" spans="1:9" x14ac:dyDescent="0.35">
      <c r="A5020">
        <v>4760</v>
      </c>
      <c r="B5020" t="s">
        <v>1618</v>
      </c>
      <c r="C5020" s="1">
        <v>39322</v>
      </c>
      <c r="D5020">
        <v>552</v>
      </c>
      <c r="E5020" t="b">
        <v>0</v>
      </c>
      <c r="F5020">
        <v>718</v>
      </c>
      <c r="G5020" t="s">
        <v>2084</v>
      </c>
      <c r="H5020" t="s">
        <v>1510</v>
      </c>
      <c r="I5020" t="s">
        <v>2117</v>
      </c>
    </row>
    <row r="5021" spans="1:9" x14ac:dyDescent="0.35">
      <c r="A5021">
        <v>208580</v>
      </c>
      <c r="B5021" t="s">
        <v>1619</v>
      </c>
      <c r="C5021" s="1">
        <v>41144</v>
      </c>
      <c r="D5021">
        <v>551</v>
      </c>
      <c r="E5021" t="b">
        <v>1</v>
      </c>
      <c r="F5021">
        <v>720</v>
      </c>
      <c r="G5021" t="s">
        <v>2084</v>
      </c>
      <c r="H5021" t="s">
        <v>49</v>
      </c>
      <c r="I5021" t="s">
        <v>2117</v>
      </c>
    </row>
    <row r="5022" spans="1:9" x14ac:dyDescent="0.35">
      <c r="A5022">
        <v>208580</v>
      </c>
      <c r="B5022" t="s">
        <v>1619</v>
      </c>
      <c r="C5022" s="1">
        <v>41144</v>
      </c>
      <c r="D5022">
        <v>551</v>
      </c>
      <c r="E5022" t="b">
        <v>1</v>
      </c>
      <c r="F5022">
        <v>720</v>
      </c>
      <c r="G5022" t="s">
        <v>2084</v>
      </c>
      <c r="H5022" t="s">
        <v>792</v>
      </c>
      <c r="I5022" t="s">
        <v>2117</v>
      </c>
    </row>
    <row r="5023" spans="1:9" x14ac:dyDescent="0.35">
      <c r="A5023">
        <v>208580</v>
      </c>
      <c r="B5023" t="s">
        <v>1619</v>
      </c>
      <c r="C5023" s="1">
        <v>41144</v>
      </c>
      <c r="D5023">
        <v>551</v>
      </c>
      <c r="E5023" t="b">
        <v>1</v>
      </c>
      <c r="F5023">
        <v>720</v>
      </c>
      <c r="G5023" t="s">
        <v>2084</v>
      </c>
      <c r="H5023" t="s">
        <v>346</v>
      </c>
      <c r="I5023" t="s">
        <v>2117</v>
      </c>
    </row>
    <row r="5024" spans="1:9" x14ac:dyDescent="0.35">
      <c r="A5024">
        <v>208580</v>
      </c>
      <c r="B5024" t="s">
        <v>1619</v>
      </c>
      <c r="C5024" s="1">
        <v>41144</v>
      </c>
      <c r="D5024">
        <v>551</v>
      </c>
      <c r="E5024" t="b">
        <v>1</v>
      </c>
      <c r="F5024">
        <v>720</v>
      </c>
      <c r="G5024" t="s">
        <v>2084</v>
      </c>
      <c r="H5024" t="s">
        <v>239</v>
      </c>
      <c r="I5024" t="s">
        <v>2117</v>
      </c>
    </row>
    <row r="5025" spans="1:9" x14ac:dyDescent="0.35">
      <c r="A5025">
        <v>208580</v>
      </c>
      <c r="B5025" t="s">
        <v>1619</v>
      </c>
      <c r="C5025" s="1">
        <v>41144</v>
      </c>
      <c r="D5025">
        <v>551</v>
      </c>
      <c r="E5025" t="b">
        <v>1</v>
      </c>
      <c r="F5025">
        <v>720</v>
      </c>
      <c r="G5025" t="s">
        <v>2084</v>
      </c>
      <c r="H5025" t="s">
        <v>132</v>
      </c>
      <c r="I5025" t="s">
        <v>2116</v>
      </c>
    </row>
    <row r="5026" spans="1:9" x14ac:dyDescent="0.35">
      <c r="A5026">
        <v>208580</v>
      </c>
      <c r="B5026" t="s">
        <v>1619</v>
      </c>
      <c r="C5026" s="1">
        <v>41144</v>
      </c>
      <c r="D5026">
        <v>551</v>
      </c>
      <c r="E5026" t="b">
        <v>1</v>
      </c>
      <c r="F5026">
        <v>720</v>
      </c>
      <c r="G5026" t="s">
        <v>2084</v>
      </c>
      <c r="H5026" t="s">
        <v>124</v>
      </c>
      <c r="I5026" t="s">
        <v>2117</v>
      </c>
    </row>
    <row r="5027" spans="1:9" x14ac:dyDescent="0.35">
      <c r="A5027">
        <v>208580</v>
      </c>
      <c r="B5027" t="s">
        <v>1619</v>
      </c>
      <c r="C5027" s="1">
        <v>41144</v>
      </c>
      <c r="D5027">
        <v>551</v>
      </c>
      <c r="E5027" t="b">
        <v>1</v>
      </c>
      <c r="F5027">
        <v>720</v>
      </c>
      <c r="G5027" t="s">
        <v>2084</v>
      </c>
      <c r="H5027" t="s">
        <v>1510</v>
      </c>
      <c r="I5027" t="s">
        <v>2117</v>
      </c>
    </row>
    <row r="5028" spans="1:9" x14ac:dyDescent="0.35">
      <c r="A5028">
        <v>1898830</v>
      </c>
      <c r="B5028" t="s">
        <v>1620</v>
      </c>
      <c r="C5028" s="1">
        <v>44661</v>
      </c>
      <c r="D5028">
        <v>551</v>
      </c>
      <c r="E5028" t="b">
        <v>0</v>
      </c>
      <c r="F5028">
        <v>720</v>
      </c>
      <c r="G5028" t="s">
        <v>33</v>
      </c>
      <c r="H5028" t="s">
        <v>49</v>
      </c>
      <c r="I5028" t="s">
        <v>2117</v>
      </c>
    </row>
    <row r="5029" spans="1:9" x14ac:dyDescent="0.35">
      <c r="A5029">
        <v>1898830</v>
      </c>
      <c r="B5029" t="s">
        <v>1620</v>
      </c>
      <c r="C5029" s="1">
        <v>44661</v>
      </c>
      <c r="D5029">
        <v>551</v>
      </c>
      <c r="E5029" t="b">
        <v>0</v>
      </c>
      <c r="F5029">
        <v>720</v>
      </c>
      <c r="G5029" t="s">
        <v>33</v>
      </c>
      <c r="H5029" t="s">
        <v>792</v>
      </c>
      <c r="I5029" t="s">
        <v>2117</v>
      </c>
    </row>
    <row r="5030" spans="1:9" x14ac:dyDescent="0.35">
      <c r="A5030">
        <v>1898830</v>
      </c>
      <c r="B5030" t="s">
        <v>1620</v>
      </c>
      <c r="C5030" s="1">
        <v>44661</v>
      </c>
      <c r="D5030">
        <v>551</v>
      </c>
      <c r="E5030" t="b">
        <v>0</v>
      </c>
      <c r="F5030">
        <v>720</v>
      </c>
      <c r="G5030" t="s">
        <v>33</v>
      </c>
      <c r="H5030" t="s">
        <v>346</v>
      </c>
      <c r="I5030" t="s">
        <v>2117</v>
      </c>
    </row>
    <row r="5031" spans="1:9" x14ac:dyDescent="0.35">
      <c r="A5031">
        <v>1898830</v>
      </c>
      <c r="B5031" t="s">
        <v>1620</v>
      </c>
      <c r="C5031" s="1">
        <v>44661</v>
      </c>
      <c r="D5031">
        <v>551</v>
      </c>
      <c r="E5031" t="b">
        <v>0</v>
      </c>
      <c r="F5031">
        <v>720</v>
      </c>
      <c r="G5031" t="s">
        <v>33</v>
      </c>
      <c r="H5031" t="s">
        <v>239</v>
      </c>
      <c r="I5031" t="s">
        <v>2117</v>
      </c>
    </row>
    <row r="5032" spans="1:9" x14ac:dyDescent="0.35">
      <c r="A5032">
        <v>1898830</v>
      </c>
      <c r="B5032" t="s">
        <v>1620</v>
      </c>
      <c r="C5032" s="1">
        <v>44661</v>
      </c>
      <c r="D5032">
        <v>551</v>
      </c>
      <c r="E5032" t="b">
        <v>0</v>
      </c>
      <c r="F5032">
        <v>720</v>
      </c>
      <c r="G5032" t="s">
        <v>33</v>
      </c>
      <c r="H5032" t="s">
        <v>132</v>
      </c>
      <c r="I5032" t="s">
        <v>2117</v>
      </c>
    </row>
    <row r="5033" spans="1:9" x14ac:dyDescent="0.35">
      <c r="A5033">
        <v>1898830</v>
      </c>
      <c r="B5033" t="s">
        <v>1620</v>
      </c>
      <c r="C5033" s="1">
        <v>44661</v>
      </c>
      <c r="D5033">
        <v>551</v>
      </c>
      <c r="E5033" t="b">
        <v>0</v>
      </c>
      <c r="F5033">
        <v>720</v>
      </c>
      <c r="G5033" t="s">
        <v>33</v>
      </c>
      <c r="H5033" t="s">
        <v>124</v>
      </c>
      <c r="I5033" t="s">
        <v>2117</v>
      </c>
    </row>
    <row r="5034" spans="1:9" x14ac:dyDescent="0.35">
      <c r="A5034">
        <v>1898830</v>
      </c>
      <c r="B5034" t="s">
        <v>1620</v>
      </c>
      <c r="C5034" s="1">
        <v>44661</v>
      </c>
      <c r="D5034">
        <v>551</v>
      </c>
      <c r="E5034" t="b">
        <v>0</v>
      </c>
      <c r="F5034">
        <v>720</v>
      </c>
      <c r="G5034" t="s">
        <v>33</v>
      </c>
      <c r="H5034" t="s">
        <v>1510</v>
      </c>
      <c r="I5034" t="s">
        <v>2117</v>
      </c>
    </row>
    <row r="5035" spans="1:9" x14ac:dyDescent="0.35">
      <c r="A5035">
        <v>311310</v>
      </c>
      <c r="B5035" t="s">
        <v>1623</v>
      </c>
      <c r="C5035" s="1">
        <v>43629</v>
      </c>
      <c r="D5035">
        <v>550</v>
      </c>
      <c r="E5035" t="b">
        <v>0</v>
      </c>
      <c r="F5035">
        <v>722</v>
      </c>
      <c r="G5035" t="s">
        <v>40</v>
      </c>
      <c r="H5035" t="s">
        <v>49</v>
      </c>
      <c r="I5035" t="s">
        <v>2117</v>
      </c>
    </row>
    <row r="5036" spans="1:9" x14ac:dyDescent="0.35">
      <c r="A5036">
        <v>311310</v>
      </c>
      <c r="B5036" t="s">
        <v>1623</v>
      </c>
      <c r="C5036" s="1">
        <v>43629</v>
      </c>
      <c r="D5036">
        <v>550</v>
      </c>
      <c r="E5036" t="b">
        <v>0</v>
      </c>
      <c r="F5036">
        <v>722</v>
      </c>
      <c r="G5036" t="s">
        <v>40</v>
      </c>
      <c r="H5036" t="s">
        <v>792</v>
      </c>
      <c r="I5036" t="s">
        <v>2116</v>
      </c>
    </row>
    <row r="5037" spans="1:9" x14ac:dyDescent="0.35">
      <c r="A5037">
        <v>311310</v>
      </c>
      <c r="B5037" t="s">
        <v>1623</v>
      </c>
      <c r="C5037" s="1">
        <v>43629</v>
      </c>
      <c r="D5037">
        <v>550</v>
      </c>
      <c r="E5037" t="b">
        <v>0</v>
      </c>
      <c r="F5037">
        <v>722</v>
      </c>
      <c r="G5037" t="s">
        <v>40</v>
      </c>
      <c r="H5037" t="s">
        <v>346</v>
      </c>
      <c r="I5037" t="s">
        <v>2117</v>
      </c>
    </row>
    <row r="5038" spans="1:9" x14ac:dyDescent="0.35">
      <c r="A5038">
        <v>311310</v>
      </c>
      <c r="B5038" t="s">
        <v>1623</v>
      </c>
      <c r="C5038" s="1">
        <v>43629</v>
      </c>
      <c r="D5038">
        <v>550</v>
      </c>
      <c r="E5038" t="b">
        <v>0</v>
      </c>
      <c r="F5038">
        <v>722</v>
      </c>
      <c r="G5038" t="s">
        <v>40</v>
      </c>
      <c r="H5038" t="s">
        <v>239</v>
      </c>
      <c r="I5038" t="s">
        <v>2116</v>
      </c>
    </row>
    <row r="5039" spans="1:9" x14ac:dyDescent="0.35">
      <c r="A5039">
        <v>311310</v>
      </c>
      <c r="B5039" t="s">
        <v>1623</v>
      </c>
      <c r="C5039" s="1">
        <v>43629</v>
      </c>
      <c r="D5039">
        <v>550</v>
      </c>
      <c r="E5039" t="b">
        <v>0</v>
      </c>
      <c r="F5039">
        <v>722</v>
      </c>
      <c r="G5039" t="s">
        <v>40</v>
      </c>
      <c r="H5039" t="s">
        <v>132</v>
      </c>
      <c r="I5039" t="s">
        <v>2117</v>
      </c>
    </row>
    <row r="5040" spans="1:9" x14ac:dyDescent="0.35">
      <c r="A5040">
        <v>311310</v>
      </c>
      <c r="B5040" t="s">
        <v>1623</v>
      </c>
      <c r="C5040" s="1">
        <v>43629</v>
      </c>
      <c r="D5040">
        <v>550</v>
      </c>
      <c r="E5040" t="b">
        <v>0</v>
      </c>
      <c r="F5040">
        <v>722</v>
      </c>
      <c r="G5040" t="s">
        <v>40</v>
      </c>
      <c r="H5040" t="s">
        <v>124</v>
      </c>
      <c r="I5040" t="s">
        <v>2117</v>
      </c>
    </row>
    <row r="5041" spans="1:9" x14ac:dyDescent="0.35">
      <c r="A5041">
        <v>311310</v>
      </c>
      <c r="B5041" t="s">
        <v>1623</v>
      </c>
      <c r="C5041" s="1">
        <v>43629</v>
      </c>
      <c r="D5041">
        <v>550</v>
      </c>
      <c r="E5041" t="b">
        <v>0</v>
      </c>
      <c r="F5041">
        <v>722</v>
      </c>
      <c r="G5041" t="s">
        <v>40</v>
      </c>
      <c r="H5041" t="s">
        <v>1510</v>
      </c>
      <c r="I5041" t="s">
        <v>2117</v>
      </c>
    </row>
    <row r="5042" spans="1:9" x14ac:dyDescent="0.35">
      <c r="A5042">
        <v>638970</v>
      </c>
      <c r="B5042" t="s">
        <v>1625</v>
      </c>
      <c r="C5042" s="1">
        <v>43313</v>
      </c>
      <c r="D5042">
        <v>550</v>
      </c>
      <c r="E5042" t="b">
        <v>0</v>
      </c>
      <c r="F5042">
        <v>722</v>
      </c>
      <c r="G5042" t="s">
        <v>25</v>
      </c>
      <c r="H5042" t="s">
        <v>49</v>
      </c>
      <c r="I5042" t="s">
        <v>2116</v>
      </c>
    </row>
    <row r="5043" spans="1:9" x14ac:dyDescent="0.35">
      <c r="A5043">
        <v>638970</v>
      </c>
      <c r="B5043" t="s">
        <v>1625</v>
      </c>
      <c r="C5043" s="1">
        <v>43313</v>
      </c>
      <c r="D5043">
        <v>550</v>
      </c>
      <c r="E5043" t="b">
        <v>0</v>
      </c>
      <c r="F5043">
        <v>722</v>
      </c>
      <c r="G5043" t="s">
        <v>25</v>
      </c>
      <c r="H5043" t="s">
        <v>792</v>
      </c>
      <c r="I5043" t="s">
        <v>2117</v>
      </c>
    </row>
    <row r="5044" spans="1:9" x14ac:dyDescent="0.35">
      <c r="A5044">
        <v>638970</v>
      </c>
      <c r="B5044" t="s">
        <v>1625</v>
      </c>
      <c r="C5044" s="1">
        <v>43313</v>
      </c>
      <c r="D5044">
        <v>550</v>
      </c>
      <c r="E5044" t="b">
        <v>0</v>
      </c>
      <c r="F5044">
        <v>722</v>
      </c>
      <c r="G5044" t="s">
        <v>25</v>
      </c>
      <c r="H5044" t="s">
        <v>346</v>
      </c>
      <c r="I5044" t="s">
        <v>2116</v>
      </c>
    </row>
    <row r="5045" spans="1:9" x14ac:dyDescent="0.35">
      <c r="A5045">
        <v>638970</v>
      </c>
      <c r="B5045" t="s">
        <v>1625</v>
      </c>
      <c r="C5045" s="1">
        <v>43313</v>
      </c>
      <c r="D5045">
        <v>550</v>
      </c>
      <c r="E5045" t="b">
        <v>0</v>
      </c>
      <c r="F5045">
        <v>722</v>
      </c>
      <c r="G5045" t="s">
        <v>25</v>
      </c>
      <c r="H5045" t="s">
        <v>239</v>
      </c>
      <c r="I5045" t="s">
        <v>2117</v>
      </c>
    </row>
    <row r="5046" spans="1:9" x14ac:dyDescent="0.35">
      <c r="A5046">
        <v>638970</v>
      </c>
      <c r="B5046" t="s">
        <v>1625</v>
      </c>
      <c r="C5046" s="1">
        <v>43313</v>
      </c>
      <c r="D5046">
        <v>550</v>
      </c>
      <c r="E5046" t="b">
        <v>0</v>
      </c>
      <c r="F5046">
        <v>722</v>
      </c>
      <c r="G5046" t="s">
        <v>25</v>
      </c>
      <c r="H5046" t="s">
        <v>132</v>
      </c>
      <c r="I5046" t="s">
        <v>2116</v>
      </c>
    </row>
    <row r="5047" spans="1:9" x14ac:dyDescent="0.35">
      <c r="A5047">
        <v>638970</v>
      </c>
      <c r="B5047" t="s">
        <v>1625</v>
      </c>
      <c r="C5047" s="1">
        <v>43313</v>
      </c>
      <c r="D5047">
        <v>550</v>
      </c>
      <c r="E5047" t="b">
        <v>0</v>
      </c>
      <c r="F5047">
        <v>722</v>
      </c>
      <c r="G5047" t="s">
        <v>25</v>
      </c>
      <c r="H5047" t="s">
        <v>124</v>
      </c>
      <c r="I5047" t="s">
        <v>2117</v>
      </c>
    </row>
    <row r="5048" spans="1:9" x14ac:dyDescent="0.35">
      <c r="A5048">
        <v>638970</v>
      </c>
      <c r="B5048" t="s">
        <v>1625</v>
      </c>
      <c r="C5048" s="1">
        <v>43313</v>
      </c>
      <c r="D5048">
        <v>550</v>
      </c>
      <c r="E5048" t="b">
        <v>0</v>
      </c>
      <c r="F5048">
        <v>722</v>
      </c>
      <c r="G5048" t="s">
        <v>25</v>
      </c>
      <c r="H5048" t="s">
        <v>1510</v>
      </c>
      <c r="I5048" t="s">
        <v>2117</v>
      </c>
    </row>
    <row r="5049" spans="1:9" x14ac:dyDescent="0.35">
      <c r="A5049">
        <v>1173370</v>
      </c>
      <c r="B5049" t="s">
        <v>1627</v>
      </c>
      <c r="C5049" s="1">
        <v>45393</v>
      </c>
      <c r="D5049">
        <v>547</v>
      </c>
      <c r="E5049" t="b">
        <v>0</v>
      </c>
      <c r="F5049">
        <v>724</v>
      </c>
      <c r="G5049" t="s">
        <v>53</v>
      </c>
      <c r="H5049" t="s">
        <v>49</v>
      </c>
      <c r="I5049" t="s">
        <v>2116</v>
      </c>
    </row>
    <row r="5050" spans="1:9" x14ac:dyDescent="0.35">
      <c r="A5050">
        <v>1173370</v>
      </c>
      <c r="B5050" t="s">
        <v>1627</v>
      </c>
      <c r="C5050" s="1">
        <v>45393</v>
      </c>
      <c r="D5050">
        <v>547</v>
      </c>
      <c r="E5050" t="b">
        <v>0</v>
      </c>
      <c r="F5050">
        <v>724</v>
      </c>
      <c r="G5050" t="s">
        <v>53</v>
      </c>
      <c r="H5050" t="s">
        <v>792</v>
      </c>
      <c r="I5050" t="s">
        <v>2116</v>
      </c>
    </row>
    <row r="5051" spans="1:9" x14ac:dyDescent="0.35">
      <c r="A5051">
        <v>1173370</v>
      </c>
      <c r="B5051" t="s">
        <v>1627</v>
      </c>
      <c r="C5051" s="1">
        <v>45393</v>
      </c>
      <c r="D5051">
        <v>547</v>
      </c>
      <c r="E5051" t="b">
        <v>0</v>
      </c>
      <c r="F5051">
        <v>724</v>
      </c>
      <c r="G5051" t="s">
        <v>53</v>
      </c>
      <c r="H5051" t="s">
        <v>346</v>
      </c>
      <c r="I5051" t="s">
        <v>2117</v>
      </c>
    </row>
    <row r="5052" spans="1:9" x14ac:dyDescent="0.35">
      <c r="A5052">
        <v>1173370</v>
      </c>
      <c r="B5052" t="s">
        <v>1627</v>
      </c>
      <c r="C5052" s="1">
        <v>45393</v>
      </c>
      <c r="D5052">
        <v>547</v>
      </c>
      <c r="E5052" t="b">
        <v>0</v>
      </c>
      <c r="F5052">
        <v>724</v>
      </c>
      <c r="G5052" t="s">
        <v>53</v>
      </c>
      <c r="H5052" t="s">
        <v>239</v>
      </c>
      <c r="I5052" t="s">
        <v>2117</v>
      </c>
    </row>
    <row r="5053" spans="1:9" x14ac:dyDescent="0.35">
      <c r="A5053">
        <v>1173370</v>
      </c>
      <c r="B5053" t="s">
        <v>1627</v>
      </c>
      <c r="C5053" s="1">
        <v>45393</v>
      </c>
      <c r="D5053">
        <v>547</v>
      </c>
      <c r="E5053" t="b">
        <v>0</v>
      </c>
      <c r="F5053">
        <v>724</v>
      </c>
      <c r="G5053" t="s">
        <v>53</v>
      </c>
      <c r="H5053" t="s">
        <v>132</v>
      </c>
      <c r="I5053" t="s">
        <v>2117</v>
      </c>
    </row>
    <row r="5054" spans="1:9" x14ac:dyDescent="0.35">
      <c r="A5054">
        <v>1173370</v>
      </c>
      <c r="B5054" t="s">
        <v>1627</v>
      </c>
      <c r="C5054" s="1">
        <v>45393</v>
      </c>
      <c r="D5054">
        <v>547</v>
      </c>
      <c r="E5054" t="b">
        <v>0</v>
      </c>
      <c r="F5054">
        <v>724</v>
      </c>
      <c r="G5054" t="s">
        <v>53</v>
      </c>
      <c r="H5054" t="s">
        <v>124</v>
      </c>
      <c r="I5054" t="s">
        <v>2117</v>
      </c>
    </row>
    <row r="5055" spans="1:9" x14ac:dyDescent="0.35">
      <c r="A5055">
        <v>1173370</v>
      </c>
      <c r="B5055" t="s">
        <v>1627</v>
      </c>
      <c r="C5055" s="1">
        <v>45393</v>
      </c>
      <c r="D5055">
        <v>547</v>
      </c>
      <c r="E5055" t="b">
        <v>0</v>
      </c>
      <c r="F5055">
        <v>724</v>
      </c>
      <c r="G5055" t="s">
        <v>53</v>
      </c>
      <c r="H5055" t="s">
        <v>1510</v>
      </c>
      <c r="I5055" t="s">
        <v>2116</v>
      </c>
    </row>
    <row r="5056" spans="1:9" x14ac:dyDescent="0.35">
      <c r="A5056">
        <v>1105420</v>
      </c>
      <c r="B5056" t="s">
        <v>1630</v>
      </c>
      <c r="C5056" s="1">
        <v>43783</v>
      </c>
      <c r="D5056">
        <v>547</v>
      </c>
      <c r="E5056" t="b">
        <v>0</v>
      </c>
      <c r="F5056">
        <v>724</v>
      </c>
      <c r="G5056" t="s">
        <v>2082</v>
      </c>
      <c r="H5056" t="s">
        <v>49</v>
      </c>
      <c r="I5056" t="s">
        <v>2117</v>
      </c>
    </row>
    <row r="5057" spans="1:9" x14ac:dyDescent="0.35">
      <c r="A5057">
        <v>1105420</v>
      </c>
      <c r="B5057" t="s">
        <v>1630</v>
      </c>
      <c r="C5057" s="1">
        <v>43783</v>
      </c>
      <c r="D5057">
        <v>547</v>
      </c>
      <c r="E5057" t="b">
        <v>0</v>
      </c>
      <c r="F5057">
        <v>724</v>
      </c>
      <c r="G5057" t="s">
        <v>2082</v>
      </c>
      <c r="H5057" t="s">
        <v>792</v>
      </c>
      <c r="I5057" t="s">
        <v>2117</v>
      </c>
    </row>
    <row r="5058" spans="1:9" x14ac:dyDescent="0.35">
      <c r="A5058">
        <v>1105420</v>
      </c>
      <c r="B5058" t="s">
        <v>1630</v>
      </c>
      <c r="C5058" s="1">
        <v>43783</v>
      </c>
      <c r="D5058">
        <v>547</v>
      </c>
      <c r="E5058" t="b">
        <v>0</v>
      </c>
      <c r="F5058">
        <v>724</v>
      </c>
      <c r="G5058" t="s">
        <v>2082</v>
      </c>
      <c r="H5058" t="s">
        <v>346</v>
      </c>
      <c r="I5058" t="s">
        <v>2117</v>
      </c>
    </row>
    <row r="5059" spans="1:9" x14ac:dyDescent="0.35">
      <c r="A5059">
        <v>1105420</v>
      </c>
      <c r="B5059" t="s">
        <v>1630</v>
      </c>
      <c r="C5059" s="1">
        <v>43783</v>
      </c>
      <c r="D5059">
        <v>547</v>
      </c>
      <c r="E5059" t="b">
        <v>0</v>
      </c>
      <c r="F5059">
        <v>724</v>
      </c>
      <c r="G5059" t="s">
        <v>2082</v>
      </c>
      <c r="H5059" t="s">
        <v>239</v>
      </c>
      <c r="I5059" t="s">
        <v>2116</v>
      </c>
    </row>
    <row r="5060" spans="1:9" x14ac:dyDescent="0.35">
      <c r="A5060">
        <v>1105420</v>
      </c>
      <c r="B5060" t="s">
        <v>1630</v>
      </c>
      <c r="C5060" s="1">
        <v>43783</v>
      </c>
      <c r="D5060">
        <v>547</v>
      </c>
      <c r="E5060" t="b">
        <v>0</v>
      </c>
      <c r="F5060">
        <v>724</v>
      </c>
      <c r="G5060" t="s">
        <v>2082</v>
      </c>
      <c r="H5060" t="s">
        <v>132</v>
      </c>
      <c r="I5060" t="s">
        <v>2116</v>
      </c>
    </row>
    <row r="5061" spans="1:9" x14ac:dyDescent="0.35">
      <c r="A5061">
        <v>1105420</v>
      </c>
      <c r="B5061" t="s">
        <v>1630</v>
      </c>
      <c r="C5061" s="1">
        <v>43783</v>
      </c>
      <c r="D5061">
        <v>547</v>
      </c>
      <c r="E5061" t="b">
        <v>0</v>
      </c>
      <c r="F5061">
        <v>724</v>
      </c>
      <c r="G5061" t="s">
        <v>2082</v>
      </c>
      <c r="H5061" t="s">
        <v>124</v>
      </c>
      <c r="I5061" t="s">
        <v>2116</v>
      </c>
    </row>
    <row r="5062" spans="1:9" x14ac:dyDescent="0.35">
      <c r="A5062">
        <v>1105420</v>
      </c>
      <c r="B5062" t="s">
        <v>1630</v>
      </c>
      <c r="C5062" s="1">
        <v>43783</v>
      </c>
      <c r="D5062">
        <v>547</v>
      </c>
      <c r="E5062" t="b">
        <v>0</v>
      </c>
      <c r="F5062">
        <v>724</v>
      </c>
      <c r="G5062" t="s">
        <v>2082</v>
      </c>
      <c r="H5062" t="s">
        <v>1510</v>
      </c>
      <c r="I5062" t="s">
        <v>2116</v>
      </c>
    </row>
    <row r="5063" spans="1:9" x14ac:dyDescent="0.35">
      <c r="A5063">
        <v>859580</v>
      </c>
      <c r="B5063" t="s">
        <v>1633</v>
      </c>
      <c r="C5063" s="1">
        <v>43580</v>
      </c>
      <c r="D5063">
        <v>547</v>
      </c>
      <c r="E5063" t="b">
        <v>1</v>
      </c>
      <c r="F5063">
        <v>724</v>
      </c>
      <c r="G5063" t="s">
        <v>40</v>
      </c>
      <c r="H5063" t="s">
        <v>49</v>
      </c>
      <c r="I5063" t="s">
        <v>2117</v>
      </c>
    </row>
    <row r="5064" spans="1:9" x14ac:dyDescent="0.35">
      <c r="A5064">
        <v>859580</v>
      </c>
      <c r="B5064" t="s">
        <v>1633</v>
      </c>
      <c r="C5064" s="1">
        <v>43580</v>
      </c>
      <c r="D5064">
        <v>547</v>
      </c>
      <c r="E5064" t="b">
        <v>1</v>
      </c>
      <c r="F5064">
        <v>724</v>
      </c>
      <c r="G5064" t="s">
        <v>40</v>
      </c>
      <c r="H5064" t="s">
        <v>792</v>
      </c>
      <c r="I5064" t="s">
        <v>2117</v>
      </c>
    </row>
    <row r="5065" spans="1:9" x14ac:dyDescent="0.35">
      <c r="A5065">
        <v>859580</v>
      </c>
      <c r="B5065" t="s">
        <v>1633</v>
      </c>
      <c r="C5065" s="1">
        <v>43580</v>
      </c>
      <c r="D5065">
        <v>547</v>
      </c>
      <c r="E5065" t="b">
        <v>1</v>
      </c>
      <c r="F5065">
        <v>724</v>
      </c>
      <c r="G5065" t="s">
        <v>40</v>
      </c>
      <c r="H5065" t="s">
        <v>346</v>
      </c>
      <c r="I5065" t="s">
        <v>2117</v>
      </c>
    </row>
    <row r="5066" spans="1:9" x14ac:dyDescent="0.35">
      <c r="A5066">
        <v>859580</v>
      </c>
      <c r="B5066" t="s">
        <v>1633</v>
      </c>
      <c r="C5066" s="1">
        <v>43580</v>
      </c>
      <c r="D5066">
        <v>547</v>
      </c>
      <c r="E5066" t="b">
        <v>1</v>
      </c>
      <c r="F5066">
        <v>724</v>
      </c>
      <c r="G5066" t="s">
        <v>40</v>
      </c>
      <c r="H5066" t="s">
        <v>239</v>
      </c>
      <c r="I5066" t="s">
        <v>2116</v>
      </c>
    </row>
    <row r="5067" spans="1:9" x14ac:dyDescent="0.35">
      <c r="A5067">
        <v>859580</v>
      </c>
      <c r="B5067" t="s">
        <v>1633</v>
      </c>
      <c r="C5067" s="1">
        <v>43580</v>
      </c>
      <c r="D5067">
        <v>547</v>
      </c>
      <c r="E5067" t="b">
        <v>1</v>
      </c>
      <c r="F5067">
        <v>724</v>
      </c>
      <c r="G5067" t="s">
        <v>40</v>
      </c>
      <c r="H5067" t="s">
        <v>132</v>
      </c>
      <c r="I5067" t="s">
        <v>2117</v>
      </c>
    </row>
    <row r="5068" spans="1:9" x14ac:dyDescent="0.35">
      <c r="A5068">
        <v>859580</v>
      </c>
      <c r="B5068" t="s">
        <v>1633</v>
      </c>
      <c r="C5068" s="1">
        <v>43580</v>
      </c>
      <c r="D5068">
        <v>547</v>
      </c>
      <c r="E5068" t="b">
        <v>1</v>
      </c>
      <c r="F5068">
        <v>724</v>
      </c>
      <c r="G5068" t="s">
        <v>40</v>
      </c>
      <c r="H5068" t="s">
        <v>124</v>
      </c>
      <c r="I5068" t="s">
        <v>2116</v>
      </c>
    </row>
    <row r="5069" spans="1:9" x14ac:dyDescent="0.35">
      <c r="A5069">
        <v>859580</v>
      </c>
      <c r="B5069" t="s">
        <v>1633</v>
      </c>
      <c r="C5069" s="1">
        <v>43580</v>
      </c>
      <c r="D5069">
        <v>547</v>
      </c>
      <c r="E5069" t="b">
        <v>1</v>
      </c>
      <c r="F5069">
        <v>724</v>
      </c>
      <c r="G5069" t="s">
        <v>40</v>
      </c>
      <c r="H5069" t="s">
        <v>1510</v>
      </c>
      <c r="I5069" t="s">
        <v>2117</v>
      </c>
    </row>
    <row r="5070" spans="1:9" x14ac:dyDescent="0.35">
      <c r="A5070">
        <v>24200</v>
      </c>
      <c r="B5070" t="s">
        <v>1635</v>
      </c>
      <c r="C5070" s="1">
        <v>40849</v>
      </c>
      <c r="D5070">
        <v>546</v>
      </c>
      <c r="E5070" t="b">
        <v>0</v>
      </c>
      <c r="F5070">
        <v>727</v>
      </c>
      <c r="G5070" t="s">
        <v>2084</v>
      </c>
      <c r="H5070" t="s">
        <v>49</v>
      </c>
      <c r="I5070" t="s">
        <v>2116</v>
      </c>
    </row>
    <row r="5071" spans="1:9" x14ac:dyDescent="0.35">
      <c r="A5071">
        <v>24200</v>
      </c>
      <c r="B5071" t="s">
        <v>1635</v>
      </c>
      <c r="C5071" s="1">
        <v>40849</v>
      </c>
      <c r="D5071">
        <v>546</v>
      </c>
      <c r="E5071" t="b">
        <v>0</v>
      </c>
      <c r="F5071">
        <v>727</v>
      </c>
      <c r="G5071" t="s">
        <v>2084</v>
      </c>
      <c r="H5071" t="s">
        <v>792</v>
      </c>
      <c r="I5071" t="s">
        <v>2117</v>
      </c>
    </row>
    <row r="5072" spans="1:9" x14ac:dyDescent="0.35">
      <c r="A5072">
        <v>24200</v>
      </c>
      <c r="B5072" t="s">
        <v>1635</v>
      </c>
      <c r="C5072" s="1">
        <v>40849</v>
      </c>
      <c r="D5072">
        <v>546</v>
      </c>
      <c r="E5072" t="b">
        <v>0</v>
      </c>
      <c r="F5072">
        <v>727</v>
      </c>
      <c r="G5072" t="s">
        <v>2084</v>
      </c>
      <c r="H5072" t="s">
        <v>346</v>
      </c>
      <c r="I5072" t="s">
        <v>2116</v>
      </c>
    </row>
    <row r="5073" spans="1:9" x14ac:dyDescent="0.35">
      <c r="A5073">
        <v>24200</v>
      </c>
      <c r="B5073" t="s">
        <v>1635</v>
      </c>
      <c r="C5073" s="1">
        <v>40849</v>
      </c>
      <c r="D5073">
        <v>546</v>
      </c>
      <c r="E5073" t="b">
        <v>0</v>
      </c>
      <c r="F5073">
        <v>727</v>
      </c>
      <c r="G5073" t="s">
        <v>2084</v>
      </c>
      <c r="H5073" t="s">
        <v>239</v>
      </c>
      <c r="I5073" t="s">
        <v>2117</v>
      </c>
    </row>
    <row r="5074" spans="1:9" x14ac:dyDescent="0.35">
      <c r="A5074">
        <v>24200</v>
      </c>
      <c r="B5074" t="s">
        <v>1635</v>
      </c>
      <c r="C5074" s="1">
        <v>40849</v>
      </c>
      <c r="D5074">
        <v>546</v>
      </c>
      <c r="E5074" t="b">
        <v>0</v>
      </c>
      <c r="F5074">
        <v>727</v>
      </c>
      <c r="G5074" t="s">
        <v>2084</v>
      </c>
      <c r="H5074" t="s">
        <v>132</v>
      </c>
      <c r="I5074" t="s">
        <v>2116</v>
      </c>
    </row>
    <row r="5075" spans="1:9" x14ac:dyDescent="0.35">
      <c r="A5075">
        <v>24200</v>
      </c>
      <c r="B5075" t="s">
        <v>1635</v>
      </c>
      <c r="C5075" s="1">
        <v>40849</v>
      </c>
      <c r="D5075">
        <v>546</v>
      </c>
      <c r="E5075" t="b">
        <v>0</v>
      </c>
      <c r="F5075">
        <v>727</v>
      </c>
      <c r="G5075" t="s">
        <v>2084</v>
      </c>
      <c r="H5075" t="s">
        <v>124</v>
      </c>
      <c r="I5075" t="s">
        <v>2117</v>
      </c>
    </row>
    <row r="5076" spans="1:9" x14ac:dyDescent="0.35">
      <c r="A5076">
        <v>24200</v>
      </c>
      <c r="B5076" t="s">
        <v>1635</v>
      </c>
      <c r="C5076" s="1">
        <v>40849</v>
      </c>
      <c r="D5076">
        <v>546</v>
      </c>
      <c r="E5076" t="b">
        <v>0</v>
      </c>
      <c r="F5076">
        <v>727</v>
      </c>
      <c r="G5076" t="s">
        <v>2084</v>
      </c>
      <c r="H5076" t="s">
        <v>1510</v>
      </c>
      <c r="I5076" t="s">
        <v>2116</v>
      </c>
    </row>
    <row r="5077" spans="1:9" x14ac:dyDescent="0.35">
      <c r="A5077">
        <v>2916430</v>
      </c>
      <c r="B5077" t="s">
        <v>1637</v>
      </c>
      <c r="C5077" s="1">
        <v>45636</v>
      </c>
      <c r="D5077">
        <v>545</v>
      </c>
      <c r="E5077" t="b">
        <v>0</v>
      </c>
      <c r="F5077">
        <v>728</v>
      </c>
      <c r="G5077" t="s">
        <v>29</v>
      </c>
      <c r="H5077" t="s">
        <v>49</v>
      </c>
      <c r="I5077" t="s">
        <v>2117</v>
      </c>
    </row>
    <row r="5078" spans="1:9" x14ac:dyDescent="0.35">
      <c r="A5078">
        <v>2916430</v>
      </c>
      <c r="B5078" t="s">
        <v>1637</v>
      </c>
      <c r="C5078" s="1">
        <v>45636</v>
      </c>
      <c r="D5078">
        <v>545</v>
      </c>
      <c r="E5078" t="b">
        <v>0</v>
      </c>
      <c r="F5078">
        <v>728</v>
      </c>
      <c r="G5078" t="s">
        <v>29</v>
      </c>
      <c r="H5078" t="s">
        <v>792</v>
      </c>
      <c r="I5078" t="s">
        <v>2116</v>
      </c>
    </row>
    <row r="5079" spans="1:9" x14ac:dyDescent="0.35">
      <c r="A5079">
        <v>2916430</v>
      </c>
      <c r="B5079" t="s">
        <v>1637</v>
      </c>
      <c r="C5079" s="1">
        <v>45636</v>
      </c>
      <c r="D5079">
        <v>545</v>
      </c>
      <c r="E5079" t="b">
        <v>0</v>
      </c>
      <c r="F5079">
        <v>728</v>
      </c>
      <c r="G5079" t="s">
        <v>29</v>
      </c>
      <c r="H5079" t="s">
        <v>346</v>
      </c>
      <c r="I5079" t="s">
        <v>2117</v>
      </c>
    </row>
    <row r="5080" spans="1:9" x14ac:dyDescent="0.35">
      <c r="A5080">
        <v>2916430</v>
      </c>
      <c r="B5080" t="s">
        <v>1637</v>
      </c>
      <c r="C5080" s="1">
        <v>45636</v>
      </c>
      <c r="D5080">
        <v>545</v>
      </c>
      <c r="E5080" t="b">
        <v>0</v>
      </c>
      <c r="F5080">
        <v>728</v>
      </c>
      <c r="G5080" t="s">
        <v>29</v>
      </c>
      <c r="H5080" t="s">
        <v>239</v>
      </c>
      <c r="I5080" t="s">
        <v>2116</v>
      </c>
    </row>
    <row r="5081" spans="1:9" x14ac:dyDescent="0.35">
      <c r="A5081">
        <v>2916430</v>
      </c>
      <c r="B5081" t="s">
        <v>1637</v>
      </c>
      <c r="C5081" s="1">
        <v>45636</v>
      </c>
      <c r="D5081">
        <v>545</v>
      </c>
      <c r="E5081" t="b">
        <v>0</v>
      </c>
      <c r="F5081">
        <v>728</v>
      </c>
      <c r="G5081" t="s">
        <v>29</v>
      </c>
      <c r="H5081" t="s">
        <v>132</v>
      </c>
      <c r="I5081" t="s">
        <v>2117</v>
      </c>
    </row>
    <row r="5082" spans="1:9" x14ac:dyDescent="0.35">
      <c r="A5082">
        <v>2916430</v>
      </c>
      <c r="B5082" t="s">
        <v>1637</v>
      </c>
      <c r="C5082" s="1">
        <v>45636</v>
      </c>
      <c r="D5082">
        <v>545</v>
      </c>
      <c r="E5082" t="b">
        <v>0</v>
      </c>
      <c r="F5082">
        <v>728</v>
      </c>
      <c r="G5082" t="s">
        <v>29</v>
      </c>
      <c r="H5082" t="s">
        <v>124</v>
      </c>
      <c r="I5082" t="s">
        <v>2117</v>
      </c>
    </row>
    <row r="5083" spans="1:9" x14ac:dyDescent="0.35">
      <c r="A5083">
        <v>2916430</v>
      </c>
      <c r="B5083" t="s">
        <v>1637</v>
      </c>
      <c r="C5083" s="1">
        <v>45636</v>
      </c>
      <c r="D5083">
        <v>545</v>
      </c>
      <c r="E5083" t="b">
        <v>0</v>
      </c>
      <c r="F5083">
        <v>728</v>
      </c>
      <c r="G5083" t="s">
        <v>29</v>
      </c>
      <c r="H5083" t="s">
        <v>1510</v>
      </c>
      <c r="I5083" t="s">
        <v>2117</v>
      </c>
    </row>
    <row r="5084" spans="1:9" x14ac:dyDescent="0.35">
      <c r="A5084">
        <v>1575940</v>
      </c>
      <c r="B5084" t="s">
        <v>1638</v>
      </c>
      <c r="C5084" s="1">
        <v>45519</v>
      </c>
      <c r="D5084">
        <v>544</v>
      </c>
      <c r="E5084" t="b">
        <v>0</v>
      </c>
      <c r="F5084">
        <v>729</v>
      </c>
      <c r="G5084" t="s">
        <v>18</v>
      </c>
      <c r="H5084" t="s">
        <v>49</v>
      </c>
      <c r="I5084" t="s">
        <v>2117</v>
      </c>
    </row>
    <row r="5085" spans="1:9" x14ac:dyDescent="0.35">
      <c r="A5085">
        <v>1575940</v>
      </c>
      <c r="B5085" t="s">
        <v>1638</v>
      </c>
      <c r="C5085" s="1">
        <v>45519</v>
      </c>
      <c r="D5085">
        <v>544</v>
      </c>
      <c r="E5085" t="b">
        <v>0</v>
      </c>
      <c r="F5085">
        <v>729</v>
      </c>
      <c r="G5085" t="s">
        <v>18</v>
      </c>
      <c r="H5085" t="s">
        <v>792</v>
      </c>
      <c r="I5085" t="s">
        <v>2117</v>
      </c>
    </row>
    <row r="5086" spans="1:9" x14ac:dyDescent="0.35">
      <c r="A5086">
        <v>1575940</v>
      </c>
      <c r="B5086" t="s">
        <v>1638</v>
      </c>
      <c r="C5086" s="1">
        <v>45519</v>
      </c>
      <c r="D5086">
        <v>544</v>
      </c>
      <c r="E5086" t="b">
        <v>0</v>
      </c>
      <c r="F5086">
        <v>729</v>
      </c>
      <c r="G5086" t="s">
        <v>18</v>
      </c>
      <c r="H5086" t="s">
        <v>346</v>
      </c>
      <c r="I5086" t="s">
        <v>2117</v>
      </c>
    </row>
    <row r="5087" spans="1:9" x14ac:dyDescent="0.35">
      <c r="A5087">
        <v>1575940</v>
      </c>
      <c r="B5087" t="s">
        <v>1638</v>
      </c>
      <c r="C5087" s="1">
        <v>45519</v>
      </c>
      <c r="D5087">
        <v>544</v>
      </c>
      <c r="E5087" t="b">
        <v>0</v>
      </c>
      <c r="F5087">
        <v>729</v>
      </c>
      <c r="G5087" t="s">
        <v>18</v>
      </c>
      <c r="H5087" t="s">
        <v>239</v>
      </c>
      <c r="I5087" t="s">
        <v>2116</v>
      </c>
    </row>
    <row r="5088" spans="1:9" x14ac:dyDescent="0.35">
      <c r="A5088">
        <v>1575940</v>
      </c>
      <c r="B5088" t="s">
        <v>1638</v>
      </c>
      <c r="C5088" s="1">
        <v>45519</v>
      </c>
      <c r="D5088">
        <v>544</v>
      </c>
      <c r="E5088" t="b">
        <v>0</v>
      </c>
      <c r="F5088">
        <v>729</v>
      </c>
      <c r="G5088" t="s">
        <v>18</v>
      </c>
      <c r="H5088" t="s">
        <v>132</v>
      </c>
      <c r="I5088" t="s">
        <v>2117</v>
      </c>
    </row>
    <row r="5089" spans="1:9" x14ac:dyDescent="0.35">
      <c r="A5089">
        <v>1575940</v>
      </c>
      <c r="B5089" t="s">
        <v>1638</v>
      </c>
      <c r="C5089" s="1">
        <v>45519</v>
      </c>
      <c r="D5089">
        <v>544</v>
      </c>
      <c r="E5089" t="b">
        <v>0</v>
      </c>
      <c r="F5089">
        <v>729</v>
      </c>
      <c r="G5089" t="s">
        <v>18</v>
      </c>
      <c r="H5089" t="s">
        <v>124</v>
      </c>
      <c r="I5089" t="s">
        <v>2116</v>
      </c>
    </row>
    <row r="5090" spans="1:9" x14ac:dyDescent="0.35">
      <c r="A5090">
        <v>1575940</v>
      </c>
      <c r="B5090" t="s">
        <v>1638</v>
      </c>
      <c r="C5090" s="1">
        <v>45519</v>
      </c>
      <c r="D5090">
        <v>544</v>
      </c>
      <c r="E5090" t="b">
        <v>0</v>
      </c>
      <c r="F5090">
        <v>729</v>
      </c>
      <c r="G5090" t="s">
        <v>18</v>
      </c>
      <c r="H5090" t="s">
        <v>1510</v>
      </c>
      <c r="I5090" t="s">
        <v>2117</v>
      </c>
    </row>
    <row r="5091" spans="1:9" x14ac:dyDescent="0.35">
      <c r="A5091">
        <v>707010</v>
      </c>
      <c r="B5091" t="s">
        <v>1640</v>
      </c>
      <c r="C5091" s="1">
        <v>43195</v>
      </c>
      <c r="D5091">
        <v>542</v>
      </c>
      <c r="E5091" t="b">
        <v>0</v>
      </c>
      <c r="F5091">
        <v>730</v>
      </c>
      <c r="G5091" t="s">
        <v>53</v>
      </c>
      <c r="H5091" t="s">
        <v>49</v>
      </c>
      <c r="I5091" t="s">
        <v>2116</v>
      </c>
    </row>
    <row r="5092" spans="1:9" x14ac:dyDescent="0.35">
      <c r="A5092">
        <v>707010</v>
      </c>
      <c r="B5092" t="s">
        <v>1640</v>
      </c>
      <c r="C5092" s="1">
        <v>43195</v>
      </c>
      <c r="D5092">
        <v>542</v>
      </c>
      <c r="E5092" t="b">
        <v>0</v>
      </c>
      <c r="F5092">
        <v>730</v>
      </c>
      <c r="G5092" t="s">
        <v>53</v>
      </c>
      <c r="H5092" t="s">
        <v>792</v>
      </c>
      <c r="I5092" t="s">
        <v>2116</v>
      </c>
    </row>
    <row r="5093" spans="1:9" x14ac:dyDescent="0.35">
      <c r="A5093">
        <v>707010</v>
      </c>
      <c r="B5093" t="s">
        <v>1640</v>
      </c>
      <c r="C5093" s="1">
        <v>43195</v>
      </c>
      <c r="D5093">
        <v>542</v>
      </c>
      <c r="E5093" t="b">
        <v>0</v>
      </c>
      <c r="F5093">
        <v>730</v>
      </c>
      <c r="G5093" t="s">
        <v>53</v>
      </c>
      <c r="H5093" t="s">
        <v>346</v>
      </c>
      <c r="I5093" t="s">
        <v>2117</v>
      </c>
    </row>
    <row r="5094" spans="1:9" x14ac:dyDescent="0.35">
      <c r="A5094">
        <v>707010</v>
      </c>
      <c r="B5094" t="s">
        <v>1640</v>
      </c>
      <c r="C5094" s="1">
        <v>43195</v>
      </c>
      <c r="D5094">
        <v>542</v>
      </c>
      <c r="E5094" t="b">
        <v>0</v>
      </c>
      <c r="F5094">
        <v>730</v>
      </c>
      <c r="G5094" t="s">
        <v>53</v>
      </c>
      <c r="H5094" t="s">
        <v>239</v>
      </c>
      <c r="I5094" t="s">
        <v>2117</v>
      </c>
    </row>
    <row r="5095" spans="1:9" x14ac:dyDescent="0.35">
      <c r="A5095">
        <v>707010</v>
      </c>
      <c r="B5095" t="s">
        <v>1640</v>
      </c>
      <c r="C5095" s="1">
        <v>43195</v>
      </c>
      <c r="D5095">
        <v>542</v>
      </c>
      <c r="E5095" t="b">
        <v>0</v>
      </c>
      <c r="F5095">
        <v>730</v>
      </c>
      <c r="G5095" t="s">
        <v>53</v>
      </c>
      <c r="H5095" t="s">
        <v>132</v>
      </c>
      <c r="I5095" t="s">
        <v>2116</v>
      </c>
    </row>
    <row r="5096" spans="1:9" x14ac:dyDescent="0.35">
      <c r="A5096">
        <v>707010</v>
      </c>
      <c r="B5096" t="s">
        <v>1640</v>
      </c>
      <c r="C5096" s="1">
        <v>43195</v>
      </c>
      <c r="D5096">
        <v>542</v>
      </c>
      <c r="E5096" t="b">
        <v>0</v>
      </c>
      <c r="F5096">
        <v>730</v>
      </c>
      <c r="G5096" t="s">
        <v>53</v>
      </c>
      <c r="H5096" t="s">
        <v>124</v>
      </c>
      <c r="I5096" t="s">
        <v>2117</v>
      </c>
    </row>
    <row r="5097" spans="1:9" x14ac:dyDescent="0.35">
      <c r="A5097">
        <v>707010</v>
      </c>
      <c r="B5097" t="s">
        <v>1640</v>
      </c>
      <c r="C5097" s="1">
        <v>43195</v>
      </c>
      <c r="D5097">
        <v>542</v>
      </c>
      <c r="E5097" t="b">
        <v>0</v>
      </c>
      <c r="F5097">
        <v>730</v>
      </c>
      <c r="G5097" t="s">
        <v>53</v>
      </c>
      <c r="H5097" t="s">
        <v>1510</v>
      </c>
      <c r="I5097" t="s">
        <v>2116</v>
      </c>
    </row>
    <row r="5098" spans="1:9" x14ac:dyDescent="0.35">
      <c r="A5098">
        <v>312660</v>
      </c>
      <c r="B5098" t="s">
        <v>1642</v>
      </c>
      <c r="C5098" s="1">
        <v>42779</v>
      </c>
      <c r="D5098">
        <v>541</v>
      </c>
      <c r="E5098" t="b">
        <v>0</v>
      </c>
      <c r="F5098">
        <v>731</v>
      </c>
      <c r="G5098" t="s">
        <v>33</v>
      </c>
      <c r="H5098" t="s">
        <v>49</v>
      </c>
      <c r="I5098" t="s">
        <v>2116</v>
      </c>
    </row>
    <row r="5099" spans="1:9" x14ac:dyDescent="0.35">
      <c r="A5099">
        <v>312660</v>
      </c>
      <c r="B5099" t="s">
        <v>1642</v>
      </c>
      <c r="C5099" s="1">
        <v>42779</v>
      </c>
      <c r="D5099">
        <v>541</v>
      </c>
      <c r="E5099" t="b">
        <v>0</v>
      </c>
      <c r="F5099">
        <v>731</v>
      </c>
      <c r="G5099" t="s">
        <v>33</v>
      </c>
      <c r="H5099" t="s">
        <v>792</v>
      </c>
      <c r="I5099" t="s">
        <v>2117</v>
      </c>
    </row>
    <row r="5100" spans="1:9" x14ac:dyDescent="0.35">
      <c r="A5100">
        <v>312660</v>
      </c>
      <c r="B5100" t="s">
        <v>1642</v>
      </c>
      <c r="C5100" s="1">
        <v>42779</v>
      </c>
      <c r="D5100">
        <v>541</v>
      </c>
      <c r="E5100" t="b">
        <v>0</v>
      </c>
      <c r="F5100">
        <v>731</v>
      </c>
      <c r="G5100" t="s">
        <v>33</v>
      </c>
      <c r="H5100" t="s">
        <v>346</v>
      </c>
      <c r="I5100" t="s">
        <v>2116</v>
      </c>
    </row>
    <row r="5101" spans="1:9" x14ac:dyDescent="0.35">
      <c r="A5101">
        <v>312660</v>
      </c>
      <c r="B5101" t="s">
        <v>1642</v>
      </c>
      <c r="C5101" s="1">
        <v>42779</v>
      </c>
      <c r="D5101">
        <v>541</v>
      </c>
      <c r="E5101" t="b">
        <v>0</v>
      </c>
      <c r="F5101">
        <v>731</v>
      </c>
      <c r="G5101" t="s">
        <v>33</v>
      </c>
      <c r="H5101" t="s">
        <v>239</v>
      </c>
      <c r="I5101" t="s">
        <v>2117</v>
      </c>
    </row>
    <row r="5102" spans="1:9" x14ac:dyDescent="0.35">
      <c r="A5102">
        <v>312660</v>
      </c>
      <c r="B5102" t="s">
        <v>1642</v>
      </c>
      <c r="C5102" s="1">
        <v>42779</v>
      </c>
      <c r="D5102">
        <v>541</v>
      </c>
      <c r="E5102" t="b">
        <v>0</v>
      </c>
      <c r="F5102">
        <v>731</v>
      </c>
      <c r="G5102" t="s">
        <v>33</v>
      </c>
      <c r="H5102" t="s">
        <v>132</v>
      </c>
      <c r="I5102" t="s">
        <v>2117</v>
      </c>
    </row>
    <row r="5103" spans="1:9" x14ac:dyDescent="0.35">
      <c r="A5103">
        <v>312660</v>
      </c>
      <c r="B5103" t="s">
        <v>1642</v>
      </c>
      <c r="C5103" s="1">
        <v>42779</v>
      </c>
      <c r="D5103">
        <v>541</v>
      </c>
      <c r="E5103" t="b">
        <v>0</v>
      </c>
      <c r="F5103">
        <v>731</v>
      </c>
      <c r="G5103" t="s">
        <v>33</v>
      </c>
      <c r="H5103" t="s">
        <v>124</v>
      </c>
      <c r="I5103" t="s">
        <v>2117</v>
      </c>
    </row>
    <row r="5104" spans="1:9" x14ac:dyDescent="0.35">
      <c r="A5104">
        <v>312660</v>
      </c>
      <c r="B5104" t="s">
        <v>1642</v>
      </c>
      <c r="C5104" s="1">
        <v>42779</v>
      </c>
      <c r="D5104">
        <v>541</v>
      </c>
      <c r="E5104" t="b">
        <v>0</v>
      </c>
      <c r="F5104">
        <v>731</v>
      </c>
      <c r="G5104" t="s">
        <v>33</v>
      </c>
      <c r="H5104" t="s">
        <v>1510</v>
      </c>
      <c r="I5104" t="s">
        <v>2117</v>
      </c>
    </row>
    <row r="5105" spans="1:9" x14ac:dyDescent="0.35">
      <c r="A5105">
        <v>1030830</v>
      </c>
      <c r="B5105" t="s">
        <v>1644</v>
      </c>
      <c r="C5105" s="1">
        <v>43970</v>
      </c>
      <c r="D5105">
        <v>538</v>
      </c>
      <c r="E5105" t="b">
        <v>0</v>
      </c>
      <c r="F5105">
        <v>732</v>
      </c>
      <c r="G5105" t="s">
        <v>133</v>
      </c>
      <c r="H5105" t="s">
        <v>49</v>
      </c>
      <c r="I5105" t="s">
        <v>2116</v>
      </c>
    </row>
    <row r="5106" spans="1:9" x14ac:dyDescent="0.35">
      <c r="A5106">
        <v>1030830</v>
      </c>
      <c r="B5106" t="s">
        <v>1644</v>
      </c>
      <c r="C5106" s="1">
        <v>43970</v>
      </c>
      <c r="D5106">
        <v>538</v>
      </c>
      <c r="E5106" t="b">
        <v>0</v>
      </c>
      <c r="F5106">
        <v>732</v>
      </c>
      <c r="G5106" t="s">
        <v>133</v>
      </c>
      <c r="H5106" t="s">
        <v>792</v>
      </c>
      <c r="I5106" t="s">
        <v>2117</v>
      </c>
    </row>
    <row r="5107" spans="1:9" x14ac:dyDescent="0.35">
      <c r="A5107">
        <v>1030830</v>
      </c>
      <c r="B5107" t="s">
        <v>1644</v>
      </c>
      <c r="C5107" s="1">
        <v>43970</v>
      </c>
      <c r="D5107">
        <v>538</v>
      </c>
      <c r="E5107" t="b">
        <v>0</v>
      </c>
      <c r="F5107">
        <v>732</v>
      </c>
      <c r="G5107" t="s">
        <v>133</v>
      </c>
      <c r="H5107" t="s">
        <v>346</v>
      </c>
      <c r="I5107" t="s">
        <v>2116</v>
      </c>
    </row>
    <row r="5108" spans="1:9" x14ac:dyDescent="0.35">
      <c r="A5108">
        <v>1030830</v>
      </c>
      <c r="B5108" t="s">
        <v>1644</v>
      </c>
      <c r="C5108" s="1">
        <v>43970</v>
      </c>
      <c r="D5108">
        <v>538</v>
      </c>
      <c r="E5108" t="b">
        <v>0</v>
      </c>
      <c r="F5108">
        <v>732</v>
      </c>
      <c r="G5108" t="s">
        <v>133</v>
      </c>
      <c r="H5108" t="s">
        <v>239</v>
      </c>
      <c r="I5108" t="s">
        <v>2117</v>
      </c>
    </row>
    <row r="5109" spans="1:9" x14ac:dyDescent="0.35">
      <c r="A5109">
        <v>1030830</v>
      </c>
      <c r="B5109" t="s">
        <v>1644</v>
      </c>
      <c r="C5109" s="1">
        <v>43970</v>
      </c>
      <c r="D5109">
        <v>538</v>
      </c>
      <c r="E5109" t="b">
        <v>0</v>
      </c>
      <c r="F5109">
        <v>732</v>
      </c>
      <c r="G5109" t="s">
        <v>133</v>
      </c>
      <c r="H5109" t="s">
        <v>132</v>
      </c>
      <c r="I5109" t="s">
        <v>2117</v>
      </c>
    </row>
    <row r="5110" spans="1:9" x14ac:dyDescent="0.35">
      <c r="A5110">
        <v>1030830</v>
      </c>
      <c r="B5110" t="s">
        <v>1644</v>
      </c>
      <c r="C5110" s="1">
        <v>43970</v>
      </c>
      <c r="D5110">
        <v>538</v>
      </c>
      <c r="E5110" t="b">
        <v>0</v>
      </c>
      <c r="F5110">
        <v>732</v>
      </c>
      <c r="G5110" t="s">
        <v>133</v>
      </c>
      <c r="H5110" t="s">
        <v>124</v>
      </c>
      <c r="I5110" t="s">
        <v>2117</v>
      </c>
    </row>
    <row r="5111" spans="1:9" x14ac:dyDescent="0.35">
      <c r="A5111">
        <v>1030830</v>
      </c>
      <c r="B5111" t="s">
        <v>1644</v>
      </c>
      <c r="C5111" s="1">
        <v>43970</v>
      </c>
      <c r="D5111">
        <v>538</v>
      </c>
      <c r="E5111" t="b">
        <v>0</v>
      </c>
      <c r="F5111">
        <v>732</v>
      </c>
      <c r="G5111" t="s">
        <v>133</v>
      </c>
      <c r="H5111" t="s">
        <v>1510</v>
      </c>
      <c r="I5111" t="s">
        <v>2117</v>
      </c>
    </row>
    <row r="5112" spans="1:9" x14ac:dyDescent="0.35">
      <c r="A5112">
        <v>1324130</v>
      </c>
      <c r="B5112" t="s">
        <v>1645</v>
      </c>
      <c r="C5112" s="1">
        <v>45041</v>
      </c>
      <c r="D5112">
        <v>538</v>
      </c>
      <c r="E5112" t="b">
        <v>0</v>
      </c>
      <c r="F5112">
        <v>732</v>
      </c>
      <c r="G5112" t="s">
        <v>36</v>
      </c>
      <c r="H5112" t="s">
        <v>49</v>
      </c>
      <c r="I5112" t="s">
        <v>2117</v>
      </c>
    </row>
    <row r="5113" spans="1:9" x14ac:dyDescent="0.35">
      <c r="A5113">
        <v>1324130</v>
      </c>
      <c r="B5113" t="s">
        <v>1645</v>
      </c>
      <c r="C5113" s="1">
        <v>45041</v>
      </c>
      <c r="D5113">
        <v>538</v>
      </c>
      <c r="E5113" t="b">
        <v>0</v>
      </c>
      <c r="F5113">
        <v>732</v>
      </c>
      <c r="G5113" t="s">
        <v>36</v>
      </c>
      <c r="H5113" t="s">
        <v>792</v>
      </c>
      <c r="I5113" t="s">
        <v>2117</v>
      </c>
    </row>
    <row r="5114" spans="1:9" x14ac:dyDescent="0.35">
      <c r="A5114">
        <v>1324130</v>
      </c>
      <c r="B5114" t="s">
        <v>1645</v>
      </c>
      <c r="C5114" s="1">
        <v>45041</v>
      </c>
      <c r="D5114">
        <v>538</v>
      </c>
      <c r="E5114" t="b">
        <v>0</v>
      </c>
      <c r="F5114">
        <v>732</v>
      </c>
      <c r="G5114" t="s">
        <v>36</v>
      </c>
      <c r="H5114" t="s">
        <v>346</v>
      </c>
      <c r="I5114" t="s">
        <v>2117</v>
      </c>
    </row>
    <row r="5115" spans="1:9" x14ac:dyDescent="0.35">
      <c r="A5115">
        <v>1324130</v>
      </c>
      <c r="B5115" t="s">
        <v>1645</v>
      </c>
      <c r="C5115" s="1">
        <v>45041</v>
      </c>
      <c r="D5115">
        <v>538</v>
      </c>
      <c r="E5115" t="b">
        <v>0</v>
      </c>
      <c r="F5115">
        <v>732</v>
      </c>
      <c r="G5115" t="s">
        <v>36</v>
      </c>
      <c r="H5115" t="s">
        <v>239</v>
      </c>
      <c r="I5115" t="s">
        <v>2116</v>
      </c>
    </row>
    <row r="5116" spans="1:9" x14ac:dyDescent="0.35">
      <c r="A5116">
        <v>1324130</v>
      </c>
      <c r="B5116" t="s">
        <v>1645</v>
      </c>
      <c r="C5116" s="1">
        <v>45041</v>
      </c>
      <c r="D5116">
        <v>538</v>
      </c>
      <c r="E5116" t="b">
        <v>0</v>
      </c>
      <c r="F5116">
        <v>732</v>
      </c>
      <c r="G5116" t="s">
        <v>36</v>
      </c>
      <c r="H5116" t="s">
        <v>132</v>
      </c>
      <c r="I5116" t="s">
        <v>2117</v>
      </c>
    </row>
    <row r="5117" spans="1:9" x14ac:dyDescent="0.35">
      <c r="A5117">
        <v>1324130</v>
      </c>
      <c r="B5117" t="s">
        <v>1645</v>
      </c>
      <c r="C5117" s="1">
        <v>45041</v>
      </c>
      <c r="D5117">
        <v>538</v>
      </c>
      <c r="E5117" t="b">
        <v>0</v>
      </c>
      <c r="F5117">
        <v>732</v>
      </c>
      <c r="G5117" t="s">
        <v>36</v>
      </c>
      <c r="H5117" t="s">
        <v>124</v>
      </c>
      <c r="I5117" t="s">
        <v>2116</v>
      </c>
    </row>
    <row r="5118" spans="1:9" x14ac:dyDescent="0.35">
      <c r="A5118">
        <v>1324130</v>
      </c>
      <c r="B5118" t="s">
        <v>1645</v>
      </c>
      <c r="C5118" s="1">
        <v>45041</v>
      </c>
      <c r="D5118">
        <v>538</v>
      </c>
      <c r="E5118" t="b">
        <v>0</v>
      </c>
      <c r="F5118">
        <v>732</v>
      </c>
      <c r="G5118" t="s">
        <v>36</v>
      </c>
      <c r="H5118" t="s">
        <v>1510</v>
      </c>
      <c r="I5118" t="s">
        <v>2117</v>
      </c>
    </row>
    <row r="5119" spans="1:9" x14ac:dyDescent="0.35">
      <c r="A5119">
        <v>3204020</v>
      </c>
      <c r="B5119" t="s">
        <v>1646</v>
      </c>
      <c r="C5119" s="1">
        <v>45812</v>
      </c>
      <c r="D5119">
        <v>538</v>
      </c>
      <c r="E5119" t="b">
        <v>0</v>
      </c>
      <c r="F5119">
        <v>732</v>
      </c>
      <c r="G5119" t="s">
        <v>2082</v>
      </c>
      <c r="H5119" t="s">
        <v>49</v>
      </c>
      <c r="I5119" t="s">
        <v>2117</v>
      </c>
    </row>
    <row r="5120" spans="1:9" x14ac:dyDescent="0.35">
      <c r="A5120">
        <v>3204020</v>
      </c>
      <c r="B5120" t="s">
        <v>1646</v>
      </c>
      <c r="C5120" s="1">
        <v>45812</v>
      </c>
      <c r="D5120">
        <v>538</v>
      </c>
      <c r="E5120" t="b">
        <v>0</v>
      </c>
      <c r="F5120">
        <v>732</v>
      </c>
      <c r="G5120" t="s">
        <v>2082</v>
      </c>
      <c r="H5120" t="s">
        <v>792</v>
      </c>
      <c r="I5120" t="s">
        <v>2116</v>
      </c>
    </row>
    <row r="5121" spans="1:9" x14ac:dyDescent="0.35">
      <c r="A5121">
        <v>3204020</v>
      </c>
      <c r="B5121" t="s">
        <v>1646</v>
      </c>
      <c r="C5121" s="1">
        <v>45812</v>
      </c>
      <c r="D5121">
        <v>538</v>
      </c>
      <c r="E5121" t="b">
        <v>0</v>
      </c>
      <c r="F5121">
        <v>732</v>
      </c>
      <c r="G5121" t="s">
        <v>2082</v>
      </c>
      <c r="H5121" t="s">
        <v>346</v>
      </c>
      <c r="I5121" t="s">
        <v>2117</v>
      </c>
    </row>
    <row r="5122" spans="1:9" x14ac:dyDescent="0.35">
      <c r="A5122">
        <v>3204020</v>
      </c>
      <c r="B5122" t="s">
        <v>1646</v>
      </c>
      <c r="C5122" s="1">
        <v>45812</v>
      </c>
      <c r="D5122">
        <v>538</v>
      </c>
      <c r="E5122" t="b">
        <v>0</v>
      </c>
      <c r="F5122">
        <v>732</v>
      </c>
      <c r="G5122" t="s">
        <v>2082</v>
      </c>
      <c r="H5122" t="s">
        <v>239</v>
      </c>
      <c r="I5122" t="s">
        <v>2117</v>
      </c>
    </row>
    <row r="5123" spans="1:9" x14ac:dyDescent="0.35">
      <c r="A5123">
        <v>3204020</v>
      </c>
      <c r="B5123" t="s">
        <v>1646</v>
      </c>
      <c r="C5123" s="1">
        <v>45812</v>
      </c>
      <c r="D5123">
        <v>538</v>
      </c>
      <c r="E5123" t="b">
        <v>0</v>
      </c>
      <c r="F5123">
        <v>732</v>
      </c>
      <c r="G5123" t="s">
        <v>2082</v>
      </c>
      <c r="H5123" t="s">
        <v>132</v>
      </c>
      <c r="I5123" t="s">
        <v>2117</v>
      </c>
    </row>
    <row r="5124" spans="1:9" x14ac:dyDescent="0.35">
      <c r="A5124">
        <v>3204020</v>
      </c>
      <c r="B5124" t="s">
        <v>1646</v>
      </c>
      <c r="C5124" s="1">
        <v>45812</v>
      </c>
      <c r="D5124">
        <v>538</v>
      </c>
      <c r="E5124" t="b">
        <v>0</v>
      </c>
      <c r="F5124">
        <v>732</v>
      </c>
      <c r="G5124" t="s">
        <v>2082</v>
      </c>
      <c r="H5124" t="s">
        <v>124</v>
      </c>
      <c r="I5124" t="s">
        <v>2117</v>
      </c>
    </row>
    <row r="5125" spans="1:9" x14ac:dyDescent="0.35">
      <c r="A5125">
        <v>3204020</v>
      </c>
      <c r="B5125" t="s">
        <v>1646</v>
      </c>
      <c r="C5125" s="1">
        <v>45812</v>
      </c>
      <c r="D5125">
        <v>538</v>
      </c>
      <c r="E5125" t="b">
        <v>0</v>
      </c>
      <c r="F5125">
        <v>732</v>
      </c>
      <c r="G5125" t="s">
        <v>2082</v>
      </c>
      <c r="H5125" t="s">
        <v>1510</v>
      </c>
      <c r="I5125" t="s">
        <v>2117</v>
      </c>
    </row>
    <row r="5126" spans="1:9" x14ac:dyDescent="0.35">
      <c r="A5126">
        <v>1385380</v>
      </c>
      <c r="B5126" t="s">
        <v>1647</v>
      </c>
      <c r="C5126" s="1">
        <v>44789</v>
      </c>
      <c r="D5126">
        <v>531</v>
      </c>
      <c r="E5126" t="b">
        <v>1</v>
      </c>
      <c r="F5126">
        <v>735</v>
      </c>
      <c r="G5126" t="s">
        <v>113</v>
      </c>
      <c r="H5126" t="s">
        <v>49</v>
      </c>
      <c r="I5126" t="s">
        <v>2117</v>
      </c>
    </row>
    <row r="5127" spans="1:9" x14ac:dyDescent="0.35">
      <c r="A5127">
        <v>1385380</v>
      </c>
      <c r="B5127" t="s">
        <v>1647</v>
      </c>
      <c r="C5127" s="1">
        <v>44789</v>
      </c>
      <c r="D5127">
        <v>531</v>
      </c>
      <c r="E5127" t="b">
        <v>1</v>
      </c>
      <c r="F5127">
        <v>735</v>
      </c>
      <c r="G5127" t="s">
        <v>113</v>
      </c>
      <c r="H5127" t="s">
        <v>792</v>
      </c>
      <c r="I5127" t="s">
        <v>2116</v>
      </c>
    </row>
    <row r="5128" spans="1:9" x14ac:dyDescent="0.35">
      <c r="A5128">
        <v>1385380</v>
      </c>
      <c r="B5128" t="s">
        <v>1647</v>
      </c>
      <c r="C5128" s="1">
        <v>44789</v>
      </c>
      <c r="D5128">
        <v>531</v>
      </c>
      <c r="E5128" t="b">
        <v>1</v>
      </c>
      <c r="F5128">
        <v>735</v>
      </c>
      <c r="G5128" t="s">
        <v>113</v>
      </c>
      <c r="H5128" t="s">
        <v>346</v>
      </c>
      <c r="I5128" t="s">
        <v>2116</v>
      </c>
    </row>
    <row r="5129" spans="1:9" x14ac:dyDescent="0.35">
      <c r="A5129">
        <v>1385380</v>
      </c>
      <c r="B5129" t="s">
        <v>1647</v>
      </c>
      <c r="C5129" s="1">
        <v>44789</v>
      </c>
      <c r="D5129">
        <v>531</v>
      </c>
      <c r="E5129" t="b">
        <v>1</v>
      </c>
      <c r="F5129">
        <v>735</v>
      </c>
      <c r="G5129" t="s">
        <v>113</v>
      </c>
      <c r="H5129" t="s">
        <v>239</v>
      </c>
      <c r="I5129" t="s">
        <v>2117</v>
      </c>
    </row>
    <row r="5130" spans="1:9" x14ac:dyDescent="0.35">
      <c r="A5130">
        <v>1385380</v>
      </c>
      <c r="B5130" t="s">
        <v>1647</v>
      </c>
      <c r="C5130" s="1">
        <v>44789</v>
      </c>
      <c r="D5130">
        <v>531</v>
      </c>
      <c r="E5130" t="b">
        <v>1</v>
      </c>
      <c r="F5130">
        <v>735</v>
      </c>
      <c r="G5130" t="s">
        <v>113</v>
      </c>
      <c r="H5130" t="s">
        <v>132</v>
      </c>
      <c r="I5130" t="s">
        <v>2116</v>
      </c>
    </row>
    <row r="5131" spans="1:9" x14ac:dyDescent="0.35">
      <c r="A5131">
        <v>1385380</v>
      </c>
      <c r="B5131" t="s">
        <v>1647</v>
      </c>
      <c r="C5131" s="1">
        <v>44789</v>
      </c>
      <c r="D5131">
        <v>531</v>
      </c>
      <c r="E5131" t="b">
        <v>1</v>
      </c>
      <c r="F5131">
        <v>735</v>
      </c>
      <c r="G5131" t="s">
        <v>113</v>
      </c>
      <c r="H5131" t="s">
        <v>124</v>
      </c>
      <c r="I5131" t="s">
        <v>2116</v>
      </c>
    </row>
    <row r="5132" spans="1:9" x14ac:dyDescent="0.35">
      <c r="A5132">
        <v>1385380</v>
      </c>
      <c r="B5132" t="s">
        <v>1647</v>
      </c>
      <c r="C5132" s="1">
        <v>44789</v>
      </c>
      <c r="D5132">
        <v>531</v>
      </c>
      <c r="E5132" t="b">
        <v>1</v>
      </c>
      <c r="F5132">
        <v>735</v>
      </c>
      <c r="G5132" t="s">
        <v>113</v>
      </c>
      <c r="H5132" t="s">
        <v>1510</v>
      </c>
      <c r="I5132" t="s">
        <v>2117</v>
      </c>
    </row>
    <row r="5133" spans="1:9" x14ac:dyDescent="0.35">
      <c r="A5133">
        <v>1486920</v>
      </c>
      <c r="B5133" t="s">
        <v>1648</v>
      </c>
      <c r="C5133" s="1">
        <v>45771</v>
      </c>
      <c r="D5133">
        <v>528</v>
      </c>
      <c r="E5133" t="b">
        <v>0</v>
      </c>
      <c r="F5133">
        <v>736</v>
      </c>
      <c r="G5133" t="s">
        <v>113</v>
      </c>
      <c r="H5133" t="s">
        <v>49</v>
      </c>
      <c r="I5133" t="s">
        <v>2116</v>
      </c>
    </row>
    <row r="5134" spans="1:9" x14ac:dyDescent="0.35">
      <c r="A5134">
        <v>1486920</v>
      </c>
      <c r="B5134" t="s">
        <v>1648</v>
      </c>
      <c r="C5134" s="1">
        <v>45771</v>
      </c>
      <c r="D5134">
        <v>528</v>
      </c>
      <c r="E5134" t="b">
        <v>0</v>
      </c>
      <c r="F5134">
        <v>736</v>
      </c>
      <c r="G5134" t="s">
        <v>113</v>
      </c>
      <c r="H5134" t="s">
        <v>792</v>
      </c>
      <c r="I5134" t="s">
        <v>2117</v>
      </c>
    </row>
    <row r="5135" spans="1:9" x14ac:dyDescent="0.35">
      <c r="A5135">
        <v>1486920</v>
      </c>
      <c r="B5135" t="s">
        <v>1648</v>
      </c>
      <c r="C5135" s="1">
        <v>45771</v>
      </c>
      <c r="D5135">
        <v>528</v>
      </c>
      <c r="E5135" t="b">
        <v>0</v>
      </c>
      <c r="F5135">
        <v>736</v>
      </c>
      <c r="G5135" t="s">
        <v>113</v>
      </c>
      <c r="H5135" t="s">
        <v>346</v>
      </c>
      <c r="I5135" t="s">
        <v>2117</v>
      </c>
    </row>
    <row r="5136" spans="1:9" x14ac:dyDescent="0.35">
      <c r="A5136">
        <v>1486920</v>
      </c>
      <c r="B5136" t="s">
        <v>1648</v>
      </c>
      <c r="C5136" s="1">
        <v>45771</v>
      </c>
      <c r="D5136">
        <v>528</v>
      </c>
      <c r="E5136" t="b">
        <v>0</v>
      </c>
      <c r="F5136">
        <v>736</v>
      </c>
      <c r="G5136" t="s">
        <v>113</v>
      </c>
      <c r="H5136" t="s">
        <v>239</v>
      </c>
      <c r="I5136" t="s">
        <v>2117</v>
      </c>
    </row>
    <row r="5137" spans="1:9" x14ac:dyDescent="0.35">
      <c r="A5137">
        <v>1486920</v>
      </c>
      <c r="B5137" t="s">
        <v>1648</v>
      </c>
      <c r="C5137" s="1">
        <v>45771</v>
      </c>
      <c r="D5137">
        <v>528</v>
      </c>
      <c r="E5137" t="b">
        <v>0</v>
      </c>
      <c r="F5137">
        <v>736</v>
      </c>
      <c r="G5137" t="s">
        <v>113</v>
      </c>
      <c r="H5137" t="s">
        <v>132</v>
      </c>
      <c r="I5137" t="s">
        <v>2117</v>
      </c>
    </row>
    <row r="5138" spans="1:9" x14ac:dyDescent="0.35">
      <c r="A5138">
        <v>1486920</v>
      </c>
      <c r="B5138" t="s">
        <v>1648</v>
      </c>
      <c r="C5138" s="1">
        <v>45771</v>
      </c>
      <c r="D5138">
        <v>528</v>
      </c>
      <c r="E5138" t="b">
        <v>0</v>
      </c>
      <c r="F5138">
        <v>736</v>
      </c>
      <c r="G5138" t="s">
        <v>113</v>
      </c>
      <c r="H5138" t="s">
        <v>124</v>
      </c>
      <c r="I5138" t="s">
        <v>2116</v>
      </c>
    </row>
    <row r="5139" spans="1:9" x14ac:dyDescent="0.35">
      <c r="A5139">
        <v>1486920</v>
      </c>
      <c r="B5139" t="s">
        <v>1648</v>
      </c>
      <c r="C5139" s="1">
        <v>45771</v>
      </c>
      <c r="D5139">
        <v>528</v>
      </c>
      <c r="E5139" t="b">
        <v>0</v>
      </c>
      <c r="F5139">
        <v>736</v>
      </c>
      <c r="G5139" t="s">
        <v>113</v>
      </c>
      <c r="H5139" t="s">
        <v>1510</v>
      </c>
      <c r="I5139" t="s">
        <v>2117</v>
      </c>
    </row>
    <row r="5140" spans="1:9" x14ac:dyDescent="0.35">
      <c r="A5140">
        <v>42700</v>
      </c>
      <c r="B5140" t="s">
        <v>1649</v>
      </c>
      <c r="C5140" s="1">
        <v>40491</v>
      </c>
      <c r="D5140">
        <v>527</v>
      </c>
      <c r="E5140" t="b">
        <v>0</v>
      </c>
      <c r="F5140">
        <v>737</v>
      </c>
      <c r="G5140" t="s">
        <v>2084</v>
      </c>
      <c r="H5140" t="s">
        <v>49</v>
      </c>
      <c r="I5140" t="s">
        <v>2116</v>
      </c>
    </row>
    <row r="5141" spans="1:9" x14ac:dyDescent="0.35">
      <c r="A5141">
        <v>42700</v>
      </c>
      <c r="B5141" t="s">
        <v>1649</v>
      </c>
      <c r="C5141" s="1">
        <v>40491</v>
      </c>
      <c r="D5141">
        <v>527</v>
      </c>
      <c r="E5141" t="b">
        <v>0</v>
      </c>
      <c r="F5141">
        <v>737</v>
      </c>
      <c r="G5141" t="s">
        <v>2084</v>
      </c>
      <c r="H5141" t="s">
        <v>792</v>
      </c>
      <c r="I5141" t="s">
        <v>2117</v>
      </c>
    </row>
    <row r="5142" spans="1:9" x14ac:dyDescent="0.35">
      <c r="A5142">
        <v>42700</v>
      </c>
      <c r="B5142" t="s">
        <v>1649</v>
      </c>
      <c r="C5142" s="1">
        <v>40491</v>
      </c>
      <c r="D5142">
        <v>527</v>
      </c>
      <c r="E5142" t="b">
        <v>0</v>
      </c>
      <c r="F5142">
        <v>737</v>
      </c>
      <c r="G5142" t="s">
        <v>2084</v>
      </c>
      <c r="H5142" t="s">
        <v>346</v>
      </c>
      <c r="I5142" t="s">
        <v>2117</v>
      </c>
    </row>
    <row r="5143" spans="1:9" x14ac:dyDescent="0.35">
      <c r="A5143">
        <v>42700</v>
      </c>
      <c r="B5143" t="s">
        <v>1649</v>
      </c>
      <c r="C5143" s="1">
        <v>40491</v>
      </c>
      <c r="D5143">
        <v>527</v>
      </c>
      <c r="E5143" t="b">
        <v>0</v>
      </c>
      <c r="F5143">
        <v>737</v>
      </c>
      <c r="G5143" t="s">
        <v>2084</v>
      </c>
      <c r="H5143" t="s">
        <v>239</v>
      </c>
      <c r="I5143" t="s">
        <v>2117</v>
      </c>
    </row>
    <row r="5144" spans="1:9" x14ac:dyDescent="0.35">
      <c r="A5144">
        <v>42700</v>
      </c>
      <c r="B5144" t="s">
        <v>1649</v>
      </c>
      <c r="C5144" s="1">
        <v>40491</v>
      </c>
      <c r="D5144">
        <v>527</v>
      </c>
      <c r="E5144" t="b">
        <v>0</v>
      </c>
      <c r="F5144">
        <v>737</v>
      </c>
      <c r="G5144" t="s">
        <v>2084</v>
      </c>
      <c r="H5144" t="s">
        <v>132</v>
      </c>
      <c r="I5144" t="s">
        <v>2117</v>
      </c>
    </row>
    <row r="5145" spans="1:9" x14ac:dyDescent="0.35">
      <c r="A5145">
        <v>42700</v>
      </c>
      <c r="B5145" t="s">
        <v>1649</v>
      </c>
      <c r="C5145" s="1">
        <v>40491</v>
      </c>
      <c r="D5145">
        <v>527</v>
      </c>
      <c r="E5145" t="b">
        <v>0</v>
      </c>
      <c r="F5145">
        <v>737</v>
      </c>
      <c r="G5145" t="s">
        <v>2084</v>
      </c>
      <c r="H5145" t="s">
        <v>124</v>
      </c>
      <c r="I5145" t="s">
        <v>2117</v>
      </c>
    </row>
    <row r="5146" spans="1:9" x14ac:dyDescent="0.35">
      <c r="A5146">
        <v>42700</v>
      </c>
      <c r="B5146" t="s">
        <v>1649</v>
      </c>
      <c r="C5146" s="1">
        <v>40491</v>
      </c>
      <c r="D5146">
        <v>527</v>
      </c>
      <c r="E5146" t="b">
        <v>0</v>
      </c>
      <c r="F5146">
        <v>737</v>
      </c>
      <c r="G5146" t="s">
        <v>2084</v>
      </c>
      <c r="H5146" t="s">
        <v>1510</v>
      </c>
      <c r="I5146" t="s">
        <v>2117</v>
      </c>
    </row>
    <row r="5147" spans="1:9" x14ac:dyDescent="0.35">
      <c r="A5147">
        <v>1021210</v>
      </c>
      <c r="B5147" t="s">
        <v>1651</v>
      </c>
      <c r="C5147" s="1">
        <v>45810</v>
      </c>
      <c r="D5147">
        <v>527</v>
      </c>
      <c r="E5147" t="b">
        <v>1</v>
      </c>
      <c r="F5147">
        <v>737</v>
      </c>
      <c r="G5147" t="s">
        <v>25</v>
      </c>
      <c r="H5147" t="s">
        <v>49</v>
      </c>
      <c r="I5147" t="s">
        <v>2116</v>
      </c>
    </row>
    <row r="5148" spans="1:9" x14ac:dyDescent="0.35">
      <c r="A5148">
        <v>1021210</v>
      </c>
      <c r="B5148" t="s">
        <v>1651</v>
      </c>
      <c r="C5148" s="1">
        <v>45810</v>
      </c>
      <c r="D5148">
        <v>527</v>
      </c>
      <c r="E5148" t="b">
        <v>1</v>
      </c>
      <c r="F5148">
        <v>737</v>
      </c>
      <c r="G5148" t="s">
        <v>25</v>
      </c>
      <c r="H5148" t="s">
        <v>792</v>
      </c>
      <c r="I5148" t="s">
        <v>2116</v>
      </c>
    </row>
    <row r="5149" spans="1:9" x14ac:dyDescent="0.35">
      <c r="A5149">
        <v>1021210</v>
      </c>
      <c r="B5149" t="s">
        <v>1651</v>
      </c>
      <c r="C5149" s="1">
        <v>45810</v>
      </c>
      <c r="D5149">
        <v>527</v>
      </c>
      <c r="E5149" t="b">
        <v>1</v>
      </c>
      <c r="F5149">
        <v>737</v>
      </c>
      <c r="G5149" t="s">
        <v>25</v>
      </c>
      <c r="H5149" t="s">
        <v>346</v>
      </c>
      <c r="I5149" t="s">
        <v>2117</v>
      </c>
    </row>
    <row r="5150" spans="1:9" x14ac:dyDescent="0.35">
      <c r="A5150">
        <v>1021210</v>
      </c>
      <c r="B5150" t="s">
        <v>1651</v>
      </c>
      <c r="C5150" s="1">
        <v>45810</v>
      </c>
      <c r="D5150">
        <v>527</v>
      </c>
      <c r="E5150" t="b">
        <v>1</v>
      </c>
      <c r="F5150">
        <v>737</v>
      </c>
      <c r="G5150" t="s">
        <v>25</v>
      </c>
      <c r="H5150" t="s">
        <v>239</v>
      </c>
      <c r="I5150" t="s">
        <v>2117</v>
      </c>
    </row>
    <row r="5151" spans="1:9" x14ac:dyDescent="0.35">
      <c r="A5151">
        <v>1021210</v>
      </c>
      <c r="B5151" t="s">
        <v>1651</v>
      </c>
      <c r="C5151" s="1">
        <v>45810</v>
      </c>
      <c r="D5151">
        <v>527</v>
      </c>
      <c r="E5151" t="b">
        <v>1</v>
      </c>
      <c r="F5151">
        <v>737</v>
      </c>
      <c r="G5151" t="s">
        <v>25</v>
      </c>
      <c r="H5151" t="s">
        <v>132</v>
      </c>
      <c r="I5151" t="s">
        <v>2116</v>
      </c>
    </row>
    <row r="5152" spans="1:9" x14ac:dyDescent="0.35">
      <c r="A5152">
        <v>1021210</v>
      </c>
      <c r="B5152" t="s">
        <v>1651</v>
      </c>
      <c r="C5152" s="1">
        <v>45810</v>
      </c>
      <c r="D5152">
        <v>527</v>
      </c>
      <c r="E5152" t="b">
        <v>1</v>
      </c>
      <c r="F5152">
        <v>737</v>
      </c>
      <c r="G5152" t="s">
        <v>25</v>
      </c>
      <c r="H5152" t="s">
        <v>124</v>
      </c>
      <c r="I5152" t="s">
        <v>2116</v>
      </c>
    </row>
    <row r="5153" spans="1:9" x14ac:dyDescent="0.35">
      <c r="A5153">
        <v>1021210</v>
      </c>
      <c r="B5153" t="s">
        <v>1651</v>
      </c>
      <c r="C5153" s="1">
        <v>45810</v>
      </c>
      <c r="D5153">
        <v>527</v>
      </c>
      <c r="E5153" t="b">
        <v>1</v>
      </c>
      <c r="F5153">
        <v>737</v>
      </c>
      <c r="G5153" t="s">
        <v>25</v>
      </c>
      <c r="H5153" t="s">
        <v>1510</v>
      </c>
      <c r="I5153" t="s">
        <v>2117</v>
      </c>
    </row>
    <row r="5154" spans="1:9" x14ac:dyDescent="0.35">
      <c r="A5154">
        <v>2701660</v>
      </c>
      <c r="B5154" t="s">
        <v>1654</v>
      </c>
      <c r="C5154" s="1">
        <v>45610</v>
      </c>
      <c r="D5154">
        <v>526</v>
      </c>
      <c r="E5154" t="b">
        <v>0</v>
      </c>
      <c r="F5154">
        <v>739</v>
      </c>
      <c r="G5154" t="s">
        <v>53</v>
      </c>
      <c r="H5154" t="s">
        <v>49</v>
      </c>
      <c r="I5154" t="s">
        <v>2117</v>
      </c>
    </row>
    <row r="5155" spans="1:9" x14ac:dyDescent="0.35">
      <c r="A5155">
        <v>2701660</v>
      </c>
      <c r="B5155" t="s">
        <v>1654</v>
      </c>
      <c r="C5155" s="1">
        <v>45610</v>
      </c>
      <c r="D5155">
        <v>526</v>
      </c>
      <c r="E5155" t="b">
        <v>0</v>
      </c>
      <c r="F5155">
        <v>739</v>
      </c>
      <c r="G5155" t="s">
        <v>53</v>
      </c>
      <c r="H5155" t="s">
        <v>792</v>
      </c>
      <c r="I5155" t="s">
        <v>2117</v>
      </c>
    </row>
    <row r="5156" spans="1:9" x14ac:dyDescent="0.35">
      <c r="A5156">
        <v>2701660</v>
      </c>
      <c r="B5156" t="s">
        <v>1654</v>
      </c>
      <c r="C5156" s="1">
        <v>45610</v>
      </c>
      <c r="D5156">
        <v>526</v>
      </c>
      <c r="E5156" t="b">
        <v>0</v>
      </c>
      <c r="F5156">
        <v>739</v>
      </c>
      <c r="G5156" t="s">
        <v>53</v>
      </c>
      <c r="H5156" t="s">
        <v>346</v>
      </c>
      <c r="I5156" t="s">
        <v>2117</v>
      </c>
    </row>
    <row r="5157" spans="1:9" x14ac:dyDescent="0.35">
      <c r="A5157">
        <v>2701660</v>
      </c>
      <c r="B5157" t="s">
        <v>1654</v>
      </c>
      <c r="C5157" s="1">
        <v>45610</v>
      </c>
      <c r="D5157">
        <v>526</v>
      </c>
      <c r="E5157" t="b">
        <v>0</v>
      </c>
      <c r="F5157">
        <v>739</v>
      </c>
      <c r="G5157" t="s">
        <v>53</v>
      </c>
      <c r="H5157" t="s">
        <v>239</v>
      </c>
      <c r="I5157" t="s">
        <v>2117</v>
      </c>
    </row>
    <row r="5158" spans="1:9" x14ac:dyDescent="0.35">
      <c r="A5158">
        <v>2701660</v>
      </c>
      <c r="B5158" t="s">
        <v>1654</v>
      </c>
      <c r="C5158" s="1">
        <v>45610</v>
      </c>
      <c r="D5158">
        <v>526</v>
      </c>
      <c r="E5158" t="b">
        <v>0</v>
      </c>
      <c r="F5158">
        <v>739</v>
      </c>
      <c r="G5158" t="s">
        <v>53</v>
      </c>
      <c r="H5158" t="s">
        <v>132</v>
      </c>
      <c r="I5158" t="s">
        <v>2116</v>
      </c>
    </row>
    <row r="5159" spans="1:9" x14ac:dyDescent="0.35">
      <c r="A5159">
        <v>2701660</v>
      </c>
      <c r="B5159" t="s">
        <v>1654</v>
      </c>
      <c r="C5159" s="1">
        <v>45610</v>
      </c>
      <c r="D5159">
        <v>526</v>
      </c>
      <c r="E5159" t="b">
        <v>0</v>
      </c>
      <c r="F5159">
        <v>739</v>
      </c>
      <c r="G5159" t="s">
        <v>53</v>
      </c>
      <c r="H5159" t="s">
        <v>124</v>
      </c>
      <c r="I5159" t="s">
        <v>2117</v>
      </c>
    </row>
    <row r="5160" spans="1:9" x14ac:dyDescent="0.35">
      <c r="A5160">
        <v>2701660</v>
      </c>
      <c r="B5160" t="s">
        <v>1654</v>
      </c>
      <c r="C5160" s="1">
        <v>45610</v>
      </c>
      <c r="D5160">
        <v>526</v>
      </c>
      <c r="E5160" t="b">
        <v>0</v>
      </c>
      <c r="F5160">
        <v>739</v>
      </c>
      <c r="G5160" t="s">
        <v>53</v>
      </c>
      <c r="H5160" t="s">
        <v>1510</v>
      </c>
      <c r="I5160" t="s">
        <v>2117</v>
      </c>
    </row>
    <row r="5161" spans="1:9" x14ac:dyDescent="0.35">
      <c r="A5161">
        <v>1601580</v>
      </c>
      <c r="B5161" t="s">
        <v>1655</v>
      </c>
      <c r="C5161" s="1">
        <v>45555</v>
      </c>
      <c r="D5161">
        <v>525</v>
      </c>
      <c r="E5161" t="b">
        <v>1</v>
      </c>
      <c r="F5161">
        <v>740</v>
      </c>
      <c r="G5161" t="s">
        <v>486</v>
      </c>
      <c r="H5161" t="s">
        <v>49</v>
      </c>
      <c r="I5161" t="s">
        <v>2117</v>
      </c>
    </row>
    <row r="5162" spans="1:9" x14ac:dyDescent="0.35">
      <c r="A5162">
        <v>1601580</v>
      </c>
      <c r="B5162" t="s">
        <v>1655</v>
      </c>
      <c r="C5162" s="1">
        <v>45555</v>
      </c>
      <c r="D5162">
        <v>525</v>
      </c>
      <c r="E5162" t="b">
        <v>1</v>
      </c>
      <c r="F5162">
        <v>740</v>
      </c>
      <c r="G5162" t="s">
        <v>486</v>
      </c>
      <c r="H5162" t="s">
        <v>792</v>
      </c>
      <c r="I5162" t="s">
        <v>2117</v>
      </c>
    </row>
    <row r="5163" spans="1:9" x14ac:dyDescent="0.35">
      <c r="A5163">
        <v>1601580</v>
      </c>
      <c r="B5163" t="s">
        <v>1655</v>
      </c>
      <c r="C5163" s="1">
        <v>45555</v>
      </c>
      <c r="D5163">
        <v>525</v>
      </c>
      <c r="E5163" t="b">
        <v>1</v>
      </c>
      <c r="F5163">
        <v>740</v>
      </c>
      <c r="G5163" t="s">
        <v>486</v>
      </c>
      <c r="H5163" t="s">
        <v>346</v>
      </c>
      <c r="I5163" t="s">
        <v>2117</v>
      </c>
    </row>
    <row r="5164" spans="1:9" x14ac:dyDescent="0.35">
      <c r="A5164">
        <v>1601580</v>
      </c>
      <c r="B5164" t="s">
        <v>1655</v>
      </c>
      <c r="C5164" s="1">
        <v>45555</v>
      </c>
      <c r="D5164">
        <v>525</v>
      </c>
      <c r="E5164" t="b">
        <v>1</v>
      </c>
      <c r="F5164">
        <v>740</v>
      </c>
      <c r="G5164" t="s">
        <v>486</v>
      </c>
      <c r="H5164" t="s">
        <v>239</v>
      </c>
      <c r="I5164" t="s">
        <v>2116</v>
      </c>
    </row>
    <row r="5165" spans="1:9" x14ac:dyDescent="0.35">
      <c r="A5165">
        <v>1601580</v>
      </c>
      <c r="B5165" t="s">
        <v>1655</v>
      </c>
      <c r="C5165" s="1">
        <v>45555</v>
      </c>
      <c r="D5165">
        <v>525</v>
      </c>
      <c r="E5165" t="b">
        <v>1</v>
      </c>
      <c r="F5165">
        <v>740</v>
      </c>
      <c r="G5165" t="s">
        <v>486</v>
      </c>
      <c r="H5165" t="s">
        <v>132</v>
      </c>
      <c r="I5165" t="s">
        <v>2117</v>
      </c>
    </row>
    <row r="5166" spans="1:9" x14ac:dyDescent="0.35">
      <c r="A5166">
        <v>1601580</v>
      </c>
      <c r="B5166" t="s">
        <v>1655</v>
      </c>
      <c r="C5166" s="1">
        <v>45555</v>
      </c>
      <c r="D5166">
        <v>525</v>
      </c>
      <c r="E5166" t="b">
        <v>1</v>
      </c>
      <c r="F5166">
        <v>740</v>
      </c>
      <c r="G5166" t="s">
        <v>486</v>
      </c>
      <c r="H5166" t="s">
        <v>124</v>
      </c>
      <c r="I5166" t="s">
        <v>2116</v>
      </c>
    </row>
    <row r="5167" spans="1:9" x14ac:dyDescent="0.35">
      <c r="A5167">
        <v>1601580</v>
      </c>
      <c r="B5167" t="s">
        <v>1655</v>
      </c>
      <c r="C5167" s="1">
        <v>45555</v>
      </c>
      <c r="D5167">
        <v>525</v>
      </c>
      <c r="E5167" t="b">
        <v>1</v>
      </c>
      <c r="F5167">
        <v>740</v>
      </c>
      <c r="G5167" t="s">
        <v>486</v>
      </c>
      <c r="H5167" t="s">
        <v>1510</v>
      </c>
      <c r="I5167" t="s">
        <v>2117</v>
      </c>
    </row>
    <row r="5168" spans="1:9" x14ac:dyDescent="0.35">
      <c r="A5168">
        <v>992070</v>
      </c>
      <c r="B5168" t="s">
        <v>1657</v>
      </c>
      <c r="C5168" s="1">
        <v>43489</v>
      </c>
      <c r="D5168">
        <v>524</v>
      </c>
      <c r="E5168" t="b">
        <v>1</v>
      </c>
      <c r="F5168">
        <v>741</v>
      </c>
      <c r="G5168" t="s">
        <v>110</v>
      </c>
      <c r="H5168" t="s">
        <v>49</v>
      </c>
      <c r="I5168" t="s">
        <v>2117</v>
      </c>
    </row>
    <row r="5169" spans="1:9" x14ac:dyDescent="0.35">
      <c r="A5169">
        <v>992070</v>
      </c>
      <c r="B5169" t="s">
        <v>1657</v>
      </c>
      <c r="C5169" s="1">
        <v>43489</v>
      </c>
      <c r="D5169">
        <v>524</v>
      </c>
      <c r="E5169" t="b">
        <v>1</v>
      </c>
      <c r="F5169">
        <v>741</v>
      </c>
      <c r="G5169" t="s">
        <v>110</v>
      </c>
      <c r="H5169" t="s">
        <v>792</v>
      </c>
      <c r="I5169" t="s">
        <v>2116</v>
      </c>
    </row>
    <row r="5170" spans="1:9" x14ac:dyDescent="0.35">
      <c r="A5170">
        <v>992070</v>
      </c>
      <c r="B5170" t="s">
        <v>1657</v>
      </c>
      <c r="C5170" s="1">
        <v>43489</v>
      </c>
      <c r="D5170">
        <v>524</v>
      </c>
      <c r="E5170" t="b">
        <v>1</v>
      </c>
      <c r="F5170">
        <v>741</v>
      </c>
      <c r="G5170" t="s">
        <v>110</v>
      </c>
      <c r="H5170" t="s">
        <v>346</v>
      </c>
      <c r="I5170" t="s">
        <v>2117</v>
      </c>
    </row>
    <row r="5171" spans="1:9" x14ac:dyDescent="0.35">
      <c r="A5171">
        <v>992070</v>
      </c>
      <c r="B5171" t="s">
        <v>1657</v>
      </c>
      <c r="C5171" s="1">
        <v>43489</v>
      </c>
      <c r="D5171">
        <v>524</v>
      </c>
      <c r="E5171" t="b">
        <v>1</v>
      </c>
      <c r="F5171">
        <v>741</v>
      </c>
      <c r="G5171" t="s">
        <v>110</v>
      </c>
      <c r="H5171" t="s">
        <v>239</v>
      </c>
      <c r="I5171" t="s">
        <v>2117</v>
      </c>
    </row>
    <row r="5172" spans="1:9" x14ac:dyDescent="0.35">
      <c r="A5172">
        <v>992070</v>
      </c>
      <c r="B5172" t="s">
        <v>1657</v>
      </c>
      <c r="C5172" s="1">
        <v>43489</v>
      </c>
      <c r="D5172">
        <v>524</v>
      </c>
      <c r="E5172" t="b">
        <v>1</v>
      </c>
      <c r="F5172">
        <v>741</v>
      </c>
      <c r="G5172" t="s">
        <v>110</v>
      </c>
      <c r="H5172" t="s">
        <v>132</v>
      </c>
      <c r="I5172" t="s">
        <v>2117</v>
      </c>
    </row>
    <row r="5173" spans="1:9" x14ac:dyDescent="0.35">
      <c r="A5173">
        <v>992070</v>
      </c>
      <c r="B5173" t="s">
        <v>1657</v>
      </c>
      <c r="C5173" s="1">
        <v>43489</v>
      </c>
      <c r="D5173">
        <v>524</v>
      </c>
      <c r="E5173" t="b">
        <v>1</v>
      </c>
      <c r="F5173">
        <v>741</v>
      </c>
      <c r="G5173" t="s">
        <v>110</v>
      </c>
      <c r="H5173" t="s">
        <v>124</v>
      </c>
      <c r="I5173" t="s">
        <v>2117</v>
      </c>
    </row>
    <row r="5174" spans="1:9" x14ac:dyDescent="0.35">
      <c r="A5174">
        <v>992070</v>
      </c>
      <c r="B5174" t="s">
        <v>1657</v>
      </c>
      <c r="C5174" s="1">
        <v>43489</v>
      </c>
      <c r="D5174">
        <v>524</v>
      </c>
      <c r="E5174" t="b">
        <v>1</v>
      </c>
      <c r="F5174">
        <v>741</v>
      </c>
      <c r="G5174" t="s">
        <v>110</v>
      </c>
      <c r="H5174" t="s">
        <v>1510</v>
      </c>
      <c r="I5174" t="s">
        <v>2116</v>
      </c>
    </row>
    <row r="5175" spans="1:9" x14ac:dyDescent="0.35">
      <c r="A5175">
        <v>1657630</v>
      </c>
      <c r="B5175" t="s">
        <v>1659</v>
      </c>
      <c r="C5175" s="1">
        <v>45923</v>
      </c>
      <c r="D5175">
        <v>524</v>
      </c>
      <c r="E5175" t="b">
        <v>0</v>
      </c>
      <c r="F5175">
        <v>741</v>
      </c>
      <c r="G5175" t="s">
        <v>119</v>
      </c>
      <c r="H5175" t="s">
        <v>49</v>
      </c>
      <c r="I5175" t="s">
        <v>2116</v>
      </c>
    </row>
    <row r="5176" spans="1:9" x14ac:dyDescent="0.35">
      <c r="A5176">
        <v>1657630</v>
      </c>
      <c r="B5176" t="s">
        <v>1659</v>
      </c>
      <c r="C5176" s="1">
        <v>45923</v>
      </c>
      <c r="D5176">
        <v>524</v>
      </c>
      <c r="E5176" t="b">
        <v>0</v>
      </c>
      <c r="F5176">
        <v>741</v>
      </c>
      <c r="G5176" t="s">
        <v>119</v>
      </c>
      <c r="H5176" t="s">
        <v>792</v>
      </c>
      <c r="I5176" t="s">
        <v>2116</v>
      </c>
    </row>
    <row r="5177" spans="1:9" x14ac:dyDescent="0.35">
      <c r="A5177">
        <v>1657630</v>
      </c>
      <c r="B5177" t="s">
        <v>1659</v>
      </c>
      <c r="C5177" s="1">
        <v>45923</v>
      </c>
      <c r="D5177">
        <v>524</v>
      </c>
      <c r="E5177" t="b">
        <v>0</v>
      </c>
      <c r="F5177">
        <v>741</v>
      </c>
      <c r="G5177" t="s">
        <v>119</v>
      </c>
      <c r="H5177" t="s">
        <v>346</v>
      </c>
      <c r="I5177" t="s">
        <v>2116</v>
      </c>
    </row>
    <row r="5178" spans="1:9" x14ac:dyDescent="0.35">
      <c r="A5178">
        <v>1657630</v>
      </c>
      <c r="B5178" t="s">
        <v>1659</v>
      </c>
      <c r="C5178" s="1">
        <v>45923</v>
      </c>
      <c r="D5178">
        <v>524</v>
      </c>
      <c r="E5178" t="b">
        <v>0</v>
      </c>
      <c r="F5178">
        <v>741</v>
      </c>
      <c r="G5178" t="s">
        <v>119</v>
      </c>
      <c r="H5178" t="s">
        <v>239</v>
      </c>
      <c r="I5178" t="s">
        <v>2116</v>
      </c>
    </row>
    <row r="5179" spans="1:9" x14ac:dyDescent="0.35">
      <c r="A5179">
        <v>1657630</v>
      </c>
      <c r="B5179" t="s">
        <v>1659</v>
      </c>
      <c r="C5179" s="1">
        <v>45923</v>
      </c>
      <c r="D5179">
        <v>524</v>
      </c>
      <c r="E5179" t="b">
        <v>0</v>
      </c>
      <c r="F5179">
        <v>741</v>
      </c>
      <c r="G5179" t="s">
        <v>119</v>
      </c>
      <c r="H5179" t="s">
        <v>132</v>
      </c>
      <c r="I5179" t="s">
        <v>2117</v>
      </c>
    </row>
    <row r="5180" spans="1:9" x14ac:dyDescent="0.35">
      <c r="A5180">
        <v>1657630</v>
      </c>
      <c r="B5180" t="s">
        <v>1659</v>
      </c>
      <c r="C5180" s="1">
        <v>45923</v>
      </c>
      <c r="D5180">
        <v>524</v>
      </c>
      <c r="E5180" t="b">
        <v>0</v>
      </c>
      <c r="F5180">
        <v>741</v>
      </c>
      <c r="G5180" t="s">
        <v>119</v>
      </c>
      <c r="H5180" t="s">
        <v>124</v>
      </c>
      <c r="I5180" t="s">
        <v>2117</v>
      </c>
    </row>
    <row r="5181" spans="1:9" x14ac:dyDescent="0.35">
      <c r="A5181">
        <v>1657630</v>
      </c>
      <c r="B5181" t="s">
        <v>1659</v>
      </c>
      <c r="C5181" s="1">
        <v>45923</v>
      </c>
      <c r="D5181">
        <v>524</v>
      </c>
      <c r="E5181" t="b">
        <v>0</v>
      </c>
      <c r="F5181">
        <v>741</v>
      </c>
      <c r="G5181" t="s">
        <v>119</v>
      </c>
      <c r="H5181" t="s">
        <v>1510</v>
      </c>
      <c r="I5181" t="s">
        <v>2117</v>
      </c>
    </row>
    <row r="5182" spans="1:9" x14ac:dyDescent="0.35">
      <c r="A5182">
        <v>307690</v>
      </c>
      <c r="B5182" t="s">
        <v>1660</v>
      </c>
      <c r="C5182" s="1">
        <v>41920</v>
      </c>
      <c r="D5182">
        <v>524</v>
      </c>
      <c r="E5182" t="b">
        <v>1</v>
      </c>
      <c r="F5182">
        <v>741</v>
      </c>
      <c r="G5182" t="s">
        <v>967</v>
      </c>
      <c r="H5182" t="s">
        <v>49</v>
      </c>
      <c r="I5182" t="s">
        <v>2116</v>
      </c>
    </row>
    <row r="5183" spans="1:9" x14ac:dyDescent="0.35">
      <c r="A5183">
        <v>307690</v>
      </c>
      <c r="B5183" t="s">
        <v>1660</v>
      </c>
      <c r="C5183" s="1">
        <v>41920</v>
      </c>
      <c r="D5183">
        <v>524</v>
      </c>
      <c r="E5183" t="b">
        <v>1</v>
      </c>
      <c r="F5183">
        <v>741</v>
      </c>
      <c r="G5183" t="s">
        <v>967</v>
      </c>
      <c r="H5183" t="s">
        <v>792</v>
      </c>
      <c r="I5183" t="s">
        <v>2117</v>
      </c>
    </row>
    <row r="5184" spans="1:9" x14ac:dyDescent="0.35">
      <c r="A5184">
        <v>307690</v>
      </c>
      <c r="B5184" t="s">
        <v>1660</v>
      </c>
      <c r="C5184" s="1">
        <v>41920</v>
      </c>
      <c r="D5184">
        <v>524</v>
      </c>
      <c r="E5184" t="b">
        <v>1</v>
      </c>
      <c r="F5184">
        <v>741</v>
      </c>
      <c r="G5184" t="s">
        <v>967</v>
      </c>
      <c r="H5184" t="s">
        <v>346</v>
      </c>
      <c r="I5184" t="s">
        <v>2116</v>
      </c>
    </row>
    <row r="5185" spans="1:9" x14ac:dyDescent="0.35">
      <c r="A5185">
        <v>307690</v>
      </c>
      <c r="B5185" t="s">
        <v>1660</v>
      </c>
      <c r="C5185" s="1">
        <v>41920</v>
      </c>
      <c r="D5185">
        <v>524</v>
      </c>
      <c r="E5185" t="b">
        <v>1</v>
      </c>
      <c r="F5185">
        <v>741</v>
      </c>
      <c r="G5185" t="s">
        <v>967</v>
      </c>
      <c r="H5185" t="s">
        <v>239</v>
      </c>
      <c r="I5185" t="s">
        <v>2117</v>
      </c>
    </row>
    <row r="5186" spans="1:9" x14ac:dyDescent="0.35">
      <c r="A5186">
        <v>307690</v>
      </c>
      <c r="B5186" t="s">
        <v>1660</v>
      </c>
      <c r="C5186" s="1">
        <v>41920</v>
      </c>
      <c r="D5186">
        <v>524</v>
      </c>
      <c r="E5186" t="b">
        <v>1</v>
      </c>
      <c r="F5186">
        <v>741</v>
      </c>
      <c r="G5186" t="s">
        <v>967</v>
      </c>
      <c r="H5186" t="s">
        <v>132</v>
      </c>
      <c r="I5186" t="s">
        <v>2117</v>
      </c>
    </row>
    <row r="5187" spans="1:9" x14ac:dyDescent="0.35">
      <c r="A5187">
        <v>307690</v>
      </c>
      <c r="B5187" t="s">
        <v>1660</v>
      </c>
      <c r="C5187" s="1">
        <v>41920</v>
      </c>
      <c r="D5187">
        <v>524</v>
      </c>
      <c r="E5187" t="b">
        <v>1</v>
      </c>
      <c r="F5187">
        <v>741</v>
      </c>
      <c r="G5187" t="s">
        <v>967</v>
      </c>
      <c r="H5187" t="s">
        <v>124</v>
      </c>
      <c r="I5187" t="s">
        <v>2117</v>
      </c>
    </row>
    <row r="5188" spans="1:9" x14ac:dyDescent="0.35">
      <c r="A5188">
        <v>307690</v>
      </c>
      <c r="B5188" t="s">
        <v>1660</v>
      </c>
      <c r="C5188" s="1">
        <v>41920</v>
      </c>
      <c r="D5188">
        <v>524</v>
      </c>
      <c r="E5188" t="b">
        <v>1</v>
      </c>
      <c r="F5188">
        <v>741</v>
      </c>
      <c r="G5188" t="s">
        <v>967</v>
      </c>
      <c r="H5188" t="s">
        <v>1510</v>
      </c>
      <c r="I5188" t="s">
        <v>2117</v>
      </c>
    </row>
    <row r="5189" spans="1:9" x14ac:dyDescent="0.35">
      <c r="A5189">
        <v>287450</v>
      </c>
      <c r="B5189" t="s">
        <v>1662</v>
      </c>
      <c r="C5189" s="1">
        <v>41802</v>
      </c>
      <c r="D5189">
        <v>522</v>
      </c>
      <c r="E5189" t="b">
        <v>0</v>
      </c>
      <c r="F5189">
        <v>744</v>
      </c>
      <c r="G5189" t="s">
        <v>438</v>
      </c>
      <c r="H5189" t="s">
        <v>49</v>
      </c>
      <c r="I5189" t="s">
        <v>2117</v>
      </c>
    </row>
    <row r="5190" spans="1:9" x14ac:dyDescent="0.35">
      <c r="A5190">
        <v>287450</v>
      </c>
      <c r="B5190" t="s">
        <v>1662</v>
      </c>
      <c r="C5190" s="1">
        <v>41802</v>
      </c>
      <c r="D5190">
        <v>522</v>
      </c>
      <c r="E5190" t="b">
        <v>0</v>
      </c>
      <c r="F5190">
        <v>744</v>
      </c>
      <c r="G5190" t="s">
        <v>438</v>
      </c>
      <c r="H5190" t="s">
        <v>792</v>
      </c>
      <c r="I5190" t="s">
        <v>2117</v>
      </c>
    </row>
    <row r="5191" spans="1:9" x14ac:dyDescent="0.35">
      <c r="A5191">
        <v>287450</v>
      </c>
      <c r="B5191" t="s">
        <v>1662</v>
      </c>
      <c r="C5191" s="1">
        <v>41802</v>
      </c>
      <c r="D5191">
        <v>522</v>
      </c>
      <c r="E5191" t="b">
        <v>0</v>
      </c>
      <c r="F5191">
        <v>744</v>
      </c>
      <c r="G5191" t="s">
        <v>438</v>
      </c>
      <c r="H5191" t="s">
        <v>346</v>
      </c>
      <c r="I5191" t="s">
        <v>2117</v>
      </c>
    </row>
    <row r="5192" spans="1:9" x14ac:dyDescent="0.35">
      <c r="A5192">
        <v>287450</v>
      </c>
      <c r="B5192" t="s">
        <v>1662</v>
      </c>
      <c r="C5192" s="1">
        <v>41802</v>
      </c>
      <c r="D5192">
        <v>522</v>
      </c>
      <c r="E5192" t="b">
        <v>0</v>
      </c>
      <c r="F5192">
        <v>744</v>
      </c>
      <c r="G5192" t="s">
        <v>438</v>
      </c>
      <c r="H5192" t="s">
        <v>239</v>
      </c>
      <c r="I5192" t="s">
        <v>2116</v>
      </c>
    </row>
    <row r="5193" spans="1:9" x14ac:dyDescent="0.35">
      <c r="A5193">
        <v>287450</v>
      </c>
      <c r="B5193" t="s">
        <v>1662</v>
      </c>
      <c r="C5193" s="1">
        <v>41802</v>
      </c>
      <c r="D5193">
        <v>522</v>
      </c>
      <c r="E5193" t="b">
        <v>0</v>
      </c>
      <c r="F5193">
        <v>744</v>
      </c>
      <c r="G5193" t="s">
        <v>438</v>
      </c>
      <c r="H5193" t="s">
        <v>132</v>
      </c>
      <c r="I5193" t="s">
        <v>2117</v>
      </c>
    </row>
    <row r="5194" spans="1:9" x14ac:dyDescent="0.35">
      <c r="A5194">
        <v>287450</v>
      </c>
      <c r="B5194" t="s">
        <v>1662</v>
      </c>
      <c r="C5194" s="1">
        <v>41802</v>
      </c>
      <c r="D5194">
        <v>522</v>
      </c>
      <c r="E5194" t="b">
        <v>0</v>
      </c>
      <c r="F5194">
        <v>744</v>
      </c>
      <c r="G5194" t="s">
        <v>438</v>
      </c>
      <c r="H5194" t="s">
        <v>124</v>
      </c>
      <c r="I5194" t="s">
        <v>2116</v>
      </c>
    </row>
    <row r="5195" spans="1:9" x14ac:dyDescent="0.35">
      <c r="A5195">
        <v>287450</v>
      </c>
      <c r="B5195" t="s">
        <v>1662</v>
      </c>
      <c r="C5195" s="1">
        <v>41802</v>
      </c>
      <c r="D5195">
        <v>522</v>
      </c>
      <c r="E5195" t="b">
        <v>0</v>
      </c>
      <c r="F5195">
        <v>744</v>
      </c>
      <c r="G5195" t="s">
        <v>438</v>
      </c>
      <c r="H5195" t="s">
        <v>1510</v>
      </c>
      <c r="I5195" t="s">
        <v>2117</v>
      </c>
    </row>
    <row r="5196" spans="1:9" x14ac:dyDescent="0.35">
      <c r="A5196">
        <v>1069660</v>
      </c>
      <c r="B5196" t="s">
        <v>1664</v>
      </c>
      <c r="C5196" s="1">
        <v>44951</v>
      </c>
      <c r="D5196">
        <v>521</v>
      </c>
      <c r="E5196" t="b">
        <v>0</v>
      </c>
      <c r="F5196">
        <v>745</v>
      </c>
      <c r="G5196" t="s">
        <v>18</v>
      </c>
      <c r="H5196" t="s">
        <v>49</v>
      </c>
      <c r="I5196" t="s">
        <v>2117</v>
      </c>
    </row>
    <row r="5197" spans="1:9" x14ac:dyDescent="0.35">
      <c r="A5197">
        <v>1069660</v>
      </c>
      <c r="B5197" t="s">
        <v>1664</v>
      </c>
      <c r="C5197" s="1">
        <v>44951</v>
      </c>
      <c r="D5197">
        <v>521</v>
      </c>
      <c r="E5197" t="b">
        <v>0</v>
      </c>
      <c r="F5197">
        <v>745</v>
      </c>
      <c r="G5197" t="s">
        <v>18</v>
      </c>
      <c r="H5197" t="s">
        <v>792</v>
      </c>
      <c r="I5197" t="s">
        <v>2116</v>
      </c>
    </row>
    <row r="5198" spans="1:9" x14ac:dyDescent="0.35">
      <c r="A5198">
        <v>1069660</v>
      </c>
      <c r="B5198" t="s">
        <v>1664</v>
      </c>
      <c r="C5198" s="1">
        <v>44951</v>
      </c>
      <c r="D5198">
        <v>521</v>
      </c>
      <c r="E5198" t="b">
        <v>0</v>
      </c>
      <c r="F5198">
        <v>745</v>
      </c>
      <c r="G5198" t="s">
        <v>18</v>
      </c>
      <c r="H5198" t="s">
        <v>346</v>
      </c>
      <c r="I5198" t="s">
        <v>2117</v>
      </c>
    </row>
    <row r="5199" spans="1:9" x14ac:dyDescent="0.35">
      <c r="A5199">
        <v>1069660</v>
      </c>
      <c r="B5199" t="s">
        <v>1664</v>
      </c>
      <c r="C5199" s="1">
        <v>44951</v>
      </c>
      <c r="D5199">
        <v>521</v>
      </c>
      <c r="E5199" t="b">
        <v>0</v>
      </c>
      <c r="F5199">
        <v>745</v>
      </c>
      <c r="G5199" t="s">
        <v>18</v>
      </c>
      <c r="H5199" t="s">
        <v>239</v>
      </c>
      <c r="I5199" t="s">
        <v>2116</v>
      </c>
    </row>
    <row r="5200" spans="1:9" x14ac:dyDescent="0.35">
      <c r="A5200">
        <v>1069660</v>
      </c>
      <c r="B5200" t="s">
        <v>1664</v>
      </c>
      <c r="C5200" s="1">
        <v>44951</v>
      </c>
      <c r="D5200">
        <v>521</v>
      </c>
      <c r="E5200" t="b">
        <v>0</v>
      </c>
      <c r="F5200">
        <v>745</v>
      </c>
      <c r="G5200" t="s">
        <v>18</v>
      </c>
      <c r="H5200" t="s">
        <v>132</v>
      </c>
      <c r="I5200" t="s">
        <v>2116</v>
      </c>
    </row>
    <row r="5201" spans="1:9" x14ac:dyDescent="0.35">
      <c r="A5201">
        <v>1069660</v>
      </c>
      <c r="B5201" t="s">
        <v>1664</v>
      </c>
      <c r="C5201" s="1">
        <v>44951</v>
      </c>
      <c r="D5201">
        <v>521</v>
      </c>
      <c r="E5201" t="b">
        <v>0</v>
      </c>
      <c r="F5201">
        <v>745</v>
      </c>
      <c r="G5201" t="s">
        <v>18</v>
      </c>
      <c r="H5201" t="s">
        <v>124</v>
      </c>
      <c r="I5201" t="s">
        <v>2116</v>
      </c>
    </row>
    <row r="5202" spans="1:9" x14ac:dyDescent="0.35">
      <c r="A5202">
        <v>1069660</v>
      </c>
      <c r="B5202" t="s">
        <v>1664</v>
      </c>
      <c r="C5202" s="1">
        <v>44951</v>
      </c>
      <c r="D5202">
        <v>521</v>
      </c>
      <c r="E5202" t="b">
        <v>0</v>
      </c>
      <c r="F5202">
        <v>745</v>
      </c>
      <c r="G5202" t="s">
        <v>18</v>
      </c>
      <c r="H5202" t="s">
        <v>1510</v>
      </c>
      <c r="I5202" t="s">
        <v>2117</v>
      </c>
    </row>
    <row r="5203" spans="1:9" x14ac:dyDescent="0.35">
      <c r="A5203">
        <v>535930</v>
      </c>
      <c r="B5203" t="s">
        <v>1666</v>
      </c>
      <c r="C5203" s="1">
        <v>43341</v>
      </c>
      <c r="D5203">
        <v>518</v>
      </c>
      <c r="E5203" t="b">
        <v>1</v>
      </c>
      <c r="F5203">
        <v>746</v>
      </c>
      <c r="G5203" t="s">
        <v>53</v>
      </c>
      <c r="H5203" t="s">
        <v>49</v>
      </c>
      <c r="I5203" t="s">
        <v>2117</v>
      </c>
    </row>
    <row r="5204" spans="1:9" x14ac:dyDescent="0.35">
      <c r="A5204">
        <v>535930</v>
      </c>
      <c r="B5204" t="s">
        <v>1666</v>
      </c>
      <c r="C5204" s="1">
        <v>43341</v>
      </c>
      <c r="D5204">
        <v>518</v>
      </c>
      <c r="E5204" t="b">
        <v>1</v>
      </c>
      <c r="F5204">
        <v>746</v>
      </c>
      <c r="G5204" t="s">
        <v>53</v>
      </c>
      <c r="H5204" t="s">
        <v>792</v>
      </c>
      <c r="I5204" t="s">
        <v>2116</v>
      </c>
    </row>
    <row r="5205" spans="1:9" x14ac:dyDescent="0.35">
      <c r="A5205">
        <v>535930</v>
      </c>
      <c r="B5205" t="s">
        <v>1666</v>
      </c>
      <c r="C5205" s="1">
        <v>43341</v>
      </c>
      <c r="D5205">
        <v>518</v>
      </c>
      <c r="E5205" t="b">
        <v>1</v>
      </c>
      <c r="F5205">
        <v>746</v>
      </c>
      <c r="G5205" t="s">
        <v>53</v>
      </c>
      <c r="H5205" t="s">
        <v>346</v>
      </c>
      <c r="I5205" t="s">
        <v>2117</v>
      </c>
    </row>
    <row r="5206" spans="1:9" x14ac:dyDescent="0.35">
      <c r="A5206">
        <v>535930</v>
      </c>
      <c r="B5206" t="s">
        <v>1666</v>
      </c>
      <c r="C5206" s="1">
        <v>43341</v>
      </c>
      <c r="D5206">
        <v>518</v>
      </c>
      <c r="E5206" t="b">
        <v>1</v>
      </c>
      <c r="F5206">
        <v>746</v>
      </c>
      <c r="G5206" t="s">
        <v>53</v>
      </c>
      <c r="H5206" t="s">
        <v>239</v>
      </c>
      <c r="I5206" t="s">
        <v>2116</v>
      </c>
    </row>
    <row r="5207" spans="1:9" x14ac:dyDescent="0.35">
      <c r="A5207">
        <v>535930</v>
      </c>
      <c r="B5207" t="s">
        <v>1666</v>
      </c>
      <c r="C5207" s="1">
        <v>43341</v>
      </c>
      <c r="D5207">
        <v>518</v>
      </c>
      <c r="E5207" t="b">
        <v>1</v>
      </c>
      <c r="F5207">
        <v>746</v>
      </c>
      <c r="G5207" t="s">
        <v>53</v>
      </c>
      <c r="H5207" t="s">
        <v>132</v>
      </c>
      <c r="I5207" t="s">
        <v>2117</v>
      </c>
    </row>
    <row r="5208" spans="1:9" x14ac:dyDescent="0.35">
      <c r="A5208">
        <v>535930</v>
      </c>
      <c r="B5208" t="s">
        <v>1666</v>
      </c>
      <c r="C5208" s="1">
        <v>43341</v>
      </c>
      <c r="D5208">
        <v>518</v>
      </c>
      <c r="E5208" t="b">
        <v>1</v>
      </c>
      <c r="F5208">
        <v>746</v>
      </c>
      <c r="G5208" t="s">
        <v>53</v>
      </c>
      <c r="H5208" t="s">
        <v>124</v>
      </c>
      <c r="I5208" t="s">
        <v>2117</v>
      </c>
    </row>
    <row r="5209" spans="1:9" x14ac:dyDescent="0.35">
      <c r="A5209">
        <v>535930</v>
      </c>
      <c r="B5209" t="s">
        <v>1666</v>
      </c>
      <c r="C5209" s="1">
        <v>43341</v>
      </c>
      <c r="D5209">
        <v>518</v>
      </c>
      <c r="E5209" t="b">
        <v>1</v>
      </c>
      <c r="F5209">
        <v>746</v>
      </c>
      <c r="G5209" t="s">
        <v>53</v>
      </c>
      <c r="H5209" t="s">
        <v>1510</v>
      </c>
      <c r="I5209" t="s">
        <v>2117</v>
      </c>
    </row>
    <row r="5210" spans="1:9" x14ac:dyDescent="0.35">
      <c r="A5210">
        <v>1562430</v>
      </c>
      <c r="B5210" t="s">
        <v>1667</v>
      </c>
      <c r="C5210" s="1">
        <v>45015</v>
      </c>
      <c r="D5210">
        <v>517</v>
      </c>
      <c r="E5210" t="b">
        <v>1</v>
      </c>
      <c r="F5210">
        <v>747</v>
      </c>
      <c r="G5210" t="s">
        <v>110</v>
      </c>
      <c r="H5210" t="s">
        <v>49</v>
      </c>
      <c r="I5210" t="s">
        <v>2117</v>
      </c>
    </row>
    <row r="5211" spans="1:9" x14ac:dyDescent="0.35">
      <c r="A5211">
        <v>1562430</v>
      </c>
      <c r="B5211" t="s">
        <v>1667</v>
      </c>
      <c r="C5211" s="1">
        <v>45015</v>
      </c>
      <c r="D5211">
        <v>517</v>
      </c>
      <c r="E5211" t="b">
        <v>1</v>
      </c>
      <c r="F5211">
        <v>747</v>
      </c>
      <c r="G5211" t="s">
        <v>110</v>
      </c>
      <c r="H5211" t="s">
        <v>792</v>
      </c>
      <c r="I5211" t="s">
        <v>2117</v>
      </c>
    </row>
    <row r="5212" spans="1:9" x14ac:dyDescent="0.35">
      <c r="A5212">
        <v>1562430</v>
      </c>
      <c r="B5212" t="s">
        <v>1667</v>
      </c>
      <c r="C5212" s="1">
        <v>45015</v>
      </c>
      <c r="D5212">
        <v>517</v>
      </c>
      <c r="E5212" t="b">
        <v>1</v>
      </c>
      <c r="F5212">
        <v>747</v>
      </c>
      <c r="G5212" t="s">
        <v>110</v>
      </c>
      <c r="H5212" t="s">
        <v>346</v>
      </c>
      <c r="I5212" t="s">
        <v>2116</v>
      </c>
    </row>
    <row r="5213" spans="1:9" x14ac:dyDescent="0.35">
      <c r="A5213">
        <v>1562430</v>
      </c>
      <c r="B5213" t="s">
        <v>1667</v>
      </c>
      <c r="C5213" s="1">
        <v>45015</v>
      </c>
      <c r="D5213">
        <v>517</v>
      </c>
      <c r="E5213" t="b">
        <v>1</v>
      </c>
      <c r="F5213">
        <v>747</v>
      </c>
      <c r="G5213" t="s">
        <v>110</v>
      </c>
      <c r="H5213" t="s">
        <v>239</v>
      </c>
      <c r="I5213" t="s">
        <v>2117</v>
      </c>
    </row>
    <row r="5214" spans="1:9" x14ac:dyDescent="0.35">
      <c r="A5214">
        <v>1562430</v>
      </c>
      <c r="B5214" t="s">
        <v>1667</v>
      </c>
      <c r="C5214" s="1">
        <v>45015</v>
      </c>
      <c r="D5214">
        <v>517</v>
      </c>
      <c r="E5214" t="b">
        <v>1</v>
      </c>
      <c r="F5214">
        <v>747</v>
      </c>
      <c r="G5214" t="s">
        <v>110</v>
      </c>
      <c r="H5214" t="s">
        <v>132</v>
      </c>
      <c r="I5214" t="s">
        <v>2116</v>
      </c>
    </row>
    <row r="5215" spans="1:9" x14ac:dyDescent="0.35">
      <c r="A5215">
        <v>1562430</v>
      </c>
      <c r="B5215" t="s">
        <v>1667</v>
      </c>
      <c r="C5215" s="1">
        <v>45015</v>
      </c>
      <c r="D5215">
        <v>517</v>
      </c>
      <c r="E5215" t="b">
        <v>1</v>
      </c>
      <c r="F5215">
        <v>747</v>
      </c>
      <c r="G5215" t="s">
        <v>110</v>
      </c>
      <c r="H5215" t="s">
        <v>124</v>
      </c>
      <c r="I5215" t="s">
        <v>2117</v>
      </c>
    </row>
    <row r="5216" spans="1:9" x14ac:dyDescent="0.35">
      <c r="A5216">
        <v>1562430</v>
      </c>
      <c r="B5216" t="s">
        <v>1667</v>
      </c>
      <c r="C5216" s="1">
        <v>45015</v>
      </c>
      <c r="D5216">
        <v>517</v>
      </c>
      <c r="E5216" t="b">
        <v>1</v>
      </c>
      <c r="F5216">
        <v>747</v>
      </c>
      <c r="G5216" t="s">
        <v>110</v>
      </c>
      <c r="H5216" t="s">
        <v>1510</v>
      </c>
      <c r="I5216" t="s">
        <v>2117</v>
      </c>
    </row>
    <row r="5217" spans="1:9" x14ac:dyDescent="0.35">
      <c r="A5217">
        <v>1296830</v>
      </c>
      <c r="B5217" t="s">
        <v>1669</v>
      </c>
      <c r="C5217" s="1">
        <v>44579</v>
      </c>
      <c r="D5217">
        <v>516</v>
      </c>
      <c r="E5217" t="b">
        <v>0</v>
      </c>
      <c r="F5217">
        <v>748</v>
      </c>
      <c r="G5217" t="s">
        <v>304</v>
      </c>
      <c r="H5217" t="s">
        <v>49</v>
      </c>
      <c r="I5217" t="s">
        <v>2116</v>
      </c>
    </row>
    <row r="5218" spans="1:9" x14ac:dyDescent="0.35">
      <c r="A5218">
        <v>1296830</v>
      </c>
      <c r="B5218" t="s">
        <v>1669</v>
      </c>
      <c r="C5218" s="1">
        <v>44579</v>
      </c>
      <c r="D5218">
        <v>516</v>
      </c>
      <c r="E5218" t="b">
        <v>0</v>
      </c>
      <c r="F5218">
        <v>748</v>
      </c>
      <c r="G5218" t="s">
        <v>304</v>
      </c>
      <c r="H5218" t="s">
        <v>792</v>
      </c>
      <c r="I5218" t="s">
        <v>2116</v>
      </c>
    </row>
    <row r="5219" spans="1:9" x14ac:dyDescent="0.35">
      <c r="A5219">
        <v>1296830</v>
      </c>
      <c r="B5219" t="s">
        <v>1669</v>
      </c>
      <c r="C5219" s="1">
        <v>44579</v>
      </c>
      <c r="D5219">
        <v>516</v>
      </c>
      <c r="E5219" t="b">
        <v>0</v>
      </c>
      <c r="F5219">
        <v>748</v>
      </c>
      <c r="G5219" t="s">
        <v>304</v>
      </c>
      <c r="H5219" t="s">
        <v>346</v>
      </c>
      <c r="I5219" t="s">
        <v>2116</v>
      </c>
    </row>
    <row r="5220" spans="1:9" x14ac:dyDescent="0.35">
      <c r="A5220">
        <v>1296830</v>
      </c>
      <c r="B5220" t="s">
        <v>1669</v>
      </c>
      <c r="C5220" s="1">
        <v>44579</v>
      </c>
      <c r="D5220">
        <v>516</v>
      </c>
      <c r="E5220" t="b">
        <v>0</v>
      </c>
      <c r="F5220">
        <v>748</v>
      </c>
      <c r="G5220" t="s">
        <v>304</v>
      </c>
      <c r="H5220" t="s">
        <v>239</v>
      </c>
      <c r="I5220" t="s">
        <v>2117</v>
      </c>
    </row>
    <row r="5221" spans="1:9" x14ac:dyDescent="0.35">
      <c r="A5221">
        <v>1296830</v>
      </c>
      <c r="B5221" t="s">
        <v>1669</v>
      </c>
      <c r="C5221" s="1">
        <v>44579</v>
      </c>
      <c r="D5221">
        <v>516</v>
      </c>
      <c r="E5221" t="b">
        <v>0</v>
      </c>
      <c r="F5221">
        <v>748</v>
      </c>
      <c r="G5221" t="s">
        <v>304</v>
      </c>
      <c r="H5221" t="s">
        <v>132</v>
      </c>
      <c r="I5221" t="s">
        <v>2116</v>
      </c>
    </row>
    <row r="5222" spans="1:9" x14ac:dyDescent="0.35">
      <c r="A5222">
        <v>1296830</v>
      </c>
      <c r="B5222" t="s">
        <v>1669</v>
      </c>
      <c r="C5222" s="1">
        <v>44579</v>
      </c>
      <c r="D5222">
        <v>516</v>
      </c>
      <c r="E5222" t="b">
        <v>0</v>
      </c>
      <c r="F5222">
        <v>748</v>
      </c>
      <c r="G5222" t="s">
        <v>304</v>
      </c>
      <c r="H5222" t="s">
        <v>124</v>
      </c>
      <c r="I5222" t="s">
        <v>2117</v>
      </c>
    </row>
    <row r="5223" spans="1:9" x14ac:dyDescent="0.35">
      <c r="A5223">
        <v>1296830</v>
      </c>
      <c r="B5223" t="s">
        <v>1669</v>
      </c>
      <c r="C5223" s="1">
        <v>44579</v>
      </c>
      <c r="D5223">
        <v>516</v>
      </c>
      <c r="E5223" t="b">
        <v>0</v>
      </c>
      <c r="F5223">
        <v>748</v>
      </c>
      <c r="G5223" t="s">
        <v>304</v>
      </c>
      <c r="H5223" t="s">
        <v>1510</v>
      </c>
      <c r="I5223" t="s">
        <v>2117</v>
      </c>
    </row>
    <row r="5224" spans="1:9" x14ac:dyDescent="0.35">
      <c r="A5224">
        <v>221040</v>
      </c>
      <c r="B5224" t="s">
        <v>1670</v>
      </c>
      <c r="C5224" s="1">
        <v>41354</v>
      </c>
      <c r="D5224">
        <v>515</v>
      </c>
      <c r="E5224" t="b">
        <v>0</v>
      </c>
      <c r="F5224">
        <v>749</v>
      </c>
      <c r="G5224" t="s">
        <v>2084</v>
      </c>
      <c r="H5224" t="s">
        <v>49</v>
      </c>
      <c r="I5224" t="s">
        <v>2116</v>
      </c>
    </row>
    <row r="5225" spans="1:9" x14ac:dyDescent="0.35">
      <c r="A5225">
        <v>221040</v>
      </c>
      <c r="B5225" t="s">
        <v>1670</v>
      </c>
      <c r="C5225" s="1">
        <v>41354</v>
      </c>
      <c r="D5225">
        <v>515</v>
      </c>
      <c r="E5225" t="b">
        <v>0</v>
      </c>
      <c r="F5225">
        <v>749</v>
      </c>
      <c r="G5225" t="s">
        <v>2084</v>
      </c>
      <c r="H5225" t="s">
        <v>792</v>
      </c>
      <c r="I5225" t="s">
        <v>2117</v>
      </c>
    </row>
    <row r="5226" spans="1:9" x14ac:dyDescent="0.35">
      <c r="A5226">
        <v>221040</v>
      </c>
      <c r="B5226" t="s">
        <v>1670</v>
      </c>
      <c r="C5226" s="1">
        <v>41354</v>
      </c>
      <c r="D5226">
        <v>515</v>
      </c>
      <c r="E5226" t="b">
        <v>0</v>
      </c>
      <c r="F5226">
        <v>749</v>
      </c>
      <c r="G5226" t="s">
        <v>2084</v>
      </c>
      <c r="H5226" t="s">
        <v>346</v>
      </c>
      <c r="I5226" t="s">
        <v>2116</v>
      </c>
    </row>
    <row r="5227" spans="1:9" x14ac:dyDescent="0.35">
      <c r="A5227">
        <v>221040</v>
      </c>
      <c r="B5227" t="s">
        <v>1670</v>
      </c>
      <c r="C5227" s="1">
        <v>41354</v>
      </c>
      <c r="D5227">
        <v>515</v>
      </c>
      <c r="E5227" t="b">
        <v>0</v>
      </c>
      <c r="F5227">
        <v>749</v>
      </c>
      <c r="G5227" t="s">
        <v>2084</v>
      </c>
      <c r="H5227" t="s">
        <v>239</v>
      </c>
      <c r="I5227" t="s">
        <v>2117</v>
      </c>
    </row>
    <row r="5228" spans="1:9" x14ac:dyDescent="0.35">
      <c r="A5228">
        <v>221040</v>
      </c>
      <c r="B5228" t="s">
        <v>1670</v>
      </c>
      <c r="C5228" s="1">
        <v>41354</v>
      </c>
      <c r="D5228">
        <v>515</v>
      </c>
      <c r="E5228" t="b">
        <v>0</v>
      </c>
      <c r="F5228">
        <v>749</v>
      </c>
      <c r="G5228" t="s">
        <v>2084</v>
      </c>
      <c r="H5228" t="s">
        <v>132</v>
      </c>
      <c r="I5228" t="s">
        <v>2117</v>
      </c>
    </row>
    <row r="5229" spans="1:9" x14ac:dyDescent="0.35">
      <c r="A5229">
        <v>221040</v>
      </c>
      <c r="B5229" t="s">
        <v>1670</v>
      </c>
      <c r="C5229" s="1">
        <v>41354</v>
      </c>
      <c r="D5229">
        <v>515</v>
      </c>
      <c r="E5229" t="b">
        <v>0</v>
      </c>
      <c r="F5229">
        <v>749</v>
      </c>
      <c r="G5229" t="s">
        <v>2084</v>
      </c>
      <c r="H5229" t="s">
        <v>124</v>
      </c>
      <c r="I5229" t="s">
        <v>2117</v>
      </c>
    </row>
    <row r="5230" spans="1:9" x14ac:dyDescent="0.35">
      <c r="A5230">
        <v>221040</v>
      </c>
      <c r="B5230" t="s">
        <v>1670</v>
      </c>
      <c r="C5230" s="1">
        <v>41354</v>
      </c>
      <c r="D5230">
        <v>515</v>
      </c>
      <c r="E5230" t="b">
        <v>0</v>
      </c>
      <c r="F5230">
        <v>749</v>
      </c>
      <c r="G5230" t="s">
        <v>2084</v>
      </c>
      <c r="H5230" t="s">
        <v>1510</v>
      </c>
      <c r="I5230" t="s">
        <v>2117</v>
      </c>
    </row>
    <row r="5231" spans="1:9" x14ac:dyDescent="0.35">
      <c r="A5231">
        <v>1063420</v>
      </c>
      <c r="B5231" t="s">
        <v>1672</v>
      </c>
      <c r="C5231" s="1">
        <v>45621</v>
      </c>
      <c r="D5231">
        <v>514</v>
      </c>
      <c r="E5231" t="b">
        <v>0</v>
      </c>
      <c r="F5231">
        <v>750</v>
      </c>
      <c r="G5231" t="s">
        <v>486</v>
      </c>
      <c r="H5231" t="s">
        <v>49</v>
      </c>
      <c r="I5231" t="s">
        <v>2116</v>
      </c>
    </row>
    <row r="5232" spans="1:9" x14ac:dyDescent="0.35">
      <c r="A5232">
        <v>1063420</v>
      </c>
      <c r="B5232" t="s">
        <v>1672</v>
      </c>
      <c r="C5232" s="1">
        <v>45621</v>
      </c>
      <c r="D5232">
        <v>514</v>
      </c>
      <c r="E5232" t="b">
        <v>0</v>
      </c>
      <c r="F5232">
        <v>750</v>
      </c>
      <c r="G5232" t="s">
        <v>486</v>
      </c>
      <c r="H5232" t="s">
        <v>792</v>
      </c>
      <c r="I5232" t="s">
        <v>2117</v>
      </c>
    </row>
    <row r="5233" spans="1:9" x14ac:dyDescent="0.35">
      <c r="A5233">
        <v>1063420</v>
      </c>
      <c r="B5233" t="s">
        <v>1672</v>
      </c>
      <c r="C5233" s="1">
        <v>45621</v>
      </c>
      <c r="D5233">
        <v>514</v>
      </c>
      <c r="E5233" t="b">
        <v>0</v>
      </c>
      <c r="F5233">
        <v>750</v>
      </c>
      <c r="G5233" t="s">
        <v>486</v>
      </c>
      <c r="H5233" t="s">
        <v>346</v>
      </c>
      <c r="I5233" t="s">
        <v>2116</v>
      </c>
    </row>
    <row r="5234" spans="1:9" x14ac:dyDescent="0.35">
      <c r="A5234">
        <v>1063420</v>
      </c>
      <c r="B5234" t="s">
        <v>1672</v>
      </c>
      <c r="C5234" s="1">
        <v>45621</v>
      </c>
      <c r="D5234">
        <v>514</v>
      </c>
      <c r="E5234" t="b">
        <v>0</v>
      </c>
      <c r="F5234">
        <v>750</v>
      </c>
      <c r="G5234" t="s">
        <v>486</v>
      </c>
      <c r="H5234" t="s">
        <v>239</v>
      </c>
      <c r="I5234" t="s">
        <v>2117</v>
      </c>
    </row>
    <row r="5235" spans="1:9" x14ac:dyDescent="0.35">
      <c r="A5235">
        <v>1063420</v>
      </c>
      <c r="B5235" t="s">
        <v>1672</v>
      </c>
      <c r="C5235" s="1">
        <v>45621</v>
      </c>
      <c r="D5235">
        <v>514</v>
      </c>
      <c r="E5235" t="b">
        <v>0</v>
      </c>
      <c r="F5235">
        <v>750</v>
      </c>
      <c r="G5235" t="s">
        <v>486</v>
      </c>
      <c r="H5235" t="s">
        <v>132</v>
      </c>
      <c r="I5235" t="s">
        <v>2117</v>
      </c>
    </row>
    <row r="5236" spans="1:9" x14ac:dyDescent="0.35">
      <c r="A5236">
        <v>1063420</v>
      </c>
      <c r="B5236" t="s">
        <v>1672</v>
      </c>
      <c r="C5236" s="1">
        <v>45621</v>
      </c>
      <c r="D5236">
        <v>514</v>
      </c>
      <c r="E5236" t="b">
        <v>0</v>
      </c>
      <c r="F5236">
        <v>750</v>
      </c>
      <c r="G5236" t="s">
        <v>486</v>
      </c>
      <c r="H5236" t="s">
        <v>124</v>
      </c>
      <c r="I5236" t="s">
        <v>2117</v>
      </c>
    </row>
    <row r="5237" spans="1:9" x14ac:dyDescent="0.35">
      <c r="A5237">
        <v>1063420</v>
      </c>
      <c r="B5237" t="s">
        <v>1672</v>
      </c>
      <c r="C5237" s="1">
        <v>45621</v>
      </c>
      <c r="D5237">
        <v>514</v>
      </c>
      <c r="E5237" t="b">
        <v>0</v>
      </c>
      <c r="F5237">
        <v>750</v>
      </c>
      <c r="G5237" t="s">
        <v>486</v>
      </c>
      <c r="H5237" t="s">
        <v>1510</v>
      </c>
      <c r="I5237" t="s">
        <v>2117</v>
      </c>
    </row>
    <row r="5238" spans="1:9" x14ac:dyDescent="0.35">
      <c r="A5238">
        <v>2124490</v>
      </c>
      <c r="B5238" t="s">
        <v>1674</v>
      </c>
      <c r="C5238" s="1">
        <v>45572</v>
      </c>
      <c r="D5238">
        <v>514</v>
      </c>
      <c r="E5238" t="b">
        <v>0</v>
      </c>
      <c r="F5238">
        <v>750</v>
      </c>
      <c r="G5238" t="s">
        <v>266</v>
      </c>
      <c r="H5238" t="s">
        <v>49</v>
      </c>
      <c r="I5238" t="s">
        <v>2116</v>
      </c>
    </row>
    <row r="5239" spans="1:9" x14ac:dyDescent="0.35">
      <c r="A5239">
        <v>2124490</v>
      </c>
      <c r="B5239" t="s">
        <v>1674</v>
      </c>
      <c r="C5239" s="1">
        <v>45572</v>
      </c>
      <c r="D5239">
        <v>514</v>
      </c>
      <c r="E5239" t="b">
        <v>0</v>
      </c>
      <c r="F5239">
        <v>750</v>
      </c>
      <c r="G5239" t="s">
        <v>266</v>
      </c>
      <c r="H5239" t="s">
        <v>792</v>
      </c>
      <c r="I5239" t="s">
        <v>2117</v>
      </c>
    </row>
    <row r="5240" spans="1:9" x14ac:dyDescent="0.35">
      <c r="A5240">
        <v>2124490</v>
      </c>
      <c r="B5240" t="s">
        <v>1674</v>
      </c>
      <c r="C5240" s="1">
        <v>45572</v>
      </c>
      <c r="D5240">
        <v>514</v>
      </c>
      <c r="E5240" t="b">
        <v>0</v>
      </c>
      <c r="F5240">
        <v>750</v>
      </c>
      <c r="G5240" t="s">
        <v>266</v>
      </c>
      <c r="H5240" t="s">
        <v>346</v>
      </c>
      <c r="I5240" t="s">
        <v>2116</v>
      </c>
    </row>
    <row r="5241" spans="1:9" x14ac:dyDescent="0.35">
      <c r="A5241">
        <v>2124490</v>
      </c>
      <c r="B5241" t="s">
        <v>1674</v>
      </c>
      <c r="C5241" s="1">
        <v>45572</v>
      </c>
      <c r="D5241">
        <v>514</v>
      </c>
      <c r="E5241" t="b">
        <v>0</v>
      </c>
      <c r="F5241">
        <v>750</v>
      </c>
      <c r="G5241" t="s">
        <v>266</v>
      </c>
      <c r="H5241" t="s">
        <v>239</v>
      </c>
      <c r="I5241" t="s">
        <v>2117</v>
      </c>
    </row>
    <row r="5242" spans="1:9" x14ac:dyDescent="0.35">
      <c r="A5242">
        <v>2124490</v>
      </c>
      <c r="B5242" t="s">
        <v>1674</v>
      </c>
      <c r="C5242" s="1">
        <v>45572</v>
      </c>
      <c r="D5242">
        <v>514</v>
      </c>
      <c r="E5242" t="b">
        <v>0</v>
      </c>
      <c r="F5242">
        <v>750</v>
      </c>
      <c r="G5242" t="s">
        <v>266</v>
      </c>
      <c r="H5242" t="s">
        <v>132</v>
      </c>
      <c r="I5242" t="s">
        <v>2117</v>
      </c>
    </row>
    <row r="5243" spans="1:9" x14ac:dyDescent="0.35">
      <c r="A5243">
        <v>2124490</v>
      </c>
      <c r="B5243" t="s">
        <v>1674</v>
      </c>
      <c r="C5243" s="1">
        <v>45572</v>
      </c>
      <c r="D5243">
        <v>514</v>
      </c>
      <c r="E5243" t="b">
        <v>0</v>
      </c>
      <c r="F5243">
        <v>750</v>
      </c>
      <c r="G5243" t="s">
        <v>266</v>
      </c>
      <c r="H5243" t="s">
        <v>124</v>
      </c>
      <c r="I5243" t="s">
        <v>2117</v>
      </c>
    </row>
    <row r="5244" spans="1:9" x14ac:dyDescent="0.35">
      <c r="A5244">
        <v>2124490</v>
      </c>
      <c r="B5244" t="s">
        <v>1674</v>
      </c>
      <c r="C5244" s="1">
        <v>45572</v>
      </c>
      <c r="D5244">
        <v>514</v>
      </c>
      <c r="E5244" t="b">
        <v>0</v>
      </c>
      <c r="F5244">
        <v>750</v>
      </c>
      <c r="G5244" t="s">
        <v>266</v>
      </c>
      <c r="H5244" t="s">
        <v>1510</v>
      </c>
      <c r="I5244" t="s">
        <v>2117</v>
      </c>
    </row>
    <row r="5245" spans="1:9" x14ac:dyDescent="0.35">
      <c r="A5245">
        <v>2069310</v>
      </c>
      <c r="B5245" t="s">
        <v>1675</v>
      </c>
      <c r="C5245" s="1">
        <v>44861</v>
      </c>
      <c r="D5245">
        <v>514</v>
      </c>
      <c r="E5245" t="b">
        <v>0</v>
      </c>
      <c r="F5245">
        <v>750</v>
      </c>
      <c r="G5245" t="s">
        <v>14</v>
      </c>
      <c r="H5245" t="s">
        <v>49</v>
      </c>
      <c r="I5245" t="s">
        <v>2117</v>
      </c>
    </row>
    <row r="5246" spans="1:9" x14ac:dyDescent="0.35">
      <c r="A5246">
        <v>2069310</v>
      </c>
      <c r="B5246" t="s">
        <v>1675</v>
      </c>
      <c r="C5246" s="1">
        <v>44861</v>
      </c>
      <c r="D5246">
        <v>514</v>
      </c>
      <c r="E5246" t="b">
        <v>0</v>
      </c>
      <c r="F5246">
        <v>750</v>
      </c>
      <c r="G5246" t="s">
        <v>14</v>
      </c>
      <c r="H5246" t="s">
        <v>792</v>
      </c>
      <c r="I5246" t="s">
        <v>2116</v>
      </c>
    </row>
    <row r="5247" spans="1:9" x14ac:dyDescent="0.35">
      <c r="A5247">
        <v>2069310</v>
      </c>
      <c r="B5247" t="s">
        <v>1675</v>
      </c>
      <c r="C5247" s="1">
        <v>44861</v>
      </c>
      <c r="D5247">
        <v>514</v>
      </c>
      <c r="E5247" t="b">
        <v>0</v>
      </c>
      <c r="F5247">
        <v>750</v>
      </c>
      <c r="G5247" t="s">
        <v>14</v>
      </c>
      <c r="H5247" t="s">
        <v>346</v>
      </c>
      <c r="I5247" t="s">
        <v>2117</v>
      </c>
    </row>
    <row r="5248" spans="1:9" x14ac:dyDescent="0.35">
      <c r="A5248">
        <v>2069310</v>
      </c>
      <c r="B5248" t="s">
        <v>1675</v>
      </c>
      <c r="C5248" s="1">
        <v>44861</v>
      </c>
      <c r="D5248">
        <v>514</v>
      </c>
      <c r="E5248" t="b">
        <v>0</v>
      </c>
      <c r="F5248">
        <v>750</v>
      </c>
      <c r="G5248" t="s">
        <v>14</v>
      </c>
      <c r="H5248" t="s">
        <v>239</v>
      </c>
      <c r="I5248" t="s">
        <v>2116</v>
      </c>
    </row>
    <row r="5249" spans="1:9" x14ac:dyDescent="0.35">
      <c r="A5249">
        <v>2069310</v>
      </c>
      <c r="B5249" t="s">
        <v>1675</v>
      </c>
      <c r="C5249" s="1">
        <v>44861</v>
      </c>
      <c r="D5249">
        <v>514</v>
      </c>
      <c r="E5249" t="b">
        <v>0</v>
      </c>
      <c r="F5249">
        <v>750</v>
      </c>
      <c r="G5249" t="s">
        <v>14</v>
      </c>
      <c r="H5249" t="s">
        <v>132</v>
      </c>
      <c r="I5249" t="s">
        <v>2117</v>
      </c>
    </row>
    <row r="5250" spans="1:9" x14ac:dyDescent="0.35">
      <c r="A5250">
        <v>2069310</v>
      </c>
      <c r="B5250" t="s">
        <v>1675</v>
      </c>
      <c r="C5250" s="1">
        <v>44861</v>
      </c>
      <c r="D5250">
        <v>514</v>
      </c>
      <c r="E5250" t="b">
        <v>0</v>
      </c>
      <c r="F5250">
        <v>750</v>
      </c>
      <c r="G5250" t="s">
        <v>14</v>
      </c>
      <c r="H5250" t="s">
        <v>124</v>
      </c>
      <c r="I5250" t="s">
        <v>2117</v>
      </c>
    </row>
    <row r="5251" spans="1:9" x14ac:dyDescent="0.35">
      <c r="A5251">
        <v>2069310</v>
      </c>
      <c r="B5251" t="s">
        <v>1675</v>
      </c>
      <c r="C5251" s="1">
        <v>44861</v>
      </c>
      <c r="D5251">
        <v>514</v>
      </c>
      <c r="E5251" t="b">
        <v>0</v>
      </c>
      <c r="F5251">
        <v>750</v>
      </c>
      <c r="G5251" t="s">
        <v>14</v>
      </c>
      <c r="H5251" t="s">
        <v>1510</v>
      </c>
      <c r="I5251" t="s">
        <v>2117</v>
      </c>
    </row>
    <row r="5252" spans="1:9" x14ac:dyDescent="0.35">
      <c r="A5252">
        <v>603850</v>
      </c>
      <c r="B5252" t="s">
        <v>1677</v>
      </c>
      <c r="C5252" s="1">
        <v>43425</v>
      </c>
      <c r="D5252">
        <v>513</v>
      </c>
      <c r="E5252" t="b">
        <v>0</v>
      </c>
      <c r="F5252">
        <v>753</v>
      </c>
      <c r="G5252" t="s">
        <v>2082</v>
      </c>
      <c r="H5252" t="s">
        <v>49</v>
      </c>
      <c r="I5252" t="s">
        <v>2117</v>
      </c>
    </row>
    <row r="5253" spans="1:9" x14ac:dyDescent="0.35">
      <c r="A5253">
        <v>603850</v>
      </c>
      <c r="B5253" t="s">
        <v>1677</v>
      </c>
      <c r="C5253" s="1">
        <v>43425</v>
      </c>
      <c r="D5253">
        <v>513</v>
      </c>
      <c r="E5253" t="b">
        <v>0</v>
      </c>
      <c r="F5253">
        <v>753</v>
      </c>
      <c r="G5253" t="s">
        <v>2082</v>
      </c>
      <c r="H5253" t="s">
        <v>792</v>
      </c>
      <c r="I5253" t="s">
        <v>2117</v>
      </c>
    </row>
    <row r="5254" spans="1:9" x14ac:dyDescent="0.35">
      <c r="A5254">
        <v>603850</v>
      </c>
      <c r="B5254" t="s">
        <v>1677</v>
      </c>
      <c r="C5254" s="1">
        <v>43425</v>
      </c>
      <c r="D5254">
        <v>513</v>
      </c>
      <c r="E5254" t="b">
        <v>0</v>
      </c>
      <c r="F5254">
        <v>753</v>
      </c>
      <c r="G5254" t="s">
        <v>2082</v>
      </c>
      <c r="H5254" t="s">
        <v>346</v>
      </c>
      <c r="I5254" t="s">
        <v>2117</v>
      </c>
    </row>
    <row r="5255" spans="1:9" x14ac:dyDescent="0.35">
      <c r="A5255">
        <v>603850</v>
      </c>
      <c r="B5255" t="s">
        <v>1677</v>
      </c>
      <c r="C5255" s="1">
        <v>43425</v>
      </c>
      <c r="D5255">
        <v>513</v>
      </c>
      <c r="E5255" t="b">
        <v>0</v>
      </c>
      <c r="F5255">
        <v>753</v>
      </c>
      <c r="G5255" t="s">
        <v>2082</v>
      </c>
      <c r="H5255" t="s">
        <v>239</v>
      </c>
      <c r="I5255" t="s">
        <v>2117</v>
      </c>
    </row>
    <row r="5256" spans="1:9" x14ac:dyDescent="0.35">
      <c r="A5256">
        <v>603850</v>
      </c>
      <c r="B5256" t="s">
        <v>1677</v>
      </c>
      <c r="C5256" s="1">
        <v>43425</v>
      </c>
      <c r="D5256">
        <v>513</v>
      </c>
      <c r="E5256" t="b">
        <v>0</v>
      </c>
      <c r="F5256">
        <v>753</v>
      </c>
      <c r="G5256" t="s">
        <v>2082</v>
      </c>
      <c r="H5256" t="s">
        <v>132</v>
      </c>
      <c r="I5256" t="s">
        <v>2117</v>
      </c>
    </row>
    <row r="5257" spans="1:9" x14ac:dyDescent="0.35">
      <c r="A5257">
        <v>603850</v>
      </c>
      <c r="B5257" t="s">
        <v>1677</v>
      </c>
      <c r="C5257" s="1">
        <v>43425</v>
      </c>
      <c r="D5257">
        <v>513</v>
      </c>
      <c r="E5257" t="b">
        <v>0</v>
      </c>
      <c r="F5257">
        <v>753</v>
      </c>
      <c r="G5257" t="s">
        <v>2082</v>
      </c>
      <c r="H5257" t="s">
        <v>124</v>
      </c>
      <c r="I5257" t="s">
        <v>2116</v>
      </c>
    </row>
    <row r="5258" spans="1:9" x14ac:dyDescent="0.35">
      <c r="A5258">
        <v>603850</v>
      </c>
      <c r="B5258" t="s">
        <v>1677</v>
      </c>
      <c r="C5258" s="1">
        <v>43425</v>
      </c>
      <c r="D5258">
        <v>513</v>
      </c>
      <c r="E5258" t="b">
        <v>0</v>
      </c>
      <c r="F5258">
        <v>753</v>
      </c>
      <c r="G5258" t="s">
        <v>2082</v>
      </c>
      <c r="H5258" t="s">
        <v>1510</v>
      </c>
      <c r="I5258" t="s">
        <v>2117</v>
      </c>
    </row>
    <row r="5259" spans="1:9" x14ac:dyDescent="0.35">
      <c r="A5259">
        <v>678950</v>
      </c>
      <c r="B5259" t="s">
        <v>1679</v>
      </c>
      <c r="C5259" s="1">
        <v>43126</v>
      </c>
      <c r="D5259">
        <v>511</v>
      </c>
      <c r="E5259" t="b">
        <v>0</v>
      </c>
      <c r="F5259">
        <v>754</v>
      </c>
      <c r="G5259" t="s">
        <v>40</v>
      </c>
      <c r="H5259" t="s">
        <v>49</v>
      </c>
      <c r="I5259" t="s">
        <v>2116</v>
      </c>
    </row>
    <row r="5260" spans="1:9" x14ac:dyDescent="0.35">
      <c r="A5260">
        <v>678950</v>
      </c>
      <c r="B5260" t="s">
        <v>1679</v>
      </c>
      <c r="C5260" s="1">
        <v>43126</v>
      </c>
      <c r="D5260">
        <v>511</v>
      </c>
      <c r="E5260" t="b">
        <v>0</v>
      </c>
      <c r="F5260">
        <v>754</v>
      </c>
      <c r="G5260" t="s">
        <v>40</v>
      </c>
      <c r="H5260" t="s">
        <v>792</v>
      </c>
      <c r="I5260" t="s">
        <v>2117</v>
      </c>
    </row>
    <row r="5261" spans="1:9" x14ac:dyDescent="0.35">
      <c r="A5261">
        <v>678950</v>
      </c>
      <c r="B5261" t="s">
        <v>1679</v>
      </c>
      <c r="C5261" s="1">
        <v>43126</v>
      </c>
      <c r="D5261">
        <v>511</v>
      </c>
      <c r="E5261" t="b">
        <v>0</v>
      </c>
      <c r="F5261">
        <v>754</v>
      </c>
      <c r="G5261" t="s">
        <v>40</v>
      </c>
      <c r="H5261" t="s">
        <v>346</v>
      </c>
      <c r="I5261" t="s">
        <v>2117</v>
      </c>
    </row>
    <row r="5262" spans="1:9" x14ac:dyDescent="0.35">
      <c r="A5262">
        <v>678950</v>
      </c>
      <c r="B5262" t="s">
        <v>1679</v>
      </c>
      <c r="C5262" s="1">
        <v>43126</v>
      </c>
      <c r="D5262">
        <v>511</v>
      </c>
      <c r="E5262" t="b">
        <v>0</v>
      </c>
      <c r="F5262">
        <v>754</v>
      </c>
      <c r="G5262" t="s">
        <v>40</v>
      </c>
      <c r="H5262" t="s">
        <v>239</v>
      </c>
      <c r="I5262" t="s">
        <v>2117</v>
      </c>
    </row>
    <row r="5263" spans="1:9" x14ac:dyDescent="0.35">
      <c r="A5263">
        <v>678950</v>
      </c>
      <c r="B5263" t="s">
        <v>1679</v>
      </c>
      <c r="C5263" s="1">
        <v>43126</v>
      </c>
      <c r="D5263">
        <v>511</v>
      </c>
      <c r="E5263" t="b">
        <v>0</v>
      </c>
      <c r="F5263">
        <v>754</v>
      </c>
      <c r="G5263" t="s">
        <v>40</v>
      </c>
      <c r="H5263" t="s">
        <v>132</v>
      </c>
      <c r="I5263" t="s">
        <v>2117</v>
      </c>
    </row>
    <row r="5264" spans="1:9" x14ac:dyDescent="0.35">
      <c r="A5264">
        <v>678950</v>
      </c>
      <c r="B5264" t="s">
        <v>1679</v>
      </c>
      <c r="C5264" s="1">
        <v>43126</v>
      </c>
      <c r="D5264">
        <v>511</v>
      </c>
      <c r="E5264" t="b">
        <v>0</v>
      </c>
      <c r="F5264">
        <v>754</v>
      </c>
      <c r="G5264" t="s">
        <v>40</v>
      </c>
      <c r="H5264" t="s">
        <v>124</v>
      </c>
      <c r="I5264" t="s">
        <v>2117</v>
      </c>
    </row>
    <row r="5265" spans="1:9" x14ac:dyDescent="0.35">
      <c r="A5265">
        <v>678950</v>
      </c>
      <c r="B5265" t="s">
        <v>1679</v>
      </c>
      <c r="C5265" s="1">
        <v>43126</v>
      </c>
      <c r="D5265">
        <v>511</v>
      </c>
      <c r="E5265" t="b">
        <v>0</v>
      </c>
      <c r="F5265">
        <v>754</v>
      </c>
      <c r="G5265" t="s">
        <v>40</v>
      </c>
      <c r="H5265" t="s">
        <v>1510</v>
      </c>
      <c r="I5265" t="s">
        <v>2117</v>
      </c>
    </row>
    <row r="5266" spans="1:9" x14ac:dyDescent="0.35">
      <c r="A5266">
        <v>2027330</v>
      </c>
      <c r="B5266" t="s">
        <v>1681</v>
      </c>
      <c r="C5266" s="1">
        <v>45128</v>
      </c>
      <c r="D5266">
        <v>509</v>
      </c>
      <c r="E5266" t="b">
        <v>0</v>
      </c>
      <c r="F5266">
        <v>755</v>
      </c>
      <c r="G5266" t="s">
        <v>932</v>
      </c>
      <c r="H5266" t="s">
        <v>49</v>
      </c>
      <c r="I5266" t="s">
        <v>2116</v>
      </c>
    </row>
    <row r="5267" spans="1:9" x14ac:dyDescent="0.35">
      <c r="A5267">
        <v>2027330</v>
      </c>
      <c r="B5267" t="s">
        <v>1681</v>
      </c>
      <c r="C5267" s="1">
        <v>45128</v>
      </c>
      <c r="D5267">
        <v>509</v>
      </c>
      <c r="E5267" t="b">
        <v>0</v>
      </c>
      <c r="F5267">
        <v>755</v>
      </c>
      <c r="G5267" t="s">
        <v>932</v>
      </c>
      <c r="H5267" t="s">
        <v>792</v>
      </c>
      <c r="I5267" t="s">
        <v>2116</v>
      </c>
    </row>
    <row r="5268" spans="1:9" x14ac:dyDescent="0.35">
      <c r="A5268">
        <v>2027330</v>
      </c>
      <c r="B5268" t="s">
        <v>1681</v>
      </c>
      <c r="C5268" s="1">
        <v>45128</v>
      </c>
      <c r="D5268">
        <v>509</v>
      </c>
      <c r="E5268" t="b">
        <v>0</v>
      </c>
      <c r="F5268">
        <v>755</v>
      </c>
      <c r="G5268" t="s">
        <v>932</v>
      </c>
      <c r="H5268" t="s">
        <v>346</v>
      </c>
      <c r="I5268" t="s">
        <v>2117</v>
      </c>
    </row>
    <row r="5269" spans="1:9" x14ac:dyDescent="0.35">
      <c r="A5269">
        <v>2027330</v>
      </c>
      <c r="B5269" t="s">
        <v>1681</v>
      </c>
      <c r="C5269" s="1">
        <v>45128</v>
      </c>
      <c r="D5269">
        <v>509</v>
      </c>
      <c r="E5269" t="b">
        <v>0</v>
      </c>
      <c r="F5269">
        <v>755</v>
      </c>
      <c r="G5269" t="s">
        <v>932</v>
      </c>
      <c r="H5269" t="s">
        <v>239</v>
      </c>
      <c r="I5269" t="s">
        <v>2116</v>
      </c>
    </row>
    <row r="5270" spans="1:9" x14ac:dyDescent="0.35">
      <c r="A5270">
        <v>2027330</v>
      </c>
      <c r="B5270" t="s">
        <v>1681</v>
      </c>
      <c r="C5270" s="1">
        <v>45128</v>
      </c>
      <c r="D5270">
        <v>509</v>
      </c>
      <c r="E5270" t="b">
        <v>0</v>
      </c>
      <c r="F5270">
        <v>755</v>
      </c>
      <c r="G5270" t="s">
        <v>932</v>
      </c>
      <c r="H5270" t="s">
        <v>132</v>
      </c>
      <c r="I5270" t="s">
        <v>2117</v>
      </c>
    </row>
    <row r="5271" spans="1:9" x14ac:dyDescent="0.35">
      <c r="A5271">
        <v>2027330</v>
      </c>
      <c r="B5271" t="s">
        <v>1681</v>
      </c>
      <c r="C5271" s="1">
        <v>45128</v>
      </c>
      <c r="D5271">
        <v>509</v>
      </c>
      <c r="E5271" t="b">
        <v>0</v>
      </c>
      <c r="F5271">
        <v>755</v>
      </c>
      <c r="G5271" t="s">
        <v>932</v>
      </c>
      <c r="H5271" t="s">
        <v>124</v>
      </c>
      <c r="I5271" t="s">
        <v>2117</v>
      </c>
    </row>
    <row r="5272" spans="1:9" x14ac:dyDescent="0.35">
      <c r="A5272">
        <v>2027330</v>
      </c>
      <c r="B5272" t="s">
        <v>1681</v>
      </c>
      <c r="C5272" s="1">
        <v>45128</v>
      </c>
      <c r="D5272">
        <v>509</v>
      </c>
      <c r="E5272" t="b">
        <v>0</v>
      </c>
      <c r="F5272">
        <v>755</v>
      </c>
      <c r="G5272" t="s">
        <v>932</v>
      </c>
      <c r="H5272" t="s">
        <v>1510</v>
      </c>
      <c r="I5272" t="s">
        <v>2117</v>
      </c>
    </row>
    <row r="5273" spans="1:9" x14ac:dyDescent="0.35">
      <c r="A5273">
        <v>1244090</v>
      </c>
      <c r="B5273" t="s">
        <v>1683</v>
      </c>
      <c r="C5273" s="1">
        <v>45166</v>
      </c>
      <c r="D5273">
        <v>509</v>
      </c>
      <c r="E5273" t="b">
        <v>0</v>
      </c>
      <c r="F5273">
        <v>755</v>
      </c>
      <c r="G5273" t="s">
        <v>110</v>
      </c>
      <c r="H5273" t="s">
        <v>49</v>
      </c>
      <c r="I5273" t="s">
        <v>2117</v>
      </c>
    </row>
    <row r="5274" spans="1:9" x14ac:dyDescent="0.35">
      <c r="A5274">
        <v>1244090</v>
      </c>
      <c r="B5274" t="s">
        <v>1683</v>
      </c>
      <c r="C5274" s="1">
        <v>45166</v>
      </c>
      <c r="D5274">
        <v>509</v>
      </c>
      <c r="E5274" t="b">
        <v>0</v>
      </c>
      <c r="F5274">
        <v>755</v>
      </c>
      <c r="G5274" t="s">
        <v>110</v>
      </c>
      <c r="H5274" t="s">
        <v>792</v>
      </c>
      <c r="I5274" t="s">
        <v>2116</v>
      </c>
    </row>
    <row r="5275" spans="1:9" x14ac:dyDescent="0.35">
      <c r="A5275">
        <v>1244090</v>
      </c>
      <c r="B5275" t="s">
        <v>1683</v>
      </c>
      <c r="C5275" s="1">
        <v>45166</v>
      </c>
      <c r="D5275">
        <v>509</v>
      </c>
      <c r="E5275" t="b">
        <v>0</v>
      </c>
      <c r="F5275">
        <v>755</v>
      </c>
      <c r="G5275" t="s">
        <v>110</v>
      </c>
      <c r="H5275" t="s">
        <v>346</v>
      </c>
      <c r="I5275" t="s">
        <v>2116</v>
      </c>
    </row>
    <row r="5276" spans="1:9" x14ac:dyDescent="0.35">
      <c r="A5276">
        <v>1244090</v>
      </c>
      <c r="B5276" t="s">
        <v>1683</v>
      </c>
      <c r="C5276" s="1">
        <v>45166</v>
      </c>
      <c r="D5276">
        <v>509</v>
      </c>
      <c r="E5276" t="b">
        <v>0</v>
      </c>
      <c r="F5276">
        <v>755</v>
      </c>
      <c r="G5276" t="s">
        <v>110</v>
      </c>
      <c r="H5276" t="s">
        <v>239</v>
      </c>
      <c r="I5276" t="s">
        <v>2117</v>
      </c>
    </row>
    <row r="5277" spans="1:9" x14ac:dyDescent="0.35">
      <c r="A5277">
        <v>1244090</v>
      </c>
      <c r="B5277" t="s">
        <v>1683</v>
      </c>
      <c r="C5277" s="1">
        <v>45166</v>
      </c>
      <c r="D5277">
        <v>509</v>
      </c>
      <c r="E5277" t="b">
        <v>0</v>
      </c>
      <c r="F5277">
        <v>755</v>
      </c>
      <c r="G5277" t="s">
        <v>110</v>
      </c>
      <c r="H5277" t="s">
        <v>132</v>
      </c>
      <c r="I5277" t="s">
        <v>2116</v>
      </c>
    </row>
    <row r="5278" spans="1:9" x14ac:dyDescent="0.35">
      <c r="A5278">
        <v>1244090</v>
      </c>
      <c r="B5278" t="s">
        <v>1683</v>
      </c>
      <c r="C5278" s="1">
        <v>45166</v>
      </c>
      <c r="D5278">
        <v>509</v>
      </c>
      <c r="E5278" t="b">
        <v>0</v>
      </c>
      <c r="F5278">
        <v>755</v>
      </c>
      <c r="G5278" t="s">
        <v>110</v>
      </c>
      <c r="H5278" t="s">
        <v>124</v>
      </c>
      <c r="I5278" t="s">
        <v>2117</v>
      </c>
    </row>
    <row r="5279" spans="1:9" x14ac:dyDescent="0.35">
      <c r="A5279">
        <v>1244090</v>
      </c>
      <c r="B5279" t="s">
        <v>1683</v>
      </c>
      <c r="C5279" s="1">
        <v>45166</v>
      </c>
      <c r="D5279">
        <v>509</v>
      </c>
      <c r="E5279" t="b">
        <v>0</v>
      </c>
      <c r="F5279">
        <v>755</v>
      </c>
      <c r="G5279" t="s">
        <v>110</v>
      </c>
      <c r="H5279" t="s">
        <v>1510</v>
      </c>
      <c r="I5279" t="s">
        <v>2117</v>
      </c>
    </row>
    <row r="5280" spans="1:9" x14ac:dyDescent="0.35">
      <c r="A5280">
        <v>1169040</v>
      </c>
      <c r="B5280" t="s">
        <v>1686</v>
      </c>
      <c r="C5280" s="1">
        <v>45946</v>
      </c>
      <c r="D5280">
        <v>507</v>
      </c>
      <c r="E5280" t="b">
        <v>1</v>
      </c>
      <c r="F5280">
        <v>757</v>
      </c>
      <c r="G5280" t="s">
        <v>110</v>
      </c>
      <c r="H5280" t="s">
        <v>49</v>
      </c>
      <c r="I5280" t="s">
        <v>2116</v>
      </c>
    </row>
    <row r="5281" spans="1:9" x14ac:dyDescent="0.35">
      <c r="A5281">
        <v>1169040</v>
      </c>
      <c r="B5281" t="s">
        <v>1686</v>
      </c>
      <c r="C5281" s="1">
        <v>45946</v>
      </c>
      <c r="D5281">
        <v>507</v>
      </c>
      <c r="E5281" t="b">
        <v>1</v>
      </c>
      <c r="F5281">
        <v>757</v>
      </c>
      <c r="G5281" t="s">
        <v>110</v>
      </c>
      <c r="H5281" t="s">
        <v>792</v>
      </c>
      <c r="I5281" t="s">
        <v>2116</v>
      </c>
    </row>
    <row r="5282" spans="1:9" x14ac:dyDescent="0.35">
      <c r="A5282">
        <v>1169040</v>
      </c>
      <c r="B5282" t="s">
        <v>1686</v>
      </c>
      <c r="C5282" s="1">
        <v>45946</v>
      </c>
      <c r="D5282">
        <v>507</v>
      </c>
      <c r="E5282" t="b">
        <v>1</v>
      </c>
      <c r="F5282">
        <v>757</v>
      </c>
      <c r="G5282" t="s">
        <v>110</v>
      </c>
      <c r="H5282" t="s">
        <v>346</v>
      </c>
      <c r="I5282" t="s">
        <v>2116</v>
      </c>
    </row>
    <row r="5283" spans="1:9" x14ac:dyDescent="0.35">
      <c r="A5283">
        <v>1169040</v>
      </c>
      <c r="B5283" t="s">
        <v>1686</v>
      </c>
      <c r="C5283" s="1">
        <v>45946</v>
      </c>
      <c r="D5283">
        <v>507</v>
      </c>
      <c r="E5283" t="b">
        <v>1</v>
      </c>
      <c r="F5283">
        <v>757</v>
      </c>
      <c r="G5283" t="s">
        <v>110</v>
      </c>
      <c r="H5283" t="s">
        <v>239</v>
      </c>
      <c r="I5283" t="s">
        <v>2117</v>
      </c>
    </row>
    <row r="5284" spans="1:9" x14ac:dyDescent="0.35">
      <c r="A5284">
        <v>1169040</v>
      </c>
      <c r="B5284" t="s">
        <v>1686</v>
      </c>
      <c r="C5284" s="1">
        <v>45946</v>
      </c>
      <c r="D5284">
        <v>507</v>
      </c>
      <c r="E5284" t="b">
        <v>1</v>
      </c>
      <c r="F5284">
        <v>757</v>
      </c>
      <c r="G5284" t="s">
        <v>110</v>
      </c>
      <c r="H5284" t="s">
        <v>132</v>
      </c>
      <c r="I5284" t="s">
        <v>2116</v>
      </c>
    </row>
    <row r="5285" spans="1:9" x14ac:dyDescent="0.35">
      <c r="A5285">
        <v>1169040</v>
      </c>
      <c r="B5285" t="s">
        <v>1686</v>
      </c>
      <c r="C5285" s="1">
        <v>45946</v>
      </c>
      <c r="D5285">
        <v>507</v>
      </c>
      <c r="E5285" t="b">
        <v>1</v>
      </c>
      <c r="F5285">
        <v>757</v>
      </c>
      <c r="G5285" t="s">
        <v>110</v>
      </c>
      <c r="H5285" t="s">
        <v>124</v>
      </c>
      <c r="I5285" t="s">
        <v>2117</v>
      </c>
    </row>
    <row r="5286" spans="1:9" x14ac:dyDescent="0.35">
      <c r="A5286">
        <v>1169040</v>
      </c>
      <c r="B5286" t="s">
        <v>1686</v>
      </c>
      <c r="C5286" s="1">
        <v>45946</v>
      </c>
      <c r="D5286">
        <v>507</v>
      </c>
      <c r="E5286" t="b">
        <v>1</v>
      </c>
      <c r="F5286">
        <v>757</v>
      </c>
      <c r="G5286" t="s">
        <v>110</v>
      </c>
      <c r="H5286" t="s">
        <v>1510</v>
      </c>
      <c r="I5286" t="s">
        <v>2117</v>
      </c>
    </row>
    <row r="5287" spans="1:9" x14ac:dyDescent="0.35">
      <c r="A5287">
        <v>1022450</v>
      </c>
      <c r="B5287" t="s">
        <v>1688</v>
      </c>
      <c r="C5287" s="1">
        <v>43746</v>
      </c>
      <c r="D5287">
        <v>507</v>
      </c>
      <c r="E5287" t="b">
        <v>0</v>
      </c>
      <c r="F5287">
        <v>757</v>
      </c>
      <c r="G5287" t="s">
        <v>133</v>
      </c>
      <c r="H5287" t="s">
        <v>49</v>
      </c>
      <c r="I5287" t="s">
        <v>2117</v>
      </c>
    </row>
    <row r="5288" spans="1:9" x14ac:dyDescent="0.35">
      <c r="A5288">
        <v>1022450</v>
      </c>
      <c r="B5288" t="s">
        <v>1688</v>
      </c>
      <c r="C5288" s="1">
        <v>43746</v>
      </c>
      <c r="D5288">
        <v>507</v>
      </c>
      <c r="E5288" t="b">
        <v>0</v>
      </c>
      <c r="F5288">
        <v>757</v>
      </c>
      <c r="G5288" t="s">
        <v>133</v>
      </c>
      <c r="H5288" t="s">
        <v>792</v>
      </c>
      <c r="I5288" t="s">
        <v>2116</v>
      </c>
    </row>
    <row r="5289" spans="1:9" x14ac:dyDescent="0.35">
      <c r="A5289">
        <v>1022450</v>
      </c>
      <c r="B5289" t="s">
        <v>1688</v>
      </c>
      <c r="C5289" s="1">
        <v>43746</v>
      </c>
      <c r="D5289">
        <v>507</v>
      </c>
      <c r="E5289" t="b">
        <v>0</v>
      </c>
      <c r="F5289">
        <v>757</v>
      </c>
      <c r="G5289" t="s">
        <v>133</v>
      </c>
      <c r="H5289" t="s">
        <v>346</v>
      </c>
      <c r="I5289" t="s">
        <v>2117</v>
      </c>
    </row>
    <row r="5290" spans="1:9" x14ac:dyDescent="0.35">
      <c r="A5290">
        <v>1022450</v>
      </c>
      <c r="B5290" t="s">
        <v>1688</v>
      </c>
      <c r="C5290" s="1">
        <v>43746</v>
      </c>
      <c r="D5290">
        <v>507</v>
      </c>
      <c r="E5290" t="b">
        <v>0</v>
      </c>
      <c r="F5290">
        <v>757</v>
      </c>
      <c r="G5290" t="s">
        <v>133</v>
      </c>
      <c r="H5290" t="s">
        <v>239</v>
      </c>
      <c r="I5290" t="s">
        <v>2117</v>
      </c>
    </row>
    <row r="5291" spans="1:9" x14ac:dyDescent="0.35">
      <c r="A5291">
        <v>1022450</v>
      </c>
      <c r="B5291" t="s">
        <v>1688</v>
      </c>
      <c r="C5291" s="1">
        <v>43746</v>
      </c>
      <c r="D5291">
        <v>507</v>
      </c>
      <c r="E5291" t="b">
        <v>0</v>
      </c>
      <c r="F5291">
        <v>757</v>
      </c>
      <c r="G5291" t="s">
        <v>133</v>
      </c>
      <c r="H5291" t="s">
        <v>132</v>
      </c>
      <c r="I5291" t="s">
        <v>2117</v>
      </c>
    </row>
    <row r="5292" spans="1:9" x14ac:dyDescent="0.35">
      <c r="A5292">
        <v>1022450</v>
      </c>
      <c r="B5292" t="s">
        <v>1688</v>
      </c>
      <c r="C5292" s="1">
        <v>43746</v>
      </c>
      <c r="D5292">
        <v>507</v>
      </c>
      <c r="E5292" t="b">
        <v>0</v>
      </c>
      <c r="F5292">
        <v>757</v>
      </c>
      <c r="G5292" t="s">
        <v>133</v>
      </c>
      <c r="H5292" t="s">
        <v>124</v>
      </c>
      <c r="I5292" t="s">
        <v>2116</v>
      </c>
    </row>
    <row r="5293" spans="1:9" x14ac:dyDescent="0.35">
      <c r="A5293">
        <v>1022450</v>
      </c>
      <c r="B5293" t="s">
        <v>1688</v>
      </c>
      <c r="C5293" s="1">
        <v>43746</v>
      </c>
      <c r="D5293">
        <v>507</v>
      </c>
      <c r="E5293" t="b">
        <v>0</v>
      </c>
      <c r="F5293">
        <v>757</v>
      </c>
      <c r="G5293" t="s">
        <v>133</v>
      </c>
      <c r="H5293" t="s">
        <v>1510</v>
      </c>
      <c r="I5293" t="s">
        <v>2116</v>
      </c>
    </row>
    <row r="5294" spans="1:9" x14ac:dyDescent="0.35">
      <c r="A5294">
        <v>1682970</v>
      </c>
      <c r="B5294" t="s">
        <v>1691</v>
      </c>
      <c r="C5294" s="1">
        <v>44440</v>
      </c>
      <c r="D5294">
        <v>507</v>
      </c>
      <c r="E5294" t="b">
        <v>1</v>
      </c>
      <c r="F5294">
        <v>757</v>
      </c>
      <c r="G5294" t="s">
        <v>133</v>
      </c>
      <c r="H5294" t="s">
        <v>49</v>
      </c>
      <c r="I5294" t="s">
        <v>2116</v>
      </c>
    </row>
    <row r="5295" spans="1:9" x14ac:dyDescent="0.35">
      <c r="A5295">
        <v>1682970</v>
      </c>
      <c r="B5295" t="s">
        <v>1691</v>
      </c>
      <c r="C5295" s="1">
        <v>44440</v>
      </c>
      <c r="D5295">
        <v>507</v>
      </c>
      <c r="E5295" t="b">
        <v>1</v>
      </c>
      <c r="F5295">
        <v>757</v>
      </c>
      <c r="G5295" t="s">
        <v>133</v>
      </c>
      <c r="H5295" t="s">
        <v>792</v>
      </c>
      <c r="I5295" t="s">
        <v>2116</v>
      </c>
    </row>
    <row r="5296" spans="1:9" x14ac:dyDescent="0.35">
      <c r="A5296">
        <v>1682970</v>
      </c>
      <c r="B5296" t="s">
        <v>1691</v>
      </c>
      <c r="C5296" s="1">
        <v>44440</v>
      </c>
      <c r="D5296">
        <v>507</v>
      </c>
      <c r="E5296" t="b">
        <v>1</v>
      </c>
      <c r="F5296">
        <v>757</v>
      </c>
      <c r="G5296" t="s">
        <v>133</v>
      </c>
      <c r="H5296" t="s">
        <v>346</v>
      </c>
      <c r="I5296" t="s">
        <v>2117</v>
      </c>
    </row>
    <row r="5297" spans="1:9" x14ac:dyDescent="0.35">
      <c r="A5297">
        <v>1682970</v>
      </c>
      <c r="B5297" t="s">
        <v>1691</v>
      </c>
      <c r="C5297" s="1">
        <v>44440</v>
      </c>
      <c r="D5297">
        <v>507</v>
      </c>
      <c r="E5297" t="b">
        <v>1</v>
      </c>
      <c r="F5297">
        <v>757</v>
      </c>
      <c r="G5297" t="s">
        <v>133</v>
      </c>
      <c r="H5297" t="s">
        <v>239</v>
      </c>
      <c r="I5297" t="s">
        <v>2116</v>
      </c>
    </row>
    <row r="5298" spans="1:9" x14ac:dyDescent="0.35">
      <c r="A5298">
        <v>1682970</v>
      </c>
      <c r="B5298" t="s">
        <v>1691</v>
      </c>
      <c r="C5298" s="1">
        <v>44440</v>
      </c>
      <c r="D5298">
        <v>507</v>
      </c>
      <c r="E5298" t="b">
        <v>1</v>
      </c>
      <c r="F5298">
        <v>757</v>
      </c>
      <c r="G5298" t="s">
        <v>133</v>
      </c>
      <c r="H5298" t="s">
        <v>132</v>
      </c>
      <c r="I5298" t="s">
        <v>2117</v>
      </c>
    </row>
    <row r="5299" spans="1:9" x14ac:dyDescent="0.35">
      <c r="A5299">
        <v>1682970</v>
      </c>
      <c r="B5299" t="s">
        <v>1691</v>
      </c>
      <c r="C5299" s="1">
        <v>44440</v>
      </c>
      <c r="D5299">
        <v>507</v>
      </c>
      <c r="E5299" t="b">
        <v>1</v>
      </c>
      <c r="F5299">
        <v>757</v>
      </c>
      <c r="G5299" t="s">
        <v>133</v>
      </c>
      <c r="H5299" t="s">
        <v>124</v>
      </c>
      <c r="I5299" t="s">
        <v>2117</v>
      </c>
    </row>
    <row r="5300" spans="1:9" x14ac:dyDescent="0.35">
      <c r="A5300">
        <v>1682970</v>
      </c>
      <c r="B5300" t="s">
        <v>1691</v>
      </c>
      <c r="C5300" s="1">
        <v>44440</v>
      </c>
      <c r="D5300">
        <v>507</v>
      </c>
      <c r="E5300" t="b">
        <v>1</v>
      </c>
      <c r="F5300">
        <v>757</v>
      </c>
      <c r="G5300" t="s">
        <v>133</v>
      </c>
      <c r="H5300" t="s">
        <v>1510</v>
      </c>
      <c r="I5300" t="s">
        <v>2117</v>
      </c>
    </row>
    <row r="5301" spans="1:9" x14ac:dyDescent="0.35">
      <c r="A5301">
        <v>464920</v>
      </c>
      <c r="B5301" t="s">
        <v>1693</v>
      </c>
      <c r="C5301" s="1">
        <v>43174</v>
      </c>
      <c r="D5301">
        <v>507</v>
      </c>
      <c r="E5301" t="b">
        <v>1</v>
      </c>
      <c r="F5301">
        <v>757</v>
      </c>
      <c r="G5301" t="s">
        <v>110</v>
      </c>
      <c r="H5301" t="s">
        <v>49</v>
      </c>
      <c r="I5301" t="s">
        <v>2117</v>
      </c>
    </row>
    <row r="5302" spans="1:9" x14ac:dyDescent="0.35">
      <c r="A5302">
        <v>464920</v>
      </c>
      <c r="B5302" t="s">
        <v>1693</v>
      </c>
      <c r="C5302" s="1">
        <v>43174</v>
      </c>
      <c r="D5302">
        <v>507</v>
      </c>
      <c r="E5302" t="b">
        <v>1</v>
      </c>
      <c r="F5302">
        <v>757</v>
      </c>
      <c r="G5302" t="s">
        <v>110</v>
      </c>
      <c r="H5302" t="s">
        <v>792</v>
      </c>
      <c r="I5302" t="s">
        <v>2117</v>
      </c>
    </row>
    <row r="5303" spans="1:9" x14ac:dyDescent="0.35">
      <c r="A5303">
        <v>464920</v>
      </c>
      <c r="B5303" t="s">
        <v>1693</v>
      </c>
      <c r="C5303" s="1">
        <v>43174</v>
      </c>
      <c r="D5303">
        <v>507</v>
      </c>
      <c r="E5303" t="b">
        <v>1</v>
      </c>
      <c r="F5303">
        <v>757</v>
      </c>
      <c r="G5303" t="s">
        <v>110</v>
      </c>
      <c r="H5303" t="s">
        <v>346</v>
      </c>
      <c r="I5303" t="s">
        <v>2117</v>
      </c>
    </row>
    <row r="5304" spans="1:9" x14ac:dyDescent="0.35">
      <c r="A5304">
        <v>464920</v>
      </c>
      <c r="B5304" t="s">
        <v>1693</v>
      </c>
      <c r="C5304" s="1">
        <v>43174</v>
      </c>
      <c r="D5304">
        <v>507</v>
      </c>
      <c r="E5304" t="b">
        <v>1</v>
      </c>
      <c r="F5304">
        <v>757</v>
      </c>
      <c r="G5304" t="s">
        <v>110</v>
      </c>
      <c r="H5304" t="s">
        <v>239</v>
      </c>
      <c r="I5304" t="s">
        <v>2116</v>
      </c>
    </row>
    <row r="5305" spans="1:9" x14ac:dyDescent="0.35">
      <c r="A5305">
        <v>464920</v>
      </c>
      <c r="B5305" t="s">
        <v>1693</v>
      </c>
      <c r="C5305" s="1">
        <v>43174</v>
      </c>
      <c r="D5305">
        <v>507</v>
      </c>
      <c r="E5305" t="b">
        <v>1</v>
      </c>
      <c r="F5305">
        <v>757</v>
      </c>
      <c r="G5305" t="s">
        <v>110</v>
      </c>
      <c r="H5305" t="s">
        <v>132</v>
      </c>
      <c r="I5305" t="s">
        <v>2117</v>
      </c>
    </row>
    <row r="5306" spans="1:9" x14ac:dyDescent="0.35">
      <c r="A5306">
        <v>464920</v>
      </c>
      <c r="B5306" t="s">
        <v>1693</v>
      </c>
      <c r="C5306" s="1">
        <v>43174</v>
      </c>
      <c r="D5306">
        <v>507</v>
      </c>
      <c r="E5306" t="b">
        <v>1</v>
      </c>
      <c r="F5306">
        <v>757</v>
      </c>
      <c r="G5306" t="s">
        <v>110</v>
      </c>
      <c r="H5306" t="s">
        <v>124</v>
      </c>
      <c r="I5306" t="s">
        <v>2116</v>
      </c>
    </row>
    <row r="5307" spans="1:9" x14ac:dyDescent="0.35">
      <c r="A5307">
        <v>464920</v>
      </c>
      <c r="B5307" t="s">
        <v>1693</v>
      </c>
      <c r="C5307" s="1">
        <v>43174</v>
      </c>
      <c r="D5307">
        <v>507</v>
      </c>
      <c r="E5307" t="b">
        <v>1</v>
      </c>
      <c r="F5307">
        <v>757</v>
      </c>
      <c r="G5307" t="s">
        <v>110</v>
      </c>
      <c r="H5307" t="s">
        <v>1510</v>
      </c>
      <c r="I5307" t="s">
        <v>2117</v>
      </c>
    </row>
    <row r="5308" spans="1:9" x14ac:dyDescent="0.35">
      <c r="A5308">
        <v>1150690</v>
      </c>
      <c r="B5308" t="s">
        <v>1695</v>
      </c>
      <c r="C5308" s="1">
        <v>44190</v>
      </c>
      <c r="D5308">
        <v>506</v>
      </c>
      <c r="E5308" t="b">
        <v>1</v>
      </c>
      <c r="F5308">
        <v>761</v>
      </c>
      <c r="G5308" t="s">
        <v>341</v>
      </c>
      <c r="H5308" t="s">
        <v>49</v>
      </c>
      <c r="I5308" t="s">
        <v>2117</v>
      </c>
    </row>
    <row r="5309" spans="1:9" x14ac:dyDescent="0.35">
      <c r="A5309">
        <v>1150690</v>
      </c>
      <c r="B5309" t="s">
        <v>1695</v>
      </c>
      <c r="C5309" s="1">
        <v>44190</v>
      </c>
      <c r="D5309">
        <v>506</v>
      </c>
      <c r="E5309" t="b">
        <v>1</v>
      </c>
      <c r="F5309">
        <v>761</v>
      </c>
      <c r="G5309" t="s">
        <v>341</v>
      </c>
      <c r="H5309" t="s">
        <v>792</v>
      </c>
      <c r="I5309" t="s">
        <v>2116</v>
      </c>
    </row>
    <row r="5310" spans="1:9" x14ac:dyDescent="0.35">
      <c r="A5310">
        <v>1150690</v>
      </c>
      <c r="B5310" t="s">
        <v>1695</v>
      </c>
      <c r="C5310" s="1">
        <v>44190</v>
      </c>
      <c r="D5310">
        <v>506</v>
      </c>
      <c r="E5310" t="b">
        <v>1</v>
      </c>
      <c r="F5310">
        <v>761</v>
      </c>
      <c r="G5310" t="s">
        <v>341</v>
      </c>
      <c r="H5310" t="s">
        <v>346</v>
      </c>
      <c r="I5310" t="s">
        <v>2116</v>
      </c>
    </row>
    <row r="5311" spans="1:9" x14ac:dyDescent="0.35">
      <c r="A5311">
        <v>1150690</v>
      </c>
      <c r="B5311" t="s">
        <v>1695</v>
      </c>
      <c r="C5311" s="1">
        <v>44190</v>
      </c>
      <c r="D5311">
        <v>506</v>
      </c>
      <c r="E5311" t="b">
        <v>1</v>
      </c>
      <c r="F5311">
        <v>761</v>
      </c>
      <c r="G5311" t="s">
        <v>341</v>
      </c>
      <c r="H5311" t="s">
        <v>239</v>
      </c>
      <c r="I5311" t="s">
        <v>2117</v>
      </c>
    </row>
    <row r="5312" spans="1:9" x14ac:dyDescent="0.35">
      <c r="A5312">
        <v>1150690</v>
      </c>
      <c r="B5312" t="s">
        <v>1695</v>
      </c>
      <c r="C5312" s="1">
        <v>44190</v>
      </c>
      <c r="D5312">
        <v>506</v>
      </c>
      <c r="E5312" t="b">
        <v>1</v>
      </c>
      <c r="F5312">
        <v>761</v>
      </c>
      <c r="G5312" t="s">
        <v>341</v>
      </c>
      <c r="H5312" t="s">
        <v>132</v>
      </c>
      <c r="I5312" t="s">
        <v>2116</v>
      </c>
    </row>
    <row r="5313" spans="1:9" x14ac:dyDescent="0.35">
      <c r="A5313">
        <v>1150690</v>
      </c>
      <c r="B5313" t="s">
        <v>1695</v>
      </c>
      <c r="C5313" s="1">
        <v>44190</v>
      </c>
      <c r="D5313">
        <v>506</v>
      </c>
      <c r="E5313" t="b">
        <v>1</v>
      </c>
      <c r="F5313">
        <v>761</v>
      </c>
      <c r="G5313" t="s">
        <v>341</v>
      </c>
      <c r="H5313" t="s">
        <v>124</v>
      </c>
      <c r="I5313" t="s">
        <v>2117</v>
      </c>
    </row>
    <row r="5314" spans="1:9" x14ac:dyDescent="0.35">
      <c r="A5314">
        <v>1150690</v>
      </c>
      <c r="B5314" t="s">
        <v>1695</v>
      </c>
      <c r="C5314" s="1">
        <v>44190</v>
      </c>
      <c r="D5314">
        <v>506</v>
      </c>
      <c r="E5314" t="b">
        <v>1</v>
      </c>
      <c r="F5314">
        <v>761</v>
      </c>
      <c r="G5314" t="s">
        <v>341</v>
      </c>
      <c r="H5314" t="s">
        <v>1510</v>
      </c>
      <c r="I5314" t="s">
        <v>2117</v>
      </c>
    </row>
    <row r="5315" spans="1:9" x14ac:dyDescent="0.35">
      <c r="A5315">
        <v>2440510</v>
      </c>
      <c r="B5315" t="s">
        <v>1697</v>
      </c>
      <c r="C5315" s="1">
        <v>45208</v>
      </c>
      <c r="D5315">
        <v>506</v>
      </c>
      <c r="E5315" t="b">
        <v>0</v>
      </c>
      <c r="F5315">
        <v>761</v>
      </c>
      <c r="G5315" t="s">
        <v>341</v>
      </c>
      <c r="H5315" t="s">
        <v>49</v>
      </c>
      <c r="I5315" t="s">
        <v>2117</v>
      </c>
    </row>
    <row r="5316" spans="1:9" x14ac:dyDescent="0.35">
      <c r="A5316">
        <v>2440510</v>
      </c>
      <c r="B5316" t="s">
        <v>1697</v>
      </c>
      <c r="C5316" s="1">
        <v>45208</v>
      </c>
      <c r="D5316">
        <v>506</v>
      </c>
      <c r="E5316" t="b">
        <v>0</v>
      </c>
      <c r="F5316">
        <v>761</v>
      </c>
      <c r="G5316" t="s">
        <v>341</v>
      </c>
      <c r="H5316" t="s">
        <v>792</v>
      </c>
      <c r="I5316" t="s">
        <v>2117</v>
      </c>
    </row>
    <row r="5317" spans="1:9" x14ac:dyDescent="0.35">
      <c r="A5317">
        <v>2440510</v>
      </c>
      <c r="B5317" t="s">
        <v>1697</v>
      </c>
      <c r="C5317" s="1">
        <v>45208</v>
      </c>
      <c r="D5317">
        <v>506</v>
      </c>
      <c r="E5317" t="b">
        <v>0</v>
      </c>
      <c r="F5317">
        <v>761</v>
      </c>
      <c r="G5317" t="s">
        <v>341</v>
      </c>
      <c r="H5317" t="s">
        <v>346</v>
      </c>
      <c r="I5317" t="s">
        <v>2117</v>
      </c>
    </row>
    <row r="5318" spans="1:9" x14ac:dyDescent="0.35">
      <c r="A5318">
        <v>2440510</v>
      </c>
      <c r="B5318" t="s">
        <v>1697</v>
      </c>
      <c r="C5318" s="1">
        <v>45208</v>
      </c>
      <c r="D5318">
        <v>506</v>
      </c>
      <c r="E5318" t="b">
        <v>0</v>
      </c>
      <c r="F5318">
        <v>761</v>
      </c>
      <c r="G5318" t="s">
        <v>341</v>
      </c>
      <c r="H5318" t="s">
        <v>239</v>
      </c>
      <c r="I5318" t="s">
        <v>2117</v>
      </c>
    </row>
    <row r="5319" spans="1:9" x14ac:dyDescent="0.35">
      <c r="A5319">
        <v>2440510</v>
      </c>
      <c r="B5319" t="s">
        <v>1697</v>
      </c>
      <c r="C5319" s="1">
        <v>45208</v>
      </c>
      <c r="D5319">
        <v>506</v>
      </c>
      <c r="E5319" t="b">
        <v>0</v>
      </c>
      <c r="F5319">
        <v>761</v>
      </c>
      <c r="G5319" t="s">
        <v>341</v>
      </c>
      <c r="H5319" t="s">
        <v>132</v>
      </c>
      <c r="I5319" t="s">
        <v>2117</v>
      </c>
    </row>
    <row r="5320" spans="1:9" x14ac:dyDescent="0.35">
      <c r="A5320">
        <v>2440510</v>
      </c>
      <c r="B5320" t="s">
        <v>1697</v>
      </c>
      <c r="C5320" s="1">
        <v>45208</v>
      </c>
      <c r="D5320">
        <v>506</v>
      </c>
      <c r="E5320" t="b">
        <v>0</v>
      </c>
      <c r="F5320">
        <v>761</v>
      </c>
      <c r="G5320" t="s">
        <v>341</v>
      </c>
      <c r="H5320" t="s">
        <v>124</v>
      </c>
      <c r="I5320" t="s">
        <v>2117</v>
      </c>
    </row>
    <row r="5321" spans="1:9" x14ac:dyDescent="0.35">
      <c r="A5321">
        <v>2440510</v>
      </c>
      <c r="B5321" t="s">
        <v>1697</v>
      </c>
      <c r="C5321" s="1">
        <v>45208</v>
      </c>
      <c r="D5321">
        <v>506</v>
      </c>
      <c r="E5321" t="b">
        <v>0</v>
      </c>
      <c r="F5321">
        <v>761</v>
      </c>
      <c r="G5321" t="s">
        <v>341</v>
      </c>
      <c r="H5321" t="s">
        <v>1510</v>
      </c>
      <c r="I5321" t="s">
        <v>2117</v>
      </c>
    </row>
    <row r="5322" spans="1:9" x14ac:dyDescent="0.35">
      <c r="A5322">
        <v>897330</v>
      </c>
      <c r="B5322" t="s">
        <v>1700</v>
      </c>
      <c r="C5322" s="1">
        <v>43329</v>
      </c>
      <c r="D5322">
        <v>505</v>
      </c>
      <c r="E5322" t="b">
        <v>1</v>
      </c>
      <c r="F5322">
        <v>763</v>
      </c>
      <c r="G5322" t="s">
        <v>33</v>
      </c>
      <c r="H5322" t="s">
        <v>49</v>
      </c>
      <c r="I5322" t="s">
        <v>2117</v>
      </c>
    </row>
    <row r="5323" spans="1:9" x14ac:dyDescent="0.35">
      <c r="A5323">
        <v>897330</v>
      </c>
      <c r="B5323" t="s">
        <v>1700</v>
      </c>
      <c r="C5323" s="1">
        <v>43329</v>
      </c>
      <c r="D5323">
        <v>505</v>
      </c>
      <c r="E5323" t="b">
        <v>1</v>
      </c>
      <c r="F5323">
        <v>763</v>
      </c>
      <c r="G5323" t="s">
        <v>33</v>
      </c>
      <c r="H5323" t="s">
        <v>792</v>
      </c>
      <c r="I5323" t="s">
        <v>2116</v>
      </c>
    </row>
    <row r="5324" spans="1:9" x14ac:dyDescent="0.35">
      <c r="A5324">
        <v>897330</v>
      </c>
      <c r="B5324" t="s">
        <v>1700</v>
      </c>
      <c r="C5324" s="1">
        <v>43329</v>
      </c>
      <c r="D5324">
        <v>505</v>
      </c>
      <c r="E5324" t="b">
        <v>1</v>
      </c>
      <c r="F5324">
        <v>763</v>
      </c>
      <c r="G5324" t="s">
        <v>33</v>
      </c>
      <c r="H5324" t="s">
        <v>346</v>
      </c>
      <c r="I5324" t="s">
        <v>2117</v>
      </c>
    </row>
    <row r="5325" spans="1:9" x14ac:dyDescent="0.35">
      <c r="A5325">
        <v>897330</v>
      </c>
      <c r="B5325" t="s">
        <v>1700</v>
      </c>
      <c r="C5325" s="1">
        <v>43329</v>
      </c>
      <c r="D5325">
        <v>505</v>
      </c>
      <c r="E5325" t="b">
        <v>1</v>
      </c>
      <c r="F5325">
        <v>763</v>
      </c>
      <c r="G5325" t="s">
        <v>33</v>
      </c>
      <c r="H5325" t="s">
        <v>239</v>
      </c>
      <c r="I5325" t="s">
        <v>2117</v>
      </c>
    </row>
    <row r="5326" spans="1:9" x14ac:dyDescent="0.35">
      <c r="A5326">
        <v>897330</v>
      </c>
      <c r="B5326" t="s">
        <v>1700</v>
      </c>
      <c r="C5326" s="1">
        <v>43329</v>
      </c>
      <c r="D5326">
        <v>505</v>
      </c>
      <c r="E5326" t="b">
        <v>1</v>
      </c>
      <c r="F5326">
        <v>763</v>
      </c>
      <c r="G5326" t="s">
        <v>33</v>
      </c>
      <c r="H5326" t="s">
        <v>132</v>
      </c>
      <c r="I5326" t="s">
        <v>2117</v>
      </c>
    </row>
    <row r="5327" spans="1:9" x14ac:dyDescent="0.35">
      <c r="A5327">
        <v>897330</v>
      </c>
      <c r="B5327" t="s">
        <v>1700</v>
      </c>
      <c r="C5327" s="1">
        <v>43329</v>
      </c>
      <c r="D5327">
        <v>505</v>
      </c>
      <c r="E5327" t="b">
        <v>1</v>
      </c>
      <c r="F5327">
        <v>763</v>
      </c>
      <c r="G5327" t="s">
        <v>33</v>
      </c>
      <c r="H5327" t="s">
        <v>124</v>
      </c>
      <c r="I5327" t="s">
        <v>2117</v>
      </c>
    </row>
    <row r="5328" spans="1:9" x14ac:dyDescent="0.35">
      <c r="A5328">
        <v>897330</v>
      </c>
      <c r="B5328" t="s">
        <v>1700</v>
      </c>
      <c r="C5328" s="1">
        <v>43329</v>
      </c>
      <c r="D5328">
        <v>505</v>
      </c>
      <c r="E5328" t="b">
        <v>1</v>
      </c>
      <c r="F5328">
        <v>763</v>
      </c>
      <c r="G5328" t="s">
        <v>33</v>
      </c>
      <c r="H5328" t="s">
        <v>1510</v>
      </c>
      <c r="I5328" t="s">
        <v>2116</v>
      </c>
    </row>
    <row r="5329" spans="1:9" x14ac:dyDescent="0.35">
      <c r="A5329">
        <v>1239080</v>
      </c>
      <c r="B5329" t="s">
        <v>1701</v>
      </c>
      <c r="C5329" s="1">
        <v>45698</v>
      </c>
      <c r="D5329">
        <v>505</v>
      </c>
      <c r="E5329" t="b">
        <v>1</v>
      </c>
      <c r="F5329">
        <v>763</v>
      </c>
      <c r="G5329" t="s">
        <v>57</v>
      </c>
      <c r="H5329" t="s">
        <v>49</v>
      </c>
      <c r="I5329" t="s">
        <v>2116</v>
      </c>
    </row>
    <row r="5330" spans="1:9" x14ac:dyDescent="0.35">
      <c r="A5330">
        <v>1239080</v>
      </c>
      <c r="B5330" t="s">
        <v>1701</v>
      </c>
      <c r="C5330" s="1">
        <v>45698</v>
      </c>
      <c r="D5330">
        <v>505</v>
      </c>
      <c r="E5330" t="b">
        <v>1</v>
      </c>
      <c r="F5330">
        <v>763</v>
      </c>
      <c r="G5330" t="s">
        <v>57</v>
      </c>
      <c r="H5330" t="s">
        <v>792</v>
      </c>
      <c r="I5330" t="s">
        <v>2116</v>
      </c>
    </row>
    <row r="5331" spans="1:9" x14ac:dyDescent="0.35">
      <c r="A5331">
        <v>1239080</v>
      </c>
      <c r="B5331" t="s">
        <v>1701</v>
      </c>
      <c r="C5331" s="1">
        <v>45698</v>
      </c>
      <c r="D5331">
        <v>505</v>
      </c>
      <c r="E5331" t="b">
        <v>1</v>
      </c>
      <c r="F5331">
        <v>763</v>
      </c>
      <c r="G5331" t="s">
        <v>57</v>
      </c>
      <c r="H5331" t="s">
        <v>346</v>
      </c>
      <c r="I5331" t="s">
        <v>2117</v>
      </c>
    </row>
    <row r="5332" spans="1:9" x14ac:dyDescent="0.35">
      <c r="A5332">
        <v>1239080</v>
      </c>
      <c r="B5332" t="s">
        <v>1701</v>
      </c>
      <c r="C5332" s="1">
        <v>45698</v>
      </c>
      <c r="D5332">
        <v>505</v>
      </c>
      <c r="E5332" t="b">
        <v>1</v>
      </c>
      <c r="F5332">
        <v>763</v>
      </c>
      <c r="G5332" t="s">
        <v>57</v>
      </c>
      <c r="H5332" t="s">
        <v>239</v>
      </c>
      <c r="I5332" t="s">
        <v>2116</v>
      </c>
    </row>
    <row r="5333" spans="1:9" x14ac:dyDescent="0.35">
      <c r="A5333">
        <v>1239080</v>
      </c>
      <c r="B5333" t="s">
        <v>1701</v>
      </c>
      <c r="C5333" s="1">
        <v>45698</v>
      </c>
      <c r="D5333">
        <v>505</v>
      </c>
      <c r="E5333" t="b">
        <v>1</v>
      </c>
      <c r="F5333">
        <v>763</v>
      </c>
      <c r="G5333" t="s">
        <v>57</v>
      </c>
      <c r="H5333" t="s">
        <v>132</v>
      </c>
      <c r="I5333" t="s">
        <v>2117</v>
      </c>
    </row>
    <row r="5334" spans="1:9" x14ac:dyDescent="0.35">
      <c r="A5334">
        <v>1239080</v>
      </c>
      <c r="B5334" t="s">
        <v>1701</v>
      </c>
      <c r="C5334" s="1">
        <v>45698</v>
      </c>
      <c r="D5334">
        <v>505</v>
      </c>
      <c r="E5334" t="b">
        <v>1</v>
      </c>
      <c r="F5334">
        <v>763</v>
      </c>
      <c r="G5334" t="s">
        <v>57</v>
      </c>
      <c r="H5334" t="s">
        <v>124</v>
      </c>
      <c r="I5334" t="s">
        <v>2116</v>
      </c>
    </row>
    <row r="5335" spans="1:9" x14ac:dyDescent="0.35">
      <c r="A5335">
        <v>1239080</v>
      </c>
      <c r="B5335" t="s">
        <v>1701</v>
      </c>
      <c r="C5335" s="1">
        <v>45698</v>
      </c>
      <c r="D5335">
        <v>505</v>
      </c>
      <c r="E5335" t="b">
        <v>1</v>
      </c>
      <c r="F5335">
        <v>763</v>
      </c>
      <c r="G5335" t="s">
        <v>57</v>
      </c>
      <c r="H5335" t="s">
        <v>1510</v>
      </c>
      <c r="I5335" t="s">
        <v>2117</v>
      </c>
    </row>
    <row r="5336" spans="1:9" x14ac:dyDescent="0.35">
      <c r="A5336">
        <v>2668510</v>
      </c>
      <c r="B5336" t="s">
        <v>1703</v>
      </c>
      <c r="C5336" s="1">
        <v>45594</v>
      </c>
      <c r="D5336">
        <v>504</v>
      </c>
      <c r="E5336" t="b">
        <v>0</v>
      </c>
      <c r="F5336">
        <v>765</v>
      </c>
      <c r="G5336" t="s">
        <v>119</v>
      </c>
      <c r="H5336" t="s">
        <v>49</v>
      </c>
      <c r="I5336" t="s">
        <v>2116</v>
      </c>
    </row>
    <row r="5337" spans="1:9" x14ac:dyDescent="0.35">
      <c r="A5337">
        <v>2668510</v>
      </c>
      <c r="B5337" t="s">
        <v>1703</v>
      </c>
      <c r="C5337" s="1">
        <v>45594</v>
      </c>
      <c r="D5337">
        <v>504</v>
      </c>
      <c r="E5337" t="b">
        <v>0</v>
      </c>
      <c r="F5337">
        <v>765</v>
      </c>
      <c r="G5337" t="s">
        <v>119</v>
      </c>
      <c r="H5337" t="s">
        <v>792</v>
      </c>
      <c r="I5337" t="s">
        <v>2117</v>
      </c>
    </row>
    <row r="5338" spans="1:9" x14ac:dyDescent="0.35">
      <c r="A5338">
        <v>2668510</v>
      </c>
      <c r="B5338" t="s">
        <v>1703</v>
      </c>
      <c r="C5338" s="1">
        <v>45594</v>
      </c>
      <c r="D5338">
        <v>504</v>
      </c>
      <c r="E5338" t="b">
        <v>0</v>
      </c>
      <c r="F5338">
        <v>765</v>
      </c>
      <c r="G5338" t="s">
        <v>119</v>
      </c>
      <c r="H5338" t="s">
        <v>346</v>
      </c>
      <c r="I5338" t="s">
        <v>2117</v>
      </c>
    </row>
    <row r="5339" spans="1:9" x14ac:dyDescent="0.35">
      <c r="A5339">
        <v>2668510</v>
      </c>
      <c r="B5339" t="s">
        <v>1703</v>
      </c>
      <c r="C5339" s="1">
        <v>45594</v>
      </c>
      <c r="D5339">
        <v>504</v>
      </c>
      <c r="E5339" t="b">
        <v>0</v>
      </c>
      <c r="F5339">
        <v>765</v>
      </c>
      <c r="G5339" t="s">
        <v>119</v>
      </c>
      <c r="H5339" t="s">
        <v>239</v>
      </c>
      <c r="I5339" t="s">
        <v>2117</v>
      </c>
    </row>
    <row r="5340" spans="1:9" x14ac:dyDescent="0.35">
      <c r="A5340">
        <v>2668510</v>
      </c>
      <c r="B5340" t="s">
        <v>1703</v>
      </c>
      <c r="C5340" s="1">
        <v>45594</v>
      </c>
      <c r="D5340">
        <v>504</v>
      </c>
      <c r="E5340" t="b">
        <v>0</v>
      </c>
      <c r="F5340">
        <v>765</v>
      </c>
      <c r="G5340" t="s">
        <v>119</v>
      </c>
      <c r="H5340" t="s">
        <v>132</v>
      </c>
      <c r="I5340" t="s">
        <v>2117</v>
      </c>
    </row>
    <row r="5341" spans="1:9" x14ac:dyDescent="0.35">
      <c r="A5341">
        <v>2668510</v>
      </c>
      <c r="B5341" t="s">
        <v>1703</v>
      </c>
      <c r="C5341" s="1">
        <v>45594</v>
      </c>
      <c r="D5341">
        <v>504</v>
      </c>
      <c r="E5341" t="b">
        <v>0</v>
      </c>
      <c r="F5341">
        <v>765</v>
      </c>
      <c r="G5341" t="s">
        <v>119</v>
      </c>
      <c r="H5341" t="s">
        <v>124</v>
      </c>
      <c r="I5341" t="s">
        <v>2117</v>
      </c>
    </row>
    <row r="5342" spans="1:9" x14ac:dyDescent="0.35">
      <c r="A5342">
        <v>2668510</v>
      </c>
      <c r="B5342" t="s">
        <v>1703</v>
      </c>
      <c r="C5342" s="1">
        <v>45594</v>
      </c>
      <c r="D5342">
        <v>504</v>
      </c>
      <c r="E5342" t="b">
        <v>0</v>
      </c>
      <c r="F5342">
        <v>765</v>
      </c>
      <c r="G5342" t="s">
        <v>119</v>
      </c>
      <c r="H5342" t="s">
        <v>1510</v>
      </c>
      <c r="I5342" t="s">
        <v>2117</v>
      </c>
    </row>
    <row r="5343" spans="1:9" x14ac:dyDescent="0.35">
      <c r="A5343">
        <v>1451190</v>
      </c>
      <c r="B5343" t="s">
        <v>1705</v>
      </c>
      <c r="C5343" s="1">
        <v>45573</v>
      </c>
      <c r="D5343">
        <v>503</v>
      </c>
      <c r="E5343" t="b">
        <v>0</v>
      </c>
      <c r="F5343">
        <v>766</v>
      </c>
      <c r="G5343" t="s">
        <v>405</v>
      </c>
      <c r="H5343" t="s">
        <v>49</v>
      </c>
      <c r="I5343" t="s">
        <v>2116</v>
      </c>
    </row>
    <row r="5344" spans="1:9" x14ac:dyDescent="0.35">
      <c r="A5344">
        <v>1451190</v>
      </c>
      <c r="B5344" t="s">
        <v>1705</v>
      </c>
      <c r="C5344" s="1">
        <v>45573</v>
      </c>
      <c r="D5344">
        <v>503</v>
      </c>
      <c r="E5344" t="b">
        <v>0</v>
      </c>
      <c r="F5344">
        <v>766</v>
      </c>
      <c r="G5344" t="s">
        <v>405</v>
      </c>
      <c r="H5344" t="s">
        <v>792</v>
      </c>
      <c r="I5344" t="s">
        <v>2117</v>
      </c>
    </row>
    <row r="5345" spans="1:9" x14ac:dyDescent="0.35">
      <c r="A5345">
        <v>1451190</v>
      </c>
      <c r="B5345" t="s">
        <v>1705</v>
      </c>
      <c r="C5345" s="1">
        <v>45573</v>
      </c>
      <c r="D5345">
        <v>503</v>
      </c>
      <c r="E5345" t="b">
        <v>0</v>
      </c>
      <c r="F5345">
        <v>766</v>
      </c>
      <c r="G5345" t="s">
        <v>405</v>
      </c>
      <c r="H5345" t="s">
        <v>346</v>
      </c>
      <c r="I5345" t="s">
        <v>2117</v>
      </c>
    </row>
    <row r="5346" spans="1:9" x14ac:dyDescent="0.35">
      <c r="A5346">
        <v>1451190</v>
      </c>
      <c r="B5346" t="s">
        <v>1705</v>
      </c>
      <c r="C5346" s="1">
        <v>45573</v>
      </c>
      <c r="D5346">
        <v>503</v>
      </c>
      <c r="E5346" t="b">
        <v>0</v>
      </c>
      <c r="F5346">
        <v>766</v>
      </c>
      <c r="G5346" t="s">
        <v>405</v>
      </c>
      <c r="H5346" t="s">
        <v>239</v>
      </c>
      <c r="I5346" t="s">
        <v>2116</v>
      </c>
    </row>
    <row r="5347" spans="1:9" x14ac:dyDescent="0.35">
      <c r="A5347">
        <v>1451190</v>
      </c>
      <c r="B5347" t="s">
        <v>1705</v>
      </c>
      <c r="C5347" s="1">
        <v>45573</v>
      </c>
      <c r="D5347">
        <v>503</v>
      </c>
      <c r="E5347" t="b">
        <v>0</v>
      </c>
      <c r="F5347">
        <v>766</v>
      </c>
      <c r="G5347" t="s">
        <v>405</v>
      </c>
      <c r="H5347" t="s">
        <v>132</v>
      </c>
      <c r="I5347" t="s">
        <v>2117</v>
      </c>
    </row>
    <row r="5348" spans="1:9" x14ac:dyDescent="0.35">
      <c r="A5348">
        <v>1451190</v>
      </c>
      <c r="B5348" t="s">
        <v>1705</v>
      </c>
      <c r="C5348" s="1">
        <v>45573</v>
      </c>
      <c r="D5348">
        <v>503</v>
      </c>
      <c r="E5348" t="b">
        <v>0</v>
      </c>
      <c r="F5348">
        <v>766</v>
      </c>
      <c r="G5348" t="s">
        <v>405</v>
      </c>
      <c r="H5348" t="s">
        <v>124</v>
      </c>
      <c r="I5348" t="s">
        <v>2117</v>
      </c>
    </row>
    <row r="5349" spans="1:9" x14ac:dyDescent="0.35">
      <c r="A5349">
        <v>1451190</v>
      </c>
      <c r="B5349" t="s">
        <v>1705</v>
      </c>
      <c r="C5349" s="1">
        <v>45573</v>
      </c>
      <c r="D5349">
        <v>503</v>
      </c>
      <c r="E5349" t="b">
        <v>0</v>
      </c>
      <c r="F5349">
        <v>766</v>
      </c>
      <c r="G5349" t="s">
        <v>405</v>
      </c>
      <c r="H5349" t="s">
        <v>1510</v>
      </c>
      <c r="I5349" t="s">
        <v>2117</v>
      </c>
    </row>
    <row r="5350" spans="1:9" x14ac:dyDescent="0.35">
      <c r="A5350">
        <v>24010</v>
      </c>
      <c r="B5350" t="s">
        <v>1708</v>
      </c>
      <c r="C5350" s="1">
        <v>42264</v>
      </c>
      <c r="D5350">
        <v>503</v>
      </c>
      <c r="E5350" t="b">
        <v>0</v>
      </c>
      <c r="F5350">
        <v>766</v>
      </c>
      <c r="G5350" t="s">
        <v>33</v>
      </c>
      <c r="H5350" t="s">
        <v>49</v>
      </c>
      <c r="I5350" t="s">
        <v>2117</v>
      </c>
    </row>
    <row r="5351" spans="1:9" x14ac:dyDescent="0.35">
      <c r="A5351">
        <v>24010</v>
      </c>
      <c r="B5351" t="s">
        <v>1708</v>
      </c>
      <c r="C5351" s="1">
        <v>42264</v>
      </c>
      <c r="D5351">
        <v>503</v>
      </c>
      <c r="E5351" t="b">
        <v>0</v>
      </c>
      <c r="F5351">
        <v>766</v>
      </c>
      <c r="G5351" t="s">
        <v>33</v>
      </c>
      <c r="H5351" t="s">
        <v>792</v>
      </c>
      <c r="I5351" t="s">
        <v>2117</v>
      </c>
    </row>
    <row r="5352" spans="1:9" x14ac:dyDescent="0.35">
      <c r="A5352">
        <v>24010</v>
      </c>
      <c r="B5352" t="s">
        <v>1708</v>
      </c>
      <c r="C5352" s="1">
        <v>42264</v>
      </c>
      <c r="D5352">
        <v>503</v>
      </c>
      <c r="E5352" t="b">
        <v>0</v>
      </c>
      <c r="F5352">
        <v>766</v>
      </c>
      <c r="G5352" t="s">
        <v>33</v>
      </c>
      <c r="H5352" t="s">
        <v>346</v>
      </c>
      <c r="I5352" t="s">
        <v>2117</v>
      </c>
    </row>
    <row r="5353" spans="1:9" x14ac:dyDescent="0.35">
      <c r="A5353">
        <v>24010</v>
      </c>
      <c r="B5353" t="s">
        <v>1708</v>
      </c>
      <c r="C5353" s="1">
        <v>42264</v>
      </c>
      <c r="D5353">
        <v>503</v>
      </c>
      <c r="E5353" t="b">
        <v>0</v>
      </c>
      <c r="F5353">
        <v>766</v>
      </c>
      <c r="G5353" t="s">
        <v>33</v>
      </c>
      <c r="H5353" t="s">
        <v>239</v>
      </c>
      <c r="I5353" t="s">
        <v>2116</v>
      </c>
    </row>
    <row r="5354" spans="1:9" x14ac:dyDescent="0.35">
      <c r="A5354">
        <v>24010</v>
      </c>
      <c r="B5354" t="s">
        <v>1708</v>
      </c>
      <c r="C5354" s="1">
        <v>42264</v>
      </c>
      <c r="D5354">
        <v>503</v>
      </c>
      <c r="E5354" t="b">
        <v>0</v>
      </c>
      <c r="F5354">
        <v>766</v>
      </c>
      <c r="G5354" t="s">
        <v>33</v>
      </c>
      <c r="H5354" t="s">
        <v>132</v>
      </c>
      <c r="I5354" t="s">
        <v>2117</v>
      </c>
    </row>
    <row r="5355" spans="1:9" x14ac:dyDescent="0.35">
      <c r="A5355">
        <v>24010</v>
      </c>
      <c r="B5355" t="s">
        <v>1708</v>
      </c>
      <c r="C5355" s="1">
        <v>42264</v>
      </c>
      <c r="D5355">
        <v>503</v>
      </c>
      <c r="E5355" t="b">
        <v>0</v>
      </c>
      <c r="F5355">
        <v>766</v>
      </c>
      <c r="G5355" t="s">
        <v>33</v>
      </c>
      <c r="H5355" t="s">
        <v>124</v>
      </c>
      <c r="I5355" t="s">
        <v>2117</v>
      </c>
    </row>
    <row r="5356" spans="1:9" x14ac:dyDescent="0.35">
      <c r="A5356">
        <v>24010</v>
      </c>
      <c r="B5356" t="s">
        <v>1708</v>
      </c>
      <c r="C5356" s="1">
        <v>42264</v>
      </c>
      <c r="D5356">
        <v>503</v>
      </c>
      <c r="E5356" t="b">
        <v>0</v>
      </c>
      <c r="F5356">
        <v>766</v>
      </c>
      <c r="G5356" t="s">
        <v>33</v>
      </c>
      <c r="H5356" t="s">
        <v>1510</v>
      </c>
      <c r="I5356" t="s">
        <v>2117</v>
      </c>
    </row>
    <row r="5357" spans="1:9" x14ac:dyDescent="0.35">
      <c r="A5357">
        <v>363150</v>
      </c>
      <c r="B5357" t="s">
        <v>1710</v>
      </c>
      <c r="C5357" s="1">
        <v>42396</v>
      </c>
      <c r="D5357">
        <v>501</v>
      </c>
      <c r="E5357" t="b">
        <v>0</v>
      </c>
      <c r="F5357">
        <v>768</v>
      </c>
      <c r="G5357" t="s">
        <v>25</v>
      </c>
      <c r="H5357" t="s">
        <v>49</v>
      </c>
      <c r="I5357" t="s">
        <v>2117</v>
      </c>
    </row>
    <row r="5358" spans="1:9" x14ac:dyDescent="0.35">
      <c r="A5358">
        <v>363150</v>
      </c>
      <c r="B5358" t="s">
        <v>1710</v>
      </c>
      <c r="C5358" s="1">
        <v>42396</v>
      </c>
      <c r="D5358">
        <v>501</v>
      </c>
      <c r="E5358" t="b">
        <v>0</v>
      </c>
      <c r="F5358">
        <v>768</v>
      </c>
      <c r="G5358" t="s">
        <v>25</v>
      </c>
      <c r="H5358" t="s">
        <v>792</v>
      </c>
      <c r="I5358" t="s">
        <v>2117</v>
      </c>
    </row>
    <row r="5359" spans="1:9" x14ac:dyDescent="0.35">
      <c r="A5359">
        <v>363150</v>
      </c>
      <c r="B5359" t="s">
        <v>1710</v>
      </c>
      <c r="C5359" s="1">
        <v>42396</v>
      </c>
      <c r="D5359">
        <v>501</v>
      </c>
      <c r="E5359" t="b">
        <v>0</v>
      </c>
      <c r="F5359">
        <v>768</v>
      </c>
      <c r="G5359" t="s">
        <v>25</v>
      </c>
      <c r="H5359" t="s">
        <v>346</v>
      </c>
      <c r="I5359" t="s">
        <v>2117</v>
      </c>
    </row>
    <row r="5360" spans="1:9" x14ac:dyDescent="0.35">
      <c r="A5360">
        <v>363150</v>
      </c>
      <c r="B5360" t="s">
        <v>1710</v>
      </c>
      <c r="C5360" s="1">
        <v>42396</v>
      </c>
      <c r="D5360">
        <v>501</v>
      </c>
      <c r="E5360" t="b">
        <v>0</v>
      </c>
      <c r="F5360">
        <v>768</v>
      </c>
      <c r="G5360" t="s">
        <v>25</v>
      </c>
      <c r="H5360" t="s">
        <v>239</v>
      </c>
      <c r="I5360" t="s">
        <v>2116</v>
      </c>
    </row>
    <row r="5361" spans="1:9" x14ac:dyDescent="0.35">
      <c r="A5361">
        <v>363150</v>
      </c>
      <c r="B5361" t="s">
        <v>1710</v>
      </c>
      <c r="C5361" s="1">
        <v>42396</v>
      </c>
      <c r="D5361">
        <v>501</v>
      </c>
      <c r="E5361" t="b">
        <v>0</v>
      </c>
      <c r="F5361">
        <v>768</v>
      </c>
      <c r="G5361" t="s">
        <v>25</v>
      </c>
      <c r="H5361" t="s">
        <v>132</v>
      </c>
      <c r="I5361" t="s">
        <v>2117</v>
      </c>
    </row>
    <row r="5362" spans="1:9" x14ac:dyDescent="0.35">
      <c r="A5362">
        <v>363150</v>
      </c>
      <c r="B5362" t="s">
        <v>1710</v>
      </c>
      <c r="C5362" s="1">
        <v>42396</v>
      </c>
      <c r="D5362">
        <v>501</v>
      </c>
      <c r="E5362" t="b">
        <v>0</v>
      </c>
      <c r="F5362">
        <v>768</v>
      </c>
      <c r="G5362" t="s">
        <v>25</v>
      </c>
      <c r="H5362" t="s">
        <v>124</v>
      </c>
      <c r="I5362" t="s">
        <v>2117</v>
      </c>
    </row>
    <row r="5363" spans="1:9" x14ac:dyDescent="0.35">
      <c r="A5363">
        <v>363150</v>
      </c>
      <c r="B5363" t="s">
        <v>1710</v>
      </c>
      <c r="C5363" s="1">
        <v>42396</v>
      </c>
      <c r="D5363">
        <v>501</v>
      </c>
      <c r="E5363" t="b">
        <v>0</v>
      </c>
      <c r="F5363">
        <v>768</v>
      </c>
      <c r="G5363" t="s">
        <v>25</v>
      </c>
      <c r="H5363" t="s">
        <v>1510</v>
      </c>
      <c r="I5363" t="s">
        <v>2117</v>
      </c>
    </row>
    <row r="5364" spans="1:9" x14ac:dyDescent="0.35">
      <c r="A5364">
        <v>1114150</v>
      </c>
      <c r="B5364" t="s">
        <v>1711</v>
      </c>
      <c r="C5364" s="1">
        <v>45533</v>
      </c>
      <c r="D5364">
        <v>499</v>
      </c>
      <c r="E5364" t="b">
        <v>1</v>
      </c>
      <c r="F5364">
        <v>769</v>
      </c>
      <c r="G5364" t="s">
        <v>147</v>
      </c>
      <c r="H5364" t="s">
        <v>49</v>
      </c>
      <c r="I5364" t="s">
        <v>2117</v>
      </c>
    </row>
    <row r="5365" spans="1:9" x14ac:dyDescent="0.35">
      <c r="A5365">
        <v>1114150</v>
      </c>
      <c r="B5365" t="s">
        <v>1711</v>
      </c>
      <c r="C5365" s="1">
        <v>45533</v>
      </c>
      <c r="D5365">
        <v>499</v>
      </c>
      <c r="E5365" t="b">
        <v>1</v>
      </c>
      <c r="F5365">
        <v>769</v>
      </c>
      <c r="G5365" t="s">
        <v>147</v>
      </c>
      <c r="H5365" t="s">
        <v>792</v>
      </c>
      <c r="I5365" t="s">
        <v>2117</v>
      </c>
    </row>
    <row r="5366" spans="1:9" x14ac:dyDescent="0.35">
      <c r="A5366">
        <v>1114150</v>
      </c>
      <c r="B5366" t="s">
        <v>1711</v>
      </c>
      <c r="C5366" s="1">
        <v>45533</v>
      </c>
      <c r="D5366">
        <v>499</v>
      </c>
      <c r="E5366" t="b">
        <v>1</v>
      </c>
      <c r="F5366">
        <v>769</v>
      </c>
      <c r="G5366" t="s">
        <v>147</v>
      </c>
      <c r="H5366" t="s">
        <v>346</v>
      </c>
      <c r="I5366" t="s">
        <v>2117</v>
      </c>
    </row>
    <row r="5367" spans="1:9" x14ac:dyDescent="0.35">
      <c r="A5367">
        <v>1114150</v>
      </c>
      <c r="B5367" t="s">
        <v>1711</v>
      </c>
      <c r="C5367" s="1">
        <v>45533</v>
      </c>
      <c r="D5367">
        <v>499</v>
      </c>
      <c r="E5367" t="b">
        <v>1</v>
      </c>
      <c r="F5367">
        <v>769</v>
      </c>
      <c r="G5367" t="s">
        <v>147</v>
      </c>
      <c r="H5367" t="s">
        <v>239</v>
      </c>
      <c r="I5367" t="s">
        <v>2116</v>
      </c>
    </row>
    <row r="5368" spans="1:9" x14ac:dyDescent="0.35">
      <c r="A5368">
        <v>1114150</v>
      </c>
      <c r="B5368" t="s">
        <v>1711</v>
      </c>
      <c r="C5368" s="1">
        <v>45533</v>
      </c>
      <c r="D5368">
        <v>499</v>
      </c>
      <c r="E5368" t="b">
        <v>1</v>
      </c>
      <c r="F5368">
        <v>769</v>
      </c>
      <c r="G5368" t="s">
        <v>147</v>
      </c>
      <c r="H5368" t="s">
        <v>132</v>
      </c>
      <c r="I5368" t="s">
        <v>2117</v>
      </c>
    </row>
    <row r="5369" spans="1:9" x14ac:dyDescent="0.35">
      <c r="A5369">
        <v>1114150</v>
      </c>
      <c r="B5369" t="s">
        <v>1711</v>
      </c>
      <c r="C5369" s="1">
        <v>45533</v>
      </c>
      <c r="D5369">
        <v>499</v>
      </c>
      <c r="E5369" t="b">
        <v>1</v>
      </c>
      <c r="F5369">
        <v>769</v>
      </c>
      <c r="G5369" t="s">
        <v>147</v>
      </c>
      <c r="H5369" t="s">
        <v>124</v>
      </c>
      <c r="I5369" t="s">
        <v>2117</v>
      </c>
    </row>
    <row r="5370" spans="1:9" x14ac:dyDescent="0.35">
      <c r="A5370">
        <v>1114150</v>
      </c>
      <c r="B5370" t="s">
        <v>1711</v>
      </c>
      <c r="C5370" s="1">
        <v>45533</v>
      </c>
      <c r="D5370">
        <v>499</v>
      </c>
      <c r="E5370" t="b">
        <v>1</v>
      </c>
      <c r="F5370">
        <v>769</v>
      </c>
      <c r="G5370" t="s">
        <v>147</v>
      </c>
      <c r="H5370" t="s">
        <v>1510</v>
      </c>
      <c r="I5370" t="s">
        <v>2117</v>
      </c>
    </row>
    <row r="5371" spans="1:9" x14ac:dyDescent="0.35">
      <c r="A5371">
        <v>2334730</v>
      </c>
      <c r="B5371" t="s">
        <v>1713</v>
      </c>
      <c r="C5371" s="1">
        <v>45244</v>
      </c>
      <c r="D5371">
        <v>499</v>
      </c>
      <c r="E5371" t="b">
        <v>1</v>
      </c>
      <c r="F5371">
        <v>769</v>
      </c>
      <c r="G5371" t="s">
        <v>40</v>
      </c>
      <c r="H5371" t="s">
        <v>49</v>
      </c>
      <c r="I5371" t="s">
        <v>2116</v>
      </c>
    </row>
    <row r="5372" spans="1:9" x14ac:dyDescent="0.35">
      <c r="A5372">
        <v>2334730</v>
      </c>
      <c r="B5372" t="s">
        <v>1713</v>
      </c>
      <c r="C5372" s="1">
        <v>45244</v>
      </c>
      <c r="D5372">
        <v>499</v>
      </c>
      <c r="E5372" t="b">
        <v>1</v>
      </c>
      <c r="F5372">
        <v>769</v>
      </c>
      <c r="G5372" t="s">
        <v>40</v>
      </c>
      <c r="H5372" t="s">
        <v>792</v>
      </c>
      <c r="I5372" t="s">
        <v>2116</v>
      </c>
    </row>
    <row r="5373" spans="1:9" x14ac:dyDescent="0.35">
      <c r="A5373">
        <v>2334730</v>
      </c>
      <c r="B5373" t="s">
        <v>1713</v>
      </c>
      <c r="C5373" s="1">
        <v>45244</v>
      </c>
      <c r="D5373">
        <v>499</v>
      </c>
      <c r="E5373" t="b">
        <v>1</v>
      </c>
      <c r="F5373">
        <v>769</v>
      </c>
      <c r="G5373" t="s">
        <v>40</v>
      </c>
      <c r="H5373" t="s">
        <v>346</v>
      </c>
      <c r="I5373" t="s">
        <v>2117</v>
      </c>
    </row>
    <row r="5374" spans="1:9" x14ac:dyDescent="0.35">
      <c r="A5374">
        <v>2334730</v>
      </c>
      <c r="B5374" t="s">
        <v>1713</v>
      </c>
      <c r="C5374" s="1">
        <v>45244</v>
      </c>
      <c r="D5374">
        <v>499</v>
      </c>
      <c r="E5374" t="b">
        <v>1</v>
      </c>
      <c r="F5374">
        <v>769</v>
      </c>
      <c r="G5374" t="s">
        <v>40</v>
      </c>
      <c r="H5374" t="s">
        <v>239</v>
      </c>
      <c r="I5374" t="s">
        <v>2117</v>
      </c>
    </row>
    <row r="5375" spans="1:9" x14ac:dyDescent="0.35">
      <c r="A5375">
        <v>2334730</v>
      </c>
      <c r="B5375" t="s">
        <v>1713</v>
      </c>
      <c r="C5375" s="1">
        <v>45244</v>
      </c>
      <c r="D5375">
        <v>499</v>
      </c>
      <c r="E5375" t="b">
        <v>1</v>
      </c>
      <c r="F5375">
        <v>769</v>
      </c>
      <c r="G5375" t="s">
        <v>40</v>
      </c>
      <c r="H5375" t="s">
        <v>132</v>
      </c>
      <c r="I5375" t="s">
        <v>2116</v>
      </c>
    </row>
    <row r="5376" spans="1:9" x14ac:dyDescent="0.35">
      <c r="A5376">
        <v>2334730</v>
      </c>
      <c r="B5376" t="s">
        <v>1713</v>
      </c>
      <c r="C5376" s="1">
        <v>45244</v>
      </c>
      <c r="D5376">
        <v>499</v>
      </c>
      <c r="E5376" t="b">
        <v>1</v>
      </c>
      <c r="F5376">
        <v>769</v>
      </c>
      <c r="G5376" t="s">
        <v>40</v>
      </c>
      <c r="H5376" t="s">
        <v>124</v>
      </c>
      <c r="I5376" t="s">
        <v>2117</v>
      </c>
    </row>
    <row r="5377" spans="1:9" x14ac:dyDescent="0.35">
      <c r="A5377">
        <v>2334730</v>
      </c>
      <c r="B5377" t="s">
        <v>1713</v>
      </c>
      <c r="C5377" s="1">
        <v>45244</v>
      </c>
      <c r="D5377">
        <v>499</v>
      </c>
      <c r="E5377" t="b">
        <v>1</v>
      </c>
      <c r="F5377">
        <v>769</v>
      </c>
      <c r="G5377" t="s">
        <v>40</v>
      </c>
      <c r="H5377" t="s">
        <v>1510</v>
      </c>
      <c r="I5377" t="s">
        <v>2117</v>
      </c>
    </row>
    <row r="5378" spans="1:9" x14ac:dyDescent="0.35">
      <c r="A5378">
        <v>1332010</v>
      </c>
      <c r="B5378" t="s">
        <v>1715</v>
      </c>
      <c r="C5378" s="1">
        <v>44761</v>
      </c>
      <c r="D5378">
        <v>498</v>
      </c>
      <c r="E5378" t="b">
        <v>1</v>
      </c>
      <c r="F5378">
        <v>771</v>
      </c>
      <c r="G5378" t="s">
        <v>133</v>
      </c>
      <c r="H5378" t="s">
        <v>49</v>
      </c>
      <c r="I5378" t="s">
        <v>2117</v>
      </c>
    </row>
    <row r="5379" spans="1:9" x14ac:dyDescent="0.35">
      <c r="A5379">
        <v>1332010</v>
      </c>
      <c r="B5379" t="s">
        <v>1715</v>
      </c>
      <c r="C5379" s="1">
        <v>44761</v>
      </c>
      <c r="D5379">
        <v>498</v>
      </c>
      <c r="E5379" t="b">
        <v>1</v>
      </c>
      <c r="F5379">
        <v>771</v>
      </c>
      <c r="G5379" t="s">
        <v>133</v>
      </c>
      <c r="H5379" t="s">
        <v>792</v>
      </c>
      <c r="I5379" t="s">
        <v>2116</v>
      </c>
    </row>
    <row r="5380" spans="1:9" x14ac:dyDescent="0.35">
      <c r="A5380">
        <v>1332010</v>
      </c>
      <c r="B5380" t="s">
        <v>1715</v>
      </c>
      <c r="C5380" s="1">
        <v>44761</v>
      </c>
      <c r="D5380">
        <v>498</v>
      </c>
      <c r="E5380" t="b">
        <v>1</v>
      </c>
      <c r="F5380">
        <v>771</v>
      </c>
      <c r="G5380" t="s">
        <v>133</v>
      </c>
      <c r="H5380" t="s">
        <v>346</v>
      </c>
      <c r="I5380" t="s">
        <v>2116</v>
      </c>
    </row>
    <row r="5381" spans="1:9" x14ac:dyDescent="0.35">
      <c r="A5381">
        <v>1332010</v>
      </c>
      <c r="B5381" t="s">
        <v>1715</v>
      </c>
      <c r="C5381" s="1">
        <v>44761</v>
      </c>
      <c r="D5381">
        <v>498</v>
      </c>
      <c r="E5381" t="b">
        <v>1</v>
      </c>
      <c r="F5381">
        <v>771</v>
      </c>
      <c r="G5381" t="s">
        <v>133</v>
      </c>
      <c r="H5381" t="s">
        <v>239</v>
      </c>
      <c r="I5381" t="s">
        <v>2117</v>
      </c>
    </row>
    <row r="5382" spans="1:9" x14ac:dyDescent="0.35">
      <c r="A5382">
        <v>1332010</v>
      </c>
      <c r="B5382" t="s">
        <v>1715</v>
      </c>
      <c r="C5382" s="1">
        <v>44761</v>
      </c>
      <c r="D5382">
        <v>498</v>
      </c>
      <c r="E5382" t="b">
        <v>1</v>
      </c>
      <c r="F5382">
        <v>771</v>
      </c>
      <c r="G5382" t="s">
        <v>133</v>
      </c>
      <c r="H5382" t="s">
        <v>132</v>
      </c>
      <c r="I5382" t="s">
        <v>2117</v>
      </c>
    </row>
    <row r="5383" spans="1:9" x14ac:dyDescent="0.35">
      <c r="A5383">
        <v>1332010</v>
      </c>
      <c r="B5383" t="s">
        <v>1715</v>
      </c>
      <c r="C5383" s="1">
        <v>44761</v>
      </c>
      <c r="D5383">
        <v>498</v>
      </c>
      <c r="E5383" t="b">
        <v>1</v>
      </c>
      <c r="F5383">
        <v>771</v>
      </c>
      <c r="G5383" t="s">
        <v>133</v>
      </c>
      <c r="H5383" t="s">
        <v>124</v>
      </c>
      <c r="I5383" t="s">
        <v>2117</v>
      </c>
    </row>
    <row r="5384" spans="1:9" x14ac:dyDescent="0.35">
      <c r="A5384">
        <v>1332010</v>
      </c>
      <c r="B5384" t="s">
        <v>1715</v>
      </c>
      <c r="C5384" s="1">
        <v>44761</v>
      </c>
      <c r="D5384">
        <v>498</v>
      </c>
      <c r="E5384" t="b">
        <v>1</v>
      </c>
      <c r="F5384">
        <v>771</v>
      </c>
      <c r="G5384" t="s">
        <v>133</v>
      </c>
      <c r="H5384" t="s">
        <v>1510</v>
      </c>
      <c r="I5384" t="s">
        <v>2117</v>
      </c>
    </row>
    <row r="5385" spans="1:9" x14ac:dyDescent="0.35">
      <c r="A5385">
        <v>2660460</v>
      </c>
      <c r="B5385" t="s">
        <v>1716</v>
      </c>
      <c r="C5385" s="1">
        <v>45758</v>
      </c>
      <c r="D5385">
        <v>498</v>
      </c>
      <c r="E5385" t="b">
        <v>0</v>
      </c>
      <c r="F5385">
        <v>771</v>
      </c>
      <c r="G5385" t="s">
        <v>33</v>
      </c>
      <c r="H5385" t="s">
        <v>49</v>
      </c>
      <c r="I5385" t="s">
        <v>2117</v>
      </c>
    </row>
    <row r="5386" spans="1:9" x14ac:dyDescent="0.35">
      <c r="A5386">
        <v>2660460</v>
      </c>
      <c r="B5386" t="s">
        <v>1716</v>
      </c>
      <c r="C5386" s="1">
        <v>45758</v>
      </c>
      <c r="D5386">
        <v>498</v>
      </c>
      <c r="E5386" t="b">
        <v>0</v>
      </c>
      <c r="F5386">
        <v>771</v>
      </c>
      <c r="G5386" t="s">
        <v>33</v>
      </c>
      <c r="H5386" t="s">
        <v>792</v>
      </c>
      <c r="I5386" t="s">
        <v>2117</v>
      </c>
    </row>
    <row r="5387" spans="1:9" x14ac:dyDescent="0.35">
      <c r="A5387">
        <v>2660460</v>
      </c>
      <c r="B5387" t="s">
        <v>1716</v>
      </c>
      <c r="C5387" s="1">
        <v>45758</v>
      </c>
      <c r="D5387">
        <v>498</v>
      </c>
      <c r="E5387" t="b">
        <v>0</v>
      </c>
      <c r="F5387">
        <v>771</v>
      </c>
      <c r="G5387" t="s">
        <v>33</v>
      </c>
      <c r="H5387" t="s">
        <v>346</v>
      </c>
      <c r="I5387" t="s">
        <v>2117</v>
      </c>
    </row>
    <row r="5388" spans="1:9" x14ac:dyDescent="0.35">
      <c r="A5388">
        <v>2660460</v>
      </c>
      <c r="B5388" t="s">
        <v>1716</v>
      </c>
      <c r="C5388" s="1">
        <v>45758</v>
      </c>
      <c r="D5388">
        <v>498</v>
      </c>
      <c r="E5388" t="b">
        <v>0</v>
      </c>
      <c r="F5388">
        <v>771</v>
      </c>
      <c r="G5388" t="s">
        <v>33</v>
      </c>
      <c r="H5388" t="s">
        <v>239</v>
      </c>
      <c r="I5388" t="s">
        <v>2116</v>
      </c>
    </row>
    <row r="5389" spans="1:9" x14ac:dyDescent="0.35">
      <c r="A5389">
        <v>2660460</v>
      </c>
      <c r="B5389" t="s">
        <v>1716</v>
      </c>
      <c r="C5389" s="1">
        <v>45758</v>
      </c>
      <c r="D5389">
        <v>498</v>
      </c>
      <c r="E5389" t="b">
        <v>0</v>
      </c>
      <c r="F5389">
        <v>771</v>
      </c>
      <c r="G5389" t="s">
        <v>33</v>
      </c>
      <c r="H5389" t="s">
        <v>132</v>
      </c>
      <c r="I5389" t="s">
        <v>2117</v>
      </c>
    </row>
    <row r="5390" spans="1:9" x14ac:dyDescent="0.35">
      <c r="A5390">
        <v>2660460</v>
      </c>
      <c r="B5390" t="s">
        <v>1716</v>
      </c>
      <c r="C5390" s="1">
        <v>45758</v>
      </c>
      <c r="D5390">
        <v>498</v>
      </c>
      <c r="E5390" t="b">
        <v>0</v>
      </c>
      <c r="F5390">
        <v>771</v>
      </c>
      <c r="G5390" t="s">
        <v>33</v>
      </c>
      <c r="H5390" t="s">
        <v>124</v>
      </c>
      <c r="I5390" t="s">
        <v>2117</v>
      </c>
    </row>
    <row r="5391" spans="1:9" x14ac:dyDescent="0.35">
      <c r="A5391">
        <v>2660460</v>
      </c>
      <c r="B5391" t="s">
        <v>1716</v>
      </c>
      <c r="C5391" s="1">
        <v>45758</v>
      </c>
      <c r="D5391">
        <v>498</v>
      </c>
      <c r="E5391" t="b">
        <v>0</v>
      </c>
      <c r="F5391">
        <v>771</v>
      </c>
      <c r="G5391" t="s">
        <v>33</v>
      </c>
      <c r="H5391" t="s">
        <v>1510</v>
      </c>
      <c r="I5391" t="s">
        <v>2117</v>
      </c>
    </row>
    <row r="5392" spans="1:9" x14ac:dyDescent="0.35">
      <c r="A5392">
        <v>218230</v>
      </c>
      <c r="B5392" t="s">
        <v>1717</v>
      </c>
      <c r="C5392" s="1">
        <v>41233</v>
      </c>
      <c r="D5392">
        <v>496</v>
      </c>
      <c r="E5392" t="b">
        <v>0</v>
      </c>
      <c r="F5392">
        <v>773</v>
      </c>
      <c r="G5392" t="s">
        <v>2095</v>
      </c>
      <c r="H5392" t="s">
        <v>49</v>
      </c>
      <c r="I5392" t="s">
        <v>2116</v>
      </c>
    </row>
    <row r="5393" spans="1:9" x14ac:dyDescent="0.35">
      <c r="A5393">
        <v>218230</v>
      </c>
      <c r="B5393" t="s">
        <v>1717</v>
      </c>
      <c r="C5393" s="1">
        <v>41233</v>
      </c>
      <c r="D5393">
        <v>496</v>
      </c>
      <c r="E5393" t="b">
        <v>0</v>
      </c>
      <c r="F5393">
        <v>773</v>
      </c>
      <c r="G5393" t="s">
        <v>2095</v>
      </c>
      <c r="H5393" t="s">
        <v>792</v>
      </c>
      <c r="I5393" t="s">
        <v>2117</v>
      </c>
    </row>
    <row r="5394" spans="1:9" x14ac:dyDescent="0.35">
      <c r="A5394">
        <v>218230</v>
      </c>
      <c r="B5394" t="s">
        <v>1717</v>
      </c>
      <c r="C5394" s="1">
        <v>41233</v>
      </c>
      <c r="D5394">
        <v>496</v>
      </c>
      <c r="E5394" t="b">
        <v>0</v>
      </c>
      <c r="F5394">
        <v>773</v>
      </c>
      <c r="G5394" t="s">
        <v>2095</v>
      </c>
      <c r="H5394" t="s">
        <v>346</v>
      </c>
      <c r="I5394" t="s">
        <v>2117</v>
      </c>
    </row>
    <row r="5395" spans="1:9" x14ac:dyDescent="0.35">
      <c r="A5395">
        <v>218230</v>
      </c>
      <c r="B5395" t="s">
        <v>1717</v>
      </c>
      <c r="C5395" s="1">
        <v>41233</v>
      </c>
      <c r="D5395">
        <v>496</v>
      </c>
      <c r="E5395" t="b">
        <v>0</v>
      </c>
      <c r="F5395">
        <v>773</v>
      </c>
      <c r="G5395" t="s">
        <v>2095</v>
      </c>
      <c r="H5395" t="s">
        <v>239</v>
      </c>
      <c r="I5395" t="s">
        <v>2117</v>
      </c>
    </row>
    <row r="5396" spans="1:9" x14ac:dyDescent="0.35">
      <c r="A5396">
        <v>218230</v>
      </c>
      <c r="B5396" t="s">
        <v>1717</v>
      </c>
      <c r="C5396" s="1">
        <v>41233</v>
      </c>
      <c r="D5396">
        <v>496</v>
      </c>
      <c r="E5396" t="b">
        <v>0</v>
      </c>
      <c r="F5396">
        <v>773</v>
      </c>
      <c r="G5396" t="s">
        <v>2095</v>
      </c>
      <c r="H5396" t="s">
        <v>132</v>
      </c>
      <c r="I5396" t="s">
        <v>2117</v>
      </c>
    </row>
    <row r="5397" spans="1:9" x14ac:dyDescent="0.35">
      <c r="A5397">
        <v>218230</v>
      </c>
      <c r="B5397" t="s">
        <v>1717</v>
      </c>
      <c r="C5397" s="1">
        <v>41233</v>
      </c>
      <c r="D5397">
        <v>496</v>
      </c>
      <c r="E5397" t="b">
        <v>0</v>
      </c>
      <c r="F5397">
        <v>773</v>
      </c>
      <c r="G5397" t="s">
        <v>2095</v>
      </c>
      <c r="H5397" t="s">
        <v>124</v>
      </c>
      <c r="I5397" t="s">
        <v>2117</v>
      </c>
    </row>
    <row r="5398" spans="1:9" x14ac:dyDescent="0.35">
      <c r="A5398">
        <v>218230</v>
      </c>
      <c r="B5398" t="s">
        <v>1717</v>
      </c>
      <c r="C5398" s="1">
        <v>41233</v>
      </c>
      <c r="D5398">
        <v>496</v>
      </c>
      <c r="E5398" t="b">
        <v>0</v>
      </c>
      <c r="F5398">
        <v>773</v>
      </c>
      <c r="G5398" t="s">
        <v>2095</v>
      </c>
      <c r="H5398" t="s">
        <v>1510</v>
      </c>
      <c r="I5398" t="s">
        <v>2116</v>
      </c>
    </row>
    <row r="5399" spans="1:9" x14ac:dyDescent="0.35">
      <c r="A5399">
        <v>2288150</v>
      </c>
      <c r="B5399" t="s">
        <v>1719</v>
      </c>
      <c r="C5399" s="1">
        <v>45588</v>
      </c>
      <c r="D5399">
        <v>496</v>
      </c>
      <c r="E5399" t="b">
        <v>0</v>
      </c>
      <c r="F5399">
        <v>773</v>
      </c>
      <c r="G5399" t="s">
        <v>175</v>
      </c>
      <c r="H5399" t="s">
        <v>49</v>
      </c>
      <c r="I5399" t="s">
        <v>2117</v>
      </c>
    </row>
    <row r="5400" spans="1:9" x14ac:dyDescent="0.35">
      <c r="A5400">
        <v>2288150</v>
      </c>
      <c r="B5400" t="s">
        <v>1719</v>
      </c>
      <c r="C5400" s="1">
        <v>45588</v>
      </c>
      <c r="D5400">
        <v>496</v>
      </c>
      <c r="E5400" t="b">
        <v>0</v>
      </c>
      <c r="F5400">
        <v>773</v>
      </c>
      <c r="G5400" t="s">
        <v>175</v>
      </c>
      <c r="H5400" t="s">
        <v>792</v>
      </c>
      <c r="I5400" t="s">
        <v>2117</v>
      </c>
    </row>
    <row r="5401" spans="1:9" x14ac:dyDescent="0.35">
      <c r="A5401">
        <v>2288150</v>
      </c>
      <c r="B5401" t="s">
        <v>1719</v>
      </c>
      <c r="C5401" s="1">
        <v>45588</v>
      </c>
      <c r="D5401">
        <v>496</v>
      </c>
      <c r="E5401" t="b">
        <v>0</v>
      </c>
      <c r="F5401">
        <v>773</v>
      </c>
      <c r="G5401" t="s">
        <v>175</v>
      </c>
      <c r="H5401" t="s">
        <v>346</v>
      </c>
      <c r="I5401" t="s">
        <v>2117</v>
      </c>
    </row>
    <row r="5402" spans="1:9" x14ac:dyDescent="0.35">
      <c r="A5402">
        <v>2288150</v>
      </c>
      <c r="B5402" t="s">
        <v>1719</v>
      </c>
      <c r="C5402" s="1">
        <v>45588</v>
      </c>
      <c r="D5402">
        <v>496</v>
      </c>
      <c r="E5402" t="b">
        <v>0</v>
      </c>
      <c r="F5402">
        <v>773</v>
      </c>
      <c r="G5402" t="s">
        <v>175</v>
      </c>
      <c r="H5402" t="s">
        <v>239</v>
      </c>
      <c r="I5402" t="s">
        <v>2116</v>
      </c>
    </row>
    <row r="5403" spans="1:9" x14ac:dyDescent="0.35">
      <c r="A5403">
        <v>2288150</v>
      </c>
      <c r="B5403" t="s">
        <v>1719</v>
      </c>
      <c r="C5403" s="1">
        <v>45588</v>
      </c>
      <c r="D5403">
        <v>496</v>
      </c>
      <c r="E5403" t="b">
        <v>0</v>
      </c>
      <c r="F5403">
        <v>773</v>
      </c>
      <c r="G5403" t="s">
        <v>175</v>
      </c>
      <c r="H5403" t="s">
        <v>132</v>
      </c>
      <c r="I5403" t="s">
        <v>2117</v>
      </c>
    </row>
    <row r="5404" spans="1:9" x14ac:dyDescent="0.35">
      <c r="A5404">
        <v>2288150</v>
      </c>
      <c r="B5404" t="s">
        <v>1719</v>
      </c>
      <c r="C5404" s="1">
        <v>45588</v>
      </c>
      <c r="D5404">
        <v>496</v>
      </c>
      <c r="E5404" t="b">
        <v>0</v>
      </c>
      <c r="F5404">
        <v>773</v>
      </c>
      <c r="G5404" t="s">
        <v>175</v>
      </c>
      <c r="H5404" t="s">
        <v>124</v>
      </c>
      <c r="I5404" t="s">
        <v>2116</v>
      </c>
    </row>
    <row r="5405" spans="1:9" x14ac:dyDescent="0.35">
      <c r="A5405">
        <v>2288150</v>
      </c>
      <c r="B5405" t="s">
        <v>1719</v>
      </c>
      <c r="C5405" s="1">
        <v>45588</v>
      </c>
      <c r="D5405">
        <v>496</v>
      </c>
      <c r="E5405" t="b">
        <v>0</v>
      </c>
      <c r="F5405">
        <v>773</v>
      </c>
      <c r="G5405" t="s">
        <v>175</v>
      </c>
      <c r="H5405" t="s">
        <v>1510</v>
      </c>
      <c r="I5405" t="s">
        <v>2117</v>
      </c>
    </row>
    <row r="5406" spans="1:9" x14ac:dyDescent="0.35">
      <c r="A5406">
        <v>502520</v>
      </c>
      <c r="B5406" t="s">
        <v>1721</v>
      </c>
      <c r="C5406" s="1">
        <v>42930</v>
      </c>
      <c r="D5406">
        <v>495</v>
      </c>
      <c r="E5406" t="b">
        <v>1</v>
      </c>
      <c r="F5406">
        <v>775</v>
      </c>
      <c r="G5406" t="s">
        <v>133</v>
      </c>
      <c r="H5406" t="s">
        <v>49</v>
      </c>
      <c r="I5406" t="s">
        <v>2117</v>
      </c>
    </row>
    <row r="5407" spans="1:9" x14ac:dyDescent="0.35">
      <c r="A5407">
        <v>502520</v>
      </c>
      <c r="B5407" t="s">
        <v>1721</v>
      </c>
      <c r="C5407" s="1">
        <v>42930</v>
      </c>
      <c r="D5407">
        <v>495</v>
      </c>
      <c r="E5407" t="b">
        <v>1</v>
      </c>
      <c r="F5407">
        <v>775</v>
      </c>
      <c r="G5407" t="s">
        <v>133</v>
      </c>
      <c r="H5407" t="s">
        <v>792</v>
      </c>
      <c r="I5407" t="s">
        <v>2116</v>
      </c>
    </row>
    <row r="5408" spans="1:9" x14ac:dyDescent="0.35">
      <c r="A5408">
        <v>502520</v>
      </c>
      <c r="B5408" t="s">
        <v>1721</v>
      </c>
      <c r="C5408" s="1">
        <v>42930</v>
      </c>
      <c r="D5408">
        <v>495</v>
      </c>
      <c r="E5408" t="b">
        <v>1</v>
      </c>
      <c r="F5408">
        <v>775</v>
      </c>
      <c r="G5408" t="s">
        <v>133</v>
      </c>
      <c r="H5408" t="s">
        <v>346</v>
      </c>
      <c r="I5408" t="s">
        <v>2117</v>
      </c>
    </row>
    <row r="5409" spans="1:9" x14ac:dyDescent="0.35">
      <c r="A5409">
        <v>502520</v>
      </c>
      <c r="B5409" t="s">
        <v>1721</v>
      </c>
      <c r="C5409" s="1">
        <v>42930</v>
      </c>
      <c r="D5409">
        <v>495</v>
      </c>
      <c r="E5409" t="b">
        <v>1</v>
      </c>
      <c r="F5409">
        <v>775</v>
      </c>
      <c r="G5409" t="s">
        <v>133</v>
      </c>
      <c r="H5409" t="s">
        <v>239</v>
      </c>
      <c r="I5409" t="s">
        <v>2116</v>
      </c>
    </row>
    <row r="5410" spans="1:9" x14ac:dyDescent="0.35">
      <c r="A5410">
        <v>502520</v>
      </c>
      <c r="B5410" t="s">
        <v>1721</v>
      </c>
      <c r="C5410" s="1">
        <v>42930</v>
      </c>
      <c r="D5410">
        <v>495</v>
      </c>
      <c r="E5410" t="b">
        <v>1</v>
      </c>
      <c r="F5410">
        <v>775</v>
      </c>
      <c r="G5410" t="s">
        <v>133</v>
      </c>
      <c r="H5410" t="s">
        <v>132</v>
      </c>
      <c r="I5410" t="s">
        <v>2117</v>
      </c>
    </row>
    <row r="5411" spans="1:9" x14ac:dyDescent="0.35">
      <c r="A5411">
        <v>502520</v>
      </c>
      <c r="B5411" t="s">
        <v>1721</v>
      </c>
      <c r="C5411" s="1">
        <v>42930</v>
      </c>
      <c r="D5411">
        <v>495</v>
      </c>
      <c r="E5411" t="b">
        <v>1</v>
      </c>
      <c r="F5411">
        <v>775</v>
      </c>
      <c r="G5411" t="s">
        <v>133</v>
      </c>
      <c r="H5411" t="s">
        <v>124</v>
      </c>
      <c r="I5411" t="s">
        <v>2116</v>
      </c>
    </row>
    <row r="5412" spans="1:9" x14ac:dyDescent="0.35">
      <c r="A5412">
        <v>502520</v>
      </c>
      <c r="B5412" t="s">
        <v>1721</v>
      </c>
      <c r="C5412" s="1">
        <v>42930</v>
      </c>
      <c r="D5412">
        <v>495</v>
      </c>
      <c r="E5412" t="b">
        <v>1</v>
      </c>
      <c r="F5412">
        <v>775</v>
      </c>
      <c r="G5412" t="s">
        <v>133</v>
      </c>
      <c r="H5412" t="s">
        <v>1510</v>
      </c>
      <c r="I5412" t="s">
        <v>2117</v>
      </c>
    </row>
    <row r="5413" spans="1:9" x14ac:dyDescent="0.35">
      <c r="A5413">
        <v>268850</v>
      </c>
      <c r="B5413" t="s">
        <v>1722</v>
      </c>
      <c r="C5413" s="1">
        <v>41836</v>
      </c>
      <c r="D5413">
        <v>494</v>
      </c>
      <c r="E5413" t="b">
        <v>0</v>
      </c>
      <c r="F5413">
        <v>776</v>
      </c>
      <c r="G5413" t="s">
        <v>958</v>
      </c>
      <c r="H5413" t="s">
        <v>49</v>
      </c>
      <c r="I5413" t="s">
        <v>2117</v>
      </c>
    </row>
    <row r="5414" spans="1:9" x14ac:dyDescent="0.35">
      <c r="A5414">
        <v>268850</v>
      </c>
      <c r="B5414" t="s">
        <v>1722</v>
      </c>
      <c r="C5414" s="1">
        <v>41836</v>
      </c>
      <c r="D5414">
        <v>494</v>
      </c>
      <c r="E5414" t="b">
        <v>0</v>
      </c>
      <c r="F5414">
        <v>776</v>
      </c>
      <c r="G5414" t="s">
        <v>958</v>
      </c>
      <c r="H5414" t="s">
        <v>792</v>
      </c>
      <c r="I5414" t="s">
        <v>2117</v>
      </c>
    </row>
    <row r="5415" spans="1:9" x14ac:dyDescent="0.35">
      <c r="A5415">
        <v>268850</v>
      </c>
      <c r="B5415" t="s">
        <v>1722</v>
      </c>
      <c r="C5415" s="1">
        <v>41836</v>
      </c>
      <c r="D5415">
        <v>494</v>
      </c>
      <c r="E5415" t="b">
        <v>0</v>
      </c>
      <c r="F5415">
        <v>776</v>
      </c>
      <c r="G5415" t="s">
        <v>958</v>
      </c>
      <c r="H5415" t="s">
        <v>346</v>
      </c>
      <c r="I5415" t="s">
        <v>2117</v>
      </c>
    </row>
    <row r="5416" spans="1:9" x14ac:dyDescent="0.35">
      <c r="A5416">
        <v>268850</v>
      </c>
      <c r="B5416" t="s">
        <v>1722</v>
      </c>
      <c r="C5416" s="1">
        <v>41836</v>
      </c>
      <c r="D5416">
        <v>494</v>
      </c>
      <c r="E5416" t="b">
        <v>0</v>
      </c>
      <c r="F5416">
        <v>776</v>
      </c>
      <c r="G5416" t="s">
        <v>958</v>
      </c>
      <c r="H5416" t="s">
        <v>239</v>
      </c>
      <c r="I5416" t="s">
        <v>2117</v>
      </c>
    </row>
    <row r="5417" spans="1:9" x14ac:dyDescent="0.35">
      <c r="A5417">
        <v>268850</v>
      </c>
      <c r="B5417" t="s">
        <v>1722</v>
      </c>
      <c r="C5417" s="1">
        <v>41836</v>
      </c>
      <c r="D5417">
        <v>494</v>
      </c>
      <c r="E5417" t="b">
        <v>0</v>
      </c>
      <c r="F5417">
        <v>776</v>
      </c>
      <c r="G5417" t="s">
        <v>958</v>
      </c>
      <c r="H5417" t="s">
        <v>132</v>
      </c>
      <c r="I5417" t="s">
        <v>2117</v>
      </c>
    </row>
    <row r="5418" spans="1:9" x14ac:dyDescent="0.35">
      <c r="A5418">
        <v>268850</v>
      </c>
      <c r="B5418" t="s">
        <v>1722</v>
      </c>
      <c r="C5418" s="1">
        <v>41836</v>
      </c>
      <c r="D5418">
        <v>494</v>
      </c>
      <c r="E5418" t="b">
        <v>0</v>
      </c>
      <c r="F5418">
        <v>776</v>
      </c>
      <c r="G5418" t="s">
        <v>958</v>
      </c>
      <c r="H5418" t="s">
        <v>124</v>
      </c>
      <c r="I5418" t="s">
        <v>2117</v>
      </c>
    </row>
    <row r="5419" spans="1:9" x14ac:dyDescent="0.35">
      <c r="A5419">
        <v>268850</v>
      </c>
      <c r="B5419" t="s">
        <v>1722</v>
      </c>
      <c r="C5419" s="1">
        <v>41836</v>
      </c>
      <c r="D5419">
        <v>494</v>
      </c>
      <c r="E5419" t="b">
        <v>0</v>
      </c>
      <c r="F5419">
        <v>776</v>
      </c>
      <c r="G5419" t="s">
        <v>958</v>
      </c>
      <c r="H5419" t="s">
        <v>1510</v>
      </c>
      <c r="I5419" t="s">
        <v>2117</v>
      </c>
    </row>
    <row r="5420" spans="1:9" x14ac:dyDescent="0.35">
      <c r="A5420">
        <v>1593350</v>
      </c>
      <c r="B5420" t="s">
        <v>1723</v>
      </c>
      <c r="C5420" s="1">
        <v>44482</v>
      </c>
      <c r="D5420">
        <v>494</v>
      </c>
      <c r="E5420" t="b">
        <v>1</v>
      </c>
      <c r="F5420">
        <v>776</v>
      </c>
      <c r="G5420" t="s">
        <v>53</v>
      </c>
      <c r="H5420" t="s">
        <v>49</v>
      </c>
      <c r="I5420" t="s">
        <v>2117</v>
      </c>
    </row>
    <row r="5421" spans="1:9" x14ac:dyDescent="0.35">
      <c r="A5421">
        <v>1593350</v>
      </c>
      <c r="B5421" t="s">
        <v>1723</v>
      </c>
      <c r="C5421" s="1">
        <v>44482</v>
      </c>
      <c r="D5421">
        <v>494</v>
      </c>
      <c r="E5421" t="b">
        <v>1</v>
      </c>
      <c r="F5421">
        <v>776</v>
      </c>
      <c r="G5421" t="s">
        <v>53</v>
      </c>
      <c r="H5421" t="s">
        <v>792</v>
      </c>
      <c r="I5421" t="s">
        <v>2116</v>
      </c>
    </row>
    <row r="5422" spans="1:9" x14ac:dyDescent="0.35">
      <c r="A5422">
        <v>1593350</v>
      </c>
      <c r="B5422" t="s">
        <v>1723</v>
      </c>
      <c r="C5422" s="1">
        <v>44482</v>
      </c>
      <c r="D5422">
        <v>494</v>
      </c>
      <c r="E5422" t="b">
        <v>1</v>
      </c>
      <c r="F5422">
        <v>776</v>
      </c>
      <c r="G5422" t="s">
        <v>53</v>
      </c>
      <c r="H5422" t="s">
        <v>346</v>
      </c>
      <c r="I5422" t="s">
        <v>2117</v>
      </c>
    </row>
    <row r="5423" spans="1:9" x14ac:dyDescent="0.35">
      <c r="A5423">
        <v>1593350</v>
      </c>
      <c r="B5423" t="s">
        <v>1723</v>
      </c>
      <c r="C5423" s="1">
        <v>44482</v>
      </c>
      <c r="D5423">
        <v>494</v>
      </c>
      <c r="E5423" t="b">
        <v>1</v>
      </c>
      <c r="F5423">
        <v>776</v>
      </c>
      <c r="G5423" t="s">
        <v>53</v>
      </c>
      <c r="H5423" t="s">
        <v>239</v>
      </c>
      <c r="I5423" t="s">
        <v>2117</v>
      </c>
    </row>
    <row r="5424" spans="1:9" x14ac:dyDescent="0.35">
      <c r="A5424">
        <v>1593350</v>
      </c>
      <c r="B5424" t="s">
        <v>1723</v>
      </c>
      <c r="C5424" s="1">
        <v>44482</v>
      </c>
      <c r="D5424">
        <v>494</v>
      </c>
      <c r="E5424" t="b">
        <v>1</v>
      </c>
      <c r="F5424">
        <v>776</v>
      </c>
      <c r="G5424" t="s">
        <v>53</v>
      </c>
      <c r="H5424" t="s">
        <v>132</v>
      </c>
      <c r="I5424" t="s">
        <v>2117</v>
      </c>
    </row>
    <row r="5425" spans="1:9" x14ac:dyDescent="0.35">
      <c r="A5425">
        <v>1593350</v>
      </c>
      <c r="B5425" t="s">
        <v>1723</v>
      </c>
      <c r="C5425" s="1">
        <v>44482</v>
      </c>
      <c r="D5425">
        <v>494</v>
      </c>
      <c r="E5425" t="b">
        <v>1</v>
      </c>
      <c r="F5425">
        <v>776</v>
      </c>
      <c r="G5425" t="s">
        <v>53</v>
      </c>
      <c r="H5425" t="s">
        <v>124</v>
      </c>
      <c r="I5425" t="s">
        <v>2117</v>
      </c>
    </row>
    <row r="5426" spans="1:9" x14ac:dyDescent="0.35">
      <c r="A5426">
        <v>1593350</v>
      </c>
      <c r="B5426" t="s">
        <v>1723</v>
      </c>
      <c r="C5426" s="1">
        <v>44482</v>
      </c>
      <c r="D5426">
        <v>494</v>
      </c>
      <c r="E5426" t="b">
        <v>1</v>
      </c>
      <c r="F5426">
        <v>776</v>
      </c>
      <c r="G5426" t="s">
        <v>53</v>
      </c>
      <c r="H5426" t="s">
        <v>1510</v>
      </c>
      <c r="I5426" t="s">
        <v>2117</v>
      </c>
    </row>
    <row r="5427" spans="1:9" x14ac:dyDescent="0.35">
      <c r="A5427">
        <v>2009350</v>
      </c>
      <c r="B5427" t="s">
        <v>1725</v>
      </c>
      <c r="C5427" s="1">
        <v>44865</v>
      </c>
      <c r="D5427">
        <v>493</v>
      </c>
      <c r="E5427" t="b">
        <v>0</v>
      </c>
      <c r="F5427">
        <v>778</v>
      </c>
      <c r="G5427" t="s">
        <v>29</v>
      </c>
      <c r="H5427" t="s">
        <v>49</v>
      </c>
      <c r="I5427" t="s">
        <v>2117</v>
      </c>
    </row>
    <row r="5428" spans="1:9" x14ac:dyDescent="0.35">
      <c r="A5428">
        <v>2009350</v>
      </c>
      <c r="B5428" t="s">
        <v>1725</v>
      </c>
      <c r="C5428" s="1">
        <v>44865</v>
      </c>
      <c r="D5428">
        <v>493</v>
      </c>
      <c r="E5428" t="b">
        <v>0</v>
      </c>
      <c r="F5428">
        <v>778</v>
      </c>
      <c r="G5428" t="s">
        <v>29</v>
      </c>
      <c r="H5428" t="s">
        <v>792</v>
      </c>
      <c r="I5428" t="s">
        <v>2117</v>
      </c>
    </row>
    <row r="5429" spans="1:9" x14ac:dyDescent="0.35">
      <c r="A5429">
        <v>2009350</v>
      </c>
      <c r="B5429" t="s">
        <v>1725</v>
      </c>
      <c r="C5429" s="1">
        <v>44865</v>
      </c>
      <c r="D5429">
        <v>493</v>
      </c>
      <c r="E5429" t="b">
        <v>0</v>
      </c>
      <c r="F5429">
        <v>778</v>
      </c>
      <c r="G5429" t="s">
        <v>29</v>
      </c>
      <c r="H5429" t="s">
        <v>346</v>
      </c>
      <c r="I5429" t="s">
        <v>2116</v>
      </c>
    </row>
    <row r="5430" spans="1:9" x14ac:dyDescent="0.35">
      <c r="A5430">
        <v>2009350</v>
      </c>
      <c r="B5430" t="s">
        <v>1725</v>
      </c>
      <c r="C5430" s="1">
        <v>44865</v>
      </c>
      <c r="D5430">
        <v>493</v>
      </c>
      <c r="E5430" t="b">
        <v>0</v>
      </c>
      <c r="F5430">
        <v>778</v>
      </c>
      <c r="G5430" t="s">
        <v>29</v>
      </c>
      <c r="H5430" t="s">
        <v>239</v>
      </c>
      <c r="I5430" t="s">
        <v>2116</v>
      </c>
    </row>
    <row r="5431" spans="1:9" x14ac:dyDescent="0.35">
      <c r="A5431">
        <v>2009350</v>
      </c>
      <c r="B5431" t="s">
        <v>1725</v>
      </c>
      <c r="C5431" s="1">
        <v>44865</v>
      </c>
      <c r="D5431">
        <v>493</v>
      </c>
      <c r="E5431" t="b">
        <v>0</v>
      </c>
      <c r="F5431">
        <v>778</v>
      </c>
      <c r="G5431" t="s">
        <v>29</v>
      </c>
      <c r="H5431" t="s">
        <v>132</v>
      </c>
      <c r="I5431" t="s">
        <v>2117</v>
      </c>
    </row>
    <row r="5432" spans="1:9" x14ac:dyDescent="0.35">
      <c r="A5432">
        <v>2009350</v>
      </c>
      <c r="B5432" t="s">
        <v>1725</v>
      </c>
      <c r="C5432" s="1">
        <v>44865</v>
      </c>
      <c r="D5432">
        <v>493</v>
      </c>
      <c r="E5432" t="b">
        <v>0</v>
      </c>
      <c r="F5432">
        <v>778</v>
      </c>
      <c r="G5432" t="s">
        <v>29</v>
      </c>
      <c r="H5432" t="s">
        <v>124</v>
      </c>
      <c r="I5432" t="s">
        <v>2116</v>
      </c>
    </row>
    <row r="5433" spans="1:9" x14ac:dyDescent="0.35">
      <c r="A5433">
        <v>2009350</v>
      </c>
      <c r="B5433" t="s">
        <v>1725</v>
      </c>
      <c r="C5433" s="1">
        <v>44865</v>
      </c>
      <c r="D5433">
        <v>493</v>
      </c>
      <c r="E5433" t="b">
        <v>0</v>
      </c>
      <c r="F5433">
        <v>778</v>
      </c>
      <c r="G5433" t="s">
        <v>29</v>
      </c>
      <c r="H5433" t="s">
        <v>1510</v>
      </c>
      <c r="I5433" t="s">
        <v>2117</v>
      </c>
    </row>
    <row r="5434" spans="1:9" x14ac:dyDescent="0.35">
      <c r="A5434">
        <v>1197260</v>
      </c>
      <c r="B5434" t="s">
        <v>1728</v>
      </c>
      <c r="C5434" s="1">
        <v>45991</v>
      </c>
      <c r="D5434">
        <v>491</v>
      </c>
      <c r="E5434" t="b">
        <v>0</v>
      </c>
      <c r="F5434">
        <v>779</v>
      </c>
      <c r="G5434" t="s">
        <v>53</v>
      </c>
      <c r="H5434" t="s">
        <v>49</v>
      </c>
      <c r="I5434" t="s">
        <v>2116</v>
      </c>
    </row>
    <row r="5435" spans="1:9" x14ac:dyDescent="0.35">
      <c r="A5435">
        <v>1197260</v>
      </c>
      <c r="B5435" t="s">
        <v>1728</v>
      </c>
      <c r="C5435" s="1">
        <v>45991</v>
      </c>
      <c r="D5435">
        <v>491</v>
      </c>
      <c r="E5435" t="b">
        <v>0</v>
      </c>
      <c r="F5435">
        <v>779</v>
      </c>
      <c r="G5435" t="s">
        <v>53</v>
      </c>
      <c r="H5435" t="s">
        <v>792</v>
      </c>
      <c r="I5435" t="s">
        <v>2116</v>
      </c>
    </row>
    <row r="5436" spans="1:9" x14ac:dyDescent="0.35">
      <c r="A5436">
        <v>1197260</v>
      </c>
      <c r="B5436" t="s">
        <v>1728</v>
      </c>
      <c r="C5436" s="1">
        <v>45991</v>
      </c>
      <c r="D5436">
        <v>491</v>
      </c>
      <c r="E5436" t="b">
        <v>0</v>
      </c>
      <c r="F5436">
        <v>779</v>
      </c>
      <c r="G5436" t="s">
        <v>53</v>
      </c>
      <c r="H5436" t="s">
        <v>346</v>
      </c>
      <c r="I5436" t="s">
        <v>2117</v>
      </c>
    </row>
    <row r="5437" spans="1:9" x14ac:dyDescent="0.35">
      <c r="A5437">
        <v>1197260</v>
      </c>
      <c r="B5437" t="s">
        <v>1728</v>
      </c>
      <c r="C5437" s="1">
        <v>45991</v>
      </c>
      <c r="D5437">
        <v>491</v>
      </c>
      <c r="E5437" t="b">
        <v>0</v>
      </c>
      <c r="F5437">
        <v>779</v>
      </c>
      <c r="G5437" t="s">
        <v>53</v>
      </c>
      <c r="H5437" t="s">
        <v>239</v>
      </c>
      <c r="I5437" t="s">
        <v>2117</v>
      </c>
    </row>
    <row r="5438" spans="1:9" x14ac:dyDescent="0.35">
      <c r="A5438">
        <v>1197260</v>
      </c>
      <c r="B5438" t="s">
        <v>1728</v>
      </c>
      <c r="C5438" s="1">
        <v>45991</v>
      </c>
      <c r="D5438">
        <v>491</v>
      </c>
      <c r="E5438" t="b">
        <v>0</v>
      </c>
      <c r="F5438">
        <v>779</v>
      </c>
      <c r="G5438" t="s">
        <v>53</v>
      </c>
      <c r="H5438" t="s">
        <v>132</v>
      </c>
      <c r="I5438" t="s">
        <v>2117</v>
      </c>
    </row>
    <row r="5439" spans="1:9" x14ac:dyDescent="0.35">
      <c r="A5439">
        <v>1197260</v>
      </c>
      <c r="B5439" t="s">
        <v>1728</v>
      </c>
      <c r="C5439" s="1">
        <v>45991</v>
      </c>
      <c r="D5439">
        <v>491</v>
      </c>
      <c r="E5439" t="b">
        <v>0</v>
      </c>
      <c r="F5439">
        <v>779</v>
      </c>
      <c r="G5439" t="s">
        <v>53</v>
      </c>
      <c r="H5439" t="s">
        <v>124</v>
      </c>
      <c r="I5439" t="s">
        <v>2116</v>
      </c>
    </row>
    <row r="5440" spans="1:9" x14ac:dyDescent="0.35">
      <c r="A5440">
        <v>1197260</v>
      </c>
      <c r="B5440" t="s">
        <v>1728</v>
      </c>
      <c r="C5440" s="1">
        <v>45991</v>
      </c>
      <c r="D5440">
        <v>491</v>
      </c>
      <c r="E5440" t="b">
        <v>0</v>
      </c>
      <c r="F5440">
        <v>779</v>
      </c>
      <c r="G5440" t="s">
        <v>53</v>
      </c>
      <c r="H5440" t="s">
        <v>1510</v>
      </c>
      <c r="I5440" t="s">
        <v>2116</v>
      </c>
    </row>
    <row r="5441" spans="1:9" x14ac:dyDescent="0.35">
      <c r="A5441">
        <v>2292800</v>
      </c>
      <c r="B5441" t="s">
        <v>1731</v>
      </c>
      <c r="C5441" s="1">
        <v>45792</v>
      </c>
      <c r="D5441">
        <v>490</v>
      </c>
      <c r="E5441" t="b">
        <v>1</v>
      </c>
      <c r="F5441">
        <v>780</v>
      </c>
      <c r="G5441" t="s">
        <v>304</v>
      </c>
      <c r="H5441" t="s">
        <v>49</v>
      </c>
      <c r="I5441" t="s">
        <v>2117</v>
      </c>
    </row>
    <row r="5442" spans="1:9" x14ac:dyDescent="0.35">
      <c r="A5442">
        <v>2292800</v>
      </c>
      <c r="B5442" t="s">
        <v>1731</v>
      </c>
      <c r="C5442" s="1">
        <v>45792</v>
      </c>
      <c r="D5442">
        <v>490</v>
      </c>
      <c r="E5442" t="b">
        <v>1</v>
      </c>
      <c r="F5442">
        <v>780</v>
      </c>
      <c r="G5442" t="s">
        <v>304</v>
      </c>
      <c r="H5442" t="s">
        <v>792</v>
      </c>
      <c r="I5442" t="s">
        <v>2117</v>
      </c>
    </row>
    <row r="5443" spans="1:9" x14ac:dyDescent="0.35">
      <c r="A5443">
        <v>2292800</v>
      </c>
      <c r="B5443" t="s">
        <v>1731</v>
      </c>
      <c r="C5443" s="1">
        <v>45792</v>
      </c>
      <c r="D5443">
        <v>490</v>
      </c>
      <c r="E5443" t="b">
        <v>1</v>
      </c>
      <c r="F5443">
        <v>780</v>
      </c>
      <c r="G5443" t="s">
        <v>304</v>
      </c>
      <c r="H5443" t="s">
        <v>346</v>
      </c>
      <c r="I5443" t="s">
        <v>2117</v>
      </c>
    </row>
    <row r="5444" spans="1:9" x14ac:dyDescent="0.35">
      <c r="A5444">
        <v>2292800</v>
      </c>
      <c r="B5444" t="s">
        <v>1731</v>
      </c>
      <c r="C5444" s="1">
        <v>45792</v>
      </c>
      <c r="D5444">
        <v>490</v>
      </c>
      <c r="E5444" t="b">
        <v>1</v>
      </c>
      <c r="F5444">
        <v>780</v>
      </c>
      <c r="G5444" t="s">
        <v>304</v>
      </c>
      <c r="H5444" t="s">
        <v>239</v>
      </c>
      <c r="I5444" t="s">
        <v>2116</v>
      </c>
    </row>
    <row r="5445" spans="1:9" x14ac:dyDescent="0.35">
      <c r="A5445">
        <v>2292800</v>
      </c>
      <c r="B5445" t="s">
        <v>1731</v>
      </c>
      <c r="C5445" s="1">
        <v>45792</v>
      </c>
      <c r="D5445">
        <v>490</v>
      </c>
      <c r="E5445" t="b">
        <v>1</v>
      </c>
      <c r="F5445">
        <v>780</v>
      </c>
      <c r="G5445" t="s">
        <v>304</v>
      </c>
      <c r="H5445" t="s">
        <v>132</v>
      </c>
      <c r="I5445" t="s">
        <v>2117</v>
      </c>
    </row>
    <row r="5446" spans="1:9" x14ac:dyDescent="0.35">
      <c r="A5446">
        <v>2292800</v>
      </c>
      <c r="B5446" t="s">
        <v>1731</v>
      </c>
      <c r="C5446" s="1">
        <v>45792</v>
      </c>
      <c r="D5446">
        <v>490</v>
      </c>
      <c r="E5446" t="b">
        <v>1</v>
      </c>
      <c r="F5446">
        <v>780</v>
      </c>
      <c r="G5446" t="s">
        <v>304</v>
      </c>
      <c r="H5446" t="s">
        <v>124</v>
      </c>
      <c r="I5446" t="s">
        <v>2116</v>
      </c>
    </row>
    <row r="5447" spans="1:9" x14ac:dyDescent="0.35">
      <c r="A5447">
        <v>2292800</v>
      </c>
      <c r="B5447" t="s">
        <v>1731</v>
      </c>
      <c r="C5447" s="1">
        <v>45792</v>
      </c>
      <c r="D5447">
        <v>490</v>
      </c>
      <c r="E5447" t="b">
        <v>1</v>
      </c>
      <c r="F5447">
        <v>780</v>
      </c>
      <c r="G5447" t="s">
        <v>304</v>
      </c>
      <c r="H5447" t="s">
        <v>1510</v>
      </c>
      <c r="I5447" t="s">
        <v>2117</v>
      </c>
    </row>
    <row r="5448" spans="1:9" x14ac:dyDescent="0.35">
      <c r="A5448">
        <v>42960</v>
      </c>
      <c r="B5448" t="s">
        <v>1733</v>
      </c>
      <c r="C5448" s="1">
        <v>40420</v>
      </c>
      <c r="D5448">
        <v>490</v>
      </c>
      <c r="E5448" t="b">
        <v>0</v>
      </c>
      <c r="F5448">
        <v>780</v>
      </c>
      <c r="G5448" t="s">
        <v>57</v>
      </c>
      <c r="H5448" t="s">
        <v>49</v>
      </c>
      <c r="I5448" t="s">
        <v>2117</v>
      </c>
    </row>
    <row r="5449" spans="1:9" x14ac:dyDescent="0.35">
      <c r="A5449">
        <v>42960</v>
      </c>
      <c r="B5449" t="s">
        <v>1733</v>
      </c>
      <c r="C5449" s="1">
        <v>40420</v>
      </c>
      <c r="D5449">
        <v>490</v>
      </c>
      <c r="E5449" t="b">
        <v>0</v>
      </c>
      <c r="F5449">
        <v>780</v>
      </c>
      <c r="G5449" t="s">
        <v>57</v>
      </c>
      <c r="H5449" t="s">
        <v>792</v>
      </c>
      <c r="I5449" t="s">
        <v>2117</v>
      </c>
    </row>
    <row r="5450" spans="1:9" x14ac:dyDescent="0.35">
      <c r="A5450">
        <v>42960</v>
      </c>
      <c r="B5450" t="s">
        <v>1733</v>
      </c>
      <c r="C5450" s="1">
        <v>40420</v>
      </c>
      <c r="D5450">
        <v>490</v>
      </c>
      <c r="E5450" t="b">
        <v>0</v>
      </c>
      <c r="F5450">
        <v>780</v>
      </c>
      <c r="G5450" t="s">
        <v>57</v>
      </c>
      <c r="H5450" t="s">
        <v>346</v>
      </c>
      <c r="I5450" t="s">
        <v>2117</v>
      </c>
    </row>
    <row r="5451" spans="1:9" x14ac:dyDescent="0.35">
      <c r="A5451">
        <v>42960</v>
      </c>
      <c r="B5451" t="s">
        <v>1733</v>
      </c>
      <c r="C5451" s="1">
        <v>40420</v>
      </c>
      <c r="D5451">
        <v>490</v>
      </c>
      <c r="E5451" t="b">
        <v>0</v>
      </c>
      <c r="F5451">
        <v>780</v>
      </c>
      <c r="G5451" t="s">
        <v>57</v>
      </c>
      <c r="H5451" t="s">
        <v>239</v>
      </c>
      <c r="I5451" t="s">
        <v>2117</v>
      </c>
    </row>
    <row r="5452" spans="1:9" x14ac:dyDescent="0.35">
      <c r="A5452">
        <v>42960</v>
      </c>
      <c r="B5452" t="s">
        <v>1733</v>
      </c>
      <c r="C5452" s="1">
        <v>40420</v>
      </c>
      <c r="D5452">
        <v>490</v>
      </c>
      <c r="E5452" t="b">
        <v>0</v>
      </c>
      <c r="F5452">
        <v>780</v>
      </c>
      <c r="G5452" t="s">
        <v>57</v>
      </c>
      <c r="H5452" t="s">
        <v>132</v>
      </c>
      <c r="I5452" t="s">
        <v>2117</v>
      </c>
    </row>
    <row r="5453" spans="1:9" x14ac:dyDescent="0.35">
      <c r="A5453">
        <v>42960</v>
      </c>
      <c r="B5453" t="s">
        <v>1733</v>
      </c>
      <c r="C5453" s="1">
        <v>40420</v>
      </c>
      <c r="D5453">
        <v>490</v>
      </c>
      <c r="E5453" t="b">
        <v>0</v>
      </c>
      <c r="F5453">
        <v>780</v>
      </c>
      <c r="G5453" t="s">
        <v>57</v>
      </c>
      <c r="H5453" t="s">
        <v>124</v>
      </c>
      <c r="I5453" t="s">
        <v>2116</v>
      </c>
    </row>
    <row r="5454" spans="1:9" x14ac:dyDescent="0.35">
      <c r="A5454">
        <v>42960</v>
      </c>
      <c r="B5454" t="s">
        <v>1733</v>
      </c>
      <c r="C5454" s="1">
        <v>40420</v>
      </c>
      <c r="D5454">
        <v>490</v>
      </c>
      <c r="E5454" t="b">
        <v>0</v>
      </c>
      <c r="F5454">
        <v>780</v>
      </c>
      <c r="G5454" t="s">
        <v>57</v>
      </c>
      <c r="H5454" t="s">
        <v>1510</v>
      </c>
      <c r="I5454" t="s">
        <v>2117</v>
      </c>
    </row>
    <row r="5455" spans="1:9" x14ac:dyDescent="0.35">
      <c r="A5455">
        <v>2014780</v>
      </c>
      <c r="B5455" t="s">
        <v>1734</v>
      </c>
      <c r="C5455" s="1">
        <v>44912</v>
      </c>
      <c r="D5455">
        <v>489</v>
      </c>
      <c r="E5455" t="b">
        <v>1</v>
      </c>
      <c r="F5455">
        <v>782</v>
      </c>
      <c r="G5455" t="s">
        <v>2082</v>
      </c>
      <c r="H5455" t="s">
        <v>49</v>
      </c>
      <c r="I5455" t="s">
        <v>2117</v>
      </c>
    </row>
    <row r="5456" spans="1:9" x14ac:dyDescent="0.35">
      <c r="A5456">
        <v>2014780</v>
      </c>
      <c r="B5456" t="s">
        <v>1734</v>
      </c>
      <c r="C5456" s="1">
        <v>44912</v>
      </c>
      <c r="D5456">
        <v>489</v>
      </c>
      <c r="E5456" t="b">
        <v>1</v>
      </c>
      <c r="F5456">
        <v>782</v>
      </c>
      <c r="G5456" t="s">
        <v>2082</v>
      </c>
      <c r="H5456" t="s">
        <v>792</v>
      </c>
      <c r="I5456" t="s">
        <v>2117</v>
      </c>
    </row>
    <row r="5457" spans="1:9" x14ac:dyDescent="0.35">
      <c r="A5457">
        <v>2014780</v>
      </c>
      <c r="B5457" t="s">
        <v>1734</v>
      </c>
      <c r="C5457" s="1">
        <v>44912</v>
      </c>
      <c r="D5457">
        <v>489</v>
      </c>
      <c r="E5457" t="b">
        <v>1</v>
      </c>
      <c r="F5457">
        <v>782</v>
      </c>
      <c r="G5457" t="s">
        <v>2082</v>
      </c>
      <c r="H5457" t="s">
        <v>346</v>
      </c>
      <c r="I5457" t="s">
        <v>2117</v>
      </c>
    </row>
    <row r="5458" spans="1:9" x14ac:dyDescent="0.35">
      <c r="A5458">
        <v>2014780</v>
      </c>
      <c r="B5458" t="s">
        <v>1734</v>
      </c>
      <c r="C5458" s="1">
        <v>44912</v>
      </c>
      <c r="D5458">
        <v>489</v>
      </c>
      <c r="E5458" t="b">
        <v>1</v>
      </c>
      <c r="F5458">
        <v>782</v>
      </c>
      <c r="G5458" t="s">
        <v>2082</v>
      </c>
      <c r="H5458" t="s">
        <v>239</v>
      </c>
      <c r="I5458" t="s">
        <v>2116</v>
      </c>
    </row>
    <row r="5459" spans="1:9" x14ac:dyDescent="0.35">
      <c r="A5459">
        <v>2014780</v>
      </c>
      <c r="B5459" t="s">
        <v>1734</v>
      </c>
      <c r="C5459" s="1">
        <v>44912</v>
      </c>
      <c r="D5459">
        <v>489</v>
      </c>
      <c r="E5459" t="b">
        <v>1</v>
      </c>
      <c r="F5459">
        <v>782</v>
      </c>
      <c r="G5459" t="s">
        <v>2082</v>
      </c>
      <c r="H5459" t="s">
        <v>132</v>
      </c>
      <c r="I5459" t="s">
        <v>2117</v>
      </c>
    </row>
    <row r="5460" spans="1:9" x14ac:dyDescent="0.35">
      <c r="A5460">
        <v>2014780</v>
      </c>
      <c r="B5460" t="s">
        <v>1734</v>
      </c>
      <c r="C5460" s="1">
        <v>44912</v>
      </c>
      <c r="D5460">
        <v>489</v>
      </c>
      <c r="E5460" t="b">
        <v>1</v>
      </c>
      <c r="F5460">
        <v>782</v>
      </c>
      <c r="G5460" t="s">
        <v>2082</v>
      </c>
      <c r="H5460" t="s">
        <v>124</v>
      </c>
      <c r="I5460" t="s">
        <v>2117</v>
      </c>
    </row>
    <row r="5461" spans="1:9" x14ac:dyDescent="0.35">
      <c r="A5461">
        <v>2014780</v>
      </c>
      <c r="B5461" t="s">
        <v>1734</v>
      </c>
      <c r="C5461" s="1">
        <v>44912</v>
      </c>
      <c r="D5461">
        <v>489</v>
      </c>
      <c r="E5461" t="b">
        <v>1</v>
      </c>
      <c r="F5461">
        <v>782</v>
      </c>
      <c r="G5461" t="s">
        <v>2082</v>
      </c>
      <c r="H5461" t="s">
        <v>1510</v>
      </c>
      <c r="I5461" t="s">
        <v>2117</v>
      </c>
    </row>
    <row r="5462" spans="1:9" x14ac:dyDescent="0.35">
      <c r="A5462">
        <v>220240</v>
      </c>
      <c r="B5462" t="s">
        <v>1736</v>
      </c>
      <c r="C5462" s="1">
        <v>41247</v>
      </c>
      <c r="D5462">
        <v>488</v>
      </c>
      <c r="E5462" t="b">
        <v>0</v>
      </c>
      <c r="F5462">
        <v>783</v>
      </c>
      <c r="G5462" t="s">
        <v>2095</v>
      </c>
      <c r="H5462" t="s">
        <v>49</v>
      </c>
      <c r="I5462" t="s">
        <v>2116</v>
      </c>
    </row>
    <row r="5463" spans="1:9" x14ac:dyDescent="0.35">
      <c r="A5463">
        <v>220240</v>
      </c>
      <c r="B5463" t="s">
        <v>1736</v>
      </c>
      <c r="C5463" s="1">
        <v>41247</v>
      </c>
      <c r="D5463">
        <v>488</v>
      </c>
      <c r="E5463" t="b">
        <v>0</v>
      </c>
      <c r="F5463">
        <v>783</v>
      </c>
      <c r="G5463" t="s">
        <v>2095</v>
      </c>
      <c r="H5463" t="s">
        <v>792</v>
      </c>
      <c r="I5463" t="s">
        <v>2117</v>
      </c>
    </row>
    <row r="5464" spans="1:9" x14ac:dyDescent="0.35">
      <c r="A5464">
        <v>220240</v>
      </c>
      <c r="B5464" t="s">
        <v>1736</v>
      </c>
      <c r="C5464" s="1">
        <v>41247</v>
      </c>
      <c r="D5464">
        <v>488</v>
      </c>
      <c r="E5464" t="b">
        <v>0</v>
      </c>
      <c r="F5464">
        <v>783</v>
      </c>
      <c r="G5464" t="s">
        <v>2095</v>
      </c>
      <c r="H5464" t="s">
        <v>346</v>
      </c>
      <c r="I5464" t="s">
        <v>2116</v>
      </c>
    </row>
    <row r="5465" spans="1:9" x14ac:dyDescent="0.35">
      <c r="A5465">
        <v>220240</v>
      </c>
      <c r="B5465" t="s">
        <v>1736</v>
      </c>
      <c r="C5465" s="1">
        <v>41247</v>
      </c>
      <c r="D5465">
        <v>488</v>
      </c>
      <c r="E5465" t="b">
        <v>0</v>
      </c>
      <c r="F5465">
        <v>783</v>
      </c>
      <c r="G5465" t="s">
        <v>2095</v>
      </c>
      <c r="H5465" t="s">
        <v>239</v>
      </c>
      <c r="I5465" t="s">
        <v>2117</v>
      </c>
    </row>
    <row r="5466" spans="1:9" x14ac:dyDescent="0.35">
      <c r="A5466">
        <v>220240</v>
      </c>
      <c r="B5466" t="s">
        <v>1736</v>
      </c>
      <c r="C5466" s="1">
        <v>41247</v>
      </c>
      <c r="D5466">
        <v>488</v>
      </c>
      <c r="E5466" t="b">
        <v>0</v>
      </c>
      <c r="F5466">
        <v>783</v>
      </c>
      <c r="G5466" t="s">
        <v>2095</v>
      </c>
      <c r="H5466" t="s">
        <v>132</v>
      </c>
      <c r="I5466" t="s">
        <v>2117</v>
      </c>
    </row>
    <row r="5467" spans="1:9" x14ac:dyDescent="0.35">
      <c r="A5467">
        <v>220240</v>
      </c>
      <c r="B5467" t="s">
        <v>1736</v>
      </c>
      <c r="C5467" s="1">
        <v>41247</v>
      </c>
      <c r="D5467">
        <v>488</v>
      </c>
      <c r="E5467" t="b">
        <v>0</v>
      </c>
      <c r="F5467">
        <v>783</v>
      </c>
      <c r="G5467" t="s">
        <v>2095</v>
      </c>
      <c r="H5467" t="s">
        <v>124</v>
      </c>
      <c r="I5467" t="s">
        <v>2117</v>
      </c>
    </row>
    <row r="5468" spans="1:9" x14ac:dyDescent="0.35">
      <c r="A5468">
        <v>220240</v>
      </c>
      <c r="B5468" t="s">
        <v>1736</v>
      </c>
      <c r="C5468" s="1">
        <v>41247</v>
      </c>
      <c r="D5468">
        <v>488</v>
      </c>
      <c r="E5468" t="b">
        <v>0</v>
      </c>
      <c r="F5468">
        <v>783</v>
      </c>
      <c r="G5468" t="s">
        <v>2095</v>
      </c>
      <c r="H5468" t="s">
        <v>1510</v>
      </c>
      <c r="I5468" t="s">
        <v>2117</v>
      </c>
    </row>
    <row r="5469" spans="1:9" x14ac:dyDescent="0.35">
      <c r="A5469">
        <v>2408820</v>
      </c>
      <c r="B5469" t="s">
        <v>1737</v>
      </c>
      <c r="C5469" s="1">
        <v>45616</v>
      </c>
      <c r="D5469">
        <v>487</v>
      </c>
      <c r="E5469" t="b">
        <v>0</v>
      </c>
      <c r="F5469">
        <v>784</v>
      </c>
      <c r="G5469" t="s">
        <v>184</v>
      </c>
      <c r="H5469" t="s">
        <v>49</v>
      </c>
      <c r="I5469" t="s">
        <v>2117</v>
      </c>
    </row>
    <row r="5470" spans="1:9" x14ac:dyDescent="0.35">
      <c r="A5470">
        <v>2408820</v>
      </c>
      <c r="B5470" t="s">
        <v>1737</v>
      </c>
      <c r="C5470" s="1">
        <v>45616</v>
      </c>
      <c r="D5470">
        <v>487</v>
      </c>
      <c r="E5470" t="b">
        <v>0</v>
      </c>
      <c r="F5470">
        <v>784</v>
      </c>
      <c r="G5470" t="s">
        <v>184</v>
      </c>
      <c r="H5470" t="s">
        <v>792</v>
      </c>
      <c r="I5470" t="s">
        <v>2116</v>
      </c>
    </row>
    <row r="5471" spans="1:9" x14ac:dyDescent="0.35">
      <c r="A5471">
        <v>2408820</v>
      </c>
      <c r="B5471" t="s">
        <v>1737</v>
      </c>
      <c r="C5471" s="1">
        <v>45616</v>
      </c>
      <c r="D5471">
        <v>487</v>
      </c>
      <c r="E5471" t="b">
        <v>0</v>
      </c>
      <c r="F5471">
        <v>784</v>
      </c>
      <c r="G5471" t="s">
        <v>184</v>
      </c>
      <c r="H5471" t="s">
        <v>346</v>
      </c>
      <c r="I5471" t="s">
        <v>2116</v>
      </c>
    </row>
    <row r="5472" spans="1:9" x14ac:dyDescent="0.35">
      <c r="A5472">
        <v>2408820</v>
      </c>
      <c r="B5472" t="s">
        <v>1737</v>
      </c>
      <c r="C5472" s="1">
        <v>45616</v>
      </c>
      <c r="D5472">
        <v>487</v>
      </c>
      <c r="E5472" t="b">
        <v>0</v>
      </c>
      <c r="F5472">
        <v>784</v>
      </c>
      <c r="G5472" t="s">
        <v>184</v>
      </c>
      <c r="H5472" t="s">
        <v>239</v>
      </c>
      <c r="I5472" t="s">
        <v>2116</v>
      </c>
    </row>
    <row r="5473" spans="1:9" x14ac:dyDescent="0.35">
      <c r="A5473">
        <v>2408820</v>
      </c>
      <c r="B5473" t="s">
        <v>1737</v>
      </c>
      <c r="C5473" s="1">
        <v>45616</v>
      </c>
      <c r="D5473">
        <v>487</v>
      </c>
      <c r="E5473" t="b">
        <v>0</v>
      </c>
      <c r="F5473">
        <v>784</v>
      </c>
      <c r="G5473" t="s">
        <v>184</v>
      </c>
      <c r="H5473" t="s">
        <v>132</v>
      </c>
      <c r="I5473" t="s">
        <v>2116</v>
      </c>
    </row>
    <row r="5474" spans="1:9" x14ac:dyDescent="0.35">
      <c r="A5474">
        <v>2408820</v>
      </c>
      <c r="B5474" t="s">
        <v>1737</v>
      </c>
      <c r="C5474" s="1">
        <v>45616</v>
      </c>
      <c r="D5474">
        <v>487</v>
      </c>
      <c r="E5474" t="b">
        <v>0</v>
      </c>
      <c r="F5474">
        <v>784</v>
      </c>
      <c r="G5474" t="s">
        <v>184</v>
      </c>
      <c r="H5474" t="s">
        <v>124</v>
      </c>
      <c r="I5474" t="s">
        <v>2117</v>
      </c>
    </row>
    <row r="5475" spans="1:9" x14ac:dyDescent="0.35">
      <c r="A5475">
        <v>2408820</v>
      </c>
      <c r="B5475" t="s">
        <v>1737</v>
      </c>
      <c r="C5475" s="1">
        <v>45616</v>
      </c>
      <c r="D5475">
        <v>487</v>
      </c>
      <c r="E5475" t="b">
        <v>0</v>
      </c>
      <c r="F5475">
        <v>784</v>
      </c>
      <c r="G5475" t="s">
        <v>184</v>
      </c>
      <c r="H5475" t="s">
        <v>1510</v>
      </c>
      <c r="I5475" t="s">
        <v>2117</v>
      </c>
    </row>
    <row r="5476" spans="1:9" x14ac:dyDescent="0.35">
      <c r="A5476">
        <v>769560</v>
      </c>
      <c r="B5476" t="s">
        <v>1739</v>
      </c>
      <c r="C5476" s="1">
        <v>43671</v>
      </c>
      <c r="D5476">
        <v>487</v>
      </c>
      <c r="E5476" t="b">
        <v>0</v>
      </c>
      <c r="F5476">
        <v>784</v>
      </c>
      <c r="G5476" t="s">
        <v>14</v>
      </c>
      <c r="H5476" t="s">
        <v>49</v>
      </c>
      <c r="I5476" t="s">
        <v>2117</v>
      </c>
    </row>
    <row r="5477" spans="1:9" x14ac:dyDescent="0.35">
      <c r="A5477">
        <v>769560</v>
      </c>
      <c r="B5477" t="s">
        <v>1739</v>
      </c>
      <c r="C5477" s="1">
        <v>43671</v>
      </c>
      <c r="D5477">
        <v>487</v>
      </c>
      <c r="E5477" t="b">
        <v>0</v>
      </c>
      <c r="F5477">
        <v>784</v>
      </c>
      <c r="G5477" t="s">
        <v>14</v>
      </c>
      <c r="H5477" t="s">
        <v>792</v>
      </c>
      <c r="I5477" t="s">
        <v>2116</v>
      </c>
    </row>
    <row r="5478" spans="1:9" x14ac:dyDescent="0.35">
      <c r="A5478">
        <v>769560</v>
      </c>
      <c r="B5478" t="s">
        <v>1739</v>
      </c>
      <c r="C5478" s="1">
        <v>43671</v>
      </c>
      <c r="D5478">
        <v>487</v>
      </c>
      <c r="E5478" t="b">
        <v>0</v>
      </c>
      <c r="F5478">
        <v>784</v>
      </c>
      <c r="G5478" t="s">
        <v>14</v>
      </c>
      <c r="H5478" t="s">
        <v>346</v>
      </c>
      <c r="I5478" t="s">
        <v>2116</v>
      </c>
    </row>
    <row r="5479" spans="1:9" x14ac:dyDescent="0.35">
      <c r="A5479">
        <v>769560</v>
      </c>
      <c r="B5479" t="s">
        <v>1739</v>
      </c>
      <c r="C5479" s="1">
        <v>43671</v>
      </c>
      <c r="D5479">
        <v>487</v>
      </c>
      <c r="E5479" t="b">
        <v>0</v>
      </c>
      <c r="F5479">
        <v>784</v>
      </c>
      <c r="G5479" t="s">
        <v>14</v>
      </c>
      <c r="H5479" t="s">
        <v>239</v>
      </c>
      <c r="I5479" t="s">
        <v>2117</v>
      </c>
    </row>
    <row r="5480" spans="1:9" x14ac:dyDescent="0.35">
      <c r="A5480">
        <v>769560</v>
      </c>
      <c r="B5480" t="s">
        <v>1739</v>
      </c>
      <c r="C5480" s="1">
        <v>43671</v>
      </c>
      <c r="D5480">
        <v>487</v>
      </c>
      <c r="E5480" t="b">
        <v>0</v>
      </c>
      <c r="F5480">
        <v>784</v>
      </c>
      <c r="G5480" t="s">
        <v>14</v>
      </c>
      <c r="H5480" t="s">
        <v>132</v>
      </c>
      <c r="I5480" t="s">
        <v>2117</v>
      </c>
    </row>
    <row r="5481" spans="1:9" x14ac:dyDescent="0.35">
      <c r="A5481">
        <v>769560</v>
      </c>
      <c r="B5481" t="s">
        <v>1739</v>
      </c>
      <c r="C5481" s="1">
        <v>43671</v>
      </c>
      <c r="D5481">
        <v>487</v>
      </c>
      <c r="E5481" t="b">
        <v>0</v>
      </c>
      <c r="F5481">
        <v>784</v>
      </c>
      <c r="G5481" t="s">
        <v>14</v>
      </c>
      <c r="H5481" t="s">
        <v>124</v>
      </c>
      <c r="I5481" t="s">
        <v>2116</v>
      </c>
    </row>
    <row r="5482" spans="1:9" x14ac:dyDescent="0.35">
      <c r="A5482">
        <v>769560</v>
      </c>
      <c r="B5482" t="s">
        <v>1739</v>
      </c>
      <c r="C5482" s="1">
        <v>43671</v>
      </c>
      <c r="D5482">
        <v>487</v>
      </c>
      <c r="E5482" t="b">
        <v>0</v>
      </c>
      <c r="F5482">
        <v>784</v>
      </c>
      <c r="G5482" t="s">
        <v>14</v>
      </c>
      <c r="H5482" t="s">
        <v>1510</v>
      </c>
      <c r="I5482" t="s">
        <v>2116</v>
      </c>
    </row>
    <row r="5483" spans="1:9" x14ac:dyDescent="0.35">
      <c r="A5483">
        <v>314160</v>
      </c>
      <c r="B5483" t="s">
        <v>1741</v>
      </c>
      <c r="C5483" s="1">
        <v>41991</v>
      </c>
      <c r="D5483">
        <v>486</v>
      </c>
      <c r="E5483" t="b">
        <v>0</v>
      </c>
      <c r="F5483">
        <v>786</v>
      </c>
      <c r="G5483" t="s">
        <v>438</v>
      </c>
      <c r="H5483" t="s">
        <v>49</v>
      </c>
      <c r="I5483" t="s">
        <v>2117</v>
      </c>
    </row>
    <row r="5484" spans="1:9" x14ac:dyDescent="0.35">
      <c r="A5484">
        <v>314160</v>
      </c>
      <c r="B5484" t="s">
        <v>1741</v>
      </c>
      <c r="C5484" s="1">
        <v>41991</v>
      </c>
      <c r="D5484">
        <v>486</v>
      </c>
      <c r="E5484" t="b">
        <v>0</v>
      </c>
      <c r="F5484">
        <v>786</v>
      </c>
      <c r="G5484" t="s">
        <v>438</v>
      </c>
      <c r="H5484" t="s">
        <v>792</v>
      </c>
      <c r="I5484" t="s">
        <v>2117</v>
      </c>
    </row>
    <row r="5485" spans="1:9" x14ac:dyDescent="0.35">
      <c r="A5485">
        <v>314160</v>
      </c>
      <c r="B5485" t="s">
        <v>1741</v>
      </c>
      <c r="C5485" s="1">
        <v>41991</v>
      </c>
      <c r="D5485">
        <v>486</v>
      </c>
      <c r="E5485" t="b">
        <v>0</v>
      </c>
      <c r="F5485">
        <v>786</v>
      </c>
      <c r="G5485" t="s">
        <v>438</v>
      </c>
      <c r="H5485" t="s">
        <v>346</v>
      </c>
      <c r="I5485" t="s">
        <v>2117</v>
      </c>
    </row>
    <row r="5486" spans="1:9" x14ac:dyDescent="0.35">
      <c r="A5486">
        <v>314160</v>
      </c>
      <c r="B5486" t="s">
        <v>1741</v>
      </c>
      <c r="C5486" s="1">
        <v>41991</v>
      </c>
      <c r="D5486">
        <v>486</v>
      </c>
      <c r="E5486" t="b">
        <v>0</v>
      </c>
      <c r="F5486">
        <v>786</v>
      </c>
      <c r="G5486" t="s">
        <v>438</v>
      </c>
      <c r="H5486" t="s">
        <v>239</v>
      </c>
      <c r="I5486" t="s">
        <v>2116</v>
      </c>
    </row>
    <row r="5487" spans="1:9" x14ac:dyDescent="0.35">
      <c r="A5487">
        <v>314160</v>
      </c>
      <c r="B5487" t="s">
        <v>1741</v>
      </c>
      <c r="C5487" s="1">
        <v>41991</v>
      </c>
      <c r="D5487">
        <v>486</v>
      </c>
      <c r="E5487" t="b">
        <v>0</v>
      </c>
      <c r="F5487">
        <v>786</v>
      </c>
      <c r="G5487" t="s">
        <v>438</v>
      </c>
      <c r="H5487" t="s">
        <v>132</v>
      </c>
      <c r="I5487" t="s">
        <v>2117</v>
      </c>
    </row>
    <row r="5488" spans="1:9" x14ac:dyDescent="0.35">
      <c r="A5488">
        <v>314160</v>
      </c>
      <c r="B5488" t="s">
        <v>1741</v>
      </c>
      <c r="C5488" s="1">
        <v>41991</v>
      </c>
      <c r="D5488">
        <v>486</v>
      </c>
      <c r="E5488" t="b">
        <v>0</v>
      </c>
      <c r="F5488">
        <v>786</v>
      </c>
      <c r="G5488" t="s">
        <v>438</v>
      </c>
      <c r="H5488" t="s">
        <v>124</v>
      </c>
      <c r="I5488" t="s">
        <v>2117</v>
      </c>
    </row>
    <row r="5489" spans="1:9" x14ac:dyDescent="0.35">
      <c r="A5489">
        <v>314160</v>
      </c>
      <c r="B5489" t="s">
        <v>1741</v>
      </c>
      <c r="C5489" s="1">
        <v>41991</v>
      </c>
      <c r="D5489">
        <v>486</v>
      </c>
      <c r="E5489" t="b">
        <v>0</v>
      </c>
      <c r="F5489">
        <v>786</v>
      </c>
      <c r="G5489" t="s">
        <v>438</v>
      </c>
      <c r="H5489" t="s">
        <v>1510</v>
      </c>
      <c r="I5489" t="s">
        <v>2117</v>
      </c>
    </row>
    <row r="5490" spans="1:9" x14ac:dyDescent="0.35">
      <c r="A5490">
        <v>621830</v>
      </c>
      <c r="B5490" t="s">
        <v>1743</v>
      </c>
      <c r="C5490" s="1">
        <v>42993</v>
      </c>
      <c r="D5490">
        <v>484</v>
      </c>
      <c r="E5490" t="b">
        <v>0</v>
      </c>
      <c r="F5490">
        <v>787</v>
      </c>
      <c r="G5490" t="s">
        <v>133</v>
      </c>
      <c r="H5490" t="s">
        <v>49</v>
      </c>
      <c r="I5490" t="s">
        <v>2117</v>
      </c>
    </row>
    <row r="5491" spans="1:9" x14ac:dyDescent="0.35">
      <c r="A5491">
        <v>621830</v>
      </c>
      <c r="B5491" t="s">
        <v>1743</v>
      </c>
      <c r="C5491" s="1">
        <v>42993</v>
      </c>
      <c r="D5491">
        <v>484</v>
      </c>
      <c r="E5491" t="b">
        <v>0</v>
      </c>
      <c r="F5491">
        <v>787</v>
      </c>
      <c r="G5491" t="s">
        <v>133</v>
      </c>
      <c r="H5491" t="s">
        <v>792</v>
      </c>
      <c r="I5491" t="s">
        <v>2117</v>
      </c>
    </row>
    <row r="5492" spans="1:9" x14ac:dyDescent="0.35">
      <c r="A5492">
        <v>621830</v>
      </c>
      <c r="B5492" t="s">
        <v>1743</v>
      </c>
      <c r="C5492" s="1">
        <v>42993</v>
      </c>
      <c r="D5492">
        <v>484</v>
      </c>
      <c r="E5492" t="b">
        <v>0</v>
      </c>
      <c r="F5492">
        <v>787</v>
      </c>
      <c r="G5492" t="s">
        <v>133</v>
      </c>
      <c r="H5492" t="s">
        <v>346</v>
      </c>
      <c r="I5492" t="s">
        <v>2117</v>
      </c>
    </row>
    <row r="5493" spans="1:9" x14ac:dyDescent="0.35">
      <c r="A5493">
        <v>621830</v>
      </c>
      <c r="B5493" t="s">
        <v>1743</v>
      </c>
      <c r="C5493" s="1">
        <v>42993</v>
      </c>
      <c r="D5493">
        <v>484</v>
      </c>
      <c r="E5493" t="b">
        <v>0</v>
      </c>
      <c r="F5493">
        <v>787</v>
      </c>
      <c r="G5493" t="s">
        <v>133</v>
      </c>
      <c r="H5493" t="s">
        <v>239</v>
      </c>
      <c r="I5493" t="s">
        <v>2117</v>
      </c>
    </row>
    <row r="5494" spans="1:9" x14ac:dyDescent="0.35">
      <c r="A5494">
        <v>621830</v>
      </c>
      <c r="B5494" t="s">
        <v>1743</v>
      </c>
      <c r="C5494" s="1">
        <v>42993</v>
      </c>
      <c r="D5494">
        <v>484</v>
      </c>
      <c r="E5494" t="b">
        <v>0</v>
      </c>
      <c r="F5494">
        <v>787</v>
      </c>
      <c r="G5494" t="s">
        <v>133</v>
      </c>
      <c r="H5494" t="s">
        <v>132</v>
      </c>
      <c r="I5494" t="s">
        <v>2117</v>
      </c>
    </row>
    <row r="5495" spans="1:9" x14ac:dyDescent="0.35">
      <c r="A5495">
        <v>621830</v>
      </c>
      <c r="B5495" t="s">
        <v>1743</v>
      </c>
      <c r="C5495" s="1">
        <v>42993</v>
      </c>
      <c r="D5495">
        <v>484</v>
      </c>
      <c r="E5495" t="b">
        <v>0</v>
      </c>
      <c r="F5495">
        <v>787</v>
      </c>
      <c r="G5495" t="s">
        <v>133</v>
      </c>
      <c r="H5495" t="s">
        <v>124</v>
      </c>
      <c r="I5495" t="s">
        <v>2117</v>
      </c>
    </row>
    <row r="5496" spans="1:9" x14ac:dyDescent="0.35">
      <c r="A5496">
        <v>621830</v>
      </c>
      <c r="B5496" t="s">
        <v>1743</v>
      </c>
      <c r="C5496" s="1">
        <v>42993</v>
      </c>
      <c r="D5496">
        <v>484</v>
      </c>
      <c r="E5496" t="b">
        <v>0</v>
      </c>
      <c r="F5496">
        <v>787</v>
      </c>
      <c r="G5496" t="s">
        <v>133</v>
      </c>
      <c r="H5496" t="s">
        <v>1510</v>
      </c>
      <c r="I5496" t="s">
        <v>2117</v>
      </c>
    </row>
    <row r="5497" spans="1:9" x14ac:dyDescent="0.35">
      <c r="A5497">
        <v>493490</v>
      </c>
      <c r="B5497" t="s">
        <v>1745</v>
      </c>
      <c r="C5497" s="1">
        <v>42677</v>
      </c>
      <c r="D5497">
        <v>484</v>
      </c>
      <c r="E5497" t="b">
        <v>0</v>
      </c>
      <c r="F5497">
        <v>787</v>
      </c>
      <c r="G5497" t="s">
        <v>2093</v>
      </c>
      <c r="H5497" t="s">
        <v>49</v>
      </c>
      <c r="I5497" t="s">
        <v>2117</v>
      </c>
    </row>
    <row r="5498" spans="1:9" x14ac:dyDescent="0.35">
      <c r="A5498">
        <v>493490</v>
      </c>
      <c r="B5498" t="s">
        <v>1745</v>
      </c>
      <c r="C5498" s="1">
        <v>42677</v>
      </c>
      <c r="D5498">
        <v>484</v>
      </c>
      <c r="E5498" t="b">
        <v>0</v>
      </c>
      <c r="F5498">
        <v>787</v>
      </c>
      <c r="G5498" t="s">
        <v>2093</v>
      </c>
      <c r="H5498" t="s">
        <v>792</v>
      </c>
      <c r="I5498" t="s">
        <v>2116</v>
      </c>
    </row>
    <row r="5499" spans="1:9" x14ac:dyDescent="0.35">
      <c r="A5499">
        <v>493490</v>
      </c>
      <c r="B5499" t="s">
        <v>1745</v>
      </c>
      <c r="C5499" s="1">
        <v>42677</v>
      </c>
      <c r="D5499">
        <v>484</v>
      </c>
      <c r="E5499" t="b">
        <v>0</v>
      </c>
      <c r="F5499">
        <v>787</v>
      </c>
      <c r="G5499" t="s">
        <v>2093</v>
      </c>
      <c r="H5499" t="s">
        <v>346</v>
      </c>
      <c r="I5499" t="s">
        <v>2117</v>
      </c>
    </row>
    <row r="5500" spans="1:9" x14ac:dyDescent="0.35">
      <c r="A5500">
        <v>493490</v>
      </c>
      <c r="B5500" t="s">
        <v>1745</v>
      </c>
      <c r="C5500" s="1">
        <v>42677</v>
      </c>
      <c r="D5500">
        <v>484</v>
      </c>
      <c r="E5500" t="b">
        <v>0</v>
      </c>
      <c r="F5500">
        <v>787</v>
      </c>
      <c r="G5500" t="s">
        <v>2093</v>
      </c>
      <c r="H5500" t="s">
        <v>239</v>
      </c>
      <c r="I5500" t="s">
        <v>2116</v>
      </c>
    </row>
    <row r="5501" spans="1:9" x14ac:dyDescent="0.35">
      <c r="A5501">
        <v>493490</v>
      </c>
      <c r="B5501" t="s">
        <v>1745</v>
      </c>
      <c r="C5501" s="1">
        <v>42677</v>
      </c>
      <c r="D5501">
        <v>484</v>
      </c>
      <c r="E5501" t="b">
        <v>0</v>
      </c>
      <c r="F5501">
        <v>787</v>
      </c>
      <c r="G5501" t="s">
        <v>2093</v>
      </c>
      <c r="H5501" t="s">
        <v>132</v>
      </c>
      <c r="I5501" t="s">
        <v>2117</v>
      </c>
    </row>
    <row r="5502" spans="1:9" x14ac:dyDescent="0.35">
      <c r="A5502">
        <v>493490</v>
      </c>
      <c r="B5502" t="s">
        <v>1745</v>
      </c>
      <c r="C5502" s="1">
        <v>42677</v>
      </c>
      <c r="D5502">
        <v>484</v>
      </c>
      <c r="E5502" t="b">
        <v>0</v>
      </c>
      <c r="F5502">
        <v>787</v>
      </c>
      <c r="G5502" t="s">
        <v>2093</v>
      </c>
      <c r="H5502" t="s">
        <v>124</v>
      </c>
      <c r="I5502" t="s">
        <v>2117</v>
      </c>
    </row>
    <row r="5503" spans="1:9" x14ac:dyDescent="0.35">
      <c r="A5503">
        <v>493490</v>
      </c>
      <c r="B5503" t="s">
        <v>1745</v>
      </c>
      <c r="C5503" s="1">
        <v>42677</v>
      </c>
      <c r="D5503">
        <v>484</v>
      </c>
      <c r="E5503" t="b">
        <v>0</v>
      </c>
      <c r="F5503">
        <v>787</v>
      </c>
      <c r="G5503" t="s">
        <v>2093</v>
      </c>
      <c r="H5503" t="s">
        <v>1510</v>
      </c>
      <c r="I5503" t="s">
        <v>2117</v>
      </c>
    </row>
    <row r="5504" spans="1:9" x14ac:dyDescent="0.35">
      <c r="A5504">
        <v>799600</v>
      </c>
      <c r="B5504" t="s">
        <v>1747</v>
      </c>
      <c r="C5504" s="1">
        <v>44858</v>
      </c>
      <c r="D5504">
        <v>482</v>
      </c>
      <c r="E5504" t="b">
        <v>0</v>
      </c>
      <c r="F5504">
        <v>789</v>
      </c>
      <c r="G5504" t="s">
        <v>2082</v>
      </c>
      <c r="H5504" t="s">
        <v>49</v>
      </c>
      <c r="I5504" t="s">
        <v>2117</v>
      </c>
    </row>
    <row r="5505" spans="1:9" x14ac:dyDescent="0.35">
      <c r="A5505">
        <v>799600</v>
      </c>
      <c r="B5505" t="s">
        <v>1747</v>
      </c>
      <c r="C5505" s="1">
        <v>44858</v>
      </c>
      <c r="D5505">
        <v>482</v>
      </c>
      <c r="E5505" t="b">
        <v>0</v>
      </c>
      <c r="F5505">
        <v>789</v>
      </c>
      <c r="G5505" t="s">
        <v>2082</v>
      </c>
      <c r="H5505" t="s">
        <v>792</v>
      </c>
      <c r="I5505" t="s">
        <v>2117</v>
      </c>
    </row>
    <row r="5506" spans="1:9" x14ac:dyDescent="0.35">
      <c r="A5506">
        <v>799600</v>
      </c>
      <c r="B5506" t="s">
        <v>1747</v>
      </c>
      <c r="C5506" s="1">
        <v>44858</v>
      </c>
      <c r="D5506">
        <v>482</v>
      </c>
      <c r="E5506" t="b">
        <v>0</v>
      </c>
      <c r="F5506">
        <v>789</v>
      </c>
      <c r="G5506" t="s">
        <v>2082</v>
      </c>
      <c r="H5506" t="s">
        <v>346</v>
      </c>
      <c r="I5506" t="s">
        <v>2117</v>
      </c>
    </row>
    <row r="5507" spans="1:9" x14ac:dyDescent="0.35">
      <c r="A5507">
        <v>799600</v>
      </c>
      <c r="B5507" t="s">
        <v>1747</v>
      </c>
      <c r="C5507" s="1">
        <v>44858</v>
      </c>
      <c r="D5507">
        <v>482</v>
      </c>
      <c r="E5507" t="b">
        <v>0</v>
      </c>
      <c r="F5507">
        <v>789</v>
      </c>
      <c r="G5507" t="s">
        <v>2082</v>
      </c>
      <c r="H5507" t="s">
        <v>239</v>
      </c>
      <c r="I5507" t="s">
        <v>2116</v>
      </c>
    </row>
    <row r="5508" spans="1:9" x14ac:dyDescent="0.35">
      <c r="A5508">
        <v>799600</v>
      </c>
      <c r="B5508" t="s">
        <v>1747</v>
      </c>
      <c r="C5508" s="1">
        <v>44858</v>
      </c>
      <c r="D5508">
        <v>482</v>
      </c>
      <c r="E5508" t="b">
        <v>0</v>
      </c>
      <c r="F5508">
        <v>789</v>
      </c>
      <c r="G5508" t="s">
        <v>2082</v>
      </c>
      <c r="H5508" t="s">
        <v>132</v>
      </c>
      <c r="I5508" t="s">
        <v>2117</v>
      </c>
    </row>
    <row r="5509" spans="1:9" x14ac:dyDescent="0.35">
      <c r="A5509">
        <v>799600</v>
      </c>
      <c r="B5509" t="s">
        <v>1747</v>
      </c>
      <c r="C5509" s="1">
        <v>44858</v>
      </c>
      <c r="D5509">
        <v>482</v>
      </c>
      <c r="E5509" t="b">
        <v>0</v>
      </c>
      <c r="F5509">
        <v>789</v>
      </c>
      <c r="G5509" t="s">
        <v>2082</v>
      </c>
      <c r="H5509" t="s">
        <v>124</v>
      </c>
      <c r="I5509" t="s">
        <v>2116</v>
      </c>
    </row>
    <row r="5510" spans="1:9" x14ac:dyDescent="0.35">
      <c r="A5510">
        <v>799600</v>
      </c>
      <c r="B5510" t="s">
        <v>1747</v>
      </c>
      <c r="C5510" s="1">
        <v>44858</v>
      </c>
      <c r="D5510">
        <v>482</v>
      </c>
      <c r="E5510" t="b">
        <v>0</v>
      </c>
      <c r="F5510">
        <v>789</v>
      </c>
      <c r="G5510" t="s">
        <v>2082</v>
      </c>
      <c r="H5510" t="s">
        <v>1510</v>
      </c>
      <c r="I5510" t="s">
        <v>2117</v>
      </c>
    </row>
    <row r="5511" spans="1:9" x14ac:dyDescent="0.35">
      <c r="A5511">
        <v>268650</v>
      </c>
      <c r="B5511" t="s">
        <v>1749</v>
      </c>
      <c r="C5511" s="1">
        <v>44141</v>
      </c>
      <c r="D5511">
        <v>482</v>
      </c>
      <c r="E5511" t="b">
        <v>1</v>
      </c>
      <c r="F5511">
        <v>789</v>
      </c>
      <c r="G5511" t="s">
        <v>110</v>
      </c>
      <c r="H5511" t="s">
        <v>49</v>
      </c>
      <c r="I5511" t="s">
        <v>2116</v>
      </c>
    </row>
    <row r="5512" spans="1:9" x14ac:dyDescent="0.35">
      <c r="A5512">
        <v>268650</v>
      </c>
      <c r="B5512" t="s">
        <v>1749</v>
      </c>
      <c r="C5512" s="1">
        <v>44141</v>
      </c>
      <c r="D5512">
        <v>482</v>
      </c>
      <c r="E5512" t="b">
        <v>1</v>
      </c>
      <c r="F5512">
        <v>789</v>
      </c>
      <c r="G5512" t="s">
        <v>110</v>
      </c>
      <c r="H5512" t="s">
        <v>792</v>
      </c>
      <c r="I5512" t="s">
        <v>2116</v>
      </c>
    </row>
    <row r="5513" spans="1:9" x14ac:dyDescent="0.35">
      <c r="A5513">
        <v>268650</v>
      </c>
      <c r="B5513" t="s">
        <v>1749</v>
      </c>
      <c r="C5513" s="1">
        <v>44141</v>
      </c>
      <c r="D5513">
        <v>482</v>
      </c>
      <c r="E5513" t="b">
        <v>1</v>
      </c>
      <c r="F5513">
        <v>789</v>
      </c>
      <c r="G5513" t="s">
        <v>110</v>
      </c>
      <c r="H5513" t="s">
        <v>346</v>
      </c>
      <c r="I5513" t="s">
        <v>2116</v>
      </c>
    </row>
    <row r="5514" spans="1:9" x14ac:dyDescent="0.35">
      <c r="A5514">
        <v>268650</v>
      </c>
      <c r="B5514" t="s">
        <v>1749</v>
      </c>
      <c r="C5514" s="1">
        <v>44141</v>
      </c>
      <c r="D5514">
        <v>482</v>
      </c>
      <c r="E5514" t="b">
        <v>1</v>
      </c>
      <c r="F5514">
        <v>789</v>
      </c>
      <c r="G5514" t="s">
        <v>110</v>
      </c>
      <c r="H5514" t="s">
        <v>239</v>
      </c>
      <c r="I5514" t="s">
        <v>2116</v>
      </c>
    </row>
    <row r="5515" spans="1:9" x14ac:dyDescent="0.35">
      <c r="A5515">
        <v>268650</v>
      </c>
      <c r="B5515" t="s">
        <v>1749</v>
      </c>
      <c r="C5515" s="1">
        <v>44141</v>
      </c>
      <c r="D5515">
        <v>482</v>
      </c>
      <c r="E5515" t="b">
        <v>1</v>
      </c>
      <c r="F5515">
        <v>789</v>
      </c>
      <c r="G5515" t="s">
        <v>110</v>
      </c>
      <c r="H5515" t="s">
        <v>132</v>
      </c>
      <c r="I5515" t="s">
        <v>2117</v>
      </c>
    </row>
    <row r="5516" spans="1:9" x14ac:dyDescent="0.35">
      <c r="A5516">
        <v>268650</v>
      </c>
      <c r="B5516" t="s">
        <v>1749</v>
      </c>
      <c r="C5516" s="1">
        <v>44141</v>
      </c>
      <c r="D5516">
        <v>482</v>
      </c>
      <c r="E5516" t="b">
        <v>1</v>
      </c>
      <c r="F5516">
        <v>789</v>
      </c>
      <c r="G5516" t="s">
        <v>110</v>
      </c>
      <c r="H5516" t="s">
        <v>124</v>
      </c>
      <c r="I5516" t="s">
        <v>2116</v>
      </c>
    </row>
    <row r="5517" spans="1:9" x14ac:dyDescent="0.35">
      <c r="A5517">
        <v>268650</v>
      </c>
      <c r="B5517" t="s">
        <v>1749</v>
      </c>
      <c r="C5517" s="1">
        <v>44141</v>
      </c>
      <c r="D5517">
        <v>482</v>
      </c>
      <c r="E5517" t="b">
        <v>1</v>
      </c>
      <c r="F5517">
        <v>789</v>
      </c>
      <c r="G5517" t="s">
        <v>110</v>
      </c>
      <c r="H5517" t="s">
        <v>1510</v>
      </c>
      <c r="I5517" t="s">
        <v>2117</v>
      </c>
    </row>
    <row r="5518" spans="1:9" x14ac:dyDescent="0.35">
      <c r="A5518">
        <v>2772750</v>
      </c>
      <c r="B5518" t="s">
        <v>1752</v>
      </c>
      <c r="C5518" s="1">
        <v>45588</v>
      </c>
      <c r="D5518">
        <v>481</v>
      </c>
      <c r="E5518" t="b">
        <v>1</v>
      </c>
      <c r="F5518">
        <v>791</v>
      </c>
      <c r="G5518" t="s">
        <v>110</v>
      </c>
      <c r="H5518" t="s">
        <v>49</v>
      </c>
      <c r="I5518" t="s">
        <v>2117</v>
      </c>
    </row>
    <row r="5519" spans="1:9" x14ac:dyDescent="0.35">
      <c r="A5519">
        <v>2772750</v>
      </c>
      <c r="B5519" t="s">
        <v>1752</v>
      </c>
      <c r="C5519" s="1">
        <v>45588</v>
      </c>
      <c r="D5519">
        <v>481</v>
      </c>
      <c r="E5519" t="b">
        <v>1</v>
      </c>
      <c r="F5519">
        <v>791</v>
      </c>
      <c r="G5519" t="s">
        <v>110</v>
      </c>
      <c r="H5519" t="s">
        <v>792</v>
      </c>
      <c r="I5519" t="s">
        <v>2117</v>
      </c>
    </row>
    <row r="5520" spans="1:9" x14ac:dyDescent="0.35">
      <c r="A5520">
        <v>2772750</v>
      </c>
      <c r="B5520" t="s">
        <v>1752</v>
      </c>
      <c r="C5520" s="1">
        <v>45588</v>
      </c>
      <c r="D5520">
        <v>481</v>
      </c>
      <c r="E5520" t="b">
        <v>1</v>
      </c>
      <c r="F5520">
        <v>791</v>
      </c>
      <c r="G5520" t="s">
        <v>110</v>
      </c>
      <c r="H5520" t="s">
        <v>346</v>
      </c>
      <c r="I5520" t="s">
        <v>2117</v>
      </c>
    </row>
    <row r="5521" spans="1:9" x14ac:dyDescent="0.35">
      <c r="A5521">
        <v>2772750</v>
      </c>
      <c r="B5521" t="s">
        <v>1752</v>
      </c>
      <c r="C5521" s="1">
        <v>45588</v>
      </c>
      <c r="D5521">
        <v>481</v>
      </c>
      <c r="E5521" t="b">
        <v>1</v>
      </c>
      <c r="F5521">
        <v>791</v>
      </c>
      <c r="G5521" t="s">
        <v>110</v>
      </c>
      <c r="H5521" t="s">
        <v>239</v>
      </c>
      <c r="I5521" t="s">
        <v>2116</v>
      </c>
    </row>
    <row r="5522" spans="1:9" x14ac:dyDescent="0.35">
      <c r="A5522">
        <v>2772750</v>
      </c>
      <c r="B5522" t="s">
        <v>1752</v>
      </c>
      <c r="C5522" s="1">
        <v>45588</v>
      </c>
      <c r="D5522">
        <v>481</v>
      </c>
      <c r="E5522" t="b">
        <v>1</v>
      </c>
      <c r="F5522">
        <v>791</v>
      </c>
      <c r="G5522" t="s">
        <v>110</v>
      </c>
      <c r="H5522" t="s">
        <v>132</v>
      </c>
      <c r="I5522" t="s">
        <v>2117</v>
      </c>
    </row>
    <row r="5523" spans="1:9" x14ac:dyDescent="0.35">
      <c r="A5523">
        <v>2772750</v>
      </c>
      <c r="B5523" t="s">
        <v>1752</v>
      </c>
      <c r="C5523" s="1">
        <v>45588</v>
      </c>
      <c r="D5523">
        <v>481</v>
      </c>
      <c r="E5523" t="b">
        <v>1</v>
      </c>
      <c r="F5523">
        <v>791</v>
      </c>
      <c r="G5523" t="s">
        <v>110</v>
      </c>
      <c r="H5523" t="s">
        <v>124</v>
      </c>
      <c r="I5523" t="s">
        <v>2116</v>
      </c>
    </row>
    <row r="5524" spans="1:9" x14ac:dyDescent="0.35">
      <c r="A5524">
        <v>2772750</v>
      </c>
      <c r="B5524" t="s">
        <v>1752</v>
      </c>
      <c r="C5524" s="1">
        <v>45588</v>
      </c>
      <c r="D5524">
        <v>481</v>
      </c>
      <c r="E5524" t="b">
        <v>1</v>
      </c>
      <c r="F5524">
        <v>791</v>
      </c>
      <c r="G5524" t="s">
        <v>110</v>
      </c>
      <c r="H5524" t="s">
        <v>1510</v>
      </c>
      <c r="I5524" t="s">
        <v>2117</v>
      </c>
    </row>
    <row r="5525" spans="1:9" x14ac:dyDescent="0.35">
      <c r="A5525">
        <v>1686940</v>
      </c>
      <c r="B5525" t="s">
        <v>1754</v>
      </c>
      <c r="C5525" s="1">
        <v>45246</v>
      </c>
      <c r="D5525">
        <v>480</v>
      </c>
      <c r="E5525" t="b">
        <v>0</v>
      </c>
      <c r="F5525">
        <v>792</v>
      </c>
      <c r="G5525" t="s">
        <v>513</v>
      </c>
      <c r="H5525" t="s">
        <v>49</v>
      </c>
      <c r="I5525" t="s">
        <v>2116</v>
      </c>
    </row>
    <row r="5526" spans="1:9" x14ac:dyDescent="0.35">
      <c r="A5526">
        <v>1686940</v>
      </c>
      <c r="B5526" t="s">
        <v>1754</v>
      </c>
      <c r="C5526" s="1">
        <v>45246</v>
      </c>
      <c r="D5526">
        <v>480</v>
      </c>
      <c r="E5526" t="b">
        <v>0</v>
      </c>
      <c r="F5526">
        <v>792</v>
      </c>
      <c r="G5526" t="s">
        <v>513</v>
      </c>
      <c r="H5526" t="s">
        <v>792</v>
      </c>
      <c r="I5526" t="s">
        <v>2117</v>
      </c>
    </row>
    <row r="5527" spans="1:9" x14ac:dyDescent="0.35">
      <c r="A5527">
        <v>1686940</v>
      </c>
      <c r="B5527" t="s">
        <v>1754</v>
      </c>
      <c r="C5527" s="1">
        <v>45246</v>
      </c>
      <c r="D5527">
        <v>480</v>
      </c>
      <c r="E5527" t="b">
        <v>0</v>
      </c>
      <c r="F5527">
        <v>792</v>
      </c>
      <c r="G5527" t="s">
        <v>513</v>
      </c>
      <c r="H5527" t="s">
        <v>346</v>
      </c>
      <c r="I5527" t="s">
        <v>2117</v>
      </c>
    </row>
    <row r="5528" spans="1:9" x14ac:dyDescent="0.35">
      <c r="A5528">
        <v>1686940</v>
      </c>
      <c r="B5528" t="s">
        <v>1754</v>
      </c>
      <c r="C5528" s="1">
        <v>45246</v>
      </c>
      <c r="D5528">
        <v>480</v>
      </c>
      <c r="E5528" t="b">
        <v>0</v>
      </c>
      <c r="F5528">
        <v>792</v>
      </c>
      <c r="G5528" t="s">
        <v>513</v>
      </c>
      <c r="H5528" t="s">
        <v>239</v>
      </c>
      <c r="I5528" t="s">
        <v>2117</v>
      </c>
    </row>
    <row r="5529" spans="1:9" x14ac:dyDescent="0.35">
      <c r="A5529">
        <v>1686940</v>
      </c>
      <c r="B5529" t="s">
        <v>1754</v>
      </c>
      <c r="C5529" s="1">
        <v>45246</v>
      </c>
      <c r="D5529">
        <v>480</v>
      </c>
      <c r="E5529" t="b">
        <v>0</v>
      </c>
      <c r="F5529">
        <v>792</v>
      </c>
      <c r="G5529" t="s">
        <v>513</v>
      </c>
      <c r="H5529" t="s">
        <v>132</v>
      </c>
      <c r="I5529" t="s">
        <v>2117</v>
      </c>
    </row>
    <row r="5530" spans="1:9" x14ac:dyDescent="0.35">
      <c r="A5530">
        <v>1686940</v>
      </c>
      <c r="B5530" t="s">
        <v>1754</v>
      </c>
      <c r="C5530" s="1">
        <v>45246</v>
      </c>
      <c r="D5530">
        <v>480</v>
      </c>
      <c r="E5530" t="b">
        <v>0</v>
      </c>
      <c r="F5530">
        <v>792</v>
      </c>
      <c r="G5530" t="s">
        <v>513</v>
      </c>
      <c r="H5530" t="s">
        <v>124</v>
      </c>
      <c r="I5530" t="s">
        <v>2117</v>
      </c>
    </row>
    <row r="5531" spans="1:9" x14ac:dyDescent="0.35">
      <c r="A5531">
        <v>1686940</v>
      </c>
      <c r="B5531" t="s">
        <v>1754</v>
      </c>
      <c r="C5531" s="1">
        <v>45246</v>
      </c>
      <c r="D5531">
        <v>480</v>
      </c>
      <c r="E5531" t="b">
        <v>0</v>
      </c>
      <c r="F5531">
        <v>792</v>
      </c>
      <c r="G5531" t="s">
        <v>513</v>
      </c>
      <c r="H5531" t="s">
        <v>1510</v>
      </c>
      <c r="I5531" t="s">
        <v>2117</v>
      </c>
    </row>
    <row r="5532" spans="1:9" x14ac:dyDescent="0.35">
      <c r="A5532">
        <v>20920</v>
      </c>
      <c r="B5532" t="s">
        <v>1756</v>
      </c>
      <c r="C5532" s="1">
        <v>41015</v>
      </c>
      <c r="D5532">
        <v>479</v>
      </c>
      <c r="E5532" t="b">
        <v>1</v>
      </c>
      <c r="F5532">
        <v>793</v>
      </c>
      <c r="G5532" t="s">
        <v>2084</v>
      </c>
      <c r="H5532" t="s">
        <v>49</v>
      </c>
      <c r="I5532" t="s">
        <v>2117</v>
      </c>
    </row>
    <row r="5533" spans="1:9" x14ac:dyDescent="0.35">
      <c r="A5533">
        <v>20920</v>
      </c>
      <c r="B5533" t="s">
        <v>1756</v>
      </c>
      <c r="C5533" s="1">
        <v>41015</v>
      </c>
      <c r="D5533">
        <v>479</v>
      </c>
      <c r="E5533" t="b">
        <v>1</v>
      </c>
      <c r="F5533">
        <v>793</v>
      </c>
      <c r="G5533" t="s">
        <v>2084</v>
      </c>
      <c r="H5533" t="s">
        <v>792</v>
      </c>
      <c r="I5533" t="s">
        <v>2117</v>
      </c>
    </row>
    <row r="5534" spans="1:9" x14ac:dyDescent="0.35">
      <c r="A5534">
        <v>20920</v>
      </c>
      <c r="B5534" t="s">
        <v>1756</v>
      </c>
      <c r="C5534" s="1">
        <v>41015</v>
      </c>
      <c r="D5534">
        <v>479</v>
      </c>
      <c r="E5534" t="b">
        <v>1</v>
      </c>
      <c r="F5534">
        <v>793</v>
      </c>
      <c r="G5534" t="s">
        <v>2084</v>
      </c>
      <c r="H5534" t="s">
        <v>346</v>
      </c>
      <c r="I5534" t="s">
        <v>2117</v>
      </c>
    </row>
    <row r="5535" spans="1:9" x14ac:dyDescent="0.35">
      <c r="A5535">
        <v>20920</v>
      </c>
      <c r="B5535" t="s">
        <v>1756</v>
      </c>
      <c r="C5535" s="1">
        <v>41015</v>
      </c>
      <c r="D5535">
        <v>479</v>
      </c>
      <c r="E5535" t="b">
        <v>1</v>
      </c>
      <c r="F5535">
        <v>793</v>
      </c>
      <c r="G5535" t="s">
        <v>2084</v>
      </c>
      <c r="H5535" t="s">
        <v>239</v>
      </c>
      <c r="I5535" t="s">
        <v>2117</v>
      </c>
    </row>
    <row r="5536" spans="1:9" x14ac:dyDescent="0.35">
      <c r="A5536">
        <v>20920</v>
      </c>
      <c r="B5536" t="s">
        <v>1756</v>
      </c>
      <c r="C5536" s="1">
        <v>41015</v>
      </c>
      <c r="D5536">
        <v>479</v>
      </c>
      <c r="E5536" t="b">
        <v>1</v>
      </c>
      <c r="F5536">
        <v>793</v>
      </c>
      <c r="G5536" t="s">
        <v>2084</v>
      </c>
      <c r="H5536" t="s">
        <v>132</v>
      </c>
      <c r="I5536" t="s">
        <v>2116</v>
      </c>
    </row>
    <row r="5537" spans="1:9" x14ac:dyDescent="0.35">
      <c r="A5537">
        <v>20920</v>
      </c>
      <c r="B5537" t="s">
        <v>1756</v>
      </c>
      <c r="C5537" s="1">
        <v>41015</v>
      </c>
      <c r="D5537">
        <v>479</v>
      </c>
      <c r="E5537" t="b">
        <v>1</v>
      </c>
      <c r="F5537">
        <v>793</v>
      </c>
      <c r="G5537" t="s">
        <v>2084</v>
      </c>
      <c r="H5537" t="s">
        <v>124</v>
      </c>
      <c r="I5537" t="s">
        <v>2117</v>
      </c>
    </row>
    <row r="5538" spans="1:9" x14ac:dyDescent="0.35">
      <c r="A5538">
        <v>20920</v>
      </c>
      <c r="B5538" t="s">
        <v>1756</v>
      </c>
      <c r="C5538" s="1">
        <v>41015</v>
      </c>
      <c r="D5538">
        <v>479</v>
      </c>
      <c r="E5538" t="b">
        <v>1</v>
      </c>
      <c r="F5538">
        <v>793</v>
      </c>
      <c r="G5538" t="s">
        <v>2084</v>
      </c>
      <c r="H5538" t="s">
        <v>1510</v>
      </c>
      <c r="I5538" t="s">
        <v>2117</v>
      </c>
    </row>
    <row r="5539" spans="1:9" x14ac:dyDescent="0.35">
      <c r="A5539">
        <v>774361</v>
      </c>
      <c r="B5539" t="s">
        <v>1758</v>
      </c>
      <c r="C5539" s="1">
        <v>43718</v>
      </c>
      <c r="D5539">
        <v>479</v>
      </c>
      <c r="E5539" t="b">
        <v>1</v>
      </c>
      <c r="F5539">
        <v>793</v>
      </c>
      <c r="G5539" t="s">
        <v>110</v>
      </c>
      <c r="H5539" t="s">
        <v>49</v>
      </c>
      <c r="I5539" t="s">
        <v>2116</v>
      </c>
    </row>
    <row r="5540" spans="1:9" x14ac:dyDescent="0.35">
      <c r="A5540">
        <v>774361</v>
      </c>
      <c r="B5540" t="s">
        <v>1758</v>
      </c>
      <c r="C5540" s="1">
        <v>43718</v>
      </c>
      <c r="D5540">
        <v>479</v>
      </c>
      <c r="E5540" t="b">
        <v>1</v>
      </c>
      <c r="F5540">
        <v>793</v>
      </c>
      <c r="G5540" t="s">
        <v>110</v>
      </c>
      <c r="H5540" t="s">
        <v>792</v>
      </c>
      <c r="I5540" t="s">
        <v>2116</v>
      </c>
    </row>
    <row r="5541" spans="1:9" x14ac:dyDescent="0.35">
      <c r="A5541">
        <v>774361</v>
      </c>
      <c r="B5541" t="s">
        <v>1758</v>
      </c>
      <c r="C5541" s="1">
        <v>43718</v>
      </c>
      <c r="D5541">
        <v>479</v>
      </c>
      <c r="E5541" t="b">
        <v>1</v>
      </c>
      <c r="F5541">
        <v>793</v>
      </c>
      <c r="G5541" t="s">
        <v>110</v>
      </c>
      <c r="H5541" t="s">
        <v>346</v>
      </c>
      <c r="I5541" t="s">
        <v>2116</v>
      </c>
    </row>
    <row r="5542" spans="1:9" x14ac:dyDescent="0.35">
      <c r="A5542">
        <v>774361</v>
      </c>
      <c r="B5542" t="s">
        <v>1758</v>
      </c>
      <c r="C5542" s="1">
        <v>43718</v>
      </c>
      <c r="D5542">
        <v>479</v>
      </c>
      <c r="E5542" t="b">
        <v>1</v>
      </c>
      <c r="F5542">
        <v>793</v>
      </c>
      <c r="G5542" t="s">
        <v>110</v>
      </c>
      <c r="H5542" t="s">
        <v>239</v>
      </c>
      <c r="I5542" t="s">
        <v>2117</v>
      </c>
    </row>
    <row r="5543" spans="1:9" x14ac:dyDescent="0.35">
      <c r="A5543">
        <v>774361</v>
      </c>
      <c r="B5543" t="s">
        <v>1758</v>
      </c>
      <c r="C5543" s="1">
        <v>43718</v>
      </c>
      <c r="D5543">
        <v>479</v>
      </c>
      <c r="E5543" t="b">
        <v>1</v>
      </c>
      <c r="F5543">
        <v>793</v>
      </c>
      <c r="G5543" t="s">
        <v>110</v>
      </c>
      <c r="H5543" t="s">
        <v>132</v>
      </c>
      <c r="I5543" t="s">
        <v>2117</v>
      </c>
    </row>
    <row r="5544" spans="1:9" x14ac:dyDescent="0.35">
      <c r="A5544">
        <v>774361</v>
      </c>
      <c r="B5544" t="s">
        <v>1758</v>
      </c>
      <c r="C5544" s="1">
        <v>43718</v>
      </c>
      <c r="D5544">
        <v>479</v>
      </c>
      <c r="E5544" t="b">
        <v>1</v>
      </c>
      <c r="F5544">
        <v>793</v>
      </c>
      <c r="G5544" t="s">
        <v>110</v>
      </c>
      <c r="H5544" t="s">
        <v>124</v>
      </c>
      <c r="I5544" t="s">
        <v>2117</v>
      </c>
    </row>
    <row r="5545" spans="1:9" x14ac:dyDescent="0.35">
      <c r="A5545">
        <v>774361</v>
      </c>
      <c r="B5545" t="s">
        <v>1758</v>
      </c>
      <c r="C5545" s="1">
        <v>43718</v>
      </c>
      <c r="D5545">
        <v>479</v>
      </c>
      <c r="E5545" t="b">
        <v>1</v>
      </c>
      <c r="F5545">
        <v>793</v>
      </c>
      <c r="G5545" t="s">
        <v>110</v>
      </c>
      <c r="H5545" t="s">
        <v>1510</v>
      </c>
      <c r="I5545" t="s">
        <v>2117</v>
      </c>
    </row>
    <row r="5546" spans="1:9" x14ac:dyDescent="0.35">
      <c r="A5546">
        <v>242920</v>
      </c>
      <c r="B5546" t="s">
        <v>1759</v>
      </c>
      <c r="C5546" s="1">
        <v>41688</v>
      </c>
      <c r="D5546">
        <v>477</v>
      </c>
      <c r="E5546" t="b">
        <v>0</v>
      </c>
      <c r="F5546">
        <v>795</v>
      </c>
      <c r="G5546" t="s">
        <v>833</v>
      </c>
      <c r="H5546" t="s">
        <v>49</v>
      </c>
      <c r="I5546" t="s">
        <v>2117</v>
      </c>
    </row>
    <row r="5547" spans="1:9" x14ac:dyDescent="0.35">
      <c r="A5547">
        <v>242920</v>
      </c>
      <c r="B5547" t="s">
        <v>1759</v>
      </c>
      <c r="C5547" s="1">
        <v>41688</v>
      </c>
      <c r="D5547">
        <v>477</v>
      </c>
      <c r="E5547" t="b">
        <v>0</v>
      </c>
      <c r="F5547">
        <v>795</v>
      </c>
      <c r="G5547" t="s">
        <v>833</v>
      </c>
      <c r="H5547" t="s">
        <v>792</v>
      </c>
      <c r="I5547" t="s">
        <v>2116</v>
      </c>
    </row>
    <row r="5548" spans="1:9" x14ac:dyDescent="0.35">
      <c r="A5548">
        <v>242920</v>
      </c>
      <c r="B5548" t="s">
        <v>1759</v>
      </c>
      <c r="C5548" s="1">
        <v>41688</v>
      </c>
      <c r="D5548">
        <v>477</v>
      </c>
      <c r="E5548" t="b">
        <v>0</v>
      </c>
      <c r="F5548">
        <v>795</v>
      </c>
      <c r="G5548" t="s">
        <v>833</v>
      </c>
      <c r="H5548" t="s">
        <v>346</v>
      </c>
      <c r="I5548" t="s">
        <v>2117</v>
      </c>
    </row>
    <row r="5549" spans="1:9" x14ac:dyDescent="0.35">
      <c r="A5549">
        <v>242920</v>
      </c>
      <c r="B5549" t="s">
        <v>1759</v>
      </c>
      <c r="C5549" s="1">
        <v>41688</v>
      </c>
      <c r="D5549">
        <v>477</v>
      </c>
      <c r="E5549" t="b">
        <v>0</v>
      </c>
      <c r="F5549">
        <v>795</v>
      </c>
      <c r="G5549" t="s">
        <v>833</v>
      </c>
      <c r="H5549" t="s">
        <v>239</v>
      </c>
      <c r="I5549" t="s">
        <v>2116</v>
      </c>
    </row>
    <row r="5550" spans="1:9" x14ac:dyDescent="0.35">
      <c r="A5550">
        <v>242920</v>
      </c>
      <c r="B5550" t="s">
        <v>1759</v>
      </c>
      <c r="C5550" s="1">
        <v>41688</v>
      </c>
      <c r="D5550">
        <v>477</v>
      </c>
      <c r="E5550" t="b">
        <v>0</v>
      </c>
      <c r="F5550">
        <v>795</v>
      </c>
      <c r="G5550" t="s">
        <v>833</v>
      </c>
      <c r="H5550" t="s">
        <v>132</v>
      </c>
      <c r="I5550" t="s">
        <v>2117</v>
      </c>
    </row>
    <row r="5551" spans="1:9" x14ac:dyDescent="0.35">
      <c r="A5551">
        <v>242920</v>
      </c>
      <c r="B5551" t="s">
        <v>1759</v>
      </c>
      <c r="C5551" s="1">
        <v>41688</v>
      </c>
      <c r="D5551">
        <v>477</v>
      </c>
      <c r="E5551" t="b">
        <v>0</v>
      </c>
      <c r="F5551">
        <v>795</v>
      </c>
      <c r="G5551" t="s">
        <v>833</v>
      </c>
      <c r="H5551" t="s">
        <v>124</v>
      </c>
      <c r="I5551" t="s">
        <v>2116</v>
      </c>
    </row>
    <row r="5552" spans="1:9" x14ac:dyDescent="0.35">
      <c r="A5552">
        <v>242920</v>
      </c>
      <c r="B5552" t="s">
        <v>1759</v>
      </c>
      <c r="C5552" s="1">
        <v>41688</v>
      </c>
      <c r="D5552">
        <v>477</v>
      </c>
      <c r="E5552" t="b">
        <v>0</v>
      </c>
      <c r="F5552">
        <v>795</v>
      </c>
      <c r="G5552" t="s">
        <v>833</v>
      </c>
      <c r="H5552" t="s">
        <v>1510</v>
      </c>
      <c r="I5552" t="s">
        <v>2117</v>
      </c>
    </row>
    <row r="5553" spans="1:9" x14ac:dyDescent="0.35">
      <c r="A5553">
        <v>3238670</v>
      </c>
      <c r="B5553" t="s">
        <v>1760</v>
      </c>
      <c r="C5553" s="1">
        <v>45777</v>
      </c>
      <c r="D5553">
        <v>476</v>
      </c>
      <c r="E5553" t="b">
        <v>0</v>
      </c>
      <c r="F5553">
        <v>796</v>
      </c>
      <c r="G5553" t="s">
        <v>833</v>
      </c>
      <c r="H5553" t="s">
        <v>49</v>
      </c>
      <c r="I5553" t="s">
        <v>2116</v>
      </c>
    </row>
    <row r="5554" spans="1:9" x14ac:dyDescent="0.35">
      <c r="A5554">
        <v>3238670</v>
      </c>
      <c r="B5554" t="s">
        <v>1760</v>
      </c>
      <c r="C5554" s="1">
        <v>45777</v>
      </c>
      <c r="D5554">
        <v>476</v>
      </c>
      <c r="E5554" t="b">
        <v>0</v>
      </c>
      <c r="F5554">
        <v>796</v>
      </c>
      <c r="G5554" t="s">
        <v>833</v>
      </c>
      <c r="H5554" t="s">
        <v>792</v>
      </c>
      <c r="I5554" t="s">
        <v>2116</v>
      </c>
    </row>
    <row r="5555" spans="1:9" x14ac:dyDescent="0.35">
      <c r="A5555">
        <v>3238670</v>
      </c>
      <c r="B5555" t="s">
        <v>1760</v>
      </c>
      <c r="C5555" s="1">
        <v>45777</v>
      </c>
      <c r="D5555">
        <v>476</v>
      </c>
      <c r="E5555" t="b">
        <v>0</v>
      </c>
      <c r="F5555">
        <v>796</v>
      </c>
      <c r="G5555" t="s">
        <v>833</v>
      </c>
      <c r="H5555" t="s">
        <v>346</v>
      </c>
      <c r="I5555" t="s">
        <v>2117</v>
      </c>
    </row>
    <row r="5556" spans="1:9" x14ac:dyDescent="0.35">
      <c r="A5556">
        <v>3238670</v>
      </c>
      <c r="B5556" t="s">
        <v>1760</v>
      </c>
      <c r="C5556" s="1">
        <v>45777</v>
      </c>
      <c r="D5556">
        <v>476</v>
      </c>
      <c r="E5556" t="b">
        <v>0</v>
      </c>
      <c r="F5556">
        <v>796</v>
      </c>
      <c r="G5556" t="s">
        <v>833</v>
      </c>
      <c r="H5556" t="s">
        <v>239</v>
      </c>
      <c r="I5556" t="s">
        <v>2117</v>
      </c>
    </row>
    <row r="5557" spans="1:9" x14ac:dyDescent="0.35">
      <c r="A5557">
        <v>3238670</v>
      </c>
      <c r="B5557" t="s">
        <v>1760</v>
      </c>
      <c r="C5557" s="1">
        <v>45777</v>
      </c>
      <c r="D5557">
        <v>476</v>
      </c>
      <c r="E5557" t="b">
        <v>0</v>
      </c>
      <c r="F5557">
        <v>796</v>
      </c>
      <c r="G5557" t="s">
        <v>833</v>
      </c>
      <c r="H5557" t="s">
        <v>132</v>
      </c>
      <c r="I5557" t="s">
        <v>2116</v>
      </c>
    </row>
    <row r="5558" spans="1:9" x14ac:dyDescent="0.35">
      <c r="A5558">
        <v>3238670</v>
      </c>
      <c r="B5558" t="s">
        <v>1760</v>
      </c>
      <c r="C5558" s="1">
        <v>45777</v>
      </c>
      <c r="D5558">
        <v>476</v>
      </c>
      <c r="E5558" t="b">
        <v>0</v>
      </c>
      <c r="F5558">
        <v>796</v>
      </c>
      <c r="G5558" t="s">
        <v>833</v>
      </c>
      <c r="H5558" t="s">
        <v>124</v>
      </c>
      <c r="I5558" t="s">
        <v>2117</v>
      </c>
    </row>
    <row r="5559" spans="1:9" x14ac:dyDescent="0.35">
      <c r="A5559">
        <v>3238670</v>
      </c>
      <c r="B5559" t="s">
        <v>1760</v>
      </c>
      <c r="C5559" s="1">
        <v>45777</v>
      </c>
      <c r="D5559">
        <v>476</v>
      </c>
      <c r="E5559" t="b">
        <v>0</v>
      </c>
      <c r="F5559">
        <v>796</v>
      </c>
      <c r="G5559" t="s">
        <v>833</v>
      </c>
      <c r="H5559" t="s">
        <v>1510</v>
      </c>
      <c r="I5559" t="s">
        <v>2117</v>
      </c>
    </row>
    <row r="5560" spans="1:9" x14ac:dyDescent="0.35">
      <c r="A5560">
        <v>597180</v>
      </c>
      <c r="B5560" t="s">
        <v>1762</v>
      </c>
      <c r="C5560" s="1">
        <v>44699</v>
      </c>
      <c r="D5560">
        <v>474</v>
      </c>
      <c r="E5560" t="b">
        <v>1</v>
      </c>
      <c r="F5560">
        <v>797</v>
      </c>
      <c r="G5560" t="s">
        <v>53</v>
      </c>
      <c r="H5560" t="s">
        <v>49</v>
      </c>
      <c r="I5560" t="s">
        <v>2117</v>
      </c>
    </row>
    <row r="5561" spans="1:9" x14ac:dyDescent="0.35">
      <c r="A5561">
        <v>597180</v>
      </c>
      <c r="B5561" t="s">
        <v>1762</v>
      </c>
      <c r="C5561" s="1">
        <v>44699</v>
      </c>
      <c r="D5561">
        <v>474</v>
      </c>
      <c r="E5561" t="b">
        <v>1</v>
      </c>
      <c r="F5561">
        <v>797</v>
      </c>
      <c r="G5561" t="s">
        <v>53</v>
      </c>
      <c r="H5561" t="s">
        <v>792</v>
      </c>
      <c r="I5561" t="s">
        <v>2117</v>
      </c>
    </row>
    <row r="5562" spans="1:9" x14ac:dyDescent="0.35">
      <c r="A5562">
        <v>597180</v>
      </c>
      <c r="B5562" t="s">
        <v>1762</v>
      </c>
      <c r="C5562" s="1">
        <v>44699</v>
      </c>
      <c r="D5562">
        <v>474</v>
      </c>
      <c r="E5562" t="b">
        <v>1</v>
      </c>
      <c r="F5562">
        <v>797</v>
      </c>
      <c r="G5562" t="s">
        <v>53</v>
      </c>
      <c r="H5562" t="s">
        <v>346</v>
      </c>
      <c r="I5562" t="s">
        <v>2117</v>
      </c>
    </row>
    <row r="5563" spans="1:9" x14ac:dyDescent="0.35">
      <c r="A5563">
        <v>597180</v>
      </c>
      <c r="B5563" t="s">
        <v>1762</v>
      </c>
      <c r="C5563" s="1">
        <v>44699</v>
      </c>
      <c r="D5563">
        <v>474</v>
      </c>
      <c r="E5563" t="b">
        <v>1</v>
      </c>
      <c r="F5563">
        <v>797</v>
      </c>
      <c r="G5563" t="s">
        <v>53</v>
      </c>
      <c r="H5563" t="s">
        <v>239</v>
      </c>
      <c r="I5563" t="s">
        <v>2116</v>
      </c>
    </row>
    <row r="5564" spans="1:9" x14ac:dyDescent="0.35">
      <c r="A5564">
        <v>597180</v>
      </c>
      <c r="B5564" t="s">
        <v>1762</v>
      </c>
      <c r="C5564" s="1">
        <v>44699</v>
      </c>
      <c r="D5564">
        <v>474</v>
      </c>
      <c r="E5564" t="b">
        <v>1</v>
      </c>
      <c r="F5564">
        <v>797</v>
      </c>
      <c r="G5564" t="s">
        <v>53</v>
      </c>
      <c r="H5564" t="s">
        <v>132</v>
      </c>
      <c r="I5564" t="s">
        <v>2116</v>
      </c>
    </row>
    <row r="5565" spans="1:9" x14ac:dyDescent="0.35">
      <c r="A5565">
        <v>597180</v>
      </c>
      <c r="B5565" t="s">
        <v>1762</v>
      </c>
      <c r="C5565" s="1">
        <v>44699</v>
      </c>
      <c r="D5565">
        <v>474</v>
      </c>
      <c r="E5565" t="b">
        <v>1</v>
      </c>
      <c r="F5565">
        <v>797</v>
      </c>
      <c r="G5565" t="s">
        <v>53</v>
      </c>
      <c r="H5565" t="s">
        <v>124</v>
      </c>
      <c r="I5565" t="s">
        <v>2116</v>
      </c>
    </row>
    <row r="5566" spans="1:9" x14ac:dyDescent="0.35">
      <c r="A5566">
        <v>597180</v>
      </c>
      <c r="B5566" t="s">
        <v>1762</v>
      </c>
      <c r="C5566" s="1">
        <v>44699</v>
      </c>
      <c r="D5566">
        <v>474</v>
      </c>
      <c r="E5566" t="b">
        <v>1</v>
      </c>
      <c r="F5566">
        <v>797</v>
      </c>
      <c r="G5566" t="s">
        <v>53</v>
      </c>
      <c r="H5566" t="s">
        <v>1510</v>
      </c>
      <c r="I5566" t="s">
        <v>2117</v>
      </c>
    </row>
    <row r="5567" spans="1:9" x14ac:dyDescent="0.35">
      <c r="A5567">
        <v>850190</v>
      </c>
      <c r="B5567" t="s">
        <v>1764</v>
      </c>
      <c r="C5567" s="1">
        <v>45337</v>
      </c>
      <c r="D5567">
        <v>474</v>
      </c>
      <c r="E5567" t="b">
        <v>0</v>
      </c>
      <c r="F5567">
        <v>797</v>
      </c>
      <c r="G5567" t="s">
        <v>25</v>
      </c>
      <c r="H5567" t="s">
        <v>49</v>
      </c>
      <c r="I5567" t="s">
        <v>2117</v>
      </c>
    </row>
    <row r="5568" spans="1:9" x14ac:dyDescent="0.35">
      <c r="A5568">
        <v>850190</v>
      </c>
      <c r="B5568" t="s">
        <v>1764</v>
      </c>
      <c r="C5568" s="1">
        <v>45337</v>
      </c>
      <c r="D5568">
        <v>474</v>
      </c>
      <c r="E5568" t="b">
        <v>0</v>
      </c>
      <c r="F5568">
        <v>797</v>
      </c>
      <c r="G5568" t="s">
        <v>25</v>
      </c>
      <c r="H5568" t="s">
        <v>792</v>
      </c>
      <c r="I5568" t="s">
        <v>2117</v>
      </c>
    </row>
    <row r="5569" spans="1:9" x14ac:dyDescent="0.35">
      <c r="A5569">
        <v>850190</v>
      </c>
      <c r="B5569" t="s">
        <v>1764</v>
      </c>
      <c r="C5569" s="1">
        <v>45337</v>
      </c>
      <c r="D5569">
        <v>474</v>
      </c>
      <c r="E5569" t="b">
        <v>0</v>
      </c>
      <c r="F5569">
        <v>797</v>
      </c>
      <c r="G5569" t="s">
        <v>25</v>
      </c>
      <c r="H5569" t="s">
        <v>346</v>
      </c>
      <c r="I5569" t="s">
        <v>2116</v>
      </c>
    </row>
    <row r="5570" spans="1:9" x14ac:dyDescent="0.35">
      <c r="A5570">
        <v>850190</v>
      </c>
      <c r="B5570" t="s">
        <v>1764</v>
      </c>
      <c r="C5570" s="1">
        <v>45337</v>
      </c>
      <c r="D5570">
        <v>474</v>
      </c>
      <c r="E5570" t="b">
        <v>0</v>
      </c>
      <c r="F5570">
        <v>797</v>
      </c>
      <c r="G5570" t="s">
        <v>25</v>
      </c>
      <c r="H5570" t="s">
        <v>239</v>
      </c>
      <c r="I5570" t="s">
        <v>2116</v>
      </c>
    </row>
    <row r="5571" spans="1:9" x14ac:dyDescent="0.35">
      <c r="A5571">
        <v>850190</v>
      </c>
      <c r="B5571" t="s">
        <v>1764</v>
      </c>
      <c r="C5571" s="1">
        <v>45337</v>
      </c>
      <c r="D5571">
        <v>474</v>
      </c>
      <c r="E5571" t="b">
        <v>0</v>
      </c>
      <c r="F5571">
        <v>797</v>
      </c>
      <c r="G5571" t="s">
        <v>25</v>
      </c>
      <c r="H5571" t="s">
        <v>132</v>
      </c>
      <c r="I5571" t="s">
        <v>2117</v>
      </c>
    </row>
    <row r="5572" spans="1:9" x14ac:dyDescent="0.35">
      <c r="A5572">
        <v>850190</v>
      </c>
      <c r="B5572" t="s">
        <v>1764</v>
      </c>
      <c r="C5572" s="1">
        <v>45337</v>
      </c>
      <c r="D5572">
        <v>474</v>
      </c>
      <c r="E5572" t="b">
        <v>0</v>
      </c>
      <c r="F5572">
        <v>797</v>
      </c>
      <c r="G5572" t="s">
        <v>25</v>
      </c>
      <c r="H5572" t="s">
        <v>124</v>
      </c>
      <c r="I5572" t="s">
        <v>2117</v>
      </c>
    </row>
    <row r="5573" spans="1:9" x14ac:dyDescent="0.35">
      <c r="A5573">
        <v>850190</v>
      </c>
      <c r="B5573" t="s">
        <v>1764</v>
      </c>
      <c r="C5573" s="1">
        <v>45337</v>
      </c>
      <c r="D5573">
        <v>474</v>
      </c>
      <c r="E5573" t="b">
        <v>0</v>
      </c>
      <c r="F5573">
        <v>797</v>
      </c>
      <c r="G5573" t="s">
        <v>25</v>
      </c>
      <c r="H5573" t="s">
        <v>1510</v>
      </c>
      <c r="I5573" t="s">
        <v>2117</v>
      </c>
    </row>
    <row r="5574" spans="1:9" x14ac:dyDescent="0.35">
      <c r="A5574">
        <v>224260</v>
      </c>
      <c r="B5574" t="s">
        <v>1767</v>
      </c>
      <c r="C5574" s="1">
        <v>41578</v>
      </c>
      <c r="D5574">
        <v>473</v>
      </c>
      <c r="E5574" t="b">
        <v>0</v>
      </c>
      <c r="F5574">
        <v>799</v>
      </c>
      <c r="G5574" t="s">
        <v>2084</v>
      </c>
      <c r="H5574" t="s">
        <v>49</v>
      </c>
      <c r="I5574" t="s">
        <v>2116</v>
      </c>
    </row>
    <row r="5575" spans="1:9" x14ac:dyDescent="0.35">
      <c r="A5575">
        <v>224260</v>
      </c>
      <c r="B5575" t="s">
        <v>1767</v>
      </c>
      <c r="C5575" s="1">
        <v>41578</v>
      </c>
      <c r="D5575">
        <v>473</v>
      </c>
      <c r="E5575" t="b">
        <v>0</v>
      </c>
      <c r="F5575">
        <v>799</v>
      </c>
      <c r="G5575" t="s">
        <v>2084</v>
      </c>
      <c r="H5575" t="s">
        <v>792</v>
      </c>
      <c r="I5575" t="s">
        <v>2116</v>
      </c>
    </row>
    <row r="5576" spans="1:9" x14ac:dyDescent="0.35">
      <c r="A5576">
        <v>224260</v>
      </c>
      <c r="B5576" t="s">
        <v>1767</v>
      </c>
      <c r="C5576" s="1">
        <v>41578</v>
      </c>
      <c r="D5576">
        <v>473</v>
      </c>
      <c r="E5576" t="b">
        <v>0</v>
      </c>
      <c r="F5576">
        <v>799</v>
      </c>
      <c r="G5576" t="s">
        <v>2084</v>
      </c>
      <c r="H5576" t="s">
        <v>346</v>
      </c>
      <c r="I5576" t="s">
        <v>2117</v>
      </c>
    </row>
    <row r="5577" spans="1:9" x14ac:dyDescent="0.35">
      <c r="A5577">
        <v>224260</v>
      </c>
      <c r="B5577" t="s">
        <v>1767</v>
      </c>
      <c r="C5577" s="1">
        <v>41578</v>
      </c>
      <c r="D5577">
        <v>473</v>
      </c>
      <c r="E5577" t="b">
        <v>0</v>
      </c>
      <c r="F5577">
        <v>799</v>
      </c>
      <c r="G5577" t="s">
        <v>2084</v>
      </c>
      <c r="H5577" t="s">
        <v>239</v>
      </c>
      <c r="I5577" t="s">
        <v>2117</v>
      </c>
    </row>
    <row r="5578" spans="1:9" x14ac:dyDescent="0.35">
      <c r="A5578">
        <v>224260</v>
      </c>
      <c r="B5578" t="s">
        <v>1767</v>
      </c>
      <c r="C5578" s="1">
        <v>41578</v>
      </c>
      <c r="D5578">
        <v>473</v>
      </c>
      <c r="E5578" t="b">
        <v>0</v>
      </c>
      <c r="F5578">
        <v>799</v>
      </c>
      <c r="G5578" t="s">
        <v>2084</v>
      </c>
      <c r="H5578" t="s">
        <v>132</v>
      </c>
      <c r="I5578" t="s">
        <v>2117</v>
      </c>
    </row>
    <row r="5579" spans="1:9" x14ac:dyDescent="0.35">
      <c r="A5579">
        <v>224260</v>
      </c>
      <c r="B5579" t="s">
        <v>1767</v>
      </c>
      <c r="C5579" s="1">
        <v>41578</v>
      </c>
      <c r="D5579">
        <v>473</v>
      </c>
      <c r="E5579" t="b">
        <v>0</v>
      </c>
      <c r="F5579">
        <v>799</v>
      </c>
      <c r="G5579" t="s">
        <v>2084</v>
      </c>
      <c r="H5579" t="s">
        <v>124</v>
      </c>
      <c r="I5579" t="s">
        <v>2117</v>
      </c>
    </row>
    <row r="5580" spans="1:9" x14ac:dyDescent="0.35">
      <c r="A5580">
        <v>224260</v>
      </c>
      <c r="B5580" t="s">
        <v>1767</v>
      </c>
      <c r="C5580" s="1">
        <v>41578</v>
      </c>
      <c r="D5580">
        <v>473</v>
      </c>
      <c r="E5580" t="b">
        <v>0</v>
      </c>
      <c r="F5580">
        <v>799</v>
      </c>
      <c r="G5580" t="s">
        <v>2084</v>
      </c>
      <c r="H5580" t="s">
        <v>1510</v>
      </c>
      <c r="I5580" t="s">
        <v>2116</v>
      </c>
    </row>
    <row r="5581" spans="1:9" x14ac:dyDescent="0.35">
      <c r="A5581">
        <v>2080690</v>
      </c>
      <c r="B5581" t="s">
        <v>1769</v>
      </c>
      <c r="C5581" s="1">
        <v>45163</v>
      </c>
      <c r="D5581">
        <v>472</v>
      </c>
      <c r="E5581" t="b">
        <v>0</v>
      </c>
      <c r="F5581">
        <v>800</v>
      </c>
      <c r="G5581" t="s">
        <v>14</v>
      </c>
      <c r="H5581" t="s">
        <v>49</v>
      </c>
      <c r="I5581" t="s">
        <v>2116</v>
      </c>
    </row>
    <row r="5582" spans="1:9" x14ac:dyDescent="0.35">
      <c r="A5582">
        <v>2080690</v>
      </c>
      <c r="B5582" t="s">
        <v>1769</v>
      </c>
      <c r="C5582" s="1">
        <v>45163</v>
      </c>
      <c r="D5582">
        <v>472</v>
      </c>
      <c r="E5582" t="b">
        <v>0</v>
      </c>
      <c r="F5582">
        <v>800</v>
      </c>
      <c r="G5582" t="s">
        <v>14</v>
      </c>
      <c r="H5582" t="s">
        <v>792</v>
      </c>
      <c r="I5582" t="s">
        <v>2116</v>
      </c>
    </row>
    <row r="5583" spans="1:9" x14ac:dyDescent="0.35">
      <c r="A5583">
        <v>2080690</v>
      </c>
      <c r="B5583" t="s">
        <v>1769</v>
      </c>
      <c r="C5583" s="1">
        <v>45163</v>
      </c>
      <c r="D5583">
        <v>472</v>
      </c>
      <c r="E5583" t="b">
        <v>0</v>
      </c>
      <c r="F5583">
        <v>800</v>
      </c>
      <c r="G5583" t="s">
        <v>14</v>
      </c>
      <c r="H5583" t="s">
        <v>346</v>
      </c>
      <c r="I5583" t="s">
        <v>2117</v>
      </c>
    </row>
    <row r="5584" spans="1:9" x14ac:dyDescent="0.35">
      <c r="A5584">
        <v>2080690</v>
      </c>
      <c r="B5584" t="s">
        <v>1769</v>
      </c>
      <c r="C5584" s="1">
        <v>45163</v>
      </c>
      <c r="D5584">
        <v>472</v>
      </c>
      <c r="E5584" t="b">
        <v>0</v>
      </c>
      <c r="F5584">
        <v>800</v>
      </c>
      <c r="G5584" t="s">
        <v>14</v>
      </c>
      <c r="H5584" t="s">
        <v>239</v>
      </c>
      <c r="I5584" t="s">
        <v>2117</v>
      </c>
    </row>
    <row r="5585" spans="1:9" x14ac:dyDescent="0.35">
      <c r="A5585">
        <v>2080690</v>
      </c>
      <c r="B5585" t="s">
        <v>1769</v>
      </c>
      <c r="C5585" s="1">
        <v>45163</v>
      </c>
      <c r="D5585">
        <v>472</v>
      </c>
      <c r="E5585" t="b">
        <v>0</v>
      </c>
      <c r="F5585">
        <v>800</v>
      </c>
      <c r="G5585" t="s">
        <v>14</v>
      </c>
      <c r="H5585" t="s">
        <v>132</v>
      </c>
      <c r="I5585" t="s">
        <v>2117</v>
      </c>
    </row>
    <row r="5586" spans="1:9" x14ac:dyDescent="0.35">
      <c r="A5586">
        <v>2080690</v>
      </c>
      <c r="B5586" t="s">
        <v>1769</v>
      </c>
      <c r="C5586" s="1">
        <v>45163</v>
      </c>
      <c r="D5586">
        <v>472</v>
      </c>
      <c r="E5586" t="b">
        <v>0</v>
      </c>
      <c r="F5586">
        <v>800</v>
      </c>
      <c r="G5586" t="s">
        <v>14</v>
      </c>
      <c r="H5586" t="s">
        <v>124</v>
      </c>
      <c r="I5586" t="s">
        <v>2117</v>
      </c>
    </row>
    <row r="5587" spans="1:9" x14ac:dyDescent="0.35">
      <c r="A5587">
        <v>2080690</v>
      </c>
      <c r="B5587" t="s">
        <v>1769</v>
      </c>
      <c r="C5587" s="1">
        <v>45163</v>
      </c>
      <c r="D5587">
        <v>472</v>
      </c>
      <c r="E5587" t="b">
        <v>0</v>
      </c>
      <c r="F5587">
        <v>800</v>
      </c>
      <c r="G5587" t="s">
        <v>14</v>
      </c>
      <c r="H5587" t="s">
        <v>1510</v>
      </c>
      <c r="I5587" t="s">
        <v>2117</v>
      </c>
    </row>
    <row r="5588" spans="1:9" x14ac:dyDescent="0.35">
      <c r="A5588">
        <v>2163330</v>
      </c>
      <c r="B5588" t="s">
        <v>1770</v>
      </c>
      <c r="C5588" s="1">
        <v>45120</v>
      </c>
      <c r="D5588">
        <v>472</v>
      </c>
      <c r="E5588" t="b">
        <v>0</v>
      </c>
      <c r="F5588">
        <v>800</v>
      </c>
      <c r="G5588" t="s">
        <v>36</v>
      </c>
      <c r="H5588" t="s">
        <v>49</v>
      </c>
      <c r="I5588" t="s">
        <v>2116</v>
      </c>
    </row>
    <row r="5589" spans="1:9" x14ac:dyDescent="0.35">
      <c r="A5589">
        <v>2163330</v>
      </c>
      <c r="B5589" t="s">
        <v>1770</v>
      </c>
      <c r="C5589" s="1">
        <v>45120</v>
      </c>
      <c r="D5589">
        <v>472</v>
      </c>
      <c r="E5589" t="b">
        <v>0</v>
      </c>
      <c r="F5589">
        <v>800</v>
      </c>
      <c r="G5589" t="s">
        <v>36</v>
      </c>
      <c r="H5589" t="s">
        <v>792</v>
      </c>
      <c r="I5589" t="s">
        <v>2116</v>
      </c>
    </row>
    <row r="5590" spans="1:9" x14ac:dyDescent="0.35">
      <c r="A5590">
        <v>2163330</v>
      </c>
      <c r="B5590" t="s">
        <v>1770</v>
      </c>
      <c r="C5590" s="1">
        <v>45120</v>
      </c>
      <c r="D5590">
        <v>472</v>
      </c>
      <c r="E5590" t="b">
        <v>0</v>
      </c>
      <c r="F5590">
        <v>800</v>
      </c>
      <c r="G5590" t="s">
        <v>36</v>
      </c>
      <c r="H5590" t="s">
        <v>346</v>
      </c>
      <c r="I5590" t="s">
        <v>2117</v>
      </c>
    </row>
    <row r="5591" spans="1:9" x14ac:dyDescent="0.35">
      <c r="A5591">
        <v>2163330</v>
      </c>
      <c r="B5591" t="s">
        <v>1770</v>
      </c>
      <c r="C5591" s="1">
        <v>45120</v>
      </c>
      <c r="D5591">
        <v>472</v>
      </c>
      <c r="E5591" t="b">
        <v>0</v>
      </c>
      <c r="F5591">
        <v>800</v>
      </c>
      <c r="G5591" t="s">
        <v>36</v>
      </c>
      <c r="H5591" t="s">
        <v>239</v>
      </c>
      <c r="I5591" t="s">
        <v>2117</v>
      </c>
    </row>
    <row r="5592" spans="1:9" x14ac:dyDescent="0.35">
      <c r="A5592">
        <v>2163330</v>
      </c>
      <c r="B5592" t="s">
        <v>1770</v>
      </c>
      <c r="C5592" s="1">
        <v>45120</v>
      </c>
      <c r="D5592">
        <v>472</v>
      </c>
      <c r="E5592" t="b">
        <v>0</v>
      </c>
      <c r="F5592">
        <v>800</v>
      </c>
      <c r="G5592" t="s">
        <v>36</v>
      </c>
      <c r="H5592" t="s">
        <v>132</v>
      </c>
      <c r="I5592" t="s">
        <v>2116</v>
      </c>
    </row>
    <row r="5593" spans="1:9" x14ac:dyDescent="0.35">
      <c r="A5593">
        <v>2163330</v>
      </c>
      <c r="B5593" t="s">
        <v>1770</v>
      </c>
      <c r="C5593" s="1">
        <v>45120</v>
      </c>
      <c r="D5593">
        <v>472</v>
      </c>
      <c r="E5593" t="b">
        <v>0</v>
      </c>
      <c r="F5593">
        <v>800</v>
      </c>
      <c r="G5593" t="s">
        <v>36</v>
      </c>
      <c r="H5593" t="s">
        <v>124</v>
      </c>
      <c r="I5593" t="s">
        <v>2117</v>
      </c>
    </row>
    <row r="5594" spans="1:9" x14ac:dyDescent="0.35">
      <c r="A5594">
        <v>2163330</v>
      </c>
      <c r="B5594" t="s">
        <v>1770</v>
      </c>
      <c r="C5594" s="1">
        <v>45120</v>
      </c>
      <c r="D5594">
        <v>472</v>
      </c>
      <c r="E5594" t="b">
        <v>0</v>
      </c>
      <c r="F5594">
        <v>800</v>
      </c>
      <c r="G5594" t="s">
        <v>36</v>
      </c>
      <c r="H5594" t="s">
        <v>1510</v>
      </c>
      <c r="I5594" t="s">
        <v>2117</v>
      </c>
    </row>
    <row r="5595" spans="1:9" x14ac:dyDescent="0.35">
      <c r="A5595">
        <v>1235140</v>
      </c>
      <c r="B5595" t="s">
        <v>1772</v>
      </c>
      <c r="C5595" s="1">
        <v>44145</v>
      </c>
      <c r="D5595">
        <v>470</v>
      </c>
      <c r="E5595" t="b">
        <v>0</v>
      </c>
      <c r="F5595">
        <v>802</v>
      </c>
      <c r="G5595" t="s">
        <v>18</v>
      </c>
      <c r="H5595" t="s">
        <v>49</v>
      </c>
      <c r="I5595" t="s">
        <v>2116</v>
      </c>
    </row>
    <row r="5596" spans="1:9" x14ac:dyDescent="0.35">
      <c r="A5596">
        <v>1235140</v>
      </c>
      <c r="B5596" t="s">
        <v>1772</v>
      </c>
      <c r="C5596" s="1">
        <v>44145</v>
      </c>
      <c r="D5596">
        <v>470</v>
      </c>
      <c r="E5596" t="b">
        <v>0</v>
      </c>
      <c r="F5596">
        <v>802</v>
      </c>
      <c r="G5596" t="s">
        <v>18</v>
      </c>
      <c r="H5596" t="s">
        <v>792</v>
      </c>
      <c r="I5596" t="s">
        <v>2117</v>
      </c>
    </row>
    <row r="5597" spans="1:9" x14ac:dyDescent="0.35">
      <c r="A5597">
        <v>1235140</v>
      </c>
      <c r="B5597" t="s">
        <v>1772</v>
      </c>
      <c r="C5597" s="1">
        <v>44145</v>
      </c>
      <c r="D5597">
        <v>470</v>
      </c>
      <c r="E5597" t="b">
        <v>0</v>
      </c>
      <c r="F5597">
        <v>802</v>
      </c>
      <c r="G5597" t="s">
        <v>18</v>
      </c>
      <c r="H5597" t="s">
        <v>346</v>
      </c>
      <c r="I5597" t="s">
        <v>2116</v>
      </c>
    </row>
    <row r="5598" spans="1:9" x14ac:dyDescent="0.35">
      <c r="A5598">
        <v>1235140</v>
      </c>
      <c r="B5598" t="s">
        <v>1772</v>
      </c>
      <c r="C5598" s="1">
        <v>44145</v>
      </c>
      <c r="D5598">
        <v>470</v>
      </c>
      <c r="E5598" t="b">
        <v>0</v>
      </c>
      <c r="F5598">
        <v>802</v>
      </c>
      <c r="G5598" t="s">
        <v>18</v>
      </c>
      <c r="H5598" t="s">
        <v>239</v>
      </c>
      <c r="I5598" t="s">
        <v>2117</v>
      </c>
    </row>
    <row r="5599" spans="1:9" x14ac:dyDescent="0.35">
      <c r="A5599">
        <v>1235140</v>
      </c>
      <c r="B5599" t="s">
        <v>1772</v>
      </c>
      <c r="C5599" s="1">
        <v>44145</v>
      </c>
      <c r="D5599">
        <v>470</v>
      </c>
      <c r="E5599" t="b">
        <v>0</v>
      </c>
      <c r="F5599">
        <v>802</v>
      </c>
      <c r="G5599" t="s">
        <v>18</v>
      </c>
      <c r="H5599" t="s">
        <v>132</v>
      </c>
      <c r="I5599" t="s">
        <v>2116</v>
      </c>
    </row>
    <row r="5600" spans="1:9" x14ac:dyDescent="0.35">
      <c r="A5600">
        <v>1235140</v>
      </c>
      <c r="B5600" t="s">
        <v>1772</v>
      </c>
      <c r="C5600" s="1">
        <v>44145</v>
      </c>
      <c r="D5600">
        <v>470</v>
      </c>
      <c r="E5600" t="b">
        <v>0</v>
      </c>
      <c r="F5600">
        <v>802</v>
      </c>
      <c r="G5600" t="s">
        <v>18</v>
      </c>
      <c r="H5600" t="s">
        <v>124</v>
      </c>
      <c r="I5600" t="s">
        <v>2117</v>
      </c>
    </row>
    <row r="5601" spans="1:9" x14ac:dyDescent="0.35">
      <c r="A5601">
        <v>1235140</v>
      </c>
      <c r="B5601" t="s">
        <v>1772</v>
      </c>
      <c r="C5601" s="1">
        <v>44145</v>
      </c>
      <c r="D5601">
        <v>470</v>
      </c>
      <c r="E5601" t="b">
        <v>0</v>
      </c>
      <c r="F5601">
        <v>802</v>
      </c>
      <c r="G5601" t="s">
        <v>18</v>
      </c>
      <c r="H5601" t="s">
        <v>1510</v>
      </c>
      <c r="I5601" t="s">
        <v>2117</v>
      </c>
    </row>
    <row r="5602" spans="1:9" x14ac:dyDescent="0.35">
      <c r="A5602">
        <v>2328480</v>
      </c>
      <c r="B5602" t="s">
        <v>1773</v>
      </c>
      <c r="C5602" s="1">
        <v>45785</v>
      </c>
      <c r="D5602">
        <v>470</v>
      </c>
      <c r="E5602" t="b">
        <v>0</v>
      </c>
      <c r="F5602">
        <v>802</v>
      </c>
      <c r="G5602" t="s">
        <v>36</v>
      </c>
      <c r="H5602" t="s">
        <v>49</v>
      </c>
      <c r="I5602" t="s">
        <v>2117</v>
      </c>
    </row>
    <row r="5603" spans="1:9" x14ac:dyDescent="0.35">
      <c r="A5603">
        <v>2328480</v>
      </c>
      <c r="B5603" t="s">
        <v>1773</v>
      </c>
      <c r="C5603" s="1">
        <v>45785</v>
      </c>
      <c r="D5603">
        <v>470</v>
      </c>
      <c r="E5603" t="b">
        <v>0</v>
      </c>
      <c r="F5603">
        <v>802</v>
      </c>
      <c r="G5603" t="s">
        <v>36</v>
      </c>
      <c r="H5603" t="s">
        <v>792</v>
      </c>
      <c r="I5603" t="s">
        <v>2117</v>
      </c>
    </row>
    <row r="5604" spans="1:9" x14ac:dyDescent="0.35">
      <c r="A5604">
        <v>2328480</v>
      </c>
      <c r="B5604" t="s">
        <v>1773</v>
      </c>
      <c r="C5604" s="1">
        <v>45785</v>
      </c>
      <c r="D5604">
        <v>470</v>
      </c>
      <c r="E5604" t="b">
        <v>0</v>
      </c>
      <c r="F5604">
        <v>802</v>
      </c>
      <c r="G5604" t="s">
        <v>36</v>
      </c>
      <c r="H5604" t="s">
        <v>346</v>
      </c>
      <c r="I5604" t="s">
        <v>2117</v>
      </c>
    </row>
    <row r="5605" spans="1:9" x14ac:dyDescent="0.35">
      <c r="A5605">
        <v>2328480</v>
      </c>
      <c r="B5605" t="s">
        <v>1773</v>
      </c>
      <c r="C5605" s="1">
        <v>45785</v>
      </c>
      <c r="D5605">
        <v>470</v>
      </c>
      <c r="E5605" t="b">
        <v>0</v>
      </c>
      <c r="F5605">
        <v>802</v>
      </c>
      <c r="G5605" t="s">
        <v>36</v>
      </c>
      <c r="H5605" t="s">
        <v>239</v>
      </c>
      <c r="I5605" t="s">
        <v>2117</v>
      </c>
    </row>
    <row r="5606" spans="1:9" x14ac:dyDescent="0.35">
      <c r="A5606">
        <v>2328480</v>
      </c>
      <c r="B5606" t="s">
        <v>1773</v>
      </c>
      <c r="C5606" s="1">
        <v>45785</v>
      </c>
      <c r="D5606">
        <v>470</v>
      </c>
      <c r="E5606" t="b">
        <v>0</v>
      </c>
      <c r="F5606">
        <v>802</v>
      </c>
      <c r="G5606" t="s">
        <v>36</v>
      </c>
      <c r="H5606" t="s">
        <v>132</v>
      </c>
      <c r="I5606" t="s">
        <v>2117</v>
      </c>
    </row>
    <row r="5607" spans="1:9" x14ac:dyDescent="0.35">
      <c r="A5607">
        <v>2328480</v>
      </c>
      <c r="B5607" t="s">
        <v>1773</v>
      </c>
      <c r="C5607" s="1">
        <v>45785</v>
      </c>
      <c r="D5607">
        <v>470</v>
      </c>
      <c r="E5607" t="b">
        <v>0</v>
      </c>
      <c r="F5607">
        <v>802</v>
      </c>
      <c r="G5607" t="s">
        <v>36</v>
      </c>
      <c r="H5607" t="s">
        <v>124</v>
      </c>
      <c r="I5607" t="s">
        <v>2116</v>
      </c>
    </row>
    <row r="5608" spans="1:9" x14ac:dyDescent="0.35">
      <c r="A5608">
        <v>2328480</v>
      </c>
      <c r="B5608" t="s">
        <v>1773</v>
      </c>
      <c r="C5608" s="1">
        <v>45785</v>
      </c>
      <c r="D5608">
        <v>470</v>
      </c>
      <c r="E5608" t="b">
        <v>0</v>
      </c>
      <c r="F5608">
        <v>802</v>
      </c>
      <c r="G5608" t="s">
        <v>36</v>
      </c>
      <c r="H5608" t="s">
        <v>1510</v>
      </c>
      <c r="I5608" t="s">
        <v>2117</v>
      </c>
    </row>
    <row r="5609" spans="1:9" x14ac:dyDescent="0.35">
      <c r="A5609">
        <v>794260</v>
      </c>
      <c r="B5609" t="s">
        <v>1775</v>
      </c>
      <c r="C5609" s="1">
        <v>44698</v>
      </c>
      <c r="D5609">
        <v>469</v>
      </c>
      <c r="E5609" t="b">
        <v>0</v>
      </c>
      <c r="F5609">
        <v>804</v>
      </c>
      <c r="G5609" t="s">
        <v>133</v>
      </c>
      <c r="H5609" t="s">
        <v>49</v>
      </c>
      <c r="I5609" t="s">
        <v>2117</v>
      </c>
    </row>
    <row r="5610" spans="1:9" x14ac:dyDescent="0.35">
      <c r="A5610">
        <v>794260</v>
      </c>
      <c r="B5610" t="s">
        <v>1775</v>
      </c>
      <c r="C5610" s="1">
        <v>44698</v>
      </c>
      <c r="D5610">
        <v>469</v>
      </c>
      <c r="E5610" t="b">
        <v>0</v>
      </c>
      <c r="F5610">
        <v>804</v>
      </c>
      <c r="G5610" t="s">
        <v>133</v>
      </c>
      <c r="H5610" t="s">
        <v>792</v>
      </c>
      <c r="I5610" t="s">
        <v>2117</v>
      </c>
    </row>
    <row r="5611" spans="1:9" x14ac:dyDescent="0.35">
      <c r="A5611">
        <v>794260</v>
      </c>
      <c r="B5611" t="s">
        <v>1775</v>
      </c>
      <c r="C5611" s="1">
        <v>44698</v>
      </c>
      <c r="D5611">
        <v>469</v>
      </c>
      <c r="E5611" t="b">
        <v>0</v>
      </c>
      <c r="F5611">
        <v>804</v>
      </c>
      <c r="G5611" t="s">
        <v>133</v>
      </c>
      <c r="H5611" t="s">
        <v>346</v>
      </c>
      <c r="I5611" t="s">
        <v>2117</v>
      </c>
    </row>
    <row r="5612" spans="1:9" x14ac:dyDescent="0.35">
      <c r="A5612">
        <v>794260</v>
      </c>
      <c r="B5612" t="s">
        <v>1775</v>
      </c>
      <c r="C5612" s="1">
        <v>44698</v>
      </c>
      <c r="D5612">
        <v>469</v>
      </c>
      <c r="E5612" t="b">
        <v>0</v>
      </c>
      <c r="F5612">
        <v>804</v>
      </c>
      <c r="G5612" t="s">
        <v>133</v>
      </c>
      <c r="H5612" t="s">
        <v>239</v>
      </c>
      <c r="I5612" t="s">
        <v>2117</v>
      </c>
    </row>
    <row r="5613" spans="1:9" x14ac:dyDescent="0.35">
      <c r="A5613">
        <v>794260</v>
      </c>
      <c r="B5613" t="s">
        <v>1775</v>
      </c>
      <c r="C5613" s="1">
        <v>44698</v>
      </c>
      <c r="D5613">
        <v>469</v>
      </c>
      <c r="E5613" t="b">
        <v>0</v>
      </c>
      <c r="F5613">
        <v>804</v>
      </c>
      <c r="G5613" t="s">
        <v>133</v>
      </c>
      <c r="H5613" t="s">
        <v>132</v>
      </c>
      <c r="I5613" t="s">
        <v>2116</v>
      </c>
    </row>
    <row r="5614" spans="1:9" x14ac:dyDescent="0.35">
      <c r="A5614">
        <v>794260</v>
      </c>
      <c r="B5614" t="s">
        <v>1775</v>
      </c>
      <c r="C5614" s="1">
        <v>44698</v>
      </c>
      <c r="D5614">
        <v>469</v>
      </c>
      <c r="E5614" t="b">
        <v>0</v>
      </c>
      <c r="F5614">
        <v>804</v>
      </c>
      <c r="G5614" t="s">
        <v>133</v>
      </c>
      <c r="H5614" t="s">
        <v>124</v>
      </c>
      <c r="I5614" t="s">
        <v>2117</v>
      </c>
    </row>
    <row r="5615" spans="1:9" x14ac:dyDescent="0.35">
      <c r="A5615">
        <v>794260</v>
      </c>
      <c r="B5615" t="s">
        <v>1775</v>
      </c>
      <c r="C5615" s="1">
        <v>44698</v>
      </c>
      <c r="D5615">
        <v>469</v>
      </c>
      <c r="E5615" t="b">
        <v>0</v>
      </c>
      <c r="F5615">
        <v>804</v>
      </c>
      <c r="G5615" t="s">
        <v>133</v>
      </c>
      <c r="H5615" t="s">
        <v>1510</v>
      </c>
      <c r="I5615" t="s">
        <v>2117</v>
      </c>
    </row>
    <row r="5616" spans="1:9" x14ac:dyDescent="0.35">
      <c r="A5616">
        <v>834910</v>
      </c>
      <c r="B5616" t="s">
        <v>1777</v>
      </c>
      <c r="C5616" s="1">
        <v>43456</v>
      </c>
      <c r="D5616">
        <v>468</v>
      </c>
      <c r="E5616" t="b">
        <v>0</v>
      </c>
      <c r="F5616">
        <v>805</v>
      </c>
      <c r="G5616" t="s">
        <v>133</v>
      </c>
      <c r="H5616" t="s">
        <v>49</v>
      </c>
      <c r="I5616" t="s">
        <v>2116</v>
      </c>
    </row>
    <row r="5617" spans="1:9" x14ac:dyDescent="0.35">
      <c r="A5617">
        <v>834910</v>
      </c>
      <c r="B5617" t="s">
        <v>1777</v>
      </c>
      <c r="C5617" s="1">
        <v>43456</v>
      </c>
      <c r="D5617">
        <v>468</v>
      </c>
      <c r="E5617" t="b">
        <v>0</v>
      </c>
      <c r="F5617">
        <v>805</v>
      </c>
      <c r="G5617" t="s">
        <v>133</v>
      </c>
      <c r="H5617" t="s">
        <v>792</v>
      </c>
      <c r="I5617" t="s">
        <v>2117</v>
      </c>
    </row>
    <row r="5618" spans="1:9" x14ac:dyDescent="0.35">
      <c r="A5618">
        <v>834910</v>
      </c>
      <c r="B5618" t="s">
        <v>1777</v>
      </c>
      <c r="C5618" s="1">
        <v>43456</v>
      </c>
      <c r="D5618">
        <v>468</v>
      </c>
      <c r="E5618" t="b">
        <v>0</v>
      </c>
      <c r="F5618">
        <v>805</v>
      </c>
      <c r="G5618" t="s">
        <v>133</v>
      </c>
      <c r="H5618" t="s">
        <v>346</v>
      </c>
      <c r="I5618" t="s">
        <v>2116</v>
      </c>
    </row>
    <row r="5619" spans="1:9" x14ac:dyDescent="0.35">
      <c r="A5619">
        <v>834910</v>
      </c>
      <c r="B5619" t="s">
        <v>1777</v>
      </c>
      <c r="C5619" s="1">
        <v>43456</v>
      </c>
      <c r="D5619">
        <v>468</v>
      </c>
      <c r="E5619" t="b">
        <v>0</v>
      </c>
      <c r="F5619">
        <v>805</v>
      </c>
      <c r="G5619" t="s">
        <v>133</v>
      </c>
      <c r="H5619" t="s">
        <v>239</v>
      </c>
      <c r="I5619" t="s">
        <v>2117</v>
      </c>
    </row>
    <row r="5620" spans="1:9" x14ac:dyDescent="0.35">
      <c r="A5620">
        <v>834910</v>
      </c>
      <c r="B5620" t="s">
        <v>1777</v>
      </c>
      <c r="C5620" s="1">
        <v>43456</v>
      </c>
      <c r="D5620">
        <v>468</v>
      </c>
      <c r="E5620" t="b">
        <v>0</v>
      </c>
      <c r="F5620">
        <v>805</v>
      </c>
      <c r="G5620" t="s">
        <v>133</v>
      </c>
      <c r="H5620" t="s">
        <v>132</v>
      </c>
      <c r="I5620" t="s">
        <v>2116</v>
      </c>
    </row>
    <row r="5621" spans="1:9" x14ac:dyDescent="0.35">
      <c r="A5621">
        <v>834910</v>
      </c>
      <c r="B5621" t="s">
        <v>1777</v>
      </c>
      <c r="C5621" s="1">
        <v>43456</v>
      </c>
      <c r="D5621">
        <v>468</v>
      </c>
      <c r="E5621" t="b">
        <v>0</v>
      </c>
      <c r="F5621">
        <v>805</v>
      </c>
      <c r="G5621" t="s">
        <v>133</v>
      </c>
      <c r="H5621" t="s">
        <v>124</v>
      </c>
      <c r="I5621" t="s">
        <v>2117</v>
      </c>
    </row>
    <row r="5622" spans="1:9" x14ac:dyDescent="0.35">
      <c r="A5622">
        <v>834910</v>
      </c>
      <c r="B5622" t="s">
        <v>1777</v>
      </c>
      <c r="C5622" s="1">
        <v>43456</v>
      </c>
      <c r="D5622">
        <v>468</v>
      </c>
      <c r="E5622" t="b">
        <v>0</v>
      </c>
      <c r="F5622">
        <v>805</v>
      </c>
      <c r="G5622" t="s">
        <v>133</v>
      </c>
      <c r="H5622" t="s">
        <v>1510</v>
      </c>
      <c r="I5622" t="s">
        <v>2117</v>
      </c>
    </row>
    <row r="5623" spans="1:9" x14ac:dyDescent="0.35">
      <c r="A5623">
        <v>1659420</v>
      </c>
      <c r="B5623" t="s">
        <v>1779</v>
      </c>
      <c r="C5623" s="1">
        <v>44853</v>
      </c>
      <c r="D5623">
        <v>467</v>
      </c>
      <c r="E5623" t="b">
        <v>0</v>
      </c>
      <c r="F5623">
        <v>806</v>
      </c>
      <c r="G5623" t="s">
        <v>53</v>
      </c>
      <c r="H5623" t="s">
        <v>49</v>
      </c>
      <c r="I5623" t="s">
        <v>2117</v>
      </c>
    </row>
    <row r="5624" spans="1:9" x14ac:dyDescent="0.35">
      <c r="A5624">
        <v>1659420</v>
      </c>
      <c r="B5624" t="s">
        <v>1779</v>
      </c>
      <c r="C5624" s="1">
        <v>44853</v>
      </c>
      <c r="D5624">
        <v>467</v>
      </c>
      <c r="E5624" t="b">
        <v>0</v>
      </c>
      <c r="F5624">
        <v>806</v>
      </c>
      <c r="G5624" t="s">
        <v>53</v>
      </c>
      <c r="H5624" t="s">
        <v>792</v>
      </c>
      <c r="I5624" t="s">
        <v>2117</v>
      </c>
    </row>
    <row r="5625" spans="1:9" x14ac:dyDescent="0.35">
      <c r="A5625">
        <v>1659420</v>
      </c>
      <c r="B5625" t="s">
        <v>1779</v>
      </c>
      <c r="C5625" s="1">
        <v>44853</v>
      </c>
      <c r="D5625">
        <v>467</v>
      </c>
      <c r="E5625" t="b">
        <v>0</v>
      </c>
      <c r="F5625">
        <v>806</v>
      </c>
      <c r="G5625" t="s">
        <v>53</v>
      </c>
      <c r="H5625" t="s">
        <v>346</v>
      </c>
      <c r="I5625" t="s">
        <v>2116</v>
      </c>
    </row>
    <row r="5626" spans="1:9" x14ac:dyDescent="0.35">
      <c r="A5626">
        <v>1659420</v>
      </c>
      <c r="B5626" t="s">
        <v>1779</v>
      </c>
      <c r="C5626" s="1">
        <v>44853</v>
      </c>
      <c r="D5626">
        <v>467</v>
      </c>
      <c r="E5626" t="b">
        <v>0</v>
      </c>
      <c r="F5626">
        <v>806</v>
      </c>
      <c r="G5626" t="s">
        <v>53</v>
      </c>
      <c r="H5626" t="s">
        <v>239</v>
      </c>
      <c r="I5626" t="s">
        <v>2117</v>
      </c>
    </row>
    <row r="5627" spans="1:9" x14ac:dyDescent="0.35">
      <c r="A5627">
        <v>1659420</v>
      </c>
      <c r="B5627" t="s">
        <v>1779</v>
      </c>
      <c r="C5627" s="1">
        <v>44853</v>
      </c>
      <c r="D5627">
        <v>467</v>
      </c>
      <c r="E5627" t="b">
        <v>0</v>
      </c>
      <c r="F5627">
        <v>806</v>
      </c>
      <c r="G5627" t="s">
        <v>53</v>
      </c>
      <c r="H5627" t="s">
        <v>132</v>
      </c>
      <c r="I5627" t="s">
        <v>2117</v>
      </c>
    </row>
    <row r="5628" spans="1:9" x14ac:dyDescent="0.35">
      <c r="A5628">
        <v>1659420</v>
      </c>
      <c r="B5628" t="s">
        <v>1779</v>
      </c>
      <c r="C5628" s="1">
        <v>44853</v>
      </c>
      <c r="D5628">
        <v>467</v>
      </c>
      <c r="E5628" t="b">
        <v>0</v>
      </c>
      <c r="F5628">
        <v>806</v>
      </c>
      <c r="G5628" t="s">
        <v>53</v>
      </c>
      <c r="H5628" t="s">
        <v>124</v>
      </c>
      <c r="I5628" t="s">
        <v>2117</v>
      </c>
    </row>
    <row r="5629" spans="1:9" x14ac:dyDescent="0.35">
      <c r="A5629">
        <v>1659420</v>
      </c>
      <c r="B5629" t="s">
        <v>1779</v>
      </c>
      <c r="C5629" s="1">
        <v>44853</v>
      </c>
      <c r="D5629">
        <v>467</v>
      </c>
      <c r="E5629" t="b">
        <v>0</v>
      </c>
      <c r="F5629">
        <v>806</v>
      </c>
      <c r="G5629" t="s">
        <v>53</v>
      </c>
      <c r="H5629" t="s">
        <v>1510</v>
      </c>
      <c r="I5629" t="s">
        <v>2117</v>
      </c>
    </row>
    <row r="5630" spans="1:9" x14ac:dyDescent="0.35">
      <c r="A5630">
        <v>668580</v>
      </c>
      <c r="B5630" t="s">
        <v>1781</v>
      </c>
      <c r="C5630" s="1">
        <v>44977</v>
      </c>
      <c r="D5630">
        <v>466</v>
      </c>
      <c r="E5630" t="b">
        <v>0</v>
      </c>
      <c r="F5630">
        <v>807</v>
      </c>
      <c r="G5630" t="s">
        <v>816</v>
      </c>
      <c r="H5630" t="s">
        <v>49</v>
      </c>
      <c r="I5630" t="s">
        <v>2116</v>
      </c>
    </row>
    <row r="5631" spans="1:9" x14ac:dyDescent="0.35">
      <c r="A5631">
        <v>668580</v>
      </c>
      <c r="B5631" t="s">
        <v>1781</v>
      </c>
      <c r="C5631" s="1">
        <v>44977</v>
      </c>
      <c r="D5631">
        <v>466</v>
      </c>
      <c r="E5631" t="b">
        <v>0</v>
      </c>
      <c r="F5631">
        <v>807</v>
      </c>
      <c r="G5631" t="s">
        <v>816</v>
      </c>
      <c r="H5631" t="s">
        <v>792</v>
      </c>
      <c r="I5631" t="s">
        <v>2117</v>
      </c>
    </row>
    <row r="5632" spans="1:9" x14ac:dyDescent="0.35">
      <c r="A5632">
        <v>668580</v>
      </c>
      <c r="B5632" t="s">
        <v>1781</v>
      </c>
      <c r="C5632" s="1">
        <v>44977</v>
      </c>
      <c r="D5632">
        <v>466</v>
      </c>
      <c r="E5632" t="b">
        <v>0</v>
      </c>
      <c r="F5632">
        <v>807</v>
      </c>
      <c r="G5632" t="s">
        <v>816</v>
      </c>
      <c r="H5632" t="s">
        <v>346</v>
      </c>
      <c r="I5632" t="s">
        <v>2116</v>
      </c>
    </row>
    <row r="5633" spans="1:9" x14ac:dyDescent="0.35">
      <c r="A5633">
        <v>668580</v>
      </c>
      <c r="B5633" t="s">
        <v>1781</v>
      </c>
      <c r="C5633" s="1">
        <v>44977</v>
      </c>
      <c r="D5633">
        <v>466</v>
      </c>
      <c r="E5633" t="b">
        <v>0</v>
      </c>
      <c r="F5633">
        <v>807</v>
      </c>
      <c r="G5633" t="s">
        <v>816</v>
      </c>
      <c r="H5633" t="s">
        <v>239</v>
      </c>
      <c r="I5633" t="s">
        <v>2117</v>
      </c>
    </row>
    <row r="5634" spans="1:9" x14ac:dyDescent="0.35">
      <c r="A5634">
        <v>668580</v>
      </c>
      <c r="B5634" t="s">
        <v>1781</v>
      </c>
      <c r="C5634" s="1">
        <v>44977</v>
      </c>
      <c r="D5634">
        <v>466</v>
      </c>
      <c r="E5634" t="b">
        <v>0</v>
      </c>
      <c r="F5634">
        <v>807</v>
      </c>
      <c r="G5634" t="s">
        <v>816</v>
      </c>
      <c r="H5634" t="s">
        <v>132</v>
      </c>
      <c r="I5634" t="s">
        <v>2116</v>
      </c>
    </row>
    <row r="5635" spans="1:9" x14ac:dyDescent="0.35">
      <c r="A5635">
        <v>668580</v>
      </c>
      <c r="B5635" t="s">
        <v>1781</v>
      </c>
      <c r="C5635" s="1">
        <v>44977</v>
      </c>
      <c r="D5635">
        <v>466</v>
      </c>
      <c r="E5635" t="b">
        <v>0</v>
      </c>
      <c r="F5635">
        <v>807</v>
      </c>
      <c r="G5635" t="s">
        <v>816</v>
      </c>
      <c r="H5635" t="s">
        <v>124</v>
      </c>
      <c r="I5635" t="s">
        <v>2117</v>
      </c>
    </row>
    <row r="5636" spans="1:9" x14ac:dyDescent="0.35">
      <c r="A5636">
        <v>668580</v>
      </c>
      <c r="B5636" t="s">
        <v>1781</v>
      </c>
      <c r="C5636" s="1">
        <v>44977</v>
      </c>
      <c r="D5636">
        <v>466</v>
      </c>
      <c r="E5636" t="b">
        <v>0</v>
      </c>
      <c r="F5636">
        <v>807</v>
      </c>
      <c r="G5636" t="s">
        <v>816</v>
      </c>
      <c r="H5636" t="s">
        <v>1510</v>
      </c>
      <c r="I5636" t="s">
        <v>2117</v>
      </c>
    </row>
    <row r="5637" spans="1:9" x14ac:dyDescent="0.35">
      <c r="A5637">
        <v>602880</v>
      </c>
      <c r="B5637" t="s">
        <v>1783</v>
      </c>
      <c r="C5637" s="1">
        <v>42822</v>
      </c>
      <c r="D5637">
        <v>465</v>
      </c>
      <c r="E5637" t="b">
        <v>0</v>
      </c>
      <c r="F5637">
        <v>808</v>
      </c>
      <c r="G5637" t="s">
        <v>14</v>
      </c>
      <c r="H5637" t="s">
        <v>49</v>
      </c>
      <c r="I5637" t="s">
        <v>2116</v>
      </c>
    </row>
    <row r="5638" spans="1:9" x14ac:dyDescent="0.35">
      <c r="A5638">
        <v>602880</v>
      </c>
      <c r="B5638" t="s">
        <v>1783</v>
      </c>
      <c r="C5638" s="1">
        <v>42822</v>
      </c>
      <c r="D5638">
        <v>465</v>
      </c>
      <c r="E5638" t="b">
        <v>0</v>
      </c>
      <c r="F5638">
        <v>808</v>
      </c>
      <c r="G5638" t="s">
        <v>14</v>
      </c>
      <c r="H5638" t="s">
        <v>792</v>
      </c>
      <c r="I5638" t="s">
        <v>2116</v>
      </c>
    </row>
    <row r="5639" spans="1:9" x14ac:dyDescent="0.35">
      <c r="A5639">
        <v>602880</v>
      </c>
      <c r="B5639" t="s">
        <v>1783</v>
      </c>
      <c r="C5639" s="1">
        <v>42822</v>
      </c>
      <c r="D5639">
        <v>465</v>
      </c>
      <c r="E5639" t="b">
        <v>0</v>
      </c>
      <c r="F5639">
        <v>808</v>
      </c>
      <c r="G5639" t="s">
        <v>14</v>
      </c>
      <c r="H5639" t="s">
        <v>346</v>
      </c>
      <c r="I5639" t="s">
        <v>2116</v>
      </c>
    </row>
    <row r="5640" spans="1:9" x14ac:dyDescent="0.35">
      <c r="A5640">
        <v>602880</v>
      </c>
      <c r="B5640" t="s">
        <v>1783</v>
      </c>
      <c r="C5640" s="1">
        <v>42822</v>
      </c>
      <c r="D5640">
        <v>465</v>
      </c>
      <c r="E5640" t="b">
        <v>0</v>
      </c>
      <c r="F5640">
        <v>808</v>
      </c>
      <c r="G5640" t="s">
        <v>14</v>
      </c>
      <c r="H5640" t="s">
        <v>239</v>
      </c>
      <c r="I5640" t="s">
        <v>2117</v>
      </c>
    </row>
    <row r="5641" spans="1:9" x14ac:dyDescent="0.35">
      <c r="A5641">
        <v>602880</v>
      </c>
      <c r="B5641" t="s">
        <v>1783</v>
      </c>
      <c r="C5641" s="1">
        <v>42822</v>
      </c>
      <c r="D5641">
        <v>465</v>
      </c>
      <c r="E5641" t="b">
        <v>0</v>
      </c>
      <c r="F5641">
        <v>808</v>
      </c>
      <c r="G5641" t="s">
        <v>14</v>
      </c>
      <c r="H5641" t="s">
        <v>132</v>
      </c>
      <c r="I5641" t="s">
        <v>2117</v>
      </c>
    </row>
    <row r="5642" spans="1:9" x14ac:dyDescent="0.35">
      <c r="A5642">
        <v>602880</v>
      </c>
      <c r="B5642" t="s">
        <v>1783</v>
      </c>
      <c r="C5642" s="1">
        <v>42822</v>
      </c>
      <c r="D5642">
        <v>465</v>
      </c>
      <c r="E5642" t="b">
        <v>0</v>
      </c>
      <c r="F5642">
        <v>808</v>
      </c>
      <c r="G5642" t="s">
        <v>14</v>
      </c>
      <c r="H5642" t="s">
        <v>124</v>
      </c>
      <c r="I5642" t="s">
        <v>2117</v>
      </c>
    </row>
    <row r="5643" spans="1:9" x14ac:dyDescent="0.35">
      <c r="A5643">
        <v>602880</v>
      </c>
      <c r="B5643" t="s">
        <v>1783</v>
      </c>
      <c r="C5643" s="1">
        <v>42822</v>
      </c>
      <c r="D5643">
        <v>465</v>
      </c>
      <c r="E5643" t="b">
        <v>0</v>
      </c>
      <c r="F5643">
        <v>808</v>
      </c>
      <c r="G5643" t="s">
        <v>14</v>
      </c>
      <c r="H5643" t="s">
        <v>1510</v>
      </c>
      <c r="I5643" t="s">
        <v>2117</v>
      </c>
    </row>
    <row r="5644" spans="1:9" x14ac:dyDescent="0.35">
      <c r="A5644">
        <v>1272320</v>
      </c>
      <c r="B5644" t="s">
        <v>1785</v>
      </c>
      <c r="C5644" s="1">
        <v>45569</v>
      </c>
      <c r="D5644">
        <v>464</v>
      </c>
      <c r="E5644" t="b">
        <v>0</v>
      </c>
      <c r="F5644">
        <v>809</v>
      </c>
      <c r="G5644" t="s">
        <v>36</v>
      </c>
      <c r="H5644" t="s">
        <v>49</v>
      </c>
      <c r="I5644" t="s">
        <v>2117</v>
      </c>
    </row>
    <row r="5645" spans="1:9" x14ac:dyDescent="0.35">
      <c r="A5645">
        <v>1272320</v>
      </c>
      <c r="B5645" t="s">
        <v>1785</v>
      </c>
      <c r="C5645" s="1">
        <v>45569</v>
      </c>
      <c r="D5645">
        <v>464</v>
      </c>
      <c r="E5645" t="b">
        <v>0</v>
      </c>
      <c r="F5645">
        <v>809</v>
      </c>
      <c r="G5645" t="s">
        <v>36</v>
      </c>
      <c r="H5645" t="s">
        <v>792</v>
      </c>
      <c r="I5645" t="s">
        <v>2116</v>
      </c>
    </row>
    <row r="5646" spans="1:9" x14ac:dyDescent="0.35">
      <c r="A5646">
        <v>1272320</v>
      </c>
      <c r="B5646" t="s">
        <v>1785</v>
      </c>
      <c r="C5646" s="1">
        <v>45569</v>
      </c>
      <c r="D5646">
        <v>464</v>
      </c>
      <c r="E5646" t="b">
        <v>0</v>
      </c>
      <c r="F5646">
        <v>809</v>
      </c>
      <c r="G5646" t="s">
        <v>36</v>
      </c>
      <c r="H5646" t="s">
        <v>346</v>
      </c>
      <c r="I5646" t="s">
        <v>2117</v>
      </c>
    </row>
    <row r="5647" spans="1:9" x14ac:dyDescent="0.35">
      <c r="A5647">
        <v>1272320</v>
      </c>
      <c r="B5647" t="s">
        <v>1785</v>
      </c>
      <c r="C5647" s="1">
        <v>45569</v>
      </c>
      <c r="D5647">
        <v>464</v>
      </c>
      <c r="E5647" t="b">
        <v>0</v>
      </c>
      <c r="F5647">
        <v>809</v>
      </c>
      <c r="G5647" t="s">
        <v>36</v>
      </c>
      <c r="H5647" t="s">
        <v>239</v>
      </c>
      <c r="I5647" t="s">
        <v>2116</v>
      </c>
    </row>
    <row r="5648" spans="1:9" x14ac:dyDescent="0.35">
      <c r="A5648">
        <v>1272320</v>
      </c>
      <c r="B5648" t="s">
        <v>1785</v>
      </c>
      <c r="C5648" s="1">
        <v>45569</v>
      </c>
      <c r="D5648">
        <v>464</v>
      </c>
      <c r="E5648" t="b">
        <v>0</v>
      </c>
      <c r="F5648">
        <v>809</v>
      </c>
      <c r="G5648" t="s">
        <v>36</v>
      </c>
      <c r="H5648" t="s">
        <v>132</v>
      </c>
      <c r="I5648" t="s">
        <v>2117</v>
      </c>
    </row>
    <row r="5649" spans="1:9" x14ac:dyDescent="0.35">
      <c r="A5649">
        <v>1272320</v>
      </c>
      <c r="B5649" t="s">
        <v>1785</v>
      </c>
      <c r="C5649" s="1">
        <v>45569</v>
      </c>
      <c r="D5649">
        <v>464</v>
      </c>
      <c r="E5649" t="b">
        <v>0</v>
      </c>
      <c r="F5649">
        <v>809</v>
      </c>
      <c r="G5649" t="s">
        <v>36</v>
      </c>
      <c r="H5649" t="s">
        <v>124</v>
      </c>
      <c r="I5649" t="s">
        <v>2116</v>
      </c>
    </row>
    <row r="5650" spans="1:9" x14ac:dyDescent="0.35">
      <c r="A5650">
        <v>1272320</v>
      </c>
      <c r="B5650" t="s">
        <v>1785</v>
      </c>
      <c r="C5650" s="1">
        <v>45569</v>
      </c>
      <c r="D5650">
        <v>464</v>
      </c>
      <c r="E5650" t="b">
        <v>0</v>
      </c>
      <c r="F5650">
        <v>809</v>
      </c>
      <c r="G5650" t="s">
        <v>36</v>
      </c>
      <c r="H5650" t="s">
        <v>1510</v>
      </c>
      <c r="I5650" t="s">
        <v>2117</v>
      </c>
    </row>
    <row r="5651" spans="1:9" x14ac:dyDescent="0.35">
      <c r="A5651">
        <v>1331550</v>
      </c>
      <c r="B5651" t="s">
        <v>1786</v>
      </c>
      <c r="C5651" s="1">
        <v>44995</v>
      </c>
      <c r="D5651">
        <v>460</v>
      </c>
      <c r="E5651" t="b">
        <v>1</v>
      </c>
      <c r="F5651">
        <v>810</v>
      </c>
      <c r="G5651" t="s">
        <v>36</v>
      </c>
      <c r="H5651" t="s">
        <v>49</v>
      </c>
      <c r="I5651" t="s">
        <v>2117</v>
      </c>
    </row>
    <row r="5652" spans="1:9" x14ac:dyDescent="0.35">
      <c r="A5652">
        <v>1331550</v>
      </c>
      <c r="B5652" t="s">
        <v>1786</v>
      </c>
      <c r="C5652" s="1">
        <v>44995</v>
      </c>
      <c r="D5652">
        <v>460</v>
      </c>
      <c r="E5652" t="b">
        <v>1</v>
      </c>
      <c r="F5652">
        <v>810</v>
      </c>
      <c r="G5652" t="s">
        <v>36</v>
      </c>
      <c r="H5652" t="s">
        <v>792</v>
      </c>
      <c r="I5652" t="s">
        <v>2116</v>
      </c>
    </row>
    <row r="5653" spans="1:9" x14ac:dyDescent="0.35">
      <c r="A5653">
        <v>1331550</v>
      </c>
      <c r="B5653" t="s">
        <v>1786</v>
      </c>
      <c r="C5653" s="1">
        <v>44995</v>
      </c>
      <c r="D5653">
        <v>460</v>
      </c>
      <c r="E5653" t="b">
        <v>1</v>
      </c>
      <c r="F5653">
        <v>810</v>
      </c>
      <c r="G5653" t="s">
        <v>36</v>
      </c>
      <c r="H5653" t="s">
        <v>346</v>
      </c>
      <c r="I5653" t="s">
        <v>2117</v>
      </c>
    </row>
    <row r="5654" spans="1:9" x14ac:dyDescent="0.35">
      <c r="A5654">
        <v>1331550</v>
      </c>
      <c r="B5654" t="s">
        <v>1786</v>
      </c>
      <c r="C5654" s="1">
        <v>44995</v>
      </c>
      <c r="D5654">
        <v>460</v>
      </c>
      <c r="E5654" t="b">
        <v>1</v>
      </c>
      <c r="F5654">
        <v>810</v>
      </c>
      <c r="G5654" t="s">
        <v>36</v>
      </c>
      <c r="H5654" t="s">
        <v>239</v>
      </c>
      <c r="I5654" t="s">
        <v>2116</v>
      </c>
    </row>
    <row r="5655" spans="1:9" x14ac:dyDescent="0.35">
      <c r="A5655">
        <v>1331550</v>
      </c>
      <c r="B5655" t="s">
        <v>1786</v>
      </c>
      <c r="C5655" s="1">
        <v>44995</v>
      </c>
      <c r="D5655">
        <v>460</v>
      </c>
      <c r="E5655" t="b">
        <v>1</v>
      </c>
      <c r="F5655">
        <v>810</v>
      </c>
      <c r="G5655" t="s">
        <v>36</v>
      </c>
      <c r="H5655" t="s">
        <v>132</v>
      </c>
      <c r="I5655" t="s">
        <v>2117</v>
      </c>
    </row>
    <row r="5656" spans="1:9" x14ac:dyDescent="0.35">
      <c r="A5656">
        <v>1331550</v>
      </c>
      <c r="B5656" t="s">
        <v>1786</v>
      </c>
      <c r="C5656" s="1">
        <v>44995</v>
      </c>
      <c r="D5656">
        <v>460</v>
      </c>
      <c r="E5656" t="b">
        <v>1</v>
      </c>
      <c r="F5656">
        <v>810</v>
      </c>
      <c r="G5656" t="s">
        <v>36</v>
      </c>
      <c r="H5656" t="s">
        <v>124</v>
      </c>
      <c r="I5656" t="s">
        <v>2117</v>
      </c>
    </row>
    <row r="5657" spans="1:9" x14ac:dyDescent="0.35">
      <c r="A5657">
        <v>1331550</v>
      </c>
      <c r="B5657" t="s">
        <v>1786</v>
      </c>
      <c r="C5657" s="1">
        <v>44995</v>
      </c>
      <c r="D5657">
        <v>460</v>
      </c>
      <c r="E5657" t="b">
        <v>1</v>
      </c>
      <c r="F5657">
        <v>810</v>
      </c>
      <c r="G5657" t="s">
        <v>36</v>
      </c>
      <c r="H5657" t="s">
        <v>1510</v>
      </c>
      <c r="I5657" t="s">
        <v>2117</v>
      </c>
    </row>
    <row r="5658" spans="1:9" x14ac:dyDescent="0.35">
      <c r="A5658">
        <v>205710</v>
      </c>
      <c r="B5658" t="s">
        <v>1787</v>
      </c>
      <c r="C5658" s="1">
        <v>41256</v>
      </c>
      <c r="D5658">
        <v>456</v>
      </c>
      <c r="E5658" t="b">
        <v>0</v>
      </c>
      <c r="F5658">
        <v>811</v>
      </c>
      <c r="G5658" t="s">
        <v>36</v>
      </c>
      <c r="H5658" t="s">
        <v>49</v>
      </c>
      <c r="I5658" t="s">
        <v>2117</v>
      </c>
    </row>
    <row r="5659" spans="1:9" x14ac:dyDescent="0.35">
      <c r="A5659">
        <v>205710</v>
      </c>
      <c r="B5659" t="s">
        <v>1787</v>
      </c>
      <c r="C5659" s="1">
        <v>41256</v>
      </c>
      <c r="D5659">
        <v>456</v>
      </c>
      <c r="E5659" t="b">
        <v>0</v>
      </c>
      <c r="F5659">
        <v>811</v>
      </c>
      <c r="G5659" t="s">
        <v>36</v>
      </c>
      <c r="H5659" t="s">
        <v>792</v>
      </c>
      <c r="I5659" t="s">
        <v>2117</v>
      </c>
    </row>
    <row r="5660" spans="1:9" x14ac:dyDescent="0.35">
      <c r="A5660">
        <v>205710</v>
      </c>
      <c r="B5660" t="s">
        <v>1787</v>
      </c>
      <c r="C5660" s="1">
        <v>41256</v>
      </c>
      <c r="D5660">
        <v>456</v>
      </c>
      <c r="E5660" t="b">
        <v>0</v>
      </c>
      <c r="F5660">
        <v>811</v>
      </c>
      <c r="G5660" t="s">
        <v>36</v>
      </c>
      <c r="H5660" t="s">
        <v>346</v>
      </c>
      <c r="I5660" t="s">
        <v>2117</v>
      </c>
    </row>
    <row r="5661" spans="1:9" x14ac:dyDescent="0.35">
      <c r="A5661">
        <v>205710</v>
      </c>
      <c r="B5661" t="s">
        <v>1787</v>
      </c>
      <c r="C5661" s="1">
        <v>41256</v>
      </c>
      <c r="D5661">
        <v>456</v>
      </c>
      <c r="E5661" t="b">
        <v>0</v>
      </c>
      <c r="F5661">
        <v>811</v>
      </c>
      <c r="G5661" t="s">
        <v>36</v>
      </c>
      <c r="H5661" t="s">
        <v>239</v>
      </c>
      <c r="I5661" t="s">
        <v>2117</v>
      </c>
    </row>
    <row r="5662" spans="1:9" x14ac:dyDescent="0.35">
      <c r="A5662">
        <v>205710</v>
      </c>
      <c r="B5662" t="s">
        <v>1787</v>
      </c>
      <c r="C5662" s="1">
        <v>41256</v>
      </c>
      <c r="D5662">
        <v>456</v>
      </c>
      <c r="E5662" t="b">
        <v>0</v>
      </c>
      <c r="F5662">
        <v>811</v>
      </c>
      <c r="G5662" t="s">
        <v>36</v>
      </c>
      <c r="H5662" t="s">
        <v>132</v>
      </c>
      <c r="I5662" t="s">
        <v>2116</v>
      </c>
    </row>
    <row r="5663" spans="1:9" x14ac:dyDescent="0.35">
      <c r="A5663">
        <v>205710</v>
      </c>
      <c r="B5663" t="s">
        <v>1787</v>
      </c>
      <c r="C5663" s="1">
        <v>41256</v>
      </c>
      <c r="D5663">
        <v>456</v>
      </c>
      <c r="E5663" t="b">
        <v>0</v>
      </c>
      <c r="F5663">
        <v>811</v>
      </c>
      <c r="G5663" t="s">
        <v>36</v>
      </c>
      <c r="H5663" t="s">
        <v>124</v>
      </c>
      <c r="I5663" t="s">
        <v>2117</v>
      </c>
    </row>
    <row r="5664" spans="1:9" x14ac:dyDescent="0.35">
      <c r="A5664">
        <v>205710</v>
      </c>
      <c r="B5664" t="s">
        <v>1787</v>
      </c>
      <c r="C5664" s="1">
        <v>41256</v>
      </c>
      <c r="D5664">
        <v>456</v>
      </c>
      <c r="E5664" t="b">
        <v>0</v>
      </c>
      <c r="F5664">
        <v>811</v>
      </c>
      <c r="G5664" t="s">
        <v>36</v>
      </c>
      <c r="H5664" t="s">
        <v>1510</v>
      </c>
      <c r="I5664" t="s">
        <v>2116</v>
      </c>
    </row>
    <row r="5665" spans="1:9" x14ac:dyDescent="0.35">
      <c r="A5665">
        <v>1960270</v>
      </c>
      <c r="B5665" t="s">
        <v>1788</v>
      </c>
      <c r="C5665" s="1">
        <v>45426</v>
      </c>
      <c r="D5665">
        <v>455</v>
      </c>
      <c r="E5665" t="b">
        <v>0</v>
      </c>
      <c r="F5665">
        <v>812</v>
      </c>
      <c r="G5665" t="s">
        <v>175</v>
      </c>
      <c r="H5665" t="s">
        <v>49</v>
      </c>
      <c r="I5665" t="s">
        <v>2117</v>
      </c>
    </row>
    <row r="5666" spans="1:9" x14ac:dyDescent="0.35">
      <c r="A5666">
        <v>1960270</v>
      </c>
      <c r="B5666" t="s">
        <v>1788</v>
      </c>
      <c r="C5666" s="1">
        <v>45426</v>
      </c>
      <c r="D5666">
        <v>455</v>
      </c>
      <c r="E5666" t="b">
        <v>0</v>
      </c>
      <c r="F5666">
        <v>812</v>
      </c>
      <c r="G5666" t="s">
        <v>175</v>
      </c>
      <c r="H5666" t="s">
        <v>792</v>
      </c>
      <c r="I5666" t="s">
        <v>2117</v>
      </c>
    </row>
    <row r="5667" spans="1:9" x14ac:dyDescent="0.35">
      <c r="A5667">
        <v>1960270</v>
      </c>
      <c r="B5667" t="s">
        <v>1788</v>
      </c>
      <c r="C5667" s="1">
        <v>45426</v>
      </c>
      <c r="D5667">
        <v>455</v>
      </c>
      <c r="E5667" t="b">
        <v>0</v>
      </c>
      <c r="F5667">
        <v>812</v>
      </c>
      <c r="G5667" t="s">
        <v>175</v>
      </c>
      <c r="H5667" t="s">
        <v>346</v>
      </c>
      <c r="I5667" t="s">
        <v>2117</v>
      </c>
    </row>
    <row r="5668" spans="1:9" x14ac:dyDescent="0.35">
      <c r="A5668">
        <v>1960270</v>
      </c>
      <c r="B5668" t="s">
        <v>1788</v>
      </c>
      <c r="C5668" s="1">
        <v>45426</v>
      </c>
      <c r="D5668">
        <v>455</v>
      </c>
      <c r="E5668" t="b">
        <v>0</v>
      </c>
      <c r="F5668">
        <v>812</v>
      </c>
      <c r="G5668" t="s">
        <v>175</v>
      </c>
      <c r="H5668" t="s">
        <v>239</v>
      </c>
      <c r="I5668" t="s">
        <v>2117</v>
      </c>
    </row>
    <row r="5669" spans="1:9" x14ac:dyDescent="0.35">
      <c r="A5669">
        <v>1960270</v>
      </c>
      <c r="B5669" t="s">
        <v>1788</v>
      </c>
      <c r="C5669" s="1">
        <v>45426</v>
      </c>
      <c r="D5669">
        <v>455</v>
      </c>
      <c r="E5669" t="b">
        <v>0</v>
      </c>
      <c r="F5669">
        <v>812</v>
      </c>
      <c r="G5669" t="s">
        <v>175</v>
      </c>
      <c r="H5669" t="s">
        <v>132</v>
      </c>
      <c r="I5669" t="s">
        <v>2116</v>
      </c>
    </row>
    <row r="5670" spans="1:9" x14ac:dyDescent="0.35">
      <c r="A5670">
        <v>1960270</v>
      </c>
      <c r="B5670" t="s">
        <v>1788</v>
      </c>
      <c r="C5670" s="1">
        <v>45426</v>
      </c>
      <c r="D5670">
        <v>455</v>
      </c>
      <c r="E5670" t="b">
        <v>0</v>
      </c>
      <c r="F5670">
        <v>812</v>
      </c>
      <c r="G5670" t="s">
        <v>175</v>
      </c>
      <c r="H5670" t="s">
        <v>124</v>
      </c>
      <c r="I5670" t="s">
        <v>2117</v>
      </c>
    </row>
    <row r="5671" spans="1:9" x14ac:dyDescent="0.35">
      <c r="A5671">
        <v>1960270</v>
      </c>
      <c r="B5671" t="s">
        <v>1788</v>
      </c>
      <c r="C5671" s="1">
        <v>45426</v>
      </c>
      <c r="D5671">
        <v>455</v>
      </c>
      <c r="E5671" t="b">
        <v>0</v>
      </c>
      <c r="F5671">
        <v>812</v>
      </c>
      <c r="G5671" t="s">
        <v>175</v>
      </c>
      <c r="H5671" t="s">
        <v>1510</v>
      </c>
      <c r="I5671" t="s">
        <v>2117</v>
      </c>
    </row>
    <row r="5672" spans="1:9" x14ac:dyDescent="0.35">
      <c r="A5672">
        <v>1683150</v>
      </c>
      <c r="B5672" t="s">
        <v>1789</v>
      </c>
      <c r="C5672" s="1">
        <v>45267</v>
      </c>
      <c r="D5672">
        <v>455</v>
      </c>
      <c r="E5672" t="b">
        <v>0</v>
      </c>
      <c r="F5672">
        <v>812</v>
      </c>
      <c r="G5672" t="s">
        <v>175</v>
      </c>
      <c r="H5672" t="s">
        <v>49</v>
      </c>
      <c r="I5672" t="s">
        <v>2117</v>
      </c>
    </row>
    <row r="5673" spans="1:9" x14ac:dyDescent="0.35">
      <c r="A5673">
        <v>1683150</v>
      </c>
      <c r="B5673" t="s">
        <v>1789</v>
      </c>
      <c r="C5673" s="1">
        <v>45267</v>
      </c>
      <c r="D5673">
        <v>455</v>
      </c>
      <c r="E5673" t="b">
        <v>0</v>
      </c>
      <c r="F5673">
        <v>812</v>
      </c>
      <c r="G5673" t="s">
        <v>175</v>
      </c>
      <c r="H5673" t="s">
        <v>792</v>
      </c>
      <c r="I5673" t="s">
        <v>2117</v>
      </c>
    </row>
    <row r="5674" spans="1:9" x14ac:dyDescent="0.35">
      <c r="A5674">
        <v>1683150</v>
      </c>
      <c r="B5674" t="s">
        <v>1789</v>
      </c>
      <c r="C5674" s="1">
        <v>45267</v>
      </c>
      <c r="D5674">
        <v>455</v>
      </c>
      <c r="E5674" t="b">
        <v>0</v>
      </c>
      <c r="F5674">
        <v>812</v>
      </c>
      <c r="G5674" t="s">
        <v>175</v>
      </c>
      <c r="H5674" t="s">
        <v>346</v>
      </c>
      <c r="I5674" t="s">
        <v>2117</v>
      </c>
    </row>
    <row r="5675" spans="1:9" x14ac:dyDescent="0.35">
      <c r="A5675">
        <v>1683150</v>
      </c>
      <c r="B5675" t="s">
        <v>1789</v>
      </c>
      <c r="C5675" s="1">
        <v>45267</v>
      </c>
      <c r="D5675">
        <v>455</v>
      </c>
      <c r="E5675" t="b">
        <v>0</v>
      </c>
      <c r="F5675">
        <v>812</v>
      </c>
      <c r="G5675" t="s">
        <v>175</v>
      </c>
      <c r="H5675" t="s">
        <v>239</v>
      </c>
      <c r="I5675" t="s">
        <v>2116</v>
      </c>
    </row>
    <row r="5676" spans="1:9" x14ac:dyDescent="0.35">
      <c r="A5676">
        <v>1683150</v>
      </c>
      <c r="B5676" t="s">
        <v>1789</v>
      </c>
      <c r="C5676" s="1">
        <v>45267</v>
      </c>
      <c r="D5676">
        <v>455</v>
      </c>
      <c r="E5676" t="b">
        <v>0</v>
      </c>
      <c r="F5676">
        <v>812</v>
      </c>
      <c r="G5676" t="s">
        <v>175</v>
      </c>
      <c r="H5676" t="s">
        <v>132</v>
      </c>
      <c r="I5676" t="s">
        <v>2117</v>
      </c>
    </row>
    <row r="5677" spans="1:9" x14ac:dyDescent="0.35">
      <c r="A5677">
        <v>1683150</v>
      </c>
      <c r="B5677" t="s">
        <v>1789</v>
      </c>
      <c r="C5677" s="1">
        <v>45267</v>
      </c>
      <c r="D5677">
        <v>455</v>
      </c>
      <c r="E5677" t="b">
        <v>0</v>
      </c>
      <c r="F5677">
        <v>812</v>
      </c>
      <c r="G5677" t="s">
        <v>175</v>
      </c>
      <c r="H5677" t="s">
        <v>124</v>
      </c>
      <c r="I5677" t="s">
        <v>2116</v>
      </c>
    </row>
    <row r="5678" spans="1:9" x14ac:dyDescent="0.35">
      <c r="A5678">
        <v>1683150</v>
      </c>
      <c r="B5678" t="s">
        <v>1789</v>
      </c>
      <c r="C5678" s="1">
        <v>45267</v>
      </c>
      <c r="D5678">
        <v>455</v>
      </c>
      <c r="E5678" t="b">
        <v>0</v>
      </c>
      <c r="F5678">
        <v>812</v>
      </c>
      <c r="G5678" t="s">
        <v>175</v>
      </c>
      <c r="H5678" t="s">
        <v>1510</v>
      </c>
      <c r="I5678" t="s">
        <v>2117</v>
      </c>
    </row>
    <row r="5679" spans="1:9" x14ac:dyDescent="0.35">
      <c r="A5679">
        <v>1222690</v>
      </c>
      <c r="B5679" t="s">
        <v>1791</v>
      </c>
      <c r="C5679" s="1">
        <v>43986</v>
      </c>
      <c r="D5679">
        <v>454</v>
      </c>
      <c r="E5679" t="b">
        <v>0</v>
      </c>
      <c r="F5679">
        <v>814</v>
      </c>
      <c r="G5679" t="s">
        <v>40</v>
      </c>
      <c r="H5679" t="s">
        <v>49</v>
      </c>
      <c r="I5679" t="s">
        <v>2116</v>
      </c>
    </row>
    <row r="5680" spans="1:9" x14ac:dyDescent="0.35">
      <c r="A5680">
        <v>1222690</v>
      </c>
      <c r="B5680" t="s">
        <v>1791</v>
      </c>
      <c r="C5680" s="1">
        <v>43986</v>
      </c>
      <c r="D5680">
        <v>454</v>
      </c>
      <c r="E5680" t="b">
        <v>0</v>
      </c>
      <c r="F5680">
        <v>814</v>
      </c>
      <c r="G5680" t="s">
        <v>40</v>
      </c>
      <c r="H5680" t="s">
        <v>792</v>
      </c>
      <c r="I5680" t="s">
        <v>2117</v>
      </c>
    </row>
    <row r="5681" spans="1:9" x14ac:dyDescent="0.35">
      <c r="A5681">
        <v>1222690</v>
      </c>
      <c r="B5681" t="s">
        <v>1791</v>
      </c>
      <c r="C5681" s="1">
        <v>43986</v>
      </c>
      <c r="D5681">
        <v>454</v>
      </c>
      <c r="E5681" t="b">
        <v>0</v>
      </c>
      <c r="F5681">
        <v>814</v>
      </c>
      <c r="G5681" t="s">
        <v>40</v>
      </c>
      <c r="H5681" t="s">
        <v>346</v>
      </c>
      <c r="I5681" t="s">
        <v>2116</v>
      </c>
    </row>
    <row r="5682" spans="1:9" x14ac:dyDescent="0.35">
      <c r="A5682">
        <v>1222690</v>
      </c>
      <c r="B5682" t="s">
        <v>1791</v>
      </c>
      <c r="C5682" s="1">
        <v>43986</v>
      </c>
      <c r="D5682">
        <v>454</v>
      </c>
      <c r="E5682" t="b">
        <v>0</v>
      </c>
      <c r="F5682">
        <v>814</v>
      </c>
      <c r="G5682" t="s">
        <v>40</v>
      </c>
      <c r="H5682" t="s">
        <v>239</v>
      </c>
      <c r="I5682" t="s">
        <v>2117</v>
      </c>
    </row>
    <row r="5683" spans="1:9" x14ac:dyDescent="0.35">
      <c r="A5683">
        <v>1222690</v>
      </c>
      <c r="B5683" t="s">
        <v>1791</v>
      </c>
      <c r="C5683" s="1">
        <v>43986</v>
      </c>
      <c r="D5683">
        <v>454</v>
      </c>
      <c r="E5683" t="b">
        <v>0</v>
      </c>
      <c r="F5683">
        <v>814</v>
      </c>
      <c r="G5683" t="s">
        <v>40</v>
      </c>
      <c r="H5683" t="s">
        <v>132</v>
      </c>
      <c r="I5683" t="s">
        <v>2116</v>
      </c>
    </row>
    <row r="5684" spans="1:9" x14ac:dyDescent="0.35">
      <c r="A5684">
        <v>1222690</v>
      </c>
      <c r="B5684" t="s">
        <v>1791</v>
      </c>
      <c r="C5684" s="1">
        <v>43986</v>
      </c>
      <c r="D5684">
        <v>454</v>
      </c>
      <c r="E5684" t="b">
        <v>0</v>
      </c>
      <c r="F5684">
        <v>814</v>
      </c>
      <c r="G5684" t="s">
        <v>40</v>
      </c>
      <c r="H5684" t="s">
        <v>124</v>
      </c>
      <c r="I5684" t="s">
        <v>2116</v>
      </c>
    </row>
    <row r="5685" spans="1:9" x14ac:dyDescent="0.35">
      <c r="A5685">
        <v>1222690</v>
      </c>
      <c r="B5685" t="s">
        <v>1791</v>
      </c>
      <c r="C5685" s="1">
        <v>43986</v>
      </c>
      <c r="D5685">
        <v>454</v>
      </c>
      <c r="E5685" t="b">
        <v>0</v>
      </c>
      <c r="F5685">
        <v>814</v>
      </c>
      <c r="G5685" t="s">
        <v>40</v>
      </c>
      <c r="H5685" t="s">
        <v>1510</v>
      </c>
      <c r="I5685" t="s">
        <v>2117</v>
      </c>
    </row>
    <row r="5686" spans="1:9" x14ac:dyDescent="0.35">
      <c r="A5686">
        <v>2124120</v>
      </c>
      <c r="B5686" t="s">
        <v>1793</v>
      </c>
      <c r="C5686" s="1">
        <v>45593</v>
      </c>
      <c r="D5686">
        <v>451</v>
      </c>
      <c r="E5686" t="b">
        <v>0</v>
      </c>
      <c r="F5686">
        <v>815</v>
      </c>
      <c r="G5686" t="s">
        <v>371</v>
      </c>
      <c r="H5686" t="s">
        <v>49</v>
      </c>
      <c r="I5686" t="s">
        <v>2116</v>
      </c>
    </row>
    <row r="5687" spans="1:9" x14ac:dyDescent="0.35">
      <c r="A5687">
        <v>2124120</v>
      </c>
      <c r="B5687" t="s">
        <v>1793</v>
      </c>
      <c r="C5687" s="1">
        <v>45593</v>
      </c>
      <c r="D5687">
        <v>451</v>
      </c>
      <c r="E5687" t="b">
        <v>0</v>
      </c>
      <c r="F5687">
        <v>815</v>
      </c>
      <c r="G5687" t="s">
        <v>371</v>
      </c>
      <c r="H5687" t="s">
        <v>792</v>
      </c>
      <c r="I5687" t="s">
        <v>2116</v>
      </c>
    </row>
    <row r="5688" spans="1:9" x14ac:dyDescent="0.35">
      <c r="A5688">
        <v>2124120</v>
      </c>
      <c r="B5688" t="s">
        <v>1793</v>
      </c>
      <c r="C5688" s="1">
        <v>45593</v>
      </c>
      <c r="D5688">
        <v>451</v>
      </c>
      <c r="E5688" t="b">
        <v>0</v>
      </c>
      <c r="F5688">
        <v>815</v>
      </c>
      <c r="G5688" t="s">
        <v>371</v>
      </c>
      <c r="H5688" t="s">
        <v>346</v>
      </c>
      <c r="I5688" t="s">
        <v>2116</v>
      </c>
    </row>
    <row r="5689" spans="1:9" x14ac:dyDescent="0.35">
      <c r="A5689">
        <v>2124120</v>
      </c>
      <c r="B5689" t="s">
        <v>1793</v>
      </c>
      <c r="C5689" s="1">
        <v>45593</v>
      </c>
      <c r="D5689">
        <v>451</v>
      </c>
      <c r="E5689" t="b">
        <v>0</v>
      </c>
      <c r="F5689">
        <v>815</v>
      </c>
      <c r="G5689" t="s">
        <v>371</v>
      </c>
      <c r="H5689" t="s">
        <v>239</v>
      </c>
      <c r="I5689" t="s">
        <v>2116</v>
      </c>
    </row>
    <row r="5690" spans="1:9" x14ac:dyDescent="0.35">
      <c r="A5690">
        <v>2124120</v>
      </c>
      <c r="B5690" t="s">
        <v>1793</v>
      </c>
      <c r="C5690" s="1">
        <v>45593</v>
      </c>
      <c r="D5690">
        <v>451</v>
      </c>
      <c r="E5690" t="b">
        <v>0</v>
      </c>
      <c r="F5690">
        <v>815</v>
      </c>
      <c r="G5690" t="s">
        <v>371</v>
      </c>
      <c r="H5690" t="s">
        <v>132</v>
      </c>
      <c r="I5690" t="s">
        <v>2116</v>
      </c>
    </row>
    <row r="5691" spans="1:9" x14ac:dyDescent="0.35">
      <c r="A5691">
        <v>2124120</v>
      </c>
      <c r="B5691" t="s">
        <v>1793</v>
      </c>
      <c r="C5691" s="1">
        <v>45593</v>
      </c>
      <c r="D5691">
        <v>451</v>
      </c>
      <c r="E5691" t="b">
        <v>0</v>
      </c>
      <c r="F5691">
        <v>815</v>
      </c>
      <c r="G5691" t="s">
        <v>371</v>
      </c>
      <c r="H5691" t="s">
        <v>124</v>
      </c>
      <c r="I5691" t="s">
        <v>2117</v>
      </c>
    </row>
    <row r="5692" spans="1:9" x14ac:dyDescent="0.35">
      <c r="A5692">
        <v>2124120</v>
      </c>
      <c r="B5692" t="s">
        <v>1793</v>
      </c>
      <c r="C5692" s="1">
        <v>45593</v>
      </c>
      <c r="D5692">
        <v>451</v>
      </c>
      <c r="E5692" t="b">
        <v>0</v>
      </c>
      <c r="F5692">
        <v>815</v>
      </c>
      <c r="G5692" t="s">
        <v>371</v>
      </c>
      <c r="H5692" t="s">
        <v>1510</v>
      </c>
      <c r="I5692" t="s">
        <v>2117</v>
      </c>
    </row>
    <row r="5693" spans="1:9" x14ac:dyDescent="0.35">
      <c r="A5693">
        <v>1881700</v>
      </c>
      <c r="B5693" t="s">
        <v>1795</v>
      </c>
      <c r="C5693" s="1">
        <v>45090</v>
      </c>
      <c r="D5693">
        <v>451</v>
      </c>
      <c r="E5693" t="b">
        <v>0</v>
      </c>
      <c r="F5693">
        <v>815</v>
      </c>
      <c r="G5693" t="s">
        <v>36</v>
      </c>
      <c r="H5693" t="s">
        <v>49</v>
      </c>
      <c r="I5693" t="s">
        <v>2117</v>
      </c>
    </row>
    <row r="5694" spans="1:9" x14ac:dyDescent="0.35">
      <c r="A5694">
        <v>1881700</v>
      </c>
      <c r="B5694" t="s">
        <v>1795</v>
      </c>
      <c r="C5694" s="1">
        <v>45090</v>
      </c>
      <c r="D5694">
        <v>451</v>
      </c>
      <c r="E5694" t="b">
        <v>0</v>
      </c>
      <c r="F5694">
        <v>815</v>
      </c>
      <c r="G5694" t="s">
        <v>36</v>
      </c>
      <c r="H5694" t="s">
        <v>792</v>
      </c>
      <c r="I5694" t="s">
        <v>2117</v>
      </c>
    </row>
    <row r="5695" spans="1:9" x14ac:dyDescent="0.35">
      <c r="A5695">
        <v>1881700</v>
      </c>
      <c r="B5695" t="s">
        <v>1795</v>
      </c>
      <c r="C5695" s="1">
        <v>45090</v>
      </c>
      <c r="D5695">
        <v>451</v>
      </c>
      <c r="E5695" t="b">
        <v>0</v>
      </c>
      <c r="F5695">
        <v>815</v>
      </c>
      <c r="G5695" t="s">
        <v>36</v>
      </c>
      <c r="H5695" t="s">
        <v>346</v>
      </c>
      <c r="I5695" t="s">
        <v>2116</v>
      </c>
    </row>
    <row r="5696" spans="1:9" x14ac:dyDescent="0.35">
      <c r="A5696">
        <v>1881700</v>
      </c>
      <c r="B5696" t="s">
        <v>1795</v>
      </c>
      <c r="C5696" s="1">
        <v>45090</v>
      </c>
      <c r="D5696">
        <v>451</v>
      </c>
      <c r="E5696" t="b">
        <v>0</v>
      </c>
      <c r="F5696">
        <v>815</v>
      </c>
      <c r="G5696" t="s">
        <v>36</v>
      </c>
      <c r="H5696" t="s">
        <v>239</v>
      </c>
      <c r="I5696" t="s">
        <v>2117</v>
      </c>
    </row>
    <row r="5697" spans="1:9" x14ac:dyDescent="0.35">
      <c r="A5697">
        <v>1881700</v>
      </c>
      <c r="B5697" t="s">
        <v>1795</v>
      </c>
      <c r="C5697" s="1">
        <v>45090</v>
      </c>
      <c r="D5697">
        <v>451</v>
      </c>
      <c r="E5697" t="b">
        <v>0</v>
      </c>
      <c r="F5697">
        <v>815</v>
      </c>
      <c r="G5697" t="s">
        <v>36</v>
      </c>
      <c r="H5697" t="s">
        <v>132</v>
      </c>
      <c r="I5697" t="s">
        <v>2116</v>
      </c>
    </row>
    <row r="5698" spans="1:9" x14ac:dyDescent="0.35">
      <c r="A5698">
        <v>1881700</v>
      </c>
      <c r="B5698" t="s">
        <v>1795</v>
      </c>
      <c r="C5698" s="1">
        <v>45090</v>
      </c>
      <c r="D5698">
        <v>451</v>
      </c>
      <c r="E5698" t="b">
        <v>0</v>
      </c>
      <c r="F5698">
        <v>815</v>
      </c>
      <c r="G5698" t="s">
        <v>36</v>
      </c>
      <c r="H5698" t="s">
        <v>124</v>
      </c>
      <c r="I5698" t="s">
        <v>2117</v>
      </c>
    </row>
    <row r="5699" spans="1:9" x14ac:dyDescent="0.35">
      <c r="A5699">
        <v>1881700</v>
      </c>
      <c r="B5699" t="s">
        <v>1795</v>
      </c>
      <c r="C5699" s="1">
        <v>45090</v>
      </c>
      <c r="D5699">
        <v>451</v>
      </c>
      <c r="E5699" t="b">
        <v>0</v>
      </c>
      <c r="F5699">
        <v>815</v>
      </c>
      <c r="G5699" t="s">
        <v>36</v>
      </c>
      <c r="H5699" t="s">
        <v>1510</v>
      </c>
      <c r="I5699" t="s">
        <v>2116</v>
      </c>
    </row>
    <row r="5700" spans="1:9" x14ac:dyDescent="0.35">
      <c r="A5700">
        <v>1333350</v>
      </c>
      <c r="B5700" t="s">
        <v>1797</v>
      </c>
      <c r="C5700" s="1">
        <v>44057</v>
      </c>
      <c r="D5700">
        <v>450</v>
      </c>
      <c r="E5700" t="b">
        <v>1</v>
      </c>
      <c r="F5700">
        <v>817</v>
      </c>
      <c r="G5700" t="s">
        <v>2082</v>
      </c>
      <c r="H5700" t="s">
        <v>49</v>
      </c>
      <c r="I5700" t="s">
        <v>2117</v>
      </c>
    </row>
    <row r="5701" spans="1:9" x14ac:dyDescent="0.35">
      <c r="A5701">
        <v>1333350</v>
      </c>
      <c r="B5701" t="s">
        <v>1797</v>
      </c>
      <c r="C5701" s="1">
        <v>44057</v>
      </c>
      <c r="D5701">
        <v>450</v>
      </c>
      <c r="E5701" t="b">
        <v>1</v>
      </c>
      <c r="F5701">
        <v>817</v>
      </c>
      <c r="G5701" t="s">
        <v>2082</v>
      </c>
      <c r="H5701" t="s">
        <v>792</v>
      </c>
      <c r="I5701" t="s">
        <v>2117</v>
      </c>
    </row>
    <row r="5702" spans="1:9" x14ac:dyDescent="0.35">
      <c r="A5702">
        <v>1333350</v>
      </c>
      <c r="B5702" t="s">
        <v>1797</v>
      </c>
      <c r="C5702" s="1">
        <v>44057</v>
      </c>
      <c r="D5702">
        <v>450</v>
      </c>
      <c r="E5702" t="b">
        <v>1</v>
      </c>
      <c r="F5702">
        <v>817</v>
      </c>
      <c r="G5702" t="s">
        <v>2082</v>
      </c>
      <c r="H5702" t="s">
        <v>346</v>
      </c>
      <c r="I5702" t="s">
        <v>2116</v>
      </c>
    </row>
    <row r="5703" spans="1:9" x14ac:dyDescent="0.35">
      <c r="A5703">
        <v>1333350</v>
      </c>
      <c r="B5703" t="s">
        <v>1797</v>
      </c>
      <c r="C5703" s="1">
        <v>44057</v>
      </c>
      <c r="D5703">
        <v>450</v>
      </c>
      <c r="E5703" t="b">
        <v>1</v>
      </c>
      <c r="F5703">
        <v>817</v>
      </c>
      <c r="G5703" t="s">
        <v>2082</v>
      </c>
      <c r="H5703" t="s">
        <v>239</v>
      </c>
      <c r="I5703" t="s">
        <v>2117</v>
      </c>
    </row>
    <row r="5704" spans="1:9" x14ac:dyDescent="0.35">
      <c r="A5704">
        <v>1333350</v>
      </c>
      <c r="B5704" t="s">
        <v>1797</v>
      </c>
      <c r="C5704" s="1">
        <v>44057</v>
      </c>
      <c r="D5704">
        <v>450</v>
      </c>
      <c r="E5704" t="b">
        <v>1</v>
      </c>
      <c r="F5704">
        <v>817</v>
      </c>
      <c r="G5704" t="s">
        <v>2082</v>
      </c>
      <c r="H5704" t="s">
        <v>132</v>
      </c>
      <c r="I5704" t="s">
        <v>2116</v>
      </c>
    </row>
    <row r="5705" spans="1:9" x14ac:dyDescent="0.35">
      <c r="A5705">
        <v>1333350</v>
      </c>
      <c r="B5705" t="s">
        <v>1797</v>
      </c>
      <c r="C5705" s="1">
        <v>44057</v>
      </c>
      <c r="D5705">
        <v>450</v>
      </c>
      <c r="E5705" t="b">
        <v>1</v>
      </c>
      <c r="F5705">
        <v>817</v>
      </c>
      <c r="G5705" t="s">
        <v>2082</v>
      </c>
      <c r="H5705" t="s">
        <v>124</v>
      </c>
      <c r="I5705" t="s">
        <v>2116</v>
      </c>
    </row>
    <row r="5706" spans="1:9" x14ac:dyDescent="0.35">
      <c r="A5706">
        <v>1333350</v>
      </c>
      <c r="B5706" t="s">
        <v>1797</v>
      </c>
      <c r="C5706" s="1">
        <v>44057</v>
      </c>
      <c r="D5706">
        <v>450</v>
      </c>
      <c r="E5706" t="b">
        <v>1</v>
      </c>
      <c r="F5706">
        <v>817</v>
      </c>
      <c r="G5706" t="s">
        <v>2082</v>
      </c>
      <c r="H5706" t="s">
        <v>1510</v>
      </c>
      <c r="I5706" t="s">
        <v>2116</v>
      </c>
    </row>
    <row r="5707" spans="1:9" x14ac:dyDescent="0.35">
      <c r="A5707">
        <v>418460</v>
      </c>
      <c r="B5707" t="s">
        <v>1800</v>
      </c>
      <c r="C5707" s="1">
        <v>42885</v>
      </c>
      <c r="D5707">
        <v>449</v>
      </c>
      <c r="E5707" t="b">
        <v>0</v>
      </c>
      <c r="F5707">
        <v>818</v>
      </c>
      <c r="G5707" t="s">
        <v>304</v>
      </c>
      <c r="H5707" t="s">
        <v>49</v>
      </c>
      <c r="I5707" t="s">
        <v>2116</v>
      </c>
    </row>
    <row r="5708" spans="1:9" x14ac:dyDescent="0.35">
      <c r="A5708">
        <v>418460</v>
      </c>
      <c r="B5708" t="s">
        <v>1800</v>
      </c>
      <c r="C5708" s="1">
        <v>42885</v>
      </c>
      <c r="D5708">
        <v>449</v>
      </c>
      <c r="E5708" t="b">
        <v>0</v>
      </c>
      <c r="F5708">
        <v>818</v>
      </c>
      <c r="G5708" t="s">
        <v>304</v>
      </c>
      <c r="H5708" t="s">
        <v>792</v>
      </c>
      <c r="I5708" t="s">
        <v>2117</v>
      </c>
    </row>
    <row r="5709" spans="1:9" x14ac:dyDescent="0.35">
      <c r="A5709">
        <v>418460</v>
      </c>
      <c r="B5709" t="s">
        <v>1800</v>
      </c>
      <c r="C5709" s="1">
        <v>42885</v>
      </c>
      <c r="D5709">
        <v>449</v>
      </c>
      <c r="E5709" t="b">
        <v>0</v>
      </c>
      <c r="F5709">
        <v>818</v>
      </c>
      <c r="G5709" t="s">
        <v>304</v>
      </c>
      <c r="H5709" t="s">
        <v>346</v>
      </c>
      <c r="I5709" t="s">
        <v>2117</v>
      </c>
    </row>
    <row r="5710" spans="1:9" x14ac:dyDescent="0.35">
      <c r="A5710">
        <v>418460</v>
      </c>
      <c r="B5710" t="s">
        <v>1800</v>
      </c>
      <c r="C5710" s="1">
        <v>42885</v>
      </c>
      <c r="D5710">
        <v>449</v>
      </c>
      <c r="E5710" t="b">
        <v>0</v>
      </c>
      <c r="F5710">
        <v>818</v>
      </c>
      <c r="G5710" t="s">
        <v>304</v>
      </c>
      <c r="H5710" t="s">
        <v>239</v>
      </c>
      <c r="I5710" t="s">
        <v>2116</v>
      </c>
    </row>
    <row r="5711" spans="1:9" x14ac:dyDescent="0.35">
      <c r="A5711">
        <v>418460</v>
      </c>
      <c r="B5711" t="s">
        <v>1800</v>
      </c>
      <c r="C5711" s="1">
        <v>42885</v>
      </c>
      <c r="D5711">
        <v>449</v>
      </c>
      <c r="E5711" t="b">
        <v>0</v>
      </c>
      <c r="F5711">
        <v>818</v>
      </c>
      <c r="G5711" t="s">
        <v>304</v>
      </c>
      <c r="H5711" t="s">
        <v>132</v>
      </c>
      <c r="I5711" t="s">
        <v>2117</v>
      </c>
    </row>
    <row r="5712" spans="1:9" x14ac:dyDescent="0.35">
      <c r="A5712">
        <v>418460</v>
      </c>
      <c r="B5712" t="s">
        <v>1800</v>
      </c>
      <c r="C5712" s="1">
        <v>42885</v>
      </c>
      <c r="D5712">
        <v>449</v>
      </c>
      <c r="E5712" t="b">
        <v>0</v>
      </c>
      <c r="F5712">
        <v>818</v>
      </c>
      <c r="G5712" t="s">
        <v>304</v>
      </c>
      <c r="H5712" t="s">
        <v>124</v>
      </c>
      <c r="I5712" t="s">
        <v>2116</v>
      </c>
    </row>
    <row r="5713" spans="1:9" x14ac:dyDescent="0.35">
      <c r="A5713">
        <v>418460</v>
      </c>
      <c r="B5713" t="s">
        <v>1800</v>
      </c>
      <c r="C5713" s="1">
        <v>42885</v>
      </c>
      <c r="D5713">
        <v>449</v>
      </c>
      <c r="E5713" t="b">
        <v>0</v>
      </c>
      <c r="F5713">
        <v>818</v>
      </c>
      <c r="G5713" t="s">
        <v>304</v>
      </c>
      <c r="H5713" t="s">
        <v>1510</v>
      </c>
      <c r="I5713" t="s">
        <v>2117</v>
      </c>
    </row>
    <row r="5714" spans="1:9" x14ac:dyDescent="0.35">
      <c r="A5714">
        <v>1267540</v>
      </c>
      <c r="B5714" t="s">
        <v>1803</v>
      </c>
      <c r="C5714" s="1">
        <v>44455</v>
      </c>
      <c r="D5714">
        <v>448</v>
      </c>
      <c r="E5714" t="b">
        <v>0</v>
      </c>
      <c r="F5714">
        <v>819</v>
      </c>
      <c r="G5714" t="s">
        <v>53</v>
      </c>
      <c r="H5714" t="s">
        <v>49</v>
      </c>
      <c r="I5714" t="s">
        <v>2117</v>
      </c>
    </row>
    <row r="5715" spans="1:9" x14ac:dyDescent="0.35">
      <c r="A5715">
        <v>1267540</v>
      </c>
      <c r="B5715" t="s">
        <v>1803</v>
      </c>
      <c r="C5715" s="1">
        <v>44455</v>
      </c>
      <c r="D5715">
        <v>448</v>
      </c>
      <c r="E5715" t="b">
        <v>0</v>
      </c>
      <c r="F5715">
        <v>819</v>
      </c>
      <c r="G5715" t="s">
        <v>53</v>
      </c>
      <c r="H5715" t="s">
        <v>792</v>
      </c>
      <c r="I5715" t="s">
        <v>2117</v>
      </c>
    </row>
    <row r="5716" spans="1:9" x14ac:dyDescent="0.35">
      <c r="A5716">
        <v>1267540</v>
      </c>
      <c r="B5716" t="s">
        <v>1803</v>
      </c>
      <c r="C5716" s="1">
        <v>44455</v>
      </c>
      <c r="D5716">
        <v>448</v>
      </c>
      <c r="E5716" t="b">
        <v>0</v>
      </c>
      <c r="F5716">
        <v>819</v>
      </c>
      <c r="G5716" t="s">
        <v>53</v>
      </c>
      <c r="H5716" t="s">
        <v>346</v>
      </c>
      <c r="I5716" t="s">
        <v>2117</v>
      </c>
    </row>
    <row r="5717" spans="1:9" x14ac:dyDescent="0.35">
      <c r="A5717">
        <v>1267540</v>
      </c>
      <c r="B5717" t="s">
        <v>1803</v>
      </c>
      <c r="C5717" s="1">
        <v>44455</v>
      </c>
      <c r="D5717">
        <v>448</v>
      </c>
      <c r="E5717" t="b">
        <v>0</v>
      </c>
      <c r="F5717">
        <v>819</v>
      </c>
      <c r="G5717" t="s">
        <v>53</v>
      </c>
      <c r="H5717" t="s">
        <v>239</v>
      </c>
      <c r="I5717" t="s">
        <v>2116</v>
      </c>
    </row>
    <row r="5718" spans="1:9" x14ac:dyDescent="0.35">
      <c r="A5718">
        <v>1267540</v>
      </c>
      <c r="B5718" t="s">
        <v>1803</v>
      </c>
      <c r="C5718" s="1">
        <v>44455</v>
      </c>
      <c r="D5718">
        <v>448</v>
      </c>
      <c r="E5718" t="b">
        <v>0</v>
      </c>
      <c r="F5718">
        <v>819</v>
      </c>
      <c r="G5718" t="s">
        <v>53</v>
      </c>
      <c r="H5718" t="s">
        <v>132</v>
      </c>
      <c r="I5718" t="s">
        <v>2117</v>
      </c>
    </row>
    <row r="5719" spans="1:9" x14ac:dyDescent="0.35">
      <c r="A5719">
        <v>1267540</v>
      </c>
      <c r="B5719" t="s">
        <v>1803</v>
      </c>
      <c r="C5719" s="1">
        <v>44455</v>
      </c>
      <c r="D5719">
        <v>448</v>
      </c>
      <c r="E5719" t="b">
        <v>0</v>
      </c>
      <c r="F5719">
        <v>819</v>
      </c>
      <c r="G5719" t="s">
        <v>53</v>
      </c>
      <c r="H5719" t="s">
        <v>124</v>
      </c>
      <c r="I5719" t="s">
        <v>2117</v>
      </c>
    </row>
    <row r="5720" spans="1:9" x14ac:dyDescent="0.35">
      <c r="A5720">
        <v>1267540</v>
      </c>
      <c r="B5720" t="s">
        <v>1803</v>
      </c>
      <c r="C5720" s="1">
        <v>44455</v>
      </c>
      <c r="D5720">
        <v>448</v>
      </c>
      <c r="E5720" t="b">
        <v>0</v>
      </c>
      <c r="F5720">
        <v>819</v>
      </c>
      <c r="G5720" t="s">
        <v>53</v>
      </c>
      <c r="H5720" t="s">
        <v>1510</v>
      </c>
      <c r="I5720" t="s">
        <v>2117</v>
      </c>
    </row>
    <row r="5721" spans="1:9" x14ac:dyDescent="0.35">
      <c r="A5721">
        <v>1274570</v>
      </c>
      <c r="B5721" t="s">
        <v>1805</v>
      </c>
      <c r="C5721" s="1">
        <v>44224</v>
      </c>
      <c r="D5721">
        <v>447</v>
      </c>
      <c r="E5721" t="b">
        <v>1</v>
      </c>
      <c r="F5721">
        <v>820</v>
      </c>
      <c r="G5721" t="s">
        <v>33</v>
      </c>
      <c r="H5721" t="s">
        <v>49</v>
      </c>
      <c r="I5721" t="s">
        <v>2117</v>
      </c>
    </row>
    <row r="5722" spans="1:9" x14ac:dyDescent="0.35">
      <c r="A5722">
        <v>1274570</v>
      </c>
      <c r="B5722" t="s">
        <v>1805</v>
      </c>
      <c r="C5722" s="1">
        <v>44224</v>
      </c>
      <c r="D5722">
        <v>447</v>
      </c>
      <c r="E5722" t="b">
        <v>1</v>
      </c>
      <c r="F5722">
        <v>820</v>
      </c>
      <c r="G5722" t="s">
        <v>33</v>
      </c>
      <c r="H5722" t="s">
        <v>792</v>
      </c>
      <c r="I5722" t="s">
        <v>2116</v>
      </c>
    </row>
    <row r="5723" spans="1:9" x14ac:dyDescent="0.35">
      <c r="A5723">
        <v>1274570</v>
      </c>
      <c r="B5723" t="s">
        <v>1805</v>
      </c>
      <c r="C5723" s="1">
        <v>44224</v>
      </c>
      <c r="D5723">
        <v>447</v>
      </c>
      <c r="E5723" t="b">
        <v>1</v>
      </c>
      <c r="F5723">
        <v>820</v>
      </c>
      <c r="G5723" t="s">
        <v>33</v>
      </c>
      <c r="H5723" t="s">
        <v>346</v>
      </c>
      <c r="I5723" t="s">
        <v>2117</v>
      </c>
    </row>
    <row r="5724" spans="1:9" x14ac:dyDescent="0.35">
      <c r="A5724">
        <v>1274570</v>
      </c>
      <c r="B5724" t="s">
        <v>1805</v>
      </c>
      <c r="C5724" s="1">
        <v>44224</v>
      </c>
      <c r="D5724">
        <v>447</v>
      </c>
      <c r="E5724" t="b">
        <v>1</v>
      </c>
      <c r="F5724">
        <v>820</v>
      </c>
      <c r="G5724" t="s">
        <v>33</v>
      </c>
      <c r="H5724" t="s">
        <v>239</v>
      </c>
      <c r="I5724" t="s">
        <v>2117</v>
      </c>
    </row>
    <row r="5725" spans="1:9" x14ac:dyDescent="0.35">
      <c r="A5725">
        <v>1274570</v>
      </c>
      <c r="B5725" t="s">
        <v>1805</v>
      </c>
      <c r="C5725" s="1">
        <v>44224</v>
      </c>
      <c r="D5725">
        <v>447</v>
      </c>
      <c r="E5725" t="b">
        <v>1</v>
      </c>
      <c r="F5725">
        <v>820</v>
      </c>
      <c r="G5725" t="s">
        <v>33</v>
      </c>
      <c r="H5725" t="s">
        <v>132</v>
      </c>
      <c r="I5725" t="s">
        <v>2117</v>
      </c>
    </row>
    <row r="5726" spans="1:9" x14ac:dyDescent="0.35">
      <c r="A5726">
        <v>1274570</v>
      </c>
      <c r="B5726" t="s">
        <v>1805</v>
      </c>
      <c r="C5726" s="1">
        <v>44224</v>
      </c>
      <c r="D5726">
        <v>447</v>
      </c>
      <c r="E5726" t="b">
        <v>1</v>
      </c>
      <c r="F5726">
        <v>820</v>
      </c>
      <c r="G5726" t="s">
        <v>33</v>
      </c>
      <c r="H5726" t="s">
        <v>124</v>
      </c>
      <c r="I5726" t="s">
        <v>2117</v>
      </c>
    </row>
    <row r="5727" spans="1:9" x14ac:dyDescent="0.35">
      <c r="A5727">
        <v>1274570</v>
      </c>
      <c r="B5727" t="s">
        <v>1805</v>
      </c>
      <c r="C5727" s="1">
        <v>44224</v>
      </c>
      <c r="D5727">
        <v>447</v>
      </c>
      <c r="E5727" t="b">
        <v>1</v>
      </c>
      <c r="F5727">
        <v>820</v>
      </c>
      <c r="G5727" t="s">
        <v>33</v>
      </c>
      <c r="H5727" t="s">
        <v>1510</v>
      </c>
      <c r="I5727" t="s">
        <v>2117</v>
      </c>
    </row>
    <row r="5728" spans="1:9" x14ac:dyDescent="0.35">
      <c r="A5728">
        <v>333420</v>
      </c>
      <c r="B5728" t="s">
        <v>1807</v>
      </c>
      <c r="C5728" s="1">
        <v>42633</v>
      </c>
      <c r="D5728">
        <v>446</v>
      </c>
      <c r="E5728" t="b">
        <v>0</v>
      </c>
      <c r="F5728">
        <v>821</v>
      </c>
      <c r="G5728" t="s">
        <v>304</v>
      </c>
      <c r="H5728" t="s">
        <v>49</v>
      </c>
      <c r="I5728" t="s">
        <v>2116</v>
      </c>
    </row>
    <row r="5729" spans="1:9" x14ac:dyDescent="0.35">
      <c r="A5729">
        <v>333420</v>
      </c>
      <c r="B5729" t="s">
        <v>1807</v>
      </c>
      <c r="C5729" s="1">
        <v>42633</v>
      </c>
      <c r="D5729">
        <v>446</v>
      </c>
      <c r="E5729" t="b">
        <v>0</v>
      </c>
      <c r="F5729">
        <v>821</v>
      </c>
      <c r="G5729" t="s">
        <v>304</v>
      </c>
      <c r="H5729" t="s">
        <v>792</v>
      </c>
      <c r="I5729" t="s">
        <v>2117</v>
      </c>
    </row>
    <row r="5730" spans="1:9" x14ac:dyDescent="0.35">
      <c r="A5730">
        <v>333420</v>
      </c>
      <c r="B5730" t="s">
        <v>1807</v>
      </c>
      <c r="C5730" s="1">
        <v>42633</v>
      </c>
      <c r="D5730">
        <v>446</v>
      </c>
      <c r="E5730" t="b">
        <v>0</v>
      </c>
      <c r="F5730">
        <v>821</v>
      </c>
      <c r="G5730" t="s">
        <v>304</v>
      </c>
      <c r="H5730" t="s">
        <v>346</v>
      </c>
      <c r="I5730" t="s">
        <v>2116</v>
      </c>
    </row>
    <row r="5731" spans="1:9" x14ac:dyDescent="0.35">
      <c r="A5731">
        <v>333420</v>
      </c>
      <c r="B5731" t="s">
        <v>1807</v>
      </c>
      <c r="C5731" s="1">
        <v>42633</v>
      </c>
      <c r="D5731">
        <v>446</v>
      </c>
      <c r="E5731" t="b">
        <v>0</v>
      </c>
      <c r="F5731">
        <v>821</v>
      </c>
      <c r="G5731" t="s">
        <v>304</v>
      </c>
      <c r="H5731" t="s">
        <v>239</v>
      </c>
      <c r="I5731" t="s">
        <v>2117</v>
      </c>
    </row>
    <row r="5732" spans="1:9" x14ac:dyDescent="0.35">
      <c r="A5732">
        <v>333420</v>
      </c>
      <c r="B5732" t="s">
        <v>1807</v>
      </c>
      <c r="C5732" s="1">
        <v>42633</v>
      </c>
      <c r="D5732">
        <v>446</v>
      </c>
      <c r="E5732" t="b">
        <v>0</v>
      </c>
      <c r="F5732">
        <v>821</v>
      </c>
      <c r="G5732" t="s">
        <v>304</v>
      </c>
      <c r="H5732" t="s">
        <v>132</v>
      </c>
      <c r="I5732" t="s">
        <v>2117</v>
      </c>
    </row>
    <row r="5733" spans="1:9" x14ac:dyDescent="0.35">
      <c r="A5733">
        <v>333420</v>
      </c>
      <c r="B5733" t="s">
        <v>1807</v>
      </c>
      <c r="C5733" s="1">
        <v>42633</v>
      </c>
      <c r="D5733">
        <v>446</v>
      </c>
      <c r="E5733" t="b">
        <v>0</v>
      </c>
      <c r="F5733">
        <v>821</v>
      </c>
      <c r="G5733" t="s">
        <v>304</v>
      </c>
      <c r="H5733" t="s">
        <v>124</v>
      </c>
      <c r="I5733" t="s">
        <v>2116</v>
      </c>
    </row>
    <row r="5734" spans="1:9" x14ac:dyDescent="0.35">
      <c r="A5734">
        <v>333420</v>
      </c>
      <c r="B5734" t="s">
        <v>1807</v>
      </c>
      <c r="C5734" s="1">
        <v>42633</v>
      </c>
      <c r="D5734">
        <v>446</v>
      </c>
      <c r="E5734" t="b">
        <v>0</v>
      </c>
      <c r="F5734">
        <v>821</v>
      </c>
      <c r="G5734" t="s">
        <v>304</v>
      </c>
      <c r="H5734" t="s">
        <v>1510</v>
      </c>
      <c r="I5734" t="s">
        <v>2117</v>
      </c>
    </row>
    <row r="5735" spans="1:9" x14ac:dyDescent="0.35">
      <c r="A5735">
        <v>1536610</v>
      </c>
      <c r="B5735" t="s">
        <v>1809</v>
      </c>
      <c r="C5735" s="1">
        <v>44287</v>
      </c>
      <c r="D5735">
        <v>445</v>
      </c>
      <c r="E5735" t="b">
        <v>1</v>
      </c>
      <c r="F5735">
        <v>822</v>
      </c>
      <c r="G5735" t="s">
        <v>184</v>
      </c>
      <c r="H5735" t="s">
        <v>49</v>
      </c>
      <c r="I5735" t="s">
        <v>2117</v>
      </c>
    </row>
    <row r="5736" spans="1:9" x14ac:dyDescent="0.35">
      <c r="A5736">
        <v>1536610</v>
      </c>
      <c r="B5736" t="s">
        <v>1809</v>
      </c>
      <c r="C5736" s="1">
        <v>44287</v>
      </c>
      <c r="D5736">
        <v>445</v>
      </c>
      <c r="E5736" t="b">
        <v>1</v>
      </c>
      <c r="F5736">
        <v>822</v>
      </c>
      <c r="G5736" t="s">
        <v>184</v>
      </c>
      <c r="H5736" t="s">
        <v>792</v>
      </c>
      <c r="I5736" t="s">
        <v>2116</v>
      </c>
    </row>
    <row r="5737" spans="1:9" x14ac:dyDescent="0.35">
      <c r="A5737">
        <v>1536610</v>
      </c>
      <c r="B5737" t="s">
        <v>1809</v>
      </c>
      <c r="C5737" s="1">
        <v>44287</v>
      </c>
      <c r="D5737">
        <v>445</v>
      </c>
      <c r="E5737" t="b">
        <v>1</v>
      </c>
      <c r="F5737">
        <v>822</v>
      </c>
      <c r="G5737" t="s">
        <v>184</v>
      </c>
      <c r="H5737" t="s">
        <v>346</v>
      </c>
      <c r="I5737" t="s">
        <v>2117</v>
      </c>
    </row>
    <row r="5738" spans="1:9" x14ac:dyDescent="0.35">
      <c r="A5738">
        <v>1536610</v>
      </c>
      <c r="B5738" t="s">
        <v>1809</v>
      </c>
      <c r="C5738" s="1">
        <v>44287</v>
      </c>
      <c r="D5738">
        <v>445</v>
      </c>
      <c r="E5738" t="b">
        <v>1</v>
      </c>
      <c r="F5738">
        <v>822</v>
      </c>
      <c r="G5738" t="s">
        <v>184</v>
      </c>
      <c r="H5738" t="s">
        <v>239</v>
      </c>
      <c r="I5738" t="s">
        <v>2116</v>
      </c>
    </row>
    <row r="5739" spans="1:9" x14ac:dyDescent="0.35">
      <c r="A5739">
        <v>1536610</v>
      </c>
      <c r="B5739" t="s">
        <v>1809</v>
      </c>
      <c r="C5739" s="1">
        <v>44287</v>
      </c>
      <c r="D5739">
        <v>445</v>
      </c>
      <c r="E5739" t="b">
        <v>1</v>
      </c>
      <c r="F5739">
        <v>822</v>
      </c>
      <c r="G5739" t="s">
        <v>184</v>
      </c>
      <c r="H5739" t="s">
        <v>132</v>
      </c>
      <c r="I5739" t="s">
        <v>2117</v>
      </c>
    </row>
    <row r="5740" spans="1:9" x14ac:dyDescent="0.35">
      <c r="A5740">
        <v>1536610</v>
      </c>
      <c r="B5740" t="s">
        <v>1809</v>
      </c>
      <c r="C5740" s="1">
        <v>44287</v>
      </c>
      <c r="D5740">
        <v>445</v>
      </c>
      <c r="E5740" t="b">
        <v>1</v>
      </c>
      <c r="F5740">
        <v>822</v>
      </c>
      <c r="G5740" t="s">
        <v>184</v>
      </c>
      <c r="H5740" t="s">
        <v>124</v>
      </c>
      <c r="I5740" t="s">
        <v>2117</v>
      </c>
    </row>
    <row r="5741" spans="1:9" x14ac:dyDescent="0.35">
      <c r="A5741">
        <v>1536610</v>
      </c>
      <c r="B5741" t="s">
        <v>1809</v>
      </c>
      <c r="C5741" s="1">
        <v>44287</v>
      </c>
      <c r="D5741">
        <v>445</v>
      </c>
      <c r="E5741" t="b">
        <v>1</v>
      </c>
      <c r="F5741">
        <v>822</v>
      </c>
      <c r="G5741" t="s">
        <v>184</v>
      </c>
      <c r="H5741" t="s">
        <v>1510</v>
      </c>
      <c r="I5741" t="s">
        <v>2116</v>
      </c>
    </row>
    <row r="5742" spans="1:9" x14ac:dyDescent="0.35">
      <c r="A5742">
        <v>2358260</v>
      </c>
      <c r="B5742" t="s">
        <v>1811</v>
      </c>
      <c r="C5742" s="1">
        <v>45203</v>
      </c>
      <c r="D5742">
        <v>445</v>
      </c>
      <c r="E5742" t="b">
        <v>0</v>
      </c>
      <c r="F5742">
        <v>822</v>
      </c>
      <c r="G5742" t="s">
        <v>184</v>
      </c>
      <c r="H5742" t="s">
        <v>49</v>
      </c>
      <c r="I5742" t="s">
        <v>2117</v>
      </c>
    </row>
    <row r="5743" spans="1:9" x14ac:dyDescent="0.35">
      <c r="A5743">
        <v>2358260</v>
      </c>
      <c r="B5743" t="s">
        <v>1811</v>
      </c>
      <c r="C5743" s="1">
        <v>45203</v>
      </c>
      <c r="D5743">
        <v>445</v>
      </c>
      <c r="E5743" t="b">
        <v>0</v>
      </c>
      <c r="F5743">
        <v>822</v>
      </c>
      <c r="G5743" t="s">
        <v>184</v>
      </c>
      <c r="H5743" t="s">
        <v>792</v>
      </c>
      <c r="I5743" t="s">
        <v>2117</v>
      </c>
    </row>
    <row r="5744" spans="1:9" x14ac:dyDescent="0.35">
      <c r="A5744">
        <v>2358260</v>
      </c>
      <c r="B5744" t="s">
        <v>1811</v>
      </c>
      <c r="C5744" s="1">
        <v>45203</v>
      </c>
      <c r="D5744">
        <v>445</v>
      </c>
      <c r="E5744" t="b">
        <v>0</v>
      </c>
      <c r="F5744">
        <v>822</v>
      </c>
      <c r="G5744" t="s">
        <v>184</v>
      </c>
      <c r="H5744" t="s">
        <v>346</v>
      </c>
      <c r="I5744" t="s">
        <v>2117</v>
      </c>
    </row>
    <row r="5745" spans="1:9" x14ac:dyDescent="0.35">
      <c r="A5745">
        <v>2358260</v>
      </c>
      <c r="B5745" t="s">
        <v>1811</v>
      </c>
      <c r="C5745" s="1">
        <v>45203</v>
      </c>
      <c r="D5745">
        <v>445</v>
      </c>
      <c r="E5745" t="b">
        <v>0</v>
      </c>
      <c r="F5745">
        <v>822</v>
      </c>
      <c r="G5745" t="s">
        <v>184</v>
      </c>
      <c r="H5745" t="s">
        <v>239</v>
      </c>
      <c r="I5745" t="s">
        <v>2116</v>
      </c>
    </row>
    <row r="5746" spans="1:9" x14ac:dyDescent="0.35">
      <c r="A5746">
        <v>2358260</v>
      </c>
      <c r="B5746" t="s">
        <v>1811</v>
      </c>
      <c r="C5746" s="1">
        <v>45203</v>
      </c>
      <c r="D5746">
        <v>445</v>
      </c>
      <c r="E5746" t="b">
        <v>0</v>
      </c>
      <c r="F5746">
        <v>822</v>
      </c>
      <c r="G5746" t="s">
        <v>184</v>
      </c>
      <c r="H5746" t="s">
        <v>132</v>
      </c>
      <c r="I5746" t="s">
        <v>2117</v>
      </c>
    </row>
    <row r="5747" spans="1:9" x14ac:dyDescent="0.35">
      <c r="A5747">
        <v>2358260</v>
      </c>
      <c r="B5747" t="s">
        <v>1811</v>
      </c>
      <c r="C5747" s="1">
        <v>45203</v>
      </c>
      <c r="D5747">
        <v>445</v>
      </c>
      <c r="E5747" t="b">
        <v>0</v>
      </c>
      <c r="F5747">
        <v>822</v>
      </c>
      <c r="G5747" t="s">
        <v>184</v>
      </c>
      <c r="H5747" t="s">
        <v>124</v>
      </c>
      <c r="I5747" t="s">
        <v>2117</v>
      </c>
    </row>
    <row r="5748" spans="1:9" x14ac:dyDescent="0.35">
      <c r="A5748">
        <v>2358260</v>
      </c>
      <c r="B5748" t="s">
        <v>1811</v>
      </c>
      <c r="C5748" s="1">
        <v>45203</v>
      </c>
      <c r="D5748">
        <v>445</v>
      </c>
      <c r="E5748" t="b">
        <v>0</v>
      </c>
      <c r="F5748">
        <v>822</v>
      </c>
      <c r="G5748" t="s">
        <v>184</v>
      </c>
      <c r="H5748" t="s">
        <v>1510</v>
      </c>
      <c r="I5748" t="s">
        <v>2117</v>
      </c>
    </row>
    <row r="5749" spans="1:9" x14ac:dyDescent="0.35">
      <c r="A5749">
        <v>204360</v>
      </c>
      <c r="B5749" t="s">
        <v>1813</v>
      </c>
      <c r="C5749" s="1">
        <v>41178</v>
      </c>
      <c r="D5749">
        <v>443</v>
      </c>
      <c r="E5749" t="b">
        <v>1</v>
      </c>
      <c r="F5749">
        <v>824</v>
      </c>
      <c r="G5749" t="s">
        <v>33</v>
      </c>
      <c r="H5749" t="s">
        <v>49</v>
      </c>
      <c r="I5749" t="s">
        <v>2116</v>
      </c>
    </row>
    <row r="5750" spans="1:9" x14ac:dyDescent="0.35">
      <c r="A5750">
        <v>204360</v>
      </c>
      <c r="B5750" t="s">
        <v>1813</v>
      </c>
      <c r="C5750" s="1">
        <v>41178</v>
      </c>
      <c r="D5750">
        <v>443</v>
      </c>
      <c r="E5750" t="b">
        <v>1</v>
      </c>
      <c r="F5750">
        <v>824</v>
      </c>
      <c r="G5750" t="s">
        <v>33</v>
      </c>
      <c r="H5750" t="s">
        <v>792</v>
      </c>
      <c r="I5750" t="s">
        <v>2116</v>
      </c>
    </row>
    <row r="5751" spans="1:9" x14ac:dyDescent="0.35">
      <c r="A5751">
        <v>204360</v>
      </c>
      <c r="B5751" t="s">
        <v>1813</v>
      </c>
      <c r="C5751" s="1">
        <v>41178</v>
      </c>
      <c r="D5751">
        <v>443</v>
      </c>
      <c r="E5751" t="b">
        <v>1</v>
      </c>
      <c r="F5751">
        <v>824</v>
      </c>
      <c r="G5751" t="s">
        <v>33</v>
      </c>
      <c r="H5751" t="s">
        <v>346</v>
      </c>
      <c r="I5751" t="s">
        <v>2116</v>
      </c>
    </row>
    <row r="5752" spans="1:9" x14ac:dyDescent="0.35">
      <c r="A5752">
        <v>204360</v>
      </c>
      <c r="B5752" t="s">
        <v>1813</v>
      </c>
      <c r="C5752" s="1">
        <v>41178</v>
      </c>
      <c r="D5752">
        <v>443</v>
      </c>
      <c r="E5752" t="b">
        <v>1</v>
      </c>
      <c r="F5752">
        <v>824</v>
      </c>
      <c r="G5752" t="s">
        <v>33</v>
      </c>
      <c r="H5752" t="s">
        <v>239</v>
      </c>
      <c r="I5752" t="s">
        <v>2117</v>
      </c>
    </row>
    <row r="5753" spans="1:9" x14ac:dyDescent="0.35">
      <c r="A5753">
        <v>204360</v>
      </c>
      <c r="B5753" t="s">
        <v>1813</v>
      </c>
      <c r="C5753" s="1">
        <v>41178</v>
      </c>
      <c r="D5753">
        <v>443</v>
      </c>
      <c r="E5753" t="b">
        <v>1</v>
      </c>
      <c r="F5753">
        <v>824</v>
      </c>
      <c r="G5753" t="s">
        <v>33</v>
      </c>
      <c r="H5753" t="s">
        <v>132</v>
      </c>
      <c r="I5753" t="s">
        <v>2116</v>
      </c>
    </row>
    <row r="5754" spans="1:9" x14ac:dyDescent="0.35">
      <c r="A5754">
        <v>204360</v>
      </c>
      <c r="B5754" t="s">
        <v>1813</v>
      </c>
      <c r="C5754" s="1">
        <v>41178</v>
      </c>
      <c r="D5754">
        <v>443</v>
      </c>
      <c r="E5754" t="b">
        <v>1</v>
      </c>
      <c r="F5754">
        <v>824</v>
      </c>
      <c r="G5754" t="s">
        <v>33</v>
      </c>
      <c r="H5754" t="s">
        <v>124</v>
      </c>
      <c r="I5754" t="s">
        <v>2117</v>
      </c>
    </row>
    <row r="5755" spans="1:9" x14ac:dyDescent="0.35">
      <c r="A5755">
        <v>204360</v>
      </c>
      <c r="B5755" t="s">
        <v>1813</v>
      </c>
      <c r="C5755" s="1">
        <v>41178</v>
      </c>
      <c r="D5755">
        <v>443</v>
      </c>
      <c r="E5755" t="b">
        <v>1</v>
      </c>
      <c r="F5755">
        <v>824</v>
      </c>
      <c r="G5755" t="s">
        <v>33</v>
      </c>
      <c r="H5755" t="s">
        <v>1510</v>
      </c>
      <c r="I5755" t="s">
        <v>2117</v>
      </c>
    </row>
    <row r="5756" spans="1:9" x14ac:dyDescent="0.35">
      <c r="A5756">
        <v>678960</v>
      </c>
      <c r="B5756" t="s">
        <v>1815</v>
      </c>
      <c r="C5756" s="1">
        <v>43734</v>
      </c>
      <c r="D5756">
        <v>443</v>
      </c>
      <c r="E5756" t="b">
        <v>0</v>
      </c>
      <c r="F5756">
        <v>824</v>
      </c>
      <c r="G5756" t="s">
        <v>133</v>
      </c>
      <c r="H5756" t="s">
        <v>49</v>
      </c>
      <c r="I5756" t="s">
        <v>2116</v>
      </c>
    </row>
    <row r="5757" spans="1:9" x14ac:dyDescent="0.35">
      <c r="A5757">
        <v>678960</v>
      </c>
      <c r="B5757" t="s">
        <v>1815</v>
      </c>
      <c r="C5757" s="1">
        <v>43734</v>
      </c>
      <c r="D5757">
        <v>443</v>
      </c>
      <c r="E5757" t="b">
        <v>0</v>
      </c>
      <c r="F5757">
        <v>824</v>
      </c>
      <c r="G5757" t="s">
        <v>133</v>
      </c>
      <c r="H5757" t="s">
        <v>792</v>
      </c>
      <c r="I5757" t="s">
        <v>2117</v>
      </c>
    </row>
    <row r="5758" spans="1:9" x14ac:dyDescent="0.35">
      <c r="A5758">
        <v>678960</v>
      </c>
      <c r="B5758" t="s">
        <v>1815</v>
      </c>
      <c r="C5758" s="1">
        <v>43734</v>
      </c>
      <c r="D5758">
        <v>443</v>
      </c>
      <c r="E5758" t="b">
        <v>0</v>
      </c>
      <c r="F5758">
        <v>824</v>
      </c>
      <c r="G5758" t="s">
        <v>133</v>
      </c>
      <c r="H5758" t="s">
        <v>346</v>
      </c>
      <c r="I5758" t="s">
        <v>2117</v>
      </c>
    </row>
    <row r="5759" spans="1:9" x14ac:dyDescent="0.35">
      <c r="A5759">
        <v>678960</v>
      </c>
      <c r="B5759" t="s">
        <v>1815</v>
      </c>
      <c r="C5759" s="1">
        <v>43734</v>
      </c>
      <c r="D5759">
        <v>443</v>
      </c>
      <c r="E5759" t="b">
        <v>0</v>
      </c>
      <c r="F5759">
        <v>824</v>
      </c>
      <c r="G5759" t="s">
        <v>133</v>
      </c>
      <c r="H5759" t="s">
        <v>239</v>
      </c>
      <c r="I5759" t="s">
        <v>2117</v>
      </c>
    </row>
    <row r="5760" spans="1:9" x14ac:dyDescent="0.35">
      <c r="A5760">
        <v>678960</v>
      </c>
      <c r="B5760" t="s">
        <v>1815</v>
      </c>
      <c r="C5760" s="1">
        <v>43734</v>
      </c>
      <c r="D5760">
        <v>443</v>
      </c>
      <c r="E5760" t="b">
        <v>0</v>
      </c>
      <c r="F5760">
        <v>824</v>
      </c>
      <c r="G5760" t="s">
        <v>133</v>
      </c>
      <c r="H5760" t="s">
        <v>132</v>
      </c>
      <c r="I5760" t="s">
        <v>2116</v>
      </c>
    </row>
    <row r="5761" spans="1:9" x14ac:dyDescent="0.35">
      <c r="A5761">
        <v>678960</v>
      </c>
      <c r="B5761" t="s">
        <v>1815</v>
      </c>
      <c r="C5761" s="1">
        <v>43734</v>
      </c>
      <c r="D5761">
        <v>443</v>
      </c>
      <c r="E5761" t="b">
        <v>0</v>
      </c>
      <c r="F5761">
        <v>824</v>
      </c>
      <c r="G5761" t="s">
        <v>133</v>
      </c>
      <c r="H5761" t="s">
        <v>124</v>
      </c>
      <c r="I5761" t="s">
        <v>2117</v>
      </c>
    </row>
    <row r="5762" spans="1:9" x14ac:dyDescent="0.35">
      <c r="A5762">
        <v>678960</v>
      </c>
      <c r="B5762" t="s">
        <v>1815</v>
      </c>
      <c r="C5762" s="1">
        <v>43734</v>
      </c>
      <c r="D5762">
        <v>443</v>
      </c>
      <c r="E5762" t="b">
        <v>0</v>
      </c>
      <c r="F5762">
        <v>824</v>
      </c>
      <c r="G5762" t="s">
        <v>133</v>
      </c>
      <c r="H5762" t="s">
        <v>1510</v>
      </c>
      <c r="I5762" t="s">
        <v>2117</v>
      </c>
    </row>
    <row r="5763" spans="1:9" x14ac:dyDescent="0.35">
      <c r="A5763">
        <v>337410</v>
      </c>
      <c r="B5763" t="s">
        <v>1817</v>
      </c>
      <c r="C5763" s="1">
        <v>41997</v>
      </c>
      <c r="D5763">
        <v>441</v>
      </c>
      <c r="E5763" t="b">
        <v>0</v>
      </c>
      <c r="F5763">
        <v>826</v>
      </c>
      <c r="G5763" t="s">
        <v>967</v>
      </c>
      <c r="H5763" t="s">
        <v>49</v>
      </c>
      <c r="I5763" t="s">
        <v>2117</v>
      </c>
    </row>
    <row r="5764" spans="1:9" x14ac:dyDescent="0.35">
      <c r="A5764">
        <v>337410</v>
      </c>
      <c r="B5764" t="s">
        <v>1817</v>
      </c>
      <c r="C5764" s="1">
        <v>41997</v>
      </c>
      <c r="D5764">
        <v>441</v>
      </c>
      <c r="E5764" t="b">
        <v>0</v>
      </c>
      <c r="F5764">
        <v>826</v>
      </c>
      <c r="G5764" t="s">
        <v>967</v>
      </c>
      <c r="H5764" t="s">
        <v>792</v>
      </c>
      <c r="I5764" t="s">
        <v>2117</v>
      </c>
    </row>
    <row r="5765" spans="1:9" x14ac:dyDescent="0.35">
      <c r="A5765">
        <v>337410</v>
      </c>
      <c r="B5765" t="s">
        <v>1817</v>
      </c>
      <c r="C5765" s="1">
        <v>41997</v>
      </c>
      <c r="D5765">
        <v>441</v>
      </c>
      <c r="E5765" t="b">
        <v>0</v>
      </c>
      <c r="F5765">
        <v>826</v>
      </c>
      <c r="G5765" t="s">
        <v>967</v>
      </c>
      <c r="H5765" t="s">
        <v>346</v>
      </c>
      <c r="I5765" t="s">
        <v>2117</v>
      </c>
    </row>
    <row r="5766" spans="1:9" x14ac:dyDescent="0.35">
      <c r="A5766">
        <v>337410</v>
      </c>
      <c r="B5766" t="s">
        <v>1817</v>
      </c>
      <c r="C5766" s="1">
        <v>41997</v>
      </c>
      <c r="D5766">
        <v>441</v>
      </c>
      <c r="E5766" t="b">
        <v>0</v>
      </c>
      <c r="F5766">
        <v>826</v>
      </c>
      <c r="G5766" t="s">
        <v>967</v>
      </c>
      <c r="H5766" t="s">
        <v>239</v>
      </c>
      <c r="I5766" t="s">
        <v>2117</v>
      </c>
    </row>
    <row r="5767" spans="1:9" x14ac:dyDescent="0.35">
      <c r="A5767">
        <v>337410</v>
      </c>
      <c r="B5767" t="s">
        <v>1817</v>
      </c>
      <c r="C5767" s="1">
        <v>41997</v>
      </c>
      <c r="D5767">
        <v>441</v>
      </c>
      <c r="E5767" t="b">
        <v>0</v>
      </c>
      <c r="F5767">
        <v>826</v>
      </c>
      <c r="G5767" t="s">
        <v>967</v>
      </c>
      <c r="H5767" t="s">
        <v>132</v>
      </c>
      <c r="I5767" t="s">
        <v>2116</v>
      </c>
    </row>
    <row r="5768" spans="1:9" x14ac:dyDescent="0.35">
      <c r="A5768">
        <v>337410</v>
      </c>
      <c r="B5768" t="s">
        <v>1817</v>
      </c>
      <c r="C5768" s="1">
        <v>41997</v>
      </c>
      <c r="D5768">
        <v>441</v>
      </c>
      <c r="E5768" t="b">
        <v>0</v>
      </c>
      <c r="F5768">
        <v>826</v>
      </c>
      <c r="G5768" t="s">
        <v>967</v>
      </c>
      <c r="H5768" t="s">
        <v>124</v>
      </c>
      <c r="I5768" t="s">
        <v>2117</v>
      </c>
    </row>
    <row r="5769" spans="1:9" x14ac:dyDescent="0.35">
      <c r="A5769">
        <v>337410</v>
      </c>
      <c r="B5769" t="s">
        <v>1817</v>
      </c>
      <c r="C5769" s="1">
        <v>41997</v>
      </c>
      <c r="D5769">
        <v>441</v>
      </c>
      <c r="E5769" t="b">
        <v>0</v>
      </c>
      <c r="F5769">
        <v>826</v>
      </c>
      <c r="G5769" t="s">
        <v>967</v>
      </c>
      <c r="H5769" t="s">
        <v>1510</v>
      </c>
      <c r="I5769" t="s">
        <v>2116</v>
      </c>
    </row>
    <row r="5770" spans="1:9" x14ac:dyDescent="0.35">
      <c r="A5770">
        <v>1170950</v>
      </c>
      <c r="B5770" t="s">
        <v>1819</v>
      </c>
      <c r="C5770" s="1">
        <v>44586</v>
      </c>
      <c r="D5770">
        <v>440</v>
      </c>
      <c r="E5770" t="b">
        <v>0</v>
      </c>
      <c r="F5770">
        <v>827</v>
      </c>
      <c r="G5770" t="s">
        <v>36</v>
      </c>
      <c r="H5770" t="s">
        <v>49</v>
      </c>
      <c r="I5770" t="s">
        <v>2116</v>
      </c>
    </row>
    <row r="5771" spans="1:9" x14ac:dyDescent="0.35">
      <c r="A5771">
        <v>1170950</v>
      </c>
      <c r="B5771" t="s">
        <v>1819</v>
      </c>
      <c r="C5771" s="1">
        <v>44586</v>
      </c>
      <c r="D5771">
        <v>440</v>
      </c>
      <c r="E5771" t="b">
        <v>0</v>
      </c>
      <c r="F5771">
        <v>827</v>
      </c>
      <c r="G5771" t="s">
        <v>36</v>
      </c>
      <c r="H5771" t="s">
        <v>792</v>
      </c>
      <c r="I5771" t="s">
        <v>2116</v>
      </c>
    </row>
    <row r="5772" spans="1:9" x14ac:dyDescent="0.35">
      <c r="A5772">
        <v>1170950</v>
      </c>
      <c r="B5772" t="s">
        <v>1819</v>
      </c>
      <c r="C5772" s="1">
        <v>44586</v>
      </c>
      <c r="D5772">
        <v>440</v>
      </c>
      <c r="E5772" t="b">
        <v>0</v>
      </c>
      <c r="F5772">
        <v>827</v>
      </c>
      <c r="G5772" t="s">
        <v>36</v>
      </c>
      <c r="H5772" t="s">
        <v>346</v>
      </c>
      <c r="I5772" t="s">
        <v>2117</v>
      </c>
    </row>
    <row r="5773" spans="1:9" x14ac:dyDescent="0.35">
      <c r="A5773">
        <v>1170950</v>
      </c>
      <c r="B5773" t="s">
        <v>1819</v>
      </c>
      <c r="C5773" s="1">
        <v>44586</v>
      </c>
      <c r="D5773">
        <v>440</v>
      </c>
      <c r="E5773" t="b">
        <v>0</v>
      </c>
      <c r="F5773">
        <v>827</v>
      </c>
      <c r="G5773" t="s">
        <v>36</v>
      </c>
      <c r="H5773" t="s">
        <v>239</v>
      </c>
      <c r="I5773" t="s">
        <v>2117</v>
      </c>
    </row>
    <row r="5774" spans="1:9" x14ac:dyDescent="0.35">
      <c r="A5774">
        <v>1170950</v>
      </c>
      <c r="B5774" t="s">
        <v>1819</v>
      </c>
      <c r="C5774" s="1">
        <v>44586</v>
      </c>
      <c r="D5774">
        <v>440</v>
      </c>
      <c r="E5774" t="b">
        <v>0</v>
      </c>
      <c r="F5774">
        <v>827</v>
      </c>
      <c r="G5774" t="s">
        <v>36</v>
      </c>
      <c r="H5774" t="s">
        <v>132</v>
      </c>
      <c r="I5774" t="s">
        <v>2116</v>
      </c>
    </row>
    <row r="5775" spans="1:9" x14ac:dyDescent="0.35">
      <c r="A5775">
        <v>1170950</v>
      </c>
      <c r="B5775" t="s">
        <v>1819</v>
      </c>
      <c r="C5775" s="1">
        <v>44586</v>
      </c>
      <c r="D5775">
        <v>440</v>
      </c>
      <c r="E5775" t="b">
        <v>0</v>
      </c>
      <c r="F5775">
        <v>827</v>
      </c>
      <c r="G5775" t="s">
        <v>36</v>
      </c>
      <c r="H5775" t="s">
        <v>124</v>
      </c>
      <c r="I5775" t="s">
        <v>2117</v>
      </c>
    </row>
    <row r="5776" spans="1:9" x14ac:dyDescent="0.35">
      <c r="A5776">
        <v>1170950</v>
      </c>
      <c r="B5776" t="s">
        <v>1819</v>
      </c>
      <c r="C5776" s="1">
        <v>44586</v>
      </c>
      <c r="D5776">
        <v>440</v>
      </c>
      <c r="E5776" t="b">
        <v>0</v>
      </c>
      <c r="F5776">
        <v>827</v>
      </c>
      <c r="G5776" t="s">
        <v>36</v>
      </c>
      <c r="H5776" t="s">
        <v>1510</v>
      </c>
      <c r="I5776" t="s">
        <v>2117</v>
      </c>
    </row>
    <row r="5777" spans="1:9" x14ac:dyDescent="0.35">
      <c r="A5777">
        <v>1559600</v>
      </c>
      <c r="B5777" t="s">
        <v>1822</v>
      </c>
      <c r="C5777" s="1">
        <v>45800</v>
      </c>
      <c r="D5777">
        <v>440</v>
      </c>
      <c r="E5777" t="b">
        <v>0</v>
      </c>
      <c r="F5777">
        <v>827</v>
      </c>
      <c r="G5777" t="s">
        <v>133</v>
      </c>
      <c r="H5777" t="s">
        <v>49</v>
      </c>
      <c r="I5777" t="s">
        <v>2117</v>
      </c>
    </row>
    <row r="5778" spans="1:9" x14ac:dyDescent="0.35">
      <c r="A5778">
        <v>1559600</v>
      </c>
      <c r="B5778" t="s">
        <v>1822</v>
      </c>
      <c r="C5778" s="1">
        <v>45800</v>
      </c>
      <c r="D5778">
        <v>440</v>
      </c>
      <c r="E5778" t="b">
        <v>0</v>
      </c>
      <c r="F5778">
        <v>827</v>
      </c>
      <c r="G5778" t="s">
        <v>133</v>
      </c>
      <c r="H5778" t="s">
        <v>792</v>
      </c>
      <c r="I5778" t="s">
        <v>2117</v>
      </c>
    </row>
    <row r="5779" spans="1:9" x14ac:dyDescent="0.35">
      <c r="A5779">
        <v>1559600</v>
      </c>
      <c r="B5779" t="s">
        <v>1822</v>
      </c>
      <c r="C5779" s="1">
        <v>45800</v>
      </c>
      <c r="D5779">
        <v>440</v>
      </c>
      <c r="E5779" t="b">
        <v>0</v>
      </c>
      <c r="F5779">
        <v>827</v>
      </c>
      <c r="G5779" t="s">
        <v>133</v>
      </c>
      <c r="H5779" t="s">
        <v>346</v>
      </c>
      <c r="I5779" t="s">
        <v>2117</v>
      </c>
    </row>
    <row r="5780" spans="1:9" x14ac:dyDescent="0.35">
      <c r="A5780">
        <v>1559600</v>
      </c>
      <c r="B5780" t="s">
        <v>1822</v>
      </c>
      <c r="C5780" s="1">
        <v>45800</v>
      </c>
      <c r="D5780">
        <v>440</v>
      </c>
      <c r="E5780" t="b">
        <v>0</v>
      </c>
      <c r="F5780">
        <v>827</v>
      </c>
      <c r="G5780" t="s">
        <v>133</v>
      </c>
      <c r="H5780" t="s">
        <v>239</v>
      </c>
      <c r="I5780" t="s">
        <v>2116</v>
      </c>
    </row>
    <row r="5781" spans="1:9" x14ac:dyDescent="0.35">
      <c r="A5781">
        <v>1559600</v>
      </c>
      <c r="B5781" t="s">
        <v>1822</v>
      </c>
      <c r="C5781" s="1">
        <v>45800</v>
      </c>
      <c r="D5781">
        <v>440</v>
      </c>
      <c r="E5781" t="b">
        <v>0</v>
      </c>
      <c r="F5781">
        <v>827</v>
      </c>
      <c r="G5781" t="s">
        <v>133</v>
      </c>
      <c r="H5781" t="s">
        <v>132</v>
      </c>
      <c r="I5781" t="s">
        <v>2117</v>
      </c>
    </row>
    <row r="5782" spans="1:9" x14ac:dyDescent="0.35">
      <c r="A5782">
        <v>1559600</v>
      </c>
      <c r="B5782" t="s">
        <v>1822</v>
      </c>
      <c r="C5782" s="1">
        <v>45800</v>
      </c>
      <c r="D5782">
        <v>440</v>
      </c>
      <c r="E5782" t="b">
        <v>0</v>
      </c>
      <c r="F5782">
        <v>827</v>
      </c>
      <c r="G5782" t="s">
        <v>133</v>
      </c>
      <c r="H5782" t="s">
        <v>124</v>
      </c>
      <c r="I5782" t="s">
        <v>2117</v>
      </c>
    </row>
    <row r="5783" spans="1:9" x14ac:dyDescent="0.35">
      <c r="A5783">
        <v>1559600</v>
      </c>
      <c r="B5783" t="s">
        <v>1822</v>
      </c>
      <c r="C5783" s="1">
        <v>45800</v>
      </c>
      <c r="D5783">
        <v>440</v>
      </c>
      <c r="E5783" t="b">
        <v>0</v>
      </c>
      <c r="F5783">
        <v>827</v>
      </c>
      <c r="G5783" t="s">
        <v>133</v>
      </c>
      <c r="H5783" t="s">
        <v>1510</v>
      </c>
      <c r="I5783" t="s">
        <v>2117</v>
      </c>
    </row>
    <row r="5784" spans="1:9" x14ac:dyDescent="0.35">
      <c r="A5784">
        <v>2168680</v>
      </c>
      <c r="B5784" t="s">
        <v>1823</v>
      </c>
      <c r="C5784" s="1">
        <v>45214</v>
      </c>
      <c r="D5784">
        <v>438</v>
      </c>
      <c r="E5784" t="b">
        <v>0</v>
      </c>
      <c r="F5784">
        <v>829</v>
      </c>
      <c r="G5784" t="s">
        <v>958</v>
      </c>
      <c r="H5784" t="s">
        <v>49</v>
      </c>
      <c r="I5784" t="s">
        <v>2116</v>
      </c>
    </row>
    <row r="5785" spans="1:9" x14ac:dyDescent="0.35">
      <c r="A5785">
        <v>2168680</v>
      </c>
      <c r="B5785" t="s">
        <v>1823</v>
      </c>
      <c r="C5785" s="1">
        <v>45214</v>
      </c>
      <c r="D5785">
        <v>438</v>
      </c>
      <c r="E5785" t="b">
        <v>0</v>
      </c>
      <c r="F5785">
        <v>829</v>
      </c>
      <c r="G5785" t="s">
        <v>958</v>
      </c>
      <c r="H5785" t="s">
        <v>792</v>
      </c>
      <c r="I5785" t="s">
        <v>2116</v>
      </c>
    </row>
    <row r="5786" spans="1:9" x14ac:dyDescent="0.35">
      <c r="A5786">
        <v>2168680</v>
      </c>
      <c r="B5786" t="s">
        <v>1823</v>
      </c>
      <c r="C5786" s="1">
        <v>45214</v>
      </c>
      <c r="D5786">
        <v>438</v>
      </c>
      <c r="E5786" t="b">
        <v>0</v>
      </c>
      <c r="F5786">
        <v>829</v>
      </c>
      <c r="G5786" t="s">
        <v>958</v>
      </c>
      <c r="H5786" t="s">
        <v>346</v>
      </c>
      <c r="I5786" t="s">
        <v>2117</v>
      </c>
    </row>
    <row r="5787" spans="1:9" x14ac:dyDescent="0.35">
      <c r="A5787">
        <v>2168680</v>
      </c>
      <c r="B5787" t="s">
        <v>1823</v>
      </c>
      <c r="C5787" s="1">
        <v>45214</v>
      </c>
      <c r="D5787">
        <v>438</v>
      </c>
      <c r="E5787" t="b">
        <v>0</v>
      </c>
      <c r="F5787">
        <v>829</v>
      </c>
      <c r="G5787" t="s">
        <v>958</v>
      </c>
      <c r="H5787" t="s">
        <v>239</v>
      </c>
      <c r="I5787" t="s">
        <v>2116</v>
      </c>
    </row>
    <row r="5788" spans="1:9" x14ac:dyDescent="0.35">
      <c r="A5788">
        <v>2168680</v>
      </c>
      <c r="B5788" t="s">
        <v>1823</v>
      </c>
      <c r="C5788" s="1">
        <v>45214</v>
      </c>
      <c r="D5788">
        <v>438</v>
      </c>
      <c r="E5788" t="b">
        <v>0</v>
      </c>
      <c r="F5788">
        <v>829</v>
      </c>
      <c r="G5788" t="s">
        <v>958</v>
      </c>
      <c r="H5788" t="s">
        <v>132</v>
      </c>
      <c r="I5788" t="s">
        <v>2117</v>
      </c>
    </row>
    <row r="5789" spans="1:9" x14ac:dyDescent="0.35">
      <c r="A5789">
        <v>2168680</v>
      </c>
      <c r="B5789" t="s">
        <v>1823</v>
      </c>
      <c r="C5789" s="1">
        <v>45214</v>
      </c>
      <c r="D5789">
        <v>438</v>
      </c>
      <c r="E5789" t="b">
        <v>0</v>
      </c>
      <c r="F5789">
        <v>829</v>
      </c>
      <c r="G5789" t="s">
        <v>958</v>
      </c>
      <c r="H5789" t="s">
        <v>124</v>
      </c>
      <c r="I5789" t="s">
        <v>2117</v>
      </c>
    </row>
    <row r="5790" spans="1:9" x14ac:dyDescent="0.35">
      <c r="A5790">
        <v>2168680</v>
      </c>
      <c r="B5790" t="s">
        <v>1823</v>
      </c>
      <c r="C5790" s="1">
        <v>45214</v>
      </c>
      <c r="D5790">
        <v>438</v>
      </c>
      <c r="E5790" t="b">
        <v>0</v>
      </c>
      <c r="F5790">
        <v>829</v>
      </c>
      <c r="G5790" t="s">
        <v>958</v>
      </c>
      <c r="H5790" t="s">
        <v>1510</v>
      </c>
      <c r="I5790" t="s">
        <v>2117</v>
      </c>
    </row>
    <row r="5791" spans="1:9" x14ac:dyDescent="0.35">
      <c r="A5791">
        <v>274170</v>
      </c>
      <c r="B5791" t="s">
        <v>1826</v>
      </c>
      <c r="C5791" s="1">
        <v>42073</v>
      </c>
      <c r="D5791">
        <v>437</v>
      </c>
      <c r="E5791" t="b">
        <v>1</v>
      </c>
      <c r="F5791">
        <v>830</v>
      </c>
      <c r="G5791" t="s">
        <v>2082</v>
      </c>
      <c r="H5791" t="s">
        <v>49</v>
      </c>
      <c r="I5791" t="s">
        <v>2116</v>
      </c>
    </row>
    <row r="5792" spans="1:9" x14ac:dyDescent="0.35">
      <c r="A5792">
        <v>274170</v>
      </c>
      <c r="B5792" t="s">
        <v>1826</v>
      </c>
      <c r="C5792" s="1">
        <v>42073</v>
      </c>
      <c r="D5792">
        <v>437</v>
      </c>
      <c r="E5792" t="b">
        <v>1</v>
      </c>
      <c r="F5792">
        <v>830</v>
      </c>
      <c r="G5792" t="s">
        <v>2082</v>
      </c>
      <c r="H5792" t="s">
        <v>792</v>
      </c>
      <c r="I5792" t="s">
        <v>2116</v>
      </c>
    </row>
    <row r="5793" spans="1:9" x14ac:dyDescent="0.35">
      <c r="A5793">
        <v>274170</v>
      </c>
      <c r="B5793" t="s">
        <v>1826</v>
      </c>
      <c r="C5793" s="1">
        <v>42073</v>
      </c>
      <c r="D5793">
        <v>437</v>
      </c>
      <c r="E5793" t="b">
        <v>1</v>
      </c>
      <c r="F5793">
        <v>830</v>
      </c>
      <c r="G5793" t="s">
        <v>2082</v>
      </c>
      <c r="H5793" t="s">
        <v>346</v>
      </c>
      <c r="I5793" t="s">
        <v>2117</v>
      </c>
    </row>
    <row r="5794" spans="1:9" x14ac:dyDescent="0.35">
      <c r="A5794">
        <v>274170</v>
      </c>
      <c r="B5794" t="s">
        <v>1826</v>
      </c>
      <c r="C5794" s="1">
        <v>42073</v>
      </c>
      <c r="D5794">
        <v>437</v>
      </c>
      <c r="E5794" t="b">
        <v>1</v>
      </c>
      <c r="F5794">
        <v>830</v>
      </c>
      <c r="G5794" t="s">
        <v>2082</v>
      </c>
      <c r="H5794" t="s">
        <v>239</v>
      </c>
      <c r="I5794" t="s">
        <v>2117</v>
      </c>
    </row>
    <row r="5795" spans="1:9" x14ac:dyDescent="0.35">
      <c r="A5795">
        <v>274170</v>
      </c>
      <c r="B5795" t="s">
        <v>1826</v>
      </c>
      <c r="C5795" s="1">
        <v>42073</v>
      </c>
      <c r="D5795">
        <v>437</v>
      </c>
      <c r="E5795" t="b">
        <v>1</v>
      </c>
      <c r="F5795">
        <v>830</v>
      </c>
      <c r="G5795" t="s">
        <v>2082</v>
      </c>
      <c r="H5795" t="s">
        <v>132</v>
      </c>
      <c r="I5795" t="s">
        <v>2117</v>
      </c>
    </row>
    <row r="5796" spans="1:9" x14ac:dyDescent="0.35">
      <c r="A5796">
        <v>274170</v>
      </c>
      <c r="B5796" t="s">
        <v>1826</v>
      </c>
      <c r="C5796" s="1">
        <v>42073</v>
      </c>
      <c r="D5796">
        <v>437</v>
      </c>
      <c r="E5796" t="b">
        <v>1</v>
      </c>
      <c r="F5796">
        <v>830</v>
      </c>
      <c r="G5796" t="s">
        <v>2082</v>
      </c>
      <c r="H5796" t="s">
        <v>124</v>
      </c>
      <c r="I5796" t="s">
        <v>2117</v>
      </c>
    </row>
    <row r="5797" spans="1:9" x14ac:dyDescent="0.35">
      <c r="A5797">
        <v>274170</v>
      </c>
      <c r="B5797" t="s">
        <v>1826</v>
      </c>
      <c r="C5797" s="1">
        <v>42073</v>
      </c>
      <c r="D5797">
        <v>437</v>
      </c>
      <c r="E5797" t="b">
        <v>1</v>
      </c>
      <c r="F5797">
        <v>830</v>
      </c>
      <c r="G5797" t="s">
        <v>2082</v>
      </c>
      <c r="H5797" t="s">
        <v>1510</v>
      </c>
      <c r="I5797" t="s">
        <v>2117</v>
      </c>
    </row>
    <row r="5798" spans="1:9" x14ac:dyDescent="0.35">
      <c r="A5798">
        <v>261640</v>
      </c>
      <c r="B5798" t="s">
        <v>1828</v>
      </c>
      <c r="C5798" s="1">
        <v>41925</v>
      </c>
      <c r="D5798">
        <v>437</v>
      </c>
      <c r="E5798" t="b">
        <v>1</v>
      </c>
      <c r="F5798">
        <v>830</v>
      </c>
      <c r="G5798" t="s">
        <v>486</v>
      </c>
      <c r="H5798" t="s">
        <v>49</v>
      </c>
      <c r="I5798" t="s">
        <v>2116</v>
      </c>
    </row>
    <row r="5799" spans="1:9" x14ac:dyDescent="0.35">
      <c r="A5799">
        <v>261640</v>
      </c>
      <c r="B5799" t="s">
        <v>1828</v>
      </c>
      <c r="C5799" s="1">
        <v>41925</v>
      </c>
      <c r="D5799">
        <v>437</v>
      </c>
      <c r="E5799" t="b">
        <v>1</v>
      </c>
      <c r="F5799">
        <v>830</v>
      </c>
      <c r="G5799" t="s">
        <v>486</v>
      </c>
      <c r="H5799" t="s">
        <v>792</v>
      </c>
      <c r="I5799" t="s">
        <v>2117</v>
      </c>
    </row>
    <row r="5800" spans="1:9" x14ac:dyDescent="0.35">
      <c r="A5800">
        <v>261640</v>
      </c>
      <c r="B5800" t="s">
        <v>1828</v>
      </c>
      <c r="C5800" s="1">
        <v>41925</v>
      </c>
      <c r="D5800">
        <v>437</v>
      </c>
      <c r="E5800" t="b">
        <v>1</v>
      </c>
      <c r="F5800">
        <v>830</v>
      </c>
      <c r="G5800" t="s">
        <v>486</v>
      </c>
      <c r="H5800" t="s">
        <v>346</v>
      </c>
      <c r="I5800" t="s">
        <v>2117</v>
      </c>
    </row>
    <row r="5801" spans="1:9" x14ac:dyDescent="0.35">
      <c r="A5801">
        <v>261640</v>
      </c>
      <c r="B5801" t="s">
        <v>1828</v>
      </c>
      <c r="C5801" s="1">
        <v>41925</v>
      </c>
      <c r="D5801">
        <v>437</v>
      </c>
      <c r="E5801" t="b">
        <v>1</v>
      </c>
      <c r="F5801">
        <v>830</v>
      </c>
      <c r="G5801" t="s">
        <v>486</v>
      </c>
      <c r="H5801" t="s">
        <v>239</v>
      </c>
      <c r="I5801" t="s">
        <v>2117</v>
      </c>
    </row>
    <row r="5802" spans="1:9" x14ac:dyDescent="0.35">
      <c r="A5802">
        <v>261640</v>
      </c>
      <c r="B5802" t="s">
        <v>1828</v>
      </c>
      <c r="C5802" s="1">
        <v>41925</v>
      </c>
      <c r="D5802">
        <v>437</v>
      </c>
      <c r="E5802" t="b">
        <v>1</v>
      </c>
      <c r="F5802">
        <v>830</v>
      </c>
      <c r="G5802" t="s">
        <v>486</v>
      </c>
      <c r="H5802" t="s">
        <v>132</v>
      </c>
      <c r="I5802" t="s">
        <v>2116</v>
      </c>
    </row>
    <row r="5803" spans="1:9" x14ac:dyDescent="0.35">
      <c r="A5803">
        <v>261640</v>
      </c>
      <c r="B5803" t="s">
        <v>1828</v>
      </c>
      <c r="C5803" s="1">
        <v>41925</v>
      </c>
      <c r="D5803">
        <v>437</v>
      </c>
      <c r="E5803" t="b">
        <v>1</v>
      </c>
      <c r="F5803">
        <v>830</v>
      </c>
      <c r="G5803" t="s">
        <v>486</v>
      </c>
      <c r="H5803" t="s">
        <v>124</v>
      </c>
      <c r="I5803" t="s">
        <v>2117</v>
      </c>
    </row>
    <row r="5804" spans="1:9" x14ac:dyDescent="0.35">
      <c r="A5804">
        <v>261640</v>
      </c>
      <c r="B5804" t="s">
        <v>1828</v>
      </c>
      <c r="C5804" s="1">
        <v>41925</v>
      </c>
      <c r="D5804">
        <v>437</v>
      </c>
      <c r="E5804" t="b">
        <v>1</v>
      </c>
      <c r="F5804">
        <v>830</v>
      </c>
      <c r="G5804" t="s">
        <v>486</v>
      </c>
      <c r="H5804" t="s">
        <v>1510</v>
      </c>
      <c r="I5804" t="s">
        <v>2117</v>
      </c>
    </row>
    <row r="5805" spans="1:9" x14ac:dyDescent="0.35">
      <c r="A5805">
        <v>368260</v>
      </c>
      <c r="B5805" t="s">
        <v>1830</v>
      </c>
      <c r="C5805" s="1">
        <v>44896</v>
      </c>
      <c r="D5805">
        <v>436</v>
      </c>
      <c r="E5805" t="b">
        <v>0</v>
      </c>
      <c r="F5805">
        <v>832</v>
      </c>
      <c r="G5805" t="s">
        <v>486</v>
      </c>
      <c r="H5805" t="s">
        <v>49</v>
      </c>
      <c r="I5805" t="s">
        <v>2117</v>
      </c>
    </row>
    <row r="5806" spans="1:9" x14ac:dyDescent="0.35">
      <c r="A5806">
        <v>368260</v>
      </c>
      <c r="B5806" t="s">
        <v>1830</v>
      </c>
      <c r="C5806" s="1">
        <v>44896</v>
      </c>
      <c r="D5806">
        <v>436</v>
      </c>
      <c r="E5806" t="b">
        <v>0</v>
      </c>
      <c r="F5806">
        <v>832</v>
      </c>
      <c r="G5806" t="s">
        <v>486</v>
      </c>
      <c r="H5806" t="s">
        <v>792</v>
      </c>
      <c r="I5806" t="s">
        <v>2117</v>
      </c>
    </row>
    <row r="5807" spans="1:9" x14ac:dyDescent="0.35">
      <c r="A5807">
        <v>368260</v>
      </c>
      <c r="B5807" t="s">
        <v>1830</v>
      </c>
      <c r="C5807" s="1">
        <v>44896</v>
      </c>
      <c r="D5807">
        <v>436</v>
      </c>
      <c r="E5807" t="b">
        <v>0</v>
      </c>
      <c r="F5807">
        <v>832</v>
      </c>
      <c r="G5807" t="s">
        <v>486</v>
      </c>
      <c r="H5807" t="s">
        <v>346</v>
      </c>
      <c r="I5807" t="s">
        <v>2117</v>
      </c>
    </row>
    <row r="5808" spans="1:9" x14ac:dyDescent="0.35">
      <c r="A5808">
        <v>368260</v>
      </c>
      <c r="B5808" t="s">
        <v>1830</v>
      </c>
      <c r="C5808" s="1">
        <v>44896</v>
      </c>
      <c r="D5808">
        <v>436</v>
      </c>
      <c r="E5808" t="b">
        <v>0</v>
      </c>
      <c r="F5808">
        <v>832</v>
      </c>
      <c r="G5808" t="s">
        <v>486</v>
      </c>
      <c r="H5808" t="s">
        <v>239</v>
      </c>
      <c r="I5808" t="s">
        <v>2117</v>
      </c>
    </row>
    <row r="5809" spans="1:9" x14ac:dyDescent="0.35">
      <c r="A5809">
        <v>368260</v>
      </c>
      <c r="B5809" t="s">
        <v>1830</v>
      </c>
      <c r="C5809" s="1">
        <v>44896</v>
      </c>
      <c r="D5809">
        <v>436</v>
      </c>
      <c r="E5809" t="b">
        <v>0</v>
      </c>
      <c r="F5809">
        <v>832</v>
      </c>
      <c r="G5809" t="s">
        <v>486</v>
      </c>
      <c r="H5809" t="s">
        <v>132</v>
      </c>
      <c r="I5809" t="s">
        <v>2116</v>
      </c>
    </row>
    <row r="5810" spans="1:9" x14ac:dyDescent="0.35">
      <c r="A5810">
        <v>368260</v>
      </c>
      <c r="B5810" t="s">
        <v>1830</v>
      </c>
      <c r="C5810" s="1">
        <v>44896</v>
      </c>
      <c r="D5810">
        <v>436</v>
      </c>
      <c r="E5810" t="b">
        <v>0</v>
      </c>
      <c r="F5810">
        <v>832</v>
      </c>
      <c r="G5810" t="s">
        <v>486</v>
      </c>
      <c r="H5810" t="s">
        <v>124</v>
      </c>
      <c r="I5810" t="s">
        <v>2116</v>
      </c>
    </row>
    <row r="5811" spans="1:9" x14ac:dyDescent="0.35">
      <c r="A5811">
        <v>368260</v>
      </c>
      <c r="B5811" t="s">
        <v>1830</v>
      </c>
      <c r="C5811" s="1">
        <v>44896</v>
      </c>
      <c r="D5811">
        <v>436</v>
      </c>
      <c r="E5811" t="b">
        <v>0</v>
      </c>
      <c r="F5811">
        <v>832</v>
      </c>
      <c r="G5811" t="s">
        <v>486</v>
      </c>
      <c r="H5811" t="s">
        <v>1510</v>
      </c>
      <c r="I5811" t="s">
        <v>2117</v>
      </c>
    </row>
    <row r="5812" spans="1:9" x14ac:dyDescent="0.35">
      <c r="A5812">
        <v>3404470</v>
      </c>
      <c r="B5812" t="s">
        <v>1832</v>
      </c>
      <c r="C5812" s="1">
        <v>45790</v>
      </c>
      <c r="D5812">
        <v>436</v>
      </c>
      <c r="E5812" t="b">
        <v>1</v>
      </c>
      <c r="F5812">
        <v>832</v>
      </c>
      <c r="G5812" t="s">
        <v>513</v>
      </c>
      <c r="H5812" t="s">
        <v>49</v>
      </c>
      <c r="I5812" t="s">
        <v>2117</v>
      </c>
    </row>
    <row r="5813" spans="1:9" x14ac:dyDescent="0.35">
      <c r="A5813">
        <v>3404470</v>
      </c>
      <c r="B5813" t="s">
        <v>1832</v>
      </c>
      <c r="C5813" s="1">
        <v>45790</v>
      </c>
      <c r="D5813">
        <v>436</v>
      </c>
      <c r="E5813" t="b">
        <v>1</v>
      </c>
      <c r="F5813">
        <v>832</v>
      </c>
      <c r="G5813" t="s">
        <v>513</v>
      </c>
      <c r="H5813" t="s">
        <v>792</v>
      </c>
      <c r="I5813" t="s">
        <v>2116</v>
      </c>
    </row>
    <row r="5814" spans="1:9" x14ac:dyDescent="0.35">
      <c r="A5814">
        <v>3404470</v>
      </c>
      <c r="B5814" t="s">
        <v>1832</v>
      </c>
      <c r="C5814" s="1">
        <v>45790</v>
      </c>
      <c r="D5814">
        <v>436</v>
      </c>
      <c r="E5814" t="b">
        <v>1</v>
      </c>
      <c r="F5814">
        <v>832</v>
      </c>
      <c r="G5814" t="s">
        <v>513</v>
      </c>
      <c r="H5814" t="s">
        <v>346</v>
      </c>
      <c r="I5814" t="s">
        <v>2117</v>
      </c>
    </row>
    <row r="5815" spans="1:9" x14ac:dyDescent="0.35">
      <c r="A5815">
        <v>3404470</v>
      </c>
      <c r="B5815" t="s">
        <v>1832</v>
      </c>
      <c r="C5815" s="1">
        <v>45790</v>
      </c>
      <c r="D5815">
        <v>436</v>
      </c>
      <c r="E5815" t="b">
        <v>1</v>
      </c>
      <c r="F5815">
        <v>832</v>
      </c>
      <c r="G5815" t="s">
        <v>513</v>
      </c>
      <c r="H5815" t="s">
        <v>239</v>
      </c>
      <c r="I5815" t="s">
        <v>2116</v>
      </c>
    </row>
    <row r="5816" spans="1:9" x14ac:dyDescent="0.35">
      <c r="A5816">
        <v>3404470</v>
      </c>
      <c r="B5816" t="s">
        <v>1832</v>
      </c>
      <c r="C5816" s="1">
        <v>45790</v>
      </c>
      <c r="D5816">
        <v>436</v>
      </c>
      <c r="E5816" t="b">
        <v>1</v>
      </c>
      <c r="F5816">
        <v>832</v>
      </c>
      <c r="G5816" t="s">
        <v>513</v>
      </c>
      <c r="H5816" t="s">
        <v>132</v>
      </c>
      <c r="I5816" t="s">
        <v>2117</v>
      </c>
    </row>
    <row r="5817" spans="1:9" x14ac:dyDescent="0.35">
      <c r="A5817">
        <v>3404470</v>
      </c>
      <c r="B5817" t="s">
        <v>1832</v>
      </c>
      <c r="C5817" s="1">
        <v>45790</v>
      </c>
      <c r="D5817">
        <v>436</v>
      </c>
      <c r="E5817" t="b">
        <v>1</v>
      </c>
      <c r="F5817">
        <v>832</v>
      </c>
      <c r="G5817" t="s">
        <v>513</v>
      </c>
      <c r="H5817" t="s">
        <v>124</v>
      </c>
      <c r="I5817" t="s">
        <v>2117</v>
      </c>
    </row>
    <row r="5818" spans="1:9" x14ac:dyDescent="0.35">
      <c r="A5818">
        <v>3404470</v>
      </c>
      <c r="B5818" t="s">
        <v>1832</v>
      </c>
      <c r="C5818" s="1">
        <v>45790</v>
      </c>
      <c r="D5818">
        <v>436</v>
      </c>
      <c r="E5818" t="b">
        <v>1</v>
      </c>
      <c r="F5818">
        <v>832</v>
      </c>
      <c r="G5818" t="s">
        <v>513</v>
      </c>
      <c r="H5818" t="s">
        <v>1510</v>
      </c>
      <c r="I5818" t="s">
        <v>2117</v>
      </c>
    </row>
    <row r="5819" spans="1:9" x14ac:dyDescent="0.35">
      <c r="A5819">
        <v>251060</v>
      </c>
      <c r="B5819" t="s">
        <v>1833</v>
      </c>
      <c r="C5819" s="1">
        <v>41746</v>
      </c>
      <c r="D5819">
        <v>434</v>
      </c>
      <c r="E5819" t="b">
        <v>1</v>
      </c>
      <c r="F5819">
        <v>834</v>
      </c>
      <c r="G5819" t="s">
        <v>2084</v>
      </c>
      <c r="H5819" t="s">
        <v>49</v>
      </c>
      <c r="I5819" t="s">
        <v>2117</v>
      </c>
    </row>
    <row r="5820" spans="1:9" x14ac:dyDescent="0.35">
      <c r="A5820">
        <v>251060</v>
      </c>
      <c r="B5820" t="s">
        <v>1833</v>
      </c>
      <c r="C5820" s="1">
        <v>41746</v>
      </c>
      <c r="D5820">
        <v>434</v>
      </c>
      <c r="E5820" t="b">
        <v>1</v>
      </c>
      <c r="F5820">
        <v>834</v>
      </c>
      <c r="G5820" t="s">
        <v>2084</v>
      </c>
      <c r="H5820" t="s">
        <v>792</v>
      </c>
      <c r="I5820" t="s">
        <v>2116</v>
      </c>
    </row>
    <row r="5821" spans="1:9" x14ac:dyDescent="0.35">
      <c r="A5821">
        <v>251060</v>
      </c>
      <c r="B5821" t="s">
        <v>1833</v>
      </c>
      <c r="C5821" s="1">
        <v>41746</v>
      </c>
      <c r="D5821">
        <v>434</v>
      </c>
      <c r="E5821" t="b">
        <v>1</v>
      </c>
      <c r="F5821">
        <v>834</v>
      </c>
      <c r="G5821" t="s">
        <v>2084</v>
      </c>
      <c r="H5821" t="s">
        <v>346</v>
      </c>
      <c r="I5821" t="s">
        <v>2117</v>
      </c>
    </row>
    <row r="5822" spans="1:9" x14ac:dyDescent="0.35">
      <c r="A5822">
        <v>251060</v>
      </c>
      <c r="B5822" t="s">
        <v>1833</v>
      </c>
      <c r="C5822" s="1">
        <v>41746</v>
      </c>
      <c r="D5822">
        <v>434</v>
      </c>
      <c r="E5822" t="b">
        <v>1</v>
      </c>
      <c r="F5822">
        <v>834</v>
      </c>
      <c r="G5822" t="s">
        <v>2084</v>
      </c>
      <c r="H5822" t="s">
        <v>239</v>
      </c>
      <c r="I5822" t="s">
        <v>2116</v>
      </c>
    </row>
    <row r="5823" spans="1:9" x14ac:dyDescent="0.35">
      <c r="A5823">
        <v>251060</v>
      </c>
      <c r="B5823" t="s">
        <v>1833</v>
      </c>
      <c r="C5823" s="1">
        <v>41746</v>
      </c>
      <c r="D5823">
        <v>434</v>
      </c>
      <c r="E5823" t="b">
        <v>1</v>
      </c>
      <c r="F5823">
        <v>834</v>
      </c>
      <c r="G5823" t="s">
        <v>2084</v>
      </c>
      <c r="H5823" t="s">
        <v>132</v>
      </c>
      <c r="I5823" t="s">
        <v>2117</v>
      </c>
    </row>
    <row r="5824" spans="1:9" x14ac:dyDescent="0.35">
      <c r="A5824">
        <v>251060</v>
      </c>
      <c r="B5824" t="s">
        <v>1833</v>
      </c>
      <c r="C5824" s="1">
        <v>41746</v>
      </c>
      <c r="D5824">
        <v>434</v>
      </c>
      <c r="E5824" t="b">
        <v>1</v>
      </c>
      <c r="F5824">
        <v>834</v>
      </c>
      <c r="G5824" t="s">
        <v>2084</v>
      </c>
      <c r="H5824" t="s">
        <v>124</v>
      </c>
      <c r="I5824" t="s">
        <v>2116</v>
      </c>
    </row>
    <row r="5825" spans="1:9" x14ac:dyDescent="0.35">
      <c r="A5825">
        <v>251060</v>
      </c>
      <c r="B5825" t="s">
        <v>1833</v>
      </c>
      <c r="C5825" s="1">
        <v>41746</v>
      </c>
      <c r="D5825">
        <v>434</v>
      </c>
      <c r="E5825" t="b">
        <v>1</v>
      </c>
      <c r="F5825">
        <v>834</v>
      </c>
      <c r="G5825" t="s">
        <v>2084</v>
      </c>
      <c r="H5825" t="s">
        <v>1510</v>
      </c>
      <c r="I5825" t="s">
        <v>2117</v>
      </c>
    </row>
    <row r="5826" spans="1:9" x14ac:dyDescent="0.35">
      <c r="A5826">
        <v>10090</v>
      </c>
      <c r="B5826" t="s">
        <v>1835</v>
      </c>
      <c r="C5826" s="1">
        <v>39770</v>
      </c>
      <c r="D5826">
        <v>433</v>
      </c>
      <c r="E5826" t="b">
        <v>0</v>
      </c>
      <c r="F5826">
        <v>835</v>
      </c>
      <c r="G5826" t="s">
        <v>2084</v>
      </c>
      <c r="H5826" t="s">
        <v>49</v>
      </c>
      <c r="I5826" t="s">
        <v>2116</v>
      </c>
    </row>
    <row r="5827" spans="1:9" x14ac:dyDescent="0.35">
      <c r="A5827">
        <v>10090</v>
      </c>
      <c r="B5827" t="s">
        <v>1835</v>
      </c>
      <c r="C5827" s="1">
        <v>39770</v>
      </c>
      <c r="D5827">
        <v>433</v>
      </c>
      <c r="E5827" t="b">
        <v>0</v>
      </c>
      <c r="F5827">
        <v>835</v>
      </c>
      <c r="G5827" t="s">
        <v>2084</v>
      </c>
      <c r="H5827" t="s">
        <v>792</v>
      </c>
      <c r="I5827" t="s">
        <v>2117</v>
      </c>
    </row>
    <row r="5828" spans="1:9" x14ac:dyDescent="0.35">
      <c r="A5828">
        <v>10090</v>
      </c>
      <c r="B5828" t="s">
        <v>1835</v>
      </c>
      <c r="C5828" s="1">
        <v>39770</v>
      </c>
      <c r="D5828">
        <v>433</v>
      </c>
      <c r="E5828" t="b">
        <v>0</v>
      </c>
      <c r="F5828">
        <v>835</v>
      </c>
      <c r="G5828" t="s">
        <v>2084</v>
      </c>
      <c r="H5828" t="s">
        <v>346</v>
      </c>
      <c r="I5828" t="s">
        <v>2117</v>
      </c>
    </row>
    <row r="5829" spans="1:9" x14ac:dyDescent="0.35">
      <c r="A5829">
        <v>10090</v>
      </c>
      <c r="B5829" t="s">
        <v>1835</v>
      </c>
      <c r="C5829" s="1">
        <v>39770</v>
      </c>
      <c r="D5829">
        <v>433</v>
      </c>
      <c r="E5829" t="b">
        <v>0</v>
      </c>
      <c r="F5829">
        <v>835</v>
      </c>
      <c r="G5829" t="s">
        <v>2084</v>
      </c>
      <c r="H5829" t="s">
        <v>239</v>
      </c>
      <c r="I5829" t="s">
        <v>2117</v>
      </c>
    </row>
    <row r="5830" spans="1:9" x14ac:dyDescent="0.35">
      <c r="A5830">
        <v>10090</v>
      </c>
      <c r="B5830" t="s">
        <v>1835</v>
      </c>
      <c r="C5830" s="1">
        <v>39770</v>
      </c>
      <c r="D5830">
        <v>433</v>
      </c>
      <c r="E5830" t="b">
        <v>0</v>
      </c>
      <c r="F5830">
        <v>835</v>
      </c>
      <c r="G5830" t="s">
        <v>2084</v>
      </c>
      <c r="H5830" t="s">
        <v>132</v>
      </c>
      <c r="I5830" t="s">
        <v>2117</v>
      </c>
    </row>
    <row r="5831" spans="1:9" x14ac:dyDescent="0.35">
      <c r="A5831">
        <v>10090</v>
      </c>
      <c r="B5831" t="s">
        <v>1835</v>
      </c>
      <c r="C5831" s="1">
        <v>39770</v>
      </c>
      <c r="D5831">
        <v>433</v>
      </c>
      <c r="E5831" t="b">
        <v>0</v>
      </c>
      <c r="F5831">
        <v>835</v>
      </c>
      <c r="G5831" t="s">
        <v>2084</v>
      </c>
      <c r="H5831" t="s">
        <v>124</v>
      </c>
      <c r="I5831" t="s">
        <v>2117</v>
      </c>
    </row>
    <row r="5832" spans="1:9" x14ac:dyDescent="0.35">
      <c r="A5832">
        <v>10090</v>
      </c>
      <c r="B5832" t="s">
        <v>1835</v>
      </c>
      <c r="C5832" s="1">
        <v>39770</v>
      </c>
      <c r="D5832">
        <v>433</v>
      </c>
      <c r="E5832" t="b">
        <v>0</v>
      </c>
      <c r="F5832">
        <v>835</v>
      </c>
      <c r="G5832" t="s">
        <v>2084</v>
      </c>
      <c r="H5832" t="s">
        <v>1510</v>
      </c>
      <c r="I5832" t="s">
        <v>2117</v>
      </c>
    </row>
    <row r="5833" spans="1:9" x14ac:dyDescent="0.35">
      <c r="A5833">
        <v>458750</v>
      </c>
      <c r="B5833" t="s">
        <v>1837</v>
      </c>
      <c r="C5833" s="1">
        <v>42512</v>
      </c>
      <c r="D5833">
        <v>433</v>
      </c>
      <c r="E5833" t="b">
        <v>1</v>
      </c>
      <c r="F5833">
        <v>835</v>
      </c>
      <c r="G5833" t="s">
        <v>2084</v>
      </c>
      <c r="H5833" t="s">
        <v>49</v>
      </c>
      <c r="I5833" t="s">
        <v>2117</v>
      </c>
    </row>
    <row r="5834" spans="1:9" x14ac:dyDescent="0.35">
      <c r="A5834">
        <v>458750</v>
      </c>
      <c r="B5834" t="s">
        <v>1837</v>
      </c>
      <c r="C5834" s="1">
        <v>42512</v>
      </c>
      <c r="D5834">
        <v>433</v>
      </c>
      <c r="E5834" t="b">
        <v>1</v>
      </c>
      <c r="F5834">
        <v>835</v>
      </c>
      <c r="G5834" t="s">
        <v>2084</v>
      </c>
      <c r="H5834" t="s">
        <v>792</v>
      </c>
      <c r="I5834" t="s">
        <v>2117</v>
      </c>
    </row>
    <row r="5835" spans="1:9" x14ac:dyDescent="0.35">
      <c r="A5835">
        <v>458750</v>
      </c>
      <c r="B5835" t="s">
        <v>1837</v>
      </c>
      <c r="C5835" s="1">
        <v>42512</v>
      </c>
      <c r="D5835">
        <v>433</v>
      </c>
      <c r="E5835" t="b">
        <v>1</v>
      </c>
      <c r="F5835">
        <v>835</v>
      </c>
      <c r="G5835" t="s">
        <v>2084</v>
      </c>
      <c r="H5835" t="s">
        <v>346</v>
      </c>
      <c r="I5835" t="s">
        <v>2117</v>
      </c>
    </row>
    <row r="5836" spans="1:9" x14ac:dyDescent="0.35">
      <c r="A5836">
        <v>458750</v>
      </c>
      <c r="B5836" t="s">
        <v>1837</v>
      </c>
      <c r="C5836" s="1">
        <v>42512</v>
      </c>
      <c r="D5836">
        <v>433</v>
      </c>
      <c r="E5836" t="b">
        <v>1</v>
      </c>
      <c r="F5836">
        <v>835</v>
      </c>
      <c r="G5836" t="s">
        <v>2084</v>
      </c>
      <c r="H5836" t="s">
        <v>239</v>
      </c>
      <c r="I5836" t="s">
        <v>2117</v>
      </c>
    </row>
    <row r="5837" spans="1:9" x14ac:dyDescent="0.35">
      <c r="A5837">
        <v>458750</v>
      </c>
      <c r="B5837" t="s">
        <v>1837</v>
      </c>
      <c r="C5837" s="1">
        <v>42512</v>
      </c>
      <c r="D5837">
        <v>433</v>
      </c>
      <c r="E5837" t="b">
        <v>1</v>
      </c>
      <c r="F5837">
        <v>835</v>
      </c>
      <c r="G5837" t="s">
        <v>2084</v>
      </c>
      <c r="H5837" t="s">
        <v>132</v>
      </c>
      <c r="I5837" t="s">
        <v>2117</v>
      </c>
    </row>
    <row r="5838" spans="1:9" x14ac:dyDescent="0.35">
      <c r="A5838">
        <v>458750</v>
      </c>
      <c r="B5838" t="s">
        <v>1837</v>
      </c>
      <c r="C5838" s="1">
        <v>42512</v>
      </c>
      <c r="D5838">
        <v>433</v>
      </c>
      <c r="E5838" t="b">
        <v>1</v>
      </c>
      <c r="F5838">
        <v>835</v>
      </c>
      <c r="G5838" t="s">
        <v>2084</v>
      </c>
      <c r="H5838" t="s">
        <v>124</v>
      </c>
      <c r="I5838" t="s">
        <v>2117</v>
      </c>
    </row>
    <row r="5839" spans="1:9" x14ac:dyDescent="0.35">
      <c r="A5839">
        <v>458750</v>
      </c>
      <c r="B5839" t="s">
        <v>1837</v>
      </c>
      <c r="C5839" s="1">
        <v>42512</v>
      </c>
      <c r="D5839">
        <v>433</v>
      </c>
      <c r="E5839" t="b">
        <v>1</v>
      </c>
      <c r="F5839">
        <v>835</v>
      </c>
      <c r="G5839" t="s">
        <v>2084</v>
      </c>
      <c r="H5839" t="s">
        <v>1510</v>
      </c>
      <c r="I5839" t="s">
        <v>2117</v>
      </c>
    </row>
    <row r="5840" spans="1:9" x14ac:dyDescent="0.35">
      <c r="A5840">
        <v>694280</v>
      </c>
      <c r="B5840" t="s">
        <v>1840</v>
      </c>
      <c r="C5840" s="1">
        <v>44245</v>
      </c>
      <c r="D5840">
        <v>431</v>
      </c>
      <c r="E5840" t="b">
        <v>0</v>
      </c>
      <c r="F5840">
        <v>837</v>
      </c>
      <c r="G5840" t="s">
        <v>932</v>
      </c>
      <c r="H5840" t="s">
        <v>49</v>
      </c>
      <c r="I5840" t="s">
        <v>2116</v>
      </c>
    </row>
    <row r="5841" spans="1:9" x14ac:dyDescent="0.35">
      <c r="A5841">
        <v>694280</v>
      </c>
      <c r="B5841" t="s">
        <v>1840</v>
      </c>
      <c r="C5841" s="1">
        <v>44245</v>
      </c>
      <c r="D5841">
        <v>431</v>
      </c>
      <c r="E5841" t="b">
        <v>0</v>
      </c>
      <c r="F5841">
        <v>837</v>
      </c>
      <c r="G5841" t="s">
        <v>932</v>
      </c>
      <c r="H5841" t="s">
        <v>792</v>
      </c>
      <c r="I5841" t="s">
        <v>2117</v>
      </c>
    </row>
    <row r="5842" spans="1:9" x14ac:dyDescent="0.35">
      <c r="A5842">
        <v>694280</v>
      </c>
      <c r="B5842" t="s">
        <v>1840</v>
      </c>
      <c r="C5842" s="1">
        <v>44245</v>
      </c>
      <c r="D5842">
        <v>431</v>
      </c>
      <c r="E5842" t="b">
        <v>0</v>
      </c>
      <c r="F5842">
        <v>837</v>
      </c>
      <c r="G5842" t="s">
        <v>932</v>
      </c>
      <c r="H5842" t="s">
        <v>346</v>
      </c>
      <c r="I5842" t="s">
        <v>2117</v>
      </c>
    </row>
    <row r="5843" spans="1:9" x14ac:dyDescent="0.35">
      <c r="A5843">
        <v>694280</v>
      </c>
      <c r="B5843" t="s">
        <v>1840</v>
      </c>
      <c r="C5843" s="1">
        <v>44245</v>
      </c>
      <c r="D5843">
        <v>431</v>
      </c>
      <c r="E5843" t="b">
        <v>0</v>
      </c>
      <c r="F5843">
        <v>837</v>
      </c>
      <c r="G5843" t="s">
        <v>932</v>
      </c>
      <c r="H5843" t="s">
        <v>239</v>
      </c>
      <c r="I5843" t="s">
        <v>2117</v>
      </c>
    </row>
    <row r="5844" spans="1:9" x14ac:dyDescent="0.35">
      <c r="A5844">
        <v>694280</v>
      </c>
      <c r="B5844" t="s">
        <v>1840</v>
      </c>
      <c r="C5844" s="1">
        <v>44245</v>
      </c>
      <c r="D5844">
        <v>431</v>
      </c>
      <c r="E5844" t="b">
        <v>0</v>
      </c>
      <c r="F5844">
        <v>837</v>
      </c>
      <c r="G5844" t="s">
        <v>932</v>
      </c>
      <c r="H5844" t="s">
        <v>132</v>
      </c>
      <c r="I5844" t="s">
        <v>2117</v>
      </c>
    </row>
    <row r="5845" spans="1:9" x14ac:dyDescent="0.35">
      <c r="A5845">
        <v>694280</v>
      </c>
      <c r="B5845" t="s">
        <v>1840</v>
      </c>
      <c r="C5845" s="1">
        <v>44245</v>
      </c>
      <c r="D5845">
        <v>431</v>
      </c>
      <c r="E5845" t="b">
        <v>0</v>
      </c>
      <c r="F5845">
        <v>837</v>
      </c>
      <c r="G5845" t="s">
        <v>932</v>
      </c>
      <c r="H5845" t="s">
        <v>124</v>
      </c>
      <c r="I5845" t="s">
        <v>2117</v>
      </c>
    </row>
    <row r="5846" spans="1:9" x14ac:dyDescent="0.35">
      <c r="A5846">
        <v>694280</v>
      </c>
      <c r="B5846" t="s">
        <v>1840</v>
      </c>
      <c r="C5846" s="1">
        <v>44245</v>
      </c>
      <c r="D5846">
        <v>431</v>
      </c>
      <c r="E5846" t="b">
        <v>0</v>
      </c>
      <c r="F5846">
        <v>837</v>
      </c>
      <c r="G5846" t="s">
        <v>932</v>
      </c>
      <c r="H5846" t="s">
        <v>1510</v>
      </c>
      <c r="I5846" t="s">
        <v>2117</v>
      </c>
    </row>
    <row r="5847" spans="1:9" x14ac:dyDescent="0.35">
      <c r="A5847">
        <v>211500</v>
      </c>
      <c r="B5847" t="s">
        <v>1842</v>
      </c>
      <c r="C5847" s="1">
        <v>41317</v>
      </c>
      <c r="D5847">
        <v>431</v>
      </c>
      <c r="E5847" t="b">
        <v>0</v>
      </c>
      <c r="F5847">
        <v>837</v>
      </c>
      <c r="G5847" t="s">
        <v>33</v>
      </c>
      <c r="H5847" t="s">
        <v>49</v>
      </c>
      <c r="I5847" t="s">
        <v>2117</v>
      </c>
    </row>
    <row r="5848" spans="1:9" x14ac:dyDescent="0.35">
      <c r="A5848">
        <v>211500</v>
      </c>
      <c r="B5848" t="s">
        <v>1842</v>
      </c>
      <c r="C5848" s="1">
        <v>41317</v>
      </c>
      <c r="D5848">
        <v>431</v>
      </c>
      <c r="E5848" t="b">
        <v>0</v>
      </c>
      <c r="F5848">
        <v>837</v>
      </c>
      <c r="G5848" t="s">
        <v>33</v>
      </c>
      <c r="H5848" t="s">
        <v>792</v>
      </c>
      <c r="I5848" t="s">
        <v>2117</v>
      </c>
    </row>
    <row r="5849" spans="1:9" x14ac:dyDescent="0.35">
      <c r="A5849">
        <v>211500</v>
      </c>
      <c r="B5849" t="s">
        <v>1842</v>
      </c>
      <c r="C5849" s="1">
        <v>41317</v>
      </c>
      <c r="D5849">
        <v>431</v>
      </c>
      <c r="E5849" t="b">
        <v>0</v>
      </c>
      <c r="F5849">
        <v>837</v>
      </c>
      <c r="G5849" t="s">
        <v>33</v>
      </c>
      <c r="H5849" t="s">
        <v>346</v>
      </c>
      <c r="I5849" t="s">
        <v>2117</v>
      </c>
    </row>
    <row r="5850" spans="1:9" x14ac:dyDescent="0.35">
      <c r="A5850">
        <v>211500</v>
      </c>
      <c r="B5850" t="s">
        <v>1842</v>
      </c>
      <c r="C5850" s="1">
        <v>41317</v>
      </c>
      <c r="D5850">
        <v>431</v>
      </c>
      <c r="E5850" t="b">
        <v>0</v>
      </c>
      <c r="F5850">
        <v>837</v>
      </c>
      <c r="G5850" t="s">
        <v>33</v>
      </c>
      <c r="H5850" t="s">
        <v>239</v>
      </c>
      <c r="I5850" t="s">
        <v>2116</v>
      </c>
    </row>
    <row r="5851" spans="1:9" x14ac:dyDescent="0.35">
      <c r="A5851">
        <v>211500</v>
      </c>
      <c r="B5851" t="s">
        <v>1842</v>
      </c>
      <c r="C5851" s="1">
        <v>41317</v>
      </c>
      <c r="D5851">
        <v>431</v>
      </c>
      <c r="E5851" t="b">
        <v>0</v>
      </c>
      <c r="F5851">
        <v>837</v>
      </c>
      <c r="G5851" t="s">
        <v>33</v>
      </c>
      <c r="H5851" t="s">
        <v>132</v>
      </c>
      <c r="I5851" t="s">
        <v>2117</v>
      </c>
    </row>
    <row r="5852" spans="1:9" x14ac:dyDescent="0.35">
      <c r="A5852">
        <v>211500</v>
      </c>
      <c r="B5852" t="s">
        <v>1842</v>
      </c>
      <c r="C5852" s="1">
        <v>41317</v>
      </c>
      <c r="D5852">
        <v>431</v>
      </c>
      <c r="E5852" t="b">
        <v>0</v>
      </c>
      <c r="F5852">
        <v>837</v>
      </c>
      <c r="G5852" t="s">
        <v>33</v>
      </c>
      <c r="H5852" t="s">
        <v>124</v>
      </c>
      <c r="I5852" t="s">
        <v>2117</v>
      </c>
    </row>
    <row r="5853" spans="1:9" x14ac:dyDescent="0.35">
      <c r="A5853">
        <v>211500</v>
      </c>
      <c r="B5853" t="s">
        <v>1842</v>
      </c>
      <c r="C5853" s="1">
        <v>41317</v>
      </c>
      <c r="D5853">
        <v>431</v>
      </c>
      <c r="E5853" t="b">
        <v>0</v>
      </c>
      <c r="F5853">
        <v>837</v>
      </c>
      <c r="G5853" t="s">
        <v>33</v>
      </c>
      <c r="H5853" t="s">
        <v>1510</v>
      </c>
      <c r="I5853" t="s">
        <v>2116</v>
      </c>
    </row>
    <row r="5854" spans="1:9" x14ac:dyDescent="0.35">
      <c r="A5854">
        <v>846770</v>
      </c>
      <c r="B5854" t="s">
        <v>1845</v>
      </c>
      <c r="C5854" s="1">
        <v>44516</v>
      </c>
      <c r="D5854">
        <v>431</v>
      </c>
      <c r="E5854" t="b">
        <v>1</v>
      </c>
      <c r="F5854">
        <v>837</v>
      </c>
      <c r="G5854" t="s">
        <v>25</v>
      </c>
      <c r="H5854" t="s">
        <v>49</v>
      </c>
      <c r="I5854" t="s">
        <v>2116</v>
      </c>
    </row>
    <row r="5855" spans="1:9" x14ac:dyDescent="0.35">
      <c r="A5855">
        <v>846770</v>
      </c>
      <c r="B5855" t="s">
        <v>1845</v>
      </c>
      <c r="C5855" s="1">
        <v>44516</v>
      </c>
      <c r="D5855">
        <v>431</v>
      </c>
      <c r="E5855" t="b">
        <v>1</v>
      </c>
      <c r="F5855">
        <v>837</v>
      </c>
      <c r="G5855" t="s">
        <v>25</v>
      </c>
      <c r="H5855" t="s">
        <v>792</v>
      </c>
      <c r="I5855" t="s">
        <v>2116</v>
      </c>
    </row>
    <row r="5856" spans="1:9" x14ac:dyDescent="0.35">
      <c r="A5856">
        <v>846770</v>
      </c>
      <c r="B5856" t="s">
        <v>1845</v>
      </c>
      <c r="C5856" s="1">
        <v>44516</v>
      </c>
      <c r="D5856">
        <v>431</v>
      </c>
      <c r="E5856" t="b">
        <v>1</v>
      </c>
      <c r="F5856">
        <v>837</v>
      </c>
      <c r="G5856" t="s">
        <v>25</v>
      </c>
      <c r="H5856" t="s">
        <v>346</v>
      </c>
      <c r="I5856" t="s">
        <v>2116</v>
      </c>
    </row>
    <row r="5857" spans="1:9" x14ac:dyDescent="0.35">
      <c r="A5857">
        <v>846770</v>
      </c>
      <c r="B5857" t="s">
        <v>1845</v>
      </c>
      <c r="C5857" s="1">
        <v>44516</v>
      </c>
      <c r="D5857">
        <v>431</v>
      </c>
      <c r="E5857" t="b">
        <v>1</v>
      </c>
      <c r="F5857">
        <v>837</v>
      </c>
      <c r="G5857" t="s">
        <v>25</v>
      </c>
      <c r="H5857" t="s">
        <v>239</v>
      </c>
      <c r="I5857" t="s">
        <v>2116</v>
      </c>
    </row>
    <row r="5858" spans="1:9" x14ac:dyDescent="0.35">
      <c r="A5858">
        <v>846770</v>
      </c>
      <c r="B5858" t="s">
        <v>1845</v>
      </c>
      <c r="C5858" s="1">
        <v>44516</v>
      </c>
      <c r="D5858">
        <v>431</v>
      </c>
      <c r="E5858" t="b">
        <v>1</v>
      </c>
      <c r="F5858">
        <v>837</v>
      </c>
      <c r="G5858" t="s">
        <v>25</v>
      </c>
      <c r="H5858" t="s">
        <v>132</v>
      </c>
      <c r="I5858" t="s">
        <v>2116</v>
      </c>
    </row>
    <row r="5859" spans="1:9" x14ac:dyDescent="0.35">
      <c r="A5859">
        <v>846770</v>
      </c>
      <c r="B5859" t="s">
        <v>1845</v>
      </c>
      <c r="C5859" s="1">
        <v>44516</v>
      </c>
      <c r="D5859">
        <v>431</v>
      </c>
      <c r="E5859" t="b">
        <v>1</v>
      </c>
      <c r="F5859">
        <v>837</v>
      </c>
      <c r="G5859" t="s">
        <v>25</v>
      </c>
      <c r="H5859" t="s">
        <v>124</v>
      </c>
      <c r="I5859" t="s">
        <v>2117</v>
      </c>
    </row>
    <row r="5860" spans="1:9" x14ac:dyDescent="0.35">
      <c r="A5860">
        <v>846770</v>
      </c>
      <c r="B5860" t="s">
        <v>1845</v>
      </c>
      <c r="C5860" s="1">
        <v>44516</v>
      </c>
      <c r="D5860">
        <v>431</v>
      </c>
      <c r="E5860" t="b">
        <v>1</v>
      </c>
      <c r="F5860">
        <v>837</v>
      </c>
      <c r="G5860" t="s">
        <v>25</v>
      </c>
      <c r="H5860" t="s">
        <v>1510</v>
      </c>
      <c r="I5860" t="s">
        <v>2117</v>
      </c>
    </row>
    <row r="5861" spans="1:9" x14ac:dyDescent="0.35">
      <c r="A5861">
        <v>780290</v>
      </c>
      <c r="B5861" t="s">
        <v>1846</v>
      </c>
      <c r="C5861" s="1">
        <v>44489</v>
      </c>
      <c r="D5861">
        <v>430</v>
      </c>
      <c r="E5861" t="b">
        <v>1</v>
      </c>
      <c r="F5861">
        <v>840</v>
      </c>
      <c r="G5861" t="s">
        <v>25</v>
      </c>
      <c r="H5861" t="s">
        <v>49</v>
      </c>
      <c r="I5861" t="s">
        <v>2117</v>
      </c>
    </row>
    <row r="5862" spans="1:9" x14ac:dyDescent="0.35">
      <c r="A5862">
        <v>780290</v>
      </c>
      <c r="B5862" t="s">
        <v>1846</v>
      </c>
      <c r="C5862" s="1">
        <v>44489</v>
      </c>
      <c r="D5862">
        <v>430</v>
      </c>
      <c r="E5862" t="b">
        <v>1</v>
      </c>
      <c r="F5862">
        <v>840</v>
      </c>
      <c r="G5862" t="s">
        <v>25</v>
      </c>
      <c r="H5862" t="s">
        <v>792</v>
      </c>
      <c r="I5862" t="s">
        <v>2117</v>
      </c>
    </row>
    <row r="5863" spans="1:9" x14ac:dyDescent="0.35">
      <c r="A5863">
        <v>780290</v>
      </c>
      <c r="B5863" t="s">
        <v>1846</v>
      </c>
      <c r="C5863" s="1">
        <v>44489</v>
      </c>
      <c r="D5863">
        <v>430</v>
      </c>
      <c r="E5863" t="b">
        <v>1</v>
      </c>
      <c r="F5863">
        <v>840</v>
      </c>
      <c r="G5863" t="s">
        <v>25</v>
      </c>
      <c r="H5863" t="s">
        <v>346</v>
      </c>
      <c r="I5863" t="s">
        <v>2116</v>
      </c>
    </row>
    <row r="5864" spans="1:9" x14ac:dyDescent="0.35">
      <c r="A5864">
        <v>780290</v>
      </c>
      <c r="B5864" t="s">
        <v>1846</v>
      </c>
      <c r="C5864" s="1">
        <v>44489</v>
      </c>
      <c r="D5864">
        <v>430</v>
      </c>
      <c r="E5864" t="b">
        <v>1</v>
      </c>
      <c r="F5864">
        <v>840</v>
      </c>
      <c r="G5864" t="s">
        <v>25</v>
      </c>
      <c r="H5864" t="s">
        <v>239</v>
      </c>
      <c r="I5864" t="s">
        <v>2117</v>
      </c>
    </row>
    <row r="5865" spans="1:9" x14ac:dyDescent="0.35">
      <c r="A5865">
        <v>780290</v>
      </c>
      <c r="B5865" t="s">
        <v>1846</v>
      </c>
      <c r="C5865" s="1">
        <v>44489</v>
      </c>
      <c r="D5865">
        <v>430</v>
      </c>
      <c r="E5865" t="b">
        <v>1</v>
      </c>
      <c r="F5865">
        <v>840</v>
      </c>
      <c r="G5865" t="s">
        <v>25</v>
      </c>
      <c r="H5865" t="s">
        <v>132</v>
      </c>
      <c r="I5865" t="s">
        <v>2116</v>
      </c>
    </row>
    <row r="5866" spans="1:9" x14ac:dyDescent="0.35">
      <c r="A5866">
        <v>780290</v>
      </c>
      <c r="B5866" t="s">
        <v>1846</v>
      </c>
      <c r="C5866" s="1">
        <v>44489</v>
      </c>
      <c r="D5866">
        <v>430</v>
      </c>
      <c r="E5866" t="b">
        <v>1</v>
      </c>
      <c r="F5866">
        <v>840</v>
      </c>
      <c r="G5866" t="s">
        <v>25</v>
      </c>
      <c r="H5866" t="s">
        <v>124</v>
      </c>
      <c r="I5866" t="s">
        <v>2116</v>
      </c>
    </row>
    <row r="5867" spans="1:9" x14ac:dyDescent="0.35">
      <c r="A5867">
        <v>780290</v>
      </c>
      <c r="B5867" t="s">
        <v>1846</v>
      </c>
      <c r="C5867" s="1">
        <v>44489</v>
      </c>
      <c r="D5867">
        <v>430</v>
      </c>
      <c r="E5867" t="b">
        <v>1</v>
      </c>
      <c r="F5867">
        <v>840</v>
      </c>
      <c r="G5867" t="s">
        <v>25</v>
      </c>
      <c r="H5867" t="s">
        <v>1510</v>
      </c>
      <c r="I5867" t="s">
        <v>2117</v>
      </c>
    </row>
    <row r="5868" spans="1:9" x14ac:dyDescent="0.35">
      <c r="A5868">
        <v>1588010</v>
      </c>
      <c r="B5868" t="s">
        <v>1848</v>
      </c>
      <c r="C5868" s="1">
        <v>44847</v>
      </c>
      <c r="D5868">
        <v>430</v>
      </c>
      <c r="E5868" t="b">
        <v>0</v>
      </c>
      <c r="F5868">
        <v>840</v>
      </c>
      <c r="G5868" t="s">
        <v>57</v>
      </c>
      <c r="H5868" t="s">
        <v>49</v>
      </c>
      <c r="I5868" t="s">
        <v>2117</v>
      </c>
    </row>
    <row r="5869" spans="1:9" x14ac:dyDescent="0.35">
      <c r="A5869">
        <v>1588010</v>
      </c>
      <c r="B5869" t="s">
        <v>1848</v>
      </c>
      <c r="C5869" s="1">
        <v>44847</v>
      </c>
      <c r="D5869">
        <v>430</v>
      </c>
      <c r="E5869" t="b">
        <v>0</v>
      </c>
      <c r="F5869">
        <v>840</v>
      </c>
      <c r="G5869" t="s">
        <v>57</v>
      </c>
      <c r="H5869" t="s">
        <v>792</v>
      </c>
      <c r="I5869" t="s">
        <v>2117</v>
      </c>
    </row>
    <row r="5870" spans="1:9" x14ac:dyDescent="0.35">
      <c r="A5870">
        <v>1588010</v>
      </c>
      <c r="B5870" t="s">
        <v>1848</v>
      </c>
      <c r="C5870" s="1">
        <v>44847</v>
      </c>
      <c r="D5870">
        <v>430</v>
      </c>
      <c r="E5870" t="b">
        <v>0</v>
      </c>
      <c r="F5870">
        <v>840</v>
      </c>
      <c r="G5870" t="s">
        <v>57</v>
      </c>
      <c r="H5870" t="s">
        <v>346</v>
      </c>
      <c r="I5870" t="s">
        <v>2117</v>
      </c>
    </row>
    <row r="5871" spans="1:9" x14ac:dyDescent="0.35">
      <c r="A5871">
        <v>1588010</v>
      </c>
      <c r="B5871" t="s">
        <v>1848</v>
      </c>
      <c r="C5871" s="1">
        <v>44847</v>
      </c>
      <c r="D5871">
        <v>430</v>
      </c>
      <c r="E5871" t="b">
        <v>0</v>
      </c>
      <c r="F5871">
        <v>840</v>
      </c>
      <c r="G5871" t="s">
        <v>57</v>
      </c>
      <c r="H5871" t="s">
        <v>239</v>
      </c>
      <c r="I5871" t="s">
        <v>2116</v>
      </c>
    </row>
    <row r="5872" spans="1:9" x14ac:dyDescent="0.35">
      <c r="A5872">
        <v>1588010</v>
      </c>
      <c r="B5872" t="s">
        <v>1848</v>
      </c>
      <c r="C5872" s="1">
        <v>44847</v>
      </c>
      <c r="D5872">
        <v>430</v>
      </c>
      <c r="E5872" t="b">
        <v>0</v>
      </c>
      <c r="F5872">
        <v>840</v>
      </c>
      <c r="G5872" t="s">
        <v>57</v>
      </c>
      <c r="H5872" t="s">
        <v>132</v>
      </c>
      <c r="I5872" t="s">
        <v>2116</v>
      </c>
    </row>
    <row r="5873" spans="1:9" x14ac:dyDescent="0.35">
      <c r="A5873">
        <v>1588010</v>
      </c>
      <c r="B5873" t="s">
        <v>1848</v>
      </c>
      <c r="C5873" s="1">
        <v>44847</v>
      </c>
      <c r="D5873">
        <v>430</v>
      </c>
      <c r="E5873" t="b">
        <v>0</v>
      </c>
      <c r="F5873">
        <v>840</v>
      </c>
      <c r="G5873" t="s">
        <v>57</v>
      </c>
      <c r="H5873" t="s">
        <v>124</v>
      </c>
      <c r="I5873" t="s">
        <v>2117</v>
      </c>
    </row>
    <row r="5874" spans="1:9" x14ac:dyDescent="0.35">
      <c r="A5874">
        <v>1588010</v>
      </c>
      <c r="B5874" t="s">
        <v>1848</v>
      </c>
      <c r="C5874" s="1">
        <v>44847</v>
      </c>
      <c r="D5874">
        <v>430</v>
      </c>
      <c r="E5874" t="b">
        <v>0</v>
      </c>
      <c r="F5874">
        <v>840</v>
      </c>
      <c r="G5874" t="s">
        <v>57</v>
      </c>
      <c r="H5874" t="s">
        <v>1510</v>
      </c>
      <c r="I5874" t="s">
        <v>2117</v>
      </c>
    </row>
    <row r="5875" spans="1:9" x14ac:dyDescent="0.35">
      <c r="A5875">
        <v>692890</v>
      </c>
      <c r="B5875" t="s">
        <v>1850</v>
      </c>
      <c r="C5875" s="1">
        <v>45237</v>
      </c>
      <c r="D5875">
        <v>429</v>
      </c>
      <c r="E5875" t="b">
        <v>0</v>
      </c>
      <c r="F5875">
        <v>842</v>
      </c>
      <c r="G5875" t="s">
        <v>53</v>
      </c>
      <c r="H5875" t="s">
        <v>49</v>
      </c>
      <c r="I5875" t="s">
        <v>2116</v>
      </c>
    </row>
    <row r="5876" spans="1:9" x14ac:dyDescent="0.35">
      <c r="A5876">
        <v>692890</v>
      </c>
      <c r="B5876" t="s">
        <v>1850</v>
      </c>
      <c r="C5876" s="1">
        <v>45237</v>
      </c>
      <c r="D5876">
        <v>429</v>
      </c>
      <c r="E5876" t="b">
        <v>0</v>
      </c>
      <c r="F5876">
        <v>842</v>
      </c>
      <c r="G5876" t="s">
        <v>53</v>
      </c>
      <c r="H5876" t="s">
        <v>792</v>
      </c>
      <c r="I5876" t="s">
        <v>2116</v>
      </c>
    </row>
    <row r="5877" spans="1:9" x14ac:dyDescent="0.35">
      <c r="A5877">
        <v>692890</v>
      </c>
      <c r="B5877" t="s">
        <v>1850</v>
      </c>
      <c r="C5877" s="1">
        <v>45237</v>
      </c>
      <c r="D5877">
        <v>429</v>
      </c>
      <c r="E5877" t="b">
        <v>0</v>
      </c>
      <c r="F5877">
        <v>842</v>
      </c>
      <c r="G5877" t="s">
        <v>53</v>
      </c>
      <c r="H5877" t="s">
        <v>346</v>
      </c>
      <c r="I5877" t="s">
        <v>2117</v>
      </c>
    </row>
    <row r="5878" spans="1:9" x14ac:dyDescent="0.35">
      <c r="A5878">
        <v>692890</v>
      </c>
      <c r="B5878" t="s">
        <v>1850</v>
      </c>
      <c r="C5878" s="1">
        <v>45237</v>
      </c>
      <c r="D5878">
        <v>429</v>
      </c>
      <c r="E5878" t="b">
        <v>0</v>
      </c>
      <c r="F5878">
        <v>842</v>
      </c>
      <c r="G5878" t="s">
        <v>53</v>
      </c>
      <c r="H5878" t="s">
        <v>239</v>
      </c>
      <c r="I5878" t="s">
        <v>2117</v>
      </c>
    </row>
    <row r="5879" spans="1:9" x14ac:dyDescent="0.35">
      <c r="A5879">
        <v>692890</v>
      </c>
      <c r="B5879" t="s">
        <v>1850</v>
      </c>
      <c r="C5879" s="1">
        <v>45237</v>
      </c>
      <c r="D5879">
        <v>429</v>
      </c>
      <c r="E5879" t="b">
        <v>0</v>
      </c>
      <c r="F5879">
        <v>842</v>
      </c>
      <c r="G5879" t="s">
        <v>53</v>
      </c>
      <c r="H5879" t="s">
        <v>132</v>
      </c>
      <c r="I5879" t="s">
        <v>2117</v>
      </c>
    </row>
    <row r="5880" spans="1:9" x14ac:dyDescent="0.35">
      <c r="A5880">
        <v>692890</v>
      </c>
      <c r="B5880" t="s">
        <v>1850</v>
      </c>
      <c r="C5880" s="1">
        <v>45237</v>
      </c>
      <c r="D5880">
        <v>429</v>
      </c>
      <c r="E5880" t="b">
        <v>0</v>
      </c>
      <c r="F5880">
        <v>842</v>
      </c>
      <c r="G5880" t="s">
        <v>53</v>
      </c>
      <c r="H5880" t="s">
        <v>124</v>
      </c>
      <c r="I5880" t="s">
        <v>2117</v>
      </c>
    </row>
    <row r="5881" spans="1:9" x14ac:dyDescent="0.35">
      <c r="A5881">
        <v>692890</v>
      </c>
      <c r="B5881" t="s">
        <v>1850</v>
      </c>
      <c r="C5881" s="1">
        <v>45237</v>
      </c>
      <c r="D5881">
        <v>429</v>
      </c>
      <c r="E5881" t="b">
        <v>0</v>
      </c>
      <c r="F5881">
        <v>842</v>
      </c>
      <c r="G5881" t="s">
        <v>53</v>
      </c>
      <c r="H5881" t="s">
        <v>1510</v>
      </c>
      <c r="I5881" t="s">
        <v>2117</v>
      </c>
    </row>
    <row r="5882" spans="1:9" x14ac:dyDescent="0.35">
      <c r="A5882">
        <v>756800</v>
      </c>
      <c r="B5882" t="s">
        <v>1852</v>
      </c>
      <c r="C5882" s="1">
        <v>44993</v>
      </c>
      <c r="D5882">
        <v>429</v>
      </c>
      <c r="E5882" t="b">
        <v>0</v>
      </c>
      <c r="F5882">
        <v>842</v>
      </c>
      <c r="G5882" t="s">
        <v>36</v>
      </c>
      <c r="H5882" t="s">
        <v>49</v>
      </c>
      <c r="I5882" t="s">
        <v>2116</v>
      </c>
    </row>
    <row r="5883" spans="1:9" x14ac:dyDescent="0.35">
      <c r="A5883">
        <v>756800</v>
      </c>
      <c r="B5883" t="s">
        <v>1852</v>
      </c>
      <c r="C5883" s="1">
        <v>44993</v>
      </c>
      <c r="D5883">
        <v>429</v>
      </c>
      <c r="E5883" t="b">
        <v>0</v>
      </c>
      <c r="F5883">
        <v>842</v>
      </c>
      <c r="G5883" t="s">
        <v>36</v>
      </c>
      <c r="H5883" t="s">
        <v>792</v>
      </c>
      <c r="I5883" t="s">
        <v>2117</v>
      </c>
    </row>
    <row r="5884" spans="1:9" x14ac:dyDescent="0.35">
      <c r="A5884">
        <v>756800</v>
      </c>
      <c r="B5884" t="s">
        <v>1852</v>
      </c>
      <c r="C5884" s="1">
        <v>44993</v>
      </c>
      <c r="D5884">
        <v>429</v>
      </c>
      <c r="E5884" t="b">
        <v>0</v>
      </c>
      <c r="F5884">
        <v>842</v>
      </c>
      <c r="G5884" t="s">
        <v>36</v>
      </c>
      <c r="H5884" t="s">
        <v>346</v>
      </c>
      <c r="I5884" t="s">
        <v>2116</v>
      </c>
    </row>
    <row r="5885" spans="1:9" x14ac:dyDescent="0.35">
      <c r="A5885">
        <v>756800</v>
      </c>
      <c r="B5885" t="s">
        <v>1852</v>
      </c>
      <c r="C5885" s="1">
        <v>44993</v>
      </c>
      <c r="D5885">
        <v>429</v>
      </c>
      <c r="E5885" t="b">
        <v>0</v>
      </c>
      <c r="F5885">
        <v>842</v>
      </c>
      <c r="G5885" t="s">
        <v>36</v>
      </c>
      <c r="H5885" t="s">
        <v>239</v>
      </c>
      <c r="I5885" t="s">
        <v>2116</v>
      </c>
    </row>
    <row r="5886" spans="1:9" x14ac:dyDescent="0.35">
      <c r="A5886">
        <v>756800</v>
      </c>
      <c r="B5886" t="s">
        <v>1852</v>
      </c>
      <c r="C5886" s="1">
        <v>44993</v>
      </c>
      <c r="D5886">
        <v>429</v>
      </c>
      <c r="E5886" t="b">
        <v>0</v>
      </c>
      <c r="F5886">
        <v>842</v>
      </c>
      <c r="G5886" t="s">
        <v>36</v>
      </c>
      <c r="H5886" t="s">
        <v>132</v>
      </c>
      <c r="I5886" t="s">
        <v>2117</v>
      </c>
    </row>
    <row r="5887" spans="1:9" x14ac:dyDescent="0.35">
      <c r="A5887">
        <v>756800</v>
      </c>
      <c r="B5887" t="s">
        <v>1852</v>
      </c>
      <c r="C5887" s="1">
        <v>44993</v>
      </c>
      <c r="D5887">
        <v>429</v>
      </c>
      <c r="E5887" t="b">
        <v>0</v>
      </c>
      <c r="F5887">
        <v>842</v>
      </c>
      <c r="G5887" t="s">
        <v>36</v>
      </c>
      <c r="H5887" t="s">
        <v>124</v>
      </c>
      <c r="I5887" t="s">
        <v>2117</v>
      </c>
    </row>
    <row r="5888" spans="1:9" x14ac:dyDescent="0.35">
      <c r="A5888">
        <v>756800</v>
      </c>
      <c r="B5888" t="s">
        <v>1852</v>
      </c>
      <c r="C5888" s="1">
        <v>44993</v>
      </c>
      <c r="D5888">
        <v>429</v>
      </c>
      <c r="E5888" t="b">
        <v>0</v>
      </c>
      <c r="F5888">
        <v>842</v>
      </c>
      <c r="G5888" t="s">
        <v>36</v>
      </c>
      <c r="H5888" t="s">
        <v>1510</v>
      </c>
      <c r="I5888" t="s">
        <v>2117</v>
      </c>
    </row>
    <row r="5889" spans="1:9" x14ac:dyDescent="0.35">
      <c r="A5889">
        <v>3400000</v>
      </c>
      <c r="B5889" t="s">
        <v>1854</v>
      </c>
      <c r="C5889" s="1">
        <v>45791</v>
      </c>
      <c r="D5889">
        <v>429</v>
      </c>
      <c r="E5889" t="b">
        <v>0</v>
      </c>
      <c r="F5889">
        <v>842</v>
      </c>
      <c r="G5889" t="s">
        <v>29</v>
      </c>
      <c r="H5889" t="s">
        <v>49</v>
      </c>
      <c r="I5889" t="s">
        <v>2116</v>
      </c>
    </row>
    <row r="5890" spans="1:9" x14ac:dyDescent="0.35">
      <c r="A5890">
        <v>3400000</v>
      </c>
      <c r="B5890" t="s">
        <v>1854</v>
      </c>
      <c r="C5890" s="1">
        <v>45791</v>
      </c>
      <c r="D5890">
        <v>429</v>
      </c>
      <c r="E5890" t="b">
        <v>0</v>
      </c>
      <c r="F5890">
        <v>842</v>
      </c>
      <c r="G5890" t="s">
        <v>29</v>
      </c>
      <c r="H5890" t="s">
        <v>792</v>
      </c>
      <c r="I5890" t="s">
        <v>2117</v>
      </c>
    </row>
    <row r="5891" spans="1:9" x14ac:dyDescent="0.35">
      <c r="A5891">
        <v>3400000</v>
      </c>
      <c r="B5891" t="s">
        <v>1854</v>
      </c>
      <c r="C5891" s="1">
        <v>45791</v>
      </c>
      <c r="D5891">
        <v>429</v>
      </c>
      <c r="E5891" t="b">
        <v>0</v>
      </c>
      <c r="F5891">
        <v>842</v>
      </c>
      <c r="G5891" t="s">
        <v>29</v>
      </c>
      <c r="H5891" t="s">
        <v>346</v>
      </c>
      <c r="I5891" t="s">
        <v>2116</v>
      </c>
    </row>
    <row r="5892" spans="1:9" x14ac:dyDescent="0.35">
      <c r="A5892">
        <v>3400000</v>
      </c>
      <c r="B5892" t="s">
        <v>1854</v>
      </c>
      <c r="C5892" s="1">
        <v>45791</v>
      </c>
      <c r="D5892">
        <v>429</v>
      </c>
      <c r="E5892" t="b">
        <v>0</v>
      </c>
      <c r="F5892">
        <v>842</v>
      </c>
      <c r="G5892" t="s">
        <v>29</v>
      </c>
      <c r="H5892" t="s">
        <v>239</v>
      </c>
      <c r="I5892" t="s">
        <v>2117</v>
      </c>
    </row>
    <row r="5893" spans="1:9" x14ac:dyDescent="0.35">
      <c r="A5893">
        <v>3400000</v>
      </c>
      <c r="B5893" t="s">
        <v>1854</v>
      </c>
      <c r="C5893" s="1">
        <v>45791</v>
      </c>
      <c r="D5893">
        <v>429</v>
      </c>
      <c r="E5893" t="b">
        <v>0</v>
      </c>
      <c r="F5893">
        <v>842</v>
      </c>
      <c r="G5893" t="s">
        <v>29</v>
      </c>
      <c r="H5893" t="s">
        <v>132</v>
      </c>
      <c r="I5893" t="s">
        <v>2117</v>
      </c>
    </row>
    <row r="5894" spans="1:9" x14ac:dyDescent="0.35">
      <c r="A5894">
        <v>3400000</v>
      </c>
      <c r="B5894" t="s">
        <v>1854</v>
      </c>
      <c r="C5894" s="1">
        <v>45791</v>
      </c>
      <c r="D5894">
        <v>429</v>
      </c>
      <c r="E5894" t="b">
        <v>0</v>
      </c>
      <c r="F5894">
        <v>842</v>
      </c>
      <c r="G5894" t="s">
        <v>29</v>
      </c>
      <c r="H5894" t="s">
        <v>124</v>
      </c>
      <c r="I5894" t="s">
        <v>2117</v>
      </c>
    </row>
    <row r="5895" spans="1:9" x14ac:dyDescent="0.35">
      <c r="A5895">
        <v>3400000</v>
      </c>
      <c r="B5895" t="s">
        <v>1854</v>
      </c>
      <c r="C5895" s="1">
        <v>45791</v>
      </c>
      <c r="D5895">
        <v>429</v>
      </c>
      <c r="E5895" t="b">
        <v>0</v>
      </c>
      <c r="F5895">
        <v>842</v>
      </c>
      <c r="G5895" t="s">
        <v>29</v>
      </c>
      <c r="H5895" t="s">
        <v>1510</v>
      </c>
      <c r="I5895" t="s">
        <v>2117</v>
      </c>
    </row>
    <row r="5896" spans="1:9" x14ac:dyDescent="0.35">
      <c r="A5896">
        <v>617290</v>
      </c>
      <c r="B5896" t="s">
        <v>1856</v>
      </c>
      <c r="C5896" s="1">
        <v>43696</v>
      </c>
      <c r="D5896">
        <v>429</v>
      </c>
      <c r="E5896" t="b">
        <v>0</v>
      </c>
      <c r="F5896">
        <v>842</v>
      </c>
      <c r="G5896" t="s">
        <v>33</v>
      </c>
      <c r="H5896" t="s">
        <v>49</v>
      </c>
      <c r="I5896" t="s">
        <v>2116</v>
      </c>
    </row>
    <row r="5897" spans="1:9" x14ac:dyDescent="0.35">
      <c r="A5897">
        <v>617290</v>
      </c>
      <c r="B5897" t="s">
        <v>1856</v>
      </c>
      <c r="C5897" s="1">
        <v>43696</v>
      </c>
      <c r="D5897">
        <v>429</v>
      </c>
      <c r="E5897" t="b">
        <v>0</v>
      </c>
      <c r="F5897">
        <v>842</v>
      </c>
      <c r="G5897" t="s">
        <v>33</v>
      </c>
      <c r="H5897" t="s">
        <v>792</v>
      </c>
      <c r="I5897" t="s">
        <v>2117</v>
      </c>
    </row>
    <row r="5898" spans="1:9" x14ac:dyDescent="0.35">
      <c r="A5898">
        <v>617290</v>
      </c>
      <c r="B5898" t="s">
        <v>1856</v>
      </c>
      <c r="C5898" s="1">
        <v>43696</v>
      </c>
      <c r="D5898">
        <v>429</v>
      </c>
      <c r="E5898" t="b">
        <v>0</v>
      </c>
      <c r="F5898">
        <v>842</v>
      </c>
      <c r="G5898" t="s">
        <v>33</v>
      </c>
      <c r="H5898" t="s">
        <v>346</v>
      </c>
      <c r="I5898" t="s">
        <v>2116</v>
      </c>
    </row>
    <row r="5899" spans="1:9" x14ac:dyDescent="0.35">
      <c r="A5899">
        <v>617290</v>
      </c>
      <c r="B5899" t="s">
        <v>1856</v>
      </c>
      <c r="C5899" s="1">
        <v>43696</v>
      </c>
      <c r="D5899">
        <v>429</v>
      </c>
      <c r="E5899" t="b">
        <v>0</v>
      </c>
      <c r="F5899">
        <v>842</v>
      </c>
      <c r="G5899" t="s">
        <v>33</v>
      </c>
      <c r="H5899" t="s">
        <v>239</v>
      </c>
      <c r="I5899" t="s">
        <v>2117</v>
      </c>
    </row>
    <row r="5900" spans="1:9" x14ac:dyDescent="0.35">
      <c r="A5900">
        <v>617290</v>
      </c>
      <c r="B5900" t="s">
        <v>1856</v>
      </c>
      <c r="C5900" s="1">
        <v>43696</v>
      </c>
      <c r="D5900">
        <v>429</v>
      </c>
      <c r="E5900" t="b">
        <v>0</v>
      </c>
      <c r="F5900">
        <v>842</v>
      </c>
      <c r="G5900" t="s">
        <v>33</v>
      </c>
      <c r="H5900" t="s">
        <v>132</v>
      </c>
      <c r="I5900" t="s">
        <v>2116</v>
      </c>
    </row>
    <row r="5901" spans="1:9" x14ac:dyDescent="0.35">
      <c r="A5901">
        <v>617290</v>
      </c>
      <c r="B5901" t="s">
        <v>1856</v>
      </c>
      <c r="C5901" s="1">
        <v>43696</v>
      </c>
      <c r="D5901">
        <v>429</v>
      </c>
      <c r="E5901" t="b">
        <v>0</v>
      </c>
      <c r="F5901">
        <v>842</v>
      </c>
      <c r="G5901" t="s">
        <v>33</v>
      </c>
      <c r="H5901" t="s">
        <v>124</v>
      </c>
      <c r="I5901" t="s">
        <v>2117</v>
      </c>
    </row>
    <row r="5902" spans="1:9" x14ac:dyDescent="0.35">
      <c r="A5902">
        <v>617290</v>
      </c>
      <c r="B5902" t="s">
        <v>1856</v>
      </c>
      <c r="C5902" s="1">
        <v>43696</v>
      </c>
      <c r="D5902">
        <v>429</v>
      </c>
      <c r="E5902" t="b">
        <v>0</v>
      </c>
      <c r="F5902">
        <v>842</v>
      </c>
      <c r="G5902" t="s">
        <v>33</v>
      </c>
      <c r="H5902" t="s">
        <v>1510</v>
      </c>
      <c r="I5902" t="s">
        <v>2117</v>
      </c>
    </row>
    <row r="5903" spans="1:9" x14ac:dyDescent="0.35">
      <c r="A5903">
        <v>527230</v>
      </c>
      <c r="B5903" t="s">
        <v>1857</v>
      </c>
      <c r="C5903" s="1">
        <v>43209</v>
      </c>
      <c r="D5903">
        <v>428</v>
      </c>
      <c r="E5903" t="b">
        <v>1</v>
      </c>
      <c r="F5903">
        <v>846</v>
      </c>
      <c r="G5903" t="s">
        <v>14</v>
      </c>
      <c r="H5903" t="s">
        <v>49</v>
      </c>
      <c r="I5903" t="s">
        <v>2117</v>
      </c>
    </row>
    <row r="5904" spans="1:9" x14ac:dyDescent="0.35">
      <c r="A5904">
        <v>527230</v>
      </c>
      <c r="B5904" t="s">
        <v>1857</v>
      </c>
      <c r="C5904" s="1">
        <v>43209</v>
      </c>
      <c r="D5904">
        <v>428</v>
      </c>
      <c r="E5904" t="b">
        <v>1</v>
      </c>
      <c r="F5904">
        <v>846</v>
      </c>
      <c r="G5904" t="s">
        <v>14</v>
      </c>
      <c r="H5904" t="s">
        <v>792</v>
      </c>
      <c r="I5904" t="s">
        <v>2116</v>
      </c>
    </row>
    <row r="5905" spans="1:9" x14ac:dyDescent="0.35">
      <c r="A5905">
        <v>527230</v>
      </c>
      <c r="B5905" t="s">
        <v>1857</v>
      </c>
      <c r="C5905" s="1">
        <v>43209</v>
      </c>
      <c r="D5905">
        <v>428</v>
      </c>
      <c r="E5905" t="b">
        <v>1</v>
      </c>
      <c r="F5905">
        <v>846</v>
      </c>
      <c r="G5905" t="s">
        <v>14</v>
      </c>
      <c r="H5905" t="s">
        <v>346</v>
      </c>
      <c r="I5905" t="s">
        <v>2116</v>
      </c>
    </row>
    <row r="5906" spans="1:9" x14ac:dyDescent="0.35">
      <c r="A5906">
        <v>527230</v>
      </c>
      <c r="B5906" t="s">
        <v>1857</v>
      </c>
      <c r="C5906" s="1">
        <v>43209</v>
      </c>
      <c r="D5906">
        <v>428</v>
      </c>
      <c r="E5906" t="b">
        <v>1</v>
      </c>
      <c r="F5906">
        <v>846</v>
      </c>
      <c r="G5906" t="s">
        <v>14</v>
      </c>
      <c r="H5906" t="s">
        <v>239</v>
      </c>
      <c r="I5906" t="s">
        <v>2117</v>
      </c>
    </row>
    <row r="5907" spans="1:9" x14ac:dyDescent="0.35">
      <c r="A5907">
        <v>527230</v>
      </c>
      <c r="B5907" t="s">
        <v>1857</v>
      </c>
      <c r="C5907" s="1">
        <v>43209</v>
      </c>
      <c r="D5907">
        <v>428</v>
      </c>
      <c r="E5907" t="b">
        <v>1</v>
      </c>
      <c r="F5907">
        <v>846</v>
      </c>
      <c r="G5907" t="s">
        <v>14</v>
      </c>
      <c r="H5907" t="s">
        <v>132</v>
      </c>
      <c r="I5907" t="s">
        <v>2116</v>
      </c>
    </row>
    <row r="5908" spans="1:9" x14ac:dyDescent="0.35">
      <c r="A5908">
        <v>527230</v>
      </c>
      <c r="B5908" t="s">
        <v>1857</v>
      </c>
      <c r="C5908" s="1">
        <v>43209</v>
      </c>
      <c r="D5908">
        <v>428</v>
      </c>
      <c r="E5908" t="b">
        <v>1</v>
      </c>
      <c r="F5908">
        <v>846</v>
      </c>
      <c r="G5908" t="s">
        <v>14</v>
      </c>
      <c r="H5908" t="s">
        <v>124</v>
      </c>
      <c r="I5908" t="s">
        <v>2116</v>
      </c>
    </row>
    <row r="5909" spans="1:9" x14ac:dyDescent="0.35">
      <c r="A5909">
        <v>527230</v>
      </c>
      <c r="B5909" t="s">
        <v>1857</v>
      </c>
      <c r="C5909" s="1">
        <v>43209</v>
      </c>
      <c r="D5909">
        <v>428</v>
      </c>
      <c r="E5909" t="b">
        <v>1</v>
      </c>
      <c r="F5909">
        <v>846</v>
      </c>
      <c r="G5909" t="s">
        <v>14</v>
      </c>
      <c r="H5909" t="s">
        <v>1510</v>
      </c>
      <c r="I5909" t="s">
        <v>2117</v>
      </c>
    </row>
    <row r="5910" spans="1:9" x14ac:dyDescent="0.35">
      <c r="A5910">
        <v>698780</v>
      </c>
      <c r="B5910" t="s">
        <v>1859</v>
      </c>
      <c r="C5910" s="1">
        <v>43014</v>
      </c>
      <c r="D5910">
        <v>427</v>
      </c>
      <c r="E5910" t="b">
        <v>1</v>
      </c>
      <c r="F5910">
        <v>847</v>
      </c>
      <c r="G5910" t="s">
        <v>2084</v>
      </c>
      <c r="H5910" t="s">
        <v>49</v>
      </c>
      <c r="I5910" t="s">
        <v>2117</v>
      </c>
    </row>
    <row r="5911" spans="1:9" x14ac:dyDescent="0.35">
      <c r="A5911">
        <v>698780</v>
      </c>
      <c r="B5911" t="s">
        <v>1859</v>
      </c>
      <c r="C5911" s="1">
        <v>43014</v>
      </c>
      <c r="D5911">
        <v>427</v>
      </c>
      <c r="E5911" t="b">
        <v>1</v>
      </c>
      <c r="F5911">
        <v>847</v>
      </c>
      <c r="G5911" t="s">
        <v>2084</v>
      </c>
      <c r="H5911" t="s">
        <v>792</v>
      </c>
      <c r="I5911" t="s">
        <v>2116</v>
      </c>
    </row>
    <row r="5912" spans="1:9" x14ac:dyDescent="0.35">
      <c r="A5912">
        <v>698780</v>
      </c>
      <c r="B5912" t="s">
        <v>1859</v>
      </c>
      <c r="C5912" s="1">
        <v>43014</v>
      </c>
      <c r="D5912">
        <v>427</v>
      </c>
      <c r="E5912" t="b">
        <v>1</v>
      </c>
      <c r="F5912">
        <v>847</v>
      </c>
      <c r="G5912" t="s">
        <v>2084</v>
      </c>
      <c r="H5912" t="s">
        <v>346</v>
      </c>
      <c r="I5912" t="s">
        <v>2117</v>
      </c>
    </row>
    <row r="5913" spans="1:9" x14ac:dyDescent="0.35">
      <c r="A5913">
        <v>698780</v>
      </c>
      <c r="B5913" t="s">
        <v>1859</v>
      </c>
      <c r="C5913" s="1">
        <v>43014</v>
      </c>
      <c r="D5913">
        <v>427</v>
      </c>
      <c r="E5913" t="b">
        <v>1</v>
      </c>
      <c r="F5913">
        <v>847</v>
      </c>
      <c r="G5913" t="s">
        <v>2084</v>
      </c>
      <c r="H5913" t="s">
        <v>239</v>
      </c>
      <c r="I5913" t="s">
        <v>2117</v>
      </c>
    </row>
    <row r="5914" spans="1:9" x14ac:dyDescent="0.35">
      <c r="A5914">
        <v>698780</v>
      </c>
      <c r="B5914" t="s">
        <v>1859</v>
      </c>
      <c r="C5914" s="1">
        <v>43014</v>
      </c>
      <c r="D5914">
        <v>427</v>
      </c>
      <c r="E5914" t="b">
        <v>1</v>
      </c>
      <c r="F5914">
        <v>847</v>
      </c>
      <c r="G5914" t="s">
        <v>2084</v>
      </c>
      <c r="H5914" t="s">
        <v>132</v>
      </c>
      <c r="I5914" t="s">
        <v>2117</v>
      </c>
    </row>
    <row r="5915" spans="1:9" x14ac:dyDescent="0.35">
      <c r="A5915">
        <v>698780</v>
      </c>
      <c r="B5915" t="s">
        <v>1859</v>
      </c>
      <c r="C5915" s="1">
        <v>43014</v>
      </c>
      <c r="D5915">
        <v>427</v>
      </c>
      <c r="E5915" t="b">
        <v>1</v>
      </c>
      <c r="F5915">
        <v>847</v>
      </c>
      <c r="G5915" t="s">
        <v>2084</v>
      </c>
      <c r="H5915" t="s">
        <v>124</v>
      </c>
      <c r="I5915" t="s">
        <v>2117</v>
      </c>
    </row>
    <row r="5916" spans="1:9" x14ac:dyDescent="0.35">
      <c r="A5916">
        <v>698780</v>
      </c>
      <c r="B5916" t="s">
        <v>1859</v>
      </c>
      <c r="C5916" s="1">
        <v>43014</v>
      </c>
      <c r="D5916">
        <v>427</v>
      </c>
      <c r="E5916" t="b">
        <v>1</v>
      </c>
      <c r="F5916">
        <v>847</v>
      </c>
      <c r="G5916" t="s">
        <v>2084</v>
      </c>
      <c r="H5916" t="s">
        <v>1510</v>
      </c>
      <c r="I5916" t="s">
        <v>2116</v>
      </c>
    </row>
    <row r="5917" spans="1:9" x14ac:dyDescent="0.35">
      <c r="A5917">
        <v>3213850</v>
      </c>
      <c r="B5917" t="s">
        <v>1862</v>
      </c>
      <c r="C5917" s="1">
        <v>45777</v>
      </c>
      <c r="D5917">
        <v>426</v>
      </c>
      <c r="E5917" t="b">
        <v>1</v>
      </c>
      <c r="F5917">
        <v>848</v>
      </c>
      <c r="G5917" t="s">
        <v>53</v>
      </c>
      <c r="H5917" t="s">
        <v>49</v>
      </c>
      <c r="I5917" t="s">
        <v>2116</v>
      </c>
    </row>
    <row r="5918" spans="1:9" x14ac:dyDescent="0.35">
      <c r="A5918">
        <v>3213850</v>
      </c>
      <c r="B5918" t="s">
        <v>1862</v>
      </c>
      <c r="C5918" s="1">
        <v>45777</v>
      </c>
      <c r="D5918">
        <v>426</v>
      </c>
      <c r="E5918" t="b">
        <v>1</v>
      </c>
      <c r="F5918">
        <v>848</v>
      </c>
      <c r="G5918" t="s">
        <v>53</v>
      </c>
      <c r="H5918" t="s">
        <v>792</v>
      </c>
      <c r="I5918" t="s">
        <v>2116</v>
      </c>
    </row>
    <row r="5919" spans="1:9" x14ac:dyDescent="0.35">
      <c r="A5919">
        <v>3213850</v>
      </c>
      <c r="B5919" t="s">
        <v>1862</v>
      </c>
      <c r="C5919" s="1">
        <v>45777</v>
      </c>
      <c r="D5919">
        <v>426</v>
      </c>
      <c r="E5919" t="b">
        <v>1</v>
      </c>
      <c r="F5919">
        <v>848</v>
      </c>
      <c r="G5919" t="s">
        <v>53</v>
      </c>
      <c r="H5919" t="s">
        <v>346</v>
      </c>
      <c r="I5919" t="s">
        <v>2116</v>
      </c>
    </row>
    <row r="5920" spans="1:9" x14ac:dyDescent="0.35">
      <c r="A5920">
        <v>3213850</v>
      </c>
      <c r="B5920" t="s">
        <v>1862</v>
      </c>
      <c r="C5920" s="1">
        <v>45777</v>
      </c>
      <c r="D5920">
        <v>426</v>
      </c>
      <c r="E5920" t="b">
        <v>1</v>
      </c>
      <c r="F5920">
        <v>848</v>
      </c>
      <c r="G5920" t="s">
        <v>53</v>
      </c>
      <c r="H5920" t="s">
        <v>239</v>
      </c>
      <c r="I5920" t="s">
        <v>2116</v>
      </c>
    </row>
    <row r="5921" spans="1:9" x14ac:dyDescent="0.35">
      <c r="A5921">
        <v>3213850</v>
      </c>
      <c r="B5921" t="s">
        <v>1862</v>
      </c>
      <c r="C5921" s="1">
        <v>45777</v>
      </c>
      <c r="D5921">
        <v>426</v>
      </c>
      <c r="E5921" t="b">
        <v>1</v>
      </c>
      <c r="F5921">
        <v>848</v>
      </c>
      <c r="G5921" t="s">
        <v>53</v>
      </c>
      <c r="H5921" t="s">
        <v>132</v>
      </c>
      <c r="I5921" t="s">
        <v>2116</v>
      </c>
    </row>
    <row r="5922" spans="1:9" x14ac:dyDescent="0.35">
      <c r="A5922">
        <v>3213850</v>
      </c>
      <c r="B5922" t="s">
        <v>1862</v>
      </c>
      <c r="C5922" s="1">
        <v>45777</v>
      </c>
      <c r="D5922">
        <v>426</v>
      </c>
      <c r="E5922" t="b">
        <v>1</v>
      </c>
      <c r="F5922">
        <v>848</v>
      </c>
      <c r="G5922" t="s">
        <v>53</v>
      </c>
      <c r="H5922" t="s">
        <v>124</v>
      </c>
      <c r="I5922" t="s">
        <v>2117</v>
      </c>
    </row>
    <row r="5923" spans="1:9" x14ac:dyDescent="0.35">
      <c r="A5923">
        <v>3213850</v>
      </c>
      <c r="B5923" t="s">
        <v>1862</v>
      </c>
      <c r="C5923" s="1">
        <v>45777</v>
      </c>
      <c r="D5923">
        <v>426</v>
      </c>
      <c r="E5923" t="b">
        <v>1</v>
      </c>
      <c r="F5923">
        <v>848</v>
      </c>
      <c r="G5923" t="s">
        <v>53</v>
      </c>
      <c r="H5923" t="s">
        <v>1510</v>
      </c>
      <c r="I5923" t="s">
        <v>2116</v>
      </c>
    </row>
    <row r="5924" spans="1:9" x14ac:dyDescent="0.35">
      <c r="A5924">
        <v>1265820</v>
      </c>
      <c r="B5924" t="s">
        <v>1864</v>
      </c>
      <c r="C5924" s="1">
        <v>44532</v>
      </c>
      <c r="D5924">
        <v>426</v>
      </c>
      <c r="E5924" t="b">
        <v>0</v>
      </c>
      <c r="F5924">
        <v>848</v>
      </c>
      <c r="G5924" t="s">
        <v>2082</v>
      </c>
      <c r="H5924" t="s">
        <v>49</v>
      </c>
      <c r="I5924" t="s">
        <v>2116</v>
      </c>
    </row>
    <row r="5925" spans="1:9" x14ac:dyDescent="0.35">
      <c r="A5925">
        <v>1265820</v>
      </c>
      <c r="B5925" t="s">
        <v>1864</v>
      </c>
      <c r="C5925" s="1">
        <v>44532</v>
      </c>
      <c r="D5925">
        <v>426</v>
      </c>
      <c r="E5925" t="b">
        <v>0</v>
      </c>
      <c r="F5925">
        <v>848</v>
      </c>
      <c r="G5925" t="s">
        <v>2082</v>
      </c>
      <c r="H5925" t="s">
        <v>792</v>
      </c>
      <c r="I5925" t="s">
        <v>2117</v>
      </c>
    </row>
    <row r="5926" spans="1:9" x14ac:dyDescent="0.35">
      <c r="A5926">
        <v>1265820</v>
      </c>
      <c r="B5926" t="s">
        <v>1864</v>
      </c>
      <c r="C5926" s="1">
        <v>44532</v>
      </c>
      <c r="D5926">
        <v>426</v>
      </c>
      <c r="E5926" t="b">
        <v>0</v>
      </c>
      <c r="F5926">
        <v>848</v>
      </c>
      <c r="G5926" t="s">
        <v>2082</v>
      </c>
      <c r="H5926" t="s">
        <v>346</v>
      </c>
      <c r="I5926" t="s">
        <v>2117</v>
      </c>
    </row>
    <row r="5927" spans="1:9" x14ac:dyDescent="0.35">
      <c r="A5927">
        <v>1265820</v>
      </c>
      <c r="B5927" t="s">
        <v>1864</v>
      </c>
      <c r="C5927" s="1">
        <v>44532</v>
      </c>
      <c r="D5927">
        <v>426</v>
      </c>
      <c r="E5927" t="b">
        <v>0</v>
      </c>
      <c r="F5927">
        <v>848</v>
      </c>
      <c r="G5927" t="s">
        <v>2082</v>
      </c>
      <c r="H5927" t="s">
        <v>239</v>
      </c>
      <c r="I5927" t="s">
        <v>2117</v>
      </c>
    </row>
    <row r="5928" spans="1:9" x14ac:dyDescent="0.35">
      <c r="A5928">
        <v>1265820</v>
      </c>
      <c r="B5928" t="s">
        <v>1864</v>
      </c>
      <c r="C5928" s="1">
        <v>44532</v>
      </c>
      <c r="D5928">
        <v>426</v>
      </c>
      <c r="E5928" t="b">
        <v>0</v>
      </c>
      <c r="F5928">
        <v>848</v>
      </c>
      <c r="G5928" t="s">
        <v>2082</v>
      </c>
      <c r="H5928" t="s">
        <v>132</v>
      </c>
      <c r="I5928" t="s">
        <v>2117</v>
      </c>
    </row>
    <row r="5929" spans="1:9" x14ac:dyDescent="0.35">
      <c r="A5929">
        <v>1265820</v>
      </c>
      <c r="B5929" t="s">
        <v>1864</v>
      </c>
      <c r="C5929" s="1">
        <v>44532</v>
      </c>
      <c r="D5929">
        <v>426</v>
      </c>
      <c r="E5929" t="b">
        <v>0</v>
      </c>
      <c r="F5929">
        <v>848</v>
      </c>
      <c r="G5929" t="s">
        <v>2082</v>
      </c>
      <c r="H5929" t="s">
        <v>124</v>
      </c>
      <c r="I5929" t="s">
        <v>2116</v>
      </c>
    </row>
    <row r="5930" spans="1:9" x14ac:dyDescent="0.35">
      <c r="A5930">
        <v>1265820</v>
      </c>
      <c r="B5930" t="s">
        <v>1864</v>
      </c>
      <c r="C5930" s="1">
        <v>44532</v>
      </c>
      <c r="D5930">
        <v>426</v>
      </c>
      <c r="E5930" t="b">
        <v>0</v>
      </c>
      <c r="F5930">
        <v>848</v>
      </c>
      <c r="G5930" t="s">
        <v>2082</v>
      </c>
      <c r="H5930" t="s">
        <v>1510</v>
      </c>
      <c r="I5930" t="s">
        <v>2117</v>
      </c>
    </row>
    <row r="5931" spans="1:9" x14ac:dyDescent="0.35">
      <c r="A5931">
        <v>307780</v>
      </c>
      <c r="B5931" t="s">
        <v>1865</v>
      </c>
      <c r="C5931" s="1">
        <v>42107</v>
      </c>
      <c r="D5931">
        <v>426</v>
      </c>
      <c r="E5931" t="b">
        <v>0</v>
      </c>
      <c r="F5931">
        <v>848</v>
      </c>
      <c r="G5931" t="s">
        <v>2091</v>
      </c>
      <c r="H5931" t="s">
        <v>49</v>
      </c>
      <c r="I5931" t="s">
        <v>2116</v>
      </c>
    </row>
    <row r="5932" spans="1:9" x14ac:dyDescent="0.35">
      <c r="A5932">
        <v>307780</v>
      </c>
      <c r="B5932" t="s">
        <v>1865</v>
      </c>
      <c r="C5932" s="1">
        <v>42107</v>
      </c>
      <c r="D5932">
        <v>426</v>
      </c>
      <c r="E5932" t="b">
        <v>0</v>
      </c>
      <c r="F5932">
        <v>848</v>
      </c>
      <c r="G5932" t="s">
        <v>2091</v>
      </c>
      <c r="H5932" t="s">
        <v>792</v>
      </c>
      <c r="I5932" t="s">
        <v>2117</v>
      </c>
    </row>
    <row r="5933" spans="1:9" x14ac:dyDescent="0.35">
      <c r="A5933">
        <v>307780</v>
      </c>
      <c r="B5933" t="s">
        <v>1865</v>
      </c>
      <c r="C5933" s="1">
        <v>42107</v>
      </c>
      <c r="D5933">
        <v>426</v>
      </c>
      <c r="E5933" t="b">
        <v>0</v>
      </c>
      <c r="F5933">
        <v>848</v>
      </c>
      <c r="G5933" t="s">
        <v>2091</v>
      </c>
      <c r="H5933" t="s">
        <v>346</v>
      </c>
      <c r="I5933" t="s">
        <v>2117</v>
      </c>
    </row>
    <row r="5934" spans="1:9" x14ac:dyDescent="0.35">
      <c r="A5934">
        <v>307780</v>
      </c>
      <c r="B5934" t="s">
        <v>1865</v>
      </c>
      <c r="C5934" s="1">
        <v>42107</v>
      </c>
      <c r="D5934">
        <v>426</v>
      </c>
      <c r="E5934" t="b">
        <v>0</v>
      </c>
      <c r="F5934">
        <v>848</v>
      </c>
      <c r="G5934" t="s">
        <v>2091</v>
      </c>
      <c r="H5934" t="s">
        <v>239</v>
      </c>
      <c r="I5934" t="s">
        <v>2117</v>
      </c>
    </row>
    <row r="5935" spans="1:9" x14ac:dyDescent="0.35">
      <c r="A5935">
        <v>307780</v>
      </c>
      <c r="B5935" t="s">
        <v>1865</v>
      </c>
      <c r="C5935" s="1">
        <v>42107</v>
      </c>
      <c r="D5935">
        <v>426</v>
      </c>
      <c r="E5935" t="b">
        <v>0</v>
      </c>
      <c r="F5935">
        <v>848</v>
      </c>
      <c r="G5935" t="s">
        <v>2091</v>
      </c>
      <c r="H5935" t="s">
        <v>132</v>
      </c>
      <c r="I5935" t="s">
        <v>2117</v>
      </c>
    </row>
    <row r="5936" spans="1:9" x14ac:dyDescent="0.35">
      <c r="A5936">
        <v>307780</v>
      </c>
      <c r="B5936" t="s">
        <v>1865</v>
      </c>
      <c r="C5936" s="1">
        <v>42107</v>
      </c>
      <c r="D5936">
        <v>426</v>
      </c>
      <c r="E5936" t="b">
        <v>0</v>
      </c>
      <c r="F5936">
        <v>848</v>
      </c>
      <c r="G5936" t="s">
        <v>2091</v>
      </c>
      <c r="H5936" t="s">
        <v>124</v>
      </c>
      <c r="I5936" t="s">
        <v>2117</v>
      </c>
    </row>
    <row r="5937" spans="1:9" x14ac:dyDescent="0.35">
      <c r="A5937">
        <v>307780</v>
      </c>
      <c r="B5937" t="s">
        <v>1865</v>
      </c>
      <c r="C5937" s="1">
        <v>42107</v>
      </c>
      <c r="D5937">
        <v>426</v>
      </c>
      <c r="E5937" t="b">
        <v>0</v>
      </c>
      <c r="F5937">
        <v>848</v>
      </c>
      <c r="G5937" t="s">
        <v>2091</v>
      </c>
      <c r="H5937" t="s">
        <v>1510</v>
      </c>
      <c r="I5937" t="s">
        <v>2117</v>
      </c>
    </row>
    <row r="5938" spans="1:9" x14ac:dyDescent="0.35">
      <c r="A5938">
        <v>333640</v>
      </c>
      <c r="B5938" t="s">
        <v>1867</v>
      </c>
      <c r="C5938" s="1">
        <v>45631</v>
      </c>
      <c r="D5938">
        <v>425</v>
      </c>
      <c r="E5938" t="b">
        <v>1</v>
      </c>
      <c r="F5938">
        <v>851</v>
      </c>
      <c r="G5938" t="s">
        <v>53</v>
      </c>
      <c r="H5938" t="s">
        <v>49</v>
      </c>
      <c r="I5938" t="s">
        <v>2117</v>
      </c>
    </row>
    <row r="5939" spans="1:9" x14ac:dyDescent="0.35">
      <c r="A5939">
        <v>333640</v>
      </c>
      <c r="B5939" t="s">
        <v>1867</v>
      </c>
      <c r="C5939" s="1">
        <v>45631</v>
      </c>
      <c r="D5939">
        <v>425</v>
      </c>
      <c r="E5939" t="b">
        <v>1</v>
      </c>
      <c r="F5939">
        <v>851</v>
      </c>
      <c r="G5939" t="s">
        <v>53</v>
      </c>
      <c r="H5939" t="s">
        <v>792</v>
      </c>
      <c r="I5939" t="s">
        <v>2116</v>
      </c>
    </row>
    <row r="5940" spans="1:9" x14ac:dyDescent="0.35">
      <c r="A5940">
        <v>333640</v>
      </c>
      <c r="B5940" t="s">
        <v>1867</v>
      </c>
      <c r="C5940" s="1">
        <v>45631</v>
      </c>
      <c r="D5940">
        <v>425</v>
      </c>
      <c r="E5940" t="b">
        <v>1</v>
      </c>
      <c r="F5940">
        <v>851</v>
      </c>
      <c r="G5940" t="s">
        <v>53</v>
      </c>
      <c r="H5940" t="s">
        <v>346</v>
      </c>
      <c r="I5940" t="s">
        <v>2116</v>
      </c>
    </row>
    <row r="5941" spans="1:9" x14ac:dyDescent="0.35">
      <c r="A5941">
        <v>333640</v>
      </c>
      <c r="B5941" t="s">
        <v>1867</v>
      </c>
      <c r="C5941" s="1">
        <v>45631</v>
      </c>
      <c r="D5941">
        <v>425</v>
      </c>
      <c r="E5941" t="b">
        <v>1</v>
      </c>
      <c r="F5941">
        <v>851</v>
      </c>
      <c r="G5941" t="s">
        <v>53</v>
      </c>
      <c r="H5941" t="s">
        <v>239</v>
      </c>
      <c r="I5941" t="s">
        <v>2117</v>
      </c>
    </row>
    <row r="5942" spans="1:9" x14ac:dyDescent="0.35">
      <c r="A5942">
        <v>333640</v>
      </c>
      <c r="B5942" t="s">
        <v>1867</v>
      </c>
      <c r="C5942" s="1">
        <v>45631</v>
      </c>
      <c r="D5942">
        <v>425</v>
      </c>
      <c r="E5942" t="b">
        <v>1</v>
      </c>
      <c r="F5942">
        <v>851</v>
      </c>
      <c r="G5942" t="s">
        <v>53</v>
      </c>
      <c r="H5942" t="s">
        <v>132</v>
      </c>
      <c r="I5942" t="s">
        <v>2116</v>
      </c>
    </row>
    <row r="5943" spans="1:9" x14ac:dyDescent="0.35">
      <c r="A5943">
        <v>333640</v>
      </c>
      <c r="B5943" t="s">
        <v>1867</v>
      </c>
      <c r="C5943" s="1">
        <v>45631</v>
      </c>
      <c r="D5943">
        <v>425</v>
      </c>
      <c r="E5943" t="b">
        <v>1</v>
      </c>
      <c r="F5943">
        <v>851</v>
      </c>
      <c r="G5943" t="s">
        <v>53</v>
      </c>
      <c r="H5943" t="s">
        <v>124</v>
      </c>
      <c r="I5943" t="s">
        <v>2116</v>
      </c>
    </row>
    <row r="5944" spans="1:9" x14ac:dyDescent="0.35">
      <c r="A5944">
        <v>333640</v>
      </c>
      <c r="B5944" t="s">
        <v>1867</v>
      </c>
      <c r="C5944" s="1">
        <v>45631</v>
      </c>
      <c r="D5944">
        <v>425</v>
      </c>
      <c r="E5944" t="b">
        <v>1</v>
      </c>
      <c r="F5944">
        <v>851</v>
      </c>
      <c r="G5944" t="s">
        <v>53</v>
      </c>
      <c r="H5944" t="s">
        <v>1510</v>
      </c>
      <c r="I5944" t="s">
        <v>2117</v>
      </c>
    </row>
    <row r="5945" spans="1:9" x14ac:dyDescent="0.35">
      <c r="A5945">
        <v>1072420</v>
      </c>
      <c r="B5945" t="s">
        <v>1869</v>
      </c>
      <c r="C5945" s="1">
        <v>43809</v>
      </c>
      <c r="D5945">
        <v>425</v>
      </c>
      <c r="E5945" t="b">
        <v>0</v>
      </c>
      <c r="F5945">
        <v>851</v>
      </c>
      <c r="G5945" t="s">
        <v>53</v>
      </c>
      <c r="H5945" t="s">
        <v>49</v>
      </c>
      <c r="I5945" t="s">
        <v>2116</v>
      </c>
    </row>
    <row r="5946" spans="1:9" x14ac:dyDescent="0.35">
      <c r="A5946">
        <v>1072420</v>
      </c>
      <c r="B5946" t="s">
        <v>1869</v>
      </c>
      <c r="C5946" s="1">
        <v>43809</v>
      </c>
      <c r="D5946">
        <v>425</v>
      </c>
      <c r="E5946" t="b">
        <v>0</v>
      </c>
      <c r="F5946">
        <v>851</v>
      </c>
      <c r="G5946" t="s">
        <v>53</v>
      </c>
      <c r="H5946" t="s">
        <v>792</v>
      </c>
      <c r="I5946" t="s">
        <v>2117</v>
      </c>
    </row>
    <row r="5947" spans="1:9" x14ac:dyDescent="0.35">
      <c r="A5947">
        <v>1072420</v>
      </c>
      <c r="B5947" t="s">
        <v>1869</v>
      </c>
      <c r="C5947" s="1">
        <v>43809</v>
      </c>
      <c r="D5947">
        <v>425</v>
      </c>
      <c r="E5947" t="b">
        <v>0</v>
      </c>
      <c r="F5947">
        <v>851</v>
      </c>
      <c r="G5947" t="s">
        <v>53</v>
      </c>
      <c r="H5947" t="s">
        <v>346</v>
      </c>
      <c r="I5947" t="s">
        <v>2116</v>
      </c>
    </row>
    <row r="5948" spans="1:9" x14ac:dyDescent="0.35">
      <c r="A5948">
        <v>1072420</v>
      </c>
      <c r="B5948" t="s">
        <v>1869</v>
      </c>
      <c r="C5948" s="1">
        <v>43809</v>
      </c>
      <c r="D5948">
        <v>425</v>
      </c>
      <c r="E5948" t="b">
        <v>0</v>
      </c>
      <c r="F5948">
        <v>851</v>
      </c>
      <c r="G5948" t="s">
        <v>53</v>
      </c>
      <c r="H5948" t="s">
        <v>239</v>
      </c>
      <c r="I5948" t="s">
        <v>2117</v>
      </c>
    </row>
    <row r="5949" spans="1:9" x14ac:dyDescent="0.35">
      <c r="A5949">
        <v>1072420</v>
      </c>
      <c r="B5949" t="s">
        <v>1869</v>
      </c>
      <c r="C5949" s="1">
        <v>43809</v>
      </c>
      <c r="D5949">
        <v>425</v>
      </c>
      <c r="E5949" t="b">
        <v>0</v>
      </c>
      <c r="F5949">
        <v>851</v>
      </c>
      <c r="G5949" t="s">
        <v>53</v>
      </c>
      <c r="H5949" t="s">
        <v>132</v>
      </c>
      <c r="I5949" t="s">
        <v>2116</v>
      </c>
    </row>
    <row r="5950" spans="1:9" x14ac:dyDescent="0.35">
      <c r="A5950">
        <v>1072420</v>
      </c>
      <c r="B5950" t="s">
        <v>1869</v>
      </c>
      <c r="C5950" s="1">
        <v>43809</v>
      </c>
      <c r="D5950">
        <v>425</v>
      </c>
      <c r="E5950" t="b">
        <v>0</v>
      </c>
      <c r="F5950">
        <v>851</v>
      </c>
      <c r="G5950" t="s">
        <v>53</v>
      </c>
      <c r="H5950" t="s">
        <v>124</v>
      </c>
      <c r="I5950" t="s">
        <v>2117</v>
      </c>
    </row>
    <row r="5951" spans="1:9" x14ac:dyDescent="0.35">
      <c r="A5951">
        <v>1072420</v>
      </c>
      <c r="B5951" t="s">
        <v>1869</v>
      </c>
      <c r="C5951" s="1">
        <v>43809</v>
      </c>
      <c r="D5951">
        <v>425</v>
      </c>
      <c r="E5951" t="b">
        <v>0</v>
      </c>
      <c r="F5951">
        <v>851</v>
      </c>
      <c r="G5951" t="s">
        <v>53</v>
      </c>
      <c r="H5951" t="s">
        <v>1510</v>
      </c>
      <c r="I5951" t="s">
        <v>2117</v>
      </c>
    </row>
    <row r="5952" spans="1:9" x14ac:dyDescent="0.35">
      <c r="A5952">
        <v>2427410</v>
      </c>
      <c r="B5952" t="s">
        <v>1871</v>
      </c>
      <c r="C5952" s="1">
        <v>45797</v>
      </c>
      <c r="D5952">
        <v>424</v>
      </c>
      <c r="E5952" t="b">
        <v>0</v>
      </c>
      <c r="F5952">
        <v>853</v>
      </c>
      <c r="G5952" t="s">
        <v>18</v>
      </c>
      <c r="H5952" t="s">
        <v>49</v>
      </c>
      <c r="I5952" t="s">
        <v>2116</v>
      </c>
    </row>
    <row r="5953" spans="1:9" x14ac:dyDescent="0.35">
      <c r="A5953">
        <v>2427410</v>
      </c>
      <c r="B5953" t="s">
        <v>1871</v>
      </c>
      <c r="C5953" s="1">
        <v>45797</v>
      </c>
      <c r="D5953">
        <v>424</v>
      </c>
      <c r="E5953" t="b">
        <v>0</v>
      </c>
      <c r="F5953">
        <v>853</v>
      </c>
      <c r="G5953" t="s">
        <v>18</v>
      </c>
      <c r="H5953" t="s">
        <v>792</v>
      </c>
      <c r="I5953" t="s">
        <v>2117</v>
      </c>
    </row>
    <row r="5954" spans="1:9" x14ac:dyDescent="0.35">
      <c r="A5954">
        <v>2427410</v>
      </c>
      <c r="B5954" t="s">
        <v>1871</v>
      </c>
      <c r="C5954" s="1">
        <v>45797</v>
      </c>
      <c r="D5954">
        <v>424</v>
      </c>
      <c r="E5954" t="b">
        <v>0</v>
      </c>
      <c r="F5954">
        <v>853</v>
      </c>
      <c r="G5954" t="s">
        <v>18</v>
      </c>
      <c r="H5954" t="s">
        <v>346</v>
      </c>
      <c r="I5954" t="s">
        <v>2116</v>
      </c>
    </row>
    <row r="5955" spans="1:9" x14ac:dyDescent="0.35">
      <c r="A5955">
        <v>2427410</v>
      </c>
      <c r="B5955" t="s">
        <v>1871</v>
      </c>
      <c r="C5955" s="1">
        <v>45797</v>
      </c>
      <c r="D5955">
        <v>424</v>
      </c>
      <c r="E5955" t="b">
        <v>0</v>
      </c>
      <c r="F5955">
        <v>853</v>
      </c>
      <c r="G5955" t="s">
        <v>18</v>
      </c>
      <c r="H5955" t="s">
        <v>239</v>
      </c>
      <c r="I5955" t="s">
        <v>2117</v>
      </c>
    </row>
    <row r="5956" spans="1:9" x14ac:dyDescent="0.35">
      <c r="A5956">
        <v>2427410</v>
      </c>
      <c r="B5956" t="s">
        <v>1871</v>
      </c>
      <c r="C5956" s="1">
        <v>45797</v>
      </c>
      <c r="D5956">
        <v>424</v>
      </c>
      <c r="E5956" t="b">
        <v>0</v>
      </c>
      <c r="F5956">
        <v>853</v>
      </c>
      <c r="G5956" t="s">
        <v>18</v>
      </c>
      <c r="H5956" t="s">
        <v>132</v>
      </c>
      <c r="I5956" t="s">
        <v>2116</v>
      </c>
    </row>
    <row r="5957" spans="1:9" x14ac:dyDescent="0.35">
      <c r="A5957">
        <v>2427410</v>
      </c>
      <c r="B5957" t="s">
        <v>1871</v>
      </c>
      <c r="C5957" s="1">
        <v>45797</v>
      </c>
      <c r="D5957">
        <v>424</v>
      </c>
      <c r="E5957" t="b">
        <v>0</v>
      </c>
      <c r="F5957">
        <v>853</v>
      </c>
      <c r="G5957" t="s">
        <v>18</v>
      </c>
      <c r="H5957" t="s">
        <v>124</v>
      </c>
      <c r="I5957" t="s">
        <v>2117</v>
      </c>
    </row>
    <row r="5958" spans="1:9" x14ac:dyDescent="0.35">
      <c r="A5958">
        <v>2427410</v>
      </c>
      <c r="B5958" t="s">
        <v>1871</v>
      </c>
      <c r="C5958" s="1">
        <v>45797</v>
      </c>
      <c r="D5958">
        <v>424</v>
      </c>
      <c r="E5958" t="b">
        <v>0</v>
      </c>
      <c r="F5958">
        <v>853</v>
      </c>
      <c r="G5958" t="s">
        <v>18</v>
      </c>
      <c r="H5958" t="s">
        <v>1510</v>
      </c>
      <c r="I5958" t="s">
        <v>2117</v>
      </c>
    </row>
    <row r="5959" spans="1:9" x14ac:dyDescent="0.35">
      <c r="A5959">
        <v>1105670</v>
      </c>
      <c r="B5959" t="s">
        <v>1873</v>
      </c>
      <c r="C5959" s="1">
        <v>44994</v>
      </c>
      <c r="D5959">
        <v>424</v>
      </c>
      <c r="E5959" t="b">
        <v>0</v>
      </c>
      <c r="F5959">
        <v>853</v>
      </c>
      <c r="G5959" t="s">
        <v>40</v>
      </c>
      <c r="H5959" t="s">
        <v>49</v>
      </c>
      <c r="I5959" t="s">
        <v>2116</v>
      </c>
    </row>
    <row r="5960" spans="1:9" x14ac:dyDescent="0.35">
      <c r="A5960">
        <v>1105670</v>
      </c>
      <c r="B5960" t="s">
        <v>1873</v>
      </c>
      <c r="C5960" s="1">
        <v>44994</v>
      </c>
      <c r="D5960">
        <v>424</v>
      </c>
      <c r="E5960" t="b">
        <v>0</v>
      </c>
      <c r="F5960">
        <v>853</v>
      </c>
      <c r="G5960" t="s">
        <v>40</v>
      </c>
      <c r="H5960" t="s">
        <v>792</v>
      </c>
      <c r="I5960" t="s">
        <v>2116</v>
      </c>
    </row>
    <row r="5961" spans="1:9" x14ac:dyDescent="0.35">
      <c r="A5961">
        <v>1105670</v>
      </c>
      <c r="B5961" t="s">
        <v>1873</v>
      </c>
      <c r="C5961" s="1">
        <v>44994</v>
      </c>
      <c r="D5961">
        <v>424</v>
      </c>
      <c r="E5961" t="b">
        <v>0</v>
      </c>
      <c r="F5961">
        <v>853</v>
      </c>
      <c r="G5961" t="s">
        <v>40</v>
      </c>
      <c r="H5961" t="s">
        <v>346</v>
      </c>
      <c r="I5961" t="s">
        <v>2117</v>
      </c>
    </row>
    <row r="5962" spans="1:9" x14ac:dyDescent="0.35">
      <c r="A5962">
        <v>1105670</v>
      </c>
      <c r="B5962" t="s">
        <v>1873</v>
      </c>
      <c r="C5962" s="1">
        <v>44994</v>
      </c>
      <c r="D5962">
        <v>424</v>
      </c>
      <c r="E5962" t="b">
        <v>0</v>
      </c>
      <c r="F5962">
        <v>853</v>
      </c>
      <c r="G5962" t="s">
        <v>40</v>
      </c>
      <c r="H5962" t="s">
        <v>239</v>
      </c>
      <c r="I5962" t="s">
        <v>2117</v>
      </c>
    </row>
    <row r="5963" spans="1:9" x14ac:dyDescent="0.35">
      <c r="A5963">
        <v>1105670</v>
      </c>
      <c r="B5963" t="s">
        <v>1873</v>
      </c>
      <c r="C5963" s="1">
        <v>44994</v>
      </c>
      <c r="D5963">
        <v>424</v>
      </c>
      <c r="E5963" t="b">
        <v>0</v>
      </c>
      <c r="F5963">
        <v>853</v>
      </c>
      <c r="G5963" t="s">
        <v>40</v>
      </c>
      <c r="H5963" t="s">
        <v>132</v>
      </c>
      <c r="I5963" t="s">
        <v>2116</v>
      </c>
    </row>
    <row r="5964" spans="1:9" x14ac:dyDescent="0.35">
      <c r="A5964">
        <v>1105670</v>
      </c>
      <c r="B5964" t="s">
        <v>1873</v>
      </c>
      <c r="C5964" s="1">
        <v>44994</v>
      </c>
      <c r="D5964">
        <v>424</v>
      </c>
      <c r="E5964" t="b">
        <v>0</v>
      </c>
      <c r="F5964">
        <v>853</v>
      </c>
      <c r="G5964" t="s">
        <v>40</v>
      </c>
      <c r="H5964" t="s">
        <v>124</v>
      </c>
      <c r="I5964" t="s">
        <v>2116</v>
      </c>
    </row>
    <row r="5965" spans="1:9" x14ac:dyDescent="0.35">
      <c r="A5965">
        <v>1105670</v>
      </c>
      <c r="B5965" t="s">
        <v>1873</v>
      </c>
      <c r="C5965" s="1">
        <v>44994</v>
      </c>
      <c r="D5965">
        <v>424</v>
      </c>
      <c r="E5965" t="b">
        <v>0</v>
      </c>
      <c r="F5965">
        <v>853</v>
      </c>
      <c r="G5965" t="s">
        <v>40</v>
      </c>
      <c r="H5965" t="s">
        <v>1510</v>
      </c>
      <c r="I5965" t="s">
        <v>2117</v>
      </c>
    </row>
    <row r="5966" spans="1:9" x14ac:dyDescent="0.35">
      <c r="A5966">
        <v>32370</v>
      </c>
      <c r="B5966" t="s">
        <v>1875</v>
      </c>
      <c r="C5966" s="1">
        <v>40061</v>
      </c>
      <c r="D5966">
        <v>424</v>
      </c>
      <c r="E5966" t="b">
        <v>1</v>
      </c>
      <c r="F5966">
        <v>853</v>
      </c>
      <c r="G5966" t="s">
        <v>2084</v>
      </c>
      <c r="H5966" t="s">
        <v>49</v>
      </c>
      <c r="I5966" t="s">
        <v>2117</v>
      </c>
    </row>
    <row r="5967" spans="1:9" x14ac:dyDescent="0.35">
      <c r="A5967">
        <v>32370</v>
      </c>
      <c r="B5967" t="s">
        <v>1875</v>
      </c>
      <c r="C5967" s="1">
        <v>40061</v>
      </c>
      <c r="D5967">
        <v>424</v>
      </c>
      <c r="E5967" t="b">
        <v>1</v>
      </c>
      <c r="F5967">
        <v>853</v>
      </c>
      <c r="G5967" t="s">
        <v>2084</v>
      </c>
      <c r="H5967" t="s">
        <v>792</v>
      </c>
      <c r="I5967" t="s">
        <v>2117</v>
      </c>
    </row>
    <row r="5968" spans="1:9" x14ac:dyDescent="0.35">
      <c r="A5968">
        <v>32370</v>
      </c>
      <c r="B5968" t="s">
        <v>1875</v>
      </c>
      <c r="C5968" s="1">
        <v>40061</v>
      </c>
      <c r="D5968">
        <v>424</v>
      </c>
      <c r="E5968" t="b">
        <v>1</v>
      </c>
      <c r="F5968">
        <v>853</v>
      </c>
      <c r="G5968" t="s">
        <v>2084</v>
      </c>
      <c r="H5968" t="s">
        <v>346</v>
      </c>
      <c r="I5968" t="s">
        <v>2116</v>
      </c>
    </row>
    <row r="5969" spans="1:9" x14ac:dyDescent="0.35">
      <c r="A5969">
        <v>32370</v>
      </c>
      <c r="B5969" t="s">
        <v>1875</v>
      </c>
      <c r="C5969" s="1">
        <v>40061</v>
      </c>
      <c r="D5969">
        <v>424</v>
      </c>
      <c r="E5969" t="b">
        <v>1</v>
      </c>
      <c r="F5969">
        <v>853</v>
      </c>
      <c r="G5969" t="s">
        <v>2084</v>
      </c>
      <c r="H5969" t="s">
        <v>239</v>
      </c>
      <c r="I5969" t="s">
        <v>2117</v>
      </c>
    </row>
    <row r="5970" spans="1:9" x14ac:dyDescent="0.35">
      <c r="A5970">
        <v>32370</v>
      </c>
      <c r="B5970" t="s">
        <v>1875</v>
      </c>
      <c r="C5970" s="1">
        <v>40061</v>
      </c>
      <c r="D5970">
        <v>424</v>
      </c>
      <c r="E5970" t="b">
        <v>1</v>
      </c>
      <c r="F5970">
        <v>853</v>
      </c>
      <c r="G5970" t="s">
        <v>2084</v>
      </c>
      <c r="H5970" t="s">
        <v>132</v>
      </c>
      <c r="I5970" t="s">
        <v>2116</v>
      </c>
    </row>
    <row r="5971" spans="1:9" x14ac:dyDescent="0.35">
      <c r="A5971">
        <v>32370</v>
      </c>
      <c r="B5971" t="s">
        <v>1875</v>
      </c>
      <c r="C5971" s="1">
        <v>40061</v>
      </c>
      <c r="D5971">
        <v>424</v>
      </c>
      <c r="E5971" t="b">
        <v>1</v>
      </c>
      <c r="F5971">
        <v>853</v>
      </c>
      <c r="G5971" t="s">
        <v>2084</v>
      </c>
      <c r="H5971" t="s">
        <v>124</v>
      </c>
      <c r="I5971" t="s">
        <v>2117</v>
      </c>
    </row>
    <row r="5972" spans="1:9" x14ac:dyDescent="0.35">
      <c r="A5972">
        <v>32370</v>
      </c>
      <c r="B5972" t="s">
        <v>1875</v>
      </c>
      <c r="C5972" s="1">
        <v>40061</v>
      </c>
      <c r="D5972">
        <v>424</v>
      </c>
      <c r="E5972" t="b">
        <v>1</v>
      </c>
      <c r="F5972">
        <v>853</v>
      </c>
      <c r="G5972" t="s">
        <v>2084</v>
      </c>
      <c r="H5972" t="s">
        <v>1510</v>
      </c>
      <c r="I5972" t="s">
        <v>2117</v>
      </c>
    </row>
    <row r="5973" spans="1:9" x14ac:dyDescent="0.35">
      <c r="A5973">
        <v>410340</v>
      </c>
      <c r="B5973" t="s">
        <v>1876</v>
      </c>
      <c r="C5973" s="1">
        <v>43356</v>
      </c>
      <c r="D5973">
        <v>423</v>
      </c>
      <c r="E5973" t="b">
        <v>1</v>
      </c>
      <c r="F5973">
        <v>856</v>
      </c>
      <c r="G5973" t="s">
        <v>36</v>
      </c>
      <c r="H5973" t="s">
        <v>49</v>
      </c>
      <c r="I5973" t="s">
        <v>2117</v>
      </c>
    </row>
    <row r="5974" spans="1:9" x14ac:dyDescent="0.35">
      <c r="A5974">
        <v>410340</v>
      </c>
      <c r="B5974" t="s">
        <v>1876</v>
      </c>
      <c r="C5974" s="1">
        <v>43356</v>
      </c>
      <c r="D5974">
        <v>423</v>
      </c>
      <c r="E5974" t="b">
        <v>1</v>
      </c>
      <c r="F5974">
        <v>856</v>
      </c>
      <c r="G5974" t="s">
        <v>36</v>
      </c>
      <c r="H5974" t="s">
        <v>792</v>
      </c>
      <c r="I5974" t="s">
        <v>2116</v>
      </c>
    </row>
    <row r="5975" spans="1:9" x14ac:dyDescent="0.35">
      <c r="A5975">
        <v>410340</v>
      </c>
      <c r="B5975" t="s">
        <v>1876</v>
      </c>
      <c r="C5975" s="1">
        <v>43356</v>
      </c>
      <c r="D5975">
        <v>423</v>
      </c>
      <c r="E5975" t="b">
        <v>1</v>
      </c>
      <c r="F5975">
        <v>856</v>
      </c>
      <c r="G5975" t="s">
        <v>36</v>
      </c>
      <c r="H5975" t="s">
        <v>346</v>
      </c>
      <c r="I5975" t="s">
        <v>2117</v>
      </c>
    </row>
    <row r="5976" spans="1:9" x14ac:dyDescent="0.35">
      <c r="A5976">
        <v>410340</v>
      </c>
      <c r="B5976" t="s">
        <v>1876</v>
      </c>
      <c r="C5976" s="1">
        <v>43356</v>
      </c>
      <c r="D5976">
        <v>423</v>
      </c>
      <c r="E5976" t="b">
        <v>1</v>
      </c>
      <c r="F5976">
        <v>856</v>
      </c>
      <c r="G5976" t="s">
        <v>36</v>
      </c>
      <c r="H5976" t="s">
        <v>239</v>
      </c>
      <c r="I5976" t="s">
        <v>2116</v>
      </c>
    </row>
    <row r="5977" spans="1:9" x14ac:dyDescent="0.35">
      <c r="A5977">
        <v>410340</v>
      </c>
      <c r="B5977" t="s">
        <v>1876</v>
      </c>
      <c r="C5977" s="1">
        <v>43356</v>
      </c>
      <c r="D5977">
        <v>423</v>
      </c>
      <c r="E5977" t="b">
        <v>1</v>
      </c>
      <c r="F5977">
        <v>856</v>
      </c>
      <c r="G5977" t="s">
        <v>36</v>
      </c>
      <c r="H5977" t="s">
        <v>132</v>
      </c>
      <c r="I5977" t="s">
        <v>2117</v>
      </c>
    </row>
    <row r="5978" spans="1:9" x14ac:dyDescent="0.35">
      <c r="A5978">
        <v>410340</v>
      </c>
      <c r="B5978" t="s">
        <v>1876</v>
      </c>
      <c r="C5978" s="1">
        <v>43356</v>
      </c>
      <c r="D5978">
        <v>423</v>
      </c>
      <c r="E5978" t="b">
        <v>1</v>
      </c>
      <c r="F5978">
        <v>856</v>
      </c>
      <c r="G5978" t="s">
        <v>36</v>
      </c>
      <c r="H5978" t="s">
        <v>124</v>
      </c>
      <c r="I5978" t="s">
        <v>2117</v>
      </c>
    </row>
    <row r="5979" spans="1:9" x14ac:dyDescent="0.35">
      <c r="A5979">
        <v>410340</v>
      </c>
      <c r="B5979" t="s">
        <v>1876</v>
      </c>
      <c r="C5979" s="1">
        <v>43356</v>
      </c>
      <c r="D5979">
        <v>423</v>
      </c>
      <c r="E5979" t="b">
        <v>1</v>
      </c>
      <c r="F5979">
        <v>856</v>
      </c>
      <c r="G5979" t="s">
        <v>36</v>
      </c>
      <c r="H5979" t="s">
        <v>1510</v>
      </c>
      <c r="I5979" t="s">
        <v>2117</v>
      </c>
    </row>
    <row r="5980" spans="1:9" x14ac:dyDescent="0.35">
      <c r="A5980">
        <v>620980</v>
      </c>
      <c r="B5980" t="s">
        <v>1878</v>
      </c>
      <c r="C5980" s="1">
        <v>43606</v>
      </c>
      <c r="D5980">
        <v>423</v>
      </c>
      <c r="E5980" t="b">
        <v>0</v>
      </c>
      <c r="F5980">
        <v>856</v>
      </c>
      <c r="G5980" t="s">
        <v>53</v>
      </c>
      <c r="H5980" t="s">
        <v>49</v>
      </c>
      <c r="I5980" t="s">
        <v>2117</v>
      </c>
    </row>
    <row r="5981" spans="1:9" x14ac:dyDescent="0.35">
      <c r="A5981">
        <v>620980</v>
      </c>
      <c r="B5981" t="s">
        <v>1878</v>
      </c>
      <c r="C5981" s="1">
        <v>43606</v>
      </c>
      <c r="D5981">
        <v>423</v>
      </c>
      <c r="E5981" t="b">
        <v>0</v>
      </c>
      <c r="F5981">
        <v>856</v>
      </c>
      <c r="G5981" t="s">
        <v>53</v>
      </c>
      <c r="H5981" t="s">
        <v>792</v>
      </c>
      <c r="I5981" t="s">
        <v>2116</v>
      </c>
    </row>
    <row r="5982" spans="1:9" x14ac:dyDescent="0.35">
      <c r="A5982">
        <v>620980</v>
      </c>
      <c r="B5982" t="s">
        <v>1878</v>
      </c>
      <c r="C5982" s="1">
        <v>43606</v>
      </c>
      <c r="D5982">
        <v>423</v>
      </c>
      <c r="E5982" t="b">
        <v>0</v>
      </c>
      <c r="F5982">
        <v>856</v>
      </c>
      <c r="G5982" t="s">
        <v>53</v>
      </c>
      <c r="H5982" t="s">
        <v>346</v>
      </c>
      <c r="I5982" t="s">
        <v>2117</v>
      </c>
    </row>
    <row r="5983" spans="1:9" x14ac:dyDescent="0.35">
      <c r="A5983">
        <v>620980</v>
      </c>
      <c r="B5983" t="s">
        <v>1878</v>
      </c>
      <c r="C5983" s="1">
        <v>43606</v>
      </c>
      <c r="D5983">
        <v>423</v>
      </c>
      <c r="E5983" t="b">
        <v>0</v>
      </c>
      <c r="F5983">
        <v>856</v>
      </c>
      <c r="G5983" t="s">
        <v>53</v>
      </c>
      <c r="H5983" t="s">
        <v>239</v>
      </c>
      <c r="I5983" t="s">
        <v>2117</v>
      </c>
    </row>
    <row r="5984" spans="1:9" x14ac:dyDescent="0.35">
      <c r="A5984">
        <v>620980</v>
      </c>
      <c r="B5984" t="s">
        <v>1878</v>
      </c>
      <c r="C5984" s="1">
        <v>43606</v>
      </c>
      <c r="D5984">
        <v>423</v>
      </c>
      <c r="E5984" t="b">
        <v>0</v>
      </c>
      <c r="F5984">
        <v>856</v>
      </c>
      <c r="G5984" t="s">
        <v>53</v>
      </c>
      <c r="H5984" t="s">
        <v>132</v>
      </c>
      <c r="I5984" t="s">
        <v>2117</v>
      </c>
    </row>
    <row r="5985" spans="1:9" x14ac:dyDescent="0.35">
      <c r="A5985">
        <v>620980</v>
      </c>
      <c r="B5985" t="s">
        <v>1878</v>
      </c>
      <c r="C5985" s="1">
        <v>43606</v>
      </c>
      <c r="D5985">
        <v>423</v>
      </c>
      <c r="E5985" t="b">
        <v>0</v>
      </c>
      <c r="F5985">
        <v>856</v>
      </c>
      <c r="G5985" t="s">
        <v>53</v>
      </c>
      <c r="H5985" t="s">
        <v>124</v>
      </c>
      <c r="I5985" t="s">
        <v>2117</v>
      </c>
    </row>
    <row r="5986" spans="1:9" x14ac:dyDescent="0.35">
      <c r="A5986">
        <v>620980</v>
      </c>
      <c r="B5986" t="s">
        <v>1878</v>
      </c>
      <c r="C5986" s="1">
        <v>43606</v>
      </c>
      <c r="D5986">
        <v>423</v>
      </c>
      <c r="E5986" t="b">
        <v>0</v>
      </c>
      <c r="F5986">
        <v>856</v>
      </c>
      <c r="G5986" t="s">
        <v>53</v>
      </c>
      <c r="H5986" t="s">
        <v>1510</v>
      </c>
      <c r="I5986" t="s">
        <v>2117</v>
      </c>
    </row>
    <row r="5987" spans="1:9" x14ac:dyDescent="0.35">
      <c r="A5987">
        <v>2406770</v>
      </c>
      <c r="B5987" t="s">
        <v>1880</v>
      </c>
      <c r="C5987" s="1">
        <v>45450</v>
      </c>
      <c r="D5987">
        <v>422</v>
      </c>
      <c r="E5987" t="b">
        <v>0</v>
      </c>
      <c r="F5987">
        <v>858</v>
      </c>
      <c r="G5987" t="s">
        <v>50</v>
      </c>
      <c r="H5987" t="s">
        <v>49</v>
      </c>
      <c r="I5987" t="s">
        <v>2116</v>
      </c>
    </row>
    <row r="5988" spans="1:9" x14ac:dyDescent="0.35">
      <c r="A5988">
        <v>2406770</v>
      </c>
      <c r="B5988" t="s">
        <v>1880</v>
      </c>
      <c r="C5988" s="1">
        <v>45450</v>
      </c>
      <c r="D5988">
        <v>422</v>
      </c>
      <c r="E5988" t="b">
        <v>0</v>
      </c>
      <c r="F5988">
        <v>858</v>
      </c>
      <c r="G5988" t="s">
        <v>50</v>
      </c>
      <c r="H5988" t="s">
        <v>792</v>
      </c>
      <c r="I5988" t="s">
        <v>2116</v>
      </c>
    </row>
    <row r="5989" spans="1:9" x14ac:dyDescent="0.35">
      <c r="A5989">
        <v>2406770</v>
      </c>
      <c r="B5989" t="s">
        <v>1880</v>
      </c>
      <c r="C5989" s="1">
        <v>45450</v>
      </c>
      <c r="D5989">
        <v>422</v>
      </c>
      <c r="E5989" t="b">
        <v>0</v>
      </c>
      <c r="F5989">
        <v>858</v>
      </c>
      <c r="G5989" t="s">
        <v>50</v>
      </c>
      <c r="H5989" t="s">
        <v>346</v>
      </c>
      <c r="I5989" t="s">
        <v>2117</v>
      </c>
    </row>
    <row r="5990" spans="1:9" x14ac:dyDescent="0.35">
      <c r="A5990">
        <v>2406770</v>
      </c>
      <c r="B5990" t="s">
        <v>1880</v>
      </c>
      <c r="C5990" s="1">
        <v>45450</v>
      </c>
      <c r="D5990">
        <v>422</v>
      </c>
      <c r="E5990" t="b">
        <v>0</v>
      </c>
      <c r="F5990">
        <v>858</v>
      </c>
      <c r="G5990" t="s">
        <v>50</v>
      </c>
      <c r="H5990" t="s">
        <v>239</v>
      </c>
      <c r="I5990" t="s">
        <v>2116</v>
      </c>
    </row>
    <row r="5991" spans="1:9" x14ac:dyDescent="0.35">
      <c r="A5991">
        <v>2406770</v>
      </c>
      <c r="B5991" t="s">
        <v>1880</v>
      </c>
      <c r="C5991" s="1">
        <v>45450</v>
      </c>
      <c r="D5991">
        <v>422</v>
      </c>
      <c r="E5991" t="b">
        <v>0</v>
      </c>
      <c r="F5991">
        <v>858</v>
      </c>
      <c r="G5991" t="s">
        <v>50</v>
      </c>
      <c r="H5991" t="s">
        <v>132</v>
      </c>
      <c r="I5991" t="s">
        <v>2117</v>
      </c>
    </row>
    <row r="5992" spans="1:9" x14ac:dyDescent="0.35">
      <c r="A5992">
        <v>2406770</v>
      </c>
      <c r="B5992" t="s">
        <v>1880</v>
      </c>
      <c r="C5992" s="1">
        <v>45450</v>
      </c>
      <c r="D5992">
        <v>422</v>
      </c>
      <c r="E5992" t="b">
        <v>0</v>
      </c>
      <c r="F5992">
        <v>858</v>
      </c>
      <c r="G5992" t="s">
        <v>50</v>
      </c>
      <c r="H5992" t="s">
        <v>124</v>
      </c>
      <c r="I5992" t="s">
        <v>2116</v>
      </c>
    </row>
    <row r="5993" spans="1:9" x14ac:dyDescent="0.35">
      <c r="A5993">
        <v>2406770</v>
      </c>
      <c r="B5993" t="s">
        <v>1880</v>
      </c>
      <c r="C5993" s="1">
        <v>45450</v>
      </c>
      <c r="D5993">
        <v>422</v>
      </c>
      <c r="E5993" t="b">
        <v>0</v>
      </c>
      <c r="F5993">
        <v>858</v>
      </c>
      <c r="G5993" t="s">
        <v>50</v>
      </c>
      <c r="H5993" t="s">
        <v>1510</v>
      </c>
      <c r="I5993" t="s">
        <v>2117</v>
      </c>
    </row>
    <row r="5994" spans="1:9" x14ac:dyDescent="0.35">
      <c r="A5994">
        <v>1629520</v>
      </c>
      <c r="B5994" t="s">
        <v>1883</v>
      </c>
      <c r="C5994" s="1">
        <v>44873</v>
      </c>
      <c r="D5994">
        <v>422</v>
      </c>
      <c r="E5994" t="b">
        <v>1</v>
      </c>
      <c r="F5994">
        <v>858</v>
      </c>
      <c r="G5994" t="s">
        <v>14</v>
      </c>
      <c r="H5994" t="s">
        <v>49</v>
      </c>
      <c r="I5994" t="s">
        <v>2117</v>
      </c>
    </row>
    <row r="5995" spans="1:9" x14ac:dyDescent="0.35">
      <c r="A5995">
        <v>1629520</v>
      </c>
      <c r="B5995" t="s">
        <v>1883</v>
      </c>
      <c r="C5995" s="1">
        <v>44873</v>
      </c>
      <c r="D5995">
        <v>422</v>
      </c>
      <c r="E5995" t="b">
        <v>1</v>
      </c>
      <c r="F5995">
        <v>858</v>
      </c>
      <c r="G5995" t="s">
        <v>14</v>
      </c>
      <c r="H5995" t="s">
        <v>792</v>
      </c>
      <c r="I5995" t="s">
        <v>2116</v>
      </c>
    </row>
    <row r="5996" spans="1:9" x14ac:dyDescent="0.35">
      <c r="A5996">
        <v>1629520</v>
      </c>
      <c r="B5996" t="s">
        <v>1883</v>
      </c>
      <c r="C5996" s="1">
        <v>44873</v>
      </c>
      <c r="D5996">
        <v>422</v>
      </c>
      <c r="E5996" t="b">
        <v>1</v>
      </c>
      <c r="F5996">
        <v>858</v>
      </c>
      <c r="G5996" t="s">
        <v>14</v>
      </c>
      <c r="H5996" t="s">
        <v>346</v>
      </c>
      <c r="I5996" t="s">
        <v>2117</v>
      </c>
    </row>
    <row r="5997" spans="1:9" x14ac:dyDescent="0.35">
      <c r="A5997">
        <v>1629520</v>
      </c>
      <c r="B5997" t="s">
        <v>1883</v>
      </c>
      <c r="C5997" s="1">
        <v>44873</v>
      </c>
      <c r="D5997">
        <v>422</v>
      </c>
      <c r="E5997" t="b">
        <v>1</v>
      </c>
      <c r="F5997">
        <v>858</v>
      </c>
      <c r="G5997" t="s">
        <v>14</v>
      </c>
      <c r="H5997" t="s">
        <v>239</v>
      </c>
      <c r="I5997" t="s">
        <v>2117</v>
      </c>
    </row>
    <row r="5998" spans="1:9" x14ac:dyDescent="0.35">
      <c r="A5998">
        <v>1629520</v>
      </c>
      <c r="B5998" t="s">
        <v>1883</v>
      </c>
      <c r="C5998" s="1">
        <v>44873</v>
      </c>
      <c r="D5998">
        <v>422</v>
      </c>
      <c r="E5998" t="b">
        <v>1</v>
      </c>
      <c r="F5998">
        <v>858</v>
      </c>
      <c r="G5998" t="s">
        <v>14</v>
      </c>
      <c r="H5998" t="s">
        <v>132</v>
      </c>
      <c r="I5998" t="s">
        <v>2117</v>
      </c>
    </row>
    <row r="5999" spans="1:9" x14ac:dyDescent="0.35">
      <c r="A5999">
        <v>1629520</v>
      </c>
      <c r="B5999" t="s">
        <v>1883</v>
      </c>
      <c r="C5999" s="1">
        <v>44873</v>
      </c>
      <c r="D5999">
        <v>422</v>
      </c>
      <c r="E5999" t="b">
        <v>1</v>
      </c>
      <c r="F5999">
        <v>858</v>
      </c>
      <c r="G5999" t="s">
        <v>14</v>
      </c>
      <c r="H5999" t="s">
        <v>124</v>
      </c>
      <c r="I5999" t="s">
        <v>2117</v>
      </c>
    </row>
    <row r="6000" spans="1:9" x14ac:dyDescent="0.35">
      <c r="A6000">
        <v>1629520</v>
      </c>
      <c r="B6000" t="s">
        <v>1883</v>
      </c>
      <c r="C6000" s="1">
        <v>44873</v>
      </c>
      <c r="D6000">
        <v>422</v>
      </c>
      <c r="E6000" t="b">
        <v>1</v>
      </c>
      <c r="F6000">
        <v>858</v>
      </c>
      <c r="G6000" t="s">
        <v>14</v>
      </c>
      <c r="H6000" t="s">
        <v>1510</v>
      </c>
      <c r="I6000" t="s">
        <v>2117</v>
      </c>
    </row>
    <row r="6001" spans="1:9" x14ac:dyDescent="0.35">
      <c r="A6001">
        <v>253710</v>
      </c>
      <c r="B6001" t="s">
        <v>1885</v>
      </c>
      <c r="C6001" s="1">
        <v>41793</v>
      </c>
      <c r="D6001">
        <v>417</v>
      </c>
      <c r="E6001" t="b">
        <v>0</v>
      </c>
      <c r="F6001">
        <v>860</v>
      </c>
      <c r="G6001" t="s">
        <v>2088</v>
      </c>
      <c r="H6001" t="s">
        <v>49</v>
      </c>
      <c r="I6001" t="s">
        <v>2116</v>
      </c>
    </row>
    <row r="6002" spans="1:9" x14ac:dyDescent="0.35">
      <c r="A6002">
        <v>253710</v>
      </c>
      <c r="B6002" t="s">
        <v>1885</v>
      </c>
      <c r="C6002" s="1">
        <v>41793</v>
      </c>
      <c r="D6002">
        <v>417</v>
      </c>
      <c r="E6002" t="b">
        <v>0</v>
      </c>
      <c r="F6002">
        <v>860</v>
      </c>
      <c r="G6002" t="s">
        <v>2088</v>
      </c>
      <c r="H6002" t="s">
        <v>792</v>
      </c>
      <c r="I6002" t="s">
        <v>2117</v>
      </c>
    </row>
    <row r="6003" spans="1:9" x14ac:dyDescent="0.35">
      <c r="A6003">
        <v>253710</v>
      </c>
      <c r="B6003" t="s">
        <v>1885</v>
      </c>
      <c r="C6003" s="1">
        <v>41793</v>
      </c>
      <c r="D6003">
        <v>417</v>
      </c>
      <c r="E6003" t="b">
        <v>0</v>
      </c>
      <c r="F6003">
        <v>860</v>
      </c>
      <c r="G6003" t="s">
        <v>2088</v>
      </c>
      <c r="H6003" t="s">
        <v>346</v>
      </c>
      <c r="I6003" t="s">
        <v>2116</v>
      </c>
    </row>
    <row r="6004" spans="1:9" x14ac:dyDescent="0.35">
      <c r="A6004">
        <v>253710</v>
      </c>
      <c r="B6004" t="s">
        <v>1885</v>
      </c>
      <c r="C6004" s="1">
        <v>41793</v>
      </c>
      <c r="D6004">
        <v>417</v>
      </c>
      <c r="E6004" t="b">
        <v>0</v>
      </c>
      <c r="F6004">
        <v>860</v>
      </c>
      <c r="G6004" t="s">
        <v>2088</v>
      </c>
      <c r="H6004" t="s">
        <v>239</v>
      </c>
      <c r="I6004" t="s">
        <v>2116</v>
      </c>
    </row>
    <row r="6005" spans="1:9" x14ac:dyDescent="0.35">
      <c r="A6005">
        <v>253710</v>
      </c>
      <c r="B6005" t="s">
        <v>1885</v>
      </c>
      <c r="C6005" s="1">
        <v>41793</v>
      </c>
      <c r="D6005">
        <v>417</v>
      </c>
      <c r="E6005" t="b">
        <v>0</v>
      </c>
      <c r="F6005">
        <v>860</v>
      </c>
      <c r="G6005" t="s">
        <v>2088</v>
      </c>
      <c r="H6005" t="s">
        <v>132</v>
      </c>
      <c r="I6005" t="s">
        <v>2117</v>
      </c>
    </row>
    <row r="6006" spans="1:9" x14ac:dyDescent="0.35">
      <c r="A6006">
        <v>253710</v>
      </c>
      <c r="B6006" t="s">
        <v>1885</v>
      </c>
      <c r="C6006" s="1">
        <v>41793</v>
      </c>
      <c r="D6006">
        <v>417</v>
      </c>
      <c r="E6006" t="b">
        <v>0</v>
      </c>
      <c r="F6006">
        <v>860</v>
      </c>
      <c r="G6006" t="s">
        <v>2088</v>
      </c>
      <c r="H6006" t="s">
        <v>124</v>
      </c>
      <c r="I6006" t="s">
        <v>2117</v>
      </c>
    </row>
    <row r="6007" spans="1:9" x14ac:dyDescent="0.35">
      <c r="A6007">
        <v>253710</v>
      </c>
      <c r="B6007" t="s">
        <v>1885</v>
      </c>
      <c r="C6007" s="1">
        <v>41793</v>
      </c>
      <c r="D6007">
        <v>417</v>
      </c>
      <c r="E6007" t="b">
        <v>0</v>
      </c>
      <c r="F6007">
        <v>860</v>
      </c>
      <c r="G6007" t="s">
        <v>2088</v>
      </c>
      <c r="H6007" t="s">
        <v>1510</v>
      </c>
      <c r="I6007" t="s">
        <v>2116</v>
      </c>
    </row>
    <row r="6008" spans="1:9" x14ac:dyDescent="0.35">
      <c r="A6008">
        <v>201810</v>
      </c>
      <c r="B6008" t="s">
        <v>1888</v>
      </c>
      <c r="C6008" s="1">
        <v>41778</v>
      </c>
      <c r="D6008">
        <v>417</v>
      </c>
      <c r="E6008" t="b">
        <v>0</v>
      </c>
      <c r="F6008">
        <v>860</v>
      </c>
      <c r="G6008" t="s">
        <v>2084</v>
      </c>
      <c r="H6008" t="s">
        <v>49</v>
      </c>
      <c r="I6008" t="s">
        <v>2116</v>
      </c>
    </row>
    <row r="6009" spans="1:9" x14ac:dyDescent="0.35">
      <c r="A6009">
        <v>201810</v>
      </c>
      <c r="B6009" t="s">
        <v>1888</v>
      </c>
      <c r="C6009" s="1">
        <v>41778</v>
      </c>
      <c r="D6009">
        <v>417</v>
      </c>
      <c r="E6009" t="b">
        <v>0</v>
      </c>
      <c r="F6009">
        <v>860</v>
      </c>
      <c r="G6009" t="s">
        <v>2084</v>
      </c>
      <c r="H6009" t="s">
        <v>792</v>
      </c>
      <c r="I6009" t="s">
        <v>2117</v>
      </c>
    </row>
    <row r="6010" spans="1:9" x14ac:dyDescent="0.35">
      <c r="A6010">
        <v>201810</v>
      </c>
      <c r="B6010" t="s">
        <v>1888</v>
      </c>
      <c r="C6010" s="1">
        <v>41778</v>
      </c>
      <c r="D6010">
        <v>417</v>
      </c>
      <c r="E6010" t="b">
        <v>0</v>
      </c>
      <c r="F6010">
        <v>860</v>
      </c>
      <c r="G6010" t="s">
        <v>2084</v>
      </c>
      <c r="H6010" t="s">
        <v>346</v>
      </c>
      <c r="I6010" t="s">
        <v>2117</v>
      </c>
    </row>
    <row r="6011" spans="1:9" x14ac:dyDescent="0.35">
      <c r="A6011">
        <v>201810</v>
      </c>
      <c r="B6011" t="s">
        <v>1888</v>
      </c>
      <c r="C6011" s="1">
        <v>41778</v>
      </c>
      <c r="D6011">
        <v>417</v>
      </c>
      <c r="E6011" t="b">
        <v>0</v>
      </c>
      <c r="F6011">
        <v>860</v>
      </c>
      <c r="G6011" t="s">
        <v>2084</v>
      </c>
      <c r="H6011" t="s">
        <v>239</v>
      </c>
      <c r="I6011" t="s">
        <v>2117</v>
      </c>
    </row>
    <row r="6012" spans="1:9" x14ac:dyDescent="0.35">
      <c r="A6012">
        <v>201810</v>
      </c>
      <c r="B6012" t="s">
        <v>1888</v>
      </c>
      <c r="C6012" s="1">
        <v>41778</v>
      </c>
      <c r="D6012">
        <v>417</v>
      </c>
      <c r="E6012" t="b">
        <v>0</v>
      </c>
      <c r="F6012">
        <v>860</v>
      </c>
      <c r="G6012" t="s">
        <v>2084</v>
      </c>
      <c r="H6012" t="s">
        <v>132</v>
      </c>
      <c r="I6012" t="s">
        <v>2117</v>
      </c>
    </row>
    <row r="6013" spans="1:9" x14ac:dyDescent="0.35">
      <c r="A6013">
        <v>201810</v>
      </c>
      <c r="B6013" t="s">
        <v>1888</v>
      </c>
      <c r="C6013" s="1">
        <v>41778</v>
      </c>
      <c r="D6013">
        <v>417</v>
      </c>
      <c r="E6013" t="b">
        <v>0</v>
      </c>
      <c r="F6013">
        <v>860</v>
      </c>
      <c r="G6013" t="s">
        <v>2084</v>
      </c>
      <c r="H6013" t="s">
        <v>124</v>
      </c>
      <c r="I6013" t="s">
        <v>2117</v>
      </c>
    </row>
    <row r="6014" spans="1:9" x14ac:dyDescent="0.35">
      <c r="A6014">
        <v>201810</v>
      </c>
      <c r="B6014" t="s">
        <v>1888</v>
      </c>
      <c r="C6014" s="1">
        <v>41778</v>
      </c>
      <c r="D6014">
        <v>417</v>
      </c>
      <c r="E6014" t="b">
        <v>0</v>
      </c>
      <c r="F6014">
        <v>860</v>
      </c>
      <c r="G6014" t="s">
        <v>2084</v>
      </c>
      <c r="H6014" t="s">
        <v>1510</v>
      </c>
      <c r="I6014" t="s">
        <v>2117</v>
      </c>
    </row>
    <row r="6015" spans="1:9" x14ac:dyDescent="0.35">
      <c r="A6015">
        <v>239030</v>
      </c>
      <c r="B6015" t="s">
        <v>1890</v>
      </c>
      <c r="C6015" s="1">
        <v>41494</v>
      </c>
      <c r="D6015">
        <v>416</v>
      </c>
      <c r="E6015" t="b">
        <v>1</v>
      </c>
      <c r="F6015">
        <v>862</v>
      </c>
      <c r="G6015" t="s">
        <v>2084</v>
      </c>
      <c r="H6015" t="s">
        <v>49</v>
      </c>
      <c r="I6015" t="s">
        <v>2117</v>
      </c>
    </row>
    <row r="6016" spans="1:9" x14ac:dyDescent="0.35">
      <c r="A6016">
        <v>239030</v>
      </c>
      <c r="B6016" t="s">
        <v>1890</v>
      </c>
      <c r="C6016" s="1">
        <v>41494</v>
      </c>
      <c r="D6016">
        <v>416</v>
      </c>
      <c r="E6016" t="b">
        <v>1</v>
      </c>
      <c r="F6016">
        <v>862</v>
      </c>
      <c r="G6016" t="s">
        <v>2084</v>
      </c>
      <c r="H6016" t="s">
        <v>792</v>
      </c>
      <c r="I6016" t="s">
        <v>2116</v>
      </c>
    </row>
    <row r="6017" spans="1:9" x14ac:dyDescent="0.35">
      <c r="A6017">
        <v>239030</v>
      </c>
      <c r="B6017" t="s">
        <v>1890</v>
      </c>
      <c r="C6017" s="1">
        <v>41494</v>
      </c>
      <c r="D6017">
        <v>416</v>
      </c>
      <c r="E6017" t="b">
        <v>1</v>
      </c>
      <c r="F6017">
        <v>862</v>
      </c>
      <c r="G6017" t="s">
        <v>2084</v>
      </c>
      <c r="H6017" t="s">
        <v>346</v>
      </c>
      <c r="I6017" t="s">
        <v>2116</v>
      </c>
    </row>
    <row r="6018" spans="1:9" x14ac:dyDescent="0.35">
      <c r="A6018">
        <v>239030</v>
      </c>
      <c r="B6018" t="s">
        <v>1890</v>
      </c>
      <c r="C6018" s="1">
        <v>41494</v>
      </c>
      <c r="D6018">
        <v>416</v>
      </c>
      <c r="E6018" t="b">
        <v>1</v>
      </c>
      <c r="F6018">
        <v>862</v>
      </c>
      <c r="G6018" t="s">
        <v>2084</v>
      </c>
      <c r="H6018" t="s">
        <v>239</v>
      </c>
      <c r="I6018" t="s">
        <v>2117</v>
      </c>
    </row>
    <row r="6019" spans="1:9" x14ac:dyDescent="0.35">
      <c r="A6019">
        <v>239030</v>
      </c>
      <c r="B6019" t="s">
        <v>1890</v>
      </c>
      <c r="C6019" s="1">
        <v>41494</v>
      </c>
      <c r="D6019">
        <v>416</v>
      </c>
      <c r="E6019" t="b">
        <v>1</v>
      </c>
      <c r="F6019">
        <v>862</v>
      </c>
      <c r="G6019" t="s">
        <v>2084</v>
      </c>
      <c r="H6019" t="s">
        <v>132</v>
      </c>
      <c r="I6019" t="s">
        <v>2117</v>
      </c>
    </row>
    <row r="6020" spans="1:9" x14ac:dyDescent="0.35">
      <c r="A6020">
        <v>239030</v>
      </c>
      <c r="B6020" t="s">
        <v>1890</v>
      </c>
      <c r="C6020" s="1">
        <v>41494</v>
      </c>
      <c r="D6020">
        <v>416</v>
      </c>
      <c r="E6020" t="b">
        <v>1</v>
      </c>
      <c r="F6020">
        <v>862</v>
      </c>
      <c r="G6020" t="s">
        <v>2084</v>
      </c>
      <c r="H6020" t="s">
        <v>124</v>
      </c>
      <c r="I6020" t="s">
        <v>2117</v>
      </c>
    </row>
    <row r="6021" spans="1:9" x14ac:dyDescent="0.35">
      <c r="A6021">
        <v>239030</v>
      </c>
      <c r="B6021" t="s">
        <v>1890</v>
      </c>
      <c r="C6021" s="1">
        <v>41494</v>
      </c>
      <c r="D6021">
        <v>416</v>
      </c>
      <c r="E6021" t="b">
        <v>1</v>
      </c>
      <c r="F6021">
        <v>862</v>
      </c>
      <c r="G6021" t="s">
        <v>2084</v>
      </c>
      <c r="H6021" t="s">
        <v>1510</v>
      </c>
      <c r="I6021" t="s">
        <v>2117</v>
      </c>
    </row>
    <row r="6022" spans="1:9" x14ac:dyDescent="0.35">
      <c r="A6022">
        <v>2739590</v>
      </c>
      <c r="B6022" t="s">
        <v>1892</v>
      </c>
      <c r="C6022" s="1">
        <v>45435</v>
      </c>
      <c r="D6022">
        <v>416</v>
      </c>
      <c r="E6022" t="b">
        <v>0</v>
      </c>
      <c r="F6022">
        <v>862</v>
      </c>
      <c r="G6022" t="s">
        <v>304</v>
      </c>
      <c r="H6022" t="s">
        <v>49</v>
      </c>
      <c r="I6022" t="s">
        <v>2116</v>
      </c>
    </row>
    <row r="6023" spans="1:9" x14ac:dyDescent="0.35">
      <c r="A6023">
        <v>2739590</v>
      </c>
      <c r="B6023" t="s">
        <v>1892</v>
      </c>
      <c r="C6023" s="1">
        <v>45435</v>
      </c>
      <c r="D6023">
        <v>416</v>
      </c>
      <c r="E6023" t="b">
        <v>0</v>
      </c>
      <c r="F6023">
        <v>862</v>
      </c>
      <c r="G6023" t="s">
        <v>304</v>
      </c>
      <c r="H6023" t="s">
        <v>792</v>
      </c>
      <c r="I6023" t="s">
        <v>2116</v>
      </c>
    </row>
    <row r="6024" spans="1:9" x14ac:dyDescent="0.35">
      <c r="A6024">
        <v>2739590</v>
      </c>
      <c r="B6024" t="s">
        <v>1892</v>
      </c>
      <c r="C6024" s="1">
        <v>45435</v>
      </c>
      <c r="D6024">
        <v>416</v>
      </c>
      <c r="E6024" t="b">
        <v>0</v>
      </c>
      <c r="F6024">
        <v>862</v>
      </c>
      <c r="G6024" t="s">
        <v>304</v>
      </c>
      <c r="H6024" t="s">
        <v>346</v>
      </c>
      <c r="I6024" t="s">
        <v>2117</v>
      </c>
    </row>
    <row r="6025" spans="1:9" x14ac:dyDescent="0.35">
      <c r="A6025">
        <v>2739590</v>
      </c>
      <c r="B6025" t="s">
        <v>1892</v>
      </c>
      <c r="C6025" s="1">
        <v>45435</v>
      </c>
      <c r="D6025">
        <v>416</v>
      </c>
      <c r="E6025" t="b">
        <v>0</v>
      </c>
      <c r="F6025">
        <v>862</v>
      </c>
      <c r="G6025" t="s">
        <v>304</v>
      </c>
      <c r="H6025" t="s">
        <v>239</v>
      </c>
      <c r="I6025" t="s">
        <v>2116</v>
      </c>
    </row>
    <row r="6026" spans="1:9" x14ac:dyDescent="0.35">
      <c r="A6026">
        <v>2739590</v>
      </c>
      <c r="B6026" t="s">
        <v>1892</v>
      </c>
      <c r="C6026" s="1">
        <v>45435</v>
      </c>
      <c r="D6026">
        <v>416</v>
      </c>
      <c r="E6026" t="b">
        <v>0</v>
      </c>
      <c r="F6026">
        <v>862</v>
      </c>
      <c r="G6026" t="s">
        <v>304</v>
      </c>
      <c r="H6026" t="s">
        <v>132</v>
      </c>
      <c r="I6026" t="s">
        <v>2116</v>
      </c>
    </row>
    <row r="6027" spans="1:9" x14ac:dyDescent="0.35">
      <c r="A6027">
        <v>2739590</v>
      </c>
      <c r="B6027" t="s">
        <v>1892</v>
      </c>
      <c r="C6027" s="1">
        <v>45435</v>
      </c>
      <c r="D6027">
        <v>416</v>
      </c>
      <c r="E6027" t="b">
        <v>0</v>
      </c>
      <c r="F6027">
        <v>862</v>
      </c>
      <c r="G6027" t="s">
        <v>304</v>
      </c>
      <c r="H6027" t="s">
        <v>124</v>
      </c>
      <c r="I6027" t="s">
        <v>2117</v>
      </c>
    </row>
    <row r="6028" spans="1:9" x14ac:dyDescent="0.35">
      <c r="A6028">
        <v>2739590</v>
      </c>
      <c r="B6028" t="s">
        <v>1892</v>
      </c>
      <c r="C6028" s="1">
        <v>45435</v>
      </c>
      <c r="D6028">
        <v>416</v>
      </c>
      <c r="E6028" t="b">
        <v>0</v>
      </c>
      <c r="F6028">
        <v>862</v>
      </c>
      <c r="G6028" t="s">
        <v>304</v>
      </c>
      <c r="H6028" t="s">
        <v>1510</v>
      </c>
      <c r="I6028" t="s">
        <v>2117</v>
      </c>
    </row>
    <row r="6029" spans="1:9" x14ac:dyDescent="0.35">
      <c r="A6029">
        <v>1969870</v>
      </c>
      <c r="B6029" t="s">
        <v>1894</v>
      </c>
      <c r="C6029" s="1">
        <v>44762</v>
      </c>
      <c r="D6029">
        <v>413</v>
      </c>
      <c r="E6029" t="b">
        <v>0</v>
      </c>
      <c r="F6029">
        <v>864</v>
      </c>
      <c r="G6029" t="s">
        <v>25</v>
      </c>
      <c r="H6029" t="s">
        <v>49</v>
      </c>
      <c r="I6029" t="s">
        <v>2116</v>
      </c>
    </row>
    <row r="6030" spans="1:9" x14ac:dyDescent="0.35">
      <c r="A6030">
        <v>1969870</v>
      </c>
      <c r="B6030" t="s">
        <v>1894</v>
      </c>
      <c r="C6030" s="1">
        <v>44762</v>
      </c>
      <c r="D6030">
        <v>413</v>
      </c>
      <c r="E6030" t="b">
        <v>0</v>
      </c>
      <c r="F6030">
        <v>864</v>
      </c>
      <c r="G6030" t="s">
        <v>25</v>
      </c>
      <c r="H6030" t="s">
        <v>792</v>
      </c>
      <c r="I6030" t="s">
        <v>2117</v>
      </c>
    </row>
    <row r="6031" spans="1:9" x14ac:dyDescent="0.35">
      <c r="A6031">
        <v>1969870</v>
      </c>
      <c r="B6031" t="s">
        <v>1894</v>
      </c>
      <c r="C6031" s="1">
        <v>44762</v>
      </c>
      <c r="D6031">
        <v>413</v>
      </c>
      <c r="E6031" t="b">
        <v>0</v>
      </c>
      <c r="F6031">
        <v>864</v>
      </c>
      <c r="G6031" t="s">
        <v>25</v>
      </c>
      <c r="H6031" t="s">
        <v>346</v>
      </c>
      <c r="I6031" t="s">
        <v>2116</v>
      </c>
    </row>
    <row r="6032" spans="1:9" x14ac:dyDescent="0.35">
      <c r="A6032">
        <v>1969870</v>
      </c>
      <c r="B6032" t="s">
        <v>1894</v>
      </c>
      <c r="C6032" s="1">
        <v>44762</v>
      </c>
      <c r="D6032">
        <v>413</v>
      </c>
      <c r="E6032" t="b">
        <v>0</v>
      </c>
      <c r="F6032">
        <v>864</v>
      </c>
      <c r="G6032" t="s">
        <v>25</v>
      </c>
      <c r="H6032" t="s">
        <v>239</v>
      </c>
      <c r="I6032" t="s">
        <v>2117</v>
      </c>
    </row>
    <row r="6033" spans="1:9" x14ac:dyDescent="0.35">
      <c r="A6033">
        <v>1969870</v>
      </c>
      <c r="B6033" t="s">
        <v>1894</v>
      </c>
      <c r="C6033" s="1">
        <v>44762</v>
      </c>
      <c r="D6033">
        <v>413</v>
      </c>
      <c r="E6033" t="b">
        <v>0</v>
      </c>
      <c r="F6033">
        <v>864</v>
      </c>
      <c r="G6033" t="s">
        <v>25</v>
      </c>
      <c r="H6033" t="s">
        <v>132</v>
      </c>
      <c r="I6033" t="s">
        <v>2117</v>
      </c>
    </row>
    <row r="6034" spans="1:9" x14ac:dyDescent="0.35">
      <c r="A6034">
        <v>1969870</v>
      </c>
      <c r="B6034" t="s">
        <v>1894</v>
      </c>
      <c r="C6034" s="1">
        <v>44762</v>
      </c>
      <c r="D6034">
        <v>413</v>
      </c>
      <c r="E6034" t="b">
        <v>0</v>
      </c>
      <c r="F6034">
        <v>864</v>
      </c>
      <c r="G6034" t="s">
        <v>25</v>
      </c>
      <c r="H6034" t="s">
        <v>124</v>
      </c>
      <c r="I6034" t="s">
        <v>2117</v>
      </c>
    </row>
    <row r="6035" spans="1:9" x14ac:dyDescent="0.35">
      <c r="A6035">
        <v>1969870</v>
      </c>
      <c r="B6035" t="s">
        <v>1894</v>
      </c>
      <c r="C6035" s="1">
        <v>44762</v>
      </c>
      <c r="D6035">
        <v>413</v>
      </c>
      <c r="E6035" t="b">
        <v>0</v>
      </c>
      <c r="F6035">
        <v>864</v>
      </c>
      <c r="G6035" t="s">
        <v>25</v>
      </c>
      <c r="H6035" t="s">
        <v>1510</v>
      </c>
      <c r="I6035" t="s">
        <v>2116</v>
      </c>
    </row>
    <row r="6036" spans="1:9" x14ac:dyDescent="0.35">
      <c r="A6036">
        <v>551170</v>
      </c>
      <c r="B6036" t="s">
        <v>1896</v>
      </c>
      <c r="C6036" s="1">
        <v>43208</v>
      </c>
      <c r="D6036">
        <v>412</v>
      </c>
      <c r="E6036" t="b">
        <v>0</v>
      </c>
      <c r="F6036">
        <v>865</v>
      </c>
      <c r="G6036" t="s">
        <v>110</v>
      </c>
      <c r="H6036" t="s">
        <v>49</v>
      </c>
      <c r="I6036" t="s">
        <v>2117</v>
      </c>
    </row>
    <row r="6037" spans="1:9" x14ac:dyDescent="0.35">
      <c r="A6037">
        <v>551170</v>
      </c>
      <c r="B6037" t="s">
        <v>1896</v>
      </c>
      <c r="C6037" s="1">
        <v>43208</v>
      </c>
      <c r="D6037">
        <v>412</v>
      </c>
      <c r="E6037" t="b">
        <v>0</v>
      </c>
      <c r="F6037">
        <v>865</v>
      </c>
      <c r="G6037" t="s">
        <v>110</v>
      </c>
      <c r="H6037" t="s">
        <v>792</v>
      </c>
      <c r="I6037" t="s">
        <v>2117</v>
      </c>
    </row>
    <row r="6038" spans="1:9" x14ac:dyDescent="0.35">
      <c r="A6038">
        <v>551170</v>
      </c>
      <c r="B6038" t="s">
        <v>1896</v>
      </c>
      <c r="C6038" s="1">
        <v>43208</v>
      </c>
      <c r="D6038">
        <v>412</v>
      </c>
      <c r="E6038" t="b">
        <v>0</v>
      </c>
      <c r="F6038">
        <v>865</v>
      </c>
      <c r="G6038" t="s">
        <v>110</v>
      </c>
      <c r="H6038" t="s">
        <v>346</v>
      </c>
      <c r="I6038" t="s">
        <v>2116</v>
      </c>
    </row>
    <row r="6039" spans="1:9" x14ac:dyDescent="0.35">
      <c r="A6039">
        <v>551170</v>
      </c>
      <c r="B6039" t="s">
        <v>1896</v>
      </c>
      <c r="C6039" s="1">
        <v>43208</v>
      </c>
      <c r="D6039">
        <v>412</v>
      </c>
      <c r="E6039" t="b">
        <v>0</v>
      </c>
      <c r="F6039">
        <v>865</v>
      </c>
      <c r="G6039" t="s">
        <v>110</v>
      </c>
      <c r="H6039" t="s">
        <v>239</v>
      </c>
      <c r="I6039" t="s">
        <v>2117</v>
      </c>
    </row>
    <row r="6040" spans="1:9" x14ac:dyDescent="0.35">
      <c r="A6040">
        <v>551170</v>
      </c>
      <c r="B6040" t="s">
        <v>1896</v>
      </c>
      <c r="C6040" s="1">
        <v>43208</v>
      </c>
      <c r="D6040">
        <v>412</v>
      </c>
      <c r="E6040" t="b">
        <v>0</v>
      </c>
      <c r="F6040">
        <v>865</v>
      </c>
      <c r="G6040" t="s">
        <v>110</v>
      </c>
      <c r="H6040" t="s">
        <v>132</v>
      </c>
      <c r="I6040" t="s">
        <v>2116</v>
      </c>
    </row>
    <row r="6041" spans="1:9" x14ac:dyDescent="0.35">
      <c r="A6041">
        <v>551170</v>
      </c>
      <c r="B6041" t="s">
        <v>1896</v>
      </c>
      <c r="C6041" s="1">
        <v>43208</v>
      </c>
      <c r="D6041">
        <v>412</v>
      </c>
      <c r="E6041" t="b">
        <v>0</v>
      </c>
      <c r="F6041">
        <v>865</v>
      </c>
      <c r="G6041" t="s">
        <v>110</v>
      </c>
      <c r="H6041" t="s">
        <v>124</v>
      </c>
      <c r="I6041" t="s">
        <v>2116</v>
      </c>
    </row>
    <row r="6042" spans="1:9" x14ac:dyDescent="0.35">
      <c r="A6042">
        <v>551170</v>
      </c>
      <c r="B6042" t="s">
        <v>1896</v>
      </c>
      <c r="C6042" s="1">
        <v>43208</v>
      </c>
      <c r="D6042">
        <v>412</v>
      </c>
      <c r="E6042" t="b">
        <v>0</v>
      </c>
      <c r="F6042">
        <v>865</v>
      </c>
      <c r="G6042" t="s">
        <v>110</v>
      </c>
      <c r="H6042" t="s">
        <v>1510</v>
      </c>
      <c r="I6042" t="s">
        <v>2117</v>
      </c>
    </row>
    <row r="6043" spans="1:9" x14ac:dyDescent="0.35">
      <c r="A6043">
        <v>3314070</v>
      </c>
      <c r="B6043" t="s">
        <v>1898</v>
      </c>
      <c r="C6043" s="1">
        <v>45688</v>
      </c>
      <c r="D6043">
        <v>412</v>
      </c>
      <c r="E6043" t="b">
        <v>0</v>
      </c>
      <c r="F6043">
        <v>865</v>
      </c>
      <c r="G6043" t="s">
        <v>133</v>
      </c>
      <c r="H6043" t="s">
        <v>49</v>
      </c>
      <c r="I6043" t="s">
        <v>2117</v>
      </c>
    </row>
    <row r="6044" spans="1:9" x14ac:dyDescent="0.35">
      <c r="A6044">
        <v>3314070</v>
      </c>
      <c r="B6044" t="s">
        <v>1898</v>
      </c>
      <c r="C6044" s="1">
        <v>45688</v>
      </c>
      <c r="D6044">
        <v>412</v>
      </c>
      <c r="E6044" t="b">
        <v>0</v>
      </c>
      <c r="F6044">
        <v>865</v>
      </c>
      <c r="G6044" t="s">
        <v>133</v>
      </c>
      <c r="H6044" t="s">
        <v>792</v>
      </c>
      <c r="I6044" t="s">
        <v>2117</v>
      </c>
    </row>
    <row r="6045" spans="1:9" x14ac:dyDescent="0.35">
      <c r="A6045">
        <v>3314070</v>
      </c>
      <c r="B6045" t="s">
        <v>1898</v>
      </c>
      <c r="C6045" s="1">
        <v>45688</v>
      </c>
      <c r="D6045">
        <v>412</v>
      </c>
      <c r="E6045" t="b">
        <v>0</v>
      </c>
      <c r="F6045">
        <v>865</v>
      </c>
      <c r="G6045" t="s">
        <v>133</v>
      </c>
      <c r="H6045" t="s">
        <v>346</v>
      </c>
      <c r="I6045" t="s">
        <v>2117</v>
      </c>
    </row>
    <row r="6046" spans="1:9" x14ac:dyDescent="0.35">
      <c r="A6046">
        <v>3314070</v>
      </c>
      <c r="B6046" t="s">
        <v>1898</v>
      </c>
      <c r="C6046" s="1">
        <v>45688</v>
      </c>
      <c r="D6046">
        <v>412</v>
      </c>
      <c r="E6046" t="b">
        <v>0</v>
      </c>
      <c r="F6046">
        <v>865</v>
      </c>
      <c r="G6046" t="s">
        <v>133</v>
      </c>
      <c r="H6046" t="s">
        <v>239</v>
      </c>
      <c r="I6046" t="s">
        <v>2116</v>
      </c>
    </row>
    <row r="6047" spans="1:9" x14ac:dyDescent="0.35">
      <c r="A6047">
        <v>3314070</v>
      </c>
      <c r="B6047" t="s">
        <v>1898</v>
      </c>
      <c r="C6047" s="1">
        <v>45688</v>
      </c>
      <c r="D6047">
        <v>412</v>
      </c>
      <c r="E6047" t="b">
        <v>0</v>
      </c>
      <c r="F6047">
        <v>865</v>
      </c>
      <c r="G6047" t="s">
        <v>133</v>
      </c>
      <c r="H6047" t="s">
        <v>132</v>
      </c>
      <c r="I6047" t="s">
        <v>2117</v>
      </c>
    </row>
    <row r="6048" spans="1:9" x14ac:dyDescent="0.35">
      <c r="A6048">
        <v>3314070</v>
      </c>
      <c r="B6048" t="s">
        <v>1898</v>
      </c>
      <c r="C6048" s="1">
        <v>45688</v>
      </c>
      <c r="D6048">
        <v>412</v>
      </c>
      <c r="E6048" t="b">
        <v>0</v>
      </c>
      <c r="F6048">
        <v>865</v>
      </c>
      <c r="G6048" t="s">
        <v>133</v>
      </c>
      <c r="H6048" t="s">
        <v>124</v>
      </c>
      <c r="I6048" t="s">
        <v>2117</v>
      </c>
    </row>
    <row r="6049" spans="1:9" x14ac:dyDescent="0.35">
      <c r="A6049">
        <v>3314070</v>
      </c>
      <c r="B6049" t="s">
        <v>1898</v>
      </c>
      <c r="C6049" s="1">
        <v>45688</v>
      </c>
      <c r="D6049">
        <v>412</v>
      </c>
      <c r="E6049" t="b">
        <v>0</v>
      </c>
      <c r="F6049">
        <v>865</v>
      </c>
      <c r="G6049" t="s">
        <v>133</v>
      </c>
      <c r="H6049" t="s">
        <v>1510</v>
      </c>
      <c r="I6049" t="s">
        <v>2117</v>
      </c>
    </row>
    <row r="6050" spans="1:9" x14ac:dyDescent="0.35">
      <c r="A6050">
        <v>1124300</v>
      </c>
      <c r="B6050" t="s">
        <v>1899</v>
      </c>
      <c r="C6050" s="1">
        <v>44425</v>
      </c>
      <c r="D6050">
        <v>411</v>
      </c>
      <c r="E6050" t="b">
        <v>1</v>
      </c>
      <c r="F6050">
        <v>867</v>
      </c>
      <c r="G6050" t="s">
        <v>53</v>
      </c>
      <c r="H6050" t="s">
        <v>49</v>
      </c>
      <c r="I6050" t="s">
        <v>2117</v>
      </c>
    </row>
    <row r="6051" spans="1:9" x14ac:dyDescent="0.35">
      <c r="A6051">
        <v>1124300</v>
      </c>
      <c r="B6051" t="s">
        <v>1899</v>
      </c>
      <c r="C6051" s="1">
        <v>44425</v>
      </c>
      <c r="D6051">
        <v>411</v>
      </c>
      <c r="E6051" t="b">
        <v>1</v>
      </c>
      <c r="F6051">
        <v>867</v>
      </c>
      <c r="G6051" t="s">
        <v>53</v>
      </c>
      <c r="H6051" t="s">
        <v>792</v>
      </c>
      <c r="I6051" t="s">
        <v>2117</v>
      </c>
    </row>
    <row r="6052" spans="1:9" x14ac:dyDescent="0.35">
      <c r="A6052">
        <v>1124300</v>
      </c>
      <c r="B6052" t="s">
        <v>1899</v>
      </c>
      <c r="C6052" s="1">
        <v>44425</v>
      </c>
      <c r="D6052">
        <v>411</v>
      </c>
      <c r="E6052" t="b">
        <v>1</v>
      </c>
      <c r="F6052">
        <v>867</v>
      </c>
      <c r="G6052" t="s">
        <v>53</v>
      </c>
      <c r="H6052" t="s">
        <v>346</v>
      </c>
      <c r="I6052" t="s">
        <v>2117</v>
      </c>
    </row>
    <row r="6053" spans="1:9" x14ac:dyDescent="0.35">
      <c r="A6053">
        <v>1124300</v>
      </c>
      <c r="B6053" t="s">
        <v>1899</v>
      </c>
      <c r="C6053" s="1">
        <v>44425</v>
      </c>
      <c r="D6053">
        <v>411</v>
      </c>
      <c r="E6053" t="b">
        <v>1</v>
      </c>
      <c r="F6053">
        <v>867</v>
      </c>
      <c r="G6053" t="s">
        <v>53</v>
      </c>
      <c r="H6053" t="s">
        <v>239</v>
      </c>
      <c r="I6053" t="s">
        <v>2117</v>
      </c>
    </row>
    <row r="6054" spans="1:9" x14ac:dyDescent="0.35">
      <c r="A6054">
        <v>1124300</v>
      </c>
      <c r="B6054" t="s">
        <v>1899</v>
      </c>
      <c r="C6054" s="1">
        <v>44425</v>
      </c>
      <c r="D6054">
        <v>411</v>
      </c>
      <c r="E6054" t="b">
        <v>1</v>
      </c>
      <c r="F6054">
        <v>867</v>
      </c>
      <c r="G6054" t="s">
        <v>53</v>
      </c>
      <c r="H6054" t="s">
        <v>132</v>
      </c>
      <c r="I6054" t="s">
        <v>2117</v>
      </c>
    </row>
    <row r="6055" spans="1:9" x14ac:dyDescent="0.35">
      <c r="A6055">
        <v>1124300</v>
      </c>
      <c r="B6055" t="s">
        <v>1899</v>
      </c>
      <c r="C6055" s="1">
        <v>44425</v>
      </c>
      <c r="D6055">
        <v>411</v>
      </c>
      <c r="E6055" t="b">
        <v>1</v>
      </c>
      <c r="F6055">
        <v>867</v>
      </c>
      <c r="G6055" t="s">
        <v>53</v>
      </c>
      <c r="H6055" t="s">
        <v>124</v>
      </c>
      <c r="I6055" t="s">
        <v>2116</v>
      </c>
    </row>
    <row r="6056" spans="1:9" x14ac:dyDescent="0.35">
      <c r="A6056">
        <v>1124300</v>
      </c>
      <c r="B6056" t="s">
        <v>1899</v>
      </c>
      <c r="C6056" s="1">
        <v>44425</v>
      </c>
      <c r="D6056">
        <v>411</v>
      </c>
      <c r="E6056" t="b">
        <v>1</v>
      </c>
      <c r="F6056">
        <v>867</v>
      </c>
      <c r="G6056" t="s">
        <v>53</v>
      </c>
      <c r="H6056" t="s">
        <v>1510</v>
      </c>
      <c r="I6056" t="s">
        <v>2117</v>
      </c>
    </row>
    <row r="6057" spans="1:9" x14ac:dyDescent="0.35">
      <c r="A6057">
        <v>2780980</v>
      </c>
      <c r="B6057" t="s">
        <v>1901</v>
      </c>
      <c r="C6057" s="1">
        <v>45979</v>
      </c>
      <c r="D6057">
        <v>411</v>
      </c>
      <c r="E6057" t="b">
        <v>0</v>
      </c>
      <c r="F6057">
        <v>867</v>
      </c>
      <c r="G6057" t="s">
        <v>304</v>
      </c>
      <c r="H6057" t="s">
        <v>49</v>
      </c>
      <c r="I6057" t="s">
        <v>2116</v>
      </c>
    </row>
    <row r="6058" spans="1:9" x14ac:dyDescent="0.35">
      <c r="A6058">
        <v>2780980</v>
      </c>
      <c r="B6058" t="s">
        <v>1901</v>
      </c>
      <c r="C6058" s="1">
        <v>45979</v>
      </c>
      <c r="D6058">
        <v>411</v>
      </c>
      <c r="E6058" t="b">
        <v>0</v>
      </c>
      <c r="F6058">
        <v>867</v>
      </c>
      <c r="G6058" t="s">
        <v>304</v>
      </c>
      <c r="H6058" t="s">
        <v>792</v>
      </c>
      <c r="I6058" t="s">
        <v>2116</v>
      </c>
    </row>
    <row r="6059" spans="1:9" x14ac:dyDescent="0.35">
      <c r="A6059">
        <v>2780980</v>
      </c>
      <c r="B6059" t="s">
        <v>1901</v>
      </c>
      <c r="C6059" s="1">
        <v>45979</v>
      </c>
      <c r="D6059">
        <v>411</v>
      </c>
      <c r="E6059" t="b">
        <v>0</v>
      </c>
      <c r="F6059">
        <v>867</v>
      </c>
      <c r="G6059" t="s">
        <v>304</v>
      </c>
      <c r="H6059" t="s">
        <v>346</v>
      </c>
      <c r="I6059" t="s">
        <v>2117</v>
      </c>
    </row>
    <row r="6060" spans="1:9" x14ac:dyDescent="0.35">
      <c r="A6060">
        <v>2780980</v>
      </c>
      <c r="B6060" t="s">
        <v>1901</v>
      </c>
      <c r="C6060" s="1">
        <v>45979</v>
      </c>
      <c r="D6060">
        <v>411</v>
      </c>
      <c r="E6060" t="b">
        <v>0</v>
      </c>
      <c r="F6060">
        <v>867</v>
      </c>
      <c r="G6060" t="s">
        <v>304</v>
      </c>
      <c r="H6060" t="s">
        <v>239</v>
      </c>
      <c r="I6060" t="s">
        <v>2117</v>
      </c>
    </row>
    <row r="6061" spans="1:9" x14ac:dyDescent="0.35">
      <c r="A6061">
        <v>2780980</v>
      </c>
      <c r="B6061" t="s">
        <v>1901</v>
      </c>
      <c r="C6061" s="1">
        <v>45979</v>
      </c>
      <c r="D6061">
        <v>411</v>
      </c>
      <c r="E6061" t="b">
        <v>0</v>
      </c>
      <c r="F6061">
        <v>867</v>
      </c>
      <c r="G6061" t="s">
        <v>304</v>
      </c>
      <c r="H6061" t="s">
        <v>132</v>
      </c>
      <c r="I6061" t="s">
        <v>2117</v>
      </c>
    </row>
    <row r="6062" spans="1:9" x14ac:dyDescent="0.35">
      <c r="A6062">
        <v>2780980</v>
      </c>
      <c r="B6062" t="s">
        <v>1901</v>
      </c>
      <c r="C6062" s="1">
        <v>45979</v>
      </c>
      <c r="D6062">
        <v>411</v>
      </c>
      <c r="E6062" t="b">
        <v>0</v>
      </c>
      <c r="F6062">
        <v>867</v>
      </c>
      <c r="G6062" t="s">
        <v>304</v>
      </c>
      <c r="H6062" t="s">
        <v>124</v>
      </c>
      <c r="I6062" t="s">
        <v>2116</v>
      </c>
    </row>
    <row r="6063" spans="1:9" x14ac:dyDescent="0.35">
      <c r="A6063">
        <v>2780980</v>
      </c>
      <c r="B6063" t="s">
        <v>1901</v>
      </c>
      <c r="C6063" s="1">
        <v>45979</v>
      </c>
      <c r="D6063">
        <v>411</v>
      </c>
      <c r="E6063" t="b">
        <v>0</v>
      </c>
      <c r="F6063">
        <v>867</v>
      </c>
      <c r="G6063" t="s">
        <v>304</v>
      </c>
      <c r="H6063" t="s">
        <v>1510</v>
      </c>
      <c r="I6063" t="s">
        <v>2117</v>
      </c>
    </row>
    <row r="6064" spans="1:9" x14ac:dyDescent="0.35">
      <c r="A6064">
        <v>383150</v>
      </c>
      <c r="B6064" t="s">
        <v>1903</v>
      </c>
      <c r="C6064" s="1">
        <v>42521</v>
      </c>
      <c r="D6064">
        <v>410</v>
      </c>
      <c r="E6064" t="b">
        <v>0</v>
      </c>
      <c r="F6064">
        <v>869</v>
      </c>
      <c r="G6064" t="s">
        <v>133</v>
      </c>
      <c r="H6064" t="s">
        <v>49</v>
      </c>
      <c r="I6064" t="s">
        <v>2116</v>
      </c>
    </row>
    <row r="6065" spans="1:9" x14ac:dyDescent="0.35">
      <c r="A6065">
        <v>383150</v>
      </c>
      <c r="B6065" t="s">
        <v>1903</v>
      </c>
      <c r="C6065" s="1">
        <v>42521</v>
      </c>
      <c r="D6065">
        <v>410</v>
      </c>
      <c r="E6065" t="b">
        <v>0</v>
      </c>
      <c r="F6065">
        <v>869</v>
      </c>
      <c r="G6065" t="s">
        <v>133</v>
      </c>
      <c r="H6065" t="s">
        <v>792</v>
      </c>
      <c r="I6065" t="s">
        <v>2117</v>
      </c>
    </row>
    <row r="6066" spans="1:9" x14ac:dyDescent="0.35">
      <c r="A6066">
        <v>383150</v>
      </c>
      <c r="B6066" t="s">
        <v>1903</v>
      </c>
      <c r="C6066" s="1">
        <v>42521</v>
      </c>
      <c r="D6066">
        <v>410</v>
      </c>
      <c r="E6066" t="b">
        <v>0</v>
      </c>
      <c r="F6066">
        <v>869</v>
      </c>
      <c r="G6066" t="s">
        <v>133</v>
      </c>
      <c r="H6066" t="s">
        <v>346</v>
      </c>
      <c r="I6066" t="s">
        <v>2117</v>
      </c>
    </row>
    <row r="6067" spans="1:9" x14ac:dyDescent="0.35">
      <c r="A6067">
        <v>383150</v>
      </c>
      <c r="B6067" t="s">
        <v>1903</v>
      </c>
      <c r="C6067" s="1">
        <v>42521</v>
      </c>
      <c r="D6067">
        <v>410</v>
      </c>
      <c r="E6067" t="b">
        <v>0</v>
      </c>
      <c r="F6067">
        <v>869</v>
      </c>
      <c r="G6067" t="s">
        <v>133</v>
      </c>
      <c r="H6067" t="s">
        <v>239</v>
      </c>
      <c r="I6067" t="s">
        <v>2117</v>
      </c>
    </row>
    <row r="6068" spans="1:9" x14ac:dyDescent="0.35">
      <c r="A6068">
        <v>383150</v>
      </c>
      <c r="B6068" t="s">
        <v>1903</v>
      </c>
      <c r="C6068" s="1">
        <v>42521</v>
      </c>
      <c r="D6068">
        <v>410</v>
      </c>
      <c r="E6068" t="b">
        <v>0</v>
      </c>
      <c r="F6068">
        <v>869</v>
      </c>
      <c r="G6068" t="s">
        <v>133</v>
      </c>
      <c r="H6068" t="s">
        <v>132</v>
      </c>
      <c r="I6068" t="s">
        <v>2117</v>
      </c>
    </row>
    <row r="6069" spans="1:9" x14ac:dyDescent="0.35">
      <c r="A6069">
        <v>383150</v>
      </c>
      <c r="B6069" t="s">
        <v>1903</v>
      </c>
      <c r="C6069" s="1">
        <v>42521</v>
      </c>
      <c r="D6069">
        <v>410</v>
      </c>
      <c r="E6069" t="b">
        <v>0</v>
      </c>
      <c r="F6069">
        <v>869</v>
      </c>
      <c r="G6069" t="s">
        <v>133</v>
      </c>
      <c r="H6069" t="s">
        <v>124</v>
      </c>
      <c r="I6069" t="s">
        <v>2117</v>
      </c>
    </row>
    <row r="6070" spans="1:9" x14ac:dyDescent="0.35">
      <c r="A6070">
        <v>383150</v>
      </c>
      <c r="B6070" t="s">
        <v>1903</v>
      </c>
      <c r="C6070" s="1">
        <v>42521</v>
      </c>
      <c r="D6070">
        <v>410</v>
      </c>
      <c r="E6070" t="b">
        <v>0</v>
      </c>
      <c r="F6070">
        <v>869</v>
      </c>
      <c r="G6070" t="s">
        <v>133</v>
      </c>
      <c r="H6070" t="s">
        <v>1510</v>
      </c>
      <c r="I6070" t="s">
        <v>2117</v>
      </c>
    </row>
    <row r="6071" spans="1:9" x14ac:dyDescent="0.35">
      <c r="A6071">
        <v>1875830</v>
      </c>
      <c r="B6071" t="s">
        <v>1905</v>
      </c>
      <c r="C6071" s="1">
        <v>45456</v>
      </c>
      <c r="D6071">
        <v>410</v>
      </c>
      <c r="E6071" t="b">
        <v>0</v>
      </c>
      <c r="F6071">
        <v>869</v>
      </c>
      <c r="G6071" t="s">
        <v>133</v>
      </c>
      <c r="H6071" t="s">
        <v>49</v>
      </c>
      <c r="I6071" t="s">
        <v>2117</v>
      </c>
    </row>
    <row r="6072" spans="1:9" x14ac:dyDescent="0.35">
      <c r="A6072">
        <v>1875830</v>
      </c>
      <c r="B6072" t="s">
        <v>1905</v>
      </c>
      <c r="C6072" s="1">
        <v>45456</v>
      </c>
      <c r="D6072">
        <v>410</v>
      </c>
      <c r="E6072" t="b">
        <v>0</v>
      </c>
      <c r="F6072">
        <v>869</v>
      </c>
      <c r="G6072" t="s">
        <v>133</v>
      </c>
      <c r="H6072" t="s">
        <v>792</v>
      </c>
      <c r="I6072" t="s">
        <v>2117</v>
      </c>
    </row>
    <row r="6073" spans="1:9" x14ac:dyDescent="0.35">
      <c r="A6073">
        <v>1875830</v>
      </c>
      <c r="B6073" t="s">
        <v>1905</v>
      </c>
      <c r="C6073" s="1">
        <v>45456</v>
      </c>
      <c r="D6073">
        <v>410</v>
      </c>
      <c r="E6073" t="b">
        <v>0</v>
      </c>
      <c r="F6073">
        <v>869</v>
      </c>
      <c r="G6073" t="s">
        <v>133</v>
      </c>
      <c r="H6073" t="s">
        <v>346</v>
      </c>
      <c r="I6073" t="s">
        <v>2116</v>
      </c>
    </row>
    <row r="6074" spans="1:9" x14ac:dyDescent="0.35">
      <c r="A6074">
        <v>1875830</v>
      </c>
      <c r="B6074" t="s">
        <v>1905</v>
      </c>
      <c r="C6074" s="1">
        <v>45456</v>
      </c>
      <c r="D6074">
        <v>410</v>
      </c>
      <c r="E6074" t="b">
        <v>0</v>
      </c>
      <c r="F6074">
        <v>869</v>
      </c>
      <c r="G6074" t="s">
        <v>133</v>
      </c>
      <c r="H6074" t="s">
        <v>239</v>
      </c>
      <c r="I6074" t="s">
        <v>2117</v>
      </c>
    </row>
    <row r="6075" spans="1:9" x14ac:dyDescent="0.35">
      <c r="A6075">
        <v>1875830</v>
      </c>
      <c r="B6075" t="s">
        <v>1905</v>
      </c>
      <c r="C6075" s="1">
        <v>45456</v>
      </c>
      <c r="D6075">
        <v>410</v>
      </c>
      <c r="E6075" t="b">
        <v>0</v>
      </c>
      <c r="F6075">
        <v>869</v>
      </c>
      <c r="G6075" t="s">
        <v>133</v>
      </c>
      <c r="H6075" t="s">
        <v>132</v>
      </c>
      <c r="I6075" t="s">
        <v>2116</v>
      </c>
    </row>
    <row r="6076" spans="1:9" x14ac:dyDescent="0.35">
      <c r="A6076">
        <v>1875830</v>
      </c>
      <c r="B6076" t="s">
        <v>1905</v>
      </c>
      <c r="C6076" s="1">
        <v>45456</v>
      </c>
      <c r="D6076">
        <v>410</v>
      </c>
      <c r="E6076" t="b">
        <v>0</v>
      </c>
      <c r="F6076">
        <v>869</v>
      </c>
      <c r="G6076" t="s">
        <v>133</v>
      </c>
      <c r="H6076" t="s">
        <v>124</v>
      </c>
      <c r="I6076" t="s">
        <v>2117</v>
      </c>
    </row>
    <row r="6077" spans="1:9" x14ac:dyDescent="0.35">
      <c r="A6077">
        <v>1875830</v>
      </c>
      <c r="B6077" t="s">
        <v>1905</v>
      </c>
      <c r="C6077" s="1">
        <v>45456</v>
      </c>
      <c r="D6077">
        <v>410</v>
      </c>
      <c r="E6077" t="b">
        <v>0</v>
      </c>
      <c r="F6077">
        <v>869</v>
      </c>
      <c r="G6077" t="s">
        <v>133</v>
      </c>
      <c r="H6077" t="s">
        <v>1510</v>
      </c>
      <c r="I6077" t="s">
        <v>2117</v>
      </c>
    </row>
    <row r="6078" spans="1:9" x14ac:dyDescent="0.35">
      <c r="A6078">
        <v>1488200</v>
      </c>
      <c r="B6078" t="s">
        <v>1906</v>
      </c>
      <c r="C6078" s="1">
        <v>44722</v>
      </c>
      <c r="D6078">
        <v>409</v>
      </c>
      <c r="E6078" t="b">
        <v>0</v>
      </c>
      <c r="F6078">
        <v>871</v>
      </c>
      <c r="G6078" t="s">
        <v>14</v>
      </c>
      <c r="H6078" t="s">
        <v>49</v>
      </c>
      <c r="I6078" t="s">
        <v>2117</v>
      </c>
    </row>
    <row r="6079" spans="1:9" x14ac:dyDescent="0.35">
      <c r="A6079">
        <v>1488200</v>
      </c>
      <c r="B6079" t="s">
        <v>1906</v>
      </c>
      <c r="C6079" s="1">
        <v>44722</v>
      </c>
      <c r="D6079">
        <v>409</v>
      </c>
      <c r="E6079" t="b">
        <v>0</v>
      </c>
      <c r="F6079">
        <v>871</v>
      </c>
      <c r="G6079" t="s">
        <v>14</v>
      </c>
      <c r="H6079" t="s">
        <v>792</v>
      </c>
      <c r="I6079" t="s">
        <v>2116</v>
      </c>
    </row>
    <row r="6080" spans="1:9" x14ac:dyDescent="0.35">
      <c r="A6080">
        <v>1488200</v>
      </c>
      <c r="B6080" t="s">
        <v>1906</v>
      </c>
      <c r="C6080" s="1">
        <v>44722</v>
      </c>
      <c r="D6080">
        <v>409</v>
      </c>
      <c r="E6080" t="b">
        <v>0</v>
      </c>
      <c r="F6080">
        <v>871</v>
      </c>
      <c r="G6080" t="s">
        <v>14</v>
      </c>
      <c r="H6080" t="s">
        <v>346</v>
      </c>
      <c r="I6080" t="s">
        <v>2116</v>
      </c>
    </row>
    <row r="6081" spans="1:9" x14ac:dyDescent="0.35">
      <c r="A6081">
        <v>1488200</v>
      </c>
      <c r="B6081" t="s">
        <v>1906</v>
      </c>
      <c r="C6081" s="1">
        <v>44722</v>
      </c>
      <c r="D6081">
        <v>409</v>
      </c>
      <c r="E6081" t="b">
        <v>0</v>
      </c>
      <c r="F6081">
        <v>871</v>
      </c>
      <c r="G6081" t="s">
        <v>14</v>
      </c>
      <c r="H6081" t="s">
        <v>239</v>
      </c>
      <c r="I6081" t="s">
        <v>2117</v>
      </c>
    </row>
    <row r="6082" spans="1:9" x14ac:dyDescent="0.35">
      <c r="A6082">
        <v>1488200</v>
      </c>
      <c r="B6082" t="s">
        <v>1906</v>
      </c>
      <c r="C6082" s="1">
        <v>44722</v>
      </c>
      <c r="D6082">
        <v>409</v>
      </c>
      <c r="E6082" t="b">
        <v>0</v>
      </c>
      <c r="F6082">
        <v>871</v>
      </c>
      <c r="G6082" t="s">
        <v>14</v>
      </c>
      <c r="H6082" t="s">
        <v>132</v>
      </c>
      <c r="I6082" t="s">
        <v>2116</v>
      </c>
    </row>
    <row r="6083" spans="1:9" x14ac:dyDescent="0.35">
      <c r="A6083">
        <v>1488200</v>
      </c>
      <c r="B6083" t="s">
        <v>1906</v>
      </c>
      <c r="C6083" s="1">
        <v>44722</v>
      </c>
      <c r="D6083">
        <v>409</v>
      </c>
      <c r="E6083" t="b">
        <v>0</v>
      </c>
      <c r="F6083">
        <v>871</v>
      </c>
      <c r="G6083" t="s">
        <v>14</v>
      </c>
      <c r="H6083" t="s">
        <v>124</v>
      </c>
      <c r="I6083" t="s">
        <v>2116</v>
      </c>
    </row>
    <row r="6084" spans="1:9" x14ac:dyDescent="0.35">
      <c r="A6084">
        <v>1488200</v>
      </c>
      <c r="B6084" t="s">
        <v>1906</v>
      </c>
      <c r="C6084" s="1">
        <v>44722</v>
      </c>
      <c r="D6084">
        <v>409</v>
      </c>
      <c r="E6084" t="b">
        <v>0</v>
      </c>
      <c r="F6084">
        <v>871</v>
      </c>
      <c r="G6084" t="s">
        <v>14</v>
      </c>
      <c r="H6084" t="s">
        <v>1510</v>
      </c>
      <c r="I6084" t="s">
        <v>2117</v>
      </c>
    </row>
    <row r="6085" spans="1:9" x14ac:dyDescent="0.35">
      <c r="A6085">
        <v>1144400</v>
      </c>
      <c r="B6085" t="s">
        <v>1907</v>
      </c>
      <c r="C6085" s="1">
        <v>43875</v>
      </c>
      <c r="D6085">
        <v>406</v>
      </c>
      <c r="E6085" t="b">
        <v>0</v>
      </c>
      <c r="F6085">
        <v>872</v>
      </c>
      <c r="G6085" t="s">
        <v>14</v>
      </c>
      <c r="H6085" t="s">
        <v>49</v>
      </c>
      <c r="I6085" t="s">
        <v>2117</v>
      </c>
    </row>
    <row r="6086" spans="1:9" x14ac:dyDescent="0.35">
      <c r="A6086">
        <v>1144400</v>
      </c>
      <c r="B6086" t="s">
        <v>1907</v>
      </c>
      <c r="C6086" s="1">
        <v>43875</v>
      </c>
      <c r="D6086">
        <v>406</v>
      </c>
      <c r="E6086" t="b">
        <v>0</v>
      </c>
      <c r="F6086">
        <v>872</v>
      </c>
      <c r="G6086" t="s">
        <v>14</v>
      </c>
      <c r="H6086" t="s">
        <v>792</v>
      </c>
      <c r="I6086" t="s">
        <v>2117</v>
      </c>
    </row>
    <row r="6087" spans="1:9" x14ac:dyDescent="0.35">
      <c r="A6087">
        <v>1144400</v>
      </c>
      <c r="B6087" t="s">
        <v>1907</v>
      </c>
      <c r="C6087" s="1">
        <v>43875</v>
      </c>
      <c r="D6087">
        <v>406</v>
      </c>
      <c r="E6087" t="b">
        <v>0</v>
      </c>
      <c r="F6087">
        <v>872</v>
      </c>
      <c r="G6087" t="s">
        <v>14</v>
      </c>
      <c r="H6087" t="s">
        <v>346</v>
      </c>
      <c r="I6087" t="s">
        <v>2116</v>
      </c>
    </row>
    <row r="6088" spans="1:9" x14ac:dyDescent="0.35">
      <c r="A6088">
        <v>1144400</v>
      </c>
      <c r="B6088" t="s">
        <v>1907</v>
      </c>
      <c r="C6088" s="1">
        <v>43875</v>
      </c>
      <c r="D6088">
        <v>406</v>
      </c>
      <c r="E6088" t="b">
        <v>0</v>
      </c>
      <c r="F6088">
        <v>872</v>
      </c>
      <c r="G6088" t="s">
        <v>14</v>
      </c>
      <c r="H6088" t="s">
        <v>239</v>
      </c>
      <c r="I6088" t="s">
        <v>2117</v>
      </c>
    </row>
    <row r="6089" spans="1:9" x14ac:dyDescent="0.35">
      <c r="A6089">
        <v>1144400</v>
      </c>
      <c r="B6089" t="s">
        <v>1907</v>
      </c>
      <c r="C6089" s="1">
        <v>43875</v>
      </c>
      <c r="D6089">
        <v>406</v>
      </c>
      <c r="E6089" t="b">
        <v>0</v>
      </c>
      <c r="F6089">
        <v>872</v>
      </c>
      <c r="G6089" t="s">
        <v>14</v>
      </c>
      <c r="H6089" t="s">
        <v>132</v>
      </c>
      <c r="I6089" t="s">
        <v>2117</v>
      </c>
    </row>
    <row r="6090" spans="1:9" x14ac:dyDescent="0.35">
      <c r="A6090">
        <v>1144400</v>
      </c>
      <c r="B6090" t="s">
        <v>1907</v>
      </c>
      <c r="C6090" s="1">
        <v>43875</v>
      </c>
      <c r="D6090">
        <v>406</v>
      </c>
      <c r="E6090" t="b">
        <v>0</v>
      </c>
      <c r="F6090">
        <v>872</v>
      </c>
      <c r="G6090" t="s">
        <v>14</v>
      </c>
      <c r="H6090" t="s">
        <v>124</v>
      </c>
      <c r="I6090" t="s">
        <v>2117</v>
      </c>
    </row>
    <row r="6091" spans="1:9" x14ac:dyDescent="0.35">
      <c r="A6091">
        <v>1144400</v>
      </c>
      <c r="B6091" t="s">
        <v>1907</v>
      </c>
      <c r="C6091" s="1">
        <v>43875</v>
      </c>
      <c r="D6091">
        <v>406</v>
      </c>
      <c r="E6091" t="b">
        <v>0</v>
      </c>
      <c r="F6091">
        <v>872</v>
      </c>
      <c r="G6091" t="s">
        <v>14</v>
      </c>
      <c r="H6091" t="s">
        <v>1510</v>
      </c>
      <c r="I6091" t="s">
        <v>2117</v>
      </c>
    </row>
    <row r="6092" spans="1:9" x14ac:dyDescent="0.35">
      <c r="A6092">
        <v>1458140</v>
      </c>
      <c r="B6092" t="s">
        <v>1909</v>
      </c>
      <c r="C6092" s="1">
        <v>45343</v>
      </c>
      <c r="D6092">
        <v>406</v>
      </c>
      <c r="E6092" t="b">
        <v>0</v>
      </c>
      <c r="F6092">
        <v>872</v>
      </c>
      <c r="G6092" t="s">
        <v>833</v>
      </c>
      <c r="H6092" t="s">
        <v>49</v>
      </c>
      <c r="I6092" t="s">
        <v>2116</v>
      </c>
    </row>
    <row r="6093" spans="1:9" x14ac:dyDescent="0.35">
      <c r="A6093">
        <v>1458140</v>
      </c>
      <c r="B6093" t="s">
        <v>1909</v>
      </c>
      <c r="C6093" s="1">
        <v>45343</v>
      </c>
      <c r="D6093">
        <v>406</v>
      </c>
      <c r="E6093" t="b">
        <v>0</v>
      </c>
      <c r="F6093">
        <v>872</v>
      </c>
      <c r="G6093" t="s">
        <v>833</v>
      </c>
      <c r="H6093" t="s">
        <v>792</v>
      </c>
      <c r="I6093" t="s">
        <v>2116</v>
      </c>
    </row>
    <row r="6094" spans="1:9" x14ac:dyDescent="0.35">
      <c r="A6094">
        <v>1458140</v>
      </c>
      <c r="B6094" t="s">
        <v>1909</v>
      </c>
      <c r="C6094" s="1">
        <v>45343</v>
      </c>
      <c r="D6094">
        <v>406</v>
      </c>
      <c r="E6094" t="b">
        <v>0</v>
      </c>
      <c r="F6094">
        <v>872</v>
      </c>
      <c r="G6094" t="s">
        <v>833</v>
      </c>
      <c r="H6094" t="s">
        <v>346</v>
      </c>
      <c r="I6094" t="s">
        <v>2116</v>
      </c>
    </row>
    <row r="6095" spans="1:9" x14ac:dyDescent="0.35">
      <c r="A6095">
        <v>1458140</v>
      </c>
      <c r="B6095" t="s">
        <v>1909</v>
      </c>
      <c r="C6095" s="1">
        <v>45343</v>
      </c>
      <c r="D6095">
        <v>406</v>
      </c>
      <c r="E6095" t="b">
        <v>0</v>
      </c>
      <c r="F6095">
        <v>872</v>
      </c>
      <c r="G6095" t="s">
        <v>833</v>
      </c>
      <c r="H6095" t="s">
        <v>239</v>
      </c>
      <c r="I6095" t="s">
        <v>2116</v>
      </c>
    </row>
    <row r="6096" spans="1:9" x14ac:dyDescent="0.35">
      <c r="A6096">
        <v>1458140</v>
      </c>
      <c r="B6096" t="s">
        <v>1909</v>
      </c>
      <c r="C6096" s="1">
        <v>45343</v>
      </c>
      <c r="D6096">
        <v>406</v>
      </c>
      <c r="E6096" t="b">
        <v>0</v>
      </c>
      <c r="F6096">
        <v>872</v>
      </c>
      <c r="G6096" t="s">
        <v>833</v>
      </c>
      <c r="H6096" t="s">
        <v>132</v>
      </c>
      <c r="I6096" t="s">
        <v>2117</v>
      </c>
    </row>
    <row r="6097" spans="1:9" x14ac:dyDescent="0.35">
      <c r="A6097">
        <v>1458140</v>
      </c>
      <c r="B6097" t="s">
        <v>1909</v>
      </c>
      <c r="C6097" s="1">
        <v>45343</v>
      </c>
      <c r="D6097">
        <v>406</v>
      </c>
      <c r="E6097" t="b">
        <v>0</v>
      </c>
      <c r="F6097">
        <v>872</v>
      </c>
      <c r="G6097" t="s">
        <v>833</v>
      </c>
      <c r="H6097" t="s">
        <v>124</v>
      </c>
      <c r="I6097" t="s">
        <v>2117</v>
      </c>
    </row>
    <row r="6098" spans="1:9" x14ac:dyDescent="0.35">
      <c r="A6098">
        <v>1458140</v>
      </c>
      <c r="B6098" t="s">
        <v>1909</v>
      </c>
      <c r="C6098" s="1">
        <v>45343</v>
      </c>
      <c r="D6098">
        <v>406</v>
      </c>
      <c r="E6098" t="b">
        <v>0</v>
      </c>
      <c r="F6098">
        <v>872</v>
      </c>
      <c r="G6098" t="s">
        <v>833</v>
      </c>
      <c r="H6098" t="s">
        <v>1510</v>
      </c>
      <c r="I6098" t="s">
        <v>2117</v>
      </c>
    </row>
    <row r="6099" spans="1:9" x14ac:dyDescent="0.35">
      <c r="A6099">
        <v>223710</v>
      </c>
      <c r="B6099" t="s">
        <v>1910</v>
      </c>
      <c r="C6099" s="1">
        <v>41389</v>
      </c>
      <c r="D6099">
        <v>405</v>
      </c>
      <c r="E6099" t="b">
        <v>0</v>
      </c>
      <c r="F6099">
        <v>874</v>
      </c>
      <c r="G6099" t="s">
        <v>2084</v>
      </c>
      <c r="H6099" t="s">
        <v>49</v>
      </c>
      <c r="I6099" t="s">
        <v>2116</v>
      </c>
    </row>
    <row r="6100" spans="1:9" x14ac:dyDescent="0.35">
      <c r="A6100">
        <v>223710</v>
      </c>
      <c r="B6100" t="s">
        <v>1910</v>
      </c>
      <c r="C6100" s="1">
        <v>41389</v>
      </c>
      <c r="D6100">
        <v>405</v>
      </c>
      <c r="E6100" t="b">
        <v>0</v>
      </c>
      <c r="F6100">
        <v>874</v>
      </c>
      <c r="G6100" t="s">
        <v>2084</v>
      </c>
      <c r="H6100" t="s">
        <v>792</v>
      </c>
      <c r="I6100" t="s">
        <v>2116</v>
      </c>
    </row>
    <row r="6101" spans="1:9" x14ac:dyDescent="0.35">
      <c r="A6101">
        <v>223710</v>
      </c>
      <c r="B6101" t="s">
        <v>1910</v>
      </c>
      <c r="C6101" s="1">
        <v>41389</v>
      </c>
      <c r="D6101">
        <v>405</v>
      </c>
      <c r="E6101" t="b">
        <v>0</v>
      </c>
      <c r="F6101">
        <v>874</v>
      </c>
      <c r="G6101" t="s">
        <v>2084</v>
      </c>
      <c r="H6101" t="s">
        <v>346</v>
      </c>
      <c r="I6101" t="s">
        <v>2116</v>
      </c>
    </row>
    <row r="6102" spans="1:9" x14ac:dyDescent="0.35">
      <c r="A6102">
        <v>223710</v>
      </c>
      <c r="B6102" t="s">
        <v>1910</v>
      </c>
      <c r="C6102" s="1">
        <v>41389</v>
      </c>
      <c r="D6102">
        <v>405</v>
      </c>
      <c r="E6102" t="b">
        <v>0</v>
      </c>
      <c r="F6102">
        <v>874</v>
      </c>
      <c r="G6102" t="s">
        <v>2084</v>
      </c>
      <c r="H6102" t="s">
        <v>239</v>
      </c>
      <c r="I6102" t="s">
        <v>2117</v>
      </c>
    </row>
    <row r="6103" spans="1:9" x14ac:dyDescent="0.35">
      <c r="A6103">
        <v>223710</v>
      </c>
      <c r="B6103" t="s">
        <v>1910</v>
      </c>
      <c r="C6103" s="1">
        <v>41389</v>
      </c>
      <c r="D6103">
        <v>405</v>
      </c>
      <c r="E6103" t="b">
        <v>0</v>
      </c>
      <c r="F6103">
        <v>874</v>
      </c>
      <c r="G6103" t="s">
        <v>2084</v>
      </c>
      <c r="H6103" t="s">
        <v>132</v>
      </c>
      <c r="I6103" t="s">
        <v>2117</v>
      </c>
    </row>
    <row r="6104" spans="1:9" x14ac:dyDescent="0.35">
      <c r="A6104">
        <v>223710</v>
      </c>
      <c r="B6104" t="s">
        <v>1910</v>
      </c>
      <c r="C6104" s="1">
        <v>41389</v>
      </c>
      <c r="D6104">
        <v>405</v>
      </c>
      <c r="E6104" t="b">
        <v>0</v>
      </c>
      <c r="F6104">
        <v>874</v>
      </c>
      <c r="G6104" t="s">
        <v>2084</v>
      </c>
      <c r="H6104" t="s">
        <v>124</v>
      </c>
      <c r="I6104" t="s">
        <v>2117</v>
      </c>
    </row>
    <row r="6105" spans="1:9" x14ac:dyDescent="0.35">
      <c r="A6105">
        <v>223710</v>
      </c>
      <c r="B6105" t="s">
        <v>1910</v>
      </c>
      <c r="C6105" s="1">
        <v>41389</v>
      </c>
      <c r="D6105">
        <v>405</v>
      </c>
      <c r="E6105" t="b">
        <v>0</v>
      </c>
      <c r="F6105">
        <v>874</v>
      </c>
      <c r="G6105" t="s">
        <v>2084</v>
      </c>
      <c r="H6105" t="s">
        <v>1510</v>
      </c>
      <c r="I6105" t="s">
        <v>2117</v>
      </c>
    </row>
    <row r="6106" spans="1:9" x14ac:dyDescent="0.35">
      <c r="A6106">
        <v>219150</v>
      </c>
      <c r="B6106" t="s">
        <v>1912</v>
      </c>
      <c r="C6106" s="1">
        <v>41205</v>
      </c>
      <c r="D6106">
        <v>404</v>
      </c>
      <c r="E6106" t="b">
        <v>1</v>
      </c>
      <c r="F6106">
        <v>875</v>
      </c>
      <c r="G6106" t="s">
        <v>2084</v>
      </c>
      <c r="H6106" t="s">
        <v>49</v>
      </c>
      <c r="I6106" t="s">
        <v>2116</v>
      </c>
    </row>
    <row r="6107" spans="1:9" x14ac:dyDescent="0.35">
      <c r="A6107">
        <v>219150</v>
      </c>
      <c r="B6107" t="s">
        <v>1912</v>
      </c>
      <c r="C6107" s="1">
        <v>41205</v>
      </c>
      <c r="D6107">
        <v>404</v>
      </c>
      <c r="E6107" t="b">
        <v>1</v>
      </c>
      <c r="F6107">
        <v>875</v>
      </c>
      <c r="G6107" t="s">
        <v>2084</v>
      </c>
      <c r="H6107" t="s">
        <v>792</v>
      </c>
      <c r="I6107" t="s">
        <v>2116</v>
      </c>
    </row>
    <row r="6108" spans="1:9" x14ac:dyDescent="0.35">
      <c r="A6108">
        <v>219150</v>
      </c>
      <c r="B6108" t="s">
        <v>1912</v>
      </c>
      <c r="C6108" s="1">
        <v>41205</v>
      </c>
      <c r="D6108">
        <v>404</v>
      </c>
      <c r="E6108" t="b">
        <v>1</v>
      </c>
      <c r="F6108">
        <v>875</v>
      </c>
      <c r="G6108" t="s">
        <v>2084</v>
      </c>
      <c r="H6108" t="s">
        <v>346</v>
      </c>
      <c r="I6108" t="s">
        <v>2117</v>
      </c>
    </row>
    <row r="6109" spans="1:9" x14ac:dyDescent="0.35">
      <c r="A6109">
        <v>219150</v>
      </c>
      <c r="B6109" t="s">
        <v>1912</v>
      </c>
      <c r="C6109" s="1">
        <v>41205</v>
      </c>
      <c r="D6109">
        <v>404</v>
      </c>
      <c r="E6109" t="b">
        <v>1</v>
      </c>
      <c r="F6109">
        <v>875</v>
      </c>
      <c r="G6109" t="s">
        <v>2084</v>
      </c>
      <c r="H6109" t="s">
        <v>239</v>
      </c>
      <c r="I6109" t="s">
        <v>2117</v>
      </c>
    </row>
    <row r="6110" spans="1:9" x14ac:dyDescent="0.35">
      <c r="A6110">
        <v>219150</v>
      </c>
      <c r="B6110" t="s">
        <v>1912</v>
      </c>
      <c r="C6110" s="1">
        <v>41205</v>
      </c>
      <c r="D6110">
        <v>404</v>
      </c>
      <c r="E6110" t="b">
        <v>1</v>
      </c>
      <c r="F6110">
        <v>875</v>
      </c>
      <c r="G6110" t="s">
        <v>2084</v>
      </c>
      <c r="H6110" t="s">
        <v>132</v>
      </c>
      <c r="I6110" t="s">
        <v>2117</v>
      </c>
    </row>
    <row r="6111" spans="1:9" x14ac:dyDescent="0.35">
      <c r="A6111">
        <v>219150</v>
      </c>
      <c r="B6111" t="s">
        <v>1912</v>
      </c>
      <c r="C6111" s="1">
        <v>41205</v>
      </c>
      <c r="D6111">
        <v>404</v>
      </c>
      <c r="E6111" t="b">
        <v>1</v>
      </c>
      <c r="F6111">
        <v>875</v>
      </c>
      <c r="G6111" t="s">
        <v>2084</v>
      </c>
      <c r="H6111" t="s">
        <v>124</v>
      </c>
      <c r="I6111" t="s">
        <v>2117</v>
      </c>
    </row>
    <row r="6112" spans="1:9" x14ac:dyDescent="0.35">
      <c r="A6112">
        <v>219150</v>
      </c>
      <c r="B6112" t="s">
        <v>1912</v>
      </c>
      <c r="C6112" s="1">
        <v>41205</v>
      </c>
      <c r="D6112">
        <v>404</v>
      </c>
      <c r="E6112" t="b">
        <v>1</v>
      </c>
      <c r="F6112">
        <v>875</v>
      </c>
      <c r="G6112" t="s">
        <v>2084</v>
      </c>
      <c r="H6112" t="s">
        <v>1510</v>
      </c>
      <c r="I6112" t="s">
        <v>2117</v>
      </c>
    </row>
    <row r="6113" spans="1:9" x14ac:dyDescent="0.35">
      <c r="A6113">
        <v>39510</v>
      </c>
      <c r="B6113" t="s">
        <v>1913</v>
      </c>
      <c r="C6113" s="1">
        <v>38685</v>
      </c>
      <c r="D6113">
        <v>404</v>
      </c>
      <c r="E6113" t="b">
        <v>0</v>
      </c>
      <c r="F6113">
        <v>875</v>
      </c>
      <c r="G6113" t="s">
        <v>2083</v>
      </c>
      <c r="H6113" t="s">
        <v>49</v>
      </c>
      <c r="I6113" t="s">
        <v>2116</v>
      </c>
    </row>
    <row r="6114" spans="1:9" x14ac:dyDescent="0.35">
      <c r="A6114">
        <v>39510</v>
      </c>
      <c r="B6114" t="s">
        <v>1913</v>
      </c>
      <c r="C6114" s="1">
        <v>38685</v>
      </c>
      <c r="D6114">
        <v>404</v>
      </c>
      <c r="E6114" t="b">
        <v>0</v>
      </c>
      <c r="F6114">
        <v>875</v>
      </c>
      <c r="G6114" t="s">
        <v>2083</v>
      </c>
      <c r="H6114" t="s">
        <v>792</v>
      </c>
      <c r="I6114" t="s">
        <v>2117</v>
      </c>
    </row>
    <row r="6115" spans="1:9" x14ac:dyDescent="0.35">
      <c r="A6115">
        <v>39510</v>
      </c>
      <c r="B6115" t="s">
        <v>1913</v>
      </c>
      <c r="C6115" s="1">
        <v>38685</v>
      </c>
      <c r="D6115">
        <v>404</v>
      </c>
      <c r="E6115" t="b">
        <v>0</v>
      </c>
      <c r="F6115">
        <v>875</v>
      </c>
      <c r="G6115" t="s">
        <v>2083</v>
      </c>
      <c r="H6115" t="s">
        <v>346</v>
      </c>
      <c r="I6115" t="s">
        <v>2117</v>
      </c>
    </row>
    <row r="6116" spans="1:9" x14ac:dyDescent="0.35">
      <c r="A6116">
        <v>39510</v>
      </c>
      <c r="B6116" t="s">
        <v>1913</v>
      </c>
      <c r="C6116" s="1">
        <v>38685</v>
      </c>
      <c r="D6116">
        <v>404</v>
      </c>
      <c r="E6116" t="b">
        <v>0</v>
      </c>
      <c r="F6116">
        <v>875</v>
      </c>
      <c r="G6116" t="s">
        <v>2083</v>
      </c>
      <c r="H6116" t="s">
        <v>239</v>
      </c>
      <c r="I6116" t="s">
        <v>2117</v>
      </c>
    </row>
    <row r="6117" spans="1:9" x14ac:dyDescent="0.35">
      <c r="A6117">
        <v>39510</v>
      </c>
      <c r="B6117" t="s">
        <v>1913</v>
      </c>
      <c r="C6117" s="1">
        <v>38685</v>
      </c>
      <c r="D6117">
        <v>404</v>
      </c>
      <c r="E6117" t="b">
        <v>0</v>
      </c>
      <c r="F6117">
        <v>875</v>
      </c>
      <c r="G6117" t="s">
        <v>2083</v>
      </c>
      <c r="H6117" t="s">
        <v>132</v>
      </c>
      <c r="I6117" t="s">
        <v>2116</v>
      </c>
    </row>
    <row r="6118" spans="1:9" x14ac:dyDescent="0.35">
      <c r="A6118">
        <v>39510</v>
      </c>
      <c r="B6118" t="s">
        <v>1913</v>
      </c>
      <c r="C6118" s="1">
        <v>38685</v>
      </c>
      <c r="D6118">
        <v>404</v>
      </c>
      <c r="E6118" t="b">
        <v>0</v>
      </c>
      <c r="F6118">
        <v>875</v>
      </c>
      <c r="G6118" t="s">
        <v>2083</v>
      </c>
      <c r="H6118" t="s">
        <v>124</v>
      </c>
      <c r="I6118" t="s">
        <v>2117</v>
      </c>
    </row>
    <row r="6119" spans="1:9" x14ac:dyDescent="0.35">
      <c r="A6119">
        <v>39510</v>
      </c>
      <c r="B6119" t="s">
        <v>1913</v>
      </c>
      <c r="C6119" s="1">
        <v>38685</v>
      </c>
      <c r="D6119">
        <v>404</v>
      </c>
      <c r="E6119" t="b">
        <v>0</v>
      </c>
      <c r="F6119">
        <v>875</v>
      </c>
      <c r="G6119" t="s">
        <v>2083</v>
      </c>
      <c r="H6119" t="s">
        <v>1510</v>
      </c>
      <c r="I6119" t="s">
        <v>2117</v>
      </c>
    </row>
    <row r="6120" spans="1:9" x14ac:dyDescent="0.35">
      <c r="A6120">
        <v>1637320</v>
      </c>
      <c r="B6120" t="s">
        <v>1914</v>
      </c>
      <c r="C6120" s="1">
        <v>44831</v>
      </c>
      <c r="D6120">
        <v>402</v>
      </c>
      <c r="E6120" t="b">
        <v>1</v>
      </c>
      <c r="F6120">
        <v>877</v>
      </c>
      <c r="G6120" t="s">
        <v>14</v>
      </c>
      <c r="H6120" t="s">
        <v>49</v>
      </c>
      <c r="I6120" t="s">
        <v>2116</v>
      </c>
    </row>
    <row r="6121" spans="1:9" x14ac:dyDescent="0.35">
      <c r="A6121">
        <v>1637320</v>
      </c>
      <c r="B6121" t="s">
        <v>1914</v>
      </c>
      <c r="C6121" s="1">
        <v>44831</v>
      </c>
      <c r="D6121">
        <v>402</v>
      </c>
      <c r="E6121" t="b">
        <v>1</v>
      </c>
      <c r="F6121">
        <v>877</v>
      </c>
      <c r="G6121" t="s">
        <v>14</v>
      </c>
      <c r="H6121" t="s">
        <v>792</v>
      </c>
      <c r="I6121" t="s">
        <v>2116</v>
      </c>
    </row>
    <row r="6122" spans="1:9" x14ac:dyDescent="0.35">
      <c r="A6122">
        <v>1637320</v>
      </c>
      <c r="B6122" t="s">
        <v>1914</v>
      </c>
      <c r="C6122" s="1">
        <v>44831</v>
      </c>
      <c r="D6122">
        <v>402</v>
      </c>
      <c r="E6122" t="b">
        <v>1</v>
      </c>
      <c r="F6122">
        <v>877</v>
      </c>
      <c r="G6122" t="s">
        <v>14</v>
      </c>
      <c r="H6122" t="s">
        <v>346</v>
      </c>
      <c r="I6122" t="s">
        <v>2116</v>
      </c>
    </row>
    <row r="6123" spans="1:9" x14ac:dyDescent="0.35">
      <c r="A6123">
        <v>1637320</v>
      </c>
      <c r="B6123" t="s">
        <v>1914</v>
      </c>
      <c r="C6123" s="1">
        <v>44831</v>
      </c>
      <c r="D6123">
        <v>402</v>
      </c>
      <c r="E6123" t="b">
        <v>1</v>
      </c>
      <c r="F6123">
        <v>877</v>
      </c>
      <c r="G6123" t="s">
        <v>14</v>
      </c>
      <c r="H6123" t="s">
        <v>239</v>
      </c>
      <c r="I6123" t="s">
        <v>2116</v>
      </c>
    </row>
    <row r="6124" spans="1:9" x14ac:dyDescent="0.35">
      <c r="A6124">
        <v>1637320</v>
      </c>
      <c r="B6124" t="s">
        <v>1914</v>
      </c>
      <c r="C6124" s="1">
        <v>44831</v>
      </c>
      <c r="D6124">
        <v>402</v>
      </c>
      <c r="E6124" t="b">
        <v>1</v>
      </c>
      <c r="F6124">
        <v>877</v>
      </c>
      <c r="G6124" t="s">
        <v>14</v>
      </c>
      <c r="H6124" t="s">
        <v>132</v>
      </c>
      <c r="I6124" t="s">
        <v>2117</v>
      </c>
    </row>
    <row r="6125" spans="1:9" x14ac:dyDescent="0.35">
      <c r="A6125">
        <v>1637320</v>
      </c>
      <c r="B6125" t="s">
        <v>1914</v>
      </c>
      <c r="C6125" s="1">
        <v>44831</v>
      </c>
      <c r="D6125">
        <v>402</v>
      </c>
      <c r="E6125" t="b">
        <v>1</v>
      </c>
      <c r="F6125">
        <v>877</v>
      </c>
      <c r="G6125" t="s">
        <v>14</v>
      </c>
      <c r="H6125" t="s">
        <v>124</v>
      </c>
      <c r="I6125" t="s">
        <v>2117</v>
      </c>
    </row>
    <row r="6126" spans="1:9" x14ac:dyDescent="0.35">
      <c r="A6126">
        <v>1637320</v>
      </c>
      <c r="B6126" t="s">
        <v>1914</v>
      </c>
      <c r="C6126" s="1">
        <v>44831</v>
      </c>
      <c r="D6126">
        <v>402</v>
      </c>
      <c r="E6126" t="b">
        <v>1</v>
      </c>
      <c r="F6126">
        <v>877</v>
      </c>
      <c r="G6126" t="s">
        <v>14</v>
      </c>
      <c r="H6126" t="s">
        <v>1510</v>
      </c>
      <c r="I6126" t="s">
        <v>2117</v>
      </c>
    </row>
    <row r="6127" spans="1:9" x14ac:dyDescent="0.35">
      <c r="A6127">
        <v>237310</v>
      </c>
      <c r="B6127" t="s">
        <v>1916</v>
      </c>
      <c r="C6127" s="1">
        <v>41822</v>
      </c>
      <c r="D6127">
        <v>401</v>
      </c>
      <c r="E6127" t="b">
        <v>0</v>
      </c>
      <c r="F6127">
        <v>878</v>
      </c>
      <c r="G6127" t="s">
        <v>2082</v>
      </c>
      <c r="H6127" t="s">
        <v>49</v>
      </c>
      <c r="I6127" t="s">
        <v>2116</v>
      </c>
    </row>
    <row r="6128" spans="1:9" x14ac:dyDescent="0.35">
      <c r="A6128">
        <v>237310</v>
      </c>
      <c r="B6128" t="s">
        <v>1916</v>
      </c>
      <c r="C6128" s="1">
        <v>41822</v>
      </c>
      <c r="D6128">
        <v>401</v>
      </c>
      <c r="E6128" t="b">
        <v>0</v>
      </c>
      <c r="F6128">
        <v>878</v>
      </c>
      <c r="G6128" t="s">
        <v>2082</v>
      </c>
      <c r="H6128" t="s">
        <v>792</v>
      </c>
      <c r="I6128" t="s">
        <v>2117</v>
      </c>
    </row>
    <row r="6129" spans="1:9" x14ac:dyDescent="0.35">
      <c r="A6129">
        <v>237310</v>
      </c>
      <c r="B6129" t="s">
        <v>1916</v>
      </c>
      <c r="C6129" s="1">
        <v>41822</v>
      </c>
      <c r="D6129">
        <v>401</v>
      </c>
      <c r="E6129" t="b">
        <v>0</v>
      </c>
      <c r="F6129">
        <v>878</v>
      </c>
      <c r="G6129" t="s">
        <v>2082</v>
      </c>
      <c r="H6129" t="s">
        <v>346</v>
      </c>
      <c r="I6129" t="s">
        <v>2116</v>
      </c>
    </row>
    <row r="6130" spans="1:9" x14ac:dyDescent="0.35">
      <c r="A6130">
        <v>237310</v>
      </c>
      <c r="B6130" t="s">
        <v>1916</v>
      </c>
      <c r="C6130" s="1">
        <v>41822</v>
      </c>
      <c r="D6130">
        <v>401</v>
      </c>
      <c r="E6130" t="b">
        <v>0</v>
      </c>
      <c r="F6130">
        <v>878</v>
      </c>
      <c r="G6130" t="s">
        <v>2082</v>
      </c>
      <c r="H6130" t="s">
        <v>239</v>
      </c>
      <c r="I6130" t="s">
        <v>2117</v>
      </c>
    </row>
    <row r="6131" spans="1:9" x14ac:dyDescent="0.35">
      <c r="A6131">
        <v>237310</v>
      </c>
      <c r="B6131" t="s">
        <v>1916</v>
      </c>
      <c r="C6131" s="1">
        <v>41822</v>
      </c>
      <c r="D6131">
        <v>401</v>
      </c>
      <c r="E6131" t="b">
        <v>0</v>
      </c>
      <c r="F6131">
        <v>878</v>
      </c>
      <c r="G6131" t="s">
        <v>2082</v>
      </c>
      <c r="H6131" t="s">
        <v>132</v>
      </c>
      <c r="I6131" t="s">
        <v>2116</v>
      </c>
    </row>
    <row r="6132" spans="1:9" x14ac:dyDescent="0.35">
      <c r="A6132">
        <v>237310</v>
      </c>
      <c r="B6132" t="s">
        <v>1916</v>
      </c>
      <c r="C6132" s="1">
        <v>41822</v>
      </c>
      <c r="D6132">
        <v>401</v>
      </c>
      <c r="E6132" t="b">
        <v>0</v>
      </c>
      <c r="F6132">
        <v>878</v>
      </c>
      <c r="G6132" t="s">
        <v>2082</v>
      </c>
      <c r="H6132" t="s">
        <v>124</v>
      </c>
      <c r="I6132" t="s">
        <v>2117</v>
      </c>
    </row>
    <row r="6133" spans="1:9" x14ac:dyDescent="0.35">
      <c r="A6133">
        <v>237310</v>
      </c>
      <c r="B6133" t="s">
        <v>1916</v>
      </c>
      <c r="C6133" s="1">
        <v>41822</v>
      </c>
      <c r="D6133">
        <v>401</v>
      </c>
      <c r="E6133" t="b">
        <v>0</v>
      </c>
      <c r="F6133">
        <v>878</v>
      </c>
      <c r="G6133" t="s">
        <v>2082</v>
      </c>
      <c r="H6133" t="s">
        <v>1510</v>
      </c>
      <c r="I6133" t="s">
        <v>2116</v>
      </c>
    </row>
    <row r="6134" spans="1:9" x14ac:dyDescent="0.35">
      <c r="A6134">
        <v>265970</v>
      </c>
      <c r="B6134" t="s">
        <v>1918</v>
      </c>
      <c r="C6134" s="1">
        <v>42082</v>
      </c>
      <c r="D6134">
        <v>401</v>
      </c>
      <c r="E6134" t="b">
        <v>1</v>
      </c>
      <c r="F6134">
        <v>878</v>
      </c>
      <c r="G6134" t="s">
        <v>2084</v>
      </c>
      <c r="H6134" t="s">
        <v>49</v>
      </c>
      <c r="I6134" t="s">
        <v>2117</v>
      </c>
    </row>
    <row r="6135" spans="1:9" x14ac:dyDescent="0.35">
      <c r="A6135">
        <v>265970</v>
      </c>
      <c r="B6135" t="s">
        <v>1918</v>
      </c>
      <c r="C6135" s="1">
        <v>42082</v>
      </c>
      <c r="D6135">
        <v>401</v>
      </c>
      <c r="E6135" t="b">
        <v>1</v>
      </c>
      <c r="F6135">
        <v>878</v>
      </c>
      <c r="G6135" t="s">
        <v>2084</v>
      </c>
      <c r="H6135" t="s">
        <v>792</v>
      </c>
      <c r="I6135" t="s">
        <v>2117</v>
      </c>
    </row>
    <row r="6136" spans="1:9" x14ac:dyDescent="0.35">
      <c r="A6136">
        <v>265970</v>
      </c>
      <c r="B6136" t="s">
        <v>1918</v>
      </c>
      <c r="C6136" s="1">
        <v>42082</v>
      </c>
      <c r="D6136">
        <v>401</v>
      </c>
      <c r="E6136" t="b">
        <v>1</v>
      </c>
      <c r="F6136">
        <v>878</v>
      </c>
      <c r="G6136" t="s">
        <v>2084</v>
      </c>
      <c r="H6136" t="s">
        <v>346</v>
      </c>
      <c r="I6136" t="s">
        <v>2117</v>
      </c>
    </row>
    <row r="6137" spans="1:9" x14ac:dyDescent="0.35">
      <c r="A6137">
        <v>265970</v>
      </c>
      <c r="B6137" t="s">
        <v>1918</v>
      </c>
      <c r="C6137" s="1">
        <v>42082</v>
      </c>
      <c r="D6137">
        <v>401</v>
      </c>
      <c r="E6137" t="b">
        <v>1</v>
      </c>
      <c r="F6137">
        <v>878</v>
      </c>
      <c r="G6137" t="s">
        <v>2084</v>
      </c>
      <c r="H6137" t="s">
        <v>239</v>
      </c>
      <c r="I6137" t="s">
        <v>2117</v>
      </c>
    </row>
    <row r="6138" spans="1:9" x14ac:dyDescent="0.35">
      <c r="A6138">
        <v>265970</v>
      </c>
      <c r="B6138" t="s">
        <v>1918</v>
      </c>
      <c r="C6138" s="1">
        <v>42082</v>
      </c>
      <c r="D6138">
        <v>401</v>
      </c>
      <c r="E6138" t="b">
        <v>1</v>
      </c>
      <c r="F6138">
        <v>878</v>
      </c>
      <c r="G6138" t="s">
        <v>2084</v>
      </c>
      <c r="H6138" t="s">
        <v>132</v>
      </c>
      <c r="I6138" t="s">
        <v>2116</v>
      </c>
    </row>
    <row r="6139" spans="1:9" x14ac:dyDescent="0.35">
      <c r="A6139">
        <v>265970</v>
      </c>
      <c r="B6139" t="s">
        <v>1918</v>
      </c>
      <c r="C6139" s="1">
        <v>42082</v>
      </c>
      <c r="D6139">
        <v>401</v>
      </c>
      <c r="E6139" t="b">
        <v>1</v>
      </c>
      <c r="F6139">
        <v>878</v>
      </c>
      <c r="G6139" t="s">
        <v>2084</v>
      </c>
      <c r="H6139" t="s">
        <v>124</v>
      </c>
      <c r="I6139" t="s">
        <v>2116</v>
      </c>
    </row>
    <row r="6140" spans="1:9" x14ac:dyDescent="0.35">
      <c r="A6140">
        <v>265970</v>
      </c>
      <c r="B6140" t="s">
        <v>1918</v>
      </c>
      <c r="C6140" s="1">
        <v>42082</v>
      </c>
      <c r="D6140">
        <v>401</v>
      </c>
      <c r="E6140" t="b">
        <v>1</v>
      </c>
      <c r="F6140">
        <v>878</v>
      </c>
      <c r="G6140" t="s">
        <v>2084</v>
      </c>
      <c r="H6140" t="s">
        <v>1510</v>
      </c>
      <c r="I6140" t="s">
        <v>2117</v>
      </c>
    </row>
    <row r="6141" spans="1:9" x14ac:dyDescent="0.35">
      <c r="A6141">
        <v>463530</v>
      </c>
      <c r="B6141" t="s">
        <v>1920</v>
      </c>
      <c r="C6141" s="1">
        <v>45450</v>
      </c>
      <c r="D6141">
        <v>399</v>
      </c>
      <c r="E6141" t="b">
        <v>1</v>
      </c>
      <c r="F6141">
        <v>880</v>
      </c>
      <c r="G6141" t="s">
        <v>110</v>
      </c>
      <c r="H6141" t="s">
        <v>49</v>
      </c>
      <c r="I6141" t="s">
        <v>2117</v>
      </c>
    </row>
    <row r="6142" spans="1:9" x14ac:dyDescent="0.35">
      <c r="A6142">
        <v>463530</v>
      </c>
      <c r="B6142" t="s">
        <v>1920</v>
      </c>
      <c r="C6142" s="1">
        <v>45450</v>
      </c>
      <c r="D6142">
        <v>399</v>
      </c>
      <c r="E6142" t="b">
        <v>1</v>
      </c>
      <c r="F6142">
        <v>880</v>
      </c>
      <c r="G6142" t="s">
        <v>110</v>
      </c>
      <c r="H6142" t="s">
        <v>792</v>
      </c>
      <c r="I6142" t="s">
        <v>2117</v>
      </c>
    </row>
    <row r="6143" spans="1:9" x14ac:dyDescent="0.35">
      <c r="A6143">
        <v>463530</v>
      </c>
      <c r="B6143" t="s">
        <v>1920</v>
      </c>
      <c r="C6143" s="1">
        <v>45450</v>
      </c>
      <c r="D6143">
        <v>399</v>
      </c>
      <c r="E6143" t="b">
        <v>1</v>
      </c>
      <c r="F6143">
        <v>880</v>
      </c>
      <c r="G6143" t="s">
        <v>110</v>
      </c>
      <c r="H6143" t="s">
        <v>346</v>
      </c>
      <c r="I6143" t="s">
        <v>2117</v>
      </c>
    </row>
    <row r="6144" spans="1:9" x14ac:dyDescent="0.35">
      <c r="A6144">
        <v>463530</v>
      </c>
      <c r="B6144" t="s">
        <v>1920</v>
      </c>
      <c r="C6144" s="1">
        <v>45450</v>
      </c>
      <c r="D6144">
        <v>399</v>
      </c>
      <c r="E6144" t="b">
        <v>1</v>
      </c>
      <c r="F6144">
        <v>880</v>
      </c>
      <c r="G6144" t="s">
        <v>110</v>
      </c>
      <c r="H6144" t="s">
        <v>239</v>
      </c>
      <c r="I6144" t="s">
        <v>2116</v>
      </c>
    </row>
    <row r="6145" spans="1:9" x14ac:dyDescent="0.35">
      <c r="A6145">
        <v>463530</v>
      </c>
      <c r="B6145" t="s">
        <v>1920</v>
      </c>
      <c r="C6145" s="1">
        <v>45450</v>
      </c>
      <c r="D6145">
        <v>399</v>
      </c>
      <c r="E6145" t="b">
        <v>1</v>
      </c>
      <c r="F6145">
        <v>880</v>
      </c>
      <c r="G6145" t="s">
        <v>110</v>
      </c>
      <c r="H6145" t="s">
        <v>132</v>
      </c>
      <c r="I6145" t="s">
        <v>2117</v>
      </c>
    </row>
    <row r="6146" spans="1:9" x14ac:dyDescent="0.35">
      <c r="A6146">
        <v>463530</v>
      </c>
      <c r="B6146" t="s">
        <v>1920</v>
      </c>
      <c r="C6146" s="1">
        <v>45450</v>
      </c>
      <c r="D6146">
        <v>399</v>
      </c>
      <c r="E6146" t="b">
        <v>1</v>
      </c>
      <c r="F6146">
        <v>880</v>
      </c>
      <c r="G6146" t="s">
        <v>110</v>
      </c>
      <c r="H6146" t="s">
        <v>124</v>
      </c>
      <c r="I6146" t="s">
        <v>2116</v>
      </c>
    </row>
    <row r="6147" spans="1:9" x14ac:dyDescent="0.35">
      <c r="A6147">
        <v>463530</v>
      </c>
      <c r="B6147" t="s">
        <v>1920</v>
      </c>
      <c r="C6147" s="1">
        <v>45450</v>
      </c>
      <c r="D6147">
        <v>399</v>
      </c>
      <c r="E6147" t="b">
        <v>1</v>
      </c>
      <c r="F6147">
        <v>880</v>
      </c>
      <c r="G6147" t="s">
        <v>110</v>
      </c>
      <c r="H6147" t="s">
        <v>1510</v>
      </c>
      <c r="I6147" t="s">
        <v>2117</v>
      </c>
    </row>
    <row r="6148" spans="1:9" x14ac:dyDescent="0.35">
      <c r="A6148">
        <v>10180</v>
      </c>
      <c r="B6148" t="s">
        <v>1921</v>
      </c>
      <c r="C6148" s="1">
        <v>40128</v>
      </c>
      <c r="D6148">
        <v>399</v>
      </c>
      <c r="E6148" t="b">
        <v>1</v>
      </c>
      <c r="F6148">
        <v>880</v>
      </c>
      <c r="G6148" t="s">
        <v>2088</v>
      </c>
      <c r="H6148" t="s">
        <v>49</v>
      </c>
      <c r="I6148" t="s">
        <v>2116</v>
      </c>
    </row>
    <row r="6149" spans="1:9" x14ac:dyDescent="0.35">
      <c r="A6149">
        <v>10180</v>
      </c>
      <c r="B6149" t="s">
        <v>1921</v>
      </c>
      <c r="C6149" s="1">
        <v>40128</v>
      </c>
      <c r="D6149">
        <v>399</v>
      </c>
      <c r="E6149" t="b">
        <v>1</v>
      </c>
      <c r="F6149">
        <v>880</v>
      </c>
      <c r="G6149" t="s">
        <v>2088</v>
      </c>
      <c r="H6149" t="s">
        <v>792</v>
      </c>
      <c r="I6149" t="s">
        <v>2117</v>
      </c>
    </row>
    <row r="6150" spans="1:9" x14ac:dyDescent="0.35">
      <c r="A6150">
        <v>10180</v>
      </c>
      <c r="B6150" t="s">
        <v>1921</v>
      </c>
      <c r="C6150" s="1">
        <v>40128</v>
      </c>
      <c r="D6150">
        <v>399</v>
      </c>
      <c r="E6150" t="b">
        <v>1</v>
      </c>
      <c r="F6150">
        <v>880</v>
      </c>
      <c r="G6150" t="s">
        <v>2088</v>
      </c>
      <c r="H6150" t="s">
        <v>346</v>
      </c>
      <c r="I6150" t="s">
        <v>2117</v>
      </c>
    </row>
    <row r="6151" spans="1:9" x14ac:dyDescent="0.35">
      <c r="A6151">
        <v>10180</v>
      </c>
      <c r="B6151" t="s">
        <v>1921</v>
      </c>
      <c r="C6151" s="1">
        <v>40128</v>
      </c>
      <c r="D6151">
        <v>399</v>
      </c>
      <c r="E6151" t="b">
        <v>1</v>
      </c>
      <c r="F6151">
        <v>880</v>
      </c>
      <c r="G6151" t="s">
        <v>2088</v>
      </c>
      <c r="H6151" t="s">
        <v>239</v>
      </c>
      <c r="I6151" t="s">
        <v>2117</v>
      </c>
    </row>
    <row r="6152" spans="1:9" x14ac:dyDescent="0.35">
      <c r="A6152">
        <v>10180</v>
      </c>
      <c r="B6152" t="s">
        <v>1921</v>
      </c>
      <c r="C6152" s="1">
        <v>40128</v>
      </c>
      <c r="D6152">
        <v>399</v>
      </c>
      <c r="E6152" t="b">
        <v>1</v>
      </c>
      <c r="F6152">
        <v>880</v>
      </c>
      <c r="G6152" t="s">
        <v>2088</v>
      </c>
      <c r="H6152" t="s">
        <v>132</v>
      </c>
      <c r="I6152" t="s">
        <v>2117</v>
      </c>
    </row>
    <row r="6153" spans="1:9" x14ac:dyDescent="0.35">
      <c r="A6153">
        <v>10180</v>
      </c>
      <c r="B6153" t="s">
        <v>1921</v>
      </c>
      <c r="C6153" s="1">
        <v>40128</v>
      </c>
      <c r="D6153">
        <v>399</v>
      </c>
      <c r="E6153" t="b">
        <v>1</v>
      </c>
      <c r="F6153">
        <v>880</v>
      </c>
      <c r="G6153" t="s">
        <v>2088</v>
      </c>
      <c r="H6153" t="s">
        <v>124</v>
      </c>
      <c r="I6153" t="s">
        <v>2117</v>
      </c>
    </row>
    <row r="6154" spans="1:9" x14ac:dyDescent="0.35">
      <c r="A6154">
        <v>10180</v>
      </c>
      <c r="B6154" t="s">
        <v>1921</v>
      </c>
      <c r="C6154" s="1">
        <v>40128</v>
      </c>
      <c r="D6154">
        <v>399</v>
      </c>
      <c r="E6154" t="b">
        <v>1</v>
      </c>
      <c r="F6154">
        <v>880</v>
      </c>
      <c r="G6154" t="s">
        <v>2088</v>
      </c>
      <c r="H6154" t="s">
        <v>1510</v>
      </c>
      <c r="I6154" t="s">
        <v>2117</v>
      </c>
    </row>
    <row r="6155" spans="1:9" x14ac:dyDescent="0.35">
      <c r="A6155">
        <v>1971650</v>
      </c>
      <c r="B6155" t="s">
        <v>1923</v>
      </c>
      <c r="C6155" s="1">
        <v>44981</v>
      </c>
      <c r="D6155">
        <v>398</v>
      </c>
      <c r="E6155" t="b">
        <v>0</v>
      </c>
      <c r="F6155">
        <v>882</v>
      </c>
      <c r="G6155" t="s">
        <v>53</v>
      </c>
      <c r="H6155" t="s">
        <v>49</v>
      </c>
      <c r="I6155" t="s">
        <v>2117</v>
      </c>
    </row>
    <row r="6156" spans="1:9" x14ac:dyDescent="0.35">
      <c r="A6156">
        <v>1971650</v>
      </c>
      <c r="B6156" t="s">
        <v>1923</v>
      </c>
      <c r="C6156" s="1">
        <v>44981</v>
      </c>
      <c r="D6156">
        <v>398</v>
      </c>
      <c r="E6156" t="b">
        <v>0</v>
      </c>
      <c r="F6156">
        <v>882</v>
      </c>
      <c r="G6156" t="s">
        <v>53</v>
      </c>
      <c r="H6156" t="s">
        <v>792</v>
      </c>
      <c r="I6156" t="s">
        <v>2117</v>
      </c>
    </row>
    <row r="6157" spans="1:9" x14ac:dyDescent="0.35">
      <c r="A6157">
        <v>1971650</v>
      </c>
      <c r="B6157" t="s">
        <v>1923</v>
      </c>
      <c r="C6157" s="1">
        <v>44981</v>
      </c>
      <c r="D6157">
        <v>398</v>
      </c>
      <c r="E6157" t="b">
        <v>0</v>
      </c>
      <c r="F6157">
        <v>882</v>
      </c>
      <c r="G6157" t="s">
        <v>53</v>
      </c>
      <c r="H6157" t="s">
        <v>346</v>
      </c>
      <c r="I6157" t="s">
        <v>2117</v>
      </c>
    </row>
    <row r="6158" spans="1:9" x14ac:dyDescent="0.35">
      <c r="A6158">
        <v>1971650</v>
      </c>
      <c r="B6158" t="s">
        <v>1923</v>
      </c>
      <c r="C6158" s="1">
        <v>44981</v>
      </c>
      <c r="D6158">
        <v>398</v>
      </c>
      <c r="E6158" t="b">
        <v>0</v>
      </c>
      <c r="F6158">
        <v>882</v>
      </c>
      <c r="G6158" t="s">
        <v>53</v>
      </c>
      <c r="H6158" t="s">
        <v>239</v>
      </c>
      <c r="I6158" t="s">
        <v>2117</v>
      </c>
    </row>
    <row r="6159" spans="1:9" x14ac:dyDescent="0.35">
      <c r="A6159">
        <v>1971650</v>
      </c>
      <c r="B6159" t="s">
        <v>1923</v>
      </c>
      <c r="C6159" s="1">
        <v>44981</v>
      </c>
      <c r="D6159">
        <v>398</v>
      </c>
      <c r="E6159" t="b">
        <v>0</v>
      </c>
      <c r="F6159">
        <v>882</v>
      </c>
      <c r="G6159" t="s">
        <v>53</v>
      </c>
      <c r="H6159" t="s">
        <v>132</v>
      </c>
      <c r="I6159" t="s">
        <v>2116</v>
      </c>
    </row>
    <row r="6160" spans="1:9" x14ac:dyDescent="0.35">
      <c r="A6160">
        <v>1971650</v>
      </c>
      <c r="B6160" t="s">
        <v>1923</v>
      </c>
      <c r="C6160" s="1">
        <v>44981</v>
      </c>
      <c r="D6160">
        <v>398</v>
      </c>
      <c r="E6160" t="b">
        <v>0</v>
      </c>
      <c r="F6160">
        <v>882</v>
      </c>
      <c r="G6160" t="s">
        <v>53</v>
      </c>
      <c r="H6160" t="s">
        <v>124</v>
      </c>
      <c r="I6160" t="s">
        <v>2117</v>
      </c>
    </row>
    <row r="6161" spans="1:9" x14ac:dyDescent="0.35">
      <c r="A6161">
        <v>1971650</v>
      </c>
      <c r="B6161" t="s">
        <v>1923</v>
      </c>
      <c r="C6161" s="1">
        <v>44981</v>
      </c>
      <c r="D6161">
        <v>398</v>
      </c>
      <c r="E6161" t="b">
        <v>0</v>
      </c>
      <c r="F6161">
        <v>882</v>
      </c>
      <c r="G6161" t="s">
        <v>53</v>
      </c>
      <c r="H6161" t="s">
        <v>1510</v>
      </c>
      <c r="I6161" t="s">
        <v>2117</v>
      </c>
    </row>
    <row r="6162" spans="1:9" x14ac:dyDescent="0.35">
      <c r="A6162">
        <v>1096530</v>
      </c>
      <c r="B6162" t="s">
        <v>1924</v>
      </c>
      <c r="C6162" s="1">
        <v>44343</v>
      </c>
      <c r="D6162">
        <v>396</v>
      </c>
      <c r="E6162" t="b">
        <v>1</v>
      </c>
      <c r="F6162">
        <v>883</v>
      </c>
      <c r="G6162" t="s">
        <v>593</v>
      </c>
      <c r="H6162" t="s">
        <v>49</v>
      </c>
      <c r="I6162" t="s">
        <v>2117</v>
      </c>
    </row>
    <row r="6163" spans="1:9" x14ac:dyDescent="0.35">
      <c r="A6163">
        <v>1096530</v>
      </c>
      <c r="B6163" t="s">
        <v>1924</v>
      </c>
      <c r="C6163" s="1">
        <v>44343</v>
      </c>
      <c r="D6163">
        <v>396</v>
      </c>
      <c r="E6163" t="b">
        <v>1</v>
      </c>
      <c r="F6163">
        <v>883</v>
      </c>
      <c r="G6163" t="s">
        <v>593</v>
      </c>
      <c r="H6163" t="s">
        <v>792</v>
      </c>
      <c r="I6163" t="s">
        <v>2117</v>
      </c>
    </row>
    <row r="6164" spans="1:9" x14ac:dyDescent="0.35">
      <c r="A6164">
        <v>1096530</v>
      </c>
      <c r="B6164" t="s">
        <v>1924</v>
      </c>
      <c r="C6164" s="1">
        <v>44343</v>
      </c>
      <c r="D6164">
        <v>396</v>
      </c>
      <c r="E6164" t="b">
        <v>1</v>
      </c>
      <c r="F6164">
        <v>883</v>
      </c>
      <c r="G6164" t="s">
        <v>593</v>
      </c>
      <c r="H6164" t="s">
        <v>346</v>
      </c>
      <c r="I6164" t="s">
        <v>2116</v>
      </c>
    </row>
    <row r="6165" spans="1:9" x14ac:dyDescent="0.35">
      <c r="A6165">
        <v>1096530</v>
      </c>
      <c r="B6165" t="s">
        <v>1924</v>
      </c>
      <c r="C6165" s="1">
        <v>44343</v>
      </c>
      <c r="D6165">
        <v>396</v>
      </c>
      <c r="E6165" t="b">
        <v>1</v>
      </c>
      <c r="F6165">
        <v>883</v>
      </c>
      <c r="G6165" t="s">
        <v>593</v>
      </c>
      <c r="H6165" t="s">
        <v>239</v>
      </c>
      <c r="I6165" t="s">
        <v>2117</v>
      </c>
    </row>
    <row r="6166" spans="1:9" x14ac:dyDescent="0.35">
      <c r="A6166">
        <v>1096530</v>
      </c>
      <c r="B6166" t="s">
        <v>1924</v>
      </c>
      <c r="C6166" s="1">
        <v>44343</v>
      </c>
      <c r="D6166">
        <v>396</v>
      </c>
      <c r="E6166" t="b">
        <v>1</v>
      </c>
      <c r="F6166">
        <v>883</v>
      </c>
      <c r="G6166" t="s">
        <v>593</v>
      </c>
      <c r="H6166" t="s">
        <v>132</v>
      </c>
      <c r="I6166" t="s">
        <v>2116</v>
      </c>
    </row>
    <row r="6167" spans="1:9" x14ac:dyDescent="0.35">
      <c r="A6167">
        <v>1096530</v>
      </c>
      <c r="B6167" t="s">
        <v>1924</v>
      </c>
      <c r="C6167" s="1">
        <v>44343</v>
      </c>
      <c r="D6167">
        <v>396</v>
      </c>
      <c r="E6167" t="b">
        <v>1</v>
      </c>
      <c r="F6167">
        <v>883</v>
      </c>
      <c r="G6167" t="s">
        <v>593</v>
      </c>
      <c r="H6167" t="s">
        <v>124</v>
      </c>
      <c r="I6167" t="s">
        <v>2116</v>
      </c>
    </row>
    <row r="6168" spans="1:9" x14ac:dyDescent="0.35">
      <c r="A6168">
        <v>1096530</v>
      </c>
      <c r="B6168" t="s">
        <v>1924</v>
      </c>
      <c r="C6168" s="1">
        <v>44343</v>
      </c>
      <c r="D6168">
        <v>396</v>
      </c>
      <c r="E6168" t="b">
        <v>1</v>
      </c>
      <c r="F6168">
        <v>883</v>
      </c>
      <c r="G6168" t="s">
        <v>593</v>
      </c>
      <c r="H6168" t="s">
        <v>1510</v>
      </c>
      <c r="I6168" t="s">
        <v>2117</v>
      </c>
    </row>
    <row r="6169" spans="1:9" x14ac:dyDescent="0.35">
      <c r="A6169">
        <v>47810</v>
      </c>
      <c r="B6169" t="s">
        <v>1926</v>
      </c>
      <c r="C6169" s="1">
        <v>40477</v>
      </c>
      <c r="D6169">
        <v>394</v>
      </c>
      <c r="E6169" t="b">
        <v>0</v>
      </c>
      <c r="F6169">
        <v>884</v>
      </c>
      <c r="G6169" t="s">
        <v>2095</v>
      </c>
      <c r="H6169" t="s">
        <v>49</v>
      </c>
      <c r="I6169" t="s">
        <v>2117</v>
      </c>
    </row>
    <row r="6170" spans="1:9" x14ac:dyDescent="0.35">
      <c r="A6170">
        <v>47810</v>
      </c>
      <c r="B6170" t="s">
        <v>1926</v>
      </c>
      <c r="C6170" s="1">
        <v>40477</v>
      </c>
      <c r="D6170">
        <v>394</v>
      </c>
      <c r="E6170" t="b">
        <v>0</v>
      </c>
      <c r="F6170">
        <v>884</v>
      </c>
      <c r="G6170" t="s">
        <v>2095</v>
      </c>
      <c r="H6170" t="s">
        <v>792</v>
      </c>
      <c r="I6170" t="s">
        <v>2117</v>
      </c>
    </row>
    <row r="6171" spans="1:9" x14ac:dyDescent="0.35">
      <c r="A6171">
        <v>47810</v>
      </c>
      <c r="B6171" t="s">
        <v>1926</v>
      </c>
      <c r="C6171" s="1">
        <v>40477</v>
      </c>
      <c r="D6171">
        <v>394</v>
      </c>
      <c r="E6171" t="b">
        <v>0</v>
      </c>
      <c r="F6171">
        <v>884</v>
      </c>
      <c r="G6171" t="s">
        <v>2095</v>
      </c>
      <c r="H6171" t="s">
        <v>346</v>
      </c>
      <c r="I6171" t="s">
        <v>2117</v>
      </c>
    </row>
    <row r="6172" spans="1:9" x14ac:dyDescent="0.35">
      <c r="A6172">
        <v>47810</v>
      </c>
      <c r="B6172" t="s">
        <v>1926</v>
      </c>
      <c r="C6172" s="1">
        <v>40477</v>
      </c>
      <c r="D6172">
        <v>394</v>
      </c>
      <c r="E6172" t="b">
        <v>0</v>
      </c>
      <c r="F6172">
        <v>884</v>
      </c>
      <c r="G6172" t="s">
        <v>2095</v>
      </c>
      <c r="H6172" t="s">
        <v>239</v>
      </c>
      <c r="I6172" t="s">
        <v>2117</v>
      </c>
    </row>
    <row r="6173" spans="1:9" x14ac:dyDescent="0.35">
      <c r="A6173">
        <v>47810</v>
      </c>
      <c r="B6173" t="s">
        <v>1926</v>
      </c>
      <c r="C6173" s="1">
        <v>40477</v>
      </c>
      <c r="D6173">
        <v>394</v>
      </c>
      <c r="E6173" t="b">
        <v>0</v>
      </c>
      <c r="F6173">
        <v>884</v>
      </c>
      <c r="G6173" t="s">
        <v>2095</v>
      </c>
      <c r="H6173" t="s">
        <v>132</v>
      </c>
      <c r="I6173" t="s">
        <v>2116</v>
      </c>
    </row>
    <row r="6174" spans="1:9" x14ac:dyDescent="0.35">
      <c r="A6174">
        <v>47810</v>
      </c>
      <c r="B6174" t="s">
        <v>1926</v>
      </c>
      <c r="C6174" s="1">
        <v>40477</v>
      </c>
      <c r="D6174">
        <v>394</v>
      </c>
      <c r="E6174" t="b">
        <v>0</v>
      </c>
      <c r="F6174">
        <v>884</v>
      </c>
      <c r="G6174" t="s">
        <v>2095</v>
      </c>
      <c r="H6174" t="s">
        <v>124</v>
      </c>
      <c r="I6174" t="s">
        <v>2117</v>
      </c>
    </row>
    <row r="6175" spans="1:9" x14ac:dyDescent="0.35">
      <c r="A6175">
        <v>47810</v>
      </c>
      <c r="B6175" t="s">
        <v>1926</v>
      </c>
      <c r="C6175" s="1">
        <v>40477</v>
      </c>
      <c r="D6175">
        <v>394</v>
      </c>
      <c r="E6175" t="b">
        <v>0</v>
      </c>
      <c r="F6175">
        <v>884</v>
      </c>
      <c r="G6175" t="s">
        <v>2095</v>
      </c>
      <c r="H6175" t="s">
        <v>1510</v>
      </c>
      <c r="I6175" t="s">
        <v>2117</v>
      </c>
    </row>
    <row r="6176" spans="1:9" x14ac:dyDescent="0.35">
      <c r="A6176">
        <v>2138710</v>
      </c>
      <c r="B6176" t="s">
        <v>1927</v>
      </c>
      <c r="C6176" s="1">
        <v>45013</v>
      </c>
      <c r="D6176">
        <v>394</v>
      </c>
      <c r="E6176" t="b">
        <v>0</v>
      </c>
      <c r="F6176">
        <v>884</v>
      </c>
      <c r="G6176" t="s">
        <v>33</v>
      </c>
      <c r="H6176" t="s">
        <v>49</v>
      </c>
      <c r="I6176" t="s">
        <v>2116</v>
      </c>
    </row>
    <row r="6177" spans="1:9" x14ac:dyDescent="0.35">
      <c r="A6177">
        <v>2138710</v>
      </c>
      <c r="B6177" t="s">
        <v>1927</v>
      </c>
      <c r="C6177" s="1">
        <v>45013</v>
      </c>
      <c r="D6177">
        <v>394</v>
      </c>
      <c r="E6177" t="b">
        <v>0</v>
      </c>
      <c r="F6177">
        <v>884</v>
      </c>
      <c r="G6177" t="s">
        <v>33</v>
      </c>
      <c r="H6177" t="s">
        <v>792</v>
      </c>
      <c r="I6177" t="s">
        <v>2116</v>
      </c>
    </row>
    <row r="6178" spans="1:9" x14ac:dyDescent="0.35">
      <c r="A6178">
        <v>2138710</v>
      </c>
      <c r="B6178" t="s">
        <v>1927</v>
      </c>
      <c r="C6178" s="1">
        <v>45013</v>
      </c>
      <c r="D6178">
        <v>394</v>
      </c>
      <c r="E6178" t="b">
        <v>0</v>
      </c>
      <c r="F6178">
        <v>884</v>
      </c>
      <c r="G6178" t="s">
        <v>33</v>
      </c>
      <c r="H6178" t="s">
        <v>346</v>
      </c>
      <c r="I6178" t="s">
        <v>2117</v>
      </c>
    </row>
    <row r="6179" spans="1:9" x14ac:dyDescent="0.35">
      <c r="A6179">
        <v>2138710</v>
      </c>
      <c r="B6179" t="s">
        <v>1927</v>
      </c>
      <c r="C6179" s="1">
        <v>45013</v>
      </c>
      <c r="D6179">
        <v>394</v>
      </c>
      <c r="E6179" t="b">
        <v>0</v>
      </c>
      <c r="F6179">
        <v>884</v>
      </c>
      <c r="G6179" t="s">
        <v>33</v>
      </c>
      <c r="H6179" t="s">
        <v>239</v>
      </c>
      <c r="I6179" t="s">
        <v>2117</v>
      </c>
    </row>
    <row r="6180" spans="1:9" x14ac:dyDescent="0.35">
      <c r="A6180">
        <v>2138710</v>
      </c>
      <c r="B6180" t="s">
        <v>1927</v>
      </c>
      <c r="C6180" s="1">
        <v>45013</v>
      </c>
      <c r="D6180">
        <v>394</v>
      </c>
      <c r="E6180" t="b">
        <v>0</v>
      </c>
      <c r="F6180">
        <v>884</v>
      </c>
      <c r="G6180" t="s">
        <v>33</v>
      </c>
      <c r="H6180" t="s">
        <v>132</v>
      </c>
      <c r="I6180" t="s">
        <v>2117</v>
      </c>
    </row>
    <row r="6181" spans="1:9" x14ac:dyDescent="0.35">
      <c r="A6181">
        <v>2138710</v>
      </c>
      <c r="B6181" t="s">
        <v>1927</v>
      </c>
      <c r="C6181" s="1">
        <v>45013</v>
      </c>
      <c r="D6181">
        <v>394</v>
      </c>
      <c r="E6181" t="b">
        <v>0</v>
      </c>
      <c r="F6181">
        <v>884</v>
      </c>
      <c r="G6181" t="s">
        <v>33</v>
      </c>
      <c r="H6181" t="s">
        <v>124</v>
      </c>
      <c r="I6181" t="s">
        <v>2117</v>
      </c>
    </row>
    <row r="6182" spans="1:9" x14ac:dyDescent="0.35">
      <c r="A6182">
        <v>2138710</v>
      </c>
      <c r="B6182" t="s">
        <v>1927</v>
      </c>
      <c r="C6182" s="1">
        <v>45013</v>
      </c>
      <c r="D6182">
        <v>394</v>
      </c>
      <c r="E6182" t="b">
        <v>0</v>
      </c>
      <c r="F6182">
        <v>884</v>
      </c>
      <c r="G6182" t="s">
        <v>33</v>
      </c>
      <c r="H6182" t="s">
        <v>1510</v>
      </c>
      <c r="I6182" t="s">
        <v>2117</v>
      </c>
    </row>
    <row r="6183" spans="1:9" x14ac:dyDescent="0.35">
      <c r="A6183">
        <v>342200</v>
      </c>
      <c r="B6183" t="s">
        <v>1928</v>
      </c>
      <c r="C6183" s="1">
        <v>42348</v>
      </c>
      <c r="D6183">
        <v>392</v>
      </c>
      <c r="E6183" t="b">
        <v>0</v>
      </c>
      <c r="F6183">
        <v>886</v>
      </c>
      <c r="G6183" t="s">
        <v>2091</v>
      </c>
      <c r="H6183" t="s">
        <v>49</v>
      </c>
      <c r="I6183" t="s">
        <v>2116</v>
      </c>
    </row>
    <row r="6184" spans="1:9" x14ac:dyDescent="0.35">
      <c r="A6184">
        <v>342200</v>
      </c>
      <c r="B6184" t="s">
        <v>1928</v>
      </c>
      <c r="C6184" s="1">
        <v>42348</v>
      </c>
      <c r="D6184">
        <v>392</v>
      </c>
      <c r="E6184" t="b">
        <v>0</v>
      </c>
      <c r="F6184">
        <v>886</v>
      </c>
      <c r="G6184" t="s">
        <v>2091</v>
      </c>
      <c r="H6184" t="s">
        <v>792</v>
      </c>
      <c r="I6184" t="s">
        <v>2117</v>
      </c>
    </row>
    <row r="6185" spans="1:9" x14ac:dyDescent="0.35">
      <c r="A6185">
        <v>342200</v>
      </c>
      <c r="B6185" t="s">
        <v>1928</v>
      </c>
      <c r="C6185" s="1">
        <v>42348</v>
      </c>
      <c r="D6185">
        <v>392</v>
      </c>
      <c r="E6185" t="b">
        <v>0</v>
      </c>
      <c r="F6185">
        <v>886</v>
      </c>
      <c r="G6185" t="s">
        <v>2091</v>
      </c>
      <c r="H6185" t="s">
        <v>346</v>
      </c>
      <c r="I6185" t="s">
        <v>2117</v>
      </c>
    </row>
    <row r="6186" spans="1:9" x14ac:dyDescent="0.35">
      <c r="A6186">
        <v>342200</v>
      </c>
      <c r="B6186" t="s">
        <v>1928</v>
      </c>
      <c r="C6186" s="1">
        <v>42348</v>
      </c>
      <c r="D6186">
        <v>392</v>
      </c>
      <c r="E6186" t="b">
        <v>0</v>
      </c>
      <c r="F6186">
        <v>886</v>
      </c>
      <c r="G6186" t="s">
        <v>2091</v>
      </c>
      <c r="H6186" t="s">
        <v>239</v>
      </c>
      <c r="I6186" t="s">
        <v>2116</v>
      </c>
    </row>
    <row r="6187" spans="1:9" x14ac:dyDescent="0.35">
      <c r="A6187">
        <v>342200</v>
      </c>
      <c r="B6187" t="s">
        <v>1928</v>
      </c>
      <c r="C6187" s="1">
        <v>42348</v>
      </c>
      <c r="D6187">
        <v>392</v>
      </c>
      <c r="E6187" t="b">
        <v>0</v>
      </c>
      <c r="F6187">
        <v>886</v>
      </c>
      <c r="G6187" t="s">
        <v>2091</v>
      </c>
      <c r="H6187" t="s">
        <v>132</v>
      </c>
      <c r="I6187" t="s">
        <v>2117</v>
      </c>
    </row>
    <row r="6188" spans="1:9" x14ac:dyDescent="0.35">
      <c r="A6188">
        <v>342200</v>
      </c>
      <c r="B6188" t="s">
        <v>1928</v>
      </c>
      <c r="C6188" s="1">
        <v>42348</v>
      </c>
      <c r="D6188">
        <v>392</v>
      </c>
      <c r="E6188" t="b">
        <v>0</v>
      </c>
      <c r="F6188">
        <v>886</v>
      </c>
      <c r="G6188" t="s">
        <v>2091</v>
      </c>
      <c r="H6188" t="s">
        <v>124</v>
      </c>
      <c r="I6188" t="s">
        <v>2116</v>
      </c>
    </row>
    <row r="6189" spans="1:9" x14ac:dyDescent="0.35">
      <c r="A6189">
        <v>342200</v>
      </c>
      <c r="B6189" t="s">
        <v>1928</v>
      </c>
      <c r="C6189" s="1">
        <v>42348</v>
      </c>
      <c r="D6189">
        <v>392</v>
      </c>
      <c r="E6189" t="b">
        <v>0</v>
      </c>
      <c r="F6189">
        <v>886</v>
      </c>
      <c r="G6189" t="s">
        <v>2091</v>
      </c>
      <c r="H6189" t="s">
        <v>1510</v>
      </c>
      <c r="I6189" t="s">
        <v>2116</v>
      </c>
    </row>
    <row r="6190" spans="1:9" x14ac:dyDescent="0.35">
      <c r="A6190">
        <v>371970</v>
      </c>
      <c r="B6190" t="s">
        <v>1930</v>
      </c>
      <c r="C6190" s="1">
        <v>42178</v>
      </c>
      <c r="D6190">
        <v>390</v>
      </c>
      <c r="E6190" t="b">
        <v>1</v>
      </c>
      <c r="F6190">
        <v>887</v>
      </c>
      <c r="G6190" t="s">
        <v>2087</v>
      </c>
      <c r="H6190" t="s">
        <v>49</v>
      </c>
      <c r="I6190" t="s">
        <v>2116</v>
      </c>
    </row>
    <row r="6191" spans="1:9" x14ac:dyDescent="0.35">
      <c r="A6191">
        <v>371970</v>
      </c>
      <c r="B6191" t="s">
        <v>1930</v>
      </c>
      <c r="C6191" s="1">
        <v>42178</v>
      </c>
      <c r="D6191">
        <v>390</v>
      </c>
      <c r="E6191" t="b">
        <v>1</v>
      </c>
      <c r="F6191">
        <v>887</v>
      </c>
      <c r="G6191" t="s">
        <v>2087</v>
      </c>
      <c r="H6191" t="s">
        <v>792</v>
      </c>
      <c r="I6191" t="s">
        <v>2116</v>
      </c>
    </row>
    <row r="6192" spans="1:9" x14ac:dyDescent="0.35">
      <c r="A6192">
        <v>371970</v>
      </c>
      <c r="B6192" t="s">
        <v>1930</v>
      </c>
      <c r="C6192" s="1">
        <v>42178</v>
      </c>
      <c r="D6192">
        <v>390</v>
      </c>
      <c r="E6192" t="b">
        <v>1</v>
      </c>
      <c r="F6192">
        <v>887</v>
      </c>
      <c r="G6192" t="s">
        <v>2087</v>
      </c>
      <c r="H6192" t="s">
        <v>346</v>
      </c>
      <c r="I6192" t="s">
        <v>2116</v>
      </c>
    </row>
    <row r="6193" spans="1:9" x14ac:dyDescent="0.35">
      <c r="A6193">
        <v>371970</v>
      </c>
      <c r="B6193" t="s">
        <v>1930</v>
      </c>
      <c r="C6193" s="1">
        <v>42178</v>
      </c>
      <c r="D6193">
        <v>390</v>
      </c>
      <c r="E6193" t="b">
        <v>1</v>
      </c>
      <c r="F6193">
        <v>887</v>
      </c>
      <c r="G6193" t="s">
        <v>2087</v>
      </c>
      <c r="H6193" t="s">
        <v>239</v>
      </c>
      <c r="I6193" t="s">
        <v>2117</v>
      </c>
    </row>
    <row r="6194" spans="1:9" x14ac:dyDescent="0.35">
      <c r="A6194">
        <v>371970</v>
      </c>
      <c r="B6194" t="s">
        <v>1930</v>
      </c>
      <c r="C6194" s="1">
        <v>42178</v>
      </c>
      <c r="D6194">
        <v>390</v>
      </c>
      <c r="E6194" t="b">
        <v>1</v>
      </c>
      <c r="F6194">
        <v>887</v>
      </c>
      <c r="G6194" t="s">
        <v>2087</v>
      </c>
      <c r="H6194" t="s">
        <v>132</v>
      </c>
      <c r="I6194" t="s">
        <v>2116</v>
      </c>
    </row>
    <row r="6195" spans="1:9" x14ac:dyDescent="0.35">
      <c r="A6195">
        <v>371970</v>
      </c>
      <c r="B6195" t="s">
        <v>1930</v>
      </c>
      <c r="C6195" s="1">
        <v>42178</v>
      </c>
      <c r="D6195">
        <v>390</v>
      </c>
      <c r="E6195" t="b">
        <v>1</v>
      </c>
      <c r="F6195">
        <v>887</v>
      </c>
      <c r="G6195" t="s">
        <v>2087</v>
      </c>
      <c r="H6195" t="s">
        <v>124</v>
      </c>
      <c r="I6195" t="s">
        <v>2117</v>
      </c>
    </row>
    <row r="6196" spans="1:9" x14ac:dyDescent="0.35">
      <c r="A6196">
        <v>371970</v>
      </c>
      <c r="B6196" t="s">
        <v>1930</v>
      </c>
      <c r="C6196" s="1">
        <v>42178</v>
      </c>
      <c r="D6196">
        <v>390</v>
      </c>
      <c r="E6196" t="b">
        <v>1</v>
      </c>
      <c r="F6196">
        <v>887</v>
      </c>
      <c r="G6196" t="s">
        <v>2087</v>
      </c>
      <c r="H6196" t="s">
        <v>1510</v>
      </c>
      <c r="I6196" t="s">
        <v>2117</v>
      </c>
    </row>
    <row r="6197" spans="1:9" x14ac:dyDescent="0.35">
      <c r="A6197">
        <v>2370570</v>
      </c>
      <c r="B6197" t="s">
        <v>1932</v>
      </c>
      <c r="C6197" s="1">
        <v>45054</v>
      </c>
      <c r="D6197">
        <v>389</v>
      </c>
      <c r="E6197" t="b">
        <v>0</v>
      </c>
      <c r="F6197">
        <v>888</v>
      </c>
      <c r="G6197" t="s">
        <v>304</v>
      </c>
      <c r="H6197" t="s">
        <v>49</v>
      </c>
      <c r="I6197" t="s">
        <v>2117</v>
      </c>
    </row>
    <row r="6198" spans="1:9" x14ac:dyDescent="0.35">
      <c r="A6198">
        <v>2370570</v>
      </c>
      <c r="B6198" t="s">
        <v>1932</v>
      </c>
      <c r="C6198" s="1">
        <v>45054</v>
      </c>
      <c r="D6198">
        <v>389</v>
      </c>
      <c r="E6198" t="b">
        <v>0</v>
      </c>
      <c r="F6198">
        <v>888</v>
      </c>
      <c r="G6198" t="s">
        <v>304</v>
      </c>
      <c r="H6198" t="s">
        <v>792</v>
      </c>
      <c r="I6198" t="s">
        <v>2116</v>
      </c>
    </row>
    <row r="6199" spans="1:9" x14ac:dyDescent="0.35">
      <c r="A6199">
        <v>2370570</v>
      </c>
      <c r="B6199" t="s">
        <v>1932</v>
      </c>
      <c r="C6199" s="1">
        <v>45054</v>
      </c>
      <c r="D6199">
        <v>389</v>
      </c>
      <c r="E6199" t="b">
        <v>0</v>
      </c>
      <c r="F6199">
        <v>888</v>
      </c>
      <c r="G6199" t="s">
        <v>304</v>
      </c>
      <c r="H6199" t="s">
        <v>346</v>
      </c>
      <c r="I6199" t="s">
        <v>2117</v>
      </c>
    </row>
    <row r="6200" spans="1:9" x14ac:dyDescent="0.35">
      <c r="A6200">
        <v>2370570</v>
      </c>
      <c r="B6200" t="s">
        <v>1932</v>
      </c>
      <c r="C6200" s="1">
        <v>45054</v>
      </c>
      <c r="D6200">
        <v>389</v>
      </c>
      <c r="E6200" t="b">
        <v>0</v>
      </c>
      <c r="F6200">
        <v>888</v>
      </c>
      <c r="G6200" t="s">
        <v>304</v>
      </c>
      <c r="H6200" t="s">
        <v>239</v>
      </c>
      <c r="I6200" t="s">
        <v>2117</v>
      </c>
    </row>
    <row r="6201" spans="1:9" x14ac:dyDescent="0.35">
      <c r="A6201">
        <v>2370570</v>
      </c>
      <c r="B6201" t="s">
        <v>1932</v>
      </c>
      <c r="C6201" s="1">
        <v>45054</v>
      </c>
      <c r="D6201">
        <v>389</v>
      </c>
      <c r="E6201" t="b">
        <v>0</v>
      </c>
      <c r="F6201">
        <v>888</v>
      </c>
      <c r="G6201" t="s">
        <v>304</v>
      </c>
      <c r="H6201" t="s">
        <v>132</v>
      </c>
      <c r="I6201" t="s">
        <v>2117</v>
      </c>
    </row>
    <row r="6202" spans="1:9" x14ac:dyDescent="0.35">
      <c r="A6202">
        <v>2370570</v>
      </c>
      <c r="B6202" t="s">
        <v>1932</v>
      </c>
      <c r="C6202" s="1">
        <v>45054</v>
      </c>
      <c r="D6202">
        <v>389</v>
      </c>
      <c r="E6202" t="b">
        <v>0</v>
      </c>
      <c r="F6202">
        <v>888</v>
      </c>
      <c r="G6202" t="s">
        <v>304</v>
      </c>
      <c r="H6202" t="s">
        <v>124</v>
      </c>
      <c r="I6202" t="s">
        <v>2117</v>
      </c>
    </row>
    <row r="6203" spans="1:9" x14ac:dyDescent="0.35">
      <c r="A6203">
        <v>2370570</v>
      </c>
      <c r="B6203" t="s">
        <v>1932</v>
      </c>
      <c r="C6203" s="1">
        <v>45054</v>
      </c>
      <c r="D6203">
        <v>389</v>
      </c>
      <c r="E6203" t="b">
        <v>0</v>
      </c>
      <c r="F6203">
        <v>888</v>
      </c>
      <c r="G6203" t="s">
        <v>304</v>
      </c>
      <c r="H6203" t="s">
        <v>1510</v>
      </c>
      <c r="I6203" t="s">
        <v>2117</v>
      </c>
    </row>
    <row r="6204" spans="1:9" x14ac:dyDescent="0.35">
      <c r="A6204">
        <v>243470</v>
      </c>
      <c r="B6204" t="s">
        <v>1935</v>
      </c>
      <c r="C6204" s="1">
        <v>41785</v>
      </c>
      <c r="D6204">
        <v>388</v>
      </c>
      <c r="E6204" t="b">
        <v>0</v>
      </c>
      <c r="F6204">
        <v>889</v>
      </c>
      <c r="G6204" t="s">
        <v>967</v>
      </c>
      <c r="H6204" t="s">
        <v>49</v>
      </c>
      <c r="I6204" t="s">
        <v>2116</v>
      </c>
    </row>
    <row r="6205" spans="1:9" x14ac:dyDescent="0.35">
      <c r="A6205">
        <v>243470</v>
      </c>
      <c r="B6205" t="s">
        <v>1935</v>
      </c>
      <c r="C6205" s="1">
        <v>41785</v>
      </c>
      <c r="D6205">
        <v>388</v>
      </c>
      <c r="E6205" t="b">
        <v>0</v>
      </c>
      <c r="F6205">
        <v>889</v>
      </c>
      <c r="G6205" t="s">
        <v>967</v>
      </c>
      <c r="H6205" t="s">
        <v>792</v>
      </c>
      <c r="I6205" t="s">
        <v>2117</v>
      </c>
    </row>
    <row r="6206" spans="1:9" x14ac:dyDescent="0.35">
      <c r="A6206">
        <v>243470</v>
      </c>
      <c r="B6206" t="s">
        <v>1935</v>
      </c>
      <c r="C6206" s="1">
        <v>41785</v>
      </c>
      <c r="D6206">
        <v>388</v>
      </c>
      <c r="E6206" t="b">
        <v>0</v>
      </c>
      <c r="F6206">
        <v>889</v>
      </c>
      <c r="G6206" t="s">
        <v>967</v>
      </c>
      <c r="H6206" t="s">
        <v>346</v>
      </c>
      <c r="I6206" t="s">
        <v>2116</v>
      </c>
    </row>
    <row r="6207" spans="1:9" x14ac:dyDescent="0.35">
      <c r="A6207">
        <v>243470</v>
      </c>
      <c r="B6207" t="s">
        <v>1935</v>
      </c>
      <c r="C6207" s="1">
        <v>41785</v>
      </c>
      <c r="D6207">
        <v>388</v>
      </c>
      <c r="E6207" t="b">
        <v>0</v>
      </c>
      <c r="F6207">
        <v>889</v>
      </c>
      <c r="G6207" t="s">
        <v>967</v>
      </c>
      <c r="H6207" t="s">
        <v>239</v>
      </c>
      <c r="I6207" t="s">
        <v>2117</v>
      </c>
    </row>
    <row r="6208" spans="1:9" x14ac:dyDescent="0.35">
      <c r="A6208">
        <v>243470</v>
      </c>
      <c r="B6208" t="s">
        <v>1935</v>
      </c>
      <c r="C6208" s="1">
        <v>41785</v>
      </c>
      <c r="D6208">
        <v>388</v>
      </c>
      <c r="E6208" t="b">
        <v>0</v>
      </c>
      <c r="F6208">
        <v>889</v>
      </c>
      <c r="G6208" t="s">
        <v>967</v>
      </c>
      <c r="H6208" t="s">
        <v>132</v>
      </c>
      <c r="I6208" t="s">
        <v>2117</v>
      </c>
    </row>
    <row r="6209" spans="1:9" x14ac:dyDescent="0.35">
      <c r="A6209">
        <v>243470</v>
      </c>
      <c r="B6209" t="s">
        <v>1935</v>
      </c>
      <c r="C6209" s="1">
        <v>41785</v>
      </c>
      <c r="D6209">
        <v>388</v>
      </c>
      <c r="E6209" t="b">
        <v>0</v>
      </c>
      <c r="F6209">
        <v>889</v>
      </c>
      <c r="G6209" t="s">
        <v>967</v>
      </c>
      <c r="H6209" t="s">
        <v>124</v>
      </c>
      <c r="I6209" t="s">
        <v>2117</v>
      </c>
    </row>
    <row r="6210" spans="1:9" x14ac:dyDescent="0.35">
      <c r="A6210">
        <v>243470</v>
      </c>
      <c r="B6210" t="s">
        <v>1935</v>
      </c>
      <c r="C6210" s="1">
        <v>41785</v>
      </c>
      <c r="D6210">
        <v>388</v>
      </c>
      <c r="E6210" t="b">
        <v>0</v>
      </c>
      <c r="F6210">
        <v>889</v>
      </c>
      <c r="G6210" t="s">
        <v>967</v>
      </c>
      <c r="H6210" t="s">
        <v>1510</v>
      </c>
      <c r="I6210" t="s">
        <v>2117</v>
      </c>
    </row>
    <row r="6211" spans="1:9" x14ac:dyDescent="0.35">
      <c r="A6211">
        <v>78000</v>
      </c>
      <c r="B6211" t="s">
        <v>1937</v>
      </c>
      <c r="C6211" s="1">
        <v>40519</v>
      </c>
      <c r="D6211">
        <v>387</v>
      </c>
      <c r="E6211" t="b">
        <v>1</v>
      </c>
      <c r="F6211">
        <v>890</v>
      </c>
      <c r="G6211" t="s">
        <v>2084</v>
      </c>
      <c r="H6211" t="s">
        <v>49</v>
      </c>
      <c r="I6211" t="s">
        <v>2117</v>
      </c>
    </row>
    <row r="6212" spans="1:9" x14ac:dyDescent="0.35">
      <c r="A6212">
        <v>78000</v>
      </c>
      <c r="B6212" t="s">
        <v>1937</v>
      </c>
      <c r="C6212" s="1">
        <v>40519</v>
      </c>
      <c r="D6212">
        <v>387</v>
      </c>
      <c r="E6212" t="b">
        <v>1</v>
      </c>
      <c r="F6212">
        <v>890</v>
      </c>
      <c r="G6212" t="s">
        <v>2084</v>
      </c>
      <c r="H6212" t="s">
        <v>792</v>
      </c>
      <c r="I6212" t="s">
        <v>2117</v>
      </c>
    </row>
    <row r="6213" spans="1:9" x14ac:dyDescent="0.35">
      <c r="A6213">
        <v>78000</v>
      </c>
      <c r="B6213" t="s">
        <v>1937</v>
      </c>
      <c r="C6213" s="1">
        <v>40519</v>
      </c>
      <c r="D6213">
        <v>387</v>
      </c>
      <c r="E6213" t="b">
        <v>1</v>
      </c>
      <c r="F6213">
        <v>890</v>
      </c>
      <c r="G6213" t="s">
        <v>2084</v>
      </c>
      <c r="H6213" t="s">
        <v>346</v>
      </c>
      <c r="I6213" t="s">
        <v>2117</v>
      </c>
    </row>
    <row r="6214" spans="1:9" x14ac:dyDescent="0.35">
      <c r="A6214">
        <v>78000</v>
      </c>
      <c r="B6214" t="s">
        <v>1937</v>
      </c>
      <c r="C6214" s="1">
        <v>40519</v>
      </c>
      <c r="D6214">
        <v>387</v>
      </c>
      <c r="E6214" t="b">
        <v>1</v>
      </c>
      <c r="F6214">
        <v>890</v>
      </c>
      <c r="G6214" t="s">
        <v>2084</v>
      </c>
      <c r="H6214" t="s">
        <v>239</v>
      </c>
      <c r="I6214" t="s">
        <v>2117</v>
      </c>
    </row>
    <row r="6215" spans="1:9" x14ac:dyDescent="0.35">
      <c r="A6215">
        <v>78000</v>
      </c>
      <c r="B6215" t="s">
        <v>1937</v>
      </c>
      <c r="C6215" s="1">
        <v>40519</v>
      </c>
      <c r="D6215">
        <v>387</v>
      </c>
      <c r="E6215" t="b">
        <v>1</v>
      </c>
      <c r="F6215">
        <v>890</v>
      </c>
      <c r="G6215" t="s">
        <v>2084</v>
      </c>
      <c r="H6215" t="s">
        <v>132</v>
      </c>
      <c r="I6215" t="s">
        <v>2117</v>
      </c>
    </row>
    <row r="6216" spans="1:9" x14ac:dyDescent="0.35">
      <c r="A6216">
        <v>78000</v>
      </c>
      <c r="B6216" t="s">
        <v>1937</v>
      </c>
      <c r="C6216" s="1">
        <v>40519</v>
      </c>
      <c r="D6216">
        <v>387</v>
      </c>
      <c r="E6216" t="b">
        <v>1</v>
      </c>
      <c r="F6216">
        <v>890</v>
      </c>
      <c r="G6216" t="s">
        <v>2084</v>
      </c>
      <c r="H6216" t="s">
        <v>124</v>
      </c>
      <c r="I6216" t="s">
        <v>2116</v>
      </c>
    </row>
    <row r="6217" spans="1:9" x14ac:dyDescent="0.35">
      <c r="A6217">
        <v>78000</v>
      </c>
      <c r="B6217" t="s">
        <v>1937</v>
      </c>
      <c r="C6217" s="1">
        <v>40519</v>
      </c>
      <c r="D6217">
        <v>387</v>
      </c>
      <c r="E6217" t="b">
        <v>1</v>
      </c>
      <c r="F6217">
        <v>890</v>
      </c>
      <c r="G6217" t="s">
        <v>2084</v>
      </c>
      <c r="H6217" t="s">
        <v>1510</v>
      </c>
      <c r="I6217" t="s">
        <v>2117</v>
      </c>
    </row>
    <row r="6218" spans="1:9" x14ac:dyDescent="0.35">
      <c r="A6218">
        <v>868360</v>
      </c>
      <c r="B6218" t="s">
        <v>1938</v>
      </c>
      <c r="C6218" s="1">
        <v>43403</v>
      </c>
      <c r="D6218">
        <v>387</v>
      </c>
      <c r="E6218" t="b">
        <v>1</v>
      </c>
      <c r="F6218">
        <v>890</v>
      </c>
      <c r="G6218" t="s">
        <v>304</v>
      </c>
      <c r="H6218" t="s">
        <v>49</v>
      </c>
      <c r="I6218" t="s">
        <v>2117</v>
      </c>
    </row>
    <row r="6219" spans="1:9" x14ac:dyDescent="0.35">
      <c r="A6219">
        <v>868360</v>
      </c>
      <c r="B6219" t="s">
        <v>1938</v>
      </c>
      <c r="C6219" s="1">
        <v>43403</v>
      </c>
      <c r="D6219">
        <v>387</v>
      </c>
      <c r="E6219" t="b">
        <v>1</v>
      </c>
      <c r="F6219">
        <v>890</v>
      </c>
      <c r="G6219" t="s">
        <v>304</v>
      </c>
      <c r="H6219" t="s">
        <v>792</v>
      </c>
      <c r="I6219" t="s">
        <v>2116</v>
      </c>
    </row>
    <row r="6220" spans="1:9" x14ac:dyDescent="0.35">
      <c r="A6220">
        <v>868360</v>
      </c>
      <c r="B6220" t="s">
        <v>1938</v>
      </c>
      <c r="C6220" s="1">
        <v>43403</v>
      </c>
      <c r="D6220">
        <v>387</v>
      </c>
      <c r="E6220" t="b">
        <v>1</v>
      </c>
      <c r="F6220">
        <v>890</v>
      </c>
      <c r="G6220" t="s">
        <v>304</v>
      </c>
      <c r="H6220" t="s">
        <v>346</v>
      </c>
      <c r="I6220" t="s">
        <v>2117</v>
      </c>
    </row>
    <row r="6221" spans="1:9" x14ac:dyDescent="0.35">
      <c r="A6221">
        <v>868360</v>
      </c>
      <c r="B6221" t="s">
        <v>1938</v>
      </c>
      <c r="C6221" s="1">
        <v>43403</v>
      </c>
      <c r="D6221">
        <v>387</v>
      </c>
      <c r="E6221" t="b">
        <v>1</v>
      </c>
      <c r="F6221">
        <v>890</v>
      </c>
      <c r="G6221" t="s">
        <v>304</v>
      </c>
      <c r="H6221" t="s">
        <v>239</v>
      </c>
      <c r="I6221" t="s">
        <v>2116</v>
      </c>
    </row>
    <row r="6222" spans="1:9" x14ac:dyDescent="0.35">
      <c r="A6222">
        <v>868360</v>
      </c>
      <c r="B6222" t="s">
        <v>1938</v>
      </c>
      <c r="C6222" s="1">
        <v>43403</v>
      </c>
      <c r="D6222">
        <v>387</v>
      </c>
      <c r="E6222" t="b">
        <v>1</v>
      </c>
      <c r="F6222">
        <v>890</v>
      </c>
      <c r="G6222" t="s">
        <v>304</v>
      </c>
      <c r="H6222" t="s">
        <v>132</v>
      </c>
      <c r="I6222" t="s">
        <v>2117</v>
      </c>
    </row>
    <row r="6223" spans="1:9" x14ac:dyDescent="0.35">
      <c r="A6223">
        <v>868360</v>
      </c>
      <c r="B6223" t="s">
        <v>1938</v>
      </c>
      <c r="C6223" s="1">
        <v>43403</v>
      </c>
      <c r="D6223">
        <v>387</v>
      </c>
      <c r="E6223" t="b">
        <v>1</v>
      </c>
      <c r="F6223">
        <v>890</v>
      </c>
      <c r="G6223" t="s">
        <v>304</v>
      </c>
      <c r="H6223" t="s">
        <v>124</v>
      </c>
      <c r="I6223" t="s">
        <v>2116</v>
      </c>
    </row>
    <row r="6224" spans="1:9" x14ac:dyDescent="0.35">
      <c r="A6224">
        <v>868360</v>
      </c>
      <c r="B6224" t="s">
        <v>1938</v>
      </c>
      <c r="C6224" s="1">
        <v>43403</v>
      </c>
      <c r="D6224">
        <v>387</v>
      </c>
      <c r="E6224" t="b">
        <v>1</v>
      </c>
      <c r="F6224">
        <v>890</v>
      </c>
      <c r="G6224" t="s">
        <v>304</v>
      </c>
      <c r="H6224" t="s">
        <v>1510</v>
      </c>
      <c r="I6224" t="s">
        <v>2117</v>
      </c>
    </row>
    <row r="6225" spans="1:9" x14ac:dyDescent="0.35">
      <c r="A6225">
        <v>373420</v>
      </c>
      <c r="B6225" t="s">
        <v>1940</v>
      </c>
      <c r="C6225" s="1">
        <v>42304</v>
      </c>
      <c r="D6225">
        <v>387</v>
      </c>
      <c r="E6225" t="b">
        <v>1</v>
      </c>
      <c r="F6225">
        <v>890</v>
      </c>
      <c r="G6225" t="s">
        <v>110</v>
      </c>
      <c r="H6225" t="s">
        <v>49</v>
      </c>
      <c r="I6225" t="s">
        <v>2117</v>
      </c>
    </row>
    <row r="6226" spans="1:9" x14ac:dyDescent="0.35">
      <c r="A6226">
        <v>373420</v>
      </c>
      <c r="B6226" t="s">
        <v>1940</v>
      </c>
      <c r="C6226" s="1">
        <v>42304</v>
      </c>
      <c r="D6226">
        <v>387</v>
      </c>
      <c r="E6226" t="b">
        <v>1</v>
      </c>
      <c r="F6226">
        <v>890</v>
      </c>
      <c r="G6226" t="s">
        <v>110</v>
      </c>
      <c r="H6226" t="s">
        <v>792</v>
      </c>
      <c r="I6226" t="s">
        <v>2116</v>
      </c>
    </row>
    <row r="6227" spans="1:9" x14ac:dyDescent="0.35">
      <c r="A6227">
        <v>373420</v>
      </c>
      <c r="B6227" t="s">
        <v>1940</v>
      </c>
      <c r="C6227" s="1">
        <v>42304</v>
      </c>
      <c r="D6227">
        <v>387</v>
      </c>
      <c r="E6227" t="b">
        <v>1</v>
      </c>
      <c r="F6227">
        <v>890</v>
      </c>
      <c r="G6227" t="s">
        <v>110</v>
      </c>
      <c r="H6227" t="s">
        <v>346</v>
      </c>
      <c r="I6227" t="s">
        <v>2116</v>
      </c>
    </row>
    <row r="6228" spans="1:9" x14ac:dyDescent="0.35">
      <c r="A6228">
        <v>373420</v>
      </c>
      <c r="B6228" t="s">
        <v>1940</v>
      </c>
      <c r="C6228" s="1">
        <v>42304</v>
      </c>
      <c r="D6228">
        <v>387</v>
      </c>
      <c r="E6228" t="b">
        <v>1</v>
      </c>
      <c r="F6228">
        <v>890</v>
      </c>
      <c r="G6228" t="s">
        <v>110</v>
      </c>
      <c r="H6228" t="s">
        <v>239</v>
      </c>
      <c r="I6228" t="s">
        <v>2117</v>
      </c>
    </row>
    <row r="6229" spans="1:9" x14ac:dyDescent="0.35">
      <c r="A6229">
        <v>373420</v>
      </c>
      <c r="B6229" t="s">
        <v>1940</v>
      </c>
      <c r="C6229" s="1">
        <v>42304</v>
      </c>
      <c r="D6229">
        <v>387</v>
      </c>
      <c r="E6229" t="b">
        <v>1</v>
      </c>
      <c r="F6229">
        <v>890</v>
      </c>
      <c r="G6229" t="s">
        <v>110</v>
      </c>
      <c r="H6229" t="s">
        <v>132</v>
      </c>
      <c r="I6229" t="s">
        <v>2116</v>
      </c>
    </row>
    <row r="6230" spans="1:9" x14ac:dyDescent="0.35">
      <c r="A6230">
        <v>373420</v>
      </c>
      <c r="B6230" t="s">
        <v>1940</v>
      </c>
      <c r="C6230" s="1">
        <v>42304</v>
      </c>
      <c r="D6230">
        <v>387</v>
      </c>
      <c r="E6230" t="b">
        <v>1</v>
      </c>
      <c r="F6230">
        <v>890</v>
      </c>
      <c r="G6230" t="s">
        <v>110</v>
      </c>
      <c r="H6230" t="s">
        <v>124</v>
      </c>
      <c r="I6230" t="s">
        <v>2116</v>
      </c>
    </row>
    <row r="6231" spans="1:9" x14ac:dyDescent="0.35">
      <c r="A6231">
        <v>373420</v>
      </c>
      <c r="B6231" t="s">
        <v>1940</v>
      </c>
      <c r="C6231" s="1">
        <v>42304</v>
      </c>
      <c r="D6231">
        <v>387</v>
      </c>
      <c r="E6231" t="b">
        <v>1</v>
      </c>
      <c r="F6231">
        <v>890</v>
      </c>
      <c r="G6231" t="s">
        <v>110</v>
      </c>
      <c r="H6231" t="s">
        <v>1510</v>
      </c>
      <c r="I6231" t="s">
        <v>2117</v>
      </c>
    </row>
    <row r="6232" spans="1:9" x14ac:dyDescent="0.35">
      <c r="A6232">
        <v>39140</v>
      </c>
      <c r="B6232" t="s">
        <v>1942</v>
      </c>
      <c r="C6232" s="1">
        <v>41459</v>
      </c>
      <c r="D6232">
        <v>386</v>
      </c>
      <c r="E6232" t="b">
        <v>0</v>
      </c>
      <c r="F6232">
        <v>893</v>
      </c>
      <c r="G6232" t="s">
        <v>2082</v>
      </c>
      <c r="H6232" t="s">
        <v>49</v>
      </c>
      <c r="I6232" t="s">
        <v>2117</v>
      </c>
    </row>
    <row r="6233" spans="1:9" x14ac:dyDescent="0.35">
      <c r="A6233">
        <v>39140</v>
      </c>
      <c r="B6233" t="s">
        <v>1942</v>
      </c>
      <c r="C6233" s="1">
        <v>41459</v>
      </c>
      <c r="D6233">
        <v>386</v>
      </c>
      <c r="E6233" t="b">
        <v>0</v>
      </c>
      <c r="F6233">
        <v>893</v>
      </c>
      <c r="G6233" t="s">
        <v>2082</v>
      </c>
      <c r="H6233" t="s">
        <v>792</v>
      </c>
      <c r="I6233" t="s">
        <v>2117</v>
      </c>
    </row>
    <row r="6234" spans="1:9" x14ac:dyDescent="0.35">
      <c r="A6234">
        <v>39140</v>
      </c>
      <c r="B6234" t="s">
        <v>1942</v>
      </c>
      <c r="C6234" s="1">
        <v>41459</v>
      </c>
      <c r="D6234">
        <v>386</v>
      </c>
      <c r="E6234" t="b">
        <v>0</v>
      </c>
      <c r="F6234">
        <v>893</v>
      </c>
      <c r="G6234" t="s">
        <v>2082</v>
      </c>
      <c r="H6234" t="s">
        <v>346</v>
      </c>
      <c r="I6234" t="s">
        <v>2117</v>
      </c>
    </row>
    <row r="6235" spans="1:9" x14ac:dyDescent="0.35">
      <c r="A6235">
        <v>39140</v>
      </c>
      <c r="B6235" t="s">
        <v>1942</v>
      </c>
      <c r="C6235" s="1">
        <v>41459</v>
      </c>
      <c r="D6235">
        <v>386</v>
      </c>
      <c r="E6235" t="b">
        <v>0</v>
      </c>
      <c r="F6235">
        <v>893</v>
      </c>
      <c r="G6235" t="s">
        <v>2082</v>
      </c>
      <c r="H6235" t="s">
        <v>239</v>
      </c>
      <c r="I6235" t="s">
        <v>2117</v>
      </c>
    </row>
    <row r="6236" spans="1:9" x14ac:dyDescent="0.35">
      <c r="A6236">
        <v>39140</v>
      </c>
      <c r="B6236" t="s">
        <v>1942</v>
      </c>
      <c r="C6236" s="1">
        <v>41459</v>
      </c>
      <c r="D6236">
        <v>386</v>
      </c>
      <c r="E6236" t="b">
        <v>0</v>
      </c>
      <c r="F6236">
        <v>893</v>
      </c>
      <c r="G6236" t="s">
        <v>2082</v>
      </c>
      <c r="H6236" t="s">
        <v>132</v>
      </c>
      <c r="I6236" t="s">
        <v>2116</v>
      </c>
    </row>
    <row r="6237" spans="1:9" x14ac:dyDescent="0.35">
      <c r="A6237">
        <v>39140</v>
      </c>
      <c r="B6237" t="s">
        <v>1942</v>
      </c>
      <c r="C6237" s="1">
        <v>41459</v>
      </c>
      <c r="D6237">
        <v>386</v>
      </c>
      <c r="E6237" t="b">
        <v>0</v>
      </c>
      <c r="F6237">
        <v>893</v>
      </c>
      <c r="G6237" t="s">
        <v>2082</v>
      </c>
      <c r="H6237" t="s">
        <v>124</v>
      </c>
      <c r="I6237" t="s">
        <v>2117</v>
      </c>
    </row>
    <row r="6238" spans="1:9" x14ac:dyDescent="0.35">
      <c r="A6238">
        <v>39140</v>
      </c>
      <c r="B6238" t="s">
        <v>1942</v>
      </c>
      <c r="C6238" s="1">
        <v>41459</v>
      </c>
      <c r="D6238">
        <v>386</v>
      </c>
      <c r="E6238" t="b">
        <v>0</v>
      </c>
      <c r="F6238">
        <v>893</v>
      </c>
      <c r="G6238" t="s">
        <v>2082</v>
      </c>
      <c r="H6238" t="s">
        <v>1510</v>
      </c>
      <c r="I6238" t="s">
        <v>2117</v>
      </c>
    </row>
    <row r="6239" spans="1:9" x14ac:dyDescent="0.35">
      <c r="A6239">
        <v>1700870</v>
      </c>
      <c r="B6239" t="s">
        <v>1943</v>
      </c>
      <c r="C6239" s="1">
        <v>44756</v>
      </c>
      <c r="D6239">
        <v>386</v>
      </c>
      <c r="E6239" t="b">
        <v>0</v>
      </c>
      <c r="F6239">
        <v>893</v>
      </c>
      <c r="G6239" t="s">
        <v>304</v>
      </c>
      <c r="H6239" t="s">
        <v>49</v>
      </c>
      <c r="I6239" t="s">
        <v>2117</v>
      </c>
    </row>
    <row r="6240" spans="1:9" x14ac:dyDescent="0.35">
      <c r="A6240">
        <v>1700870</v>
      </c>
      <c r="B6240" t="s">
        <v>1943</v>
      </c>
      <c r="C6240" s="1">
        <v>44756</v>
      </c>
      <c r="D6240">
        <v>386</v>
      </c>
      <c r="E6240" t="b">
        <v>0</v>
      </c>
      <c r="F6240">
        <v>893</v>
      </c>
      <c r="G6240" t="s">
        <v>304</v>
      </c>
      <c r="H6240" t="s">
        <v>792</v>
      </c>
      <c r="I6240" t="s">
        <v>2117</v>
      </c>
    </row>
    <row r="6241" spans="1:9" x14ac:dyDescent="0.35">
      <c r="A6241">
        <v>1700870</v>
      </c>
      <c r="B6241" t="s">
        <v>1943</v>
      </c>
      <c r="C6241" s="1">
        <v>44756</v>
      </c>
      <c r="D6241">
        <v>386</v>
      </c>
      <c r="E6241" t="b">
        <v>0</v>
      </c>
      <c r="F6241">
        <v>893</v>
      </c>
      <c r="G6241" t="s">
        <v>304</v>
      </c>
      <c r="H6241" t="s">
        <v>346</v>
      </c>
      <c r="I6241" t="s">
        <v>2117</v>
      </c>
    </row>
    <row r="6242" spans="1:9" x14ac:dyDescent="0.35">
      <c r="A6242">
        <v>1700870</v>
      </c>
      <c r="B6242" t="s">
        <v>1943</v>
      </c>
      <c r="C6242" s="1">
        <v>44756</v>
      </c>
      <c r="D6242">
        <v>386</v>
      </c>
      <c r="E6242" t="b">
        <v>0</v>
      </c>
      <c r="F6242">
        <v>893</v>
      </c>
      <c r="G6242" t="s">
        <v>304</v>
      </c>
      <c r="H6242" t="s">
        <v>239</v>
      </c>
      <c r="I6242" t="s">
        <v>2116</v>
      </c>
    </row>
    <row r="6243" spans="1:9" x14ac:dyDescent="0.35">
      <c r="A6243">
        <v>1700870</v>
      </c>
      <c r="B6243" t="s">
        <v>1943</v>
      </c>
      <c r="C6243" s="1">
        <v>44756</v>
      </c>
      <c r="D6243">
        <v>386</v>
      </c>
      <c r="E6243" t="b">
        <v>0</v>
      </c>
      <c r="F6243">
        <v>893</v>
      </c>
      <c r="G6243" t="s">
        <v>304</v>
      </c>
      <c r="H6243" t="s">
        <v>132</v>
      </c>
      <c r="I6243" t="s">
        <v>2116</v>
      </c>
    </row>
    <row r="6244" spans="1:9" x14ac:dyDescent="0.35">
      <c r="A6244">
        <v>1700870</v>
      </c>
      <c r="B6244" t="s">
        <v>1943</v>
      </c>
      <c r="C6244" s="1">
        <v>44756</v>
      </c>
      <c r="D6244">
        <v>386</v>
      </c>
      <c r="E6244" t="b">
        <v>0</v>
      </c>
      <c r="F6244">
        <v>893</v>
      </c>
      <c r="G6244" t="s">
        <v>304</v>
      </c>
      <c r="H6244" t="s">
        <v>124</v>
      </c>
      <c r="I6244" t="s">
        <v>2116</v>
      </c>
    </row>
    <row r="6245" spans="1:9" x14ac:dyDescent="0.35">
      <c r="A6245">
        <v>1700870</v>
      </c>
      <c r="B6245" t="s">
        <v>1943</v>
      </c>
      <c r="C6245" s="1">
        <v>44756</v>
      </c>
      <c r="D6245">
        <v>386</v>
      </c>
      <c r="E6245" t="b">
        <v>0</v>
      </c>
      <c r="F6245">
        <v>893</v>
      </c>
      <c r="G6245" t="s">
        <v>304</v>
      </c>
      <c r="H6245" t="s">
        <v>1510</v>
      </c>
      <c r="I6245" t="s">
        <v>2117</v>
      </c>
    </row>
    <row r="6246" spans="1:9" x14ac:dyDescent="0.35">
      <c r="A6246">
        <v>2849080</v>
      </c>
      <c r="B6246" t="s">
        <v>1946</v>
      </c>
      <c r="C6246" s="1">
        <v>45498</v>
      </c>
      <c r="D6246">
        <v>386</v>
      </c>
      <c r="E6246" t="b">
        <v>1</v>
      </c>
      <c r="F6246">
        <v>893</v>
      </c>
      <c r="G6246" t="s">
        <v>1949</v>
      </c>
      <c r="H6246" t="s">
        <v>49</v>
      </c>
      <c r="I6246" t="s">
        <v>2117</v>
      </c>
    </row>
    <row r="6247" spans="1:9" x14ac:dyDescent="0.35">
      <c r="A6247">
        <v>2849080</v>
      </c>
      <c r="B6247" t="s">
        <v>1946</v>
      </c>
      <c r="C6247" s="1">
        <v>45498</v>
      </c>
      <c r="D6247">
        <v>386</v>
      </c>
      <c r="E6247" t="b">
        <v>1</v>
      </c>
      <c r="F6247">
        <v>893</v>
      </c>
      <c r="G6247" t="s">
        <v>1949</v>
      </c>
      <c r="H6247" t="s">
        <v>792</v>
      </c>
      <c r="I6247" t="s">
        <v>2116</v>
      </c>
    </row>
    <row r="6248" spans="1:9" x14ac:dyDescent="0.35">
      <c r="A6248">
        <v>2849080</v>
      </c>
      <c r="B6248" t="s">
        <v>1946</v>
      </c>
      <c r="C6248" s="1">
        <v>45498</v>
      </c>
      <c r="D6248">
        <v>386</v>
      </c>
      <c r="E6248" t="b">
        <v>1</v>
      </c>
      <c r="F6248">
        <v>893</v>
      </c>
      <c r="G6248" t="s">
        <v>1949</v>
      </c>
      <c r="H6248" t="s">
        <v>346</v>
      </c>
      <c r="I6248" t="s">
        <v>2117</v>
      </c>
    </row>
    <row r="6249" spans="1:9" x14ac:dyDescent="0.35">
      <c r="A6249">
        <v>2849080</v>
      </c>
      <c r="B6249" t="s">
        <v>1946</v>
      </c>
      <c r="C6249" s="1">
        <v>45498</v>
      </c>
      <c r="D6249">
        <v>386</v>
      </c>
      <c r="E6249" t="b">
        <v>1</v>
      </c>
      <c r="F6249">
        <v>893</v>
      </c>
      <c r="G6249" t="s">
        <v>1949</v>
      </c>
      <c r="H6249" t="s">
        <v>239</v>
      </c>
      <c r="I6249" t="s">
        <v>2117</v>
      </c>
    </row>
    <row r="6250" spans="1:9" x14ac:dyDescent="0.35">
      <c r="A6250">
        <v>2849080</v>
      </c>
      <c r="B6250" t="s">
        <v>1946</v>
      </c>
      <c r="C6250" s="1">
        <v>45498</v>
      </c>
      <c r="D6250">
        <v>386</v>
      </c>
      <c r="E6250" t="b">
        <v>1</v>
      </c>
      <c r="F6250">
        <v>893</v>
      </c>
      <c r="G6250" t="s">
        <v>1949</v>
      </c>
      <c r="H6250" t="s">
        <v>132</v>
      </c>
      <c r="I6250" t="s">
        <v>2117</v>
      </c>
    </row>
    <row r="6251" spans="1:9" x14ac:dyDescent="0.35">
      <c r="A6251">
        <v>2849080</v>
      </c>
      <c r="B6251" t="s">
        <v>1946</v>
      </c>
      <c r="C6251" s="1">
        <v>45498</v>
      </c>
      <c r="D6251">
        <v>386</v>
      </c>
      <c r="E6251" t="b">
        <v>1</v>
      </c>
      <c r="F6251">
        <v>893</v>
      </c>
      <c r="G6251" t="s">
        <v>1949</v>
      </c>
      <c r="H6251" t="s">
        <v>124</v>
      </c>
      <c r="I6251" t="s">
        <v>2116</v>
      </c>
    </row>
    <row r="6252" spans="1:9" x14ac:dyDescent="0.35">
      <c r="A6252">
        <v>2849080</v>
      </c>
      <c r="B6252" t="s">
        <v>1946</v>
      </c>
      <c r="C6252" s="1">
        <v>45498</v>
      </c>
      <c r="D6252">
        <v>386</v>
      </c>
      <c r="E6252" t="b">
        <v>1</v>
      </c>
      <c r="F6252">
        <v>893</v>
      </c>
      <c r="G6252" t="s">
        <v>1949</v>
      </c>
      <c r="H6252" t="s">
        <v>1510</v>
      </c>
      <c r="I6252" t="s">
        <v>2117</v>
      </c>
    </row>
    <row r="6253" spans="1:9" x14ac:dyDescent="0.35">
      <c r="A6253">
        <v>1340990</v>
      </c>
      <c r="B6253" t="s">
        <v>1947</v>
      </c>
      <c r="C6253" s="1">
        <v>45726</v>
      </c>
      <c r="D6253">
        <v>385</v>
      </c>
      <c r="E6253" t="b">
        <v>0</v>
      </c>
      <c r="F6253">
        <v>896</v>
      </c>
      <c r="G6253" t="s">
        <v>1949</v>
      </c>
      <c r="H6253" t="s">
        <v>49</v>
      </c>
      <c r="I6253" t="s">
        <v>2116</v>
      </c>
    </row>
    <row r="6254" spans="1:9" x14ac:dyDescent="0.35">
      <c r="A6254">
        <v>1340990</v>
      </c>
      <c r="B6254" t="s">
        <v>1947</v>
      </c>
      <c r="C6254" s="1">
        <v>45726</v>
      </c>
      <c r="D6254">
        <v>385</v>
      </c>
      <c r="E6254" t="b">
        <v>0</v>
      </c>
      <c r="F6254">
        <v>896</v>
      </c>
      <c r="G6254" t="s">
        <v>1949</v>
      </c>
      <c r="H6254" t="s">
        <v>792</v>
      </c>
      <c r="I6254" t="s">
        <v>2117</v>
      </c>
    </row>
    <row r="6255" spans="1:9" x14ac:dyDescent="0.35">
      <c r="A6255">
        <v>1340990</v>
      </c>
      <c r="B6255" t="s">
        <v>1947</v>
      </c>
      <c r="C6255" s="1">
        <v>45726</v>
      </c>
      <c r="D6255">
        <v>385</v>
      </c>
      <c r="E6255" t="b">
        <v>0</v>
      </c>
      <c r="F6255">
        <v>896</v>
      </c>
      <c r="G6255" t="s">
        <v>1949</v>
      </c>
      <c r="H6255" t="s">
        <v>346</v>
      </c>
      <c r="I6255" t="s">
        <v>2116</v>
      </c>
    </row>
    <row r="6256" spans="1:9" x14ac:dyDescent="0.35">
      <c r="A6256">
        <v>1340990</v>
      </c>
      <c r="B6256" t="s">
        <v>1947</v>
      </c>
      <c r="C6256" s="1">
        <v>45726</v>
      </c>
      <c r="D6256">
        <v>385</v>
      </c>
      <c r="E6256" t="b">
        <v>0</v>
      </c>
      <c r="F6256">
        <v>896</v>
      </c>
      <c r="G6256" t="s">
        <v>1949</v>
      </c>
      <c r="H6256" t="s">
        <v>239</v>
      </c>
      <c r="I6256" t="s">
        <v>2117</v>
      </c>
    </row>
    <row r="6257" spans="1:9" x14ac:dyDescent="0.35">
      <c r="A6257">
        <v>1340990</v>
      </c>
      <c r="B6257" t="s">
        <v>1947</v>
      </c>
      <c r="C6257" s="1">
        <v>45726</v>
      </c>
      <c r="D6257">
        <v>385</v>
      </c>
      <c r="E6257" t="b">
        <v>0</v>
      </c>
      <c r="F6257">
        <v>896</v>
      </c>
      <c r="G6257" t="s">
        <v>1949</v>
      </c>
      <c r="H6257" t="s">
        <v>132</v>
      </c>
      <c r="I6257" t="s">
        <v>2116</v>
      </c>
    </row>
    <row r="6258" spans="1:9" x14ac:dyDescent="0.35">
      <c r="A6258">
        <v>1340990</v>
      </c>
      <c r="B6258" t="s">
        <v>1947</v>
      </c>
      <c r="C6258" s="1">
        <v>45726</v>
      </c>
      <c r="D6258">
        <v>385</v>
      </c>
      <c r="E6258" t="b">
        <v>0</v>
      </c>
      <c r="F6258">
        <v>896</v>
      </c>
      <c r="G6258" t="s">
        <v>1949</v>
      </c>
      <c r="H6258" t="s">
        <v>124</v>
      </c>
      <c r="I6258" t="s">
        <v>2117</v>
      </c>
    </row>
    <row r="6259" spans="1:9" x14ac:dyDescent="0.35">
      <c r="A6259">
        <v>1340990</v>
      </c>
      <c r="B6259" t="s">
        <v>1947</v>
      </c>
      <c r="C6259" s="1">
        <v>45726</v>
      </c>
      <c r="D6259">
        <v>385</v>
      </c>
      <c r="E6259" t="b">
        <v>0</v>
      </c>
      <c r="F6259">
        <v>896</v>
      </c>
      <c r="G6259" t="s">
        <v>1949</v>
      </c>
      <c r="H6259" t="s">
        <v>1510</v>
      </c>
      <c r="I6259" t="s">
        <v>2117</v>
      </c>
    </row>
    <row r="6260" spans="1:9" x14ac:dyDescent="0.35">
      <c r="A6260">
        <v>349040</v>
      </c>
      <c r="B6260" t="s">
        <v>1950</v>
      </c>
      <c r="C6260" s="1">
        <v>42404</v>
      </c>
      <c r="D6260">
        <v>384</v>
      </c>
      <c r="E6260" t="b">
        <v>0</v>
      </c>
      <c r="F6260">
        <v>897</v>
      </c>
      <c r="G6260" t="s">
        <v>199</v>
      </c>
      <c r="H6260" t="s">
        <v>49</v>
      </c>
      <c r="I6260" t="s">
        <v>2116</v>
      </c>
    </row>
    <row r="6261" spans="1:9" x14ac:dyDescent="0.35">
      <c r="A6261">
        <v>349040</v>
      </c>
      <c r="B6261" t="s">
        <v>1950</v>
      </c>
      <c r="C6261" s="1">
        <v>42404</v>
      </c>
      <c r="D6261">
        <v>384</v>
      </c>
      <c r="E6261" t="b">
        <v>0</v>
      </c>
      <c r="F6261">
        <v>897</v>
      </c>
      <c r="G6261" t="s">
        <v>199</v>
      </c>
      <c r="H6261" t="s">
        <v>792</v>
      </c>
      <c r="I6261" t="s">
        <v>2117</v>
      </c>
    </row>
    <row r="6262" spans="1:9" x14ac:dyDescent="0.35">
      <c r="A6262">
        <v>349040</v>
      </c>
      <c r="B6262" t="s">
        <v>1950</v>
      </c>
      <c r="C6262" s="1">
        <v>42404</v>
      </c>
      <c r="D6262">
        <v>384</v>
      </c>
      <c r="E6262" t="b">
        <v>0</v>
      </c>
      <c r="F6262">
        <v>897</v>
      </c>
      <c r="G6262" t="s">
        <v>199</v>
      </c>
      <c r="H6262" t="s">
        <v>346</v>
      </c>
      <c r="I6262" t="s">
        <v>2116</v>
      </c>
    </row>
    <row r="6263" spans="1:9" x14ac:dyDescent="0.35">
      <c r="A6263">
        <v>349040</v>
      </c>
      <c r="B6263" t="s">
        <v>1950</v>
      </c>
      <c r="C6263" s="1">
        <v>42404</v>
      </c>
      <c r="D6263">
        <v>384</v>
      </c>
      <c r="E6263" t="b">
        <v>0</v>
      </c>
      <c r="F6263">
        <v>897</v>
      </c>
      <c r="G6263" t="s">
        <v>199</v>
      </c>
      <c r="H6263" t="s">
        <v>239</v>
      </c>
      <c r="I6263" t="s">
        <v>2117</v>
      </c>
    </row>
    <row r="6264" spans="1:9" x14ac:dyDescent="0.35">
      <c r="A6264">
        <v>349040</v>
      </c>
      <c r="B6264" t="s">
        <v>1950</v>
      </c>
      <c r="C6264" s="1">
        <v>42404</v>
      </c>
      <c r="D6264">
        <v>384</v>
      </c>
      <c r="E6264" t="b">
        <v>0</v>
      </c>
      <c r="F6264">
        <v>897</v>
      </c>
      <c r="G6264" t="s">
        <v>199</v>
      </c>
      <c r="H6264" t="s">
        <v>132</v>
      </c>
      <c r="I6264" t="s">
        <v>2117</v>
      </c>
    </row>
    <row r="6265" spans="1:9" x14ac:dyDescent="0.35">
      <c r="A6265">
        <v>349040</v>
      </c>
      <c r="B6265" t="s">
        <v>1950</v>
      </c>
      <c r="C6265" s="1">
        <v>42404</v>
      </c>
      <c r="D6265">
        <v>384</v>
      </c>
      <c r="E6265" t="b">
        <v>0</v>
      </c>
      <c r="F6265">
        <v>897</v>
      </c>
      <c r="G6265" t="s">
        <v>199</v>
      </c>
      <c r="H6265" t="s">
        <v>124</v>
      </c>
      <c r="I6265" t="s">
        <v>2117</v>
      </c>
    </row>
    <row r="6266" spans="1:9" x14ac:dyDescent="0.35">
      <c r="A6266">
        <v>349040</v>
      </c>
      <c r="B6266" t="s">
        <v>1950</v>
      </c>
      <c r="C6266" s="1">
        <v>42404</v>
      </c>
      <c r="D6266">
        <v>384</v>
      </c>
      <c r="E6266" t="b">
        <v>0</v>
      </c>
      <c r="F6266">
        <v>897</v>
      </c>
      <c r="G6266" t="s">
        <v>199</v>
      </c>
      <c r="H6266" t="s">
        <v>1510</v>
      </c>
      <c r="I6266" t="s">
        <v>2117</v>
      </c>
    </row>
    <row r="6267" spans="1:9" x14ac:dyDescent="0.35">
      <c r="A6267">
        <v>1286220</v>
      </c>
      <c r="B6267" t="s">
        <v>1952</v>
      </c>
      <c r="C6267" s="1">
        <v>45608</v>
      </c>
      <c r="D6267">
        <v>384</v>
      </c>
      <c r="E6267" t="b">
        <v>0</v>
      </c>
      <c r="F6267">
        <v>897</v>
      </c>
      <c r="G6267" t="s">
        <v>199</v>
      </c>
      <c r="H6267" t="s">
        <v>49</v>
      </c>
      <c r="I6267" t="s">
        <v>2116</v>
      </c>
    </row>
    <row r="6268" spans="1:9" x14ac:dyDescent="0.35">
      <c r="A6268">
        <v>1286220</v>
      </c>
      <c r="B6268" t="s">
        <v>1952</v>
      </c>
      <c r="C6268" s="1">
        <v>45608</v>
      </c>
      <c r="D6268">
        <v>384</v>
      </c>
      <c r="E6268" t="b">
        <v>0</v>
      </c>
      <c r="F6268">
        <v>897</v>
      </c>
      <c r="G6268" t="s">
        <v>199</v>
      </c>
      <c r="H6268" t="s">
        <v>792</v>
      </c>
      <c r="I6268" t="s">
        <v>2117</v>
      </c>
    </row>
    <row r="6269" spans="1:9" x14ac:dyDescent="0.35">
      <c r="A6269">
        <v>1286220</v>
      </c>
      <c r="B6269" t="s">
        <v>1952</v>
      </c>
      <c r="C6269" s="1">
        <v>45608</v>
      </c>
      <c r="D6269">
        <v>384</v>
      </c>
      <c r="E6269" t="b">
        <v>0</v>
      </c>
      <c r="F6269">
        <v>897</v>
      </c>
      <c r="G6269" t="s">
        <v>199</v>
      </c>
      <c r="H6269" t="s">
        <v>346</v>
      </c>
      <c r="I6269" t="s">
        <v>2117</v>
      </c>
    </row>
    <row r="6270" spans="1:9" x14ac:dyDescent="0.35">
      <c r="A6270">
        <v>1286220</v>
      </c>
      <c r="B6270" t="s">
        <v>1952</v>
      </c>
      <c r="C6270" s="1">
        <v>45608</v>
      </c>
      <c r="D6270">
        <v>384</v>
      </c>
      <c r="E6270" t="b">
        <v>0</v>
      </c>
      <c r="F6270">
        <v>897</v>
      </c>
      <c r="G6270" t="s">
        <v>199</v>
      </c>
      <c r="H6270" t="s">
        <v>239</v>
      </c>
      <c r="I6270" t="s">
        <v>2116</v>
      </c>
    </row>
    <row r="6271" spans="1:9" x14ac:dyDescent="0.35">
      <c r="A6271">
        <v>1286220</v>
      </c>
      <c r="B6271" t="s">
        <v>1952</v>
      </c>
      <c r="C6271" s="1">
        <v>45608</v>
      </c>
      <c r="D6271">
        <v>384</v>
      </c>
      <c r="E6271" t="b">
        <v>0</v>
      </c>
      <c r="F6271">
        <v>897</v>
      </c>
      <c r="G6271" t="s">
        <v>199</v>
      </c>
      <c r="H6271" t="s">
        <v>132</v>
      </c>
      <c r="I6271" t="s">
        <v>2117</v>
      </c>
    </row>
    <row r="6272" spans="1:9" x14ac:dyDescent="0.35">
      <c r="A6272">
        <v>1286220</v>
      </c>
      <c r="B6272" t="s">
        <v>1952</v>
      </c>
      <c r="C6272" s="1">
        <v>45608</v>
      </c>
      <c r="D6272">
        <v>384</v>
      </c>
      <c r="E6272" t="b">
        <v>0</v>
      </c>
      <c r="F6272">
        <v>897</v>
      </c>
      <c r="G6272" t="s">
        <v>199</v>
      </c>
      <c r="H6272" t="s">
        <v>124</v>
      </c>
      <c r="I6272" t="s">
        <v>2116</v>
      </c>
    </row>
    <row r="6273" spans="1:9" x14ac:dyDescent="0.35">
      <c r="A6273">
        <v>1286220</v>
      </c>
      <c r="B6273" t="s">
        <v>1952</v>
      </c>
      <c r="C6273" s="1">
        <v>45608</v>
      </c>
      <c r="D6273">
        <v>384</v>
      </c>
      <c r="E6273" t="b">
        <v>0</v>
      </c>
      <c r="F6273">
        <v>897</v>
      </c>
      <c r="G6273" t="s">
        <v>199</v>
      </c>
      <c r="H6273" t="s">
        <v>1510</v>
      </c>
      <c r="I6273" t="s">
        <v>2117</v>
      </c>
    </row>
    <row r="6274" spans="1:9" x14ac:dyDescent="0.35">
      <c r="A6274">
        <v>2767520</v>
      </c>
      <c r="B6274" t="s">
        <v>1953</v>
      </c>
      <c r="C6274" s="1">
        <v>45343</v>
      </c>
      <c r="D6274">
        <v>383</v>
      </c>
      <c r="E6274" t="b">
        <v>0</v>
      </c>
      <c r="F6274">
        <v>899</v>
      </c>
      <c r="G6274" t="s">
        <v>833</v>
      </c>
      <c r="H6274" t="s">
        <v>49</v>
      </c>
      <c r="I6274" t="s">
        <v>2117</v>
      </c>
    </row>
    <row r="6275" spans="1:9" x14ac:dyDescent="0.35">
      <c r="A6275">
        <v>2767520</v>
      </c>
      <c r="B6275" t="s">
        <v>1953</v>
      </c>
      <c r="C6275" s="1">
        <v>45343</v>
      </c>
      <c r="D6275">
        <v>383</v>
      </c>
      <c r="E6275" t="b">
        <v>0</v>
      </c>
      <c r="F6275">
        <v>899</v>
      </c>
      <c r="G6275" t="s">
        <v>833</v>
      </c>
      <c r="H6275" t="s">
        <v>792</v>
      </c>
      <c r="I6275" t="s">
        <v>2116</v>
      </c>
    </row>
    <row r="6276" spans="1:9" x14ac:dyDescent="0.35">
      <c r="A6276">
        <v>2767520</v>
      </c>
      <c r="B6276" t="s">
        <v>1953</v>
      </c>
      <c r="C6276" s="1">
        <v>45343</v>
      </c>
      <c r="D6276">
        <v>383</v>
      </c>
      <c r="E6276" t="b">
        <v>0</v>
      </c>
      <c r="F6276">
        <v>899</v>
      </c>
      <c r="G6276" t="s">
        <v>833</v>
      </c>
      <c r="H6276" t="s">
        <v>346</v>
      </c>
      <c r="I6276" t="s">
        <v>2117</v>
      </c>
    </row>
    <row r="6277" spans="1:9" x14ac:dyDescent="0.35">
      <c r="A6277">
        <v>2767520</v>
      </c>
      <c r="B6277" t="s">
        <v>1953</v>
      </c>
      <c r="C6277" s="1">
        <v>45343</v>
      </c>
      <c r="D6277">
        <v>383</v>
      </c>
      <c r="E6277" t="b">
        <v>0</v>
      </c>
      <c r="F6277">
        <v>899</v>
      </c>
      <c r="G6277" t="s">
        <v>833</v>
      </c>
      <c r="H6277" t="s">
        <v>239</v>
      </c>
      <c r="I6277" t="s">
        <v>2116</v>
      </c>
    </row>
    <row r="6278" spans="1:9" x14ac:dyDescent="0.35">
      <c r="A6278">
        <v>2767520</v>
      </c>
      <c r="B6278" t="s">
        <v>1953</v>
      </c>
      <c r="C6278" s="1">
        <v>45343</v>
      </c>
      <c r="D6278">
        <v>383</v>
      </c>
      <c r="E6278" t="b">
        <v>0</v>
      </c>
      <c r="F6278">
        <v>899</v>
      </c>
      <c r="G6278" t="s">
        <v>833</v>
      </c>
      <c r="H6278" t="s">
        <v>132</v>
      </c>
      <c r="I6278" t="s">
        <v>2117</v>
      </c>
    </row>
    <row r="6279" spans="1:9" x14ac:dyDescent="0.35">
      <c r="A6279">
        <v>2767520</v>
      </c>
      <c r="B6279" t="s">
        <v>1953</v>
      </c>
      <c r="C6279" s="1">
        <v>45343</v>
      </c>
      <c r="D6279">
        <v>383</v>
      </c>
      <c r="E6279" t="b">
        <v>0</v>
      </c>
      <c r="F6279">
        <v>899</v>
      </c>
      <c r="G6279" t="s">
        <v>833</v>
      </c>
      <c r="H6279" t="s">
        <v>124</v>
      </c>
      <c r="I6279" t="s">
        <v>2117</v>
      </c>
    </row>
    <row r="6280" spans="1:9" x14ac:dyDescent="0.35">
      <c r="A6280">
        <v>2767520</v>
      </c>
      <c r="B6280" t="s">
        <v>1953</v>
      </c>
      <c r="C6280" s="1">
        <v>45343</v>
      </c>
      <c r="D6280">
        <v>383</v>
      </c>
      <c r="E6280" t="b">
        <v>0</v>
      </c>
      <c r="F6280">
        <v>899</v>
      </c>
      <c r="G6280" t="s">
        <v>833</v>
      </c>
      <c r="H6280" t="s">
        <v>1510</v>
      </c>
      <c r="I6280" t="s">
        <v>2117</v>
      </c>
    </row>
    <row r="6281" spans="1:9" x14ac:dyDescent="0.35">
      <c r="A6281">
        <v>2140510</v>
      </c>
      <c r="B6281" t="s">
        <v>1955</v>
      </c>
      <c r="C6281" s="1">
        <v>45163</v>
      </c>
      <c r="D6281">
        <v>382</v>
      </c>
      <c r="E6281" t="b">
        <v>1</v>
      </c>
      <c r="F6281">
        <v>900</v>
      </c>
      <c r="G6281" t="s">
        <v>25</v>
      </c>
      <c r="H6281" t="s">
        <v>49</v>
      </c>
      <c r="I6281" t="s">
        <v>2116</v>
      </c>
    </row>
    <row r="6282" spans="1:9" x14ac:dyDescent="0.35">
      <c r="A6282">
        <v>2140510</v>
      </c>
      <c r="B6282" t="s">
        <v>1955</v>
      </c>
      <c r="C6282" s="1">
        <v>45163</v>
      </c>
      <c r="D6282">
        <v>382</v>
      </c>
      <c r="E6282" t="b">
        <v>1</v>
      </c>
      <c r="F6282">
        <v>900</v>
      </c>
      <c r="G6282" t="s">
        <v>25</v>
      </c>
      <c r="H6282" t="s">
        <v>792</v>
      </c>
      <c r="I6282" t="s">
        <v>2117</v>
      </c>
    </row>
    <row r="6283" spans="1:9" x14ac:dyDescent="0.35">
      <c r="A6283">
        <v>2140510</v>
      </c>
      <c r="B6283" t="s">
        <v>1955</v>
      </c>
      <c r="C6283" s="1">
        <v>45163</v>
      </c>
      <c r="D6283">
        <v>382</v>
      </c>
      <c r="E6283" t="b">
        <v>1</v>
      </c>
      <c r="F6283">
        <v>900</v>
      </c>
      <c r="G6283" t="s">
        <v>25</v>
      </c>
      <c r="H6283" t="s">
        <v>346</v>
      </c>
      <c r="I6283" t="s">
        <v>2117</v>
      </c>
    </row>
    <row r="6284" spans="1:9" x14ac:dyDescent="0.35">
      <c r="A6284">
        <v>2140510</v>
      </c>
      <c r="B6284" t="s">
        <v>1955</v>
      </c>
      <c r="C6284" s="1">
        <v>45163</v>
      </c>
      <c r="D6284">
        <v>382</v>
      </c>
      <c r="E6284" t="b">
        <v>1</v>
      </c>
      <c r="F6284">
        <v>900</v>
      </c>
      <c r="G6284" t="s">
        <v>25</v>
      </c>
      <c r="H6284" t="s">
        <v>239</v>
      </c>
      <c r="I6284" t="s">
        <v>2117</v>
      </c>
    </row>
    <row r="6285" spans="1:9" x14ac:dyDescent="0.35">
      <c r="A6285">
        <v>2140510</v>
      </c>
      <c r="B6285" t="s">
        <v>1955</v>
      </c>
      <c r="C6285" s="1">
        <v>45163</v>
      </c>
      <c r="D6285">
        <v>382</v>
      </c>
      <c r="E6285" t="b">
        <v>1</v>
      </c>
      <c r="F6285">
        <v>900</v>
      </c>
      <c r="G6285" t="s">
        <v>25</v>
      </c>
      <c r="H6285" t="s">
        <v>132</v>
      </c>
      <c r="I6285" t="s">
        <v>2116</v>
      </c>
    </row>
    <row r="6286" spans="1:9" x14ac:dyDescent="0.35">
      <c r="A6286">
        <v>2140510</v>
      </c>
      <c r="B6286" t="s">
        <v>1955</v>
      </c>
      <c r="C6286" s="1">
        <v>45163</v>
      </c>
      <c r="D6286">
        <v>382</v>
      </c>
      <c r="E6286" t="b">
        <v>1</v>
      </c>
      <c r="F6286">
        <v>900</v>
      </c>
      <c r="G6286" t="s">
        <v>25</v>
      </c>
      <c r="H6286" t="s">
        <v>124</v>
      </c>
      <c r="I6286" t="s">
        <v>2116</v>
      </c>
    </row>
    <row r="6287" spans="1:9" x14ac:dyDescent="0.35">
      <c r="A6287">
        <v>2140510</v>
      </c>
      <c r="B6287" t="s">
        <v>1955</v>
      </c>
      <c r="C6287" s="1">
        <v>45163</v>
      </c>
      <c r="D6287">
        <v>382</v>
      </c>
      <c r="E6287" t="b">
        <v>1</v>
      </c>
      <c r="F6287">
        <v>900</v>
      </c>
      <c r="G6287" t="s">
        <v>25</v>
      </c>
      <c r="H6287" t="s">
        <v>1510</v>
      </c>
      <c r="I6287" t="s">
        <v>2116</v>
      </c>
    </row>
    <row r="6288" spans="1:9" x14ac:dyDescent="0.35">
      <c r="A6288">
        <v>269950</v>
      </c>
      <c r="B6288" t="s">
        <v>1957</v>
      </c>
      <c r="C6288" s="1">
        <v>42824</v>
      </c>
      <c r="D6288">
        <v>381</v>
      </c>
      <c r="E6288" t="b">
        <v>1</v>
      </c>
      <c r="F6288">
        <v>901</v>
      </c>
      <c r="G6288" t="s">
        <v>161</v>
      </c>
      <c r="H6288" t="s">
        <v>49</v>
      </c>
      <c r="I6288" t="s">
        <v>2117</v>
      </c>
    </row>
    <row r="6289" spans="1:9" x14ac:dyDescent="0.35">
      <c r="A6289">
        <v>269950</v>
      </c>
      <c r="B6289" t="s">
        <v>1957</v>
      </c>
      <c r="C6289" s="1">
        <v>42824</v>
      </c>
      <c r="D6289">
        <v>381</v>
      </c>
      <c r="E6289" t="b">
        <v>1</v>
      </c>
      <c r="F6289">
        <v>901</v>
      </c>
      <c r="G6289" t="s">
        <v>161</v>
      </c>
      <c r="H6289" t="s">
        <v>792</v>
      </c>
      <c r="I6289" t="s">
        <v>2117</v>
      </c>
    </row>
    <row r="6290" spans="1:9" x14ac:dyDescent="0.35">
      <c r="A6290">
        <v>269950</v>
      </c>
      <c r="B6290" t="s">
        <v>1957</v>
      </c>
      <c r="C6290" s="1">
        <v>42824</v>
      </c>
      <c r="D6290">
        <v>381</v>
      </c>
      <c r="E6290" t="b">
        <v>1</v>
      </c>
      <c r="F6290">
        <v>901</v>
      </c>
      <c r="G6290" t="s">
        <v>161</v>
      </c>
      <c r="H6290" t="s">
        <v>346</v>
      </c>
      <c r="I6290" t="s">
        <v>2117</v>
      </c>
    </row>
    <row r="6291" spans="1:9" x14ac:dyDescent="0.35">
      <c r="A6291">
        <v>269950</v>
      </c>
      <c r="B6291" t="s">
        <v>1957</v>
      </c>
      <c r="C6291" s="1">
        <v>42824</v>
      </c>
      <c r="D6291">
        <v>381</v>
      </c>
      <c r="E6291" t="b">
        <v>1</v>
      </c>
      <c r="F6291">
        <v>901</v>
      </c>
      <c r="G6291" t="s">
        <v>161</v>
      </c>
      <c r="H6291" t="s">
        <v>239</v>
      </c>
      <c r="I6291" t="s">
        <v>2116</v>
      </c>
    </row>
    <row r="6292" spans="1:9" x14ac:dyDescent="0.35">
      <c r="A6292">
        <v>269950</v>
      </c>
      <c r="B6292" t="s">
        <v>1957</v>
      </c>
      <c r="C6292" s="1">
        <v>42824</v>
      </c>
      <c r="D6292">
        <v>381</v>
      </c>
      <c r="E6292" t="b">
        <v>1</v>
      </c>
      <c r="F6292">
        <v>901</v>
      </c>
      <c r="G6292" t="s">
        <v>161</v>
      </c>
      <c r="H6292" t="s">
        <v>132</v>
      </c>
      <c r="I6292" t="s">
        <v>2117</v>
      </c>
    </row>
    <row r="6293" spans="1:9" x14ac:dyDescent="0.35">
      <c r="A6293">
        <v>269950</v>
      </c>
      <c r="B6293" t="s">
        <v>1957</v>
      </c>
      <c r="C6293" s="1">
        <v>42824</v>
      </c>
      <c r="D6293">
        <v>381</v>
      </c>
      <c r="E6293" t="b">
        <v>1</v>
      </c>
      <c r="F6293">
        <v>901</v>
      </c>
      <c r="G6293" t="s">
        <v>161</v>
      </c>
      <c r="H6293" t="s">
        <v>124</v>
      </c>
      <c r="I6293" t="s">
        <v>2117</v>
      </c>
    </row>
    <row r="6294" spans="1:9" x14ac:dyDescent="0.35">
      <c r="A6294">
        <v>269950</v>
      </c>
      <c r="B6294" t="s">
        <v>1957</v>
      </c>
      <c r="C6294" s="1">
        <v>42824</v>
      </c>
      <c r="D6294">
        <v>381</v>
      </c>
      <c r="E6294" t="b">
        <v>1</v>
      </c>
      <c r="F6294">
        <v>901</v>
      </c>
      <c r="G6294" t="s">
        <v>161</v>
      </c>
      <c r="H6294" t="s">
        <v>1510</v>
      </c>
      <c r="I6294" t="s">
        <v>2117</v>
      </c>
    </row>
    <row r="6295" spans="1:9" x14ac:dyDescent="0.35">
      <c r="A6295">
        <v>410900</v>
      </c>
      <c r="B6295" t="s">
        <v>1959</v>
      </c>
      <c r="C6295" s="1">
        <v>42844</v>
      </c>
      <c r="D6295">
        <v>379</v>
      </c>
      <c r="E6295" t="b">
        <v>0</v>
      </c>
      <c r="F6295">
        <v>902</v>
      </c>
      <c r="G6295" t="s">
        <v>1964</v>
      </c>
      <c r="H6295" t="s">
        <v>49</v>
      </c>
      <c r="I6295" t="s">
        <v>2116</v>
      </c>
    </row>
    <row r="6296" spans="1:9" x14ac:dyDescent="0.35">
      <c r="A6296">
        <v>410900</v>
      </c>
      <c r="B6296" t="s">
        <v>1959</v>
      </c>
      <c r="C6296" s="1">
        <v>42844</v>
      </c>
      <c r="D6296">
        <v>379</v>
      </c>
      <c r="E6296" t="b">
        <v>0</v>
      </c>
      <c r="F6296">
        <v>902</v>
      </c>
      <c r="G6296" t="s">
        <v>1964</v>
      </c>
      <c r="H6296" t="s">
        <v>792</v>
      </c>
      <c r="I6296" t="s">
        <v>2116</v>
      </c>
    </row>
    <row r="6297" spans="1:9" x14ac:dyDescent="0.35">
      <c r="A6297">
        <v>410900</v>
      </c>
      <c r="B6297" t="s">
        <v>1959</v>
      </c>
      <c r="C6297" s="1">
        <v>42844</v>
      </c>
      <c r="D6297">
        <v>379</v>
      </c>
      <c r="E6297" t="b">
        <v>0</v>
      </c>
      <c r="F6297">
        <v>902</v>
      </c>
      <c r="G6297" t="s">
        <v>1964</v>
      </c>
      <c r="H6297" t="s">
        <v>346</v>
      </c>
      <c r="I6297" t="s">
        <v>2117</v>
      </c>
    </row>
    <row r="6298" spans="1:9" x14ac:dyDescent="0.35">
      <c r="A6298">
        <v>410900</v>
      </c>
      <c r="B6298" t="s">
        <v>1959</v>
      </c>
      <c r="C6298" s="1">
        <v>42844</v>
      </c>
      <c r="D6298">
        <v>379</v>
      </c>
      <c r="E6298" t="b">
        <v>0</v>
      </c>
      <c r="F6298">
        <v>902</v>
      </c>
      <c r="G6298" t="s">
        <v>1964</v>
      </c>
      <c r="H6298" t="s">
        <v>239</v>
      </c>
      <c r="I6298" t="s">
        <v>2117</v>
      </c>
    </row>
    <row r="6299" spans="1:9" x14ac:dyDescent="0.35">
      <c r="A6299">
        <v>410900</v>
      </c>
      <c r="B6299" t="s">
        <v>1959</v>
      </c>
      <c r="C6299" s="1">
        <v>42844</v>
      </c>
      <c r="D6299">
        <v>379</v>
      </c>
      <c r="E6299" t="b">
        <v>0</v>
      </c>
      <c r="F6299">
        <v>902</v>
      </c>
      <c r="G6299" t="s">
        <v>1964</v>
      </c>
      <c r="H6299" t="s">
        <v>132</v>
      </c>
      <c r="I6299" t="s">
        <v>2117</v>
      </c>
    </row>
    <row r="6300" spans="1:9" x14ac:dyDescent="0.35">
      <c r="A6300">
        <v>410900</v>
      </c>
      <c r="B6300" t="s">
        <v>1959</v>
      </c>
      <c r="C6300" s="1">
        <v>42844</v>
      </c>
      <c r="D6300">
        <v>379</v>
      </c>
      <c r="E6300" t="b">
        <v>0</v>
      </c>
      <c r="F6300">
        <v>902</v>
      </c>
      <c r="G6300" t="s">
        <v>1964</v>
      </c>
      <c r="H6300" t="s">
        <v>124</v>
      </c>
      <c r="I6300" t="s">
        <v>2116</v>
      </c>
    </row>
    <row r="6301" spans="1:9" x14ac:dyDescent="0.35">
      <c r="A6301">
        <v>410900</v>
      </c>
      <c r="B6301" t="s">
        <v>1959</v>
      </c>
      <c r="C6301" s="1">
        <v>42844</v>
      </c>
      <c r="D6301">
        <v>379</v>
      </c>
      <c r="E6301" t="b">
        <v>0</v>
      </c>
      <c r="F6301">
        <v>902</v>
      </c>
      <c r="G6301" t="s">
        <v>1964</v>
      </c>
      <c r="H6301" t="s">
        <v>1510</v>
      </c>
      <c r="I6301" t="s">
        <v>2117</v>
      </c>
    </row>
    <row r="6302" spans="1:9" x14ac:dyDescent="0.35">
      <c r="A6302">
        <v>2828860</v>
      </c>
      <c r="B6302" t="s">
        <v>1962</v>
      </c>
      <c r="C6302" s="1">
        <v>45559</v>
      </c>
      <c r="D6302">
        <v>379</v>
      </c>
      <c r="E6302" t="b">
        <v>0</v>
      </c>
      <c r="F6302">
        <v>902</v>
      </c>
      <c r="G6302" t="s">
        <v>1964</v>
      </c>
      <c r="H6302" t="s">
        <v>49</v>
      </c>
      <c r="I6302" t="s">
        <v>2116</v>
      </c>
    </row>
    <row r="6303" spans="1:9" x14ac:dyDescent="0.35">
      <c r="A6303">
        <v>2828860</v>
      </c>
      <c r="B6303" t="s">
        <v>1962</v>
      </c>
      <c r="C6303" s="1">
        <v>45559</v>
      </c>
      <c r="D6303">
        <v>379</v>
      </c>
      <c r="E6303" t="b">
        <v>0</v>
      </c>
      <c r="F6303">
        <v>902</v>
      </c>
      <c r="G6303" t="s">
        <v>1964</v>
      </c>
      <c r="H6303" t="s">
        <v>792</v>
      </c>
      <c r="I6303" t="s">
        <v>2117</v>
      </c>
    </row>
    <row r="6304" spans="1:9" x14ac:dyDescent="0.35">
      <c r="A6304">
        <v>2828860</v>
      </c>
      <c r="B6304" t="s">
        <v>1962</v>
      </c>
      <c r="C6304" s="1">
        <v>45559</v>
      </c>
      <c r="D6304">
        <v>379</v>
      </c>
      <c r="E6304" t="b">
        <v>0</v>
      </c>
      <c r="F6304">
        <v>902</v>
      </c>
      <c r="G6304" t="s">
        <v>1964</v>
      </c>
      <c r="H6304" t="s">
        <v>346</v>
      </c>
      <c r="I6304" t="s">
        <v>2117</v>
      </c>
    </row>
    <row r="6305" spans="1:9" x14ac:dyDescent="0.35">
      <c r="A6305">
        <v>2828860</v>
      </c>
      <c r="B6305" t="s">
        <v>1962</v>
      </c>
      <c r="C6305" s="1">
        <v>45559</v>
      </c>
      <c r="D6305">
        <v>379</v>
      </c>
      <c r="E6305" t="b">
        <v>0</v>
      </c>
      <c r="F6305">
        <v>902</v>
      </c>
      <c r="G6305" t="s">
        <v>1964</v>
      </c>
      <c r="H6305" t="s">
        <v>239</v>
      </c>
      <c r="I6305" t="s">
        <v>2117</v>
      </c>
    </row>
    <row r="6306" spans="1:9" x14ac:dyDescent="0.35">
      <c r="A6306">
        <v>2828860</v>
      </c>
      <c r="B6306" t="s">
        <v>1962</v>
      </c>
      <c r="C6306" s="1">
        <v>45559</v>
      </c>
      <c r="D6306">
        <v>379</v>
      </c>
      <c r="E6306" t="b">
        <v>0</v>
      </c>
      <c r="F6306">
        <v>902</v>
      </c>
      <c r="G6306" t="s">
        <v>1964</v>
      </c>
      <c r="H6306" t="s">
        <v>132</v>
      </c>
      <c r="I6306" t="s">
        <v>2117</v>
      </c>
    </row>
    <row r="6307" spans="1:9" x14ac:dyDescent="0.35">
      <c r="A6307">
        <v>2828860</v>
      </c>
      <c r="B6307" t="s">
        <v>1962</v>
      </c>
      <c r="C6307" s="1">
        <v>45559</v>
      </c>
      <c r="D6307">
        <v>379</v>
      </c>
      <c r="E6307" t="b">
        <v>0</v>
      </c>
      <c r="F6307">
        <v>902</v>
      </c>
      <c r="G6307" t="s">
        <v>1964</v>
      </c>
      <c r="H6307" t="s">
        <v>124</v>
      </c>
      <c r="I6307" t="s">
        <v>2117</v>
      </c>
    </row>
    <row r="6308" spans="1:9" x14ac:dyDescent="0.35">
      <c r="A6308">
        <v>2828860</v>
      </c>
      <c r="B6308" t="s">
        <v>1962</v>
      </c>
      <c r="C6308" s="1">
        <v>45559</v>
      </c>
      <c r="D6308">
        <v>379</v>
      </c>
      <c r="E6308" t="b">
        <v>0</v>
      </c>
      <c r="F6308">
        <v>902</v>
      </c>
      <c r="G6308" t="s">
        <v>1964</v>
      </c>
      <c r="H6308" t="s">
        <v>1510</v>
      </c>
      <c r="I6308" t="s">
        <v>2117</v>
      </c>
    </row>
    <row r="6309" spans="1:9" x14ac:dyDescent="0.35">
      <c r="A6309">
        <v>1295500</v>
      </c>
      <c r="B6309" t="s">
        <v>1965</v>
      </c>
      <c r="C6309" s="1">
        <v>44399</v>
      </c>
      <c r="D6309">
        <v>378</v>
      </c>
      <c r="E6309" t="b">
        <v>0</v>
      </c>
      <c r="F6309">
        <v>904</v>
      </c>
      <c r="G6309" t="s">
        <v>304</v>
      </c>
      <c r="H6309" t="s">
        <v>49</v>
      </c>
      <c r="I6309" t="s">
        <v>2117</v>
      </c>
    </row>
    <row r="6310" spans="1:9" x14ac:dyDescent="0.35">
      <c r="A6310">
        <v>1295500</v>
      </c>
      <c r="B6310" t="s">
        <v>1965</v>
      </c>
      <c r="C6310" s="1">
        <v>44399</v>
      </c>
      <c r="D6310">
        <v>378</v>
      </c>
      <c r="E6310" t="b">
        <v>0</v>
      </c>
      <c r="F6310">
        <v>904</v>
      </c>
      <c r="G6310" t="s">
        <v>304</v>
      </c>
      <c r="H6310" t="s">
        <v>792</v>
      </c>
      <c r="I6310" t="s">
        <v>2117</v>
      </c>
    </row>
    <row r="6311" spans="1:9" x14ac:dyDescent="0.35">
      <c r="A6311">
        <v>1295500</v>
      </c>
      <c r="B6311" t="s">
        <v>1965</v>
      </c>
      <c r="C6311" s="1">
        <v>44399</v>
      </c>
      <c r="D6311">
        <v>378</v>
      </c>
      <c r="E6311" t="b">
        <v>0</v>
      </c>
      <c r="F6311">
        <v>904</v>
      </c>
      <c r="G6311" t="s">
        <v>304</v>
      </c>
      <c r="H6311" t="s">
        <v>346</v>
      </c>
      <c r="I6311" t="s">
        <v>2117</v>
      </c>
    </row>
    <row r="6312" spans="1:9" x14ac:dyDescent="0.35">
      <c r="A6312">
        <v>1295500</v>
      </c>
      <c r="B6312" t="s">
        <v>1965</v>
      </c>
      <c r="C6312" s="1">
        <v>44399</v>
      </c>
      <c r="D6312">
        <v>378</v>
      </c>
      <c r="E6312" t="b">
        <v>0</v>
      </c>
      <c r="F6312">
        <v>904</v>
      </c>
      <c r="G6312" t="s">
        <v>304</v>
      </c>
      <c r="H6312" t="s">
        <v>239</v>
      </c>
      <c r="I6312" t="s">
        <v>2117</v>
      </c>
    </row>
    <row r="6313" spans="1:9" x14ac:dyDescent="0.35">
      <c r="A6313">
        <v>1295500</v>
      </c>
      <c r="B6313" t="s">
        <v>1965</v>
      </c>
      <c r="C6313" s="1">
        <v>44399</v>
      </c>
      <c r="D6313">
        <v>378</v>
      </c>
      <c r="E6313" t="b">
        <v>0</v>
      </c>
      <c r="F6313">
        <v>904</v>
      </c>
      <c r="G6313" t="s">
        <v>304</v>
      </c>
      <c r="H6313" t="s">
        <v>132</v>
      </c>
      <c r="I6313" t="s">
        <v>2117</v>
      </c>
    </row>
    <row r="6314" spans="1:9" x14ac:dyDescent="0.35">
      <c r="A6314">
        <v>1295500</v>
      </c>
      <c r="B6314" t="s">
        <v>1965</v>
      </c>
      <c r="C6314" s="1">
        <v>44399</v>
      </c>
      <c r="D6314">
        <v>378</v>
      </c>
      <c r="E6314" t="b">
        <v>0</v>
      </c>
      <c r="F6314">
        <v>904</v>
      </c>
      <c r="G6314" t="s">
        <v>304</v>
      </c>
      <c r="H6314" t="s">
        <v>124</v>
      </c>
      <c r="I6314" t="s">
        <v>2116</v>
      </c>
    </row>
    <row r="6315" spans="1:9" x14ac:dyDescent="0.35">
      <c r="A6315">
        <v>1295500</v>
      </c>
      <c r="B6315" t="s">
        <v>1965</v>
      </c>
      <c r="C6315" s="1">
        <v>44399</v>
      </c>
      <c r="D6315">
        <v>378</v>
      </c>
      <c r="E6315" t="b">
        <v>0</v>
      </c>
      <c r="F6315">
        <v>904</v>
      </c>
      <c r="G6315" t="s">
        <v>304</v>
      </c>
      <c r="H6315" t="s">
        <v>1510</v>
      </c>
      <c r="I6315" t="s">
        <v>2117</v>
      </c>
    </row>
    <row r="6316" spans="1:9" x14ac:dyDescent="0.35">
      <c r="A6316">
        <v>228280</v>
      </c>
      <c r="B6316" t="s">
        <v>1967</v>
      </c>
      <c r="C6316" s="1">
        <v>41290</v>
      </c>
      <c r="D6316">
        <v>378</v>
      </c>
      <c r="E6316" t="b">
        <v>1</v>
      </c>
      <c r="F6316">
        <v>904</v>
      </c>
      <c r="G6316" t="s">
        <v>2082</v>
      </c>
      <c r="H6316" t="s">
        <v>49</v>
      </c>
      <c r="I6316" t="s">
        <v>2117</v>
      </c>
    </row>
    <row r="6317" spans="1:9" x14ac:dyDescent="0.35">
      <c r="A6317">
        <v>228280</v>
      </c>
      <c r="B6317" t="s">
        <v>1967</v>
      </c>
      <c r="C6317" s="1">
        <v>41290</v>
      </c>
      <c r="D6317">
        <v>378</v>
      </c>
      <c r="E6317" t="b">
        <v>1</v>
      </c>
      <c r="F6317">
        <v>904</v>
      </c>
      <c r="G6317" t="s">
        <v>2082</v>
      </c>
      <c r="H6317" t="s">
        <v>792</v>
      </c>
      <c r="I6317" t="s">
        <v>2117</v>
      </c>
    </row>
    <row r="6318" spans="1:9" x14ac:dyDescent="0.35">
      <c r="A6318">
        <v>228280</v>
      </c>
      <c r="B6318" t="s">
        <v>1967</v>
      </c>
      <c r="C6318" s="1">
        <v>41290</v>
      </c>
      <c r="D6318">
        <v>378</v>
      </c>
      <c r="E6318" t="b">
        <v>1</v>
      </c>
      <c r="F6318">
        <v>904</v>
      </c>
      <c r="G6318" t="s">
        <v>2082</v>
      </c>
      <c r="H6318" t="s">
        <v>346</v>
      </c>
      <c r="I6318" t="s">
        <v>2116</v>
      </c>
    </row>
    <row r="6319" spans="1:9" x14ac:dyDescent="0.35">
      <c r="A6319">
        <v>228280</v>
      </c>
      <c r="B6319" t="s">
        <v>1967</v>
      </c>
      <c r="C6319" s="1">
        <v>41290</v>
      </c>
      <c r="D6319">
        <v>378</v>
      </c>
      <c r="E6319" t="b">
        <v>1</v>
      </c>
      <c r="F6319">
        <v>904</v>
      </c>
      <c r="G6319" t="s">
        <v>2082</v>
      </c>
      <c r="H6319" t="s">
        <v>239</v>
      </c>
      <c r="I6319" t="s">
        <v>2117</v>
      </c>
    </row>
    <row r="6320" spans="1:9" x14ac:dyDescent="0.35">
      <c r="A6320">
        <v>228280</v>
      </c>
      <c r="B6320" t="s">
        <v>1967</v>
      </c>
      <c r="C6320" s="1">
        <v>41290</v>
      </c>
      <c r="D6320">
        <v>378</v>
      </c>
      <c r="E6320" t="b">
        <v>1</v>
      </c>
      <c r="F6320">
        <v>904</v>
      </c>
      <c r="G6320" t="s">
        <v>2082</v>
      </c>
      <c r="H6320" t="s">
        <v>132</v>
      </c>
      <c r="I6320" t="s">
        <v>2116</v>
      </c>
    </row>
    <row r="6321" spans="1:9" x14ac:dyDescent="0.35">
      <c r="A6321">
        <v>228280</v>
      </c>
      <c r="B6321" t="s">
        <v>1967</v>
      </c>
      <c r="C6321" s="1">
        <v>41290</v>
      </c>
      <c r="D6321">
        <v>378</v>
      </c>
      <c r="E6321" t="b">
        <v>1</v>
      </c>
      <c r="F6321">
        <v>904</v>
      </c>
      <c r="G6321" t="s">
        <v>2082</v>
      </c>
      <c r="H6321" t="s">
        <v>124</v>
      </c>
      <c r="I6321" t="s">
        <v>2117</v>
      </c>
    </row>
    <row r="6322" spans="1:9" x14ac:dyDescent="0.35">
      <c r="A6322">
        <v>228280</v>
      </c>
      <c r="B6322" t="s">
        <v>1967</v>
      </c>
      <c r="C6322" s="1">
        <v>41290</v>
      </c>
      <c r="D6322">
        <v>378</v>
      </c>
      <c r="E6322" t="b">
        <v>1</v>
      </c>
      <c r="F6322">
        <v>904</v>
      </c>
      <c r="G6322" t="s">
        <v>2082</v>
      </c>
      <c r="H6322" t="s">
        <v>1510</v>
      </c>
      <c r="I6322" t="s">
        <v>2117</v>
      </c>
    </row>
    <row r="6323" spans="1:9" x14ac:dyDescent="0.35">
      <c r="A6323">
        <v>7940</v>
      </c>
      <c r="B6323" t="s">
        <v>1969</v>
      </c>
      <c r="C6323" s="1">
        <v>43051</v>
      </c>
      <c r="D6323">
        <v>377</v>
      </c>
      <c r="E6323" t="b">
        <v>1</v>
      </c>
      <c r="F6323">
        <v>906</v>
      </c>
      <c r="G6323" t="s">
        <v>2084</v>
      </c>
      <c r="H6323" t="s">
        <v>49</v>
      </c>
      <c r="I6323" t="s">
        <v>2116</v>
      </c>
    </row>
    <row r="6324" spans="1:9" x14ac:dyDescent="0.35">
      <c r="A6324">
        <v>7940</v>
      </c>
      <c r="B6324" t="s">
        <v>1969</v>
      </c>
      <c r="C6324" s="1">
        <v>43051</v>
      </c>
      <c r="D6324">
        <v>377</v>
      </c>
      <c r="E6324" t="b">
        <v>1</v>
      </c>
      <c r="F6324">
        <v>906</v>
      </c>
      <c r="G6324" t="s">
        <v>2084</v>
      </c>
      <c r="H6324" t="s">
        <v>792</v>
      </c>
      <c r="I6324" t="s">
        <v>2117</v>
      </c>
    </row>
    <row r="6325" spans="1:9" x14ac:dyDescent="0.35">
      <c r="A6325">
        <v>7940</v>
      </c>
      <c r="B6325" t="s">
        <v>1969</v>
      </c>
      <c r="C6325" s="1">
        <v>43051</v>
      </c>
      <c r="D6325">
        <v>377</v>
      </c>
      <c r="E6325" t="b">
        <v>1</v>
      </c>
      <c r="F6325">
        <v>906</v>
      </c>
      <c r="G6325" t="s">
        <v>2084</v>
      </c>
      <c r="H6325" t="s">
        <v>346</v>
      </c>
      <c r="I6325" t="s">
        <v>2117</v>
      </c>
    </row>
    <row r="6326" spans="1:9" x14ac:dyDescent="0.35">
      <c r="A6326">
        <v>7940</v>
      </c>
      <c r="B6326" t="s">
        <v>1969</v>
      </c>
      <c r="C6326" s="1">
        <v>43051</v>
      </c>
      <c r="D6326">
        <v>377</v>
      </c>
      <c r="E6326" t="b">
        <v>1</v>
      </c>
      <c r="F6326">
        <v>906</v>
      </c>
      <c r="G6326" t="s">
        <v>2084</v>
      </c>
      <c r="H6326" t="s">
        <v>239</v>
      </c>
      <c r="I6326" t="s">
        <v>2117</v>
      </c>
    </row>
    <row r="6327" spans="1:9" x14ac:dyDescent="0.35">
      <c r="A6327">
        <v>7940</v>
      </c>
      <c r="B6327" t="s">
        <v>1969</v>
      </c>
      <c r="C6327" s="1">
        <v>43051</v>
      </c>
      <c r="D6327">
        <v>377</v>
      </c>
      <c r="E6327" t="b">
        <v>1</v>
      </c>
      <c r="F6327">
        <v>906</v>
      </c>
      <c r="G6327" t="s">
        <v>2084</v>
      </c>
      <c r="H6327" t="s">
        <v>132</v>
      </c>
      <c r="I6327" t="s">
        <v>2117</v>
      </c>
    </row>
    <row r="6328" spans="1:9" x14ac:dyDescent="0.35">
      <c r="A6328">
        <v>7940</v>
      </c>
      <c r="B6328" t="s">
        <v>1969</v>
      </c>
      <c r="C6328" s="1">
        <v>43051</v>
      </c>
      <c r="D6328">
        <v>377</v>
      </c>
      <c r="E6328" t="b">
        <v>1</v>
      </c>
      <c r="F6328">
        <v>906</v>
      </c>
      <c r="G6328" t="s">
        <v>2084</v>
      </c>
      <c r="H6328" t="s">
        <v>124</v>
      </c>
      <c r="I6328" t="s">
        <v>2117</v>
      </c>
    </row>
    <row r="6329" spans="1:9" x14ac:dyDescent="0.35">
      <c r="A6329">
        <v>7940</v>
      </c>
      <c r="B6329" t="s">
        <v>1969</v>
      </c>
      <c r="C6329" s="1">
        <v>43051</v>
      </c>
      <c r="D6329">
        <v>377</v>
      </c>
      <c r="E6329" t="b">
        <v>1</v>
      </c>
      <c r="F6329">
        <v>906</v>
      </c>
      <c r="G6329" t="s">
        <v>2084</v>
      </c>
      <c r="H6329" t="s">
        <v>1510</v>
      </c>
      <c r="I6329" t="s">
        <v>2117</v>
      </c>
    </row>
    <row r="6330" spans="1:9" x14ac:dyDescent="0.35">
      <c r="A6330">
        <v>1817190</v>
      </c>
      <c r="B6330" t="s">
        <v>1970</v>
      </c>
      <c r="C6330" s="1">
        <v>44883</v>
      </c>
      <c r="D6330">
        <v>377</v>
      </c>
      <c r="E6330" t="b">
        <v>0</v>
      </c>
      <c r="F6330">
        <v>906</v>
      </c>
      <c r="G6330" t="s">
        <v>18</v>
      </c>
      <c r="H6330" t="s">
        <v>49</v>
      </c>
      <c r="I6330" t="s">
        <v>2116</v>
      </c>
    </row>
    <row r="6331" spans="1:9" x14ac:dyDescent="0.35">
      <c r="A6331">
        <v>1817190</v>
      </c>
      <c r="B6331" t="s">
        <v>1970</v>
      </c>
      <c r="C6331" s="1">
        <v>44883</v>
      </c>
      <c r="D6331">
        <v>377</v>
      </c>
      <c r="E6331" t="b">
        <v>0</v>
      </c>
      <c r="F6331">
        <v>906</v>
      </c>
      <c r="G6331" t="s">
        <v>18</v>
      </c>
      <c r="H6331" t="s">
        <v>792</v>
      </c>
      <c r="I6331" t="s">
        <v>2117</v>
      </c>
    </row>
    <row r="6332" spans="1:9" x14ac:dyDescent="0.35">
      <c r="A6332">
        <v>1817190</v>
      </c>
      <c r="B6332" t="s">
        <v>1970</v>
      </c>
      <c r="C6332" s="1">
        <v>44883</v>
      </c>
      <c r="D6332">
        <v>377</v>
      </c>
      <c r="E6332" t="b">
        <v>0</v>
      </c>
      <c r="F6332">
        <v>906</v>
      </c>
      <c r="G6332" t="s">
        <v>18</v>
      </c>
      <c r="H6332" t="s">
        <v>346</v>
      </c>
      <c r="I6332" t="s">
        <v>2116</v>
      </c>
    </row>
    <row r="6333" spans="1:9" x14ac:dyDescent="0.35">
      <c r="A6333">
        <v>1817190</v>
      </c>
      <c r="B6333" t="s">
        <v>1970</v>
      </c>
      <c r="C6333" s="1">
        <v>44883</v>
      </c>
      <c r="D6333">
        <v>377</v>
      </c>
      <c r="E6333" t="b">
        <v>0</v>
      </c>
      <c r="F6333">
        <v>906</v>
      </c>
      <c r="G6333" t="s">
        <v>18</v>
      </c>
      <c r="H6333" t="s">
        <v>239</v>
      </c>
      <c r="I6333" t="s">
        <v>2117</v>
      </c>
    </row>
    <row r="6334" spans="1:9" x14ac:dyDescent="0.35">
      <c r="A6334">
        <v>1817190</v>
      </c>
      <c r="B6334" t="s">
        <v>1970</v>
      </c>
      <c r="C6334" s="1">
        <v>44883</v>
      </c>
      <c r="D6334">
        <v>377</v>
      </c>
      <c r="E6334" t="b">
        <v>0</v>
      </c>
      <c r="F6334">
        <v>906</v>
      </c>
      <c r="G6334" t="s">
        <v>18</v>
      </c>
      <c r="H6334" t="s">
        <v>132</v>
      </c>
      <c r="I6334" t="s">
        <v>2117</v>
      </c>
    </row>
    <row r="6335" spans="1:9" x14ac:dyDescent="0.35">
      <c r="A6335">
        <v>1817190</v>
      </c>
      <c r="B6335" t="s">
        <v>1970</v>
      </c>
      <c r="C6335" s="1">
        <v>44883</v>
      </c>
      <c r="D6335">
        <v>377</v>
      </c>
      <c r="E6335" t="b">
        <v>0</v>
      </c>
      <c r="F6335">
        <v>906</v>
      </c>
      <c r="G6335" t="s">
        <v>18</v>
      </c>
      <c r="H6335" t="s">
        <v>124</v>
      </c>
      <c r="I6335" t="s">
        <v>2117</v>
      </c>
    </row>
    <row r="6336" spans="1:9" x14ac:dyDescent="0.35">
      <c r="A6336">
        <v>1817190</v>
      </c>
      <c r="B6336" t="s">
        <v>1970</v>
      </c>
      <c r="C6336" s="1">
        <v>44883</v>
      </c>
      <c r="D6336">
        <v>377</v>
      </c>
      <c r="E6336" t="b">
        <v>0</v>
      </c>
      <c r="F6336">
        <v>906</v>
      </c>
      <c r="G6336" t="s">
        <v>18</v>
      </c>
      <c r="H6336" t="s">
        <v>1510</v>
      </c>
      <c r="I6336" t="s">
        <v>2117</v>
      </c>
    </row>
    <row r="6337" spans="1:9" x14ac:dyDescent="0.35">
      <c r="A6337">
        <v>1017180</v>
      </c>
      <c r="B6337" t="s">
        <v>1971</v>
      </c>
      <c r="C6337" s="1">
        <v>43733</v>
      </c>
      <c r="D6337">
        <v>377</v>
      </c>
      <c r="E6337" t="b">
        <v>0</v>
      </c>
      <c r="F6337">
        <v>906</v>
      </c>
      <c r="G6337" t="s">
        <v>133</v>
      </c>
      <c r="H6337" t="s">
        <v>49</v>
      </c>
      <c r="I6337" t="s">
        <v>2116</v>
      </c>
    </row>
    <row r="6338" spans="1:9" x14ac:dyDescent="0.35">
      <c r="A6338">
        <v>1017180</v>
      </c>
      <c r="B6338" t="s">
        <v>1971</v>
      </c>
      <c r="C6338" s="1">
        <v>43733</v>
      </c>
      <c r="D6338">
        <v>377</v>
      </c>
      <c r="E6338" t="b">
        <v>0</v>
      </c>
      <c r="F6338">
        <v>906</v>
      </c>
      <c r="G6338" t="s">
        <v>133</v>
      </c>
      <c r="H6338" t="s">
        <v>792</v>
      </c>
      <c r="I6338" t="s">
        <v>2116</v>
      </c>
    </row>
    <row r="6339" spans="1:9" x14ac:dyDescent="0.35">
      <c r="A6339">
        <v>1017180</v>
      </c>
      <c r="B6339" t="s">
        <v>1971</v>
      </c>
      <c r="C6339" s="1">
        <v>43733</v>
      </c>
      <c r="D6339">
        <v>377</v>
      </c>
      <c r="E6339" t="b">
        <v>0</v>
      </c>
      <c r="F6339">
        <v>906</v>
      </c>
      <c r="G6339" t="s">
        <v>133</v>
      </c>
      <c r="H6339" t="s">
        <v>346</v>
      </c>
      <c r="I6339" t="s">
        <v>2116</v>
      </c>
    </row>
    <row r="6340" spans="1:9" x14ac:dyDescent="0.35">
      <c r="A6340">
        <v>1017180</v>
      </c>
      <c r="B6340" t="s">
        <v>1971</v>
      </c>
      <c r="C6340" s="1">
        <v>43733</v>
      </c>
      <c r="D6340">
        <v>377</v>
      </c>
      <c r="E6340" t="b">
        <v>0</v>
      </c>
      <c r="F6340">
        <v>906</v>
      </c>
      <c r="G6340" t="s">
        <v>133</v>
      </c>
      <c r="H6340" t="s">
        <v>239</v>
      </c>
      <c r="I6340" t="s">
        <v>2116</v>
      </c>
    </row>
    <row r="6341" spans="1:9" x14ac:dyDescent="0.35">
      <c r="A6341">
        <v>1017180</v>
      </c>
      <c r="B6341" t="s">
        <v>1971</v>
      </c>
      <c r="C6341" s="1">
        <v>43733</v>
      </c>
      <c r="D6341">
        <v>377</v>
      </c>
      <c r="E6341" t="b">
        <v>0</v>
      </c>
      <c r="F6341">
        <v>906</v>
      </c>
      <c r="G6341" t="s">
        <v>133</v>
      </c>
      <c r="H6341" t="s">
        <v>132</v>
      </c>
      <c r="I6341" t="s">
        <v>2117</v>
      </c>
    </row>
    <row r="6342" spans="1:9" x14ac:dyDescent="0.35">
      <c r="A6342">
        <v>1017180</v>
      </c>
      <c r="B6342" t="s">
        <v>1971</v>
      </c>
      <c r="C6342" s="1">
        <v>43733</v>
      </c>
      <c r="D6342">
        <v>377</v>
      </c>
      <c r="E6342" t="b">
        <v>0</v>
      </c>
      <c r="F6342">
        <v>906</v>
      </c>
      <c r="G6342" t="s">
        <v>133</v>
      </c>
      <c r="H6342" t="s">
        <v>124</v>
      </c>
      <c r="I6342" t="s">
        <v>2117</v>
      </c>
    </row>
    <row r="6343" spans="1:9" x14ac:dyDescent="0.35">
      <c r="A6343">
        <v>1017180</v>
      </c>
      <c r="B6343" t="s">
        <v>1971</v>
      </c>
      <c r="C6343" s="1">
        <v>43733</v>
      </c>
      <c r="D6343">
        <v>377</v>
      </c>
      <c r="E6343" t="b">
        <v>0</v>
      </c>
      <c r="F6343">
        <v>906</v>
      </c>
      <c r="G6343" t="s">
        <v>133</v>
      </c>
      <c r="H6343" t="s">
        <v>1510</v>
      </c>
      <c r="I6343" t="s">
        <v>2117</v>
      </c>
    </row>
    <row r="6344" spans="1:9" x14ac:dyDescent="0.35">
      <c r="A6344">
        <v>285900</v>
      </c>
      <c r="B6344" t="s">
        <v>1974</v>
      </c>
      <c r="C6344" s="1">
        <v>43081</v>
      </c>
      <c r="D6344">
        <v>376</v>
      </c>
      <c r="E6344" t="b">
        <v>1</v>
      </c>
      <c r="F6344">
        <v>909</v>
      </c>
      <c r="G6344" t="s">
        <v>40</v>
      </c>
      <c r="H6344" t="s">
        <v>49</v>
      </c>
      <c r="I6344" t="s">
        <v>2116</v>
      </c>
    </row>
    <row r="6345" spans="1:9" x14ac:dyDescent="0.35">
      <c r="A6345">
        <v>285900</v>
      </c>
      <c r="B6345" t="s">
        <v>1974</v>
      </c>
      <c r="C6345" s="1">
        <v>43081</v>
      </c>
      <c r="D6345">
        <v>376</v>
      </c>
      <c r="E6345" t="b">
        <v>1</v>
      </c>
      <c r="F6345">
        <v>909</v>
      </c>
      <c r="G6345" t="s">
        <v>40</v>
      </c>
      <c r="H6345" t="s">
        <v>792</v>
      </c>
      <c r="I6345" t="s">
        <v>2116</v>
      </c>
    </row>
    <row r="6346" spans="1:9" x14ac:dyDescent="0.35">
      <c r="A6346">
        <v>285900</v>
      </c>
      <c r="B6346" t="s">
        <v>1974</v>
      </c>
      <c r="C6346" s="1">
        <v>43081</v>
      </c>
      <c r="D6346">
        <v>376</v>
      </c>
      <c r="E6346" t="b">
        <v>1</v>
      </c>
      <c r="F6346">
        <v>909</v>
      </c>
      <c r="G6346" t="s">
        <v>40</v>
      </c>
      <c r="H6346" t="s">
        <v>346</v>
      </c>
      <c r="I6346" t="s">
        <v>2116</v>
      </c>
    </row>
    <row r="6347" spans="1:9" x14ac:dyDescent="0.35">
      <c r="A6347">
        <v>285900</v>
      </c>
      <c r="B6347" t="s">
        <v>1974</v>
      </c>
      <c r="C6347" s="1">
        <v>43081</v>
      </c>
      <c r="D6347">
        <v>376</v>
      </c>
      <c r="E6347" t="b">
        <v>1</v>
      </c>
      <c r="F6347">
        <v>909</v>
      </c>
      <c r="G6347" t="s">
        <v>40</v>
      </c>
      <c r="H6347" t="s">
        <v>239</v>
      </c>
      <c r="I6347" t="s">
        <v>2116</v>
      </c>
    </row>
    <row r="6348" spans="1:9" x14ac:dyDescent="0.35">
      <c r="A6348">
        <v>285900</v>
      </c>
      <c r="B6348" t="s">
        <v>1974</v>
      </c>
      <c r="C6348" s="1">
        <v>43081</v>
      </c>
      <c r="D6348">
        <v>376</v>
      </c>
      <c r="E6348" t="b">
        <v>1</v>
      </c>
      <c r="F6348">
        <v>909</v>
      </c>
      <c r="G6348" t="s">
        <v>40</v>
      </c>
      <c r="H6348" t="s">
        <v>132</v>
      </c>
      <c r="I6348" t="s">
        <v>2117</v>
      </c>
    </row>
    <row r="6349" spans="1:9" x14ac:dyDescent="0.35">
      <c r="A6349">
        <v>285900</v>
      </c>
      <c r="B6349" t="s">
        <v>1974</v>
      </c>
      <c r="C6349" s="1">
        <v>43081</v>
      </c>
      <c r="D6349">
        <v>376</v>
      </c>
      <c r="E6349" t="b">
        <v>1</v>
      </c>
      <c r="F6349">
        <v>909</v>
      </c>
      <c r="G6349" t="s">
        <v>40</v>
      </c>
      <c r="H6349" t="s">
        <v>124</v>
      </c>
      <c r="I6349" t="s">
        <v>2117</v>
      </c>
    </row>
    <row r="6350" spans="1:9" x14ac:dyDescent="0.35">
      <c r="A6350">
        <v>285900</v>
      </c>
      <c r="B6350" t="s">
        <v>1974</v>
      </c>
      <c r="C6350" s="1">
        <v>43081</v>
      </c>
      <c r="D6350">
        <v>376</v>
      </c>
      <c r="E6350" t="b">
        <v>1</v>
      </c>
      <c r="F6350">
        <v>909</v>
      </c>
      <c r="G6350" t="s">
        <v>40</v>
      </c>
      <c r="H6350" t="s">
        <v>1510</v>
      </c>
      <c r="I6350" t="s">
        <v>2117</v>
      </c>
    </row>
    <row r="6351" spans="1:9" x14ac:dyDescent="0.35">
      <c r="A6351">
        <v>1106840</v>
      </c>
      <c r="B6351" t="s">
        <v>1976</v>
      </c>
      <c r="C6351" s="1">
        <v>43959</v>
      </c>
      <c r="D6351">
        <v>374</v>
      </c>
      <c r="E6351" t="b">
        <v>0</v>
      </c>
      <c r="F6351">
        <v>910</v>
      </c>
      <c r="G6351" t="s">
        <v>53</v>
      </c>
      <c r="H6351" t="s">
        <v>49</v>
      </c>
      <c r="I6351" t="s">
        <v>2117</v>
      </c>
    </row>
    <row r="6352" spans="1:9" x14ac:dyDescent="0.35">
      <c r="A6352">
        <v>1106840</v>
      </c>
      <c r="B6352" t="s">
        <v>1976</v>
      </c>
      <c r="C6352" s="1">
        <v>43959</v>
      </c>
      <c r="D6352">
        <v>374</v>
      </c>
      <c r="E6352" t="b">
        <v>0</v>
      </c>
      <c r="F6352">
        <v>910</v>
      </c>
      <c r="G6352" t="s">
        <v>53</v>
      </c>
      <c r="H6352" t="s">
        <v>792</v>
      </c>
      <c r="I6352" t="s">
        <v>2116</v>
      </c>
    </row>
    <row r="6353" spans="1:9" x14ac:dyDescent="0.35">
      <c r="A6353">
        <v>1106840</v>
      </c>
      <c r="B6353" t="s">
        <v>1976</v>
      </c>
      <c r="C6353" s="1">
        <v>43959</v>
      </c>
      <c r="D6353">
        <v>374</v>
      </c>
      <c r="E6353" t="b">
        <v>0</v>
      </c>
      <c r="F6353">
        <v>910</v>
      </c>
      <c r="G6353" t="s">
        <v>53</v>
      </c>
      <c r="H6353" t="s">
        <v>346</v>
      </c>
      <c r="I6353" t="s">
        <v>2116</v>
      </c>
    </row>
    <row r="6354" spans="1:9" x14ac:dyDescent="0.35">
      <c r="A6354">
        <v>1106840</v>
      </c>
      <c r="B6354" t="s">
        <v>1976</v>
      </c>
      <c r="C6354" s="1">
        <v>43959</v>
      </c>
      <c r="D6354">
        <v>374</v>
      </c>
      <c r="E6354" t="b">
        <v>0</v>
      </c>
      <c r="F6354">
        <v>910</v>
      </c>
      <c r="G6354" t="s">
        <v>53</v>
      </c>
      <c r="H6354" t="s">
        <v>239</v>
      </c>
      <c r="I6354" t="s">
        <v>2116</v>
      </c>
    </row>
    <row r="6355" spans="1:9" x14ac:dyDescent="0.35">
      <c r="A6355">
        <v>1106840</v>
      </c>
      <c r="B6355" t="s">
        <v>1976</v>
      </c>
      <c r="C6355" s="1">
        <v>43959</v>
      </c>
      <c r="D6355">
        <v>374</v>
      </c>
      <c r="E6355" t="b">
        <v>0</v>
      </c>
      <c r="F6355">
        <v>910</v>
      </c>
      <c r="G6355" t="s">
        <v>53</v>
      </c>
      <c r="H6355" t="s">
        <v>132</v>
      </c>
      <c r="I6355" t="s">
        <v>2117</v>
      </c>
    </row>
    <row r="6356" spans="1:9" x14ac:dyDescent="0.35">
      <c r="A6356">
        <v>1106840</v>
      </c>
      <c r="B6356" t="s">
        <v>1976</v>
      </c>
      <c r="C6356" s="1">
        <v>43959</v>
      </c>
      <c r="D6356">
        <v>374</v>
      </c>
      <c r="E6356" t="b">
        <v>0</v>
      </c>
      <c r="F6356">
        <v>910</v>
      </c>
      <c r="G6356" t="s">
        <v>53</v>
      </c>
      <c r="H6356" t="s">
        <v>124</v>
      </c>
      <c r="I6356" t="s">
        <v>2116</v>
      </c>
    </row>
    <row r="6357" spans="1:9" x14ac:dyDescent="0.35">
      <c r="A6357">
        <v>1106840</v>
      </c>
      <c r="B6357" t="s">
        <v>1976</v>
      </c>
      <c r="C6357" s="1">
        <v>43959</v>
      </c>
      <c r="D6357">
        <v>374</v>
      </c>
      <c r="E6357" t="b">
        <v>0</v>
      </c>
      <c r="F6357">
        <v>910</v>
      </c>
      <c r="G6357" t="s">
        <v>53</v>
      </c>
      <c r="H6357" t="s">
        <v>1510</v>
      </c>
      <c r="I6357" t="s">
        <v>2117</v>
      </c>
    </row>
    <row r="6358" spans="1:9" x14ac:dyDescent="0.35">
      <c r="A6358">
        <v>1676840</v>
      </c>
      <c r="B6358" t="s">
        <v>1978</v>
      </c>
      <c r="C6358" s="1">
        <v>45232</v>
      </c>
      <c r="D6358">
        <v>374</v>
      </c>
      <c r="E6358" t="b">
        <v>0</v>
      </c>
      <c r="F6358">
        <v>910</v>
      </c>
      <c r="G6358" t="s">
        <v>147</v>
      </c>
      <c r="H6358" t="s">
        <v>49</v>
      </c>
      <c r="I6358" t="s">
        <v>2117</v>
      </c>
    </row>
    <row r="6359" spans="1:9" x14ac:dyDescent="0.35">
      <c r="A6359">
        <v>1676840</v>
      </c>
      <c r="B6359" t="s">
        <v>1978</v>
      </c>
      <c r="C6359" s="1">
        <v>45232</v>
      </c>
      <c r="D6359">
        <v>374</v>
      </c>
      <c r="E6359" t="b">
        <v>0</v>
      </c>
      <c r="F6359">
        <v>910</v>
      </c>
      <c r="G6359" t="s">
        <v>147</v>
      </c>
      <c r="H6359" t="s">
        <v>792</v>
      </c>
      <c r="I6359" t="s">
        <v>2116</v>
      </c>
    </row>
    <row r="6360" spans="1:9" x14ac:dyDescent="0.35">
      <c r="A6360">
        <v>1676840</v>
      </c>
      <c r="B6360" t="s">
        <v>1978</v>
      </c>
      <c r="C6360" s="1">
        <v>45232</v>
      </c>
      <c r="D6360">
        <v>374</v>
      </c>
      <c r="E6360" t="b">
        <v>0</v>
      </c>
      <c r="F6360">
        <v>910</v>
      </c>
      <c r="G6360" t="s">
        <v>147</v>
      </c>
      <c r="H6360" t="s">
        <v>346</v>
      </c>
      <c r="I6360" t="s">
        <v>2116</v>
      </c>
    </row>
    <row r="6361" spans="1:9" x14ac:dyDescent="0.35">
      <c r="A6361">
        <v>1676840</v>
      </c>
      <c r="B6361" t="s">
        <v>1978</v>
      </c>
      <c r="C6361" s="1">
        <v>45232</v>
      </c>
      <c r="D6361">
        <v>374</v>
      </c>
      <c r="E6361" t="b">
        <v>0</v>
      </c>
      <c r="F6361">
        <v>910</v>
      </c>
      <c r="G6361" t="s">
        <v>147</v>
      </c>
      <c r="H6361" t="s">
        <v>239</v>
      </c>
      <c r="I6361" t="s">
        <v>2117</v>
      </c>
    </row>
    <row r="6362" spans="1:9" x14ac:dyDescent="0.35">
      <c r="A6362">
        <v>1676840</v>
      </c>
      <c r="B6362" t="s">
        <v>1978</v>
      </c>
      <c r="C6362" s="1">
        <v>45232</v>
      </c>
      <c r="D6362">
        <v>374</v>
      </c>
      <c r="E6362" t="b">
        <v>0</v>
      </c>
      <c r="F6362">
        <v>910</v>
      </c>
      <c r="G6362" t="s">
        <v>147</v>
      </c>
      <c r="H6362" t="s">
        <v>132</v>
      </c>
      <c r="I6362" t="s">
        <v>2116</v>
      </c>
    </row>
    <row r="6363" spans="1:9" x14ac:dyDescent="0.35">
      <c r="A6363">
        <v>1676840</v>
      </c>
      <c r="B6363" t="s">
        <v>1978</v>
      </c>
      <c r="C6363" s="1">
        <v>45232</v>
      </c>
      <c r="D6363">
        <v>374</v>
      </c>
      <c r="E6363" t="b">
        <v>0</v>
      </c>
      <c r="F6363">
        <v>910</v>
      </c>
      <c r="G6363" t="s">
        <v>147</v>
      </c>
      <c r="H6363" t="s">
        <v>124</v>
      </c>
      <c r="I6363" t="s">
        <v>2116</v>
      </c>
    </row>
    <row r="6364" spans="1:9" x14ac:dyDescent="0.35">
      <c r="A6364">
        <v>1676840</v>
      </c>
      <c r="B6364" t="s">
        <v>1978</v>
      </c>
      <c r="C6364" s="1">
        <v>45232</v>
      </c>
      <c r="D6364">
        <v>374</v>
      </c>
      <c r="E6364" t="b">
        <v>0</v>
      </c>
      <c r="F6364">
        <v>910</v>
      </c>
      <c r="G6364" t="s">
        <v>147</v>
      </c>
      <c r="H6364" t="s">
        <v>1510</v>
      </c>
      <c r="I6364" t="s">
        <v>2117</v>
      </c>
    </row>
    <row r="6365" spans="1:9" x14ac:dyDescent="0.35">
      <c r="A6365">
        <v>1611910</v>
      </c>
      <c r="B6365" t="s">
        <v>1980</v>
      </c>
      <c r="C6365" s="1">
        <v>44686</v>
      </c>
      <c r="D6365">
        <v>373</v>
      </c>
      <c r="E6365" t="b">
        <v>0</v>
      </c>
      <c r="F6365">
        <v>912</v>
      </c>
      <c r="G6365" t="s">
        <v>18</v>
      </c>
      <c r="H6365" t="s">
        <v>49</v>
      </c>
      <c r="I6365" t="s">
        <v>2117</v>
      </c>
    </row>
    <row r="6366" spans="1:9" x14ac:dyDescent="0.35">
      <c r="A6366">
        <v>1611910</v>
      </c>
      <c r="B6366" t="s">
        <v>1980</v>
      </c>
      <c r="C6366" s="1">
        <v>44686</v>
      </c>
      <c r="D6366">
        <v>373</v>
      </c>
      <c r="E6366" t="b">
        <v>0</v>
      </c>
      <c r="F6366">
        <v>912</v>
      </c>
      <c r="G6366" t="s">
        <v>18</v>
      </c>
      <c r="H6366" t="s">
        <v>792</v>
      </c>
      <c r="I6366" t="s">
        <v>2117</v>
      </c>
    </row>
    <row r="6367" spans="1:9" x14ac:dyDescent="0.35">
      <c r="A6367">
        <v>1611910</v>
      </c>
      <c r="B6367" t="s">
        <v>1980</v>
      </c>
      <c r="C6367" s="1">
        <v>44686</v>
      </c>
      <c r="D6367">
        <v>373</v>
      </c>
      <c r="E6367" t="b">
        <v>0</v>
      </c>
      <c r="F6367">
        <v>912</v>
      </c>
      <c r="G6367" t="s">
        <v>18</v>
      </c>
      <c r="H6367" t="s">
        <v>346</v>
      </c>
      <c r="I6367" t="s">
        <v>2117</v>
      </c>
    </row>
    <row r="6368" spans="1:9" x14ac:dyDescent="0.35">
      <c r="A6368">
        <v>1611910</v>
      </c>
      <c r="B6368" t="s">
        <v>1980</v>
      </c>
      <c r="C6368" s="1">
        <v>44686</v>
      </c>
      <c r="D6368">
        <v>373</v>
      </c>
      <c r="E6368" t="b">
        <v>0</v>
      </c>
      <c r="F6368">
        <v>912</v>
      </c>
      <c r="G6368" t="s">
        <v>18</v>
      </c>
      <c r="H6368" t="s">
        <v>239</v>
      </c>
      <c r="I6368" t="s">
        <v>2117</v>
      </c>
    </row>
    <row r="6369" spans="1:9" x14ac:dyDescent="0.35">
      <c r="A6369">
        <v>1611910</v>
      </c>
      <c r="B6369" t="s">
        <v>1980</v>
      </c>
      <c r="C6369" s="1">
        <v>44686</v>
      </c>
      <c r="D6369">
        <v>373</v>
      </c>
      <c r="E6369" t="b">
        <v>0</v>
      </c>
      <c r="F6369">
        <v>912</v>
      </c>
      <c r="G6369" t="s">
        <v>18</v>
      </c>
      <c r="H6369" t="s">
        <v>132</v>
      </c>
      <c r="I6369" t="s">
        <v>2116</v>
      </c>
    </row>
    <row r="6370" spans="1:9" x14ac:dyDescent="0.35">
      <c r="A6370">
        <v>1611910</v>
      </c>
      <c r="B6370" t="s">
        <v>1980</v>
      </c>
      <c r="C6370" s="1">
        <v>44686</v>
      </c>
      <c r="D6370">
        <v>373</v>
      </c>
      <c r="E6370" t="b">
        <v>0</v>
      </c>
      <c r="F6370">
        <v>912</v>
      </c>
      <c r="G6370" t="s">
        <v>18</v>
      </c>
      <c r="H6370" t="s">
        <v>124</v>
      </c>
      <c r="I6370" t="s">
        <v>2116</v>
      </c>
    </row>
    <row r="6371" spans="1:9" x14ac:dyDescent="0.35">
      <c r="A6371">
        <v>1611910</v>
      </c>
      <c r="B6371" t="s">
        <v>1980</v>
      </c>
      <c r="C6371" s="1">
        <v>44686</v>
      </c>
      <c r="D6371">
        <v>373</v>
      </c>
      <c r="E6371" t="b">
        <v>0</v>
      </c>
      <c r="F6371">
        <v>912</v>
      </c>
      <c r="G6371" t="s">
        <v>18</v>
      </c>
      <c r="H6371" t="s">
        <v>1510</v>
      </c>
      <c r="I6371" t="s">
        <v>2117</v>
      </c>
    </row>
    <row r="6372" spans="1:9" x14ac:dyDescent="0.35">
      <c r="A6372">
        <v>2239150</v>
      </c>
      <c r="B6372" t="s">
        <v>1981</v>
      </c>
      <c r="C6372" s="1">
        <v>45576</v>
      </c>
      <c r="D6372">
        <v>373</v>
      </c>
      <c r="E6372" t="b">
        <v>1</v>
      </c>
      <c r="F6372">
        <v>912</v>
      </c>
      <c r="G6372" t="s">
        <v>33</v>
      </c>
      <c r="H6372" t="s">
        <v>49</v>
      </c>
      <c r="I6372" t="s">
        <v>2116</v>
      </c>
    </row>
    <row r="6373" spans="1:9" x14ac:dyDescent="0.35">
      <c r="A6373">
        <v>2239150</v>
      </c>
      <c r="B6373" t="s">
        <v>1981</v>
      </c>
      <c r="C6373" s="1">
        <v>45576</v>
      </c>
      <c r="D6373">
        <v>373</v>
      </c>
      <c r="E6373" t="b">
        <v>1</v>
      </c>
      <c r="F6373">
        <v>912</v>
      </c>
      <c r="G6373" t="s">
        <v>33</v>
      </c>
      <c r="H6373" t="s">
        <v>792</v>
      </c>
      <c r="I6373" t="s">
        <v>2116</v>
      </c>
    </row>
    <row r="6374" spans="1:9" x14ac:dyDescent="0.35">
      <c r="A6374">
        <v>2239150</v>
      </c>
      <c r="B6374" t="s">
        <v>1981</v>
      </c>
      <c r="C6374" s="1">
        <v>45576</v>
      </c>
      <c r="D6374">
        <v>373</v>
      </c>
      <c r="E6374" t="b">
        <v>1</v>
      </c>
      <c r="F6374">
        <v>912</v>
      </c>
      <c r="G6374" t="s">
        <v>33</v>
      </c>
      <c r="H6374" t="s">
        <v>346</v>
      </c>
      <c r="I6374" t="s">
        <v>2117</v>
      </c>
    </row>
    <row r="6375" spans="1:9" x14ac:dyDescent="0.35">
      <c r="A6375">
        <v>2239150</v>
      </c>
      <c r="B6375" t="s">
        <v>1981</v>
      </c>
      <c r="C6375" s="1">
        <v>45576</v>
      </c>
      <c r="D6375">
        <v>373</v>
      </c>
      <c r="E6375" t="b">
        <v>1</v>
      </c>
      <c r="F6375">
        <v>912</v>
      </c>
      <c r="G6375" t="s">
        <v>33</v>
      </c>
      <c r="H6375" t="s">
        <v>239</v>
      </c>
      <c r="I6375" t="s">
        <v>2117</v>
      </c>
    </row>
    <row r="6376" spans="1:9" x14ac:dyDescent="0.35">
      <c r="A6376">
        <v>2239150</v>
      </c>
      <c r="B6376" t="s">
        <v>1981</v>
      </c>
      <c r="C6376" s="1">
        <v>45576</v>
      </c>
      <c r="D6376">
        <v>373</v>
      </c>
      <c r="E6376" t="b">
        <v>1</v>
      </c>
      <c r="F6376">
        <v>912</v>
      </c>
      <c r="G6376" t="s">
        <v>33</v>
      </c>
      <c r="H6376" t="s">
        <v>132</v>
      </c>
      <c r="I6376" t="s">
        <v>2117</v>
      </c>
    </row>
    <row r="6377" spans="1:9" x14ac:dyDescent="0.35">
      <c r="A6377">
        <v>2239150</v>
      </c>
      <c r="B6377" t="s">
        <v>1981</v>
      </c>
      <c r="C6377" s="1">
        <v>45576</v>
      </c>
      <c r="D6377">
        <v>373</v>
      </c>
      <c r="E6377" t="b">
        <v>1</v>
      </c>
      <c r="F6377">
        <v>912</v>
      </c>
      <c r="G6377" t="s">
        <v>33</v>
      </c>
      <c r="H6377" t="s">
        <v>124</v>
      </c>
      <c r="I6377" t="s">
        <v>2116</v>
      </c>
    </row>
    <row r="6378" spans="1:9" x14ac:dyDescent="0.35">
      <c r="A6378">
        <v>2239150</v>
      </c>
      <c r="B6378" t="s">
        <v>1981</v>
      </c>
      <c r="C6378" s="1">
        <v>45576</v>
      </c>
      <c r="D6378">
        <v>373</v>
      </c>
      <c r="E6378" t="b">
        <v>1</v>
      </c>
      <c r="F6378">
        <v>912</v>
      </c>
      <c r="G6378" t="s">
        <v>33</v>
      </c>
      <c r="H6378" t="s">
        <v>1510</v>
      </c>
      <c r="I6378" t="s">
        <v>2117</v>
      </c>
    </row>
    <row r="6379" spans="1:9" x14ac:dyDescent="0.35">
      <c r="A6379">
        <v>289650</v>
      </c>
      <c r="B6379" t="s">
        <v>1983</v>
      </c>
      <c r="C6379" s="1">
        <v>41954</v>
      </c>
      <c r="D6379">
        <v>373</v>
      </c>
      <c r="E6379" t="b">
        <v>0</v>
      </c>
      <c r="F6379">
        <v>912</v>
      </c>
      <c r="G6379" t="s">
        <v>2090</v>
      </c>
      <c r="H6379" t="s">
        <v>49</v>
      </c>
      <c r="I6379" t="s">
        <v>2116</v>
      </c>
    </row>
    <row r="6380" spans="1:9" x14ac:dyDescent="0.35">
      <c r="A6380">
        <v>289650</v>
      </c>
      <c r="B6380" t="s">
        <v>1983</v>
      </c>
      <c r="C6380" s="1">
        <v>41954</v>
      </c>
      <c r="D6380">
        <v>373</v>
      </c>
      <c r="E6380" t="b">
        <v>0</v>
      </c>
      <c r="F6380">
        <v>912</v>
      </c>
      <c r="G6380" t="s">
        <v>2090</v>
      </c>
      <c r="H6380" t="s">
        <v>792</v>
      </c>
      <c r="I6380" t="s">
        <v>2117</v>
      </c>
    </row>
    <row r="6381" spans="1:9" x14ac:dyDescent="0.35">
      <c r="A6381">
        <v>289650</v>
      </c>
      <c r="B6381" t="s">
        <v>1983</v>
      </c>
      <c r="C6381" s="1">
        <v>41954</v>
      </c>
      <c r="D6381">
        <v>373</v>
      </c>
      <c r="E6381" t="b">
        <v>0</v>
      </c>
      <c r="F6381">
        <v>912</v>
      </c>
      <c r="G6381" t="s">
        <v>2090</v>
      </c>
      <c r="H6381" t="s">
        <v>346</v>
      </c>
      <c r="I6381" t="s">
        <v>2116</v>
      </c>
    </row>
    <row r="6382" spans="1:9" x14ac:dyDescent="0.35">
      <c r="A6382">
        <v>289650</v>
      </c>
      <c r="B6382" t="s">
        <v>1983</v>
      </c>
      <c r="C6382" s="1">
        <v>41954</v>
      </c>
      <c r="D6382">
        <v>373</v>
      </c>
      <c r="E6382" t="b">
        <v>0</v>
      </c>
      <c r="F6382">
        <v>912</v>
      </c>
      <c r="G6382" t="s">
        <v>2090</v>
      </c>
      <c r="H6382" t="s">
        <v>239</v>
      </c>
      <c r="I6382" t="s">
        <v>2117</v>
      </c>
    </row>
    <row r="6383" spans="1:9" x14ac:dyDescent="0.35">
      <c r="A6383">
        <v>289650</v>
      </c>
      <c r="B6383" t="s">
        <v>1983</v>
      </c>
      <c r="C6383" s="1">
        <v>41954</v>
      </c>
      <c r="D6383">
        <v>373</v>
      </c>
      <c r="E6383" t="b">
        <v>0</v>
      </c>
      <c r="F6383">
        <v>912</v>
      </c>
      <c r="G6383" t="s">
        <v>2090</v>
      </c>
      <c r="H6383" t="s">
        <v>132</v>
      </c>
      <c r="I6383" t="s">
        <v>2117</v>
      </c>
    </row>
    <row r="6384" spans="1:9" x14ac:dyDescent="0.35">
      <c r="A6384">
        <v>289650</v>
      </c>
      <c r="B6384" t="s">
        <v>1983</v>
      </c>
      <c r="C6384" s="1">
        <v>41954</v>
      </c>
      <c r="D6384">
        <v>373</v>
      </c>
      <c r="E6384" t="b">
        <v>0</v>
      </c>
      <c r="F6384">
        <v>912</v>
      </c>
      <c r="G6384" t="s">
        <v>2090</v>
      </c>
      <c r="H6384" t="s">
        <v>124</v>
      </c>
      <c r="I6384" t="s">
        <v>2117</v>
      </c>
    </row>
    <row r="6385" spans="1:9" x14ac:dyDescent="0.35">
      <c r="A6385">
        <v>289650</v>
      </c>
      <c r="B6385" t="s">
        <v>1983</v>
      </c>
      <c r="C6385" s="1">
        <v>41954</v>
      </c>
      <c r="D6385">
        <v>373</v>
      </c>
      <c r="E6385" t="b">
        <v>0</v>
      </c>
      <c r="F6385">
        <v>912</v>
      </c>
      <c r="G6385" t="s">
        <v>2090</v>
      </c>
      <c r="H6385" t="s">
        <v>1510</v>
      </c>
      <c r="I6385" t="s">
        <v>2117</v>
      </c>
    </row>
    <row r="6386" spans="1:9" x14ac:dyDescent="0.35">
      <c r="A6386">
        <v>415200</v>
      </c>
      <c r="B6386" t="s">
        <v>1985</v>
      </c>
      <c r="C6386" s="1">
        <v>42683</v>
      </c>
      <c r="D6386">
        <v>373</v>
      </c>
      <c r="E6386" t="b">
        <v>1</v>
      </c>
      <c r="F6386">
        <v>912</v>
      </c>
      <c r="G6386" t="s">
        <v>2093</v>
      </c>
      <c r="H6386" t="s">
        <v>49</v>
      </c>
      <c r="I6386" t="s">
        <v>2117</v>
      </c>
    </row>
    <row r="6387" spans="1:9" x14ac:dyDescent="0.35">
      <c r="A6387">
        <v>415200</v>
      </c>
      <c r="B6387" t="s">
        <v>1985</v>
      </c>
      <c r="C6387" s="1">
        <v>42683</v>
      </c>
      <c r="D6387">
        <v>373</v>
      </c>
      <c r="E6387" t="b">
        <v>1</v>
      </c>
      <c r="F6387">
        <v>912</v>
      </c>
      <c r="G6387" t="s">
        <v>2093</v>
      </c>
      <c r="H6387" t="s">
        <v>792</v>
      </c>
      <c r="I6387" t="s">
        <v>2117</v>
      </c>
    </row>
    <row r="6388" spans="1:9" x14ac:dyDescent="0.35">
      <c r="A6388">
        <v>415200</v>
      </c>
      <c r="B6388" t="s">
        <v>1985</v>
      </c>
      <c r="C6388" s="1">
        <v>42683</v>
      </c>
      <c r="D6388">
        <v>373</v>
      </c>
      <c r="E6388" t="b">
        <v>1</v>
      </c>
      <c r="F6388">
        <v>912</v>
      </c>
      <c r="G6388" t="s">
        <v>2093</v>
      </c>
      <c r="H6388" t="s">
        <v>346</v>
      </c>
      <c r="I6388" t="s">
        <v>2117</v>
      </c>
    </row>
    <row r="6389" spans="1:9" x14ac:dyDescent="0.35">
      <c r="A6389">
        <v>415200</v>
      </c>
      <c r="B6389" t="s">
        <v>1985</v>
      </c>
      <c r="C6389" s="1">
        <v>42683</v>
      </c>
      <c r="D6389">
        <v>373</v>
      </c>
      <c r="E6389" t="b">
        <v>1</v>
      </c>
      <c r="F6389">
        <v>912</v>
      </c>
      <c r="G6389" t="s">
        <v>2093</v>
      </c>
      <c r="H6389" t="s">
        <v>239</v>
      </c>
      <c r="I6389" t="s">
        <v>2116</v>
      </c>
    </row>
    <row r="6390" spans="1:9" x14ac:dyDescent="0.35">
      <c r="A6390">
        <v>415200</v>
      </c>
      <c r="B6390" t="s">
        <v>1985</v>
      </c>
      <c r="C6390" s="1">
        <v>42683</v>
      </c>
      <c r="D6390">
        <v>373</v>
      </c>
      <c r="E6390" t="b">
        <v>1</v>
      </c>
      <c r="F6390">
        <v>912</v>
      </c>
      <c r="G6390" t="s">
        <v>2093</v>
      </c>
      <c r="H6390" t="s">
        <v>132</v>
      </c>
      <c r="I6390" t="s">
        <v>2117</v>
      </c>
    </row>
    <row r="6391" spans="1:9" x14ac:dyDescent="0.35">
      <c r="A6391">
        <v>415200</v>
      </c>
      <c r="B6391" t="s">
        <v>1985</v>
      </c>
      <c r="C6391" s="1">
        <v>42683</v>
      </c>
      <c r="D6391">
        <v>373</v>
      </c>
      <c r="E6391" t="b">
        <v>1</v>
      </c>
      <c r="F6391">
        <v>912</v>
      </c>
      <c r="G6391" t="s">
        <v>2093</v>
      </c>
      <c r="H6391" t="s">
        <v>124</v>
      </c>
      <c r="I6391" t="s">
        <v>2116</v>
      </c>
    </row>
    <row r="6392" spans="1:9" x14ac:dyDescent="0.35">
      <c r="A6392">
        <v>415200</v>
      </c>
      <c r="B6392" t="s">
        <v>1985</v>
      </c>
      <c r="C6392" s="1">
        <v>42683</v>
      </c>
      <c r="D6392">
        <v>373</v>
      </c>
      <c r="E6392" t="b">
        <v>1</v>
      </c>
      <c r="F6392">
        <v>912</v>
      </c>
      <c r="G6392" t="s">
        <v>2093</v>
      </c>
      <c r="H6392" t="s">
        <v>1510</v>
      </c>
      <c r="I6392" t="s">
        <v>2117</v>
      </c>
    </row>
    <row r="6393" spans="1:9" x14ac:dyDescent="0.35">
      <c r="A6393">
        <v>2933130</v>
      </c>
      <c r="B6393" t="s">
        <v>1987</v>
      </c>
      <c r="C6393" s="1">
        <v>45531</v>
      </c>
      <c r="D6393">
        <v>370</v>
      </c>
      <c r="E6393" t="b">
        <v>0</v>
      </c>
      <c r="F6393">
        <v>916</v>
      </c>
      <c r="G6393" t="s">
        <v>36</v>
      </c>
      <c r="H6393" t="s">
        <v>49</v>
      </c>
      <c r="I6393" t="s">
        <v>2116</v>
      </c>
    </row>
    <row r="6394" spans="1:9" x14ac:dyDescent="0.35">
      <c r="A6394">
        <v>2933130</v>
      </c>
      <c r="B6394" t="s">
        <v>1987</v>
      </c>
      <c r="C6394" s="1">
        <v>45531</v>
      </c>
      <c r="D6394">
        <v>370</v>
      </c>
      <c r="E6394" t="b">
        <v>0</v>
      </c>
      <c r="F6394">
        <v>916</v>
      </c>
      <c r="G6394" t="s">
        <v>36</v>
      </c>
      <c r="H6394" t="s">
        <v>792</v>
      </c>
      <c r="I6394" t="s">
        <v>2117</v>
      </c>
    </row>
    <row r="6395" spans="1:9" x14ac:dyDescent="0.35">
      <c r="A6395">
        <v>2933130</v>
      </c>
      <c r="B6395" t="s">
        <v>1987</v>
      </c>
      <c r="C6395" s="1">
        <v>45531</v>
      </c>
      <c r="D6395">
        <v>370</v>
      </c>
      <c r="E6395" t="b">
        <v>0</v>
      </c>
      <c r="F6395">
        <v>916</v>
      </c>
      <c r="G6395" t="s">
        <v>36</v>
      </c>
      <c r="H6395" t="s">
        <v>346</v>
      </c>
      <c r="I6395" t="s">
        <v>2116</v>
      </c>
    </row>
    <row r="6396" spans="1:9" x14ac:dyDescent="0.35">
      <c r="A6396">
        <v>2933130</v>
      </c>
      <c r="B6396" t="s">
        <v>1987</v>
      </c>
      <c r="C6396" s="1">
        <v>45531</v>
      </c>
      <c r="D6396">
        <v>370</v>
      </c>
      <c r="E6396" t="b">
        <v>0</v>
      </c>
      <c r="F6396">
        <v>916</v>
      </c>
      <c r="G6396" t="s">
        <v>36</v>
      </c>
      <c r="H6396" t="s">
        <v>239</v>
      </c>
      <c r="I6396" t="s">
        <v>2117</v>
      </c>
    </row>
    <row r="6397" spans="1:9" x14ac:dyDescent="0.35">
      <c r="A6397">
        <v>2933130</v>
      </c>
      <c r="B6397" t="s">
        <v>1987</v>
      </c>
      <c r="C6397" s="1">
        <v>45531</v>
      </c>
      <c r="D6397">
        <v>370</v>
      </c>
      <c r="E6397" t="b">
        <v>0</v>
      </c>
      <c r="F6397">
        <v>916</v>
      </c>
      <c r="G6397" t="s">
        <v>36</v>
      </c>
      <c r="H6397" t="s">
        <v>132</v>
      </c>
      <c r="I6397" t="s">
        <v>2116</v>
      </c>
    </row>
    <row r="6398" spans="1:9" x14ac:dyDescent="0.35">
      <c r="A6398">
        <v>2933130</v>
      </c>
      <c r="B6398" t="s">
        <v>1987</v>
      </c>
      <c r="C6398" s="1">
        <v>45531</v>
      </c>
      <c r="D6398">
        <v>370</v>
      </c>
      <c r="E6398" t="b">
        <v>0</v>
      </c>
      <c r="F6398">
        <v>916</v>
      </c>
      <c r="G6398" t="s">
        <v>36</v>
      </c>
      <c r="H6398" t="s">
        <v>124</v>
      </c>
      <c r="I6398" t="s">
        <v>2117</v>
      </c>
    </row>
    <row r="6399" spans="1:9" x14ac:dyDescent="0.35">
      <c r="A6399">
        <v>2933130</v>
      </c>
      <c r="B6399" t="s">
        <v>1987</v>
      </c>
      <c r="C6399" s="1">
        <v>45531</v>
      </c>
      <c r="D6399">
        <v>370</v>
      </c>
      <c r="E6399" t="b">
        <v>0</v>
      </c>
      <c r="F6399">
        <v>916</v>
      </c>
      <c r="G6399" t="s">
        <v>36</v>
      </c>
      <c r="H6399" t="s">
        <v>1510</v>
      </c>
      <c r="I6399" t="s">
        <v>2117</v>
      </c>
    </row>
    <row r="6400" spans="1:9" x14ac:dyDescent="0.35">
      <c r="A6400">
        <v>269210</v>
      </c>
      <c r="B6400" t="s">
        <v>1988</v>
      </c>
      <c r="C6400" s="1">
        <v>41668</v>
      </c>
      <c r="D6400">
        <v>369</v>
      </c>
      <c r="E6400" t="b">
        <v>0</v>
      </c>
      <c r="F6400">
        <v>917</v>
      </c>
      <c r="G6400" t="s">
        <v>967</v>
      </c>
      <c r="H6400" t="s">
        <v>49</v>
      </c>
      <c r="I6400" t="s">
        <v>2116</v>
      </c>
    </row>
    <row r="6401" spans="1:9" x14ac:dyDescent="0.35">
      <c r="A6401">
        <v>269210</v>
      </c>
      <c r="B6401" t="s">
        <v>1988</v>
      </c>
      <c r="C6401" s="1">
        <v>41668</v>
      </c>
      <c r="D6401">
        <v>369</v>
      </c>
      <c r="E6401" t="b">
        <v>0</v>
      </c>
      <c r="F6401">
        <v>917</v>
      </c>
      <c r="G6401" t="s">
        <v>967</v>
      </c>
      <c r="H6401" t="s">
        <v>792</v>
      </c>
      <c r="I6401" t="s">
        <v>2116</v>
      </c>
    </row>
    <row r="6402" spans="1:9" x14ac:dyDescent="0.35">
      <c r="A6402">
        <v>269210</v>
      </c>
      <c r="B6402" t="s">
        <v>1988</v>
      </c>
      <c r="C6402" s="1">
        <v>41668</v>
      </c>
      <c r="D6402">
        <v>369</v>
      </c>
      <c r="E6402" t="b">
        <v>0</v>
      </c>
      <c r="F6402">
        <v>917</v>
      </c>
      <c r="G6402" t="s">
        <v>967</v>
      </c>
      <c r="H6402" t="s">
        <v>346</v>
      </c>
      <c r="I6402" t="s">
        <v>2116</v>
      </c>
    </row>
    <row r="6403" spans="1:9" x14ac:dyDescent="0.35">
      <c r="A6403">
        <v>269210</v>
      </c>
      <c r="B6403" t="s">
        <v>1988</v>
      </c>
      <c r="C6403" s="1">
        <v>41668</v>
      </c>
      <c r="D6403">
        <v>369</v>
      </c>
      <c r="E6403" t="b">
        <v>0</v>
      </c>
      <c r="F6403">
        <v>917</v>
      </c>
      <c r="G6403" t="s">
        <v>967</v>
      </c>
      <c r="H6403" t="s">
        <v>239</v>
      </c>
      <c r="I6403" t="s">
        <v>2117</v>
      </c>
    </row>
    <row r="6404" spans="1:9" x14ac:dyDescent="0.35">
      <c r="A6404">
        <v>269210</v>
      </c>
      <c r="B6404" t="s">
        <v>1988</v>
      </c>
      <c r="C6404" s="1">
        <v>41668</v>
      </c>
      <c r="D6404">
        <v>369</v>
      </c>
      <c r="E6404" t="b">
        <v>0</v>
      </c>
      <c r="F6404">
        <v>917</v>
      </c>
      <c r="G6404" t="s">
        <v>967</v>
      </c>
      <c r="H6404" t="s">
        <v>132</v>
      </c>
      <c r="I6404" t="s">
        <v>2116</v>
      </c>
    </row>
    <row r="6405" spans="1:9" x14ac:dyDescent="0.35">
      <c r="A6405">
        <v>269210</v>
      </c>
      <c r="B6405" t="s">
        <v>1988</v>
      </c>
      <c r="C6405" s="1">
        <v>41668</v>
      </c>
      <c r="D6405">
        <v>369</v>
      </c>
      <c r="E6405" t="b">
        <v>0</v>
      </c>
      <c r="F6405">
        <v>917</v>
      </c>
      <c r="G6405" t="s">
        <v>967</v>
      </c>
      <c r="H6405" t="s">
        <v>124</v>
      </c>
      <c r="I6405" t="s">
        <v>2117</v>
      </c>
    </row>
    <row r="6406" spans="1:9" x14ac:dyDescent="0.35">
      <c r="A6406">
        <v>269210</v>
      </c>
      <c r="B6406" t="s">
        <v>1988</v>
      </c>
      <c r="C6406" s="1">
        <v>41668</v>
      </c>
      <c r="D6406">
        <v>369</v>
      </c>
      <c r="E6406" t="b">
        <v>0</v>
      </c>
      <c r="F6406">
        <v>917</v>
      </c>
      <c r="G6406" t="s">
        <v>967</v>
      </c>
      <c r="H6406" t="s">
        <v>1510</v>
      </c>
      <c r="I6406" t="s">
        <v>2117</v>
      </c>
    </row>
    <row r="6407" spans="1:9" x14ac:dyDescent="0.35">
      <c r="A6407">
        <v>273110</v>
      </c>
      <c r="B6407" t="s">
        <v>1990</v>
      </c>
      <c r="C6407" s="1">
        <v>41919</v>
      </c>
      <c r="D6407">
        <v>369</v>
      </c>
      <c r="E6407" t="b">
        <v>0</v>
      </c>
      <c r="F6407">
        <v>917</v>
      </c>
      <c r="G6407" t="s">
        <v>967</v>
      </c>
      <c r="H6407" t="s">
        <v>49</v>
      </c>
      <c r="I6407" t="s">
        <v>2116</v>
      </c>
    </row>
    <row r="6408" spans="1:9" x14ac:dyDescent="0.35">
      <c r="A6408">
        <v>273110</v>
      </c>
      <c r="B6408" t="s">
        <v>1990</v>
      </c>
      <c r="C6408" s="1">
        <v>41919</v>
      </c>
      <c r="D6408">
        <v>369</v>
      </c>
      <c r="E6408" t="b">
        <v>0</v>
      </c>
      <c r="F6408">
        <v>917</v>
      </c>
      <c r="G6408" t="s">
        <v>967</v>
      </c>
      <c r="H6408" t="s">
        <v>792</v>
      </c>
      <c r="I6408" t="s">
        <v>2116</v>
      </c>
    </row>
    <row r="6409" spans="1:9" x14ac:dyDescent="0.35">
      <c r="A6409">
        <v>273110</v>
      </c>
      <c r="B6409" t="s">
        <v>1990</v>
      </c>
      <c r="C6409" s="1">
        <v>41919</v>
      </c>
      <c r="D6409">
        <v>369</v>
      </c>
      <c r="E6409" t="b">
        <v>0</v>
      </c>
      <c r="F6409">
        <v>917</v>
      </c>
      <c r="G6409" t="s">
        <v>967</v>
      </c>
      <c r="H6409" t="s">
        <v>346</v>
      </c>
      <c r="I6409" t="s">
        <v>2117</v>
      </c>
    </row>
    <row r="6410" spans="1:9" x14ac:dyDescent="0.35">
      <c r="A6410">
        <v>273110</v>
      </c>
      <c r="B6410" t="s">
        <v>1990</v>
      </c>
      <c r="C6410" s="1">
        <v>41919</v>
      </c>
      <c r="D6410">
        <v>369</v>
      </c>
      <c r="E6410" t="b">
        <v>0</v>
      </c>
      <c r="F6410">
        <v>917</v>
      </c>
      <c r="G6410" t="s">
        <v>967</v>
      </c>
      <c r="H6410" t="s">
        <v>239</v>
      </c>
      <c r="I6410" t="s">
        <v>2117</v>
      </c>
    </row>
    <row r="6411" spans="1:9" x14ac:dyDescent="0.35">
      <c r="A6411">
        <v>273110</v>
      </c>
      <c r="B6411" t="s">
        <v>1990</v>
      </c>
      <c r="C6411" s="1">
        <v>41919</v>
      </c>
      <c r="D6411">
        <v>369</v>
      </c>
      <c r="E6411" t="b">
        <v>0</v>
      </c>
      <c r="F6411">
        <v>917</v>
      </c>
      <c r="G6411" t="s">
        <v>967</v>
      </c>
      <c r="H6411" t="s">
        <v>132</v>
      </c>
      <c r="I6411" t="s">
        <v>2117</v>
      </c>
    </row>
    <row r="6412" spans="1:9" x14ac:dyDescent="0.35">
      <c r="A6412">
        <v>273110</v>
      </c>
      <c r="B6412" t="s">
        <v>1990</v>
      </c>
      <c r="C6412" s="1">
        <v>41919</v>
      </c>
      <c r="D6412">
        <v>369</v>
      </c>
      <c r="E6412" t="b">
        <v>0</v>
      </c>
      <c r="F6412">
        <v>917</v>
      </c>
      <c r="G6412" t="s">
        <v>967</v>
      </c>
      <c r="H6412" t="s">
        <v>124</v>
      </c>
      <c r="I6412" t="s">
        <v>2117</v>
      </c>
    </row>
    <row r="6413" spans="1:9" x14ac:dyDescent="0.35">
      <c r="A6413">
        <v>273110</v>
      </c>
      <c r="B6413" t="s">
        <v>1990</v>
      </c>
      <c r="C6413" s="1">
        <v>41919</v>
      </c>
      <c r="D6413">
        <v>369</v>
      </c>
      <c r="E6413" t="b">
        <v>0</v>
      </c>
      <c r="F6413">
        <v>917</v>
      </c>
      <c r="G6413" t="s">
        <v>967</v>
      </c>
      <c r="H6413" t="s">
        <v>1510</v>
      </c>
      <c r="I6413" t="s">
        <v>2116</v>
      </c>
    </row>
    <row r="6414" spans="1:9" x14ac:dyDescent="0.35">
      <c r="A6414">
        <v>2291060</v>
      </c>
      <c r="B6414" t="s">
        <v>1993</v>
      </c>
      <c r="C6414" s="1">
        <v>45498</v>
      </c>
      <c r="D6414">
        <v>369</v>
      </c>
      <c r="E6414" t="b">
        <v>0</v>
      </c>
      <c r="F6414">
        <v>917</v>
      </c>
      <c r="G6414" t="s">
        <v>25</v>
      </c>
      <c r="H6414" t="s">
        <v>49</v>
      </c>
      <c r="I6414" t="s">
        <v>2116</v>
      </c>
    </row>
    <row r="6415" spans="1:9" x14ac:dyDescent="0.35">
      <c r="A6415">
        <v>2291060</v>
      </c>
      <c r="B6415" t="s">
        <v>1993</v>
      </c>
      <c r="C6415" s="1">
        <v>45498</v>
      </c>
      <c r="D6415">
        <v>369</v>
      </c>
      <c r="E6415" t="b">
        <v>0</v>
      </c>
      <c r="F6415">
        <v>917</v>
      </c>
      <c r="G6415" t="s">
        <v>25</v>
      </c>
      <c r="H6415" t="s">
        <v>792</v>
      </c>
      <c r="I6415" t="s">
        <v>2117</v>
      </c>
    </row>
    <row r="6416" spans="1:9" x14ac:dyDescent="0.35">
      <c r="A6416">
        <v>2291060</v>
      </c>
      <c r="B6416" t="s">
        <v>1993</v>
      </c>
      <c r="C6416" s="1">
        <v>45498</v>
      </c>
      <c r="D6416">
        <v>369</v>
      </c>
      <c r="E6416" t="b">
        <v>0</v>
      </c>
      <c r="F6416">
        <v>917</v>
      </c>
      <c r="G6416" t="s">
        <v>25</v>
      </c>
      <c r="H6416" t="s">
        <v>346</v>
      </c>
      <c r="I6416" t="s">
        <v>2117</v>
      </c>
    </row>
    <row r="6417" spans="1:9" x14ac:dyDescent="0.35">
      <c r="A6417">
        <v>2291060</v>
      </c>
      <c r="B6417" t="s">
        <v>1993</v>
      </c>
      <c r="C6417" s="1">
        <v>45498</v>
      </c>
      <c r="D6417">
        <v>369</v>
      </c>
      <c r="E6417" t="b">
        <v>0</v>
      </c>
      <c r="F6417">
        <v>917</v>
      </c>
      <c r="G6417" t="s">
        <v>25</v>
      </c>
      <c r="H6417" t="s">
        <v>239</v>
      </c>
      <c r="I6417" t="s">
        <v>2117</v>
      </c>
    </row>
    <row r="6418" spans="1:9" x14ac:dyDescent="0.35">
      <c r="A6418">
        <v>2291060</v>
      </c>
      <c r="B6418" t="s">
        <v>1993</v>
      </c>
      <c r="C6418" s="1">
        <v>45498</v>
      </c>
      <c r="D6418">
        <v>369</v>
      </c>
      <c r="E6418" t="b">
        <v>0</v>
      </c>
      <c r="F6418">
        <v>917</v>
      </c>
      <c r="G6418" t="s">
        <v>25</v>
      </c>
      <c r="H6418" t="s">
        <v>132</v>
      </c>
      <c r="I6418" t="s">
        <v>2117</v>
      </c>
    </row>
    <row r="6419" spans="1:9" x14ac:dyDescent="0.35">
      <c r="A6419">
        <v>2291060</v>
      </c>
      <c r="B6419" t="s">
        <v>1993</v>
      </c>
      <c r="C6419" s="1">
        <v>45498</v>
      </c>
      <c r="D6419">
        <v>369</v>
      </c>
      <c r="E6419" t="b">
        <v>0</v>
      </c>
      <c r="F6419">
        <v>917</v>
      </c>
      <c r="G6419" t="s">
        <v>25</v>
      </c>
      <c r="H6419" t="s">
        <v>124</v>
      </c>
      <c r="I6419" t="s">
        <v>2117</v>
      </c>
    </row>
    <row r="6420" spans="1:9" x14ac:dyDescent="0.35">
      <c r="A6420">
        <v>2291060</v>
      </c>
      <c r="B6420" t="s">
        <v>1993</v>
      </c>
      <c r="C6420" s="1">
        <v>45498</v>
      </c>
      <c r="D6420">
        <v>369</v>
      </c>
      <c r="E6420" t="b">
        <v>0</v>
      </c>
      <c r="F6420">
        <v>917</v>
      </c>
      <c r="G6420" t="s">
        <v>25</v>
      </c>
      <c r="H6420" t="s">
        <v>1510</v>
      </c>
      <c r="I6420" t="s">
        <v>2117</v>
      </c>
    </row>
    <row r="6421" spans="1:9" x14ac:dyDescent="0.35">
      <c r="A6421">
        <v>1377380</v>
      </c>
      <c r="B6421" t="s">
        <v>1994</v>
      </c>
      <c r="C6421" s="1">
        <v>45443</v>
      </c>
      <c r="D6421">
        <v>368</v>
      </c>
      <c r="E6421" t="b">
        <v>0</v>
      </c>
      <c r="F6421">
        <v>920</v>
      </c>
      <c r="G6421" t="s">
        <v>184</v>
      </c>
      <c r="H6421" t="s">
        <v>49</v>
      </c>
      <c r="I6421" t="s">
        <v>2116</v>
      </c>
    </row>
    <row r="6422" spans="1:9" x14ac:dyDescent="0.35">
      <c r="A6422">
        <v>1377380</v>
      </c>
      <c r="B6422" t="s">
        <v>1994</v>
      </c>
      <c r="C6422" s="1">
        <v>45443</v>
      </c>
      <c r="D6422">
        <v>368</v>
      </c>
      <c r="E6422" t="b">
        <v>0</v>
      </c>
      <c r="F6422">
        <v>920</v>
      </c>
      <c r="G6422" t="s">
        <v>184</v>
      </c>
      <c r="H6422" t="s">
        <v>792</v>
      </c>
      <c r="I6422" t="s">
        <v>2116</v>
      </c>
    </row>
    <row r="6423" spans="1:9" x14ac:dyDescent="0.35">
      <c r="A6423">
        <v>1377380</v>
      </c>
      <c r="B6423" t="s">
        <v>1994</v>
      </c>
      <c r="C6423" s="1">
        <v>45443</v>
      </c>
      <c r="D6423">
        <v>368</v>
      </c>
      <c r="E6423" t="b">
        <v>0</v>
      </c>
      <c r="F6423">
        <v>920</v>
      </c>
      <c r="G6423" t="s">
        <v>184</v>
      </c>
      <c r="H6423" t="s">
        <v>346</v>
      </c>
      <c r="I6423" t="s">
        <v>2116</v>
      </c>
    </row>
    <row r="6424" spans="1:9" x14ac:dyDescent="0.35">
      <c r="A6424">
        <v>1377380</v>
      </c>
      <c r="B6424" t="s">
        <v>1994</v>
      </c>
      <c r="C6424" s="1">
        <v>45443</v>
      </c>
      <c r="D6424">
        <v>368</v>
      </c>
      <c r="E6424" t="b">
        <v>0</v>
      </c>
      <c r="F6424">
        <v>920</v>
      </c>
      <c r="G6424" t="s">
        <v>184</v>
      </c>
      <c r="H6424" t="s">
        <v>239</v>
      </c>
      <c r="I6424" t="s">
        <v>2116</v>
      </c>
    </row>
    <row r="6425" spans="1:9" x14ac:dyDescent="0.35">
      <c r="A6425">
        <v>1377380</v>
      </c>
      <c r="B6425" t="s">
        <v>1994</v>
      </c>
      <c r="C6425" s="1">
        <v>45443</v>
      </c>
      <c r="D6425">
        <v>368</v>
      </c>
      <c r="E6425" t="b">
        <v>0</v>
      </c>
      <c r="F6425">
        <v>920</v>
      </c>
      <c r="G6425" t="s">
        <v>184</v>
      </c>
      <c r="H6425" t="s">
        <v>132</v>
      </c>
      <c r="I6425" t="s">
        <v>2116</v>
      </c>
    </row>
    <row r="6426" spans="1:9" x14ac:dyDescent="0.35">
      <c r="A6426">
        <v>1377380</v>
      </c>
      <c r="B6426" t="s">
        <v>1994</v>
      </c>
      <c r="C6426" s="1">
        <v>45443</v>
      </c>
      <c r="D6426">
        <v>368</v>
      </c>
      <c r="E6426" t="b">
        <v>0</v>
      </c>
      <c r="F6426">
        <v>920</v>
      </c>
      <c r="G6426" t="s">
        <v>184</v>
      </c>
      <c r="H6426" t="s">
        <v>124</v>
      </c>
      <c r="I6426" t="s">
        <v>2117</v>
      </c>
    </row>
    <row r="6427" spans="1:9" x14ac:dyDescent="0.35">
      <c r="A6427">
        <v>1377380</v>
      </c>
      <c r="B6427" t="s">
        <v>1994</v>
      </c>
      <c r="C6427" s="1">
        <v>45443</v>
      </c>
      <c r="D6427">
        <v>368</v>
      </c>
      <c r="E6427" t="b">
        <v>0</v>
      </c>
      <c r="F6427">
        <v>920</v>
      </c>
      <c r="G6427" t="s">
        <v>184</v>
      </c>
      <c r="H6427" t="s">
        <v>1510</v>
      </c>
      <c r="I6427" t="s">
        <v>2117</v>
      </c>
    </row>
    <row r="6428" spans="1:9" x14ac:dyDescent="0.35">
      <c r="A6428">
        <v>2231450</v>
      </c>
      <c r="B6428" t="s">
        <v>1996</v>
      </c>
      <c r="C6428" s="1">
        <v>44952</v>
      </c>
      <c r="D6428">
        <v>367</v>
      </c>
      <c r="E6428" t="b">
        <v>0</v>
      </c>
      <c r="F6428">
        <v>921</v>
      </c>
      <c r="G6428" t="s">
        <v>932</v>
      </c>
      <c r="H6428" t="s">
        <v>49</v>
      </c>
      <c r="I6428" t="s">
        <v>2116</v>
      </c>
    </row>
    <row r="6429" spans="1:9" x14ac:dyDescent="0.35">
      <c r="A6429">
        <v>2231450</v>
      </c>
      <c r="B6429" t="s">
        <v>1996</v>
      </c>
      <c r="C6429" s="1">
        <v>44952</v>
      </c>
      <c r="D6429">
        <v>367</v>
      </c>
      <c r="E6429" t="b">
        <v>0</v>
      </c>
      <c r="F6429">
        <v>921</v>
      </c>
      <c r="G6429" t="s">
        <v>932</v>
      </c>
      <c r="H6429" t="s">
        <v>792</v>
      </c>
      <c r="I6429" t="s">
        <v>2116</v>
      </c>
    </row>
    <row r="6430" spans="1:9" x14ac:dyDescent="0.35">
      <c r="A6430">
        <v>2231450</v>
      </c>
      <c r="B6430" t="s">
        <v>1996</v>
      </c>
      <c r="C6430" s="1">
        <v>44952</v>
      </c>
      <c r="D6430">
        <v>367</v>
      </c>
      <c r="E6430" t="b">
        <v>0</v>
      </c>
      <c r="F6430">
        <v>921</v>
      </c>
      <c r="G6430" t="s">
        <v>932</v>
      </c>
      <c r="H6430" t="s">
        <v>346</v>
      </c>
      <c r="I6430" t="s">
        <v>2117</v>
      </c>
    </row>
    <row r="6431" spans="1:9" x14ac:dyDescent="0.35">
      <c r="A6431">
        <v>2231450</v>
      </c>
      <c r="B6431" t="s">
        <v>1996</v>
      </c>
      <c r="C6431" s="1">
        <v>44952</v>
      </c>
      <c r="D6431">
        <v>367</v>
      </c>
      <c r="E6431" t="b">
        <v>0</v>
      </c>
      <c r="F6431">
        <v>921</v>
      </c>
      <c r="G6431" t="s">
        <v>932</v>
      </c>
      <c r="H6431" t="s">
        <v>239</v>
      </c>
      <c r="I6431" t="s">
        <v>2117</v>
      </c>
    </row>
    <row r="6432" spans="1:9" x14ac:dyDescent="0.35">
      <c r="A6432">
        <v>2231450</v>
      </c>
      <c r="B6432" t="s">
        <v>1996</v>
      </c>
      <c r="C6432" s="1">
        <v>44952</v>
      </c>
      <c r="D6432">
        <v>367</v>
      </c>
      <c r="E6432" t="b">
        <v>0</v>
      </c>
      <c r="F6432">
        <v>921</v>
      </c>
      <c r="G6432" t="s">
        <v>932</v>
      </c>
      <c r="H6432" t="s">
        <v>132</v>
      </c>
      <c r="I6432" t="s">
        <v>2117</v>
      </c>
    </row>
    <row r="6433" spans="1:9" x14ac:dyDescent="0.35">
      <c r="A6433">
        <v>2231450</v>
      </c>
      <c r="B6433" t="s">
        <v>1996</v>
      </c>
      <c r="C6433" s="1">
        <v>44952</v>
      </c>
      <c r="D6433">
        <v>367</v>
      </c>
      <c r="E6433" t="b">
        <v>0</v>
      </c>
      <c r="F6433">
        <v>921</v>
      </c>
      <c r="G6433" t="s">
        <v>932</v>
      </c>
      <c r="H6433" t="s">
        <v>124</v>
      </c>
      <c r="I6433" t="s">
        <v>2117</v>
      </c>
    </row>
    <row r="6434" spans="1:9" x14ac:dyDescent="0.35">
      <c r="A6434">
        <v>2231450</v>
      </c>
      <c r="B6434" t="s">
        <v>1996</v>
      </c>
      <c r="C6434" s="1">
        <v>44952</v>
      </c>
      <c r="D6434">
        <v>367</v>
      </c>
      <c r="E6434" t="b">
        <v>0</v>
      </c>
      <c r="F6434">
        <v>921</v>
      </c>
      <c r="G6434" t="s">
        <v>932</v>
      </c>
      <c r="H6434" t="s">
        <v>1510</v>
      </c>
      <c r="I6434" t="s">
        <v>2117</v>
      </c>
    </row>
    <row r="6435" spans="1:9" x14ac:dyDescent="0.35">
      <c r="A6435">
        <v>1455840</v>
      </c>
      <c r="B6435" t="s">
        <v>1997</v>
      </c>
      <c r="C6435" s="1">
        <v>44679</v>
      </c>
      <c r="D6435">
        <v>365</v>
      </c>
      <c r="E6435" t="b">
        <v>0</v>
      </c>
      <c r="F6435">
        <v>922</v>
      </c>
      <c r="G6435" t="s">
        <v>932</v>
      </c>
      <c r="H6435" t="s">
        <v>49</v>
      </c>
      <c r="I6435" t="s">
        <v>2117</v>
      </c>
    </row>
    <row r="6436" spans="1:9" x14ac:dyDescent="0.35">
      <c r="A6436">
        <v>1455840</v>
      </c>
      <c r="B6436" t="s">
        <v>1997</v>
      </c>
      <c r="C6436" s="1">
        <v>44679</v>
      </c>
      <c r="D6436">
        <v>365</v>
      </c>
      <c r="E6436" t="b">
        <v>0</v>
      </c>
      <c r="F6436">
        <v>922</v>
      </c>
      <c r="G6436" t="s">
        <v>932</v>
      </c>
      <c r="H6436" t="s">
        <v>792</v>
      </c>
      <c r="I6436" t="s">
        <v>2116</v>
      </c>
    </row>
    <row r="6437" spans="1:9" x14ac:dyDescent="0.35">
      <c r="A6437">
        <v>1455840</v>
      </c>
      <c r="B6437" t="s">
        <v>1997</v>
      </c>
      <c r="C6437" s="1">
        <v>44679</v>
      </c>
      <c r="D6437">
        <v>365</v>
      </c>
      <c r="E6437" t="b">
        <v>0</v>
      </c>
      <c r="F6437">
        <v>922</v>
      </c>
      <c r="G6437" t="s">
        <v>932</v>
      </c>
      <c r="H6437" t="s">
        <v>346</v>
      </c>
      <c r="I6437" t="s">
        <v>2117</v>
      </c>
    </row>
    <row r="6438" spans="1:9" x14ac:dyDescent="0.35">
      <c r="A6438">
        <v>1455840</v>
      </c>
      <c r="B6438" t="s">
        <v>1997</v>
      </c>
      <c r="C6438" s="1">
        <v>44679</v>
      </c>
      <c r="D6438">
        <v>365</v>
      </c>
      <c r="E6438" t="b">
        <v>0</v>
      </c>
      <c r="F6438">
        <v>922</v>
      </c>
      <c r="G6438" t="s">
        <v>932</v>
      </c>
      <c r="H6438" t="s">
        <v>239</v>
      </c>
      <c r="I6438" t="s">
        <v>2116</v>
      </c>
    </row>
    <row r="6439" spans="1:9" x14ac:dyDescent="0.35">
      <c r="A6439">
        <v>1455840</v>
      </c>
      <c r="B6439" t="s">
        <v>1997</v>
      </c>
      <c r="C6439" s="1">
        <v>44679</v>
      </c>
      <c r="D6439">
        <v>365</v>
      </c>
      <c r="E6439" t="b">
        <v>0</v>
      </c>
      <c r="F6439">
        <v>922</v>
      </c>
      <c r="G6439" t="s">
        <v>932</v>
      </c>
      <c r="H6439" t="s">
        <v>132</v>
      </c>
      <c r="I6439" t="s">
        <v>2117</v>
      </c>
    </row>
    <row r="6440" spans="1:9" x14ac:dyDescent="0.35">
      <c r="A6440">
        <v>1455840</v>
      </c>
      <c r="B6440" t="s">
        <v>1997</v>
      </c>
      <c r="C6440" s="1">
        <v>44679</v>
      </c>
      <c r="D6440">
        <v>365</v>
      </c>
      <c r="E6440" t="b">
        <v>0</v>
      </c>
      <c r="F6440">
        <v>922</v>
      </c>
      <c r="G6440" t="s">
        <v>932</v>
      </c>
      <c r="H6440" t="s">
        <v>124</v>
      </c>
      <c r="I6440" t="s">
        <v>2116</v>
      </c>
    </row>
    <row r="6441" spans="1:9" x14ac:dyDescent="0.35">
      <c r="A6441">
        <v>1455840</v>
      </c>
      <c r="B6441" t="s">
        <v>1997</v>
      </c>
      <c r="C6441" s="1">
        <v>44679</v>
      </c>
      <c r="D6441">
        <v>365</v>
      </c>
      <c r="E6441" t="b">
        <v>0</v>
      </c>
      <c r="F6441">
        <v>922</v>
      </c>
      <c r="G6441" t="s">
        <v>932</v>
      </c>
      <c r="H6441" t="s">
        <v>1510</v>
      </c>
      <c r="I6441" t="s">
        <v>2117</v>
      </c>
    </row>
    <row r="6442" spans="1:9" x14ac:dyDescent="0.35">
      <c r="A6442">
        <v>2842040</v>
      </c>
      <c r="B6442" t="s">
        <v>1998</v>
      </c>
      <c r="C6442" s="1">
        <v>45617</v>
      </c>
      <c r="D6442">
        <v>364</v>
      </c>
      <c r="E6442" t="b">
        <v>0</v>
      </c>
      <c r="F6442">
        <v>923</v>
      </c>
      <c r="G6442" t="s">
        <v>113</v>
      </c>
      <c r="H6442" t="s">
        <v>49</v>
      </c>
      <c r="I6442" t="s">
        <v>2116</v>
      </c>
    </row>
    <row r="6443" spans="1:9" x14ac:dyDescent="0.35">
      <c r="A6443">
        <v>2842040</v>
      </c>
      <c r="B6443" t="s">
        <v>1998</v>
      </c>
      <c r="C6443" s="1">
        <v>45617</v>
      </c>
      <c r="D6443">
        <v>364</v>
      </c>
      <c r="E6443" t="b">
        <v>0</v>
      </c>
      <c r="F6443">
        <v>923</v>
      </c>
      <c r="G6443" t="s">
        <v>113</v>
      </c>
      <c r="H6443" t="s">
        <v>792</v>
      </c>
      <c r="I6443" t="s">
        <v>2117</v>
      </c>
    </row>
    <row r="6444" spans="1:9" x14ac:dyDescent="0.35">
      <c r="A6444">
        <v>2842040</v>
      </c>
      <c r="B6444" t="s">
        <v>1998</v>
      </c>
      <c r="C6444" s="1">
        <v>45617</v>
      </c>
      <c r="D6444">
        <v>364</v>
      </c>
      <c r="E6444" t="b">
        <v>0</v>
      </c>
      <c r="F6444">
        <v>923</v>
      </c>
      <c r="G6444" t="s">
        <v>113</v>
      </c>
      <c r="H6444" t="s">
        <v>346</v>
      </c>
      <c r="I6444" t="s">
        <v>2116</v>
      </c>
    </row>
    <row r="6445" spans="1:9" x14ac:dyDescent="0.35">
      <c r="A6445">
        <v>2842040</v>
      </c>
      <c r="B6445" t="s">
        <v>1998</v>
      </c>
      <c r="C6445" s="1">
        <v>45617</v>
      </c>
      <c r="D6445">
        <v>364</v>
      </c>
      <c r="E6445" t="b">
        <v>0</v>
      </c>
      <c r="F6445">
        <v>923</v>
      </c>
      <c r="G6445" t="s">
        <v>113</v>
      </c>
      <c r="H6445" t="s">
        <v>239</v>
      </c>
      <c r="I6445" t="s">
        <v>2117</v>
      </c>
    </row>
    <row r="6446" spans="1:9" x14ac:dyDescent="0.35">
      <c r="A6446">
        <v>2842040</v>
      </c>
      <c r="B6446" t="s">
        <v>1998</v>
      </c>
      <c r="C6446" s="1">
        <v>45617</v>
      </c>
      <c r="D6446">
        <v>364</v>
      </c>
      <c r="E6446" t="b">
        <v>0</v>
      </c>
      <c r="F6446">
        <v>923</v>
      </c>
      <c r="G6446" t="s">
        <v>113</v>
      </c>
      <c r="H6446" t="s">
        <v>132</v>
      </c>
      <c r="I6446" t="s">
        <v>2117</v>
      </c>
    </row>
    <row r="6447" spans="1:9" x14ac:dyDescent="0.35">
      <c r="A6447">
        <v>2842040</v>
      </c>
      <c r="B6447" t="s">
        <v>1998</v>
      </c>
      <c r="C6447" s="1">
        <v>45617</v>
      </c>
      <c r="D6447">
        <v>364</v>
      </c>
      <c r="E6447" t="b">
        <v>0</v>
      </c>
      <c r="F6447">
        <v>923</v>
      </c>
      <c r="G6447" t="s">
        <v>113</v>
      </c>
      <c r="H6447" t="s">
        <v>124</v>
      </c>
      <c r="I6447" t="s">
        <v>2117</v>
      </c>
    </row>
    <row r="6448" spans="1:9" x14ac:dyDescent="0.35">
      <c r="A6448">
        <v>2842040</v>
      </c>
      <c r="B6448" t="s">
        <v>1998</v>
      </c>
      <c r="C6448" s="1">
        <v>45617</v>
      </c>
      <c r="D6448">
        <v>364</v>
      </c>
      <c r="E6448" t="b">
        <v>0</v>
      </c>
      <c r="F6448">
        <v>923</v>
      </c>
      <c r="G6448" t="s">
        <v>113</v>
      </c>
      <c r="H6448" t="s">
        <v>1510</v>
      </c>
      <c r="I6448" t="s">
        <v>2117</v>
      </c>
    </row>
    <row r="6449" spans="1:9" x14ac:dyDescent="0.35">
      <c r="A6449">
        <v>409710</v>
      </c>
      <c r="B6449" t="s">
        <v>2000</v>
      </c>
      <c r="C6449" s="1">
        <v>42628</v>
      </c>
      <c r="D6449">
        <v>364</v>
      </c>
      <c r="E6449" t="b">
        <v>1</v>
      </c>
      <c r="F6449">
        <v>923</v>
      </c>
      <c r="G6449" t="s">
        <v>133</v>
      </c>
      <c r="H6449" t="s">
        <v>49</v>
      </c>
      <c r="I6449" t="s">
        <v>2116</v>
      </c>
    </row>
    <row r="6450" spans="1:9" x14ac:dyDescent="0.35">
      <c r="A6450">
        <v>409710</v>
      </c>
      <c r="B6450" t="s">
        <v>2000</v>
      </c>
      <c r="C6450" s="1">
        <v>42628</v>
      </c>
      <c r="D6450">
        <v>364</v>
      </c>
      <c r="E6450" t="b">
        <v>1</v>
      </c>
      <c r="F6450">
        <v>923</v>
      </c>
      <c r="G6450" t="s">
        <v>133</v>
      </c>
      <c r="H6450" t="s">
        <v>792</v>
      </c>
      <c r="I6450" t="s">
        <v>2117</v>
      </c>
    </row>
    <row r="6451" spans="1:9" x14ac:dyDescent="0.35">
      <c r="A6451">
        <v>409710</v>
      </c>
      <c r="B6451" t="s">
        <v>2000</v>
      </c>
      <c r="C6451" s="1">
        <v>42628</v>
      </c>
      <c r="D6451">
        <v>364</v>
      </c>
      <c r="E6451" t="b">
        <v>1</v>
      </c>
      <c r="F6451">
        <v>923</v>
      </c>
      <c r="G6451" t="s">
        <v>133</v>
      </c>
      <c r="H6451" t="s">
        <v>346</v>
      </c>
      <c r="I6451" t="s">
        <v>2117</v>
      </c>
    </row>
    <row r="6452" spans="1:9" x14ac:dyDescent="0.35">
      <c r="A6452">
        <v>409710</v>
      </c>
      <c r="B6452" t="s">
        <v>2000</v>
      </c>
      <c r="C6452" s="1">
        <v>42628</v>
      </c>
      <c r="D6452">
        <v>364</v>
      </c>
      <c r="E6452" t="b">
        <v>1</v>
      </c>
      <c r="F6452">
        <v>923</v>
      </c>
      <c r="G6452" t="s">
        <v>133</v>
      </c>
      <c r="H6452" t="s">
        <v>239</v>
      </c>
      <c r="I6452" t="s">
        <v>2117</v>
      </c>
    </row>
    <row r="6453" spans="1:9" x14ac:dyDescent="0.35">
      <c r="A6453">
        <v>409710</v>
      </c>
      <c r="B6453" t="s">
        <v>2000</v>
      </c>
      <c r="C6453" s="1">
        <v>42628</v>
      </c>
      <c r="D6453">
        <v>364</v>
      </c>
      <c r="E6453" t="b">
        <v>1</v>
      </c>
      <c r="F6453">
        <v>923</v>
      </c>
      <c r="G6453" t="s">
        <v>133</v>
      </c>
      <c r="H6453" t="s">
        <v>132</v>
      </c>
      <c r="I6453" t="s">
        <v>2116</v>
      </c>
    </row>
    <row r="6454" spans="1:9" x14ac:dyDescent="0.35">
      <c r="A6454">
        <v>409710</v>
      </c>
      <c r="B6454" t="s">
        <v>2000</v>
      </c>
      <c r="C6454" s="1">
        <v>42628</v>
      </c>
      <c r="D6454">
        <v>364</v>
      </c>
      <c r="E6454" t="b">
        <v>1</v>
      </c>
      <c r="F6454">
        <v>923</v>
      </c>
      <c r="G6454" t="s">
        <v>133</v>
      </c>
      <c r="H6454" t="s">
        <v>124</v>
      </c>
      <c r="I6454" t="s">
        <v>2117</v>
      </c>
    </row>
    <row r="6455" spans="1:9" x14ac:dyDescent="0.35">
      <c r="A6455">
        <v>409710</v>
      </c>
      <c r="B6455" t="s">
        <v>2000</v>
      </c>
      <c r="C6455" s="1">
        <v>42628</v>
      </c>
      <c r="D6455">
        <v>364</v>
      </c>
      <c r="E6455" t="b">
        <v>1</v>
      </c>
      <c r="F6455">
        <v>923</v>
      </c>
      <c r="G6455" t="s">
        <v>133</v>
      </c>
      <c r="H6455" t="s">
        <v>1510</v>
      </c>
      <c r="I6455" t="s">
        <v>2117</v>
      </c>
    </row>
    <row r="6456" spans="1:9" x14ac:dyDescent="0.35">
      <c r="A6456">
        <v>843380</v>
      </c>
      <c r="B6456" t="s">
        <v>2002</v>
      </c>
      <c r="C6456" s="1">
        <v>44434</v>
      </c>
      <c r="D6456">
        <v>364</v>
      </c>
      <c r="E6456" t="b">
        <v>1</v>
      </c>
      <c r="F6456">
        <v>923</v>
      </c>
      <c r="G6456" t="s">
        <v>119</v>
      </c>
      <c r="H6456" t="s">
        <v>49</v>
      </c>
      <c r="I6456" t="s">
        <v>2116</v>
      </c>
    </row>
    <row r="6457" spans="1:9" x14ac:dyDescent="0.35">
      <c r="A6457">
        <v>843380</v>
      </c>
      <c r="B6457" t="s">
        <v>2002</v>
      </c>
      <c r="C6457" s="1">
        <v>44434</v>
      </c>
      <c r="D6457">
        <v>364</v>
      </c>
      <c r="E6457" t="b">
        <v>1</v>
      </c>
      <c r="F6457">
        <v>923</v>
      </c>
      <c r="G6457" t="s">
        <v>119</v>
      </c>
      <c r="H6457" t="s">
        <v>792</v>
      </c>
      <c r="I6457" t="s">
        <v>2116</v>
      </c>
    </row>
    <row r="6458" spans="1:9" x14ac:dyDescent="0.35">
      <c r="A6458">
        <v>843380</v>
      </c>
      <c r="B6458" t="s">
        <v>2002</v>
      </c>
      <c r="C6458" s="1">
        <v>44434</v>
      </c>
      <c r="D6458">
        <v>364</v>
      </c>
      <c r="E6458" t="b">
        <v>1</v>
      </c>
      <c r="F6458">
        <v>923</v>
      </c>
      <c r="G6458" t="s">
        <v>119</v>
      </c>
      <c r="H6458" t="s">
        <v>346</v>
      </c>
      <c r="I6458" t="s">
        <v>2116</v>
      </c>
    </row>
    <row r="6459" spans="1:9" x14ac:dyDescent="0.35">
      <c r="A6459">
        <v>843380</v>
      </c>
      <c r="B6459" t="s">
        <v>2002</v>
      </c>
      <c r="C6459" s="1">
        <v>44434</v>
      </c>
      <c r="D6459">
        <v>364</v>
      </c>
      <c r="E6459" t="b">
        <v>1</v>
      </c>
      <c r="F6459">
        <v>923</v>
      </c>
      <c r="G6459" t="s">
        <v>119</v>
      </c>
      <c r="H6459" t="s">
        <v>239</v>
      </c>
      <c r="I6459" t="s">
        <v>2117</v>
      </c>
    </row>
    <row r="6460" spans="1:9" x14ac:dyDescent="0.35">
      <c r="A6460">
        <v>843380</v>
      </c>
      <c r="B6460" t="s">
        <v>2002</v>
      </c>
      <c r="C6460" s="1">
        <v>44434</v>
      </c>
      <c r="D6460">
        <v>364</v>
      </c>
      <c r="E6460" t="b">
        <v>1</v>
      </c>
      <c r="F6460">
        <v>923</v>
      </c>
      <c r="G6460" t="s">
        <v>119</v>
      </c>
      <c r="H6460" t="s">
        <v>132</v>
      </c>
      <c r="I6460" t="s">
        <v>2117</v>
      </c>
    </row>
    <row r="6461" spans="1:9" x14ac:dyDescent="0.35">
      <c r="A6461">
        <v>843380</v>
      </c>
      <c r="B6461" t="s">
        <v>2002</v>
      </c>
      <c r="C6461" s="1">
        <v>44434</v>
      </c>
      <c r="D6461">
        <v>364</v>
      </c>
      <c r="E6461" t="b">
        <v>1</v>
      </c>
      <c r="F6461">
        <v>923</v>
      </c>
      <c r="G6461" t="s">
        <v>119</v>
      </c>
      <c r="H6461" t="s">
        <v>124</v>
      </c>
      <c r="I6461" t="s">
        <v>2117</v>
      </c>
    </row>
    <row r="6462" spans="1:9" x14ac:dyDescent="0.35">
      <c r="A6462">
        <v>843380</v>
      </c>
      <c r="B6462" t="s">
        <v>2002</v>
      </c>
      <c r="C6462" s="1">
        <v>44434</v>
      </c>
      <c r="D6462">
        <v>364</v>
      </c>
      <c r="E6462" t="b">
        <v>1</v>
      </c>
      <c r="F6462">
        <v>923</v>
      </c>
      <c r="G6462" t="s">
        <v>119</v>
      </c>
      <c r="H6462" t="s">
        <v>1510</v>
      </c>
      <c r="I6462" t="s">
        <v>2116</v>
      </c>
    </row>
    <row r="6463" spans="1:9" x14ac:dyDescent="0.35">
      <c r="A6463">
        <v>1084160</v>
      </c>
      <c r="B6463" t="s">
        <v>2005</v>
      </c>
      <c r="C6463" s="1">
        <v>45121</v>
      </c>
      <c r="D6463">
        <v>363</v>
      </c>
      <c r="E6463" t="b">
        <v>0</v>
      </c>
      <c r="F6463">
        <v>926</v>
      </c>
      <c r="G6463" t="s">
        <v>119</v>
      </c>
      <c r="H6463" t="s">
        <v>49</v>
      </c>
      <c r="I6463" t="s">
        <v>2116</v>
      </c>
    </row>
    <row r="6464" spans="1:9" x14ac:dyDescent="0.35">
      <c r="A6464">
        <v>1084160</v>
      </c>
      <c r="B6464" t="s">
        <v>2005</v>
      </c>
      <c r="C6464" s="1">
        <v>45121</v>
      </c>
      <c r="D6464">
        <v>363</v>
      </c>
      <c r="E6464" t="b">
        <v>0</v>
      </c>
      <c r="F6464">
        <v>926</v>
      </c>
      <c r="G6464" t="s">
        <v>119</v>
      </c>
      <c r="H6464" t="s">
        <v>792</v>
      </c>
      <c r="I6464" t="s">
        <v>2117</v>
      </c>
    </row>
    <row r="6465" spans="1:9" x14ac:dyDescent="0.35">
      <c r="A6465">
        <v>1084160</v>
      </c>
      <c r="B6465" t="s">
        <v>2005</v>
      </c>
      <c r="C6465" s="1">
        <v>45121</v>
      </c>
      <c r="D6465">
        <v>363</v>
      </c>
      <c r="E6465" t="b">
        <v>0</v>
      </c>
      <c r="F6465">
        <v>926</v>
      </c>
      <c r="G6465" t="s">
        <v>119</v>
      </c>
      <c r="H6465" t="s">
        <v>346</v>
      </c>
      <c r="I6465" t="s">
        <v>2117</v>
      </c>
    </row>
    <row r="6466" spans="1:9" x14ac:dyDescent="0.35">
      <c r="A6466">
        <v>1084160</v>
      </c>
      <c r="B6466" t="s">
        <v>2005</v>
      </c>
      <c r="C6466" s="1">
        <v>45121</v>
      </c>
      <c r="D6466">
        <v>363</v>
      </c>
      <c r="E6466" t="b">
        <v>0</v>
      </c>
      <c r="F6466">
        <v>926</v>
      </c>
      <c r="G6466" t="s">
        <v>119</v>
      </c>
      <c r="H6466" t="s">
        <v>239</v>
      </c>
      <c r="I6466" t="s">
        <v>2117</v>
      </c>
    </row>
    <row r="6467" spans="1:9" x14ac:dyDescent="0.35">
      <c r="A6467">
        <v>1084160</v>
      </c>
      <c r="B6467" t="s">
        <v>2005</v>
      </c>
      <c r="C6467" s="1">
        <v>45121</v>
      </c>
      <c r="D6467">
        <v>363</v>
      </c>
      <c r="E6467" t="b">
        <v>0</v>
      </c>
      <c r="F6467">
        <v>926</v>
      </c>
      <c r="G6467" t="s">
        <v>119</v>
      </c>
      <c r="H6467" t="s">
        <v>132</v>
      </c>
      <c r="I6467" t="s">
        <v>2117</v>
      </c>
    </row>
    <row r="6468" spans="1:9" x14ac:dyDescent="0.35">
      <c r="A6468">
        <v>1084160</v>
      </c>
      <c r="B6468" t="s">
        <v>2005</v>
      </c>
      <c r="C6468" s="1">
        <v>45121</v>
      </c>
      <c r="D6468">
        <v>363</v>
      </c>
      <c r="E6468" t="b">
        <v>0</v>
      </c>
      <c r="F6468">
        <v>926</v>
      </c>
      <c r="G6468" t="s">
        <v>119</v>
      </c>
      <c r="H6468" t="s">
        <v>124</v>
      </c>
      <c r="I6468" t="s">
        <v>2116</v>
      </c>
    </row>
    <row r="6469" spans="1:9" x14ac:dyDescent="0.35">
      <c r="A6469">
        <v>1084160</v>
      </c>
      <c r="B6469" t="s">
        <v>2005</v>
      </c>
      <c r="C6469" s="1">
        <v>45121</v>
      </c>
      <c r="D6469">
        <v>363</v>
      </c>
      <c r="E6469" t="b">
        <v>0</v>
      </c>
      <c r="F6469">
        <v>926</v>
      </c>
      <c r="G6469" t="s">
        <v>119</v>
      </c>
      <c r="H6469" t="s">
        <v>1510</v>
      </c>
      <c r="I6469" t="s">
        <v>2117</v>
      </c>
    </row>
    <row r="6470" spans="1:9" x14ac:dyDescent="0.35">
      <c r="A6470">
        <v>760160</v>
      </c>
      <c r="B6470" t="s">
        <v>2006</v>
      </c>
      <c r="C6470" s="1">
        <v>44678</v>
      </c>
      <c r="D6470">
        <v>362</v>
      </c>
      <c r="E6470" t="b">
        <v>0</v>
      </c>
      <c r="F6470">
        <v>927</v>
      </c>
      <c r="G6470" t="s">
        <v>371</v>
      </c>
      <c r="H6470" t="s">
        <v>49</v>
      </c>
      <c r="I6470" t="s">
        <v>2116</v>
      </c>
    </row>
    <row r="6471" spans="1:9" x14ac:dyDescent="0.35">
      <c r="A6471">
        <v>760160</v>
      </c>
      <c r="B6471" t="s">
        <v>2006</v>
      </c>
      <c r="C6471" s="1">
        <v>44678</v>
      </c>
      <c r="D6471">
        <v>362</v>
      </c>
      <c r="E6471" t="b">
        <v>0</v>
      </c>
      <c r="F6471">
        <v>927</v>
      </c>
      <c r="G6471" t="s">
        <v>371</v>
      </c>
      <c r="H6471" t="s">
        <v>792</v>
      </c>
      <c r="I6471" t="s">
        <v>2117</v>
      </c>
    </row>
    <row r="6472" spans="1:9" x14ac:dyDescent="0.35">
      <c r="A6472">
        <v>760160</v>
      </c>
      <c r="B6472" t="s">
        <v>2006</v>
      </c>
      <c r="C6472" s="1">
        <v>44678</v>
      </c>
      <c r="D6472">
        <v>362</v>
      </c>
      <c r="E6472" t="b">
        <v>0</v>
      </c>
      <c r="F6472">
        <v>927</v>
      </c>
      <c r="G6472" t="s">
        <v>371</v>
      </c>
      <c r="H6472" t="s">
        <v>346</v>
      </c>
      <c r="I6472" t="s">
        <v>2117</v>
      </c>
    </row>
    <row r="6473" spans="1:9" x14ac:dyDescent="0.35">
      <c r="A6473">
        <v>760160</v>
      </c>
      <c r="B6473" t="s">
        <v>2006</v>
      </c>
      <c r="C6473" s="1">
        <v>44678</v>
      </c>
      <c r="D6473">
        <v>362</v>
      </c>
      <c r="E6473" t="b">
        <v>0</v>
      </c>
      <c r="F6473">
        <v>927</v>
      </c>
      <c r="G6473" t="s">
        <v>371</v>
      </c>
      <c r="H6473" t="s">
        <v>239</v>
      </c>
      <c r="I6473" t="s">
        <v>2117</v>
      </c>
    </row>
    <row r="6474" spans="1:9" x14ac:dyDescent="0.35">
      <c r="A6474">
        <v>760160</v>
      </c>
      <c r="B6474" t="s">
        <v>2006</v>
      </c>
      <c r="C6474" s="1">
        <v>44678</v>
      </c>
      <c r="D6474">
        <v>362</v>
      </c>
      <c r="E6474" t="b">
        <v>0</v>
      </c>
      <c r="F6474">
        <v>927</v>
      </c>
      <c r="G6474" t="s">
        <v>371</v>
      </c>
      <c r="H6474" t="s">
        <v>132</v>
      </c>
      <c r="I6474" t="s">
        <v>2117</v>
      </c>
    </row>
    <row r="6475" spans="1:9" x14ac:dyDescent="0.35">
      <c r="A6475">
        <v>760160</v>
      </c>
      <c r="B6475" t="s">
        <v>2006</v>
      </c>
      <c r="C6475" s="1">
        <v>44678</v>
      </c>
      <c r="D6475">
        <v>362</v>
      </c>
      <c r="E6475" t="b">
        <v>0</v>
      </c>
      <c r="F6475">
        <v>927</v>
      </c>
      <c r="G6475" t="s">
        <v>371</v>
      </c>
      <c r="H6475" t="s">
        <v>124</v>
      </c>
      <c r="I6475" t="s">
        <v>2117</v>
      </c>
    </row>
    <row r="6476" spans="1:9" x14ac:dyDescent="0.35">
      <c r="A6476">
        <v>760160</v>
      </c>
      <c r="B6476" t="s">
        <v>2006</v>
      </c>
      <c r="C6476" s="1">
        <v>44678</v>
      </c>
      <c r="D6476">
        <v>362</v>
      </c>
      <c r="E6476" t="b">
        <v>0</v>
      </c>
      <c r="F6476">
        <v>927</v>
      </c>
      <c r="G6476" t="s">
        <v>371</v>
      </c>
      <c r="H6476" t="s">
        <v>1510</v>
      </c>
      <c r="I6476" t="s">
        <v>2116</v>
      </c>
    </row>
    <row r="6477" spans="1:9" x14ac:dyDescent="0.35">
      <c r="A6477">
        <v>952060</v>
      </c>
      <c r="B6477" t="s">
        <v>2008</v>
      </c>
      <c r="C6477" s="1">
        <v>43923</v>
      </c>
      <c r="D6477">
        <v>362</v>
      </c>
      <c r="E6477" t="b">
        <v>0</v>
      </c>
      <c r="F6477">
        <v>927</v>
      </c>
      <c r="G6477" t="s">
        <v>53</v>
      </c>
      <c r="H6477" t="s">
        <v>49</v>
      </c>
      <c r="I6477" t="s">
        <v>2116</v>
      </c>
    </row>
    <row r="6478" spans="1:9" x14ac:dyDescent="0.35">
      <c r="A6478">
        <v>952060</v>
      </c>
      <c r="B6478" t="s">
        <v>2008</v>
      </c>
      <c r="C6478" s="1">
        <v>43923</v>
      </c>
      <c r="D6478">
        <v>362</v>
      </c>
      <c r="E6478" t="b">
        <v>0</v>
      </c>
      <c r="F6478">
        <v>927</v>
      </c>
      <c r="G6478" t="s">
        <v>53</v>
      </c>
      <c r="H6478" t="s">
        <v>792</v>
      </c>
      <c r="I6478" t="s">
        <v>2117</v>
      </c>
    </row>
    <row r="6479" spans="1:9" x14ac:dyDescent="0.35">
      <c r="A6479">
        <v>952060</v>
      </c>
      <c r="B6479" t="s">
        <v>2008</v>
      </c>
      <c r="C6479" s="1">
        <v>43923</v>
      </c>
      <c r="D6479">
        <v>362</v>
      </c>
      <c r="E6479" t="b">
        <v>0</v>
      </c>
      <c r="F6479">
        <v>927</v>
      </c>
      <c r="G6479" t="s">
        <v>53</v>
      </c>
      <c r="H6479" t="s">
        <v>346</v>
      </c>
      <c r="I6479" t="s">
        <v>2117</v>
      </c>
    </row>
    <row r="6480" spans="1:9" x14ac:dyDescent="0.35">
      <c r="A6480">
        <v>952060</v>
      </c>
      <c r="B6480" t="s">
        <v>2008</v>
      </c>
      <c r="C6480" s="1">
        <v>43923</v>
      </c>
      <c r="D6480">
        <v>362</v>
      </c>
      <c r="E6480" t="b">
        <v>0</v>
      </c>
      <c r="F6480">
        <v>927</v>
      </c>
      <c r="G6480" t="s">
        <v>53</v>
      </c>
      <c r="H6480" t="s">
        <v>239</v>
      </c>
      <c r="I6480" t="s">
        <v>2117</v>
      </c>
    </row>
    <row r="6481" spans="1:9" x14ac:dyDescent="0.35">
      <c r="A6481">
        <v>952060</v>
      </c>
      <c r="B6481" t="s">
        <v>2008</v>
      </c>
      <c r="C6481" s="1">
        <v>43923</v>
      </c>
      <c r="D6481">
        <v>362</v>
      </c>
      <c r="E6481" t="b">
        <v>0</v>
      </c>
      <c r="F6481">
        <v>927</v>
      </c>
      <c r="G6481" t="s">
        <v>53</v>
      </c>
      <c r="H6481" t="s">
        <v>132</v>
      </c>
      <c r="I6481" t="s">
        <v>2117</v>
      </c>
    </row>
    <row r="6482" spans="1:9" x14ac:dyDescent="0.35">
      <c r="A6482">
        <v>952060</v>
      </c>
      <c r="B6482" t="s">
        <v>2008</v>
      </c>
      <c r="C6482" s="1">
        <v>43923</v>
      </c>
      <c r="D6482">
        <v>362</v>
      </c>
      <c r="E6482" t="b">
        <v>0</v>
      </c>
      <c r="F6482">
        <v>927</v>
      </c>
      <c r="G6482" t="s">
        <v>53</v>
      </c>
      <c r="H6482" t="s">
        <v>124</v>
      </c>
      <c r="I6482" t="s">
        <v>2117</v>
      </c>
    </row>
    <row r="6483" spans="1:9" x14ac:dyDescent="0.35">
      <c r="A6483">
        <v>952060</v>
      </c>
      <c r="B6483" t="s">
        <v>2008</v>
      </c>
      <c r="C6483" s="1">
        <v>43923</v>
      </c>
      <c r="D6483">
        <v>362</v>
      </c>
      <c r="E6483" t="b">
        <v>0</v>
      </c>
      <c r="F6483">
        <v>927</v>
      </c>
      <c r="G6483" t="s">
        <v>53</v>
      </c>
      <c r="H6483" t="s">
        <v>1510</v>
      </c>
      <c r="I6483" t="s">
        <v>2117</v>
      </c>
    </row>
    <row r="6484" spans="1:9" x14ac:dyDescent="0.35">
      <c r="A6484">
        <v>17480</v>
      </c>
      <c r="B6484" t="s">
        <v>2010</v>
      </c>
      <c r="C6484" s="1">
        <v>39821</v>
      </c>
      <c r="D6484">
        <v>362</v>
      </c>
      <c r="E6484" t="b">
        <v>0</v>
      </c>
      <c r="F6484">
        <v>927</v>
      </c>
      <c r="G6484" t="s">
        <v>2084</v>
      </c>
      <c r="H6484" t="s">
        <v>49</v>
      </c>
      <c r="I6484" t="s">
        <v>2116</v>
      </c>
    </row>
    <row r="6485" spans="1:9" x14ac:dyDescent="0.35">
      <c r="A6485">
        <v>17480</v>
      </c>
      <c r="B6485" t="s">
        <v>2010</v>
      </c>
      <c r="C6485" s="1">
        <v>39821</v>
      </c>
      <c r="D6485">
        <v>362</v>
      </c>
      <c r="E6485" t="b">
        <v>0</v>
      </c>
      <c r="F6485">
        <v>927</v>
      </c>
      <c r="G6485" t="s">
        <v>2084</v>
      </c>
      <c r="H6485" t="s">
        <v>792</v>
      </c>
      <c r="I6485" t="s">
        <v>2117</v>
      </c>
    </row>
    <row r="6486" spans="1:9" x14ac:dyDescent="0.35">
      <c r="A6486">
        <v>17480</v>
      </c>
      <c r="B6486" t="s">
        <v>2010</v>
      </c>
      <c r="C6486" s="1">
        <v>39821</v>
      </c>
      <c r="D6486">
        <v>362</v>
      </c>
      <c r="E6486" t="b">
        <v>0</v>
      </c>
      <c r="F6486">
        <v>927</v>
      </c>
      <c r="G6486" t="s">
        <v>2084</v>
      </c>
      <c r="H6486" t="s">
        <v>346</v>
      </c>
      <c r="I6486" t="s">
        <v>2117</v>
      </c>
    </row>
    <row r="6487" spans="1:9" x14ac:dyDescent="0.35">
      <c r="A6487">
        <v>17480</v>
      </c>
      <c r="B6487" t="s">
        <v>2010</v>
      </c>
      <c r="C6487" s="1">
        <v>39821</v>
      </c>
      <c r="D6487">
        <v>362</v>
      </c>
      <c r="E6487" t="b">
        <v>0</v>
      </c>
      <c r="F6487">
        <v>927</v>
      </c>
      <c r="G6487" t="s">
        <v>2084</v>
      </c>
      <c r="H6487" t="s">
        <v>239</v>
      </c>
      <c r="I6487" t="s">
        <v>2117</v>
      </c>
    </row>
    <row r="6488" spans="1:9" x14ac:dyDescent="0.35">
      <c r="A6488">
        <v>17480</v>
      </c>
      <c r="B6488" t="s">
        <v>2010</v>
      </c>
      <c r="C6488" s="1">
        <v>39821</v>
      </c>
      <c r="D6488">
        <v>362</v>
      </c>
      <c r="E6488" t="b">
        <v>0</v>
      </c>
      <c r="F6488">
        <v>927</v>
      </c>
      <c r="G6488" t="s">
        <v>2084</v>
      </c>
      <c r="H6488" t="s">
        <v>132</v>
      </c>
      <c r="I6488" t="s">
        <v>2117</v>
      </c>
    </row>
    <row r="6489" spans="1:9" x14ac:dyDescent="0.35">
      <c r="A6489">
        <v>17480</v>
      </c>
      <c r="B6489" t="s">
        <v>2010</v>
      </c>
      <c r="C6489" s="1">
        <v>39821</v>
      </c>
      <c r="D6489">
        <v>362</v>
      </c>
      <c r="E6489" t="b">
        <v>0</v>
      </c>
      <c r="F6489">
        <v>927</v>
      </c>
      <c r="G6489" t="s">
        <v>2084</v>
      </c>
      <c r="H6489" t="s">
        <v>124</v>
      </c>
      <c r="I6489" t="s">
        <v>2116</v>
      </c>
    </row>
    <row r="6490" spans="1:9" x14ac:dyDescent="0.35">
      <c r="A6490">
        <v>17480</v>
      </c>
      <c r="B6490" t="s">
        <v>2010</v>
      </c>
      <c r="C6490" s="1">
        <v>39821</v>
      </c>
      <c r="D6490">
        <v>362</v>
      </c>
      <c r="E6490" t="b">
        <v>0</v>
      </c>
      <c r="F6490">
        <v>927</v>
      </c>
      <c r="G6490" t="s">
        <v>2084</v>
      </c>
      <c r="H6490" t="s">
        <v>1510</v>
      </c>
      <c r="I6490" t="s">
        <v>2117</v>
      </c>
    </row>
    <row r="6491" spans="1:9" x14ac:dyDescent="0.35">
      <c r="A6491">
        <v>3330250</v>
      </c>
      <c r="B6491" t="s">
        <v>2011</v>
      </c>
      <c r="C6491" s="1">
        <v>45784</v>
      </c>
      <c r="D6491">
        <v>361</v>
      </c>
      <c r="E6491" t="b">
        <v>1</v>
      </c>
      <c r="F6491">
        <v>930</v>
      </c>
      <c r="G6491" t="s">
        <v>33</v>
      </c>
      <c r="H6491" t="s">
        <v>49</v>
      </c>
      <c r="I6491" t="s">
        <v>2117</v>
      </c>
    </row>
    <row r="6492" spans="1:9" x14ac:dyDescent="0.35">
      <c r="A6492">
        <v>3330250</v>
      </c>
      <c r="B6492" t="s">
        <v>2011</v>
      </c>
      <c r="C6492" s="1">
        <v>45784</v>
      </c>
      <c r="D6492">
        <v>361</v>
      </c>
      <c r="E6492" t="b">
        <v>1</v>
      </c>
      <c r="F6492">
        <v>930</v>
      </c>
      <c r="G6492" t="s">
        <v>33</v>
      </c>
      <c r="H6492" t="s">
        <v>792</v>
      </c>
      <c r="I6492" t="s">
        <v>2117</v>
      </c>
    </row>
    <row r="6493" spans="1:9" x14ac:dyDescent="0.35">
      <c r="A6493">
        <v>3330250</v>
      </c>
      <c r="B6493" t="s">
        <v>2011</v>
      </c>
      <c r="C6493" s="1">
        <v>45784</v>
      </c>
      <c r="D6493">
        <v>361</v>
      </c>
      <c r="E6493" t="b">
        <v>1</v>
      </c>
      <c r="F6493">
        <v>930</v>
      </c>
      <c r="G6493" t="s">
        <v>33</v>
      </c>
      <c r="H6493" t="s">
        <v>346</v>
      </c>
      <c r="I6493" t="s">
        <v>2117</v>
      </c>
    </row>
    <row r="6494" spans="1:9" x14ac:dyDescent="0.35">
      <c r="A6494">
        <v>3330250</v>
      </c>
      <c r="B6494" t="s">
        <v>2011</v>
      </c>
      <c r="C6494" s="1">
        <v>45784</v>
      </c>
      <c r="D6494">
        <v>361</v>
      </c>
      <c r="E6494" t="b">
        <v>1</v>
      </c>
      <c r="F6494">
        <v>930</v>
      </c>
      <c r="G6494" t="s">
        <v>33</v>
      </c>
      <c r="H6494" t="s">
        <v>239</v>
      </c>
      <c r="I6494" t="s">
        <v>2117</v>
      </c>
    </row>
    <row r="6495" spans="1:9" x14ac:dyDescent="0.35">
      <c r="A6495">
        <v>3330250</v>
      </c>
      <c r="B6495" t="s">
        <v>2011</v>
      </c>
      <c r="C6495" s="1">
        <v>45784</v>
      </c>
      <c r="D6495">
        <v>361</v>
      </c>
      <c r="E6495" t="b">
        <v>1</v>
      </c>
      <c r="F6495">
        <v>930</v>
      </c>
      <c r="G6495" t="s">
        <v>33</v>
      </c>
      <c r="H6495" t="s">
        <v>132</v>
      </c>
      <c r="I6495" t="s">
        <v>2117</v>
      </c>
    </row>
    <row r="6496" spans="1:9" x14ac:dyDescent="0.35">
      <c r="A6496">
        <v>3330250</v>
      </c>
      <c r="B6496" t="s">
        <v>2011</v>
      </c>
      <c r="C6496" s="1">
        <v>45784</v>
      </c>
      <c r="D6496">
        <v>361</v>
      </c>
      <c r="E6496" t="b">
        <v>1</v>
      </c>
      <c r="F6496">
        <v>930</v>
      </c>
      <c r="G6496" t="s">
        <v>33</v>
      </c>
      <c r="H6496" t="s">
        <v>124</v>
      </c>
      <c r="I6496" t="s">
        <v>2117</v>
      </c>
    </row>
    <row r="6497" spans="1:9" x14ac:dyDescent="0.35">
      <c r="A6497">
        <v>3330250</v>
      </c>
      <c r="B6497" t="s">
        <v>2011</v>
      </c>
      <c r="C6497" s="1">
        <v>45784</v>
      </c>
      <c r="D6497">
        <v>361</v>
      </c>
      <c r="E6497" t="b">
        <v>1</v>
      </c>
      <c r="F6497">
        <v>930</v>
      </c>
      <c r="G6497" t="s">
        <v>33</v>
      </c>
      <c r="H6497" t="s">
        <v>1510</v>
      </c>
      <c r="I6497" t="s">
        <v>2117</v>
      </c>
    </row>
    <row r="6498" spans="1:9" x14ac:dyDescent="0.35">
      <c r="A6498">
        <v>2218750</v>
      </c>
      <c r="B6498" t="s">
        <v>2012</v>
      </c>
      <c r="C6498" s="1">
        <v>45559</v>
      </c>
      <c r="D6498">
        <v>361</v>
      </c>
      <c r="E6498" t="b">
        <v>0</v>
      </c>
      <c r="F6498">
        <v>930</v>
      </c>
      <c r="G6498" t="s">
        <v>25</v>
      </c>
      <c r="H6498" t="s">
        <v>49</v>
      </c>
      <c r="I6498" t="s">
        <v>2116</v>
      </c>
    </row>
    <row r="6499" spans="1:9" x14ac:dyDescent="0.35">
      <c r="A6499">
        <v>2218750</v>
      </c>
      <c r="B6499" t="s">
        <v>2012</v>
      </c>
      <c r="C6499" s="1">
        <v>45559</v>
      </c>
      <c r="D6499">
        <v>361</v>
      </c>
      <c r="E6499" t="b">
        <v>0</v>
      </c>
      <c r="F6499">
        <v>930</v>
      </c>
      <c r="G6499" t="s">
        <v>25</v>
      </c>
      <c r="H6499" t="s">
        <v>792</v>
      </c>
      <c r="I6499" t="s">
        <v>2116</v>
      </c>
    </row>
    <row r="6500" spans="1:9" x14ac:dyDescent="0.35">
      <c r="A6500">
        <v>2218750</v>
      </c>
      <c r="B6500" t="s">
        <v>2012</v>
      </c>
      <c r="C6500" s="1">
        <v>45559</v>
      </c>
      <c r="D6500">
        <v>361</v>
      </c>
      <c r="E6500" t="b">
        <v>0</v>
      </c>
      <c r="F6500">
        <v>930</v>
      </c>
      <c r="G6500" t="s">
        <v>25</v>
      </c>
      <c r="H6500" t="s">
        <v>346</v>
      </c>
      <c r="I6500" t="s">
        <v>2117</v>
      </c>
    </row>
    <row r="6501" spans="1:9" x14ac:dyDescent="0.35">
      <c r="A6501">
        <v>2218750</v>
      </c>
      <c r="B6501" t="s">
        <v>2012</v>
      </c>
      <c r="C6501" s="1">
        <v>45559</v>
      </c>
      <c r="D6501">
        <v>361</v>
      </c>
      <c r="E6501" t="b">
        <v>0</v>
      </c>
      <c r="F6501">
        <v>930</v>
      </c>
      <c r="G6501" t="s">
        <v>25</v>
      </c>
      <c r="H6501" t="s">
        <v>239</v>
      </c>
      <c r="I6501" t="s">
        <v>2117</v>
      </c>
    </row>
    <row r="6502" spans="1:9" x14ac:dyDescent="0.35">
      <c r="A6502">
        <v>2218750</v>
      </c>
      <c r="B6502" t="s">
        <v>2012</v>
      </c>
      <c r="C6502" s="1">
        <v>45559</v>
      </c>
      <c r="D6502">
        <v>361</v>
      </c>
      <c r="E6502" t="b">
        <v>0</v>
      </c>
      <c r="F6502">
        <v>930</v>
      </c>
      <c r="G6502" t="s">
        <v>25</v>
      </c>
      <c r="H6502" t="s">
        <v>132</v>
      </c>
      <c r="I6502" t="s">
        <v>2116</v>
      </c>
    </row>
    <row r="6503" spans="1:9" x14ac:dyDescent="0.35">
      <c r="A6503">
        <v>2218750</v>
      </c>
      <c r="B6503" t="s">
        <v>2012</v>
      </c>
      <c r="C6503" s="1">
        <v>45559</v>
      </c>
      <c r="D6503">
        <v>361</v>
      </c>
      <c r="E6503" t="b">
        <v>0</v>
      </c>
      <c r="F6503">
        <v>930</v>
      </c>
      <c r="G6503" t="s">
        <v>25</v>
      </c>
      <c r="H6503" t="s">
        <v>124</v>
      </c>
      <c r="I6503" t="s">
        <v>2117</v>
      </c>
    </row>
    <row r="6504" spans="1:9" x14ac:dyDescent="0.35">
      <c r="A6504">
        <v>2218750</v>
      </c>
      <c r="B6504" t="s">
        <v>2012</v>
      </c>
      <c r="C6504" s="1">
        <v>45559</v>
      </c>
      <c r="D6504">
        <v>361</v>
      </c>
      <c r="E6504" t="b">
        <v>0</v>
      </c>
      <c r="F6504">
        <v>930</v>
      </c>
      <c r="G6504" t="s">
        <v>25</v>
      </c>
      <c r="H6504" t="s">
        <v>1510</v>
      </c>
      <c r="I6504" t="s">
        <v>2117</v>
      </c>
    </row>
    <row r="6505" spans="1:9" x14ac:dyDescent="0.35">
      <c r="A6505">
        <v>800270</v>
      </c>
      <c r="B6505" t="s">
        <v>2014</v>
      </c>
      <c r="C6505" s="1">
        <v>43390</v>
      </c>
      <c r="D6505">
        <v>361</v>
      </c>
      <c r="E6505" t="b">
        <v>1</v>
      </c>
      <c r="F6505">
        <v>930</v>
      </c>
      <c r="G6505" t="s">
        <v>133</v>
      </c>
      <c r="H6505" t="s">
        <v>49</v>
      </c>
      <c r="I6505" t="s">
        <v>2117</v>
      </c>
    </row>
    <row r="6506" spans="1:9" x14ac:dyDescent="0.35">
      <c r="A6506">
        <v>800270</v>
      </c>
      <c r="B6506" t="s">
        <v>2014</v>
      </c>
      <c r="C6506" s="1">
        <v>43390</v>
      </c>
      <c r="D6506">
        <v>361</v>
      </c>
      <c r="E6506" t="b">
        <v>1</v>
      </c>
      <c r="F6506">
        <v>930</v>
      </c>
      <c r="G6506" t="s">
        <v>133</v>
      </c>
      <c r="H6506" t="s">
        <v>792</v>
      </c>
      <c r="I6506" t="s">
        <v>2117</v>
      </c>
    </row>
    <row r="6507" spans="1:9" x14ac:dyDescent="0.35">
      <c r="A6507">
        <v>800270</v>
      </c>
      <c r="B6507" t="s">
        <v>2014</v>
      </c>
      <c r="C6507" s="1">
        <v>43390</v>
      </c>
      <c r="D6507">
        <v>361</v>
      </c>
      <c r="E6507" t="b">
        <v>1</v>
      </c>
      <c r="F6507">
        <v>930</v>
      </c>
      <c r="G6507" t="s">
        <v>133</v>
      </c>
      <c r="H6507" t="s">
        <v>346</v>
      </c>
      <c r="I6507" t="s">
        <v>2117</v>
      </c>
    </row>
    <row r="6508" spans="1:9" x14ac:dyDescent="0.35">
      <c r="A6508">
        <v>800270</v>
      </c>
      <c r="B6508" t="s">
        <v>2014</v>
      </c>
      <c r="C6508" s="1">
        <v>43390</v>
      </c>
      <c r="D6508">
        <v>361</v>
      </c>
      <c r="E6508" t="b">
        <v>1</v>
      </c>
      <c r="F6508">
        <v>930</v>
      </c>
      <c r="G6508" t="s">
        <v>133</v>
      </c>
      <c r="H6508" t="s">
        <v>239</v>
      </c>
      <c r="I6508" t="s">
        <v>2117</v>
      </c>
    </row>
    <row r="6509" spans="1:9" x14ac:dyDescent="0.35">
      <c r="A6509">
        <v>800270</v>
      </c>
      <c r="B6509" t="s">
        <v>2014</v>
      </c>
      <c r="C6509" s="1">
        <v>43390</v>
      </c>
      <c r="D6509">
        <v>361</v>
      </c>
      <c r="E6509" t="b">
        <v>1</v>
      </c>
      <c r="F6509">
        <v>930</v>
      </c>
      <c r="G6509" t="s">
        <v>133</v>
      </c>
      <c r="H6509" t="s">
        <v>132</v>
      </c>
      <c r="I6509" t="s">
        <v>2117</v>
      </c>
    </row>
    <row r="6510" spans="1:9" x14ac:dyDescent="0.35">
      <c r="A6510">
        <v>800270</v>
      </c>
      <c r="B6510" t="s">
        <v>2014</v>
      </c>
      <c r="C6510" s="1">
        <v>43390</v>
      </c>
      <c r="D6510">
        <v>361</v>
      </c>
      <c r="E6510" t="b">
        <v>1</v>
      </c>
      <c r="F6510">
        <v>930</v>
      </c>
      <c r="G6510" t="s">
        <v>133</v>
      </c>
      <c r="H6510" t="s">
        <v>124</v>
      </c>
      <c r="I6510" t="s">
        <v>2116</v>
      </c>
    </row>
    <row r="6511" spans="1:9" x14ac:dyDescent="0.35">
      <c r="A6511">
        <v>800270</v>
      </c>
      <c r="B6511" t="s">
        <v>2014</v>
      </c>
      <c r="C6511" s="1">
        <v>43390</v>
      </c>
      <c r="D6511">
        <v>361</v>
      </c>
      <c r="E6511" t="b">
        <v>1</v>
      </c>
      <c r="F6511">
        <v>930</v>
      </c>
      <c r="G6511" t="s">
        <v>133</v>
      </c>
      <c r="H6511" t="s">
        <v>1510</v>
      </c>
      <c r="I6511" t="s">
        <v>2117</v>
      </c>
    </row>
    <row r="6512" spans="1:9" x14ac:dyDescent="0.35">
      <c r="A6512">
        <v>392110</v>
      </c>
      <c r="B6512" t="s">
        <v>2016</v>
      </c>
      <c r="C6512" s="1">
        <v>42873</v>
      </c>
      <c r="D6512">
        <v>359</v>
      </c>
      <c r="E6512" t="b">
        <v>1</v>
      </c>
      <c r="F6512">
        <v>933</v>
      </c>
      <c r="G6512" t="s">
        <v>68</v>
      </c>
      <c r="H6512" t="s">
        <v>49</v>
      </c>
      <c r="I6512" t="s">
        <v>2117</v>
      </c>
    </row>
    <row r="6513" spans="1:9" x14ac:dyDescent="0.35">
      <c r="A6513">
        <v>392110</v>
      </c>
      <c r="B6513" t="s">
        <v>2016</v>
      </c>
      <c r="C6513" s="1">
        <v>42873</v>
      </c>
      <c r="D6513">
        <v>359</v>
      </c>
      <c r="E6513" t="b">
        <v>1</v>
      </c>
      <c r="F6513">
        <v>933</v>
      </c>
      <c r="G6513" t="s">
        <v>68</v>
      </c>
      <c r="H6513" t="s">
        <v>792</v>
      </c>
      <c r="I6513" t="s">
        <v>2117</v>
      </c>
    </row>
    <row r="6514" spans="1:9" x14ac:dyDescent="0.35">
      <c r="A6514">
        <v>392110</v>
      </c>
      <c r="B6514" t="s">
        <v>2016</v>
      </c>
      <c r="C6514" s="1">
        <v>42873</v>
      </c>
      <c r="D6514">
        <v>359</v>
      </c>
      <c r="E6514" t="b">
        <v>1</v>
      </c>
      <c r="F6514">
        <v>933</v>
      </c>
      <c r="G6514" t="s">
        <v>68</v>
      </c>
      <c r="H6514" t="s">
        <v>346</v>
      </c>
      <c r="I6514" t="s">
        <v>2117</v>
      </c>
    </row>
    <row r="6515" spans="1:9" x14ac:dyDescent="0.35">
      <c r="A6515">
        <v>392110</v>
      </c>
      <c r="B6515" t="s">
        <v>2016</v>
      </c>
      <c r="C6515" s="1">
        <v>42873</v>
      </c>
      <c r="D6515">
        <v>359</v>
      </c>
      <c r="E6515" t="b">
        <v>1</v>
      </c>
      <c r="F6515">
        <v>933</v>
      </c>
      <c r="G6515" t="s">
        <v>68</v>
      </c>
      <c r="H6515" t="s">
        <v>239</v>
      </c>
      <c r="I6515" t="s">
        <v>2117</v>
      </c>
    </row>
    <row r="6516" spans="1:9" x14ac:dyDescent="0.35">
      <c r="A6516">
        <v>392110</v>
      </c>
      <c r="B6516" t="s">
        <v>2016</v>
      </c>
      <c r="C6516" s="1">
        <v>42873</v>
      </c>
      <c r="D6516">
        <v>359</v>
      </c>
      <c r="E6516" t="b">
        <v>1</v>
      </c>
      <c r="F6516">
        <v>933</v>
      </c>
      <c r="G6516" t="s">
        <v>68</v>
      </c>
      <c r="H6516" t="s">
        <v>132</v>
      </c>
      <c r="I6516" t="s">
        <v>2117</v>
      </c>
    </row>
    <row r="6517" spans="1:9" x14ac:dyDescent="0.35">
      <c r="A6517">
        <v>392110</v>
      </c>
      <c r="B6517" t="s">
        <v>2016</v>
      </c>
      <c r="C6517" s="1">
        <v>42873</v>
      </c>
      <c r="D6517">
        <v>359</v>
      </c>
      <c r="E6517" t="b">
        <v>1</v>
      </c>
      <c r="F6517">
        <v>933</v>
      </c>
      <c r="G6517" t="s">
        <v>68</v>
      </c>
      <c r="H6517" t="s">
        <v>124</v>
      </c>
      <c r="I6517" t="s">
        <v>2116</v>
      </c>
    </row>
    <row r="6518" spans="1:9" x14ac:dyDescent="0.35">
      <c r="A6518">
        <v>392110</v>
      </c>
      <c r="B6518" t="s">
        <v>2016</v>
      </c>
      <c r="C6518" s="1">
        <v>42873</v>
      </c>
      <c r="D6518">
        <v>359</v>
      </c>
      <c r="E6518" t="b">
        <v>1</v>
      </c>
      <c r="F6518">
        <v>933</v>
      </c>
      <c r="G6518" t="s">
        <v>68</v>
      </c>
      <c r="H6518" t="s">
        <v>1510</v>
      </c>
      <c r="I6518" t="s">
        <v>2117</v>
      </c>
    </row>
    <row r="6519" spans="1:9" x14ac:dyDescent="0.35">
      <c r="A6519">
        <v>1796470</v>
      </c>
      <c r="B6519" t="s">
        <v>2018</v>
      </c>
      <c r="C6519" s="1">
        <v>45748</v>
      </c>
      <c r="D6519">
        <v>358</v>
      </c>
      <c r="E6519" t="b">
        <v>1</v>
      </c>
      <c r="F6519">
        <v>934</v>
      </c>
      <c r="G6519" t="s">
        <v>33</v>
      </c>
      <c r="H6519" t="s">
        <v>49</v>
      </c>
      <c r="I6519" t="s">
        <v>2116</v>
      </c>
    </row>
    <row r="6520" spans="1:9" x14ac:dyDescent="0.35">
      <c r="A6520">
        <v>1796470</v>
      </c>
      <c r="B6520" t="s">
        <v>2018</v>
      </c>
      <c r="C6520" s="1">
        <v>45748</v>
      </c>
      <c r="D6520">
        <v>358</v>
      </c>
      <c r="E6520" t="b">
        <v>1</v>
      </c>
      <c r="F6520">
        <v>934</v>
      </c>
      <c r="G6520" t="s">
        <v>33</v>
      </c>
      <c r="H6520" t="s">
        <v>792</v>
      </c>
      <c r="I6520" t="s">
        <v>2116</v>
      </c>
    </row>
    <row r="6521" spans="1:9" x14ac:dyDescent="0.35">
      <c r="A6521">
        <v>1796470</v>
      </c>
      <c r="B6521" t="s">
        <v>2018</v>
      </c>
      <c r="C6521" s="1">
        <v>45748</v>
      </c>
      <c r="D6521">
        <v>358</v>
      </c>
      <c r="E6521" t="b">
        <v>1</v>
      </c>
      <c r="F6521">
        <v>934</v>
      </c>
      <c r="G6521" t="s">
        <v>33</v>
      </c>
      <c r="H6521" t="s">
        <v>346</v>
      </c>
      <c r="I6521" t="s">
        <v>2116</v>
      </c>
    </row>
    <row r="6522" spans="1:9" x14ac:dyDescent="0.35">
      <c r="A6522">
        <v>1796470</v>
      </c>
      <c r="B6522" t="s">
        <v>2018</v>
      </c>
      <c r="C6522" s="1">
        <v>45748</v>
      </c>
      <c r="D6522">
        <v>358</v>
      </c>
      <c r="E6522" t="b">
        <v>1</v>
      </c>
      <c r="F6522">
        <v>934</v>
      </c>
      <c r="G6522" t="s">
        <v>33</v>
      </c>
      <c r="H6522" t="s">
        <v>239</v>
      </c>
      <c r="I6522" t="s">
        <v>2117</v>
      </c>
    </row>
    <row r="6523" spans="1:9" x14ac:dyDescent="0.35">
      <c r="A6523">
        <v>1796470</v>
      </c>
      <c r="B6523" t="s">
        <v>2018</v>
      </c>
      <c r="C6523" s="1">
        <v>45748</v>
      </c>
      <c r="D6523">
        <v>358</v>
      </c>
      <c r="E6523" t="b">
        <v>1</v>
      </c>
      <c r="F6523">
        <v>934</v>
      </c>
      <c r="G6523" t="s">
        <v>33</v>
      </c>
      <c r="H6523" t="s">
        <v>132</v>
      </c>
      <c r="I6523" t="s">
        <v>2117</v>
      </c>
    </row>
    <row r="6524" spans="1:9" x14ac:dyDescent="0.35">
      <c r="A6524">
        <v>1796470</v>
      </c>
      <c r="B6524" t="s">
        <v>2018</v>
      </c>
      <c r="C6524" s="1">
        <v>45748</v>
      </c>
      <c r="D6524">
        <v>358</v>
      </c>
      <c r="E6524" t="b">
        <v>1</v>
      </c>
      <c r="F6524">
        <v>934</v>
      </c>
      <c r="G6524" t="s">
        <v>33</v>
      </c>
      <c r="H6524" t="s">
        <v>124</v>
      </c>
      <c r="I6524" t="s">
        <v>2117</v>
      </c>
    </row>
    <row r="6525" spans="1:9" x14ac:dyDescent="0.35">
      <c r="A6525">
        <v>1796470</v>
      </c>
      <c r="B6525" t="s">
        <v>2018</v>
      </c>
      <c r="C6525" s="1">
        <v>45748</v>
      </c>
      <c r="D6525">
        <v>358</v>
      </c>
      <c r="E6525" t="b">
        <v>1</v>
      </c>
      <c r="F6525">
        <v>934</v>
      </c>
      <c r="G6525" t="s">
        <v>33</v>
      </c>
      <c r="H6525" t="s">
        <v>1510</v>
      </c>
      <c r="I6525" t="s">
        <v>2117</v>
      </c>
    </row>
    <row r="6526" spans="1:9" x14ac:dyDescent="0.35">
      <c r="A6526">
        <v>1088790</v>
      </c>
      <c r="B6526" t="s">
        <v>2020</v>
      </c>
      <c r="C6526" s="1">
        <v>44482</v>
      </c>
      <c r="D6526">
        <v>358</v>
      </c>
      <c r="E6526" t="b">
        <v>1</v>
      </c>
      <c r="F6526">
        <v>934</v>
      </c>
      <c r="G6526" t="s">
        <v>40</v>
      </c>
      <c r="H6526" t="s">
        <v>49</v>
      </c>
      <c r="I6526" t="s">
        <v>2117</v>
      </c>
    </row>
    <row r="6527" spans="1:9" x14ac:dyDescent="0.35">
      <c r="A6527">
        <v>1088790</v>
      </c>
      <c r="B6527" t="s">
        <v>2020</v>
      </c>
      <c r="C6527" s="1">
        <v>44482</v>
      </c>
      <c r="D6527">
        <v>358</v>
      </c>
      <c r="E6527" t="b">
        <v>1</v>
      </c>
      <c r="F6527">
        <v>934</v>
      </c>
      <c r="G6527" t="s">
        <v>40</v>
      </c>
      <c r="H6527" t="s">
        <v>792</v>
      </c>
      <c r="I6527" t="s">
        <v>2117</v>
      </c>
    </row>
    <row r="6528" spans="1:9" x14ac:dyDescent="0.35">
      <c r="A6528">
        <v>1088790</v>
      </c>
      <c r="B6528" t="s">
        <v>2020</v>
      </c>
      <c r="C6528" s="1">
        <v>44482</v>
      </c>
      <c r="D6528">
        <v>358</v>
      </c>
      <c r="E6528" t="b">
        <v>1</v>
      </c>
      <c r="F6528">
        <v>934</v>
      </c>
      <c r="G6528" t="s">
        <v>40</v>
      </c>
      <c r="H6528" t="s">
        <v>346</v>
      </c>
      <c r="I6528" t="s">
        <v>2117</v>
      </c>
    </row>
    <row r="6529" spans="1:9" x14ac:dyDescent="0.35">
      <c r="A6529">
        <v>1088790</v>
      </c>
      <c r="B6529" t="s">
        <v>2020</v>
      </c>
      <c r="C6529" s="1">
        <v>44482</v>
      </c>
      <c r="D6529">
        <v>358</v>
      </c>
      <c r="E6529" t="b">
        <v>1</v>
      </c>
      <c r="F6529">
        <v>934</v>
      </c>
      <c r="G6529" t="s">
        <v>40</v>
      </c>
      <c r="H6529" t="s">
        <v>239</v>
      </c>
      <c r="I6529" t="s">
        <v>2116</v>
      </c>
    </row>
    <row r="6530" spans="1:9" x14ac:dyDescent="0.35">
      <c r="A6530">
        <v>1088790</v>
      </c>
      <c r="B6530" t="s">
        <v>2020</v>
      </c>
      <c r="C6530" s="1">
        <v>44482</v>
      </c>
      <c r="D6530">
        <v>358</v>
      </c>
      <c r="E6530" t="b">
        <v>1</v>
      </c>
      <c r="F6530">
        <v>934</v>
      </c>
      <c r="G6530" t="s">
        <v>40</v>
      </c>
      <c r="H6530" t="s">
        <v>132</v>
      </c>
      <c r="I6530" t="s">
        <v>2117</v>
      </c>
    </row>
    <row r="6531" spans="1:9" x14ac:dyDescent="0.35">
      <c r="A6531">
        <v>1088790</v>
      </c>
      <c r="B6531" t="s">
        <v>2020</v>
      </c>
      <c r="C6531" s="1">
        <v>44482</v>
      </c>
      <c r="D6531">
        <v>358</v>
      </c>
      <c r="E6531" t="b">
        <v>1</v>
      </c>
      <c r="F6531">
        <v>934</v>
      </c>
      <c r="G6531" t="s">
        <v>40</v>
      </c>
      <c r="H6531" t="s">
        <v>124</v>
      </c>
      <c r="I6531" t="s">
        <v>2116</v>
      </c>
    </row>
    <row r="6532" spans="1:9" x14ac:dyDescent="0.35">
      <c r="A6532">
        <v>1088790</v>
      </c>
      <c r="B6532" t="s">
        <v>2020</v>
      </c>
      <c r="C6532" s="1">
        <v>44482</v>
      </c>
      <c r="D6532">
        <v>358</v>
      </c>
      <c r="E6532" t="b">
        <v>1</v>
      </c>
      <c r="F6532">
        <v>934</v>
      </c>
      <c r="G6532" t="s">
        <v>40</v>
      </c>
      <c r="H6532" t="s">
        <v>1510</v>
      </c>
      <c r="I6532" t="s">
        <v>2117</v>
      </c>
    </row>
    <row r="6533" spans="1:9" x14ac:dyDescent="0.35">
      <c r="A6533">
        <v>1372110</v>
      </c>
      <c r="B6533" t="s">
        <v>2022</v>
      </c>
      <c r="C6533" s="1">
        <v>44805</v>
      </c>
      <c r="D6533">
        <v>357</v>
      </c>
      <c r="E6533" t="b">
        <v>0</v>
      </c>
      <c r="F6533">
        <v>936</v>
      </c>
      <c r="G6533" t="s">
        <v>53</v>
      </c>
      <c r="H6533" t="s">
        <v>49</v>
      </c>
      <c r="I6533" t="s">
        <v>2116</v>
      </c>
    </row>
    <row r="6534" spans="1:9" x14ac:dyDescent="0.35">
      <c r="A6534">
        <v>1372110</v>
      </c>
      <c r="B6534" t="s">
        <v>2022</v>
      </c>
      <c r="C6534" s="1">
        <v>44805</v>
      </c>
      <c r="D6534">
        <v>357</v>
      </c>
      <c r="E6534" t="b">
        <v>0</v>
      </c>
      <c r="F6534">
        <v>936</v>
      </c>
      <c r="G6534" t="s">
        <v>53</v>
      </c>
      <c r="H6534" t="s">
        <v>792</v>
      </c>
      <c r="I6534" t="s">
        <v>2117</v>
      </c>
    </row>
    <row r="6535" spans="1:9" x14ac:dyDescent="0.35">
      <c r="A6535">
        <v>1372110</v>
      </c>
      <c r="B6535" t="s">
        <v>2022</v>
      </c>
      <c r="C6535" s="1">
        <v>44805</v>
      </c>
      <c r="D6535">
        <v>357</v>
      </c>
      <c r="E6535" t="b">
        <v>0</v>
      </c>
      <c r="F6535">
        <v>936</v>
      </c>
      <c r="G6535" t="s">
        <v>53</v>
      </c>
      <c r="H6535" t="s">
        <v>346</v>
      </c>
      <c r="I6535" t="s">
        <v>2117</v>
      </c>
    </row>
    <row r="6536" spans="1:9" x14ac:dyDescent="0.35">
      <c r="A6536">
        <v>1372110</v>
      </c>
      <c r="B6536" t="s">
        <v>2022</v>
      </c>
      <c r="C6536" s="1">
        <v>44805</v>
      </c>
      <c r="D6536">
        <v>357</v>
      </c>
      <c r="E6536" t="b">
        <v>0</v>
      </c>
      <c r="F6536">
        <v>936</v>
      </c>
      <c r="G6536" t="s">
        <v>53</v>
      </c>
      <c r="H6536" t="s">
        <v>239</v>
      </c>
      <c r="I6536" t="s">
        <v>2117</v>
      </c>
    </row>
    <row r="6537" spans="1:9" x14ac:dyDescent="0.35">
      <c r="A6537">
        <v>1372110</v>
      </c>
      <c r="B6537" t="s">
        <v>2022</v>
      </c>
      <c r="C6537" s="1">
        <v>44805</v>
      </c>
      <c r="D6537">
        <v>357</v>
      </c>
      <c r="E6537" t="b">
        <v>0</v>
      </c>
      <c r="F6537">
        <v>936</v>
      </c>
      <c r="G6537" t="s">
        <v>53</v>
      </c>
      <c r="H6537" t="s">
        <v>132</v>
      </c>
      <c r="I6537" t="s">
        <v>2117</v>
      </c>
    </row>
    <row r="6538" spans="1:9" x14ac:dyDescent="0.35">
      <c r="A6538">
        <v>1372110</v>
      </c>
      <c r="B6538" t="s">
        <v>2022</v>
      </c>
      <c r="C6538" s="1">
        <v>44805</v>
      </c>
      <c r="D6538">
        <v>357</v>
      </c>
      <c r="E6538" t="b">
        <v>0</v>
      </c>
      <c r="F6538">
        <v>936</v>
      </c>
      <c r="G6538" t="s">
        <v>53</v>
      </c>
      <c r="H6538" t="s">
        <v>124</v>
      </c>
      <c r="I6538" t="s">
        <v>2117</v>
      </c>
    </row>
    <row r="6539" spans="1:9" x14ac:dyDescent="0.35">
      <c r="A6539">
        <v>1372110</v>
      </c>
      <c r="B6539" t="s">
        <v>2022</v>
      </c>
      <c r="C6539" s="1">
        <v>44805</v>
      </c>
      <c r="D6539">
        <v>357</v>
      </c>
      <c r="E6539" t="b">
        <v>0</v>
      </c>
      <c r="F6539">
        <v>936</v>
      </c>
      <c r="G6539" t="s">
        <v>53</v>
      </c>
      <c r="H6539" t="s">
        <v>1510</v>
      </c>
      <c r="I6539" t="s">
        <v>2117</v>
      </c>
    </row>
    <row r="6540" spans="1:9" x14ac:dyDescent="0.35">
      <c r="A6540">
        <v>230290</v>
      </c>
      <c r="B6540" t="s">
        <v>2024</v>
      </c>
      <c r="C6540" s="1">
        <v>42240</v>
      </c>
      <c r="D6540">
        <v>357</v>
      </c>
      <c r="E6540" t="b">
        <v>1</v>
      </c>
      <c r="F6540">
        <v>936</v>
      </c>
      <c r="G6540" t="s">
        <v>2082</v>
      </c>
      <c r="H6540" t="s">
        <v>49</v>
      </c>
      <c r="I6540" t="s">
        <v>2117</v>
      </c>
    </row>
    <row r="6541" spans="1:9" x14ac:dyDescent="0.35">
      <c r="A6541">
        <v>230290</v>
      </c>
      <c r="B6541" t="s">
        <v>2024</v>
      </c>
      <c r="C6541" s="1">
        <v>42240</v>
      </c>
      <c r="D6541">
        <v>357</v>
      </c>
      <c r="E6541" t="b">
        <v>1</v>
      </c>
      <c r="F6541">
        <v>936</v>
      </c>
      <c r="G6541" t="s">
        <v>2082</v>
      </c>
      <c r="H6541" t="s">
        <v>792</v>
      </c>
      <c r="I6541" t="s">
        <v>2116</v>
      </c>
    </row>
    <row r="6542" spans="1:9" x14ac:dyDescent="0.35">
      <c r="A6542">
        <v>230290</v>
      </c>
      <c r="B6542" t="s">
        <v>2024</v>
      </c>
      <c r="C6542" s="1">
        <v>42240</v>
      </c>
      <c r="D6542">
        <v>357</v>
      </c>
      <c r="E6542" t="b">
        <v>1</v>
      </c>
      <c r="F6542">
        <v>936</v>
      </c>
      <c r="G6542" t="s">
        <v>2082</v>
      </c>
      <c r="H6542" t="s">
        <v>346</v>
      </c>
      <c r="I6542" t="s">
        <v>2117</v>
      </c>
    </row>
    <row r="6543" spans="1:9" x14ac:dyDescent="0.35">
      <c r="A6543">
        <v>230290</v>
      </c>
      <c r="B6543" t="s">
        <v>2024</v>
      </c>
      <c r="C6543" s="1">
        <v>42240</v>
      </c>
      <c r="D6543">
        <v>357</v>
      </c>
      <c r="E6543" t="b">
        <v>1</v>
      </c>
      <c r="F6543">
        <v>936</v>
      </c>
      <c r="G6543" t="s">
        <v>2082</v>
      </c>
      <c r="H6543" t="s">
        <v>239</v>
      </c>
      <c r="I6543" t="s">
        <v>2116</v>
      </c>
    </row>
    <row r="6544" spans="1:9" x14ac:dyDescent="0.35">
      <c r="A6544">
        <v>230290</v>
      </c>
      <c r="B6544" t="s">
        <v>2024</v>
      </c>
      <c r="C6544" s="1">
        <v>42240</v>
      </c>
      <c r="D6544">
        <v>357</v>
      </c>
      <c r="E6544" t="b">
        <v>1</v>
      </c>
      <c r="F6544">
        <v>936</v>
      </c>
      <c r="G6544" t="s">
        <v>2082</v>
      </c>
      <c r="H6544" t="s">
        <v>132</v>
      </c>
      <c r="I6544" t="s">
        <v>2117</v>
      </c>
    </row>
    <row r="6545" spans="1:9" x14ac:dyDescent="0.35">
      <c r="A6545">
        <v>230290</v>
      </c>
      <c r="B6545" t="s">
        <v>2024</v>
      </c>
      <c r="C6545" s="1">
        <v>42240</v>
      </c>
      <c r="D6545">
        <v>357</v>
      </c>
      <c r="E6545" t="b">
        <v>1</v>
      </c>
      <c r="F6545">
        <v>936</v>
      </c>
      <c r="G6545" t="s">
        <v>2082</v>
      </c>
      <c r="H6545" t="s">
        <v>124</v>
      </c>
      <c r="I6545" t="s">
        <v>2117</v>
      </c>
    </row>
    <row r="6546" spans="1:9" x14ac:dyDescent="0.35">
      <c r="A6546">
        <v>230290</v>
      </c>
      <c r="B6546" t="s">
        <v>2024</v>
      </c>
      <c r="C6546" s="1">
        <v>42240</v>
      </c>
      <c r="D6546">
        <v>357</v>
      </c>
      <c r="E6546" t="b">
        <v>1</v>
      </c>
      <c r="F6546">
        <v>936</v>
      </c>
      <c r="G6546" t="s">
        <v>2082</v>
      </c>
      <c r="H6546" t="s">
        <v>1510</v>
      </c>
      <c r="I6546" t="s">
        <v>2117</v>
      </c>
    </row>
    <row r="6547" spans="1:9" x14ac:dyDescent="0.35">
      <c r="A6547">
        <v>42680</v>
      </c>
      <c r="B6547" t="s">
        <v>2026</v>
      </c>
      <c r="C6547" s="1">
        <v>40855</v>
      </c>
      <c r="D6547">
        <v>357</v>
      </c>
      <c r="E6547" t="b">
        <v>0</v>
      </c>
      <c r="F6547">
        <v>936</v>
      </c>
      <c r="G6547" t="s">
        <v>119</v>
      </c>
      <c r="H6547" t="s">
        <v>49</v>
      </c>
      <c r="I6547" t="s">
        <v>2116</v>
      </c>
    </row>
    <row r="6548" spans="1:9" x14ac:dyDescent="0.35">
      <c r="A6548">
        <v>42680</v>
      </c>
      <c r="B6548" t="s">
        <v>2026</v>
      </c>
      <c r="C6548" s="1">
        <v>40855</v>
      </c>
      <c r="D6548">
        <v>357</v>
      </c>
      <c r="E6548" t="b">
        <v>0</v>
      </c>
      <c r="F6548">
        <v>936</v>
      </c>
      <c r="G6548" t="s">
        <v>119</v>
      </c>
      <c r="H6548" t="s">
        <v>792</v>
      </c>
      <c r="I6548" t="s">
        <v>2117</v>
      </c>
    </row>
    <row r="6549" spans="1:9" x14ac:dyDescent="0.35">
      <c r="A6549">
        <v>42680</v>
      </c>
      <c r="B6549" t="s">
        <v>2026</v>
      </c>
      <c r="C6549" s="1">
        <v>40855</v>
      </c>
      <c r="D6549">
        <v>357</v>
      </c>
      <c r="E6549" t="b">
        <v>0</v>
      </c>
      <c r="F6549">
        <v>936</v>
      </c>
      <c r="G6549" t="s">
        <v>119</v>
      </c>
      <c r="H6549" t="s">
        <v>346</v>
      </c>
      <c r="I6549" t="s">
        <v>2117</v>
      </c>
    </row>
    <row r="6550" spans="1:9" x14ac:dyDescent="0.35">
      <c r="A6550">
        <v>42680</v>
      </c>
      <c r="B6550" t="s">
        <v>2026</v>
      </c>
      <c r="C6550" s="1">
        <v>40855</v>
      </c>
      <c r="D6550">
        <v>357</v>
      </c>
      <c r="E6550" t="b">
        <v>0</v>
      </c>
      <c r="F6550">
        <v>936</v>
      </c>
      <c r="G6550" t="s">
        <v>119</v>
      </c>
      <c r="H6550" t="s">
        <v>239</v>
      </c>
      <c r="I6550" t="s">
        <v>2117</v>
      </c>
    </row>
    <row r="6551" spans="1:9" x14ac:dyDescent="0.35">
      <c r="A6551">
        <v>42680</v>
      </c>
      <c r="B6551" t="s">
        <v>2026</v>
      </c>
      <c r="C6551" s="1">
        <v>40855</v>
      </c>
      <c r="D6551">
        <v>357</v>
      </c>
      <c r="E6551" t="b">
        <v>0</v>
      </c>
      <c r="F6551">
        <v>936</v>
      </c>
      <c r="G6551" t="s">
        <v>119</v>
      </c>
      <c r="H6551" t="s">
        <v>132</v>
      </c>
      <c r="I6551" t="s">
        <v>2117</v>
      </c>
    </row>
    <row r="6552" spans="1:9" x14ac:dyDescent="0.35">
      <c r="A6552">
        <v>42680</v>
      </c>
      <c r="B6552" t="s">
        <v>2026</v>
      </c>
      <c r="C6552" s="1">
        <v>40855</v>
      </c>
      <c r="D6552">
        <v>357</v>
      </c>
      <c r="E6552" t="b">
        <v>0</v>
      </c>
      <c r="F6552">
        <v>936</v>
      </c>
      <c r="G6552" t="s">
        <v>119</v>
      </c>
      <c r="H6552" t="s">
        <v>124</v>
      </c>
      <c r="I6552" t="s">
        <v>2117</v>
      </c>
    </row>
    <row r="6553" spans="1:9" x14ac:dyDescent="0.35">
      <c r="A6553">
        <v>42680</v>
      </c>
      <c r="B6553" t="s">
        <v>2026</v>
      </c>
      <c r="C6553" s="1">
        <v>40855</v>
      </c>
      <c r="D6553">
        <v>357</v>
      </c>
      <c r="E6553" t="b">
        <v>0</v>
      </c>
      <c r="F6553">
        <v>936</v>
      </c>
      <c r="G6553" t="s">
        <v>119</v>
      </c>
      <c r="H6553" t="s">
        <v>1510</v>
      </c>
      <c r="I6553" t="s">
        <v>2117</v>
      </c>
    </row>
    <row r="6554" spans="1:9" x14ac:dyDescent="0.35">
      <c r="A6554">
        <v>266410</v>
      </c>
      <c r="B6554" t="s">
        <v>2027</v>
      </c>
      <c r="C6554" s="1">
        <v>42016</v>
      </c>
      <c r="D6554">
        <v>354</v>
      </c>
      <c r="E6554" t="b">
        <v>0</v>
      </c>
      <c r="F6554">
        <v>939</v>
      </c>
      <c r="G6554" t="s">
        <v>967</v>
      </c>
      <c r="H6554" t="s">
        <v>49</v>
      </c>
      <c r="I6554" t="s">
        <v>2117</v>
      </c>
    </row>
    <row r="6555" spans="1:9" x14ac:dyDescent="0.35">
      <c r="A6555">
        <v>266410</v>
      </c>
      <c r="B6555" t="s">
        <v>2027</v>
      </c>
      <c r="C6555" s="1">
        <v>42016</v>
      </c>
      <c r="D6555">
        <v>354</v>
      </c>
      <c r="E6555" t="b">
        <v>0</v>
      </c>
      <c r="F6555">
        <v>939</v>
      </c>
      <c r="G6555" t="s">
        <v>967</v>
      </c>
      <c r="H6555" t="s">
        <v>792</v>
      </c>
      <c r="I6555" t="s">
        <v>2117</v>
      </c>
    </row>
    <row r="6556" spans="1:9" x14ac:dyDescent="0.35">
      <c r="A6556">
        <v>266410</v>
      </c>
      <c r="B6556" t="s">
        <v>2027</v>
      </c>
      <c r="C6556" s="1">
        <v>42016</v>
      </c>
      <c r="D6556">
        <v>354</v>
      </c>
      <c r="E6556" t="b">
        <v>0</v>
      </c>
      <c r="F6556">
        <v>939</v>
      </c>
      <c r="G6556" t="s">
        <v>967</v>
      </c>
      <c r="H6556" t="s">
        <v>346</v>
      </c>
      <c r="I6556" t="s">
        <v>2117</v>
      </c>
    </row>
    <row r="6557" spans="1:9" x14ac:dyDescent="0.35">
      <c r="A6557">
        <v>266410</v>
      </c>
      <c r="B6557" t="s">
        <v>2027</v>
      </c>
      <c r="C6557" s="1">
        <v>42016</v>
      </c>
      <c r="D6557">
        <v>354</v>
      </c>
      <c r="E6557" t="b">
        <v>0</v>
      </c>
      <c r="F6557">
        <v>939</v>
      </c>
      <c r="G6557" t="s">
        <v>967</v>
      </c>
      <c r="H6557" t="s">
        <v>239</v>
      </c>
      <c r="I6557" t="s">
        <v>2116</v>
      </c>
    </row>
    <row r="6558" spans="1:9" x14ac:dyDescent="0.35">
      <c r="A6558">
        <v>266410</v>
      </c>
      <c r="B6558" t="s">
        <v>2027</v>
      </c>
      <c r="C6558" s="1">
        <v>42016</v>
      </c>
      <c r="D6558">
        <v>354</v>
      </c>
      <c r="E6558" t="b">
        <v>0</v>
      </c>
      <c r="F6558">
        <v>939</v>
      </c>
      <c r="G6558" t="s">
        <v>967</v>
      </c>
      <c r="H6558" t="s">
        <v>132</v>
      </c>
      <c r="I6558" t="s">
        <v>2117</v>
      </c>
    </row>
    <row r="6559" spans="1:9" x14ac:dyDescent="0.35">
      <c r="A6559">
        <v>266410</v>
      </c>
      <c r="B6559" t="s">
        <v>2027</v>
      </c>
      <c r="C6559" s="1">
        <v>42016</v>
      </c>
      <c r="D6559">
        <v>354</v>
      </c>
      <c r="E6559" t="b">
        <v>0</v>
      </c>
      <c r="F6559">
        <v>939</v>
      </c>
      <c r="G6559" t="s">
        <v>967</v>
      </c>
      <c r="H6559" t="s">
        <v>124</v>
      </c>
      <c r="I6559" t="s">
        <v>2117</v>
      </c>
    </row>
    <row r="6560" spans="1:9" x14ac:dyDescent="0.35">
      <c r="A6560">
        <v>266410</v>
      </c>
      <c r="B6560" t="s">
        <v>2027</v>
      </c>
      <c r="C6560" s="1">
        <v>42016</v>
      </c>
      <c r="D6560">
        <v>354</v>
      </c>
      <c r="E6560" t="b">
        <v>0</v>
      </c>
      <c r="F6560">
        <v>939</v>
      </c>
      <c r="G6560" t="s">
        <v>967</v>
      </c>
      <c r="H6560" t="s">
        <v>1510</v>
      </c>
      <c r="I6560" t="s">
        <v>2117</v>
      </c>
    </row>
    <row r="6561" spans="1:9" x14ac:dyDescent="0.35">
      <c r="A6561">
        <v>2064650</v>
      </c>
      <c r="B6561" t="s">
        <v>2029</v>
      </c>
      <c r="C6561" s="1">
        <v>44853</v>
      </c>
      <c r="D6561">
        <v>354</v>
      </c>
      <c r="E6561" t="b">
        <v>0</v>
      </c>
      <c r="F6561">
        <v>939</v>
      </c>
      <c r="G6561" t="s">
        <v>932</v>
      </c>
      <c r="H6561" t="s">
        <v>49</v>
      </c>
      <c r="I6561" t="s">
        <v>2116</v>
      </c>
    </row>
    <row r="6562" spans="1:9" x14ac:dyDescent="0.35">
      <c r="A6562">
        <v>2064650</v>
      </c>
      <c r="B6562" t="s">
        <v>2029</v>
      </c>
      <c r="C6562" s="1">
        <v>44853</v>
      </c>
      <c r="D6562">
        <v>354</v>
      </c>
      <c r="E6562" t="b">
        <v>0</v>
      </c>
      <c r="F6562">
        <v>939</v>
      </c>
      <c r="G6562" t="s">
        <v>932</v>
      </c>
      <c r="H6562" t="s">
        <v>792</v>
      </c>
      <c r="I6562" t="s">
        <v>2117</v>
      </c>
    </row>
    <row r="6563" spans="1:9" x14ac:dyDescent="0.35">
      <c r="A6563">
        <v>2064650</v>
      </c>
      <c r="B6563" t="s">
        <v>2029</v>
      </c>
      <c r="C6563" s="1">
        <v>44853</v>
      </c>
      <c r="D6563">
        <v>354</v>
      </c>
      <c r="E6563" t="b">
        <v>0</v>
      </c>
      <c r="F6563">
        <v>939</v>
      </c>
      <c r="G6563" t="s">
        <v>932</v>
      </c>
      <c r="H6563" t="s">
        <v>346</v>
      </c>
      <c r="I6563" t="s">
        <v>2117</v>
      </c>
    </row>
    <row r="6564" spans="1:9" x14ac:dyDescent="0.35">
      <c r="A6564">
        <v>2064650</v>
      </c>
      <c r="B6564" t="s">
        <v>2029</v>
      </c>
      <c r="C6564" s="1">
        <v>44853</v>
      </c>
      <c r="D6564">
        <v>354</v>
      </c>
      <c r="E6564" t="b">
        <v>0</v>
      </c>
      <c r="F6564">
        <v>939</v>
      </c>
      <c r="G6564" t="s">
        <v>932</v>
      </c>
      <c r="H6564" t="s">
        <v>239</v>
      </c>
      <c r="I6564" t="s">
        <v>2117</v>
      </c>
    </row>
    <row r="6565" spans="1:9" x14ac:dyDescent="0.35">
      <c r="A6565">
        <v>2064650</v>
      </c>
      <c r="B6565" t="s">
        <v>2029</v>
      </c>
      <c r="C6565" s="1">
        <v>44853</v>
      </c>
      <c r="D6565">
        <v>354</v>
      </c>
      <c r="E6565" t="b">
        <v>0</v>
      </c>
      <c r="F6565">
        <v>939</v>
      </c>
      <c r="G6565" t="s">
        <v>932</v>
      </c>
      <c r="H6565" t="s">
        <v>132</v>
      </c>
      <c r="I6565" t="s">
        <v>2116</v>
      </c>
    </row>
    <row r="6566" spans="1:9" x14ac:dyDescent="0.35">
      <c r="A6566">
        <v>2064650</v>
      </c>
      <c r="B6566" t="s">
        <v>2029</v>
      </c>
      <c r="C6566" s="1">
        <v>44853</v>
      </c>
      <c r="D6566">
        <v>354</v>
      </c>
      <c r="E6566" t="b">
        <v>0</v>
      </c>
      <c r="F6566">
        <v>939</v>
      </c>
      <c r="G6566" t="s">
        <v>932</v>
      </c>
      <c r="H6566" t="s">
        <v>124</v>
      </c>
      <c r="I6566" t="s">
        <v>2117</v>
      </c>
    </row>
    <row r="6567" spans="1:9" x14ac:dyDescent="0.35">
      <c r="A6567">
        <v>2064650</v>
      </c>
      <c r="B6567" t="s">
        <v>2029</v>
      </c>
      <c r="C6567" s="1">
        <v>44853</v>
      </c>
      <c r="D6567">
        <v>354</v>
      </c>
      <c r="E6567" t="b">
        <v>0</v>
      </c>
      <c r="F6567">
        <v>939</v>
      </c>
      <c r="G6567" t="s">
        <v>932</v>
      </c>
      <c r="H6567" t="s">
        <v>1510</v>
      </c>
      <c r="I6567" t="s">
        <v>2116</v>
      </c>
    </row>
    <row r="6568" spans="1:9" x14ac:dyDescent="0.35">
      <c r="A6568">
        <v>571740</v>
      </c>
      <c r="B6568" t="s">
        <v>2030</v>
      </c>
      <c r="C6568" s="1">
        <v>45156</v>
      </c>
      <c r="D6568">
        <v>352</v>
      </c>
      <c r="E6568" t="b">
        <v>1</v>
      </c>
      <c r="F6568">
        <v>941</v>
      </c>
      <c r="G6568" t="s">
        <v>133</v>
      </c>
      <c r="H6568" t="s">
        <v>49</v>
      </c>
      <c r="I6568" t="s">
        <v>2117</v>
      </c>
    </row>
    <row r="6569" spans="1:9" x14ac:dyDescent="0.35">
      <c r="A6569">
        <v>571740</v>
      </c>
      <c r="B6569" t="s">
        <v>2030</v>
      </c>
      <c r="C6569" s="1">
        <v>45156</v>
      </c>
      <c r="D6569">
        <v>352</v>
      </c>
      <c r="E6569" t="b">
        <v>1</v>
      </c>
      <c r="F6569">
        <v>941</v>
      </c>
      <c r="G6569" t="s">
        <v>133</v>
      </c>
      <c r="H6569" t="s">
        <v>792</v>
      </c>
      <c r="I6569" t="s">
        <v>2116</v>
      </c>
    </row>
    <row r="6570" spans="1:9" x14ac:dyDescent="0.35">
      <c r="A6570">
        <v>571740</v>
      </c>
      <c r="B6570" t="s">
        <v>2030</v>
      </c>
      <c r="C6570" s="1">
        <v>45156</v>
      </c>
      <c r="D6570">
        <v>352</v>
      </c>
      <c r="E6570" t="b">
        <v>1</v>
      </c>
      <c r="F6570">
        <v>941</v>
      </c>
      <c r="G6570" t="s">
        <v>133</v>
      </c>
      <c r="H6570" t="s">
        <v>346</v>
      </c>
      <c r="I6570" t="s">
        <v>2117</v>
      </c>
    </row>
    <row r="6571" spans="1:9" x14ac:dyDescent="0.35">
      <c r="A6571">
        <v>571740</v>
      </c>
      <c r="B6571" t="s">
        <v>2030</v>
      </c>
      <c r="C6571" s="1">
        <v>45156</v>
      </c>
      <c r="D6571">
        <v>352</v>
      </c>
      <c r="E6571" t="b">
        <v>1</v>
      </c>
      <c r="F6571">
        <v>941</v>
      </c>
      <c r="G6571" t="s">
        <v>133</v>
      </c>
      <c r="H6571" t="s">
        <v>239</v>
      </c>
      <c r="I6571" t="s">
        <v>2116</v>
      </c>
    </row>
    <row r="6572" spans="1:9" x14ac:dyDescent="0.35">
      <c r="A6572">
        <v>571740</v>
      </c>
      <c r="B6572" t="s">
        <v>2030</v>
      </c>
      <c r="C6572" s="1">
        <v>45156</v>
      </c>
      <c r="D6572">
        <v>352</v>
      </c>
      <c r="E6572" t="b">
        <v>1</v>
      </c>
      <c r="F6572">
        <v>941</v>
      </c>
      <c r="G6572" t="s">
        <v>133</v>
      </c>
      <c r="H6572" t="s">
        <v>132</v>
      </c>
      <c r="I6572" t="s">
        <v>2117</v>
      </c>
    </row>
    <row r="6573" spans="1:9" x14ac:dyDescent="0.35">
      <c r="A6573">
        <v>571740</v>
      </c>
      <c r="B6573" t="s">
        <v>2030</v>
      </c>
      <c r="C6573" s="1">
        <v>45156</v>
      </c>
      <c r="D6573">
        <v>352</v>
      </c>
      <c r="E6573" t="b">
        <v>1</v>
      </c>
      <c r="F6573">
        <v>941</v>
      </c>
      <c r="G6573" t="s">
        <v>133</v>
      </c>
      <c r="H6573" t="s">
        <v>124</v>
      </c>
      <c r="I6573" t="s">
        <v>2117</v>
      </c>
    </row>
    <row r="6574" spans="1:9" x14ac:dyDescent="0.35">
      <c r="A6574">
        <v>571740</v>
      </c>
      <c r="B6574" t="s">
        <v>2030</v>
      </c>
      <c r="C6574" s="1">
        <v>45156</v>
      </c>
      <c r="D6574">
        <v>352</v>
      </c>
      <c r="E6574" t="b">
        <v>1</v>
      </c>
      <c r="F6574">
        <v>941</v>
      </c>
      <c r="G6574" t="s">
        <v>133</v>
      </c>
      <c r="H6574" t="s">
        <v>1510</v>
      </c>
      <c r="I6574" t="s">
        <v>2117</v>
      </c>
    </row>
    <row r="6575" spans="1:9" x14ac:dyDescent="0.35">
      <c r="A6575">
        <v>236110</v>
      </c>
      <c r="B6575" t="s">
        <v>2032</v>
      </c>
      <c r="C6575" s="1">
        <v>42906</v>
      </c>
      <c r="D6575">
        <v>351</v>
      </c>
      <c r="E6575" t="b">
        <v>0</v>
      </c>
      <c r="F6575">
        <v>942</v>
      </c>
      <c r="G6575" t="s">
        <v>110</v>
      </c>
      <c r="H6575" t="s">
        <v>49</v>
      </c>
      <c r="I6575" t="s">
        <v>2116</v>
      </c>
    </row>
    <row r="6576" spans="1:9" x14ac:dyDescent="0.35">
      <c r="A6576">
        <v>236110</v>
      </c>
      <c r="B6576" t="s">
        <v>2032</v>
      </c>
      <c r="C6576" s="1">
        <v>42906</v>
      </c>
      <c r="D6576">
        <v>351</v>
      </c>
      <c r="E6576" t="b">
        <v>0</v>
      </c>
      <c r="F6576">
        <v>942</v>
      </c>
      <c r="G6576" t="s">
        <v>110</v>
      </c>
      <c r="H6576" t="s">
        <v>792</v>
      </c>
      <c r="I6576" t="s">
        <v>2116</v>
      </c>
    </row>
    <row r="6577" spans="1:9" x14ac:dyDescent="0.35">
      <c r="A6577">
        <v>236110</v>
      </c>
      <c r="B6577" t="s">
        <v>2032</v>
      </c>
      <c r="C6577" s="1">
        <v>42906</v>
      </c>
      <c r="D6577">
        <v>351</v>
      </c>
      <c r="E6577" t="b">
        <v>0</v>
      </c>
      <c r="F6577">
        <v>942</v>
      </c>
      <c r="G6577" t="s">
        <v>110</v>
      </c>
      <c r="H6577" t="s">
        <v>346</v>
      </c>
      <c r="I6577" t="s">
        <v>2117</v>
      </c>
    </row>
    <row r="6578" spans="1:9" x14ac:dyDescent="0.35">
      <c r="A6578">
        <v>236110</v>
      </c>
      <c r="B6578" t="s">
        <v>2032</v>
      </c>
      <c r="C6578" s="1">
        <v>42906</v>
      </c>
      <c r="D6578">
        <v>351</v>
      </c>
      <c r="E6578" t="b">
        <v>0</v>
      </c>
      <c r="F6578">
        <v>942</v>
      </c>
      <c r="G6578" t="s">
        <v>110</v>
      </c>
      <c r="H6578" t="s">
        <v>239</v>
      </c>
      <c r="I6578" t="s">
        <v>2117</v>
      </c>
    </row>
    <row r="6579" spans="1:9" x14ac:dyDescent="0.35">
      <c r="A6579">
        <v>236110</v>
      </c>
      <c r="B6579" t="s">
        <v>2032</v>
      </c>
      <c r="C6579" s="1">
        <v>42906</v>
      </c>
      <c r="D6579">
        <v>351</v>
      </c>
      <c r="E6579" t="b">
        <v>0</v>
      </c>
      <c r="F6579">
        <v>942</v>
      </c>
      <c r="G6579" t="s">
        <v>110</v>
      </c>
      <c r="H6579" t="s">
        <v>132</v>
      </c>
      <c r="I6579" t="s">
        <v>2116</v>
      </c>
    </row>
    <row r="6580" spans="1:9" x14ac:dyDescent="0.35">
      <c r="A6580">
        <v>236110</v>
      </c>
      <c r="B6580" t="s">
        <v>2032</v>
      </c>
      <c r="C6580" s="1">
        <v>42906</v>
      </c>
      <c r="D6580">
        <v>351</v>
      </c>
      <c r="E6580" t="b">
        <v>0</v>
      </c>
      <c r="F6580">
        <v>942</v>
      </c>
      <c r="G6580" t="s">
        <v>110</v>
      </c>
      <c r="H6580" t="s">
        <v>124</v>
      </c>
      <c r="I6580" t="s">
        <v>2116</v>
      </c>
    </row>
    <row r="6581" spans="1:9" x14ac:dyDescent="0.35">
      <c r="A6581">
        <v>236110</v>
      </c>
      <c r="B6581" t="s">
        <v>2032</v>
      </c>
      <c r="C6581" s="1">
        <v>42906</v>
      </c>
      <c r="D6581">
        <v>351</v>
      </c>
      <c r="E6581" t="b">
        <v>0</v>
      </c>
      <c r="F6581">
        <v>942</v>
      </c>
      <c r="G6581" t="s">
        <v>110</v>
      </c>
      <c r="H6581" t="s">
        <v>1510</v>
      </c>
      <c r="I6581" t="s">
        <v>2116</v>
      </c>
    </row>
    <row r="6582" spans="1:9" x14ac:dyDescent="0.35">
      <c r="A6582">
        <v>996580</v>
      </c>
      <c r="B6582" t="s">
        <v>2035</v>
      </c>
      <c r="C6582" s="1">
        <v>43711</v>
      </c>
      <c r="D6582">
        <v>351</v>
      </c>
      <c r="E6582" t="b">
        <v>0</v>
      </c>
      <c r="F6582">
        <v>942</v>
      </c>
      <c r="G6582" t="s">
        <v>133</v>
      </c>
      <c r="H6582" t="s">
        <v>49</v>
      </c>
      <c r="I6582" t="s">
        <v>2116</v>
      </c>
    </row>
    <row r="6583" spans="1:9" x14ac:dyDescent="0.35">
      <c r="A6583">
        <v>996580</v>
      </c>
      <c r="B6583" t="s">
        <v>2035</v>
      </c>
      <c r="C6583" s="1">
        <v>43711</v>
      </c>
      <c r="D6583">
        <v>351</v>
      </c>
      <c r="E6583" t="b">
        <v>0</v>
      </c>
      <c r="F6583">
        <v>942</v>
      </c>
      <c r="G6583" t="s">
        <v>133</v>
      </c>
      <c r="H6583" t="s">
        <v>792</v>
      </c>
      <c r="I6583" t="s">
        <v>2117</v>
      </c>
    </row>
    <row r="6584" spans="1:9" x14ac:dyDescent="0.35">
      <c r="A6584">
        <v>996580</v>
      </c>
      <c r="B6584" t="s">
        <v>2035</v>
      </c>
      <c r="C6584" s="1">
        <v>43711</v>
      </c>
      <c r="D6584">
        <v>351</v>
      </c>
      <c r="E6584" t="b">
        <v>0</v>
      </c>
      <c r="F6584">
        <v>942</v>
      </c>
      <c r="G6584" t="s">
        <v>133</v>
      </c>
      <c r="H6584" t="s">
        <v>346</v>
      </c>
      <c r="I6584" t="s">
        <v>2116</v>
      </c>
    </row>
    <row r="6585" spans="1:9" x14ac:dyDescent="0.35">
      <c r="A6585">
        <v>996580</v>
      </c>
      <c r="B6585" t="s">
        <v>2035</v>
      </c>
      <c r="C6585" s="1">
        <v>43711</v>
      </c>
      <c r="D6585">
        <v>351</v>
      </c>
      <c r="E6585" t="b">
        <v>0</v>
      </c>
      <c r="F6585">
        <v>942</v>
      </c>
      <c r="G6585" t="s">
        <v>133</v>
      </c>
      <c r="H6585" t="s">
        <v>239</v>
      </c>
      <c r="I6585" t="s">
        <v>2117</v>
      </c>
    </row>
    <row r="6586" spans="1:9" x14ac:dyDescent="0.35">
      <c r="A6586">
        <v>996580</v>
      </c>
      <c r="B6586" t="s">
        <v>2035</v>
      </c>
      <c r="C6586" s="1">
        <v>43711</v>
      </c>
      <c r="D6586">
        <v>351</v>
      </c>
      <c r="E6586" t="b">
        <v>0</v>
      </c>
      <c r="F6586">
        <v>942</v>
      </c>
      <c r="G6586" t="s">
        <v>133</v>
      </c>
      <c r="H6586" t="s">
        <v>132</v>
      </c>
      <c r="I6586" t="s">
        <v>2117</v>
      </c>
    </row>
    <row r="6587" spans="1:9" x14ac:dyDescent="0.35">
      <c r="A6587">
        <v>996580</v>
      </c>
      <c r="B6587" t="s">
        <v>2035</v>
      </c>
      <c r="C6587" s="1">
        <v>43711</v>
      </c>
      <c r="D6587">
        <v>351</v>
      </c>
      <c r="E6587" t="b">
        <v>0</v>
      </c>
      <c r="F6587">
        <v>942</v>
      </c>
      <c r="G6587" t="s">
        <v>133</v>
      </c>
      <c r="H6587" t="s">
        <v>124</v>
      </c>
      <c r="I6587" t="s">
        <v>2117</v>
      </c>
    </row>
    <row r="6588" spans="1:9" x14ac:dyDescent="0.35">
      <c r="A6588">
        <v>996580</v>
      </c>
      <c r="B6588" t="s">
        <v>2035</v>
      </c>
      <c r="C6588" s="1">
        <v>43711</v>
      </c>
      <c r="D6588">
        <v>351</v>
      </c>
      <c r="E6588" t="b">
        <v>0</v>
      </c>
      <c r="F6588">
        <v>942</v>
      </c>
      <c r="G6588" t="s">
        <v>133</v>
      </c>
      <c r="H6588" t="s">
        <v>1510</v>
      </c>
      <c r="I6588" t="s">
        <v>2117</v>
      </c>
    </row>
    <row r="6589" spans="1:9" x14ac:dyDescent="0.35">
      <c r="A6589">
        <v>377840</v>
      </c>
      <c r="B6589" t="s">
        <v>2036</v>
      </c>
      <c r="C6589" s="1">
        <v>42474</v>
      </c>
      <c r="D6589">
        <v>351</v>
      </c>
      <c r="E6589" t="b">
        <v>0</v>
      </c>
      <c r="F6589">
        <v>942</v>
      </c>
      <c r="G6589" t="s">
        <v>110</v>
      </c>
      <c r="H6589" t="s">
        <v>49</v>
      </c>
      <c r="I6589" t="s">
        <v>2117</v>
      </c>
    </row>
    <row r="6590" spans="1:9" x14ac:dyDescent="0.35">
      <c r="A6590">
        <v>377840</v>
      </c>
      <c r="B6590" t="s">
        <v>2036</v>
      </c>
      <c r="C6590" s="1">
        <v>42474</v>
      </c>
      <c r="D6590">
        <v>351</v>
      </c>
      <c r="E6590" t="b">
        <v>0</v>
      </c>
      <c r="F6590">
        <v>942</v>
      </c>
      <c r="G6590" t="s">
        <v>110</v>
      </c>
      <c r="H6590" t="s">
        <v>792</v>
      </c>
      <c r="I6590" t="s">
        <v>2117</v>
      </c>
    </row>
    <row r="6591" spans="1:9" x14ac:dyDescent="0.35">
      <c r="A6591">
        <v>377840</v>
      </c>
      <c r="B6591" t="s">
        <v>2036</v>
      </c>
      <c r="C6591" s="1">
        <v>42474</v>
      </c>
      <c r="D6591">
        <v>351</v>
      </c>
      <c r="E6591" t="b">
        <v>0</v>
      </c>
      <c r="F6591">
        <v>942</v>
      </c>
      <c r="G6591" t="s">
        <v>110</v>
      </c>
      <c r="H6591" t="s">
        <v>346</v>
      </c>
      <c r="I6591" t="s">
        <v>2117</v>
      </c>
    </row>
    <row r="6592" spans="1:9" x14ac:dyDescent="0.35">
      <c r="A6592">
        <v>377840</v>
      </c>
      <c r="B6592" t="s">
        <v>2036</v>
      </c>
      <c r="C6592" s="1">
        <v>42474</v>
      </c>
      <c r="D6592">
        <v>351</v>
      </c>
      <c r="E6592" t="b">
        <v>0</v>
      </c>
      <c r="F6592">
        <v>942</v>
      </c>
      <c r="G6592" t="s">
        <v>110</v>
      </c>
      <c r="H6592" t="s">
        <v>239</v>
      </c>
      <c r="I6592" t="s">
        <v>2117</v>
      </c>
    </row>
    <row r="6593" spans="1:9" x14ac:dyDescent="0.35">
      <c r="A6593">
        <v>377840</v>
      </c>
      <c r="B6593" t="s">
        <v>2036</v>
      </c>
      <c r="C6593" s="1">
        <v>42474</v>
      </c>
      <c r="D6593">
        <v>351</v>
      </c>
      <c r="E6593" t="b">
        <v>0</v>
      </c>
      <c r="F6593">
        <v>942</v>
      </c>
      <c r="G6593" t="s">
        <v>110</v>
      </c>
      <c r="H6593" t="s">
        <v>132</v>
      </c>
      <c r="I6593" t="s">
        <v>2116</v>
      </c>
    </row>
    <row r="6594" spans="1:9" x14ac:dyDescent="0.35">
      <c r="A6594">
        <v>377840</v>
      </c>
      <c r="B6594" t="s">
        <v>2036</v>
      </c>
      <c r="C6594" s="1">
        <v>42474</v>
      </c>
      <c r="D6594">
        <v>351</v>
      </c>
      <c r="E6594" t="b">
        <v>0</v>
      </c>
      <c r="F6594">
        <v>942</v>
      </c>
      <c r="G6594" t="s">
        <v>110</v>
      </c>
      <c r="H6594" t="s">
        <v>124</v>
      </c>
      <c r="I6594" t="s">
        <v>2117</v>
      </c>
    </row>
    <row r="6595" spans="1:9" x14ac:dyDescent="0.35">
      <c r="A6595">
        <v>377840</v>
      </c>
      <c r="B6595" t="s">
        <v>2036</v>
      </c>
      <c r="C6595" s="1">
        <v>42474</v>
      </c>
      <c r="D6595">
        <v>351</v>
      </c>
      <c r="E6595" t="b">
        <v>0</v>
      </c>
      <c r="F6595">
        <v>942</v>
      </c>
      <c r="G6595" t="s">
        <v>110</v>
      </c>
      <c r="H6595" t="s">
        <v>1510</v>
      </c>
      <c r="I6595" t="s">
        <v>2117</v>
      </c>
    </row>
    <row r="6596" spans="1:9" x14ac:dyDescent="0.35">
      <c r="A6596">
        <v>3498270</v>
      </c>
      <c r="B6596" t="s">
        <v>2037</v>
      </c>
      <c r="C6596" s="1">
        <v>45793</v>
      </c>
      <c r="D6596">
        <v>351</v>
      </c>
      <c r="E6596" t="b">
        <v>0</v>
      </c>
      <c r="F6596">
        <v>942</v>
      </c>
      <c r="G6596" t="s">
        <v>36</v>
      </c>
      <c r="H6596" t="s">
        <v>49</v>
      </c>
      <c r="I6596" t="s">
        <v>2117</v>
      </c>
    </row>
    <row r="6597" spans="1:9" x14ac:dyDescent="0.35">
      <c r="A6597">
        <v>3498270</v>
      </c>
      <c r="B6597" t="s">
        <v>2037</v>
      </c>
      <c r="C6597" s="1">
        <v>45793</v>
      </c>
      <c r="D6597">
        <v>351</v>
      </c>
      <c r="E6597" t="b">
        <v>0</v>
      </c>
      <c r="F6597">
        <v>942</v>
      </c>
      <c r="G6597" t="s">
        <v>36</v>
      </c>
      <c r="H6597" t="s">
        <v>792</v>
      </c>
      <c r="I6597" t="s">
        <v>2116</v>
      </c>
    </row>
    <row r="6598" spans="1:9" x14ac:dyDescent="0.35">
      <c r="A6598">
        <v>3498270</v>
      </c>
      <c r="B6598" t="s">
        <v>2037</v>
      </c>
      <c r="C6598" s="1">
        <v>45793</v>
      </c>
      <c r="D6598">
        <v>351</v>
      </c>
      <c r="E6598" t="b">
        <v>0</v>
      </c>
      <c r="F6598">
        <v>942</v>
      </c>
      <c r="G6598" t="s">
        <v>36</v>
      </c>
      <c r="H6598" t="s">
        <v>346</v>
      </c>
      <c r="I6598" t="s">
        <v>2117</v>
      </c>
    </row>
    <row r="6599" spans="1:9" x14ac:dyDescent="0.35">
      <c r="A6599">
        <v>3498270</v>
      </c>
      <c r="B6599" t="s">
        <v>2037</v>
      </c>
      <c r="C6599" s="1">
        <v>45793</v>
      </c>
      <c r="D6599">
        <v>351</v>
      </c>
      <c r="E6599" t="b">
        <v>0</v>
      </c>
      <c r="F6599">
        <v>942</v>
      </c>
      <c r="G6599" t="s">
        <v>36</v>
      </c>
      <c r="H6599" t="s">
        <v>239</v>
      </c>
      <c r="I6599" t="s">
        <v>2116</v>
      </c>
    </row>
    <row r="6600" spans="1:9" x14ac:dyDescent="0.35">
      <c r="A6600">
        <v>3498270</v>
      </c>
      <c r="B6600" t="s">
        <v>2037</v>
      </c>
      <c r="C6600" s="1">
        <v>45793</v>
      </c>
      <c r="D6600">
        <v>351</v>
      </c>
      <c r="E6600" t="b">
        <v>0</v>
      </c>
      <c r="F6600">
        <v>942</v>
      </c>
      <c r="G6600" t="s">
        <v>36</v>
      </c>
      <c r="H6600" t="s">
        <v>132</v>
      </c>
      <c r="I6600" t="s">
        <v>2117</v>
      </c>
    </row>
    <row r="6601" spans="1:9" x14ac:dyDescent="0.35">
      <c r="A6601">
        <v>3498270</v>
      </c>
      <c r="B6601" t="s">
        <v>2037</v>
      </c>
      <c r="C6601" s="1">
        <v>45793</v>
      </c>
      <c r="D6601">
        <v>351</v>
      </c>
      <c r="E6601" t="b">
        <v>0</v>
      </c>
      <c r="F6601">
        <v>942</v>
      </c>
      <c r="G6601" t="s">
        <v>36</v>
      </c>
      <c r="H6601" t="s">
        <v>124</v>
      </c>
      <c r="I6601" t="s">
        <v>2117</v>
      </c>
    </row>
    <row r="6602" spans="1:9" x14ac:dyDescent="0.35">
      <c r="A6602">
        <v>3498270</v>
      </c>
      <c r="B6602" t="s">
        <v>2037</v>
      </c>
      <c r="C6602" s="1">
        <v>45793</v>
      </c>
      <c r="D6602">
        <v>351</v>
      </c>
      <c r="E6602" t="b">
        <v>0</v>
      </c>
      <c r="F6602">
        <v>942</v>
      </c>
      <c r="G6602" t="s">
        <v>36</v>
      </c>
      <c r="H6602" t="s">
        <v>1510</v>
      </c>
      <c r="I6602" t="s">
        <v>2117</v>
      </c>
    </row>
    <row r="6603" spans="1:9" x14ac:dyDescent="0.35">
      <c r="A6603">
        <v>386940</v>
      </c>
      <c r="B6603" t="s">
        <v>2039</v>
      </c>
      <c r="C6603" s="1">
        <v>42433</v>
      </c>
      <c r="D6603">
        <v>350</v>
      </c>
      <c r="E6603" t="b">
        <v>1</v>
      </c>
      <c r="F6603">
        <v>946</v>
      </c>
      <c r="G6603" t="s">
        <v>110</v>
      </c>
      <c r="H6603" t="s">
        <v>49</v>
      </c>
      <c r="I6603" t="s">
        <v>2116</v>
      </c>
    </row>
    <row r="6604" spans="1:9" x14ac:dyDescent="0.35">
      <c r="A6604">
        <v>386940</v>
      </c>
      <c r="B6604" t="s">
        <v>2039</v>
      </c>
      <c r="C6604" s="1">
        <v>42433</v>
      </c>
      <c r="D6604">
        <v>350</v>
      </c>
      <c r="E6604" t="b">
        <v>1</v>
      </c>
      <c r="F6604">
        <v>946</v>
      </c>
      <c r="G6604" t="s">
        <v>110</v>
      </c>
      <c r="H6604" t="s">
        <v>792</v>
      </c>
      <c r="I6604" t="s">
        <v>2116</v>
      </c>
    </row>
    <row r="6605" spans="1:9" x14ac:dyDescent="0.35">
      <c r="A6605">
        <v>386940</v>
      </c>
      <c r="B6605" t="s">
        <v>2039</v>
      </c>
      <c r="C6605" s="1">
        <v>42433</v>
      </c>
      <c r="D6605">
        <v>350</v>
      </c>
      <c r="E6605" t="b">
        <v>1</v>
      </c>
      <c r="F6605">
        <v>946</v>
      </c>
      <c r="G6605" t="s">
        <v>110</v>
      </c>
      <c r="H6605" t="s">
        <v>346</v>
      </c>
      <c r="I6605" t="s">
        <v>2117</v>
      </c>
    </row>
    <row r="6606" spans="1:9" x14ac:dyDescent="0.35">
      <c r="A6606">
        <v>386940</v>
      </c>
      <c r="B6606" t="s">
        <v>2039</v>
      </c>
      <c r="C6606" s="1">
        <v>42433</v>
      </c>
      <c r="D6606">
        <v>350</v>
      </c>
      <c r="E6606" t="b">
        <v>1</v>
      </c>
      <c r="F6606">
        <v>946</v>
      </c>
      <c r="G6606" t="s">
        <v>110</v>
      </c>
      <c r="H6606" t="s">
        <v>239</v>
      </c>
      <c r="I6606" t="s">
        <v>2117</v>
      </c>
    </row>
    <row r="6607" spans="1:9" x14ac:dyDescent="0.35">
      <c r="A6607">
        <v>386940</v>
      </c>
      <c r="B6607" t="s">
        <v>2039</v>
      </c>
      <c r="C6607" s="1">
        <v>42433</v>
      </c>
      <c r="D6607">
        <v>350</v>
      </c>
      <c r="E6607" t="b">
        <v>1</v>
      </c>
      <c r="F6607">
        <v>946</v>
      </c>
      <c r="G6607" t="s">
        <v>110</v>
      </c>
      <c r="H6607" t="s">
        <v>132</v>
      </c>
      <c r="I6607" t="s">
        <v>2117</v>
      </c>
    </row>
    <row r="6608" spans="1:9" x14ac:dyDescent="0.35">
      <c r="A6608">
        <v>386940</v>
      </c>
      <c r="B6608" t="s">
        <v>2039</v>
      </c>
      <c r="C6608" s="1">
        <v>42433</v>
      </c>
      <c r="D6608">
        <v>350</v>
      </c>
      <c r="E6608" t="b">
        <v>1</v>
      </c>
      <c r="F6608">
        <v>946</v>
      </c>
      <c r="G6608" t="s">
        <v>110</v>
      </c>
      <c r="H6608" t="s">
        <v>124</v>
      </c>
      <c r="I6608" t="s">
        <v>2117</v>
      </c>
    </row>
    <row r="6609" spans="1:9" x14ac:dyDescent="0.35">
      <c r="A6609">
        <v>386940</v>
      </c>
      <c r="B6609" t="s">
        <v>2039</v>
      </c>
      <c r="C6609" s="1">
        <v>42433</v>
      </c>
      <c r="D6609">
        <v>350</v>
      </c>
      <c r="E6609" t="b">
        <v>1</v>
      </c>
      <c r="F6609">
        <v>946</v>
      </c>
      <c r="G6609" t="s">
        <v>110</v>
      </c>
      <c r="H6609" t="s">
        <v>1510</v>
      </c>
      <c r="I6609" t="s">
        <v>2117</v>
      </c>
    </row>
    <row r="6610" spans="1:9" x14ac:dyDescent="0.35">
      <c r="A6610">
        <v>16900</v>
      </c>
      <c r="B6610" t="s">
        <v>2041</v>
      </c>
      <c r="C6610" s="1">
        <v>43326</v>
      </c>
      <c r="D6610">
        <v>349</v>
      </c>
      <c r="E6610" t="b">
        <v>0</v>
      </c>
      <c r="F6610">
        <v>947</v>
      </c>
      <c r="G6610" t="s">
        <v>357</v>
      </c>
      <c r="H6610" t="s">
        <v>49</v>
      </c>
      <c r="I6610" t="s">
        <v>2116</v>
      </c>
    </row>
    <row r="6611" spans="1:9" x14ac:dyDescent="0.35">
      <c r="A6611">
        <v>16900</v>
      </c>
      <c r="B6611" t="s">
        <v>2041</v>
      </c>
      <c r="C6611" s="1">
        <v>43326</v>
      </c>
      <c r="D6611">
        <v>349</v>
      </c>
      <c r="E6611" t="b">
        <v>0</v>
      </c>
      <c r="F6611">
        <v>947</v>
      </c>
      <c r="G6611" t="s">
        <v>357</v>
      </c>
      <c r="H6611" t="s">
        <v>792</v>
      </c>
      <c r="I6611" t="s">
        <v>2116</v>
      </c>
    </row>
    <row r="6612" spans="1:9" x14ac:dyDescent="0.35">
      <c r="A6612">
        <v>16900</v>
      </c>
      <c r="B6612" t="s">
        <v>2041</v>
      </c>
      <c r="C6612" s="1">
        <v>43326</v>
      </c>
      <c r="D6612">
        <v>349</v>
      </c>
      <c r="E6612" t="b">
        <v>0</v>
      </c>
      <c r="F6612">
        <v>947</v>
      </c>
      <c r="G6612" t="s">
        <v>357</v>
      </c>
      <c r="H6612" t="s">
        <v>346</v>
      </c>
      <c r="I6612" t="s">
        <v>2117</v>
      </c>
    </row>
    <row r="6613" spans="1:9" x14ac:dyDescent="0.35">
      <c r="A6613">
        <v>16900</v>
      </c>
      <c r="B6613" t="s">
        <v>2041</v>
      </c>
      <c r="C6613" s="1">
        <v>43326</v>
      </c>
      <c r="D6613">
        <v>349</v>
      </c>
      <c r="E6613" t="b">
        <v>0</v>
      </c>
      <c r="F6613">
        <v>947</v>
      </c>
      <c r="G6613" t="s">
        <v>357</v>
      </c>
      <c r="H6613" t="s">
        <v>239</v>
      </c>
      <c r="I6613" t="s">
        <v>2116</v>
      </c>
    </row>
    <row r="6614" spans="1:9" x14ac:dyDescent="0.35">
      <c r="A6614">
        <v>16900</v>
      </c>
      <c r="B6614" t="s">
        <v>2041</v>
      </c>
      <c r="C6614" s="1">
        <v>43326</v>
      </c>
      <c r="D6614">
        <v>349</v>
      </c>
      <c r="E6614" t="b">
        <v>0</v>
      </c>
      <c r="F6614">
        <v>947</v>
      </c>
      <c r="G6614" t="s">
        <v>357</v>
      </c>
      <c r="H6614" t="s">
        <v>132</v>
      </c>
      <c r="I6614" t="s">
        <v>2117</v>
      </c>
    </row>
    <row r="6615" spans="1:9" x14ac:dyDescent="0.35">
      <c r="A6615">
        <v>16900</v>
      </c>
      <c r="B6615" t="s">
        <v>2041</v>
      </c>
      <c r="C6615" s="1">
        <v>43326</v>
      </c>
      <c r="D6615">
        <v>349</v>
      </c>
      <c r="E6615" t="b">
        <v>0</v>
      </c>
      <c r="F6615">
        <v>947</v>
      </c>
      <c r="G6615" t="s">
        <v>357</v>
      </c>
      <c r="H6615" t="s">
        <v>124</v>
      </c>
      <c r="I6615" t="s">
        <v>2117</v>
      </c>
    </row>
    <row r="6616" spans="1:9" x14ac:dyDescent="0.35">
      <c r="A6616">
        <v>16900</v>
      </c>
      <c r="B6616" t="s">
        <v>2041</v>
      </c>
      <c r="C6616" s="1">
        <v>43326</v>
      </c>
      <c r="D6616">
        <v>349</v>
      </c>
      <c r="E6616" t="b">
        <v>0</v>
      </c>
      <c r="F6616">
        <v>947</v>
      </c>
      <c r="G6616" t="s">
        <v>357</v>
      </c>
      <c r="H6616" t="s">
        <v>1510</v>
      </c>
      <c r="I6616" t="s">
        <v>2117</v>
      </c>
    </row>
    <row r="6617" spans="1:9" x14ac:dyDescent="0.35">
      <c r="A6617">
        <v>1094780</v>
      </c>
      <c r="B6617" t="s">
        <v>2042</v>
      </c>
      <c r="C6617" s="1">
        <v>43765</v>
      </c>
      <c r="D6617">
        <v>349</v>
      </c>
      <c r="E6617" t="b">
        <v>0</v>
      </c>
      <c r="F6617">
        <v>947</v>
      </c>
      <c r="G6617" t="s">
        <v>29</v>
      </c>
      <c r="H6617" t="s">
        <v>49</v>
      </c>
      <c r="I6617" t="s">
        <v>2117</v>
      </c>
    </row>
    <row r="6618" spans="1:9" x14ac:dyDescent="0.35">
      <c r="A6618">
        <v>1094780</v>
      </c>
      <c r="B6618" t="s">
        <v>2042</v>
      </c>
      <c r="C6618" s="1">
        <v>43765</v>
      </c>
      <c r="D6618">
        <v>349</v>
      </c>
      <c r="E6618" t="b">
        <v>0</v>
      </c>
      <c r="F6618">
        <v>947</v>
      </c>
      <c r="G6618" t="s">
        <v>29</v>
      </c>
      <c r="H6618" t="s">
        <v>792</v>
      </c>
      <c r="I6618" t="s">
        <v>2117</v>
      </c>
    </row>
    <row r="6619" spans="1:9" x14ac:dyDescent="0.35">
      <c r="A6619">
        <v>1094780</v>
      </c>
      <c r="B6619" t="s">
        <v>2042</v>
      </c>
      <c r="C6619" s="1">
        <v>43765</v>
      </c>
      <c r="D6619">
        <v>349</v>
      </c>
      <c r="E6619" t="b">
        <v>0</v>
      </c>
      <c r="F6619">
        <v>947</v>
      </c>
      <c r="G6619" t="s">
        <v>29</v>
      </c>
      <c r="H6619" t="s">
        <v>346</v>
      </c>
      <c r="I6619" t="s">
        <v>2117</v>
      </c>
    </row>
    <row r="6620" spans="1:9" x14ac:dyDescent="0.35">
      <c r="A6620">
        <v>1094780</v>
      </c>
      <c r="B6620" t="s">
        <v>2042</v>
      </c>
      <c r="C6620" s="1">
        <v>43765</v>
      </c>
      <c r="D6620">
        <v>349</v>
      </c>
      <c r="E6620" t="b">
        <v>0</v>
      </c>
      <c r="F6620">
        <v>947</v>
      </c>
      <c r="G6620" t="s">
        <v>29</v>
      </c>
      <c r="H6620" t="s">
        <v>239</v>
      </c>
      <c r="I6620" t="s">
        <v>2116</v>
      </c>
    </row>
    <row r="6621" spans="1:9" x14ac:dyDescent="0.35">
      <c r="A6621">
        <v>1094780</v>
      </c>
      <c r="B6621" t="s">
        <v>2042</v>
      </c>
      <c r="C6621" s="1">
        <v>43765</v>
      </c>
      <c r="D6621">
        <v>349</v>
      </c>
      <c r="E6621" t="b">
        <v>0</v>
      </c>
      <c r="F6621">
        <v>947</v>
      </c>
      <c r="G6621" t="s">
        <v>29</v>
      </c>
      <c r="H6621" t="s">
        <v>132</v>
      </c>
      <c r="I6621" t="s">
        <v>2117</v>
      </c>
    </row>
    <row r="6622" spans="1:9" x14ac:dyDescent="0.35">
      <c r="A6622">
        <v>1094780</v>
      </c>
      <c r="B6622" t="s">
        <v>2042</v>
      </c>
      <c r="C6622" s="1">
        <v>43765</v>
      </c>
      <c r="D6622">
        <v>349</v>
      </c>
      <c r="E6622" t="b">
        <v>0</v>
      </c>
      <c r="F6622">
        <v>947</v>
      </c>
      <c r="G6622" t="s">
        <v>29</v>
      </c>
      <c r="H6622" t="s">
        <v>124</v>
      </c>
      <c r="I6622" t="s">
        <v>2117</v>
      </c>
    </row>
    <row r="6623" spans="1:9" x14ac:dyDescent="0.35">
      <c r="A6623">
        <v>1094780</v>
      </c>
      <c r="B6623" t="s">
        <v>2042</v>
      </c>
      <c r="C6623" s="1">
        <v>43765</v>
      </c>
      <c r="D6623">
        <v>349</v>
      </c>
      <c r="E6623" t="b">
        <v>0</v>
      </c>
      <c r="F6623">
        <v>947</v>
      </c>
      <c r="G6623" t="s">
        <v>29</v>
      </c>
      <c r="H6623" t="s">
        <v>1510</v>
      </c>
      <c r="I6623" t="s">
        <v>2117</v>
      </c>
    </row>
    <row r="6624" spans="1:9" x14ac:dyDescent="0.35">
      <c r="A6624">
        <v>1282730</v>
      </c>
      <c r="B6624" t="s">
        <v>2044</v>
      </c>
      <c r="C6624" s="1">
        <v>44259</v>
      </c>
      <c r="D6624">
        <v>348</v>
      </c>
      <c r="E6624" t="b">
        <v>1</v>
      </c>
      <c r="F6624">
        <v>949</v>
      </c>
      <c r="G6624" t="s">
        <v>110</v>
      </c>
      <c r="H6624" t="s">
        <v>49</v>
      </c>
      <c r="I6624" t="s">
        <v>2117</v>
      </c>
    </row>
    <row r="6625" spans="1:9" x14ac:dyDescent="0.35">
      <c r="A6625">
        <v>1282730</v>
      </c>
      <c r="B6625" t="s">
        <v>2044</v>
      </c>
      <c r="C6625" s="1">
        <v>44259</v>
      </c>
      <c r="D6625">
        <v>348</v>
      </c>
      <c r="E6625" t="b">
        <v>1</v>
      </c>
      <c r="F6625">
        <v>949</v>
      </c>
      <c r="G6625" t="s">
        <v>110</v>
      </c>
      <c r="H6625" t="s">
        <v>792</v>
      </c>
      <c r="I6625" t="s">
        <v>2116</v>
      </c>
    </row>
    <row r="6626" spans="1:9" x14ac:dyDescent="0.35">
      <c r="A6626">
        <v>1282730</v>
      </c>
      <c r="B6626" t="s">
        <v>2044</v>
      </c>
      <c r="C6626" s="1">
        <v>44259</v>
      </c>
      <c r="D6626">
        <v>348</v>
      </c>
      <c r="E6626" t="b">
        <v>1</v>
      </c>
      <c r="F6626">
        <v>949</v>
      </c>
      <c r="G6626" t="s">
        <v>110</v>
      </c>
      <c r="H6626" t="s">
        <v>346</v>
      </c>
      <c r="I6626" t="s">
        <v>2117</v>
      </c>
    </row>
    <row r="6627" spans="1:9" x14ac:dyDescent="0.35">
      <c r="A6627">
        <v>1282730</v>
      </c>
      <c r="B6627" t="s">
        <v>2044</v>
      </c>
      <c r="C6627" s="1">
        <v>44259</v>
      </c>
      <c r="D6627">
        <v>348</v>
      </c>
      <c r="E6627" t="b">
        <v>1</v>
      </c>
      <c r="F6627">
        <v>949</v>
      </c>
      <c r="G6627" t="s">
        <v>110</v>
      </c>
      <c r="H6627" t="s">
        <v>239</v>
      </c>
      <c r="I6627" t="s">
        <v>2117</v>
      </c>
    </row>
    <row r="6628" spans="1:9" x14ac:dyDescent="0.35">
      <c r="A6628">
        <v>1282730</v>
      </c>
      <c r="B6628" t="s">
        <v>2044</v>
      </c>
      <c r="C6628" s="1">
        <v>44259</v>
      </c>
      <c r="D6628">
        <v>348</v>
      </c>
      <c r="E6628" t="b">
        <v>1</v>
      </c>
      <c r="F6628">
        <v>949</v>
      </c>
      <c r="G6628" t="s">
        <v>110</v>
      </c>
      <c r="H6628" t="s">
        <v>132</v>
      </c>
      <c r="I6628" t="s">
        <v>2116</v>
      </c>
    </row>
    <row r="6629" spans="1:9" x14ac:dyDescent="0.35">
      <c r="A6629">
        <v>1282730</v>
      </c>
      <c r="B6629" t="s">
        <v>2044</v>
      </c>
      <c r="C6629" s="1">
        <v>44259</v>
      </c>
      <c r="D6629">
        <v>348</v>
      </c>
      <c r="E6629" t="b">
        <v>1</v>
      </c>
      <c r="F6629">
        <v>949</v>
      </c>
      <c r="G6629" t="s">
        <v>110</v>
      </c>
      <c r="H6629" t="s">
        <v>124</v>
      </c>
      <c r="I6629" t="s">
        <v>2116</v>
      </c>
    </row>
    <row r="6630" spans="1:9" x14ac:dyDescent="0.35">
      <c r="A6630">
        <v>1282730</v>
      </c>
      <c r="B6630" t="s">
        <v>2044</v>
      </c>
      <c r="C6630" s="1">
        <v>44259</v>
      </c>
      <c r="D6630">
        <v>348</v>
      </c>
      <c r="E6630" t="b">
        <v>1</v>
      </c>
      <c r="F6630">
        <v>949</v>
      </c>
      <c r="G6630" t="s">
        <v>110</v>
      </c>
      <c r="H6630" t="s">
        <v>1510</v>
      </c>
      <c r="I6630" t="s">
        <v>2117</v>
      </c>
    </row>
    <row r="6631" spans="1:9" x14ac:dyDescent="0.35">
      <c r="A6631">
        <v>1948280</v>
      </c>
      <c r="B6631" t="s">
        <v>2045</v>
      </c>
      <c r="C6631" s="1">
        <v>44659</v>
      </c>
      <c r="D6631">
        <v>347</v>
      </c>
      <c r="E6631" t="b">
        <v>1</v>
      </c>
      <c r="F6631">
        <v>950</v>
      </c>
      <c r="G6631" t="s">
        <v>14</v>
      </c>
      <c r="H6631" t="s">
        <v>49</v>
      </c>
      <c r="I6631" t="s">
        <v>2117</v>
      </c>
    </row>
    <row r="6632" spans="1:9" x14ac:dyDescent="0.35">
      <c r="A6632">
        <v>1948280</v>
      </c>
      <c r="B6632" t="s">
        <v>2045</v>
      </c>
      <c r="C6632" s="1">
        <v>44659</v>
      </c>
      <c r="D6632">
        <v>347</v>
      </c>
      <c r="E6632" t="b">
        <v>1</v>
      </c>
      <c r="F6632">
        <v>950</v>
      </c>
      <c r="G6632" t="s">
        <v>14</v>
      </c>
      <c r="H6632" t="s">
        <v>792</v>
      </c>
      <c r="I6632" t="s">
        <v>2116</v>
      </c>
    </row>
    <row r="6633" spans="1:9" x14ac:dyDescent="0.35">
      <c r="A6633">
        <v>1948280</v>
      </c>
      <c r="B6633" t="s">
        <v>2045</v>
      </c>
      <c r="C6633" s="1">
        <v>44659</v>
      </c>
      <c r="D6633">
        <v>347</v>
      </c>
      <c r="E6633" t="b">
        <v>1</v>
      </c>
      <c r="F6633">
        <v>950</v>
      </c>
      <c r="G6633" t="s">
        <v>14</v>
      </c>
      <c r="H6633" t="s">
        <v>346</v>
      </c>
      <c r="I6633" t="s">
        <v>2117</v>
      </c>
    </row>
    <row r="6634" spans="1:9" x14ac:dyDescent="0.35">
      <c r="A6634">
        <v>1948280</v>
      </c>
      <c r="B6634" t="s">
        <v>2045</v>
      </c>
      <c r="C6634" s="1">
        <v>44659</v>
      </c>
      <c r="D6634">
        <v>347</v>
      </c>
      <c r="E6634" t="b">
        <v>1</v>
      </c>
      <c r="F6634">
        <v>950</v>
      </c>
      <c r="G6634" t="s">
        <v>14</v>
      </c>
      <c r="H6634" t="s">
        <v>239</v>
      </c>
      <c r="I6634" t="s">
        <v>2116</v>
      </c>
    </row>
    <row r="6635" spans="1:9" x14ac:dyDescent="0.35">
      <c r="A6635">
        <v>1948280</v>
      </c>
      <c r="B6635" t="s">
        <v>2045</v>
      </c>
      <c r="C6635" s="1">
        <v>44659</v>
      </c>
      <c r="D6635">
        <v>347</v>
      </c>
      <c r="E6635" t="b">
        <v>1</v>
      </c>
      <c r="F6635">
        <v>950</v>
      </c>
      <c r="G6635" t="s">
        <v>14</v>
      </c>
      <c r="H6635" t="s">
        <v>132</v>
      </c>
      <c r="I6635" t="s">
        <v>2117</v>
      </c>
    </row>
    <row r="6636" spans="1:9" x14ac:dyDescent="0.35">
      <c r="A6636">
        <v>1948280</v>
      </c>
      <c r="B6636" t="s">
        <v>2045</v>
      </c>
      <c r="C6636" s="1">
        <v>44659</v>
      </c>
      <c r="D6636">
        <v>347</v>
      </c>
      <c r="E6636" t="b">
        <v>1</v>
      </c>
      <c r="F6636">
        <v>950</v>
      </c>
      <c r="G6636" t="s">
        <v>14</v>
      </c>
      <c r="H6636" t="s">
        <v>124</v>
      </c>
      <c r="I6636" t="s">
        <v>2117</v>
      </c>
    </row>
    <row r="6637" spans="1:9" x14ac:dyDescent="0.35">
      <c r="A6637">
        <v>1948280</v>
      </c>
      <c r="B6637" t="s">
        <v>2045</v>
      </c>
      <c r="C6637" s="1">
        <v>44659</v>
      </c>
      <c r="D6637">
        <v>347</v>
      </c>
      <c r="E6637" t="b">
        <v>1</v>
      </c>
      <c r="F6637">
        <v>950</v>
      </c>
      <c r="G6637" t="s">
        <v>14</v>
      </c>
      <c r="H6637" t="s">
        <v>1510</v>
      </c>
      <c r="I6637" t="s">
        <v>2117</v>
      </c>
    </row>
    <row r="6638" spans="1:9" x14ac:dyDescent="0.35">
      <c r="A6638">
        <v>3373660</v>
      </c>
      <c r="B6638" t="s">
        <v>2046</v>
      </c>
      <c r="C6638" s="1">
        <v>45737</v>
      </c>
      <c r="D6638">
        <v>346</v>
      </c>
      <c r="E6638" t="b">
        <v>0</v>
      </c>
      <c r="F6638">
        <v>951</v>
      </c>
      <c r="G6638" t="s">
        <v>14</v>
      </c>
      <c r="H6638" t="s">
        <v>49</v>
      </c>
      <c r="I6638" t="s">
        <v>2117</v>
      </c>
    </row>
    <row r="6639" spans="1:9" x14ac:dyDescent="0.35">
      <c r="A6639">
        <v>3373660</v>
      </c>
      <c r="B6639" t="s">
        <v>2046</v>
      </c>
      <c r="C6639" s="1">
        <v>45737</v>
      </c>
      <c r="D6639">
        <v>346</v>
      </c>
      <c r="E6639" t="b">
        <v>0</v>
      </c>
      <c r="F6639">
        <v>951</v>
      </c>
      <c r="G6639" t="s">
        <v>14</v>
      </c>
      <c r="H6639" t="s">
        <v>792</v>
      </c>
      <c r="I6639" t="s">
        <v>2117</v>
      </c>
    </row>
    <row r="6640" spans="1:9" x14ac:dyDescent="0.35">
      <c r="A6640">
        <v>3373660</v>
      </c>
      <c r="B6640" t="s">
        <v>2046</v>
      </c>
      <c r="C6640" s="1">
        <v>45737</v>
      </c>
      <c r="D6640">
        <v>346</v>
      </c>
      <c r="E6640" t="b">
        <v>0</v>
      </c>
      <c r="F6640">
        <v>951</v>
      </c>
      <c r="G6640" t="s">
        <v>14</v>
      </c>
      <c r="H6640" t="s">
        <v>346</v>
      </c>
      <c r="I6640" t="s">
        <v>2116</v>
      </c>
    </row>
    <row r="6641" spans="1:9" x14ac:dyDescent="0.35">
      <c r="A6641">
        <v>3373660</v>
      </c>
      <c r="B6641" t="s">
        <v>2046</v>
      </c>
      <c r="C6641" s="1">
        <v>45737</v>
      </c>
      <c r="D6641">
        <v>346</v>
      </c>
      <c r="E6641" t="b">
        <v>0</v>
      </c>
      <c r="F6641">
        <v>951</v>
      </c>
      <c r="G6641" t="s">
        <v>14</v>
      </c>
      <c r="H6641" t="s">
        <v>239</v>
      </c>
      <c r="I6641" t="s">
        <v>2117</v>
      </c>
    </row>
    <row r="6642" spans="1:9" x14ac:dyDescent="0.35">
      <c r="A6642">
        <v>3373660</v>
      </c>
      <c r="B6642" t="s">
        <v>2046</v>
      </c>
      <c r="C6642" s="1">
        <v>45737</v>
      </c>
      <c r="D6642">
        <v>346</v>
      </c>
      <c r="E6642" t="b">
        <v>0</v>
      </c>
      <c r="F6642">
        <v>951</v>
      </c>
      <c r="G6642" t="s">
        <v>14</v>
      </c>
      <c r="H6642" t="s">
        <v>132</v>
      </c>
      <c r="I6642" t="s">
        <v>2116</v>
      </c>
    </row>
    <row r="6643" spans="1:9" x14ac:dyDescent="0.35">
      <c r="A6643">
        <v>3373660</v>
      </c>
      <c r="B6643" t="s">
        <v>2046</v>
      </c>
      <c r="C6643" s="1">
        <v>45737</v>
      </c>
      <c r="D6643">
        <v>346</v>
      </c>
      <c r="E6643" t="b">
        <v>0</v>
      </c>
      <c r="F6643">
        <v>951</v>
      </c>
      <c r="G6643" t="s">
        <v>14</v>
      </c>
      <c r="H6643" t="s">
        <v>124</v>
      </c>
      <c r="I6643" t="s">
        <v>2117</v>
      </c>
    </row>
    <row r="6644" spans="1:9" x14ac:dyDescent="0.35">
      <c r="A6644">
        <v>3373660</v>
      </c>
      <c r="B6644" t="s">
        <v>2046</v>
      </c>
      <c r="C6644" s="1">
        <v>45737</v>
      </c>
      <c r="D6644">
        <v>346</v>
      </c>
      <c r="E6644" t="b">
        <v>0</v>
      </c>
      <c r="F6644">
        <v>951</v>
      </c>
      <c r="G6644" t="s">
        <v>14</v>
      </c>
      <c r="H6644" t="s">
        <v>1510</v>
      </c>
      <c r="I6644" t="s">
        <v>2117</v>
      </c>
    </row>
    <row r="6645" spans="1:9" x14ac:dyDescent="0.35">
      <c r="A6645">
        <v>24810</v>
      </c>
      <c r="B6645" t="s">
        <v>2047</v>
      </c>
      <c r="C6645" s="1">
        <v>40130</v>
      </c>
      <c r="D6645">
        <v>346</v>
      </c>
      <c r="E6645" t="b">
        <v>0</v>
      </c>
      <c r="F6645">
        <v>951</v>
      </c>
      <c r="G6645" t="s">
        <v>2084</v>
      </c>
      <c r="H6645" t="s">
        <v>49</v>
      </c>
      <c r="I6645" t="s">
        <v>2116</v>
      </c>
    </row>
    <row r="6646" spans="1:9" x14ac:dyDescent="0.35">
      <c r="A6646">
        <v>24810</v>
      </c>
      <c r="B6646" t="s">
        <v>2047</v>
      </c>
      <c r="C6646" s="1">
        <v>40130</v>
      </c>
      <c r="D6646">
        <v>346</v>
      </c>
      <c r="E6646" t="b">
        <v>0</v>
      </c>
      <c r="F6646">
        <v>951</v>
      </c>
      <c r="G6646" t="s">
        <v>2084</v>
      </c>
      <c r="H6646" t="s">
        <v>792</v>
      </c>
      <c r="I6646" t="s">
        <v>2117</v>
      </c>
    </row>
    <row r="6647" spans="1:9" x14ac:dyDescent="0.35">
      <c r="A6647">
        <v>24810</v>
      </c>
      <c r="B6647" t="s">
        <v>2047</v>
      </c>
      <c r="C6647" s="1">
        <v>40130</v>
      </c>
      <c r="D6647">
        <v>346</v>
      </c>
      <c r="E6647" t="b">
        <v>0</v>
      </c>
      <c r="F6647">
        <v>951</v>
      </c>
      <c r="G6647" t="s">
        <v>2084</v>
      </c>
      <c r="H6647" t="s">
        <v>346</v>
      </c>
      <c r="I6647" t="s">
        <v>2117</v>
      </c>
    </row>
    <row r="6648" spans="1:9" x14ac:dyDescent="0.35">
      <c r="A6648">
        <v>24810</v>
      </c>
      <c r="B6648" t="s">
        <v>2047</v>
      </c>
      <c r="C6648" s="1">
        <v>40130</v>
      </c>
      <c r="D6648">
        <v>346</v>
      </c>
      <c r="E6648" t="b">
        <v>0</v>
      </c>
      <c r="F6648">
        <v>951</v>
      </c>
      <c r="G6648" t="s">
        <v>2084</v>
      </c>
      <c r="H6648" t="s">
        <v>239</v>
      </c>
      <c r="I6648" t="s">
        <v>2117</v>
      </c>
    </row>
    <row r="6649" spans="1:9" x14ac:dyDescent="0.35">
      <c r="A6649">
        <v>24810</v>
      </c>
      <c r="B6649" t="s">
        <v>2047</v>
      </c>
      <c r="C6649" s="1">
        <v>40130</v>
      </c>
      <c r="D6649">
        <v>346</v>
      </c>
      <c r="E6649" t="b">
        <v>0</v>
      </c>
      <c r="F6649">
        <v>951</v>
      </c>
      <c r="G6649" t="s">
        <v>2084</v>
      </c>
      <c r="H6649" t="s">
        <v>132</v>
      </c>
      <c r="I6649" t="s">
        <v>2117</v>
      </c>
    </row>
    <row r="6650" spans="1:9" x14ac:dyDescent="0.35">
      <c r="A6650">
        <v>24810</v>
      </c>
      <c r="B6650" t="s">
        <v>2047</v>
      </c>
      <c r="C6650" s="1">
        <v>40130</v>
      </c>
      <c r="D6650">
        <v>346</v>
      </c>
      <c r="E6650" t="b">
        <v>0</v>
      </c>
      <c r="F6650">
        <v>951</v>
      </c>
      <c r="G6650" t="s">
        <v>2084</v>
      </c>
      <c r="H6650" t="s">
        <v>124</v>
      </c>
      <c r="I6650" t="s">
        <v>2116</v>
      </c>
    </row>
    <row r="6651" spans="1:9" x14ac:dyDescent="0.35">
      <c r="A6651">
        <v>24810</v>
      </c>
      <c r="B6651" t="s">
        <v>2047</v>
      </c>
      <c r="C6651" s="1">
        <v>40130</v>
      </c>
      <c r="D6651">
        <v>346</v>
      </c>
      <c r="E6651" t="b">
        <v>0</v>
      </c>
      <c r="F6651">
        <v>951</v>
      </c>
      <c r="G6651" t="s">
        <v>2084</v>
      </c>
      <c r="H6651" t="s">
        <v>1510</v>
      </c>
      <c r="I6651" t="s">
        <v>2117</v>
      </c>
    </row>
    <row r="6652" spans="1:9" x14ac:dyDescent="0.35">
      <c r="A6652">
        <v>1324780</v>
      </c>
      <c r="B6652" t="s">
        <v>2049</v>
      </c>
      <c r="C6652" s="1">
        <v>44567</v>
      </c>
      <c r="D6652">
        <v>346</v>
      </c>
      <c r="E6652" t="b">
        <v>1</v>
      </c>
      <c r="F6652">
        <v>951</v>
      </c>
      <c r="G6652" t="s">
        <v>266</v>
      </c>
      <c r="H6652" t="s">
        <v>49</v>
      </c>
      <c r="I6652" t="s">
        <v>2116</v>
      </c>
    </row>
    <row r="6653" spans="1:9" x14ac:dyDescent="0.35">
      <c r="A6653">
        <v>1324780</v>
      </c>
      <c r="B6653" t="s">
        <v>2049</v>
      </c>
      <c r="C6653" s="1">
        <v>44567</v>
      </c>
      <c r="D6653">
        <v>346</v>
      </c>
      <c r="E6653" t="b">
        <v>1</v>
      </c>
      <c r="F6653">
        <v>951</v>
      </c>
      <c r="G6653" t="s">
        <v>266</v>
      </c>
      <c r="H6653" t="s">
        <v>792</v>
      </c>
      <c r="I6653" t="s">
        <v>2116</v>
      </c>
    </row>
    <row r="6654" spans="1:9" x14ac:dyDescent="0.35">
      <c r="A6654">
        <v>1324780</v>
      </c>
      <c r="B6654" t="s">
        <v>2049</v>
      </c>
      <c r="C6654" s="1">
        <v>44567</v>
      </c>
      <c r="D6654">
        <v>346</v>
      </c>
      <c r="E6654" t="b">
        <v>1</v>
      </c>
      <c r="F6654">
        <v>951</v>
      </c>
      <c r="G6654" t="s">
        <v>266</v>
      </c>
      <c r="H6654" t="s">
        <v>346</v>
      </c>
      <c r="I6654" t="s">
        <v>2117</v>
      </c>
    </row>
    <row r="6655" spans="1:9" x14ac:dyDescent="0.35">
      <c r="A6655">
        <v>1324780</v>
      </c>
      <c r="B6655" t="s">
        <v>2049</v>
      </c>
      <c r="C6655" s="1">
        <v>44567</v>
      </c>
      <c r="D6655">
        <v>346</v>
      </c>
      <c r="E6655" t="b">
        <v>1</v>
      </c>
      <c r="F6655">
        <v>951</v>
      </c>
      <c r="G6655" t="s">
        <v>266</v>
      </c>
      <c r="H6655" t="s">
        <v>239</v>
      </c>
      <c r="I6655" t="s">
        <v>2116</v>
      </c>
    </row>
    <row r="6656" spans="1:9" x14ac:dyDescent="0.35">
      <c r="A6656">
        <v>1324780</v>
      </c>
      <c r="B6656" t="s">
        <v>2049</v>
      </c>
      <c r="C6656" s="1">
        <v>44567</v>
      </c>
      <c r="D6656">
        <v>346</v>
      </c>
      <c r="E6656" t="b">
        <v>1</v>
      </c>
      <c r="F6656">
        <v>951</v>
      </c>
      <c r="G6656" t="s">
        <v>266</v>
      </c>
      <c r="H6656" t="s">
        <v>132</v>
      </c>
      <c r="I6656" t="s">
        <v>2117</v>
      </c>
    </row>
    <row r="6657" spans="1:9" x14ac:dyDescent="0.35">
      <c r="A6657">
        <v>1324780</v>
      </c>
      <c r="B6657" t="s">
        <v>2049</v>
      </c>
      <c r="C6657" s="1">
        <v>44567</v>
      </c>
      <c r="D6657">
        <v>346</v>
      </c>
      <c r="E6657" t="b">
        <v>1</v>
      </c>
      <c r="F6657">
        <v>951</v>
      </c>
      <c r="G6657" t="s">
        <v>266</v>
      </c>
      <c r="H6657" t="s">
        <v>124</v>
      </c>
      <c r="I6657" t="s">
        <v>2116</v>
      </c>
    </row>
    <row r="6658" spans="1:9" x14ac:dyDescent="0.35">
      <c r="A6658">
        <v>1324780</v>
      </c>
      <c r="B6658" t="s">
        <v>2049</v>
      </c>
      <c r="C6658" s="1">
        <v>44567</v>
      </c>
      <c r="D6658">
        <v>346</v>
      </c>
      <c r="E6658" t="b">
        <v>1</v>
      </c>
      <c r="F6658">
        <v>951</v>
      </c>
      <c r="G6658" t="s">
        <v>266</v>
      </c>
      <c r="H6658" t="s">
        <v>1510</v>
      </c>
      <c r="I6658" t="s">
        <v>2117</v>
      </c>
    </row>
    <row r="6659" spans="1:9" x14ac:dyDescent="0.35">
      <c r="A6659">
        <v>2280</v>
      </c>
      <c r="B6659" t="s">
        <v>2051</v>
      </c>
      <c r="C6659" s="1">
        <v>39297</v>
      </c>
      <c r="D6659">
        <v>345</v>
      </c>
      <c r="E6659" t="b">
        <v>0</v>
      </c>
      <c r="F6659">
        <v>954</v>
      </c>
      <c r="G6659" t="s">
        <v>2084</v>
      </c>
      <c r="H6659" t="s">
        <v>49</v>
      </c>
      <c r="I6659" t="s">
        <v>2116</v>
      </c>
    </row>
    <row r="6660" spans="1:9" x14ac:dyDescent="0.35">
      <c r="A6660">
        <v>2280</v>
      </c>
      <c r="B6660" t="s">
        <v>2051</v>
      </c>
      <c r="C6660" s="1">
        <v>39297</v>
      </c>
      <c r="D6660">
        <v>345</v>
      </c>
      <c r="E6660" t="b">
        <v>0</v>
      </c>
      <c r="F6660">
        <v>954</v>
      </c>
      <c r="G6660" t="s">
        <v>2084</v>
      </c>
      <c r="H6660" t="s">
        <v>792</v>
      </c>
      <c r="I6660" t="s">
        <v>2117</v>
      </c>
    </row>
    <row r="6661" spans="1:9" x14ac:dyDescent="0.35">
      <c r="A6661">
        <v>2280</v>
      </c>
      <c r="B6661" t="s">
        <v>2051</v>
      </c>
      <c r="C6661" s="1">
        <v>39297</v>
      </c>
      <c r="D6661">
        <v>345</v>
      </c>
      <c r="E6661" t="b">
        <v>0</v>
      </c>
      <c r="F6661">
        <v>954</v>
      </c>
      <c r="G6661" t="s">
        <v>2084</v>
      </c>
      <c r="H6661" t="s">
        <v>346</v>
      </c>
      <c r="I6661" t="s">
        <v>2117</v>
      </c>
    </row>
    <row r="6662" spans="1:9" x14ac:dyDescent="0.35">
      <c r="A6662">
        <v>2280</v>
      </c>
      <c r="B6662" t="s">
        <v>2051</v>
      </c>
      <c r="C6662" s="1">
        <v>39297</v>
      </c>
      <c r="D6662">
        <v>345</v>
      </c>
      <c r="E6662" t="b">
        <v>0</v>
      </c>
      <c r="F6662">
        <v>954</v>
      </c>
      <c r="G6662" t="s">
        <v>2084</v>
      </c>
      <c r="H6662" t="s">
        <v>239</v>
      </c>
      <c r="I6662" t="s">
        <v>2117</v>
      </c>
    </row>
    <row r="6663" spans="1:9" x14ac:dyDescent="0.35">
      <c r="A6663">
        <v>2280</v>
      </c>
      <c r="B6663" t="s">
        <v>2051</v>
      </c>
      <c r="C6663" s="1">
        <v>39297</v>
      </c>
      <c r="D6663">
        <v>345</v>
      </c>
      <c r="E6663" t="b">
        <v>0</v>
      </c>
      <c r="F6663">
        <v>954</v>
      </c>
      <c r="G6663" t="s">
        <v>2084</v>
      </c>
      <c r="H6663" t="s">
        <v>132</v>
      </c>
      <c r="I6663" t="s">
        <v>2117</v>
      </c>
    </row>
    <row r="6664" spans="1:9" x14ac:dyDescent="0.35">
      <c r="A6664">
        <v>2280</v>
      </c>
      <c r="B6664" t="s">
        <v>2051</v>
      </c>
      <c r="C6664" s="1">
        <v>39297</v>
      </c>
      <c r="D6664">
        <v>345</v>
      </c>
      <c r="E6664" t="b">
        <v>0</v>
      </c>
      <c r="F6664">
        <v>954</v>
      </c>
      <c r="G6664" t="s">
        <v>2084</v>
      </c>
      <c r="H6664" t="s">
        <v>124</v>
      </c>
      <c r="I6664" t="s">
        <v>2117</v>
      </c>
    </row>
    <row r="6665" spans="1:9" x14ac:dyDescent="0.35">
      <c r="A6665">
        <v>2280</v>
      </c>
      <c r="B6665" t="s">
        <v>2051</v>
      </c>
      <c r="C6665" s="1">
        <v>39297</v>
      </c>
      <c r="D6665">
        <v>345</v>
      </c>
      <c r="E6665" t="b">
        <v>0</v>
      </c>
      <c r="F6665">
        <v>954</v>
      </c>
      <c r="G6665" t="s">
        <v>2084</v>
      </c>
      <c r="H6665" t="s">
        <v>1510</v>
      </c>
      <c r="I6665" t="s">
        <v>2117</v>
      </c>
    </row>
    <row r="6666" spans="1:9" x14ac:dyDescent="0.35">
      <c r="A6666">
        <v>1602000</v>
      </c>
      <c r="B6666" t="s">
        <v>2053</v>
      </c>
      <c r="C6666" s="1">
        <v>45797</v>
      </c>
      <c r="D6666">
        <v>344</v>
      </c>
      <c r="E6666" t="b">
        <v>0</v>
      </c>
      <c r="F6666">
        <v>955</v>
      </c>
      <c r="G6666" t="s">
        <v>119</v>
      </c>
      <c r="H6666" t="s">
        <v>49</v>
      </c>
      <c r="I6666" t="s">
        <v>2117</v>
      </c>
    </row>
    <row r="6667" spans="1:9" x14ac:dyDescent="0.35">
      <c r="A6667">
        <v>1602000</v>
      </c>
      <c r="B6667" t="s">
        <v>2053</v>
      </c>
      <c r="C6667" s="1">
        <v>45797</v>
      </c>
      <c r="D6667">
        <v>344</v>
      </c>
      <c r="E6667" t="b">
        <v>0</v>
      </c>
      <c r="F6667">
        <v>955</v>
      </c>
      <c r="G6667" t="s">
        <v>119</v>
      </c>
      <c r="H6667" t="s">
        <v>792</v>
      </c>
      <c r="I6667" t="s">
        <v>2116</v>
      </c>
    </row>
    <row r="6668" spans="1:9" x14ac:dyDescent="0.35">
      <c r="A6668">
        <v>1602000</v>
      </c>
      <c r="B6668" t="s">
        <v>2053</v>
      </c>
      <c r="C6668" s="1">
        <v>45797</v>
      </c>
      <c r="D6668">
        <v>344</v>
      </c>
      <c r="E6668" t="b">
        <v>0</v>
      </c>
      <c r="F6668">
        <v>955</v>
      </c>
      <c r="G6668" t="s">
        <v>119</v>
      </c>
      <c r="H6668" t="s">
        <v>346</v>
      </c>
      <c r="I6668" t="s">
        <v>2117</v>
      </c>
    </row>
    <row r="6669" spans="1:9" x14ac:dyDescent="0.35">
      <c r="A6669">
        <v>1602000</v>
      </c>
      <c r="B6669" t="s">
        <v>2053</v>
      </c>
      <c r="C6669" s="1">
        <v>45797</v>
      </c>
      <c r="D6669">
        <v>344</v>
      </c>
      <c r="E6669" t="b">
        <v>0</v>
      </c>
      <c r="F6669">
        <v>955</v>
      </c>
      <c r="G6669" t="s">
        <v>119</v>
      </c>
      <c r="H6669" t="s">
        <v>239</v>
      </c>
      <c r="I6669" t="s">
        <v>2116</v>
      </c>
    </row>
    <row r="6670" spans="1:9" x14ac:dyDescent="0.35">
      <c r="A6670">
        <v>1602000</v>
      </c>
      <c r="B6670" t="s">
        <v>2053</v>
      </c>
      <c r="C6670" s="1">
        <v>45797</v>
      </c>
      <c r="D6670">
        <v>344</v>
      </c>
      <c r="E6670" t="b">
        <v>0</v>
      </c>
      <c r="F6670">
        <v>955</v>
      </c>
      <c r="G6670" t="s">
        <v>119</v>
      </c>
      <c r="H6670" t="s">
        <v>132</v>
      </c>
      <c r="I6670" t="s">
        <v>2117</v>
      </c>
    </row>
    <row r="6671" spans="1:9" x14ac:dyDescent="0.35">
      <c r="A6671">
        <v>1602000</v>
      </c>
      <c r="B6671" t="s">
        <v>2053</v>
      </c>
      <c r="C6671" s="1">
        <v>45797</v>
      </c>
      <c r="D6671">
        <v>344</v>
      </c>
      <c r="E6671" t="b">
        <v>0</v>
      </c>
      <c r="F6671">
        <v>955</v>
      </c>
      <c r="G6671" t="s">
        <v>119</v>
      </c>
      <c r="H6671" t="s">
        <v>124</v>
      </c>
      <c r="I6671" t="s">
        <v>2116</v>
      </c>
    </row>
    <row r="6672" spans="1:9" x14ac:dyDescent="0.35">
      <c r="A6672">
        <v>1602000</v>
      </c>
      <c r="B6672" t="s">
        <v>2053</v>
      </c>
      <c r="C6672" s="1">
        <v>45797</v>
      </c>
      <c r="D6672">
        <v>344</v>
      </c>
      <c r="E6672" t="b">
        <v>0</v>
      </c>
      <c r="F6672">
        <v>955</v>
      </c>
      <c r="G6672" t="s">
        <v>119</v>
      </c>
      <c r="H6672" t="s">
        <v>1510</v>
      </c>
      <c r="I6672" t="s">
        <v>2117</v>
      </c>
    </row>
    <row r="6673" spans="1:9" x14ac:dyDescent="0.35">
      <c r="A6673">
        <v>2254890</v>
      </c>
      <c r="B6673" t="s">
        <v>2055</v>
      </c>
      <c r="C6673" s="1">
        <v>45570</v>
      </c>
      <c r="D6673">
        <v>343</v>
      </c>
      <c r="E6673" t="b">
        <v>0</v>
      </c>
      <c r="F6673">
        <v>956</v>
      </c>
      <c r="G6673" t="s">
        <v>119</v>
      </c>
      <c r="H6673" t="s">
        <v>49</v>
      </c>
      <c r="I6673" t="s">
        <v>2116</v>
      </c>
    </row>
    <row r="6674" spans="1:9" x14ac:dyDescent="0.35">
      <c r="A6674">
        <v>2254890</v>
      </c>
      <c r="B6674" t="s">
        <v>2055</v>
      </c>
      <c r="C6674" s="1">
        <v>45570</v>
      </c>
      <c r="D6674">
        <v>343</v>
      </c>
      <c r="E6674" t="b">
        <v>0</v>
      </c>
      <c r="F6674">
        <v>956</v>
      </c>
      <c r="G6674" t="s">
        <v>119</v>
      </c>
      <c r="H6674" t="s">
        <v>792</v>
      </c>
      <c r="I6674" t="s">
        <v>2116</v>
      </c>
    </row>
    <row r="6675" spans="1:9" x14ac:dyDescent="0.35">
      <c r="A6675">
        <v>2254890</v>
      </c>
      <c r="B6675" t="s">
        <v>2055</v>
      </c>
      <c r="C6675" s="1">
        <v>45570</v>
      </c>
      <c r="D6675">
        <v>343</v>
      </c>
      <c r="E6675" t="b">
        <v>0</v>
      </c>
      <c r="F6675">
        <v>956</v>
      </c>
      <c r="G6675" t="s">
        <v>119</v>
      </c>
      <c r="H6675" t="s">
        <v>346</v>
      </c>
      <c r="I6675" t="s">
        <v>2116</v>
      </c>
    </row>
    <row r="6676" spans="1:9" x14ac:dyDescent="0.35">
      <c r="A6676">
        <v>2254890</v>
      </c>
      <c r="B6676" t="s">
        <v>2055</v>
      </c>
      <c r="C6676" s="1">
        <v>45570</v>
      </c>
      <c r="D6676">
        <v>343</v>
      </c>
      <c r="E6676" t="b">
        <v>0</v>
      </c>
      <c r="F6676">
        <v>956</v>
      </c>
      <c r="G6676" t="s">
        <v>119</v>
      </c>
      <c r="H6676" t="s">
        <v>239</v>
      </c>
      <c r="I6676" t="s">
        <v>2117</v>
      </c>
    </row>
    <row r="6677" spans="1:9" x14ac:dyDescent="0.35">
      <c r="A6677">
        <v>2254890</v>
      </c>
      <c r="B6677" t="s">
        <v>2055</v>
      </c>
      <c r="C6677" s="1">
        <v>45570</v>
      </c>
      <c r="D6677">
        <v>343</v>
      </c>
      <c r="E6677" t="b">
        <v>0</v>
      </c>
      <c r="F6677">
        <v>956</v>
      </c>
      <c r="G6677" t="s">
        <v>119</v>
      </c>
      <c r="H6677" t="s">
        <v>132</v>
      </c>
      <c r="I6677" t="s">
        <v>2116</v>
      </c>
    </row>
    <row r="6678" spans="1:9" x14ac:dyDescent="0.35">
      <c r="A6678">
        <v>2254890</v>
      </c>
      <c r="B6678" t="s">
        <v>2055</v>
      </c>
      <c r="C6678" s="1">
        <v>45570</v>
      </c>
      <c r="D6678">
        <v>343</v>
      </c>
      <c r="E6678" t="b">
        <v>0</v>
      </c>
      <c r="F6678">
        <v>956</v>
      </c>
      <c r="G6678" t="s">
        <v>119</v>
      </c>
      <c r="H6678" t="s">
        <v>124</v>
      </c>
      <c r="I6678" t="s">
        <v>2117</v>
      </c>
    </row>
    <row r="6679" spans="1:9" x14ac:dyDescent="0.35">
      <c r="A6679">
        <v>2254890</v>
      </c>
      <c r="B6679" t="s">
        <v>2055</v>
      </c>
      <c r="C6679" s="1">
        <v>45570</v>
      </c>
      <c r="D6679">
        <v>343</v>
      </c>
      <c r="E6679" t="b">
        <v>0</v>
      </c>
      <c r="F6679">
        <v>956</v>
      </c>
      <c r="G6679" t="s">
        <v>119</v>
      </c>
      <c r="H6679" t="s">
        <v>1510</v>
      </c>
      <c r="I6679" t="s">
        <v>2117</v>
      </c>
    </row>
    <row r="6680" spans="1:9" x14ac:dyDescent="0.35">
      <c r="A6680">
        <v>502500</v>
      </c>
      <c r="B6680" t="s">
        <v>2056</v>
      </c>
      <c r="C6680" s="1">
        <v>43496</v>
      </c>
      <c r="D6680">
        <v>340</v>
      </c>
      <c r="E6680" t="b">
        <v>0</v>
      </c>
      <c r="F6680">
        <v>957</v>
      </c>
      <c r="G6680" t="s">
        <v>53</v>
      </c>
      <c r="H6680" t="s">
        <v>49</v>
      </c>
      <c r="I6680" t="s">
        <v>2116</v>
      </c>
    </row>
    <row r="6681" spans="1:9" x14ac:dyDescent="0.35">
      <c r="A6681">
        <v>502500</v>
      </c>
      <c r="B6681" t="s">
        <v>2056</v>
      </c>
      <c r="C6681" s="1">
        <v>43496</v>
      </c>
      <c r="D6681">
        <v>340</v>
      </c>
      <c r="E6681" t="b">
        <v>0</v>
      </c>
      <c r="F6681">
        <v>957</v>
      </c>
      <c r="G6681" t="s">
        <v>53</v>
      </c>
      <c r="H6681" t="s">
        <v>792</v>
      </c>
      <c r="I6681" t="s">
        <v>2117</v>
      </c>
    </row>
    <row r="6682" spans="1:9" x14ac:dyDescent="0.35">
      <c r="A6682">
        <v>502500</v>
      </c>
      <c r="B6682" t="s">
        <v>2056</v>
      </c>
      <c r="C6682" s="1">
        <v>43496</v>
      </c>
      <c r="D6682">
        <v>340</v>
      </c>
      <c r="E6682" t="b">
        <v>0</v>
      </c>
      <c r="F6682">
        <v>957</v>
      </c>
      <c r="G6682" t="s">
        <v>53</v>
      </c>
      <c r="H6682" t="s">
        <v>346</v>
      </c>
      <c r="I6682" t="s">
        <v>2117</v>
      </c>
    </row>
    <row r="6683" spans="1:9" x14ac:dyDescent="0.35">
      <c r="A6683">
        <v>502500</v>
      </c>
      <c r="B6683" t="s">
        <v>2056</v>
      </c>
      <c r="C6683" s="1">
        <v>43496</v>
      </c>
      <c r="D6683">
        <v>340</v>
      </c>
      <c r="E6683" t="b">
        <v>0</v>
      </c>
      <c r="F6683">
        <v>957</v>
      </c>
      <c r="G6683" t="s">
        <v>53</v>
      </c>
      <c r="H6683" t="s">
        <v>239</v>
      </c>
      <c r="I6683" t="s">
        <v>2116</v>
      </c>
    </row>
    <row r="6684" spans="1:9" x14ac:dyDescent="0.35">
      <c r="A6684">
        <v>502500</v>
      </c>
      <c r="B6684" t="s">
        <v>2056</v>
      </c>
      <c r="C6684" s="1">
        <v>43496</v>
      </c>
      <c r="D6684">
        <v>340</v>
      </c>
      <c r="E6684" t="b">
        <v>0</v>
      </c>
      <c r="F6684">
        <v>957</v>
      </c>
      <c r="G6684" t="s">
        <v>53</v>
      </c>
      <c r="H6684" t="s">
        <v>132</v>
      </c>
      <c r="I6684" t="s">
        <v>2117</v>
      </c>
    </row>
    <row r="6685" spans="1:9" x14ac:dyDescent="0.35">
      <c r="A6685">
        <v>502500</v>
      </c>
      <c r="B6685" t="s">
        <v>2056</v>
      </c>
      <c r="C6685" s="1">
        <v>43496</v>
      </c>
      <c r="D6685">
        <v>340</v>
      </c>
      <c r="E6685" t="b">
        <v>0</v>
      </c>
      <c r="F6685">
        <v>957</v>
      </c>
      <c r="G6685" t="s">
        <v>53</v>
      </c>
      <c r="H6685" t="s">
        <v>124</v>
      </c>
      <c r="I6685" t="s">
        <v>2117</v>
      </c>
    </row>
    <row r="6686" spans="1:9" x14ac:dyDescent="0.35">
      <c r="A6686">
        <v>502500</v>
      </c>
      <c r="B6686" t="s">
        <v>2056</v>
      </c>
      <c r="C6686" s="1">
        <v>43496</v>
      </c>
      <c r="D6686">
        <v>340</v>
      </c>
      <c r="E6686" t="b">
        <v>0</v>
      </c>
      <c r="F6686">
        <v>957</v>
      </c>
      <c r="G6686" t="s">
        <v>53</v>
      </c>
      <c r="H6686" t="s">
        <v>1510</v>
      </c>
      <c r="I6686" t="s">
        <v>2117</v>
      </c>
    </row>
    <row r="6687" spans="1:9" x14ac:dyDescent="0.35">
      <c r="A6687">
        <v>2186320</v>
      </c>
      <c r="B6687" t="s">
        <v>2058</v>
      </c>
      <c r="C6687" s="1">
        <v>44974</v>
      </c>
      <c r="D6687">
        <v>340</v>
      </c>
      <c r="E6687" t="b">
        <v>1</v>
      </c>
      <c r="F6687">
        <v>957</v>
      </c>
      <c r="G6687" t="s">
        <v>408</v>
      </c>
      <c r="H6687" t="s">
        <v>49</v>
      </c>
      <c r="I6687" t="s">
        <v>2117</v>
      </c>
    </row>
    <row r="6688" spans="1:9" x14ac:dyDescent="0.35">
      <c r="A6688">
        <v>2186320</v>
      </c>
      <c r="B6688" t="s">
        <v>2058</v>
      </c>
      <c r="C6688" s="1">
        <v>44974</v>
      </c>
      <c r="D6688">
        <v>340</v>
      </c>
      <c r="E6688" t="b">
        <v>1</v>
      </c>
      <c r="F6688">
        <v>957</v>
      </c>
      <c r="G6688" t="s">
        <v>408</v>
      </c>
      <c r="H6688" t="s">
        <v>792</v>
      </c>
      <c r="I6688" t="s">
        <v>2116</v>
      </c>
    </row>
    <row r="6689" spans="1:9" x14ac:dyDescent="0.35">
      <c r="A6689">
        <v>2186320</v>
      </c>
      <c r="B6689" t="s">
        <v>2058</v>
      </c>
      <c r="C6689" s="1">
        <v>44974</v>
      </c>
      <c r="D6689">
        <v>340</v>
      </c>
      <c r="E6689" t="b">
        <v>1</v>
      </c>
      <c r="F6689">
        <v>957</v>
      </c>
      <c r="G6689" t="s">
        <v>408</v>
      </c>
      <c r="H6689" t="s">
        <v>346</v>
      </c>
      <c r="I6689" t="s">
        <v>2117</v>
      </c>
    </row>
    <row r="6690" spans="1:9" x14ac:dyDescent="0.35">
      <c r="A6690">
        <v>2186320</v>
      </c>
      <c r="B6690" t="s">
        <v>2058</v>
      </c>
      <c r="C6690" s="1">
        <v>44974</v>
      </c>
      <c r="D6690">
        <v>340</v>
      </c>
      <c r="E6690" t="b">
        <v>1</v>
      </c>
      <c r="F6690">
        <v>957</v>
      </c>
      <c r="G6690" t="s">
        <v>408</v>
      </c>
      <c r="H6690" t="s">
        <v>239</v>
      </c>
      <c r="I6690" t="s">
        <v>2116</v>
      </c>
    </row>
    <row r="6691" spans="1:9" x14ac:dyDescent="0.35">
      <c r="A6691">
        <v>2186320</v>
      </c>
      <c r="B6691" t="s">
        <v>2058</v>
      </c>
      <c r="C6691" s="1">
        <v>44974</v>
      </c>
      <c r="D6691">
        <v>340</v>
      </c>
      <c r="E6691" t="b">
        <v>1</v>
      </c>
      <c r="F6691">
        <v>957</v>
      </c>
      <c r="G6691" t="s">
        <v>408</v>
      </c>
      <c r="H6691" t="s">
        <v>132</v>
      </c>
      <c r="I6691" t="s">
        <v>2117</v>
      </c>
    </row>
    <row r="6692" spans="1:9" x14ac:dyDescent="0.35">
      <c r="A6692">
        <v>2186320</v>
      </c>
      <c r="B6692" t="s">
        <v>2058</v>
      </c>
      <c r="C6692" s="1">
        <v>44974</v>
      </c>
      <c r="D6692">
        <v>340</v>
      </c>
      <c r="E6692" t="b">
        <v>1</v>
      </c>
      <c r="F6692">
        <v>957</v>
      </c>
      <c r="G6692" t="s">
        <v>408</v>
      </c>
      <c r="H6692" t="s">
        <v>124</v>
      </c>
      <c r="I6692" t="s">
        <v>2117</v>
      </c>
    </row>
    <row r="6693" spans="1:9" x14ac:dyDescent="0.35">
      <c r="A6693">
        <v>2186320</v>
      </c>
      <c r="B6693" t="s">
        <v>2058</v>
      </c>
      <c r="C6693" s="1">
        <v>44974</v>
      </c>
      <c r="D6693">
        <v>340</v>
      </c>
      <c r="E6693" t="b">
        <v>1</v>
      </c>
      <c r="F6693">
        <v>957</v>
      </c>
      <c r="G6693" t="s">
        <v>408</v>
      </c>
      <c r="H6693" t="s">
        <v>1510</v>
      </c>
      <c r="I6693" t="s">
        <v>2117</v>
      </c>
    </row>
    <row r="6694" spans="1:9" x14ac:dyDescent="0.35">
      <c r="A6694">
        <v>637650</v>
      </c>
      <c r="B6694" t="s">
        <v>2060</v>
      </c>
      <c r="C6694" s="1">
        <v>43165</v>
      </c>
      <c r="D6694">
        <v>339</v>
      </c>
      <c r="E6694" t="b">
        <v>0</v>
      </c>
      <c r="F6694">
        <v>959</v>
      </c>
      <c r="G6694" t="s">
        <v>53</v>
      </c>
      <c r="H6694" t="s">
        <v>49</v>
      </c>
      <c r="I6694" t="s">
        <v>2117</v>
      </c>
    </row>
    <row r="6695" spans="1:9" x14ac:dyDescent="0.35">
      <c r="A6695">
        <v>637650</v>
      </c>
      <c r="B6695" t="s">
        <v>2060</v>
      </c>
      <c r="C6695" s="1">
        <v>43165</v>
      </c>
      <c r="D6695">
        <v>339</v>
      </c>
      <c r="E6695" t="b">
        <v>0</v>
      </c>
      <c r="F6695">
        <v>959</v>
      </c>
      <c r="G6695" t="s">
        <v>53</v>
      </c>
      <c r="H6695" t="s">
        <v>792</v>
      </c>
      <c r="I6695" t="s">
        <v>2117</v>
      </c>
    </row>
    <row r="6696" spans="1:9" x14ac:dyDescent="0.35">
      <c r="A6696">
        <v>637650</v>
      </c>
      <c r="B6696" t="s">
        <v>2060</v>
      </c>
      <c r="C6696" s="1">
        <v>43165</v>
      </c>
      <c r="D6696">
        <v>339</v>
      </c>
      <c r="E6696" t="b">
        <v>0</v>
      </c>
      <c r="F6696">
        <v>959</v>
      </c>
      <c r="G6696" t="s">
        <v>53</v>
      </c>
      <c r="H6696" t="s">
        <v>346</v>
      </c>
      <c r="I6696" t="s">
        <v>2117</v>
      </c>
    </row>
    <row r="6697" spans="1:9" x14ac:dyDescent="0.35">
      <c r="A6697">
        <v>637650</v>
      </c>
      <c r="B6697" t="s">
        <v>2060</v>
      </c>
      <c r="C6697" s="1">
        <v>43165</v>
      </c>
      <c r="D6697">
        <v>339</v>
      </c>
      <c r="E6697" t="b">
        <v>0</v>
      </c>
      <c r="F6697">
        <v>959</v>
      </c>
      <c r="G6697" t="s">
        <v>53</v>
      </c>
      <c r="H6697" t="s">
        <v>239</v>
      </c>
      <c r="I6697" t="s">
        <v>2117</v>
      </c>
    </row>
    <row r="6698" spans="1:9" x14ac:dyDescent="0.35">
      <c r="A6698">
        <v>637650</v>
      </c>
      <c r="B6698" t="s">
        <v>2060</v>
      </c>
      <c r="C6698" s="1">
        <v>43165</v>
      </c>
      <c r="D6698">
        <v>339</v>
      </c>
      <c r="E6698" t="b">
        <v>0</v>
      </c>
      <c r="F6698">
        <v>959</v>
      </c>
      <c r="G6698" t="s">
        <v>53</v>
      </c>
      <c r="H6698" t="s">
        <v>132</v>
      </c>
      <c r="I6698" t="s">
        <v>2116</v>
      </c>
    </row>
    <row r="6699" spans="1:9" x14ac:dyDescent="0.35">
      <c r="A6699">
        <v>637650</v>
      </c>
      <c r="B6699" t="s">
        <v>2060</v>
      </c>
      <c r="C6699" s="1">
        <v>43165</v>
      </c>
      <c r="D6699">
        <v>339</v>
      </c>
      <c r="E6699" t="b">
        <v>0</v>
      </c>
      <c r="F6699">
        <v>959</v>
      </c>
      <c r="G6699" t="s">
        <v>53</v>
      </c>
      <c r="H6699" t="s">
        <v>124</v>
      </c>
      <c r="I6699" t="s">
        <v>2117</v>
      </c>
    </row>
    <row r="6700" spans="1:9" x14ac:dyDescent="0.35">
      <c r="A6700">
        <v>637650</v>
      </c>
      <c r="B6700" t="s">
        <v>2060</v>
      </c>
      <c r="C6700" s="1">
        <v>43165</v>
      </c>
      <c r="D6700">
        <v>339</v>
      </c>
      <c r="E6700" t="b">
        <v>0</v>
      </c>
      <c r="F6700">
        <v>959</v>
      </c>
      <c r="G6700" t="s">
        <v>53</v>
      </c>
      <c r="H6700" t="s">
        <v>1510</v>
      </c>
      <c r="I6700" t="s">
        <v>2117</v>
      </c>
    </row>
    <row r="6701" spans="1:9" x14ac:dyDescent="0.35">
      <c r="A6701">
        <v>768200</v>
      </c>
      <c r="B6701" t="s">
        <v>2062</v>
      </c>
      <c r="C6701" s="1">
        <v>45337</v>
      </c>
      <c r="D6701">
        <v>338</v>
      </c>
      <c r="E6701" t="b">
        <v>0</v>
      </c>
      <c r="F6701">
        <v>960</v>
      </c>
      <c r="G6701" t="s">
        <v>119</v>
      </c>
      <c r="H6701" t="s">
        <v>49</v>
      </c>
      <c r="I6701" t="s">
        <v>2116</v>
      </c>
    </row>
    <row r="6702" spans="1:9" x14ac:dyDescent="0.35">
      <c r="A6702">
        <v>768200</v>
      </c>
      <c r="B6702" t="s">
        <v>2062</v>
      </c>
      <c r="C6702" s="1">
        <v>45337</v>
      </c>
      <c r="D6702">
        <v>338</v>
      </c>
      <c r="E6702" t="b">
        <v>0</v>
      </c>
      <c r="F6702">
        <v>960</v>
      </c>
      <c r="G6702" t="s">
        <v>119</v>
      </c>
      <c r="H6702" t="s">
        <v>792</v>
      </c>
      <c r="I6702" t="s">
        <v>2116</v>
      </c>
    </row>
    <row r="6703" spans="1:9" x14ac:dyDescent="0.35">
      <c r="A6703">
        <v>768200</v>
      </c>
      <c r="B6703" t="s">
        <v>2062</v>
      </c>
      <c r="C6703" s="1">
        <v>45337</v>
      </c>
      <c r="D6703">
        <v>338</v>
      </c>
      <c r="E6703" t="b">
        <v>0</v>
      </c>
      <c r="F6703">
        <v>960</v>
      </c>
      <c r="G6703" t="s">
        <v>119</v>
      </c>
      <c r="H6703" t="s">
        <v>346</v>
      </c>
      <c r="I6703" t="s">
        <v>2116</v>
      </c>
    </row>
    <row r="6704" spans="1:9" x14ac:dyDescent="0.35">
      <c r="A6704">
        <v>768200</v>
      </c>
      <c r="B6704" t="s">
        <v>2062</v>
      </c>
      <c r="C6704" s="1">
        <v>45337</v>
      </c>
      <c r="D6704">
        <v>338</v>
      </c>
      <c r="E6704" t="b">
        <v>0</v>
      </c>
      <c r="F6704">
        <v>960</v>
      </c>
      <c r="G6704" t="s">
        <v>119</v>
      </c>
      <c r="H6704" t="s">
        <v>239</v>
      </c>
      <c r="I6704" t="s">
        <v>2117</v>
      </c>
    </row>
    <row r="6705" spans="1:9" x14ac:dyDescent="0.35">
      <c r="A6705">
        <v>768200</v>
      </c>
      <c r="B6705" t="s">
        <v>2062</v>
      </c>
      <c r="C6705" s="1">
        <v>45337</v>
      </c>
      <c r="D6705">
        <v>338</v>
      </c>
      <c r="E6705" t="b">
        <v>0</v>
      </c>
      <c r="F6705">
        <v>960</v>
      </c>
      <c r="G6705" t="s">
        <v>119</v>
      </c>
      <c r="H6705" t="s">
        <v>132</v>
      </c>
      <c r="I6705" t="s">
        <v>2116</v>
      </c>
    </row>
    <row r="6706" spans="1:9" x14ac:dyDescent="0.35">
      <c r="A6706">
        <v>768200</v>
      </c>
      <c r="B6706" t="s">
        <v>2062</v>
      </c>
      <c r="C6706" s="1">
        <v>45337</v>
      </c>
      <c r="D6706">
        <v>338</v>
      </c>
      <c r="E6706" t="b">
        <v>0</v>
      </c>
      <c r="F6706">
        <v>960</v>
      </c>
      <c r="G6706" t="s">
        <v>119</v>
      </c>
      <c r="H6706" t="s">
        <v>124</v>
      </c>
      <c r="I6706" t="s">
        <v>2117</v>
      </c>
    </row>
    <row r="6707" spans="1:9" x14ac:dyDescent="0.35">
      <c r="A6707">
        <v>768200</v>
      </c>
      <c r="B6707" t="s">
        <v>2062</v>
      </c>
      <c r="C6707" s="1">
        <v>45337</v>
      </c>
      <c r="D6707">
        <v>338</v>
      </c>
      <c r="E6707" t="b">
        <v>0</v>
      </c>
      <c r="F6707">
        <v>960</v>
      </c>
      <c r="G6707" t="s">
        <v>119</v>
      </c>
      <c r="H6707" t="s">
        <v>1510</v>
      </c>
      <c r="I6707" t="s">
        <v>2117</v>
      </c>
    </row>
    <row r="6708" spans="1:9" x14ac:dyDescent="0.35">
      <c r="A6708">
        <v>1433140</v>
      </c>
      <c r="B6708" t="s">
        <v>2063</v>
      </c>
      <c r="C6708" s="1">
        <v>45156</v>
      </c>
      <c r="D6708">
        <v>336</v>
      </c>
      <c r="E6708" t="b">
        <v>0</v>
      </c>
      <c r="F6708">
        <v>961</v>
      </c>
      <c r="G6708" t="s">
        <v>405</v>
      </c>
      <c r="H6708" t="s">
        <v>49</v>
      </c>
      <c r="I6708" t="s">
        <v>2116</v>
      </c>
    </row>
    <row r="6709" spans="1:9" x14ac:dyDescent="0.35">
      <c r="A6709">
        <v>1433140</v>
      </c>
      <c r="B6709" t="s">
        <v>2063</v>
      </c>
      <c r="C6709" s="1">
        <v>45156</v>
      </c>
      <c r="D6709">
        <v>336</v>
      </c>
      <c r="E6709" t="b">
        <v>0</v>
      </c>
      <c r="F6709">
        <v>961</v>
      </c>
      <c r="G6709" t="s">
        <v>405</v>
      </c>
      <c r="H6709" t="s">
        <v>792</v>
      </c>
      <c r="I6709" t="s">
        <v>2116</v>
      </c>
    </row>
    <row r="6710" spans="1:9" x14ac:dyDescent="0.35">
      <c r="A6710">
        <v>1433140</v>
      </c>
      <c r="B6710" t="s">
        <v>2063</v>
      </c>
      <c r="C6710" s="1">
        <v>45156</v>
      </c>
      <c r="D6710">
        <v>336</v>
      </c>
      <c r="E6710" t="b">
        <v>0</v>
      </c>
      <c r="F6710">
        <v>961</v>
      </c>
      <c r="G6710" t="s">
        <v>405</v>
      </c>
      <c r="H6710" t="s">
        <v>346</v>
      </c>
      <c r="I6710" t="s">
        <v>2117</v>
      </c>
    </row>
    <row r="6711" spans="1:9" x14ac:dyDescent="0.35">
      <c r="A6711">
        <v>1433140</v>
      </c>
      <c r="B6711" t="s">
        <v>2063</v>
      </c>
      <c r="C6711" s="1">
        <v>45156</v>
      </c>
      <c r="D6711">
        <v>336</v>
      </c>
      <c r="E6711" t="b">
        <v>0</v>
      </c>
      <c r="F6711">
        <v>961</v>
      </c>
      <c r="G6711" t="s">
        <v>405</v>
      </c>
      <c r="H6711" t="s">
        <v>239</v>
      </c>
      <c r="I6711" t="s">
        <v>2117</v>
      </c>
    </row>
    <row r="6712" spans="1:9" x14ac:dyDescent="0.35">
      <c r="A6712">
        <v>1433140</v>
      </c>
      <c r="B6712" t="s">
        <v>2063</v>
      </c>
      <c r="C6712" s="1">
        <v>45156</v>
      </c>
      <c r="D6712">
        <v>336</v>
      </c>
      <c r="E6712" t="b">
        <v>0</v>
      </c>
      <c r="F6712">
        <v>961</v>
      </c>
      <c r="G6712" t="s">
        <v>405</v>
      </c>
      <c r="H6712" t="s">
        <v>132</v>
      </c>
      <c r="I6712" t="s">
        <v>2117</v>
      </c>
    </row>
    <row r="6713" spans="1:9" x14ac:dyDescent="0.35">
      <c r="A6713">
        <v>1433140</v>
      </c>
      <c r="B6713" t="s">
        <v>2063</v>
      </c>
      <c r="C6713" s="1">
        <v>45156</v>
      </c>
      <c r="D6713">
        <v>336</v>
      </c>
      <c r="E6713" t="b">
        <v>0</v>
      </c>
      <c r="F6713">
        <v>961</v>
      </c>
      <c r="G6713" t="s">
        <v>405</v>
      </c>
      <c r="H6713" t="s">
        <v>124</v>
      </c>
      <c r="I6713" t="s">
        <v>2117</v>
      </c>
    </row>
    <row r="6714" spans="1:9" x14ac:dyDescent="0.35">
      <c r="A6714">
        <v>1433140</v>
      </c>
      <c r="B6714" t="s">
        <v>2063</v>
      </c>
      <c r="C6714" s="1">
        <v>45156</v>
      </c>
      <c r="D6714">
        <v>336</v>
      </c>
      <c r="E6714" t="b">
        <v>0</v>
      </c>
      <c r="F6714">
        <v>961</v>
      </c>
      <c r="G6714" t="s">
        <v>405</v>
      </c>
      <c r="H6714" t="s">
        <v>1510</v>
      </c>
      <c r="I6714" t="s">
        <v>2117</v>
      </c>
    </row>
    <row r="6715" spans="1:9" x14ac:dyDescent="0.35">
      <c r="A6715">
        <v>32440</v>
      </c>
      <c r="B6715" t="s">
        <v>2064</v>
      </c>
      <c r="C6715" s="1">
        <v>40129</v>
      </c>
      <c r="D6715">
        <v>334</v>
      </c>
      <c r="E6715" t="b">
        <v>0</v>
      </c>
      <c r="F6715">
        <v>962</v>
      </c>
      <c r="G6715" t="s">
        <v>2084</v>
      </c>
      <c r="H6715" t="s">
        <v>49</v>
      </c>
      <c r="I6715" t="s">
        <v>2117</v>
      </c>
    </row>
    <row r="6716" spans="1:9" x14ac:dyDescent="0.35">
      <c r="A6716">
        <v>32440</v>
      </c>
      <c r="B6716" t="s">
        <v>2064</v>
      </c>
      <c r="C6716" s="1">
        <v>40129</v>
      </c>
      <c r="D6716">
        <v>334</v>
      </c>
      <c r="E6716" t="b">
        <v>0</v>
      </c>
      <c r="F6716">
        <v>962</v>
      </c>
      <c r="G6716" t="s">
        <v>2084</v>
      </c>
      <c r="H6716" t="s">
        <v>792</v>
      </c>
      <c r="I6716" t="s">
        <v>2117</v>
      </c>
    </row>
    <row r="6717" spans="1:9" x14ac:dyDescent="0.35">
      <c r="A6717">
        <v>32440</v>
      </c>
      <c r="B6717" t="s">
        <v>2064</v>
      </c>
      <c r="C6717" s="1">
        <v>40129</v>
      </c>
      <c r="D6717">
        <v>334</v>
      </c>
      <c r="E6717" t="b">
        <v>0</v>
      </c>
      <c r="F6717">
        <v>962</v>
      </c>
      <c r="G6717" t="s">
        <v>2084</v>
      </c>
      <c r="H6717" t="s">
        <v>346</v>
      </c>
      <c r="I6717" t="s">
        <v>2116</v>
      </c>
    </row>
    <row r="6718" spans="1:9" x14ac:dyDescent="0.35">
      <c r="A6718">
        <v>32440</v>
      </c>
      <c r="B6718" t="s">
        <v>2064</v>
      </c>
      <c r="C6718" s="1">
        <v>40129</v>
      </c>
      <c r="D6718">
        <v>334</v>
      </c>
      <c r="E6718" t="b">
        <v>0</v>
      </c>
      <c r="F6718">
        <v>962</v>
      </c>
      <c r="G6718" t="s">
        <v>2084</v>
      </c>
      <c r="H6718" t="s">
        <v>239</v>
      </c>
      <c r="I6718" t="s">
        <v>2117</v>
      </c>
    </row>
    <row r="6719" spans="1:9" x14ac:dyDescent="0.35">
      <c r="A6719">
        <v>32440</v>
      </c>
      <c r="B6719" t="s">
        <v>2064</v>
      </c>
      <c r="C6719" s="1">
        <v>40129</v>
      </c>
      <c r="D6719">
        <v>334</v>
      </c>
      <c r="E6719" t="b">
        <v>0</v>
      </c>
      <c r="F6719">
        <v>962</v>
      </c>
      <c r="G6719" t="s">
        <v>2084</v>
      </c>
      <c r="H6719" t="s">
        <v>132</v>
      </c>
      <c r="I6719" t="s">
        <v>2117</v>
      </c>
    </row>
    <row r="6720" spans="1:9" x14ac:dyDescent="0.35">
      <c r="A6720">
        <v>32440</v>
      </c>
      <c r="B6720" t="s">
        <v>2064</v>
      </c>
      <c r="C6720" s="1">
        <v>40129</v>
      </c>
      <c r="D6720">
        <v>334</v>
      </c>
      <c r="E6720" t="b">
        <v>0</v>
      </c>
      <c r="F6720">
        <v>962</v>
      </c>
      <c r="G6720" t="s">
        <v>2084</v>
      </c>
      <c r="H6720" t="s">
        <v>124</v>
      </c>
      <c r="I6720" t="s">
        <v>2117</v>
      </c>
    </row>
    <row r="6721" spans="1:9" x14ac:dyDescent="0.35">
      <c r="A6721">
        <v>32440</v>
      </c>
      <c r="B6721" t="s">
        <v>2064</v>
      </c>
      <c r="C6721" s="1">
        <v>40129</v>
      </c>
      <c r="D6721">
        <v>334</v>
      </c>
      <c r="E6721" t="b">
        <v>0</v>
      </c>
      <c r="F6721">
        <v>962</v>
      </c>
      <c r="G6721" t="s">
        <v>2084</v>
      </c>
      <c r="H6721" t="s">
        <v>1510</v>
      </c>
      <c r="I6721" t="s">
        <v>2117</v>
      </c>
    </row>
    <row r="6722" spans="1:9" x14ac:dyDescent="0.35">
      <c r="A6722">
        <v>1245560</v>
      </c>
      <c r="B6722" t="s">
        <v>2066</v>
      </c>
      <c r="C6722" s="1">
        <v>45041</v>
      </c>
      <c r="D6722">
        <v>334</v>
      </c>
      <c r="E6722" t="b">
        <v>1</v>
      </c>
      <c r="F6722">
        <v>962</v>
      </c>
      <c r="G6722" t="s">
        <v>14</v>
      </c>
      <c r="H6722" t="s">
        <v>49</v>
      </c>
      <c r="I6722" t="s">
        <v>2117</v>
      </c>
    </row>
    <row r="6723" spans="1:9" x14ac:dyDescent="0.35">
      <c r="A6723">
        <v>1245560</v>
      </c>
      <c r="B6723" t="s">
        <v>2066</v>
      </c>
      <c r="C6723" s="1">
        <v>45041</v>
      </c>
      <c r="D6723">
        <v>334</v>
      </c>
      <c r="E6723" t="b">
        <v>1</v>
      </c>
      <c r="F6723">
        <v>962</v>
      </c>
      <c r="G6723" t="s">
        <v>14</v>
      </c>
      <c r="H6723" t="s">
        <v>792</v>
      </c>
      <c r="I6723" t="s">
        <v>2116</v>
      </c>
    </row>
    <row r="6724" spans="1:9" x14ac:dyDescent="0.35">
      <c r="A6724">
        <v>1245560</v>
      </c>
      <c r="B6724" t="s">
        <v>2066</v>
      </c>
      <c r="C6724" s="1">
        <v>45041</v>
      </c>
      <c r="D6724">
        <v>334</v>
      </c>
      <c r="E6724" t="b">
        <v>1</v>
      </c>
      <c r="F6724">
        <v>962</v>
      </c>
      <c r="G6724" t="s">
        <v>14</v>
      </c>
      <c r="H6724" t="s">
        <v>346</v>
      </c>
      <c r="I6724" t="s">
        <v>2117</v>
      </c>
    </row>
    <row r="6725" spans="1:9" x14ac:dyDescent="0.35">
      <c r="A6725">
        <v>1245560</v>
      </c>
      <c r="B6725" t="s">
        <v>2066</v>
      </c>
      <c r="C6725" s="1">
        <v>45041</v>
      </c>
      <c r="D6725">
        <v>334</v>
      </c>
      <c r="E6725" t="b">
        <v>1</v>
      </c>
      <c r="F6725">
        <v>962</v>
      </c>
      <c r="G6725" t="s">
        <v>14</v>
      </c>
      <c r="H6725" t="s">
        <v>239</v>
      </c>
      <c r="I6725" t="s">
        <v>2116</v>
      </c>
    </row>
    <row r="6726" spans="1:9" x14ac:dyDescent="0.35">
      <c r="A6726">
        <v>1245560</v>
      </c>
      <c r="B6726" t="s">
        <v>2066</v>
      </c>
      <c r="C6726" s="1">
        <v>45041</v>
      </c>
      <c r="D6726">
        <v>334</v>
      </c>
      <c r="E6726" t="b">
        <v>1</v>
      </c>
      <c r="F6726">
        <v>962</v>
      </c>
      <c r="G6726" t="s">
        <v>14</v>
      </c>
      <c r="H6726" t="s">
        <v>132</v>
      </c>
      <c r="I6726" t="s">
        <v>2116</v>
      </c>
    </row>
    <row r="6727" spans="1:9" x14ac:dyDescent="0.35">
      <c r="A6727">
        <v>1245560</v>
      </c>
      <c r="B6727" t="s">
        <v>2066</v>
      </c>
      <c r="C6727" s="1">
        <v>45041</v>
      </c>
      <c r="D6727">
        <v>334</v>
      </c>
      <c r="E6727" t="b">
        <v>1</v>
      </c>
      <c r="F6727">
        <v>962</v>
      </c>
      <c r="G6727" t="s">
        <v>14</v>
      </c>
      <c r="H6727" t="s">
        <v>124</v>
      </c>
      <c r="I6727" t="s">
        <v>2117</v>
      </c>
    </row>
    <row r="6728" spans="1:9" x14ac:dyDescent="0.35">
      <c r="A6728">
        <v>1245560</v>
      </c>
      <c r="B6728" t="s">
        <v>2066</v>
      </c>
      <c r="C6728" s="1">
        <v>45041</v>
      </c>
      <c r="D6728">
        <v>334</v>
      </c>
      <c r="E6728" t="b">
        <v>1</v>
      </c>
      <c r="F6728">
        <v>962</v>
      </c>
      <c r="G6728" t="s">
        <v>14</v>
      </c>
      <c r="H6728" t="s">
        <v>1510</v>
      </c>
      <c r="I6728" t="s">
        <v>2117</v>
      </c>
    </row>
    <row r="6729" spans="1:9" x14ac:dyDescent="0.35">
      <c r="A6729">
        <v>979920</v>
      </c>
      <c r="B6729" t="s">
        <v>2068</v>
      </c>
      <c r="C6729" s="1">
        <v>43662</v>
      </c>
      <c r="D6729">
        <v>334</v>
      </c>
      <c r="E6729" t="b">
        <v>1</v>
      </c>
      <c r="F6729">
        <v>962</v>
      </c>
      <c r="G6729" t="s">
        <v>119</v>
      </c>
      <c r="H6729" t="s">
        <v>49</v>
      </c>
      <c r="I6729" t="s">
        <v>2117</v>
      </c>
    </row>
    <row r="6730" spans="1:9" x14ac:dyDescent="0.35">
      <c r="A6730">
        <v>979920</v>
      </c>
      <c r="B6730" t="s">
        <v>2068</v>
      </c>
      <c r="C6730" s="1">
        <v>43662</v>
      </c>
      <c r="D6730">
        <v>334</v>
      </c>
      <c r="E6730" t="b">
        <v>1</v>
      </c>
      <c r="F6730">
        <v>962</v>
      </c>
      <c r="G6730" t="s">
        <v>119</v>
      </c>
      <c r="H6730" t="s">
        <v>792</v>
      </c>
      <c r="I6730" t="s">
        <v>2117</v>
      </c>
    </row>
    <row r="6731" spans="1:9" x14ac:dyDescent="0.35">
      <c r="A6731">
        <v>979920</v>
      </c>
      <c r="B6731" t="s">
        <v>2068</v>
      </c>
      <c r="C6731" s="1">
        <v>43662</v>
      </c>
      <c r="D6731">
        <v>334</v>
      </c>
      <c r="E6731" t="b">
        <v>1</v>
      </c>
      <c r="F6731">
        <v>962</v>
      </c>
      <c r="G6731" t="s">
        <v>119</v>
      </c>
      <c r="H6731" t="s">
        <v>346</v>
      </c>
      <c r="I6731" t="s">
        <v>2117</v>
      </c>
    </row>
    <row r="6732" spans="1:9" x14ac:dyDescent="0.35">
      <c r="A6732">
        <v>979920</v>
      </c>
      <c r="B6732" t="s">
        <v>2068</v>
      </c>
      <c r="C6732" s="1">
        <v>43662</v>
      </c>
      <c r="D6732">
        <v>334</v>
      </c>
      <c r="E6732" t="b">
        <v>1</v>
      </c>
      <c r="F6732">
        <v>962</v>
      </c>
      <c r="G6732" t="s">
        <v>119</v>
      </c>
      <c r="H6732" t="s">
        <v>239</v>
      </c>
      <c r="I6732" t="s">
        <v>2116</v>
      </c>
    </row>
    <row r="6733" spans="1:9" x14ac:dyDescent="0.35">
      <c r="A6733">
        <v>979920</v>
      </c>
      <c r="B6733" t="s">
        <v>2068</v>
      </c>
      <c r="C6733" s="1">
        <v>43662</v>
      </c>
      <c r="D6733">
        <v>334</v>
      </c>
      <c r="E6733" t="b">
        <v>1</v>
      </c>
      <c r="F6733">
        <v>962</v>
      </c>
      <c r="G6733" t="s">
        <v>119</v>
      </c>
      <c r="H6733" t="s">
        <v>132</v>
      </c>
      <c r="I6733" t="s">
        <v>2117</v>
      </c>
    </row>
    <row r="6734" spans="1:9" x14ac:dyDescent="0.35">
      <c r="A6734">
        <v>979920</v>
      </c>
      <c r="B6734" t="s">
        <v>2068</v>
      </c>
      <c r="C6734" s="1">
        <v>43662</v>
      </c>
      <c r="D6734">
        <v>334</v>
      </c>
      <c r="E6734" t="b">
        <v>1</v>
      </c>
      <c r="F6734">
        <v>962</v>
      </c>
      <c r="G6734" t="s">
        <v>119</v>
      </c>
      <c r="H6734" t="s">
        <v>124</v>
      </c>
      <c r="I6734" t="s">
        <v>2116</v>
      </c>
    </row>
    <row r="6735" spans="1:9" x14ac:dyDescent="0.35">
      <c r="A6735">
        <v>979920</v>
      </c>
      <c r="B6735" t="s">
        <v>2068</v>
      </c>
      <c r="C6735" s="1">
        <v>43662</v>
      </c>
      <c r="D6735">
        <v>334</v>
      </c>
      <c r="E6735" t="b">
        <v>1</v>
      </c>
      <c r="F6735">
        <v>962</v>
      </c>
      <c r="G6735" t="s">
        <v>119</v>
      </c>
      <c r="H6735" t="s">
        <v>1510</v>
      </c>
      <c r="I6735" t="s">
        <v>2116</v>
      </c>
    </row>
    <row r="6736" spans="1:9" x14ac:dyDescent="0.35">
      <c r="A6736">
        <v>1128920</v>
      </c>
      <c r="B6736" t="s">
        <v>2071</v>
      </c>
      <c r="C6736" s="1">
        <v>45022</v>
      </c>
      <c r="D6736">
        <v>331</v>
      </c>
      <c r="E6736" t="b">
        <v>1</v>
      </c>
      <c r="F6736">
        <v>965</v>
      </c>
      <c r="G6736" t="s">
        <v>119</v>
      </c>
      <c r="H6736" t="s">
        <v>49</v>
      </c>
      <c r="I6736" t="s">
        <v>2116</v>
      </c>
    </row>
    <row r="6737" spans="1:9" x14ac:dyDescent="0.35">
      <c r="A6737">
        <v>1128920</v>
      </c>
      <c r="B6737" t="s">
        <v>2071</v>
      </c>
      <c r="C6737" s="1">
        <v>45022</v>
      </c>
      <c r="D6737">
        <v>331</v>
      </c>
      <c r="E6737" t="b">
        <v>1</v>
      </c>
      <c r="F6737">
        <v>965</v>
      </c>
      <c r="G6737" t="s">
        <v>119</v>
      </c>
      <c r="H6737" t="s">
        <v>792</v>
      </c>
      <c r="I6737" t="s">
        <v>2117</v>
      </c>
    </row>
    <row r="6738" spans="1:9" x14ac:dyDescent="0.35">
      <c r="A6738">
        <v>1128920</v>
      </c>
      <c r="B6738" t="s">
        <v>2071</v>
      </c>
      <c r="C6738" s="1">
        <v>45022</v>
      </c>
      <c r="D6738">
        <v>331</v>
      </c>
      <c r="E6738" t="b">
        <v>1</v>
      </c>
      <c r="F6738">
        <v>965</v>
      </c>
      <c r="G6738" t="s">
        <v>119</v>
      </c>
      <c r="H6738" t="s">
        <v>346</v>
      </c>
      <c r="I6738" t="s">
        <v>2116</v>
      </c>
    </row>
    <row r="6739" spans="1:9" x14ac:dyDescent="0.35">
      <c r="A6739">
        <v>1128920</v>
      </c>
      <c r="B6739" t="s">
        <v>2071</v>
      </c>
      <c r="C6739" s="1">
        <v>45022</v>
      </c>
      <c r="D6739">
        <v>331</v>
      </c>
      <c r="E6739" t="b">
        <v>1</v>
      </c>
      <c r="F6739">
        <v>965</v>
      </c>
      <c r="G6739" t="s">
        <v>119</v>
      </c>
      <c r="H6739" t="s">
        <v>239</v>
      </c>
      <c r="I6739" t="s">
        <v>2116</v>
      </c>
    </row>
    <row r="6740" spans="1:9" x14ac:dyDescent="0.35">
      <c r="A6740">
        <v>1128920</v>
      </c>
      <c r="B6740" t="s">
        <v>2071</v>
      </c>
      <c r="C6740" s="1">
        <v>45022</v>
      </c>
      <c r="D6740">
        <v>331</v>
      </c>
      <c r="E6740" t="b">
        <v>1</v>
      </c>
      <c r="F6740">
        <v>965</v>
      </c>
      <c r="G6740" t="s">
        <v>119</v>
      </c>
      <c r="H6740" t="s">
        <v>132</v>
      </c>
      <c r="I6740" t="s">
        <v>2116</v>
      </c>
    </row>
    <row r="6741" spans="1:9" x14ac:dyDescent="0.35">
      <c r="A6741">
        <v>1128920</v>
      </c>
      <c r="B6741" t="s">
        <v>2071</v>
      </c>
      <c r="C6741" s="1">
        <v>45022</v>
      </c>
      <c r="D6741">
        <v>331</v>
      </c>
      <c r="E6741" t="b">
        <v>1</v>
      </c>
      <c r="F6741">
        <v>965</v>
      </c>
      <c r="G6741" t="s">
        <v>119</v>
      </c>
      <c r="H6741" t="s">
        <v>124</v>
      </c>
      <c r="I6741" t="s">
        <v>2117</v>
      </c>
    </row>
    <row r="6742" spans="1:9" x14ac:dyDescent="0.35">
      <c r="A6742">
        <v>1128920</v>
      </c>
      <c r="B6742" t="s">
        <v>2071</v>
      </c>
      <c r="C6742" s="1">
        <v>45022</v>
      </c>
      <c r="D6742">
        <v>331</v>
      </c>
      <c r="E6742" t="b">
        <v>1</v>
      </c>
      <c r="F6742">
        <v>965</v>
      </c>
      <c r="G6742" t="s">
        <v>119</v>
      </c>
      <c r="H6742" t="s">
        <v>1510</v>
      </c>
      <c r="I6742" t="s">
        <v>2117</v>
      </c>
    </row>
    <row r="6743" spans="1:9" x14ac:dyDescent="0.35">
      <c r="A6743">
        <v>24780</v>
      </c>
      <c r="B6743" t="s">
        <v>2072</v>
      </c>
      <c r="C6743" s="1">
        <v>40379</v>
      </c>
      <c r="D6743">
        <v>331</v>
      </c>
      <c r="E6743" t="b">
        <v>1</v>
      </c>
      <c r="F6743">
        <v>965</v>
      </c>
      <c r="G6743" t="s">
        <v>33</v>
      </c>
      <c r="H6743" t="s">
        <v>49</v>
      </c>
      <c r="I6743" t="s">
        <v>2117</v>
      </c>
    </row>
    <row r="6744" spans="1:9" x14ac:dyDescent="0.35">
      <c r="A6744">
        <v>24780</v>
      </c>
      <c r="B6744" t="s">
        <v>2072</v>
      </c>
      <c r="C6744" s="1">
        <v>40379</v>
      </c>
      <c r="D6744">
        <v>331</v>
      </c>
      <c r="E6744" t="b">
        <v>1</v>
      </c>
      <c r="F6744">
        <v>965</v>
      </c>
      <c r="G6744" t="s">
        <v>33</v>
      </c>
      <c r="H6744" t="s">
        <v>792</v>
      </c>
      <c r="I6744" t="s">
        <v>2117</v>
      </c>
    </row>
    <row r="6745" spans="1:9" x14ac:dyDescent="0.35">
      <c r="A6745">
        <v>24780</v>
      </c>
      <c r="B6745" t="s">
        <v>2072</v>
      </c>
      <c r="C6745" s="1">
        <v>40379</v>
      </c>
      <c r="D6745">
        <v>331</v>
      </c>
      <c r="E6745" t="b">
        <v>1</v>
      </c>
      <c r="F6745">
        <v>965</v>
      </c>
      <c r="G6745" t="s">
        <v>33</v>
      </c>
      <c r="H6745" t="s">
        <v>346</v>
      </c>
      <c r="I6745" t="s">
        <v>2117</v>
      </c>
    </row>
    <row r="6746" spans="1:9" x14ac:dyDescent="0.35">
      <c r="A6746">
        <v>24780</v>
      </c>
      <c r="B6746" t="s">
        <v>2072</v>
      </c>
      <c r="C6746" s="1">
        <v>40379</v>
      </c>
      <c r="D6746">
        <v>331</v>
      </c>
      <c r="E6746" t="b">
        <v>1</v>
      </c>
      <c r="F6746">
        <v>965</v>
      </c>
      <c r="G6746" t="s">
        <v>33</v>
      </c>
      <c r="H6746" t="s">
        <v>239</v>
      </c>
      <c r="I6746" t="s">
        <v>2116</v>
      </c>
    </row>
    <row r="6747" spans="1:9" x14ac:dyDescent="0.35">
      <c r="A6747">
        <v>24780</v>
      </c>
      <c r="B6747" t="s">
        <v>2072</v>
      </c>
      <c r="C6747" s="1">
        <v>40379</v>
      </c>
      <c r="D6747">
        <v>331</v>
      </c>
      <c r="E6747" t="b">
        <v>1</v>
      </c>
      <c r="F6747">
        <v>965</v>
      </c>
      <c r="G6747" t="s">
        <v>33</v>
      </c>
      <c r="H6747" t="s">
        <v>132</v>
      </c>
      <c r="I6747" t="s">
        <v>2117</v>
      </c>
    </row>
    <row r="6748" spans="1:9" x14ac:dyDescent="0.35">
      <c r="A6748">
        <v>24780</v>
      </c>
      <c r="B6748" t="s">
        <v>2072</v>
      </c>
      <c r="C6748" s="1">
        <v>40379</v>
      </c>
      <c r="D6748">
        <v>331</v>
      </c>
      <c r="E6748" t="b">
        <v>1</v>
      </c>
      <c r="F6748">
        <v>965</v>
      </c>
      <c r="G6748" t="s">
        <v>33</v>
      </c>
      <c r="H6748" t="s">
        <v>124</v>
      </c>
      <c r="I6748" t="s">
        <v>2116</v>
      </c>
    </row>
    <row r="6749" spans="1:9" x14ac:dyDescent="0.35">
      <c r="A6749">
        <v>24780</v>
      </c>
      <c r="B6749" t="s">
        <v>2072</v>
      </c>
      <c r="C6749" s="1">
        <v>40379</v>
      </c>
      <c r="D6749">
        <v>331</v>
      </c>
      <c r="E6749" t="b">
        <v>1</v>
      </c>
      <c r="F6749">
        <v>965</v>
      </c>
      <c r="G6749" t="s">
        <v>33</v>
      </c>
      <c r="H6749" t="s">
        <v>1510</v>
      </c>
      <c r="I6749" t="s">
        <v>2117</v>
      </c>
    </row>
    <row r="6750" spans="1:9" x14ac:dyDescent="0.35">
      <c r="A6750">
        <v>1547000</v>
      </c>
      <c r="B6750" t="s">
        <v>2073</v>
      </c>
      <c r="C6750" s="1">
        <v>44945</v>
      </c>
      <c r="D6750">
        <v>330</v>
      </c>
      <c r="E6750" t="b">
        <v>0</v>
      </c>
      <c r="F6750">
        <v>967</v>
      </c>
      <c r="G6750" t="s">
        <v>33</v>
      </c>
      <c r="H6750" t="s">
        <v>49</v>
      </c>
      <c r="I6750" t="s">
        <v>2116</v>
      </c>
    </row>
    <row r="6751" spans="1:9" x14ac:dyDescent="0.35">
      <c r="A6751">
        <v>1547000</v>
      </c>
      <c r="B6751" t="s">
        <v>2073</v>
      </c>
      <c r="C6751" s="1">
        <v>44945</v>
      </c>
      <c r="D6751">
        <v>330</v>
      </c>
      <c r="E6751" t="b">
        <v>0</v>
      </c>
      <c r="F6751">
        <v>967</v>
      </c>
      <c r="G6751" t="s">
        <v>33</v>
      </c>
      <c r="H6751" t="s">
        <v>792</v>
      </c>
      <c r="I6751" t="s">
        <v>2117</v>
      </c>
    </row>
    <row r="6752" spans="1:9" x14ac:dyDescent="0.35">
      <c r="A6752">
        <v>1547000</v>
      </c>
      <c r="B6752" t="s">
        <v>2073</v>
      </c>
      <c r="C6752" s="1">
        <v>44945</v>
      </c>
      <c r="D6752">
        <v>330</v>
      </c>
      <c r="E6752" t="b">
        <v>0</v>
      </c>
      <c r="F6752">
        <v>967</v>
      </c>
      <c r="G6752" t="s">
        <v>33</v>
      </c>
      <c r="H6752" t="s">
        <v>346</v>
      </c>
      <c r="I6752" t="s">
        <v>2116</v>
      </c>
    </row>
    <row r="6753" spans="1:9" x14ac:dyDescent="0.35">
      <c r="A6753">
        <v>1547000</v>
      </c>
      <c r="B6753" t="s">
        <v>2073</v>
      </c>
      <c r="C6753" s="1">
        <v>44945</v>
      </c>
      <c r="D6753">
        <v>330</v>
      </c>
      <c r="E6753" t="b">
        <v>0</v>
      </c>
      <c r="F6753">
        <v>967</v>
      </c>
      <c r="G6753" t="s">
        <v>33</v>
      </c>
      <c r="H6753" t="s">
        <v>239</v>
      </c>
      <c r="I6753" t="s">
        <v>2117</v>
      </c>
    </row>
    <row r="6754" spans="1:9" x14ac:dyDescent="0.35">
      <c r="A6754">
        <v>1547000</v>
      </c>
      <c r="B6754" t="s">
        <v>2073</v>
      </c>
      <c r="C6754" s="1">
        <v>44945</v>
      </c>
      <c r="D6754">
        <v>330</v>
      </c>
      <c r="E6754" t="b">
        <v>0</v>
      </c>
      <c r="F6754">
        <v>967</v>
      </c>
      <c r="G6754" t="s">
        <v>33</v>
      </c>
      <c r="H6754" t="s">
        <v>132</v>
      </c>
      <c r="I6754" t="s">
        <v>2117</v>
      </c>
    </row>
    <row r="6755" spans="1:9" x14ac:dyDescent="0.35">
      <c r="A6755">
        <v>1547000</v>
      </c>
      <c r="B6755" t="s">
        <v>2073</v>
      </c>
      <c r="C6755" s="1">
        <v>44945</v>
      </c>
      <c r="D6755">
        <v>330</v>
      </c>
      <c r="E6755" t="b">
        <v>0</v>
      </c>
      <c r="F6755">
        <v>967</v>
      </c>
      <c r="G6755" t="s">
        <v>33</v>
      </c>
      <c r="H6755" t="s">
        <v>124</v>
      </c>
      <c r="I6755" t="s">
        <v>2117</v>
      </c>
    </row>
    <row r="6756" spans="1:9" x14ac:dyDescent="0.35">
      <c r="A6756">
        <v>1547000</v>
      </c>
      <c r="B6756" t="s">
        <v>2073</v>
      </c>
      <c r="C6756" s="1">
        <v>44945</v>
      </c>
      <c r="D6756">
        <v>330</v>
      </c>
      <c r="E6756" t="b">
        <v>0</v>
      </c>
      <c r="F6756">
        <v>967</v>
      </c>
      <c r="G6756" t="s">
        <v>33</v>
      </c>
      <c r="H6756" t="s">
        <v>1510</v>
      </c>
      <c r="I6756" t="s">
        <v>2117</v>
      </c>
    </row>
    <row r="6757" spans="1:9" x14ac:dyDescent="0.35">
      <c r="A6757">
        <v>1357210</v>
      </c>
      <c r="B6757" t="s">
        <v>2075</v>
      </c>
      <c r="C6757" s="1">
        <v>45218</v>
      </c>
      <c r="D6757">
        <v>330</v>
      </c>
      <c r="E6757" t="b">
        <v>0</v>
      </c>
      <c r="F6757">
        <v>967</v>
      </c>
      <c r="G6757" t="s">
        <v>2085</v>
      </c>
      <c r="H6757" t="s">
        <v>49</v>
      </c>
      <c r="I6757" t="s">
        <v>2117</v>
      </c>
    </row>
    <row r="6758" spans="1:9" x14ac:dyDescent="0.35">
      <c r="A6758">
        <v>1357210</v>
      </c>
      <c r="B6758" t="s">
        <v>2075</v>
      </c>
      <c r="C6758" s="1">
        <v>45218</v>
      </c>
      <c r="D6758">
        <v>330</v>
      </c>
      <c r="E6758" t="b">
        <v>0</v>
      </c>
      <c r="F6758">
        <v>967</v>
      </c>
      <c r="G6758" t="s">
        <v>2085</v>
      </c>
      <c r="H6758" t="s">
        <v>792</v>
      </c>
      <c r="I6758" t="s">
        <v>2117</v>
      </c>
    </row>
    <row r="6759" spans="1:9" x14ac:dyDescent="0.35">
      <c r="A6759">
        <v>1357210</v>
      </c>
      <c r="B6759" t="s">
        <v>2075</v>
      </c>
      <c r="C6759" s="1">
        <v>45218</v>
      </c>
      <c r="D6759">
        <v>330</v>
      </c>
      <c r="E6759" t="b">
        <v>0</v>
      </c>
      <c r="F6759">
        <v>967</v>
      </c>
      <c r="G6759" t="s">
        <v>2085</v>
      </c>
      <c r="H6759" t="s">
        <v>346</v>
      </c>
      <c r="I6759" t="s">
        <v>2117</v>
      </c>
    </row>
    <row r="6760" spans="1:9" x14ac:dyDescent="0.35">
      <c r="A6760">
        <v>1357210</v>
      </c>
      <c r="B6760" t="s">
        <v>2075</v>
      </c>
      <c r="C6760" s="1">
        <v>45218</v>
      </c>
      <c r="D6760">
        <v>330</v>
      </c>
      <c r="E6760" t="b">
        <v>0</v>
      </c>
      <c r="F6760">
        <v>967</v>
      </c>
      <c r="G6760" t="s">
        <v>2085</v>
      </c>
      <c r="H6760" t="s">
        <v>239</v>
      </c>
      <c r="I6760" t="s">
        <v>2116</v>
      </c>
    </row>
    <row r="6761" spans="1:9" x14ac:dyDescent="0.35">
      <c r="A6761">
        <v>1357210</v>
      </c>
      <c r="B6761" t="s">
        <v>2075</v>
      </c>
      <c r="C6761" s="1">
        <v>45218</v>
      </c>
      <c r="D6761">
        <v>330</v>
      </c>
      <c r="E6761" t="b">
        <v>0</v>
      </c>
      <c r="F6761">
        <v>967</v>
      </c>
      <c r="G6761" t="s">
        <v>2085</v>
      </c>
      <c r="H6761" t="s">
        <v>132</v>
      </c>
      <c r="I6761" t="s">
        <v>2117</v>
      </c>
    </row>
    <row r="6762" spans="1:9" x14ac:dyDescent="0.35">
      <c r="A6762">
        <v>1357210</v>
      </c>
      <c r="B6762" t="s">
        <v>2075</v>
      </c>
      <c r="C6762" s="1">
        <v>45218</v>
      </c>
      <c r="D6762">
        <v>330</v>
      </c>
      <c r="E6762" t="b">
        <v>0</v>
      </c>
      <c r="F6762">
        <v>967</v>
      </c>
      <c r="G6762" t="s">
        <v>2085</v>
      </c>
      <c r="H6762" t="s">
        <v>124</v>
      </c>
      <c r="I6762" t="s">
        <v>2116</v>
      </c>
    </row>
    <row r="6763" spans="1:9" x14ac:dyDescent="0.35">
      <c r="A6763">
        <v>1357210</v>
      </c>
      <c r="B6763" t="s">
        <v>2075</v>
      </c>
      <c r="C6763" s="1">
        <v>45218</v>
      </c>
      <c r="D6763">
        <v>330</v>
      </c>
      <c r="E6763" t="b">
        <v>0</v>
      </c>
      <c r="F6763">
        <v>967</v>
      </c>
      <c r="G6763" t="s">
        <v>2085</v>
      </c>
      <c r="H6763" t="s">
        <v>1510</v>
      </c>
      <c r="I6763" t="s">
        <v>2117</v>
      </c>
    </row>
    <row r="6764" spans="1:9" x14ac:dyDescent="0.35">
      <c r="A6764">
        <v>1660080</v>
      </c>
      <c r="B6764" t="s">
        <v>2077</v>
      </c>
      <c r="C6764" s="1">
        <v>45672</v>
      </c>
      <c r="D6764">
        <v>329</v>
      </c>
      <c r="E6764" t="b">
        <v>0</v>
      </c>
      <c r="F6764">
        <v>969</v>
      </c>
      <c r="G6764" t="s">
        <v>816</v>
      </c>
      <c r="H6764" t="s">
        <v>49</v>
      </c>
      <c r="I6764" t="s">
        <v>2117</v>
      </c>
    </row>
    <row r="6765" spans="1:9" x14ac:dyDescent="0.35">
      <c r="A6765">
        <v>1660080</v>
      </c>
      <c r="B6765" t="s">
        <v>2077</v>
      </c>
      <c r="C6765" s="1">
        <v>45672</v>
      </c>
      <c r="D6765">
        <v>329</v>
      </c>
      <c r="E6765" t="b">
        <v>0</v>
      </c>
      <c r="F6765">
        <v>969</v>
      </c>
      <c r="G6765" t="s">
        <v>816</v>
      </c>
      <c r="H6765" t="s">
        <v>792</v>
      </c>
      <c r="I6765" t="s">
        <v>2116</v>
      </c>
    </row>
    <row r="6766" spans="1:9" x14ac:dyDescent="0.35">
      <c r="A6766">
        <v>1660080</v>
      </c>
      <c r="B6766" t="s">
        <v>2077</v>
      </c>
      <c r="C6766" s="1">
        <v>45672</v>
      </c>
      <c r="D6766">
        <v>329</v>
      </c>
      <c r="E6766" t="b">
        <v>0</v>
      </c>
      <c r="F6766">
        <v>969</v>
      </c>
      <c r="G6766" t="s">
        <v>816</v>
      </c>
      <c r="H6766" t="s">
        <v>346</v>
      </c>
      <c r="I6766" t="s">
        <v>2116</v>
      </c>
    </row>
    <row r="6767" spans="1:9" x14ac:dyDescent="0.35">
      <c r="A6767">
        <v>1660080</v>
      </c>
      <c r="B6767" t="s">
        <v>2077</v>
      </c>
      <c r="C6767" s="1">
        <v>45672</v>
      </c>
      <c r="D6767">
        <v>329</v>
      </c>
      <c r="E6767" t="b">
        <v>0</v>
      </c>
      <c r="F6767">
        <v>969</v>
      </c>
      <c r="G6767" t="s">
        <v>816</v>
      </c>
      <c r="H6767" t="s">
        <v>239</v>
      </c>
      <c r="I6767" t="s">
        <v>2116</v>
      </c>
    </row>
    <row r="6768" spans="1:9" x14ac:dyDescent="0.35">
      <c r="A6768">
        <v>1660080</v>
      </c>
      <c r="B6768" t="s">
        <v>2077</v>
      </c>
      <c r="C6768" s="1">
        <v>45672</v>
      </c>
      <c r="D6768">
        <v>329</v>
      </c>
      <c r="E6768" t="b">
        <v>0</v>
      </c>
      <c r="F6768">
        <v>969</v>
      </c>
      <c r="G6768" t="s">
        <v>816</v>
      </c>
      <c r="H6768" t="s">
        <v>132</v>
      </c>
      <c r="I6768" t="s">
        <v>2117</v>
      </c>
    </row>
    <row r="6769" spans="1:9" x14ac:dyDescent="0.35">
      <c r="A6769">
        <v>1660080</v>
      </c>
      <c r="B6769" t="s">
        <v>2077</v>
      </c>
      <c r="C6769" s="1">
        <v>45672</v>
      </c>
      <c r="D6769">
        <v>329</v>
      </c>
      <c r="E6769" t="b">
        <v>0</v>
      </c>
      <c r="F6769">
        <v>969</v>
      </c>
      <c r="G6769" t="s">
        <v>816</v>
      </c>
      <c r="H6769" t="s">
        <v>124</v>
      </c>
      <c r="I6769" t="s">
        <v>2117</v>
      </c>
    </row>
    <row r="6770" spans="1:9" x14ac:dyDescent="0.35">
      <c r="A6770">
        <v>1660080</v>
      </c>
      <c r="B6770" t="s">
        <v>2077</v>
      </c>
      <c r="C6770" s="1">
        <v>45672</v>
      </c>
      <c r="D6770">
        <v>329</v>
      </c>
      <c r="E6770" t="b">
        <v>0</v>
      </c>
      <c r="F6770">
        <v>969</v>
      </c>
      <c r="G6770" t="s">
        <v>816</v>
      </c>
      <c r="H6770" t="s">
        <v>1510</v>
      </c>
      <c r="I6770" t="s">
        <v>2117</v>
      </c>
    </row>
    <row r="6771" spans="1:9" x14ac:dyDescent="0.35">
      <c r="A6771">
        <v>367500</v>
      </c>
      <c r="B6771" t="s">
        <v>2080</v>
      </c>
      <c r="C6771" s="1">
        <v>42384</v>
      </c>
      <c r="D6771">
        <v>329</v>
      </c>
      <c r="E6771" t="b">
        <v>0</v>
      </c>
      <c r="F6771">
        <v>969</v>
      </c>
      <c r="G6771" t="s">
        <v>2087</v>
      </c>
      <c r="H6771" t="s">
        <v>49</v>
      </c>
      <c r="I6771" t="s">
        <v>2116</v>
      </c>
    </row>
    <row r="6772" spans="1:9" x14ac:dyDescent="0.35">
      <c r="A6772">
        <v>367500</v>
      </c>
      <c r="B6772" t="s">
        <v>2080</v>
      </c>
      <c r="C6772" s="1">
        <v>42384</v>
      </c>
      <c r="D6772">
        <v>329</v>
      </c>
      <c r="E6772" t="b">
        <v>0</v>
      </c>
      <c r="F6772">
        <v>969</v>
      </c>
      <c r="G6772" t="s">
        <v>2087</v>
      </c>
      <c r="H6772" t="s">
        <v>792</v>
      </c>
      <c r="I6772" t="s">
        <v>2117</v>
      </c>
    </row>
    <row r="6773" spans="1:9" x14ac:dyDescent="0.35">
      <c r="A6773">
        <v>367500</v>
      </c>
      <c r="B6773" t="s">
        <v>2080</v>
      </c>
      <c r="C6773" s="1">
        <v>42384</v>
      </c>
      <c r="D6773">
        <v>329</v>
      </c>
      <c r="E6773" t="b">
        <v>0</v>
      </c>
      <c r="F6773">
        <v>969</v>
      </c>
      <c r="G6773" t="s">
        <v>2087</v>
      </c>
      <c r="H6773" t="s">
        <v>346</v>
      </c>
      <c r="I6773" t="s">
        <v>2116</v>
      </c>
    </row>
    <row r="6774" spans="1:9" x14ac:dyDescent="0.35">
      <c r="A6774">
        <v>367500</v>
      </c>
      <c r="B6774" t="s">
        <v>2080</v>
      </c>
      <c r="C6774" s="1">
        <v>42384</v>
      </c>
      <c r="D6774">
        <v>329</v>
      </c>
      <c r="E6774" t="b">
        <v>0</v>
      </c>
      <c r="F6774">
        <v>969</v>
      </c>
      <c r="G6774" t="s">
        <v>2087</v>
      </c>
      <c r="H6774" t="s">
        <v>239</v>
      </c>
      <c r="I6774" t="s">
        <v>2117</v>
      </c>
    </row>
    <row r="6775" spans="1:9" x14ac:dyDescent="0.35">
      <c r="A6775">
        <v>367500</v>
      </c>
      <c r="B6775" t="s">
        <v>2080</v>
      </c>
      <c r="C6775" s="1">
        <v>42384</v>
      </c>
      <c r="D6775">
        <v>329</v>
      </c>
      <c r="E6775" t="b">
        <v>0</v>
      </c>
      <c r="F6775">
        <v>969</v>
      </c>
      <c r="G6775" t="s">
        <v>2087</v>
      </c>
      <c r="H6775" t="s">
        <v>132</v>
      </c>
      <c r="I6775" t="s">
        <v>2116</v>
      </c>
    </row>
    <row r="6776" spans="1:9" x14ac:dyDescent="0.35">
      <c r="A6776">
        <v>367500</v>
      </c>
      <c r="B6776" t="s">
        <v>2080</v>
      </c>
      <c r="C6776" s="1">
        <v>42384</v>
      </c>
      <c r="D6776">
        <v>329</v>
      </c>
      <c r="E6776" t="b">
        <v>0</v>
      </c>
      <c r="F6776">
        <v>969</v>
      </c>
      <c r="G6776" t="s">
        <v>2087</v>
      </c>
      <c r="H6776" t="s">
        <v>124</v>
      </c>
      <c r="I6776" t="s">
        <v>2117</v>
      </c>
    </row>
    <row r="6777" spans="1:9" x14ac:dyDescent="0.35">
      <c r="A6777">
        <v>367500</v>
      </c>
      <c r="B6777" t="s">
        <v>2080</v>
      </c>
      <c r="C6777" s="1">
        <v>42384</v>
      </c>
      <c r="D6777">
        <v>329</v>
      </c>
      <c r="E6777" t="b">
        <v>0</v>
      </c>
      <c r="F6777">
        <v>969</v>
      </c>
      <c r="G6777" t="s">
        <v>2087</v>
      </c>
      <c r="H6777" t="s">
        <v>1510</v>
      </c>
      <c r="I6777" t="s">
        <v>2117</v>
      </c>
    </row>
    <row r="6778" spans="1:9" x14ac:dyDescent="0.35">
      <c r="A6778">
        <v>1127500</v>
      </c>
      <c r="B6778" t="s">
        <v>2081</v>
      </c>
      <c r="C6778" s="1">
        <v>44397</v>
      </c>
      <c r="D6778">
        <v>328</v>
      </c>
      <c r="E6778" t="b">
        <v>1</v>
      </c>
      <c r="F6778">
        <v>971</v>
      </c>
      <c r="G6778" t="s">
        <v>33</v>
      </c>
      <c r="H6778" t="s">
        <v>49</v>
      </c>
      <c r="I6778" t="s">
        <v>2117</v>
      </c>
    </row>
    <row r="6779" spans="1:9" x14ac:dyDescent="0.35">
      <c r="A6779">
        <v>1127500</v>
      </c>
      <c r="B6779" t="s">
        <v>2081</v>
      </c>
      <c r="C6779" s="1">
        <v>44397</v>
      </c>
      <c r="D6779">
        <v>328</v>
      </c>
      <c r="E6779" t="b">
        <v>1</v>
      </c>
      <c r="F6779">
        <v>971</v>
      </c>
      <c r="G6779" t="s">
        <v>33</v>
      </c>
      <c r="H6779" t="s">
        <v>792</v>
      </c>
      <c r="I6779" t="s">
        <v>2117</v>
      </c>
    </row>
    <row r="6780" spans="1:9" x14ac:dyDescent="0.35">
      <c r="A6780">
        <v>1127500</v>
      </c>
      <c r="B6780" t="s">
        <v>2081</v>
      </c>
      <c r="C6780" s="1">
        <v>44397</v>
      </c>
      <c r="D6780">
        <v>328</v>
      </c>
      <c r="E6780" t="b">
        <v>1</v>
      </c>
      <c r="F6780">
        <v>971</v>
      </c>
      <c r="G6780" t="s">
        <v>33</v>
      </c>
      <c r="H6780" t="s">
        <v>346</v>
      </c>
      <c r="I6780" t="s">
        <v>2117</v>
      </c>
    </row>
    <row r="6781" spans="1:9" x14ac:dyDescent="0.35">
      <c r="A6781">
        <v>1127500</v>
      </c>
      <c r="B6781" t="s">
        <v>2081</v>
      </c>
      <c r="C6781" s="1">
        <v>44397</v>
      </c>
      <c r="D6781">
        <v>328</v>
      </c>
      <c r="E6781" t="b">
        <v>1</v>
      </c>
      <c r="F6781">
        <v>971</v>
      </c>
      <c r="G6781" t="s">
        <v>33</v>
      </c>
      <c r="H6781" t="s">
        <v>239</v>
      </c>
      <c r="I6781" t="s">
        <v>2116</v>
      </c>
    </row>
    <row r="6782" spans="1:9" x14ac:dyDescent="0.35">
      <c r="A6782">
        <v>1127500</v>
      </c>
      <c r="B6782" t="s">
        <v>2081</v>
      </c>
      <c r="C6782" s="1">
        <v>44397</v>
      </c>
      <c r="D6782">
        <v>328</v>
      </c>
      <c r="E6782" t="b">
        <v>1</v>
      </c>
      <c r="F6782">
        <v>971</v>
      </c>
      <c r="G6782" t="s">
        <v>33</v>
      </c>
      <c r="H6782" t="s">
        <v>132</v>
      </c>
      <c r="I6782" t="s">
        <v>2117</v>
      </c>
    </row>
    <row r="6783" spans="1:9" x14ac:dyDescent="0.35">
      <c r="A6783">
        <v>1127500</v>
      </c>
      <c r="B6783" t="s">
        <v>2081</v>
      </c>
      <c r="C6783" s="1">
        <v>44397</v>
      </c>
      <c r="D6783">
        <v>328</v>
      </c>
      <c r="E6783" t="b">
        <v>1</v>
      </c>
      <c r="F6783">
        <v>971</v>
      </c>
      <c r="G6783" t="s">
        <v>33</v>
      </c>
      <c r="H6783" t="s">
        <v>124</v>
      </c>
      <c r="I6783" t="s">
        <v>2116</v>
      </c>
    </row>
    <row r="6784" spans="1:9" x14ac:dyDescent="0.35">
      <c r="A6784">
        <v>1127500</v>
      </c>
      <c r="B6784" t="s">
        <v>2081</v>
      </c>
      <c r="C6784" s="1">
        <v>44397</v>
      </c>
      <c r="D6784">
        <v>328</v>
      </c>
      <c r="E6784" t="b">
        <v>1</v>
      </c>
      <c r="F6784">
        <v>971</v>
      </c>
      <c r="G6784" t="s">
        <v>33</v>
      </c>
      <c r="H6784" t="s">
        <v>1510</v>
      </c>
      <c r="I6784" t="s">
        <v>2117</v>
      </c>
    </row>
  </sheetData>
  <conditionalFormatting sqref="I1:I1048576">
    <cfRule type="cellIs" dxfId="1" priority="1" operator="equal">
      <formula>"Y"</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DC6B-1118-4699-B9AA-45A949F1698D}">
  <dimension ref="A1:P970"/>
  <sheetViews>
    <sheetView tabSelected="1" zoomScale="70" zoomScaleNormal="70" workbookViewId="0">
      <selection activeCell="D12" sqref="D12"/>
    </sheetView>
  </sheetViews>
  <sheetFormatPr defaultRowHeight="14.5" x14ac:dyDescent="0.35"/>
  <cols>
    <col min="1" max="1" width="8.26953125" bestFit="1" customWidth="1"/>
    <col min="2" max="2" width="55.6328125" bestFit="1" customWidth="1"/>
    <col min="3" max="3" width="14.453125" bestFit="1" customWidth="1"/>
    <col min="4" max="4" width="11.6328125" bestFit="1" customWidth="1"/>
    <col min="5" max="5" width="7.453125" bestFit="1" customWidth="1"/>
    <col min="6" max="6" width="158.36328125" hidden="1" customWidth="1"/>
    <col min="7" max="7" width="102.1796875" hidden="1" customWidth="1"/>
    <col min="8" max="8" width="11.1796875" bestFit="1" customWidth="1"/>
    <col min="9" max="9" width="16.6328125" bestFit="1" customWidth="1"/>
    <col min="10" max="10" width="12.54296875" bestFit="1" customWidth="1"/>
    <col min="11" max="11" width="11.54296875" bestFit="1" customWidth="1"/>
    <col min="12" max="12" width="15.90625" bestFit="1" customWidth="1"/>
    <col min="13" max="13" width="16.08984375" bestFit="1" customWidth="1"/>
    <col min="14" max="14" width="10.7265625" bestFit="1" customWidth="1"/>
    <col min="15" max="15" width="14" bestFit="1" customWidth="1"/>
    <col min="16" max="16" width="17.08984375" bestFit="1" customWidth="1"/>
  </cols>
  <sheetData>
    <row r="1" spans="1:16" x14ac:dyDescent="0.35">
      <c r="A1" s="3" t="s">
        <v>0</v>
      </c>
      <c r="B1" s="3" t="s">
        <v>1</v>
      </c>
      <c r="C1" s="3" t="s">
        <v>2</v>
      </c>
      <c r="D1" s="3" t="s">
        <v>3</v>
      </c>
      <c r="E1" s="3" t="s">
        <v>4</v>
      </c>
      <c r="F1" s="3" t="s">
        <v>5</v>
      </c>
      <c r="G1" s="3" t="s">
        <v>6</v>
      </c>
      <c r="H1" s="3" t="s">
        <v>7</v>
      </c>
      <c r="I1" s="3" t="s">
        <v>8</v>
      </c>
      <c r="J1" s="3" t="s">
        <v>49</v>
      </c>
      <c r="K1" s="3" t="s">
        <v>792</v>
      </c>
      <c r="L1" s="3" t="s">
        <v>346</v>
      </c>
      <c r="M1" s="3" t="s">
        <v>239</v>
      </c>
      <c r="N1" s="3" t="s">
        <v>132</v>
      </c>
      <c r="O1" s="3" t="s">
        <v>124</v>
      </c>
      <c r="P1" s="3" t="s">
        <v>1510</v>
      </c>
    </row>
    <row r="2" spans="1:16" x14ac:dyDescent="0.35">
      <c r="A2">
        <v>730</v>
      </c>
      <c r="B2" t="s">
        <v>2086</v>
      </c>
      <c r="C2" s="1">
        <v>41142</v>
      </c>
      <c r="D2">
        <v>1013936</v>
      </c>
      <c r="E2" t="b">
        <v>0</v>
      </c>
      <c r="F2" t="s">
        <v>9</v>
      </c>
      <c r="G2" t="s">
        <v>10</v>
      </c>
      <c r="H2">
        <v>1</v>
      </c>
      <c r="I2" t="s">
        <v>33</v>
      </c>
      <c r="J2" s="3" t="str">
        <f>IF(ISNUMBER(SEARCH(",Action,",","&amp;SUBSTITUTE(TableMain[[#This Row],[Tags]],", ",",")&amp;",")),"Y","N")</f>
        <v>Y</v>
      </c>
      <c r="K2" s="3" t="str">
        <f>IF(ISNUMBER(SEARCH(",Indie,",","&amp;SUBSTITUTE(TableMain[[#This Row],[Tags]],", ",",")&amp;",")),"Y","N")</f>
        <v>N</v>
      </c>
      <c r="L2" s="3" t="str">
        <f>IF(ISNUMBER(SEARCH(",Adventure,",","&amp;SUBSTITUTE(TableMain[[#This Row],[Tags]],", ",",")&amp;",")),"Y","N")</f>
        <v>N</v>
      </c>
      <c r="M2" s="3" t="str">
        <f>IF(ISNUMBER(SEARCH(",Simulation,",","&amp;SUBSTITUTE(TableMain[[#This Row],[Tags]],", ",",")&amp;",")),"Y","N")</f>
        <v>N</v>
      </c>
      <c r="N2" s="3" t="str">
        <f>IF(ISNUMBER(SEARCH(",RPG,",","&amp;SUBSTITUTE(TableMain[[#This Row],[Tags]],", ",",")&amp;",")),"Y","N")</f>
        <v>N</v>
      </c>
      <c r="O2" s="3" t="str">
        <f>IF(ISNUMBER(SEARCH(",Strategy,",","&amp;SUBSTITUTE(TableMain[[#This Row],[Tags]],", ",",")&amp;",")),"Y","N")</f>
        <v>N</v>
      </c>
      <c r="P2" s="3" t="str">
        <f>IF(ISNUMBER(SEARCH(",Free To Play,",","&amp;SUBSTITUTE(TableMain[[#This Row],[Tags]],", ",",")&amp;",")),"Y","N")</f>
        <v>Y</v>
      </c>
    </row>
    <row r="3" spans="1:16" x14ac:dyDescent="0.35">
      <c r="A3">
        <v>570</v>
      </c>
      <c r="B3" t="s">
        <v>11</v>
      </c>
      <c r="C3" s="1">
        <v>41464</v>
      </c>
      <c r="D3">
        <v>623941</v>
      </c>
      <c r="E3" t="b">
        <v>1</v>
      </c>
      <c r="F3" t="s">
        <v>12</v>
      </c>
      <c r="G3" t="s">
        <v>13</v>
      </c>
      <c r="H3">
        <v>2</v>
      </c>
      <c r="I3" t="s">
        <v>2092</v>
      </c>
      <c r="J3" s="3" t="str">
        <f>IF(ISNUMBER(SEARCH(",Action,",","&amp;SUBSTITUTE(TableMain[[#This Row],[Tags]],", ",",")&amp;",")),"Y","N")</f>
        <v>Y</v>
      </c>
      <c r="K3" s="3" t="str">
        <f>IF(ISNUMBER(SEARCH(",Indie,",","&amp;SUBSTITUTE(TableMain[[#This Row],[Tags]],", ",",")&amp;",")),"Y","N")</f>
        <v>N</v>
      </c>
      <c r="L3" s="3" t="str">
        <f>IF(ISNUMBER(SEARCH(",Adventure,",","&amp;SUBSTITUTE(TableMain[[#This Row],[Tags]],", ",",")&amp;",")),"Y","N")</f>
        <v>N</v>
      </c>
      <c r="M3" s="3" t="str">
        <f>IF(ISNUMBER(SEARCH(",Simulation,",","&amp;SUBSTITUTE(TableMain[[#This Row],[Tags]],", ",",")&amp;",")),"Y","N")</f>
        <v>N</v>
      </c>
      <c r="N3" s="3" t="str">
        <f>IF(ISNUMBER(SEARCH(",RPG,",","&amp;SUBSTITUTE(TableMain[[#This Row],[Tags]],", ",",")&amp;",")),"Y","N")</f>
        <v>N</v>
      </c>
      <c r="O3" s="3" t="str">
        <f>IF(ISNUMBER(SEARCH(",Strategy,",","&amp;SUBSTITUTE(TableMain[[#This Row],[Tags]],", ",",")&amp;",")),"Y","N")</f>
        <v>Y</v>
      </c>
      <c r="P3" s="3" t="str">
        <f>IF(ISNUMBER(SEARCH(",Free To Play,",","&amp;SUBSTITUTE(TableMain[[#This Row],[Tags]],", ",",")&amp;",")),"Y","N")</f>
        <v>Y</v>
      </c>
    </row>
    <row r="4" spans="1:16" x14ac:dyDescent="0.35">
      <c r="A4">
        <v>578080</v>
      </c>
      <c r="B4" t="s">
        <v>15</v>
      </c>
      <c r="C4" s="1">
        <v>43090</v>
      </c>
      <c r="D4">
        <v>314682</v>
      </c>
      <c r="E4" t="b">
        <v>0</v>
      </c>
      <c r="F4" t="s">
        <v>16</v>
      </c>
      <c r="G4" t="s">
        <v>17</v>
      </c>
      <c r="H4">
        <v>3</v>
      </c>
      <c r="I4" t="s">
        <v>18</v>
      </c>
      <c r="J4" s="3" t="str">
        <f>IF(ISNUMBER(SEARCH(",Action,",","&amp;SUBSTITUTE(TableMain[[#This Row],[Tags]],", ",",")&amp;",")),"Y","N")</f>
        <v>Y</v>
      </c>
      <c r="K4" s="3" t="str">
        <f>IF(ISNUMBER(SEARCH(",Indie,",","&amp;SUBSTITUTE(TableMain[[#This Row],[Tags]],", ",",")&amp;",")),"Y","N")</f>
        <v>N</v>
      </c>
      <c r="L4" s="3" t="str">
        <f>IF(ISNUMBER(SEARCH(",Adventure,",","&amp;SUBSTITUTE(TableMain[[#This Row],[Tags]],", ",",")&amp;",")),"Y","N")</f>
        <v>Y</v>
      </c>
      <c r="M4" s="3" t="str">
        <f>IF(ISNUMBER(SEARCH(",Simulation,",","&amp;SUBSTITUTE(TableMain[[#This Row],[Tags]],", ",",")&amp;",")),"Y","N")</f>
        <v>N</v>
      </c>
      <c r="N4" s="3" t="str">
        <f>IF(ISNUMBER(SEARCH(",RPG,",","&amp;SUBSTITUTE(TableMain[[#This Row],[Tags]],", ",",")&amp;",")),"Y","N")</f>
        <v>N</v>
      </c>
      <c r="O4" s="3" t="str">
        <f>IF(ISNUMBER(SEARCH(",Strategy,",","&amp;SUBSTITUTE(TableMain[[#This Row],[Tags]],", ",",")&amp;",")),"Y","N")</f>
        <v>N</v>
      </c>
      <c r="P4" s="3" t="str">
        <f>IF(ISNUMBER(SEARCH(",Free To Play,",","&amp;SUBSTITUTE(TableMain[[#This Row],[Tags]],", ",",")&amp;",")),"Y","N")</f>
        <v>Y</v>
      </c>
    </row>
    <row r="5" spans="1:16" x14ac:dyDescent="0.35">
      <c r="A5">
        <v>3419430</v>
      </c>
      <c r="B5" t="s">
        <v>19</v>
      </c>
      <c r="C5" s="1">
        <v>45721</v>
      </c>
      <c r="D5">
        <v>164168</v>
      </c>
      <c r="E5" t="b">
        <v>0</v>
      </c>
      <c r="F5" t="s">
        <v>20</v>
      </c>
      <c r="G5" t="s">
        <v>21</v>
      </c>
      <c r="H5">
        <v>4</v>
      </c>
      <c r="I5" t="s">
        <v>14</v>
      </c>
      <c r="J5" s="3" t="str">
        <f>IF(ISNUMBER(SEARCH(",Action,",","&amp;SUBSTITUTE(TableMain[[#This Row],[Tags]],", ",",")&amp;",")),"Y","N")</f>
        <v>N</v>
      </c>
      <c r="K5" s="3" t="str">
        <f>IF(ISNUMBER(SEARCH(",Indie,",","&amp;SUBSTITUTE(TableMain[[#This Row],[Tags]],", ",",")&amp;",")),"Y","N")</f>
        <v>Y</v>
      </c>
      <c r="L5" s="3" t="str">
        <f>IF(ISNUMBER(SEARCH(",Adventure,",","&amp;SUBSTITUTE(TableMain[[#This Row],[Tags]],", ",",")&amp;",")),"Y","N")</f>
        <v>N</v>
      </c>
      <c r="M5" s="3" t="str">
        <f>IF(ISNUMBER(SEARCH(",Simulation,",","&amp;SUBSTITUTE(TableMain[[#This Row],[Tags]],", ",",")&amp;",")),"Y","N")</f>
        <v>Y</v>
      </c>
      <c r="N5" s="3" t="str">
        <f>IF(ISNUMBER(SEARCH(",RPG,",","&amp;SUBSTITUTE(TableMain[[#This Row],[Tags]],", ",",")&amp;",")),"Y","N")</f>
        <v>N</v>
      </c>
      <c r="O5" s="3" t="str">
        <f>IF(ISNUMBER(SEARCH(",Strategy,",","&amp;SUBSTITUTE(TableMain[[#This Row],[Tags]],", ",",")&amp;",")),"Y","N")</f>
        <v>N</v>
      </c>
      <c r="P5" s="3" t="str">
        <f>IF(ISNUMBER(SEARCH(",Free To Play,",","&amp;SUBSTITUTE(TableMain[[#This Row],[Tags]],", ",",")&amp;",")),"Y","N")</f>
        <v>Y</v>
      </c>
    </row>
    <row r="6" spans="1:16" x14ac:dyDescent="0.35">
      <c r="A6">
        <v>2622380</v>
      </c>
      <c r="B6" t="s">
        <v>22</v>
      </c>
      <c r="C6" s="1">
        <v>45806</v>
      </c>
      <c r="D6">
        <v>163599</v>
      </c>
      <c r="E6" t="b">
        <v>0</v>
      </c>
      <c r="F6" t="s">
        <v>23</v>
      </c>
      <c r="G6" t="s">
        <v>24</v>
      </c>
      <c r="H6">
        <v>5</v>
      </c>
      <c r="I6" t="s">
        <v>25</v>
      </c>
      <c r="J6" s="3" t="str">
        <f>IF(ISNUMBER(SEARCH(",Action,",","&amp;SUBSTITUTE(TableMain[[#This Row],[Tags]],", ",",")&amp;",")),"Y","N")</f>
        <v>Y</v>
      </c>
      <c r="K6" s="3" t="str">
        <f>IF(ISNUMBER(SEARCH(",Indie,",","&amp;SUBSTITUTE(TableMain[[#This Row],[Tags]],", ",",")&amp;",")),"Y","N")</f>
        <v>N</v>
      </c>
      <c r="L6" s="3" t="str">
        <f>IF(ISNUMBER(SEARCH(",Adventure,",","&amp;SUBSTITUTE(TableMain[[#This Row],[Tags]],", ",",")&amp;",")),"Y","N")</f>
        <v>N</v>
      </c>
      <c r="M6" s="3" t="str">
        <f>IF(ISNUMBER(SEARCH(",Simulation,",","&amp;SUBSTITUTE(TableMain[[#This Row],[Tags]],", ",",")&amp;",")),"Y","N")</f>
        <v>N</v>
      </c>
      <c r="N6" s="3" t="str">
        <f>IF(ISNUMBER(SEARCH(",RPG,",","&amp;SUBSTITUTE(TableMain[[#This Row],[Tags]],", ",",")&amp;",")),"Y","N")</f>
        <v>Y</v>
      </c>
      <c r="O6" s="3" t="str">
        <f>IF(ISNUMBER(SEARCH(",Strategy,",","&amp;SUBSTITUTE(TableMain[[#This Row],[Tags]],", ",",")&amp;",")),"Y","N")</f>
        <v>N</v>
      </c>
      <c r="P6" s="3" t="str">
        <f>IF(ISNUMBER(SEARCH(",Free To Play,",","&amp;SUBSTITUTE(TableMain[[#This Row],[Tags]],", ",",")&amp;",")),"Y","N")</f>
        <v>N</v>
      </c>
    </row>
    <row r="7" spans="1:16" x14ac:dyDescent="0.35">
      <c r="A7">
        <v>252490</v>
      </c>
      <c r="B7" t="s">
        <v>26</v>
      </c>
      <c r="C7" s="1">
        <v>43139</v>
      </c>
      <c r="D7">
        <v>143870</v>
      </c>
      <c r="E7" t="b">
        <v>1</v>
      </c>
      <c r="F7" t="s">
        <v>27</v>
      </c>
      <c r="G7" t="s">
        <v>28</v>
      </c>
      <c r="H7">
        <v>6</v>
      </c>
      <c r="I7" t="s">
        <v>29</v>
      </c>
      <c r="J7" s="3" t="str">
        <f>IF(ISNUMBER(SEARCH(",Action,",","&amp;SUBSTITUTE(TableMain[[#This Row],[Tags]],", ",",")&amp;",")),"Y","N")</f>
        <v>Y</v>
      </c>
      <c r="K7" s="3" t="str">
        <f>IF(ISNUMBER(SEARCH(",Indie,",","&amp;SUBSTITUTE(TableMain[[#This Row],[Tags]],", ",",")&amp;",")),"Y","N")</f>
        <v>Y</v>
      </c>
      <c r="L7" s="3" t="str">
        <f>IF(ISNUMBER(SEARCH(",Adventure,",","&amp;SUBSTITUTE(TableMain[[#This Row],[Tags]],", ",",")&amp;",")),"Y","N")</f>
        <v>Y</v>
      </c>
      <c r="M7" s="3" t="str">
        <f>IF(ISNUMBER(SEARCH(",Simulation,",","&amp;SUBSTITUTE(TableMain[[#This Row],[Tags]],", ",",")&amp;",")),"Y","N")</f>
        <v>N</v>
      </c>
      <c r="N7" s="3" t="str">
        <f>IF(ISNUMBER(SEARCH(",RPG,",","&amp;SUBSTITUTE(TableMain[[#This Row],[Tags]],", ",",")&amp;",")),"Y","N")</f>
        <v>Y</v>
      </c>
      <c r="O7" s="3" t="str">
        <f>IF(ISNUMBER(SEARCH(",Strategy,",","&amp;SUBSTITUTE(TableMain[[#This Row],[Tags]],", ",",")&amp;",")),"Y","N")</f>
        <v>N</v>
      </c>
      <c r="P7" s="3" t="str">
        <f>IF(ISNUMBER(SEARCH(",Free To Play,",","&amp;SUBSTITUTE(TableMain[[#This Row],[Tags]],", ",",")&amp;",")),"Y","N")</f>
        <v>N</v>
      </c>
    </row>
    <row r="8" spans="1:16" x14ac:dyDescent="0.35">
      <c r="A8">
        <v>1172470</v>
      </c>
      <c r="B8" t="s">
        <v>30</v>
      </c>
      <c r="C8" s="1">
        <v>44139</v>
      </c>
      <c r="D8">
        <v>124262</v>
      </c>
      <c r="E8" t="b">
        <v>0</v>
      </c>
      <c r="F8" t="s">
        <v>31</v>
      </c>
      <c r="G8" t="s">
        <v>32</v>
      </c>
      <c r="H8">
        <v>7</v>
      </c>
      <c r="I8" t="s">
        <v>33</v>
      </c>
      <c r="J8" s="3" t="str">
        <f>IF(ISNUMBER(SEARCH(",Action,",","&amp;SUBSTITUTE(TableMain[[#This Row],[Tags]],", ",",")&amp;",")),"Y","N")</f>
        <v>Y</v>
      </c>
      <c r="K8" s="3" t="str">
        <f>IF(ISNUMBER(SEARCH(",Indie,",","&amp;SUBSTITUTE(TableMain[[#This Row],[Tags]],", ",",")&amp;",")),"Y","N")</f>
        <v>N</v>
      </c>
      <c r="L8" s="3" t="str">
        <f>IF(ISNUMBER(SEARCH(",Adventure,",","&amp;SUBSTITUTE(TableMain[[#This Row],[Tags]],", ",",")&amp;",")),"Y","N")</f>
        <v>Y</v>
      </c>
      <c r="M8" s="3" t="str">
        <f>IF(ISNUMBER(SEARCH(",Simulation,",","&amp;SUBSTITUTE(TableMain[[#This Row],[Tags]],", ",",")&amp;",")),"Y","N")</f>
        <v>N</v>
      </c>
      <c r="N8" s="3" t="str">
        <f>IF(ISNUMBER(SEARCH(",RPG,",","&amp;SUBSTITUTE(TableMain[[#This Row],[Tags]],", ",",")&amp;",")),"Y","N")</f>
        <v>N</v>
      </c>
      <c r="O8" s="3" t="str">
        <f>IF(ISNUMBER(SEARCH(",Strategy,",","&amp;SUBSTITUTE(TableMain[[#This Row],[Tags]],", ",",")&amp;",")),"Y","N")</f>
        <v>N</v>
      </c>
      <c r="P8" s="3" t="str">
        <f>IF(ISNUMBER(SEARCH(",Free To Play,",","&amp;SUBSTITUTE(TableMain[[#This Row],[Tags]],", ",",")&amp;",")),"Y","N")</f>
        <v>Y</v>
      </c>
    </row>
    <row r="9" spans="1:16" x14ac:dyDescent="0.35">
      <c r="A9">
        <v>2767030</v>
      </c>
      <c r="B9" t="s">
        <v>34</v>
      </c>
      <c r="C9" s="1">
        <v>45631</v>
      </c>
      <c r="D9">
        <v>106611</v>
      </c>
      <c r="E9" t="b">
        <v>0</v>
      </c>
      <c r="F9" t="s">
        <v>35</v>
      </c>
      <c r="G9" t="s">
        <v>10</v>
      </c>
      <c r="H9">
        <v>8</v>
      </c>
      <c r="I9" t="s">
        <v>36</v>
      </c>
      <c r="J9" s="3" t="str">
        <f>IF(ISNUMBER(SEARCH(",Action,",","&amp;SUBSTITUTE(TableMain[[#This Row],[Tags]],", ",",")&amp;",")),"Y","N")</f>
        <v>Y</v>
      </c>
      <c r="K9" s="3" t="str">
        <f>IF(ISNUMBER(SEARCH(",Indie,",","&amp;SUBSTITUTE(TableMain[[#This Row],[Tags]],", ",",")&amp;",")),"Y","N")</f>
        <v>N</v>
      </c>
      <c r="L9" s="3" t="str">
        <f>IF(ISNUMBER(SEARCH(",Adventure,",","&amp;SUBSTITUTE(TableMain[[#This Row],[Tags]],", ",",")&amp;",")),"Y","N")</f>
        <v>N</v>
      </c>
      <c r="M9" s="3" t="str">
        <f>IF(ISNUMBER(SEARCH(",Simulation,",","&amp;SUBSTITUTE(TableMain[[#This Row],[Tags]],", ",",")&amp;",")),"Y","N")</f>
        <v>N</v>
      </c>
      <c r="N9" s="3" t="str">
        <f>IF(ISNUMBER(SEARCH(",RPG,",","&amp;SUBSTITUTE(TableMain[[#This Row],[Tags]],", ",",")&amp;",")),"Y","N")</f>
        <v>N</v>
      </c>
      <c r="O9" s="3" t="str">
        <f>IF(ISNUMBER(SEARCH(",Strategy,",","&amp;SUBSTITUTE(TableMain[[#This Row],[Tags]],", ",",")&amp;",")),"Y","N")</f>
        <v>N</v>
      </c>
      <c r="P9" s="3" t="str">
        <f>IF(ISNUMBER(SEARCH(",Free To Play,",","&amp;SUBSTITUTE(TableMain[[#This Row],[Tags]],", ",",")&amp;",")),"Y","N")</f>
        <v>Y</v>
      </c>
    </row>
    <row r="10" spans="1:16" x14ac:dyDescent="0.35">
      <c r="A10">
        <v>431960</v>
      </c>
      <c r="B10" t="s">
        <v>37</v>
      </c>
      <c r="C10" s="1">
        <v>43420</v>
      </c>
      <c r="D10">
        <v>91184</v>
      </c>
      <c r="E10" t="b">
        <v>0</v>
      </c>
      <c r="F10" t="s">
        <v>38</v>
      </c>
      <c r="G10" t="s">
        <v>39</v>
      </c>
      <c r="H10">
        <v>9</v>
      </c>
      <c r="I10" t="s">
        <v>40</v>
      </c>
      <c r="J10" s="3" t="str">
        <f>IF(ISNUMBER(SEARCH(",Action,",","&amp;SUBSTITUTE(TableMain[[#This Row],[Tags]],", ",",")&amp;",")),"Y","N")</f>
        <v>N</v>
      </c>
      <c r="K10" s="3" t="str">
        <f>IF(ISNUMBER(SEARCH(",Indie,",","&amp;SUBSTITUTE(TableMain[[#This Row],[Tags]],", ",",")&amp;",")),"Y","N")</f>
        <v>Y</v>
      </c>
      <c r="L10" s="3" t="str">
        <f>IF(ISNUMBER(SEARCH(",Adventure,",","&amp;SUBSTITUTE(TableMain[[#This Row],[Tags]],", ",",")&amp;",")),"Y","N")</f>
        <v>N</v>
      </c>
      <c r="M10" s="3" t="str">
        <f>IF(ISNUMBER(SEARCH(",Simulation,",","&amp;SUBSTITUTE(TableMain[[#This Row],[Tags]],", ",",")&amp;",")),"Y","N")</f>
        <v>N</v>
      </c>
      <c r="N10" s="3" t="str">
        <f>IF(ISNUMBER(SEARCH(",RPG,",","&amp;SUBSTITUTE(TableMain[[#This Row],[Tags]],", ",",")&amp;",")),"Y","N")</f>
        <v>N</v>
      </c>
      <c r="O10" s="3" t="str">
        <f>IF(ISNUMBER(SEARCH(",Strategy,",","&amp;SUBSTITUTE(TableMain[[#This Row],[Tags]],", ",",")&amp;",")),"Y","N")</f>
        <v>N</v>
      </c>
      <c r="P10" s="3" t="str">
        <f>IF(ISNUMBER(SEARCH(",Free To Play,",","&amp;SUBSTITUTE(TableMain[[#This Row],[Tags]],", ",",")&amp;",")),"Y","N")</f>
        <v>N</v>
      </c>
    </row>
    <row r="11" spans="1:16" x14ac:dyDescent="0.35">
      <c r="A11">
        <v>1671210</v>
      </c>
      <c r="B11" t="s">
        <v>41</v>
      </c>
      <c r="C11" s="1">
        <v>45812</v>
      </c>
      <c r="D11">
        <v>83936</v>
      </c>
      <c r="E11" t="b">
        <v>1</v>
      </c>
      <c r="F11" t="s">
        <v>42</v>
      </c>
      <c r="G11" t="s">
        <v>43</v>
      </c>
      <c r="H11">
        <v>10</v>
      </c>
      <c r="I11" t="s">
        <v>14</v>
      </c>
      <c r="J11" s="3" t="str">
        <f>IF(ISNUMBER(SEARCH(",Action,",","&amp;SUBSTITUTE(TableMain[[#This Row],[Tags]],", ",",")&amp;",")),"Y","N")</f>
        <v>N</v>
      </c>
      <c r="K11" s="3" t="str">
        <f>IF(ISNUMBER(SEARCH(",Indie,",","&amp;SUBSTITUTE(TableMain[[#This Row],[Tags]],", ",",")&amp;",")),"Y","N")</f>
        <v>Y</v>
      </c>
      <c r="L11" s="3" t="str">
        <f>IF(ISNUMBER(SEARCH(",Adventure,",","&amp;SUBSTITUTE(TableMain[[#This Row],[Tags]],", ",",")&amp;",")),"Y","N")</f>
        <v>N</v>
      </c>
      <c r="M11" s="3" t="str">
        <f>IF(ISNUMBER(SEARCH(",Simulation,",","&amp;SUBSTITUTE(TableMain[[#This Row],[Tags]],", ",",")&amp;",")),"Y","N")</f>
        <v>N</v>
      </c>
      <c r="N11" s="3" t="str">
        <f>IF(ISNUMBER(SEARCH(",RPG,",","&amp;SUBSTITUTE(TableMain[[#This Row],[Tags]],", ",",")&amp;",")),"Y","N")</f>
        <v>Y</v>
      </c>
      <c r="O11" s="3" t="str">
        <f>IF(ISNUMBER(SEARCH(",Strategy,",","&amp;SUBSTITUTE(TableMain[[#This Row],[Tags]],", ",",")&amp;",")),"Y","N")</f>
        <v>N</v>
      </c>
      <c r="P11" s="3" t="str">
        <f>IF(ISNUMBER(SEARCH(",Free To Play,",","&amp;SUBSTITUTE(TableMain[[#This Row],[Tags]],", ",",")&amp;",")),"Y","N")</f>
        <v>N</v>
      </c>
    </row>
    <row r="12" spans="1:16" x14ac:dyDescent="0.35">
      <c r="A12">
        <v>271590</v>
      </c>
      <c r="B12" t="s">
        <v>44</v>
      </c>
      <c r="C12" s="1">
        <v>42107</v>
      </c>
      <c r="D12">
        <v>67851</v>
      </c>
      <c r="E12" t="b">
        <v>0</v>
      </c>
      <c r="F12" t="s">
        <v>45</v>
      </c>
      <c r="G12" t="s">
        <v>46</v>
      </c>
      <c r="H12">
        <v>11</v>
      </c>
      <c r="I12" t="s">
        <v>2091</v>
      </c>
      <c r="J12" s="3" t="str">
        <f>IF(ISNUMBER(SEARCH(",Action,",","&amp;SUBSTITUTE(TableMain[[#This Row],[Tags]],", ",",")&amp;",")),"Y","N")</f>
        <v>Y</v>
      </c>
      <c r="K12" s="3" t="str">
        <f>IF(ISNUMBER(SEARCH(",Indie,",","&amp;SUBSTITUTE(TableMain[[#This Row],[Tags]],", ",",")&amp;",")),"Y","N")</f>
        <v>N</v>
      </c>
      <c r="L12" s="3" t="str">
        <f>IF(ISNUMBER(SEARCH(",Adventure,",","&amp;SUBSTITUTE(TableMain[[#This Row],[Tags]],", ",",")&amp;",")),"Y","N")</f>
        <v>Y</v>
      </c>
      <c r="M12" s="3" t="str">
        <f>IF(ISNUMBER(SEARCH(",Simulation,",","&amp;SUBSTITUTE(TableMain[[#This Row],[Tags]],", ",",")&amp;",")),"Y","N")</f>
        <v>N</v>
      </c>
      <c r="N12" s="3" t="str">
        <f>IF(ISNUMBER(SEARCH(",RPG,",","&amp;SUBSTITUTE(TableMain[[#This Row],[Tags]],", ",",")&amp;",")),"Y","N")</f>
        <v>N</v>
      </c>
      <c r="O12" s="3" t="str">
        <f>IF(ISNUMBER(SEARCH(",Strategy,",","&amp;SUBSTITUTE(TableMain[[#This Row],[Tags]],", ",",")&amp;",")),"Y","N")</f>
        <v>N</v>
      </c>
      <c r="P12" s="3" t="str">
        <f>IF(ISNUMBER(SEARCH(",Free To Play,",","&amp;SUBSTITUTE(TableMain[[#This Row],[Tags]],", ",",")&amp;",")),"Y","N")</f>
        <v>N</v>
      </c>
    </row>
    <row r="13" spans="1:16" x14ac:dyDescent="0.35">
      <c r="A13">
        <v>1938090</v>
      </c>
      <c r="B13" t="s">
        <v>47</v>
      </c>
      <c r="C13" s="1">
        <v>44861</v>
      </c>
      <c r="D13">
        <v>67419</v>
      </c>
      <c r="E13" t="b">
        <v>0</v>
      </c>
      <c r="F13" t="s">
        <v>48</v>
      </c>
      <c r="G13" t="s">
        <v>49</v>
      </c>
      <c r="H13">
        <v>12</v>
      </c>
      <c r="I13" t="s">
        <v>50</v>
      </c>
      <c r="J13" s="3" t="str">
        <f>IF(ISNUMBER(SEARCH(",Action,",","&amp;SUBSTITUTE(TableMain[[#This Row],[Tags]],", ",",")&amp;",")),"Y","N")</f>
        <v>Y</v>
      </c>
      <c r="K13" s="3" t="str">
        <f>IF(ISNUMBER(SEARCH(",Indie,",","&amp;SUBSTITUTE(TableMain[[#This Row],[Tags]],", ",",")&amp;",")),"Y","N")</f>
        <v>N</v>
      </c>
      <c r="L13" s="3" t="str">
        <f>IF(ISNUMBER(SEARCH(",Adventure,",","&amp;SUBSTITUTE(TableMain[[#This Row],[Tags]],", ",",")&amp;",")),"Y","N")</f>
        <v>N</v>
      </c>
      <c r="M13" s="3" t="str">
        <f>IF(ISNUMBER(SEARCH(",Simulation,",","&amp;SUBSTITUTE(TableMain[[#This Row],[Tags]],", ",",")&amp;",")),"Y","N")</f>
        <v>N</v>
      </c>
      <c r="N13" s="3" t="str">
        <f>IF(ISNUMBER(SEARCH(",RPG,",","&amp;SUBSTITUTE(TableMain[[#This Row],[Tags]],", ",",")&amp;",")),"Y","N")</f>
        <v>N</v>
      </c>
      <c r="O13" s="3" t="str">
        <f>IF(ISNUMBER(SEARCH(",Strategy,",","&amp;SUBSTITUTE(TableMain[[#This Row],[Tags]],", ",",")&amp;",")),"Y","N")</f>
        <v>N</v>
      </c>
      <c r="P13" s="3" t="str">
        <f>IF(ISNUMBER(SEARCH(",Free To Play,",","&amp;SUBSTITUTE(TableMain[[#This Row],[Tags]],", ",",")&amp;",")),"Y","N")</f>
        <v>N</v>
      </c>
    </row>
    <row r="14" spans="1:16" x14ac:dyDescent="0.35">
      <c r="A14">
        <v>1203220</v>
      </c>
      <c r="B14" t="s">
        <v>51</v>
      </c>
      <c r="C14" s="1">
        <v>44419</v>
      </c>
      <c r="D14">
        <v>66954</v>
      </c>
      <c r="E14" t="b">
        <v>0</v>
      </c>
      <c r="F14" t="s">
        <v>52</v>
      </c>
      <c r="G14" t="s">
        <v>17</v>
      </c>
      <c r="H14">
        <v>13</v>
      </c>
      <c r="I14" t="s">
        <v>53</v>
      </c>
      <c r="J14" s="3" t="str">
        <f>IF(ISNUMBER(SEARCH(",Action,",","&amp;SUBSTITUTE(TableMain[[#This Row],[Tags]],", ",",")&amp;",")),"Y","N")</f>
        <v>Y</v>
      </c>
      <c r="K14" s="3" t="str">
        <f>IF(ISNUMBER(SEARCH(",Indie,",","&amp;SUBSTITUTE(TableMain[[#This Row],[Tags]],", ",",")&amp;",")),"Y","N")</f>
        <v>N</v>
      </c>
      <c r="L14" s="3" t="str">
        <f>IF(ISNUMBER(SEARCH(",Adventure,",","&amp;SUBSTITUTE(TableMain[[#This Row],[Tags]],", ",",")&amp;",")),"Y","N")</f>
        <v>Y</v>
      </c>
      <c r="M14" s="3" t="str">
        <f>IF(ISNUMBER(SEARCH(",Simulation,",","&amp;SUBSTITUTE(TableMain[[#This Row],[Tags]],", ",",")&amp;",")),"Y","N")</f>
        <v>N</v>
      </c>
      <c r="N14" s="3" t="str">
        <f>IF(ISNUMBER(SEARCH(",RPG,",","&amp;SUBSTITUTE(TableMain[[#This Row],[Tags]],", ",",")&amp;",")),"Y","N")</f>
        <v>N</v>
      </c>
      <c r="O14" s="3" t="str">
        <f>IF(ISNUMBER(SEARCH(",Strategy,",","&amp;SUBSTITUTE(TableMain[[#This Row],[Tags]],", ",",")&amp;",")),"Y","N")</f>
        <v>N</v>
      </c>
      <c r="P14" s="3" t="str">
        <f>IF(ISNUMBER(SEARCH(",Free To Play,",","&amp;SUBSTITUTE(TableMain[[#This Row],[Tags]],", ",",")&amp;",")),"Y","N")</f>
        <v>Y</v>
      </c>
    </row>
    <row r="15" spans="1:16" x14ac:dyDescent="0.35">
      <c r="A15">
        <v>1086940</v>
      </c>
      <c r="B15" t="s">
        <v>54</v>
      </c>
      <c r="C15" s="1">
        <v>45141</v>
      </c>
      <c r="D15">
        <v>54771</v>
      </c>
      <c r="E15" t="b">
        <v>1</v>
      </c>
      <c r="F15" t="s">
        <v>55</v>
      </c>
      <c r="G15" t="s">
        <v>56</v>
      </c>
      <c r="H15">
        <v>14</v>
      </c>
      <c r="I15" t="s">
        <v>57</v>
      </c>
      <c r="J15" s="3" t="str">
        <f>IF(ISNUMBER(SEARCH(",Action,",","&amp;SUBSTITUTE(TableMain[[#This Row],[Tags]],", ",",")&amp;",")),"Y","N")</f>
        <v>N</v>
      </c>
      <c r="K15" s="3" t="str">
        <f>IF(ISNUMBER(SEARCH(",Indie,",","&amp;SUBSTITUTE(TableMain[[#This Row],[Tags]],", ",",")&amp;",")),"Y","N")</f>
        <v>N</v>
      </c>
      <c r="L15" s="3" t="str">
        <f>IF(ISNUMBER(SEARCH(",Adventure,",","&amp;SUBSTITUTE(TableMain[[#This Row],[Tags]],", ",",")&amp;",")),"Y","N")</f>
        <v>Y</v>
      </c>
      <c r="M15" s="3" t="str">
        <f>IF(ISNUMBER(SEARCH(",Simulation,",","&amp;SUBSTITUTE(TableMain[[#This Row],[Tags]],", ",",")&amp;",")),"Y","N")</f>
        <v>N</v>
      </c>
      <c r="N15" s="3" t="str">
        <f>IF(ISNUMBER(SEARCH(",RPG,",","&amp;SUBSTITUTE(TableMain[[#This Row],[Tags]],", ",",")&amp;",")),"Y","N")</f>
        <v>Y</v>
      </c>
      <c r="O15" s="3" t="str">
        <f>IF(ISNUMBER(SEARCH(",Strategy,",","&amp;SUBSTITUTE(TableMain[[#This Row],[Tags]],", ",",")&amp;",")),"Y","N")</f>
        <v>Y</v>
      </c>
      <c r="P15" s="3" t="str">
        <f>IF(ISNUMBER(SEARCH(",Free To Play,",","&amp;SUBSTITUTE(TableMain[[#This Row],[Tags]],", ",",")&amp;",")),"Y","N")</f>
        <v>N</v>
      </c>
    </row>
    <row r="16" spans="1:16" x14ac:dyDescent="0.35">
      <c r="A16">
        <v>553850</v>
      </c>
      <c r="B16" t="s">
        <v>58</v>
      </c>
      <c r="C16" s="1">
        <v>45330</v>
      </c>
      <c r="D16">
        <v>53399</v>
      </c>
      <c r="E16" t="b">
        <v>0</v>
      </c>
      <c r="F16" t="s">
        <v>59</v>
      </c>
      <c r="G16" t="s">
        <v>49</v>
      </c>
      <c r="H16">
        <v>15</v>
      </c>
      <c r="I16" t="s">
        <v>36</v>
      </c>
      <c r="J16" s="3" t="str">
        <f>IF(ISNUMBER(SEARCH(",Action,",","&amp;SUBSTITUTE(TableMain[[#This Row],[Tags]],", ",",")&amp;",")),"Y","N")</f>
        <v>Y</v>
      </c>
      <c r="K16" s="3" t="str">
        <f>IF(ISNUMBER(SEARCH(",Indie,",","&amp;SUBSTITUTE(TableMain[[#This Row],[Tags]],", ",",")&amp;",")),"Y","N")</f>
        <v>N</v>
      </c>
      <c r="L16" s="3" t="str">
        <f>IF(ISNUMBER(SEARCH(",Adventure,",","&amp;SUBSTITUTE(TableMain[[#This Row],[Tags]],", ",",")&amp;",")),"Y","N")</f>
        <v>N</v>
      </c>
      <c r="M16" s="3" t="str">
        <f>IF(ISNUMBER(SEARCH(",Simulation,",","&amp;SUBSTITUTE(TableMain[[#This Row],[Tags]],", ",",")&amp;",")),"Y","N")</f>
        <v>N</v>
      </c>
      <c r="N16" s="3" t="str">
        <f>IF(ISNUMBER(SEARCH(",RPG,",","&amp;SUBSTITUTE(TableMain[[#This Row],[Tags]],", ",",")&amp;",")),"Y","N")</f>
        <v>N</v>
      </c>
      <c r="O16" s="3" t="str">
        <f>IF(ISNUMBER(SEARCH(",Strategy,",","&amp;SUBSTITUTE(TableMain[[#This Row],[Tags]],", ",",")&amp;",")),"Y","N")</f>
        <v>N</v>
      </c>
      <c r="P16" s="3" t="str">
        <f>IF(ISNUMBER(SEARCH(",Free To Play,",","&amp;SUBSTITUTE(TableMain[[#This Row],[Tags]],", ",",")&amp;",")),"Y","N")</f>
        <v>N</v>
      </c>
    </row>
    <row r="17" spans="1:16" x14ac:dyDescent="0.35">
      <c r="A17">
        <v>359550</v>
      </c>
      <c r="B17" t="s">
        <v>60</v>
      </c>
      <c r="C17" s="1">
        <v>42339</v>
      </c>
      <c r="D17">
        <v>51847</v>
      </c>
      <c r="E17" t="b">
        <v>0</v>
      </c>
      <c r="F17" t="s">
        <v>61</v>
      </c>
      <c r="G17" t="s">
        <v>10</v>
      </c>
      <c r="H17">
        <v>16</v>
      </c>
      <c r="I17" t="s">
        <v>36</v>
      </c>
      <c r="J17" s="3" t="str">
        <f>IF(ISNUMBER(SEARCH(",Action,",","&amp;SUBSTITUTE(TableMain[[#This Row],[Tags]],", ",",")&amp;",")),"Y","N")</f>
        <v>Y</v>
      </c>
      <c r="K17" s="3" t="str">
        <f>IF(ISNUMBER(SEARCH(",Indie,",","&amp;SUBSTITUTE(TableMain[[#This Row],[Tags]],", ",",")&amp;",")),"Y","N")</f>
        <v>N</v>
      </c>
      <c r="L17" s="3" t="str">
        <f>IF(ISNUMBER(SEARCH(",Adventure,",","&amp;SUBSTITUTE(TableMain[[#This Row],[Tags]],", ",",")&amp;",")),"Y","N")</f>
        <v>N</v>
      </c>
      <c r="M17" s="3" t="str">
        <f>IF(ISNUMBER(SEARCH(",Simulation,",","&amp;SUBSTITUTE(TableMain[[#This Row],[Tags]],", ",",")&amp;",")),"Y","N")</f>
        <v>N</v>
      </c>
      <c r="N17" s="3" t="str">
        <f>IF(ISNUMBER(SEARCH(",RPG,",","&amp;SUBSTITUTE(TableMain[[#This Row],[Tags]],", ",",")&amp;",")),"Y","N")</f>
        <v>N</v>
      </c>
      <c r="O17" s="3" t="str">
        <f>IF(ISNUMBER(SEARCH(",Strategy,",","&amp;SUBSTITUTE(TableMain[[#This Row],[Tags]],", ",",")&amp;",")),"Y","N")</f>
        <v>N</v>
      </c>
      <c r="P17" s="3" t="str">
        <f>IF(ISNUMBER(SEARCH(",Free To Play,",","&amp;SUBSTITUTE(TableMain[[#This Row],[Tags]],", ",",")&amp;",")),"Y","N")</f>
        <v>Y</v>
      </c>
    </row>
    <row r="18" spans="1:16" x14ac:dyDescent="0.35">
      <c r="A18">
        <v>413150</v>
      </c>
      <c r="B18" t="s">
        <v>62</v>
      </c>
      <c r="C18" s="1">
        <v>42426</v>
      </c>
      <c r="D18">
        <v>50662</v>
      </c>
      <c r="E18" t="b">
        <v>1</v>
      </c>
      <c r="F18" t="s">
        <v>63</v>
      </c>
      <c r="G18" t="s">
        <v>64</v>
      </c>
      <c r="H18">
        <v>17</v>
      </c>
      <c r="I18" t="s">
        <v>2083</v>
      </c>
      <c r="J18" s="3" t="str">
        <f>IF(ISNUMBER(SEARCH(",Action,",","&amp;SUBSTITUTE(TableMain[[#This Row],[Tags]],", ",",")&amp;",")),"Y","N")</f>
        <v>N</v>
      </c>
      <c r="K18" s="3" t="str">
        <f>IF(ISNUMBER(SEARCH(",Indie,",","&amp;SUBSTITUTE(TableMain[[#This Row],[Tags]],", ",",")&amp;",")),"Y","N")</f>
        <v>Y</v>
      </c>
      <c r="L18" s="3" t="str">
        <f>IF(ISNUMBER(SEARCH(",Adventure,",","&amp;SUBSTITUTE(TableMain[[#This Row],[Tags]],", ",",")&amp;",")),"Y","N")</f>
        <v>N</v>
      </c>
      <c r="M18" s="3" t="str">
        <f>IF(ISNUMBER(SEARCH(",Simulation,",","&amp;SUBSTITUTE(TableMain[[#This Row],[Tags]],", ",",")&amp;",")),"Y","N")</f>
        <v>Y</v>
      </c>
      <c r="N18" s="3" t="str">
        <f>IF(ISNUMBER(SEARCH(",RPG,",","&amp;SUBSTITUTE(TableMain[[#This Row],[Tags]],", ",",")&amp;",")),"Y","N")</f>
        <v>Y</v>
      </c>
      <c r="O18" s="3" t="str">
        <f>IF(ISNUMBER(SEARCH(",Strategy,",","&amp;SUBSTITUTE(TableMain[[#This Row],[Tags]],", ",",")&amp;",")),"Y","N")</f>
        <v>N</v>
      </c>
      <c r="P18" s="3" t="str">
        <f>IF(ISNUMBER(SEARCH(",Free To Play,",","&amp;SUBSTITUTE(TableMain[[#This Row],[Tags]],", ",",")&amp;",")),"Y","N")</f>
        <v>N</v>
      </c>
    </row>
    <row r="19" spans="1:16" x14ac:dyDescent="0.35">
      <c r="A19">
        <v>236390</v>
      </c>
      <c r="B19" t="s">
        <v>65</v>
      </c>
      <c r="C19" s="1">
        <v>41501</v>
      </c>
      <c r="D19">
        <v>50478</v>
      </c>
      <c r="E19" t="b">
        <v>1</v>
      </c>
      <c r="F19" t="s">
        <v>66</v>
      </c>
      <c r="G19" t="s">
        <v>67</v>
      </c>
      <c r="H19">
        <v>18</v>
      </c>
      <c r="I19" t="s">
        <v>2094</v>
      </c>
      <c r="J19" s="3" t="str">
        <f>IF(ISNUMBER(SEARCH(",Action,",","&amp;SUBSTITUTE(TableMain[[#This Row],[Tags]],", ",",")&amp;",")),"Y","N")</f>
        <v>Y</v>
      </c>
      <c r="K19" s="3" t="str">
        <f>IF(ISNUMBER(SEARCH(",Indie,",","&amp;SUBSTITUTE(TableMain[[#This Row],[Tags]],", ",",")&amp;",")),"Y","N")</f>
        <v>N</v>
      </c>
      <c r="L19" s="3" t="str">
        <f>IF(ISNUMBER(SEARCH(",Adventure,",","&amp;SUBSTITUTE(TableMain[[#This Row],[Tags]],", ",",")&amp;",")),"Y","N")</f>
        <v>N</v>
      </c>
      <c r="M19" s="3" t="str">
        <f>IF(ISNUMBER(SEARCH(",Simulation,",","&amp;SUBSTITUTE(TableMain[[#This Row],[Tags]],", ",",")&amp;",")),"Y","N")</f>
        <v>Y</v>
      </c>
      <c r="N19" s="3" t="str">
        <f>IF(ISNUMBER(SEARCH(",RPG,",","&amp;SUBSTITUTE(TableMain[[#This Row],[Tags]],", ",",")&amp;",")),"Y","N")</f>
        <v>N</v>
      </c>
      <c r="O19" s="3" t="str">
        <f>IF(ISNUMBER(SEARCH(",Strategy,",","&amp;SUBSTITUTE(TableMain[[#This Row],[Tags]],", ",",")&amp;",")),"Y","N")</f>
        <v>N</v>
      </c>
      <c r="P19" s="3" t="str">
        <f>IF(ISNUMBER(SEARCH(",Free To Play,",","&amp;SUBSTITUTE(TableMain[[#This Row],[Tags]],", ",",")&amp;",")),"Y","N")</f>
        <v>Y</v>
      </c>
    </row>
    <row r="20" spans="1:16" x14ac:dyDescent="0.35">
      <c r="A20">
        <v>2252570</v>
      </c>
      <c r="B20" t="s">
        <v>69</v>
      </c>
      <c r="C20" s="1">
        <v>45236</v>
      </c>
      <c r="D20">
        <v>47931</v>
      </c>
      <c r="E20" t="b">
        <v>1</v>
      </c>
      <c r="F20" t="s">
        <v>70</v>
      </c>
      <c r="G20" t="s">
        <v>71</v>
      </c>
      <c r="H20">
        <v>19</v>
      </c>
      <c r="I20" t="s">
        <v>14</v>
      </c>
      <c r="J20" s="3" t="str">
        <f>IF(ISNUMBER(SEARCH(",Action,",","&amp;SUBSTITUTE(TableMain[[#This Row],[Tags]],", ",",")&amp;",")),"Y","N")</f>
        <v>N</v>
      </c>
      <c r="K20" s="3" t="str">
        <f>IF(ISNUMBER(SEARCH(",Indie,",","&amp;SUBSTITUTE(TableMain[[#This Row],[Tags]],", ",",")&amp;",")),"Y","N")</f>
        <v>N</v>
      </c>
      <c r="L20" s="3" t="str">
        <f>IF(ISNUMBER(SEARCH(",Adventure,",","&amp;SUBSTITUTE(TableMain[[#This Row],[Tags]],", ",",")&amp;",")),"Y","N")</f>
        <v>N</v>
      </c>
      <c r="M20" s="3" t="str">
        <f>IF(ISNUMBER(SEARCH(",Simulation,",","&amp;SUBSTITUTE(TableMain[[#This Row],[Tags]],", ",",")&amp;",")),"Y","N")</f>
        <v>Y</v>
      </c>
      <c r="N20" s="3" t="str">
        <f>IF(ISNUMBER(SEARCH(",RPG,",","&amp;SUBSTITUTE(TableMain[[#This Row],[Tags]],", ",",")&amp;",")),"Y","N")</f>
        <v>N</v>
      </c>
      <c r="O20" s="3" t="str">
        <f>IF(ISNUMBER(SEARCH(",Strategy,",","&amp;SUBSTITUTE(TableMain[[#This Row],[Tags]],", ",",")&amp;",")),"Y","N")</f>
        <v>Y</v>
      </c>
      <c r="P20" s="3" t="str">
        <f>IF(ISNUMBER(SEARCH(",Free To Play,",","&amp;SUBSTITUTE(TableMain[[#This Row],[Tags]],", ",",")&amp;",")),"Y","N")</f>
        <v>N</v>
      </c>
    </row>
    <row r="21" spans="1:16" x14ac:dyDescent="0.35">
      <c r="A21">
        <v>381210</v>
      </c>
      <c r="B21" t="s">
        <v>72</v>
      </c>
      <c r="C21" s="1">
        <v>42535</v>
      </c>
      <c r="D21">
        <v>44886</v>
      </c>
      <c r="E21" t="b">
        <v>0</v>
      </c>
      <c r="F21" t="s">
        <v>73</v>
      </c>
      <c r="G21" t="s">
        <v>49</v>
      </c>
      <c r="H21">
        <v>20</v>
      </c>
      <c r="I21" t="s">
        <v>33</v>
      </c>
      <c r="J21" s="3" t="str">
        <f>IF(ISNUMBER(SEARCH(",Action,",","&amp;SUBSTITUTE(TableMain[[#This Row],[Tags]],", ",",")&amp;",")),"Y","N")</f>
        <v>Y</v>
      </c>
      <c r="K21" s="3" t="str">
        <f>IF(ISNUMBER(SEARCH(",Indie,",","&amp;SUBSTITUTE(TableMain[[#This Row],[Tags]],", ",",")&amp;",")),"Y","N")</f>
        <v>N</v>
      </c>
      <c r="L21" s="3" t="str">
        <f>IF(ISNUMBER(SEARCH(",Adventure,",","&amp;SUBSTITUTE(TableMain[[#This Row],[Tags]],", ",",")&amp;",")),"Y","N")</f>
        <v>N</v>
      </c>
      <c r="M21" s="3" t="str">
        <f>IF(ISNUMBER(SEARCH(",Simulation,",","&amp;SUBSTITUTE(TableMain[[#This Row],[Tags]],", ",",")&amp;",")),"Y","N")</f>
        <v>N</v>
      </c>
      <c r="N21" s="3" t="str">
        <f>IF(ISNUMBER(SEARCH(",RPG,",","&amp;SUBSTITUTE(TableMain[[#This Row],[Tags]],", ",",")&amp;",")),"Y","N")</f>
        <v>N</v>
      </c>
      <c r="O21" s="3" t="str">
        <f>IF(ISNUMBER(SEARCH(",Strategy,",","&amp;SUBSTITUTE(TableMain[[#This Row],[Tags]],", ",",")&amp;",")),"Y","N")</f>
        <v>N</v>
      </c>
      <c r="P21" s="3" t="str">
        <f>IF(ISNUMBER(SEARCH(",Free To Play,",","&amp;SUBSTITUTE(TableMain[[#This Row],[Tags]],", ",",")&amp;",")),"Y","N")</f>
        <v>N</v>
      </c>
    </row>
    <row r="22" spans="1:16" x14ac:dyDescent="0.35">
      <c r="A22">
        <v>440</v>
      </c>
      <c r="B22" t="s">
        <v>74</v>
      </c>
      <c r="C22" s="1">
        <v>39365</v>
      </c>
      <c r="D22">
        <v>43819</v>
      </c>
      <c r="E22" t="b">
        <v>0</v>
      </c>
      <c r="F22" t="s">
        <v>75</v>
      </c>
      <c r="G22" t="s">
        <v>10</v>
      </c>
      <c r="H22">
        <v>21</v>
      </c>
      <c r="I22" t="s">
        <v>2084</v>
      </c>
      <c r="J22" s="3" t="str">
        <f>IF(ISNUMBER(SEARCH(",Action,",","&amp;SUBSTITUTE(TableMain[[#This Row],[Tags]],", ",",")&amp;",")),"Y","N")</f>
        <v>Y</v>
      </c>
      <c r="K22" s="3" t="str">
        <f>IF(ISNUMBER(SEARCH(",Indie,",","&amp;SUBSTITUTE(TableMain[[#This Row],[Tags]],", ",",")&amp;",")),"Y","N")</f>
        <v>N</v>
      </c>
      <c r="L22" s="3" t="str">
        <f>IF(ISNUMBER(SEARCH(",Adventure,",","&amp;SUBSTITUTE(TableMain[[#This Row],[Tags]],", ",",")&amp;",")),"Y","N")</f>
        <v>N</v>
      </c>
      <c r="M22" s="3" t="str">
        <f>IF(ISNUMBER(SEARCH(",Simulation,",","&amp;SUBSTITUTE(TableMain[[#This Row],[Tags]],", ",",")&amp;",")),"Y","N")</f>
        <v>N</v>
      </c>
      <c r="N22" s="3" t="str">
        <f>IF(ISNUMBER(SEARCH(",RPG,",","&amp;SUBSTITUTE(TableMain[[#This Row],[Tags]],", ",",")&amp;",")),"Y","N")</f>
        <v>N</v>
      </c>
      <c r="O22" s="3" t="str">
        <f>IF(ISNUMBER(SEARCH(",Strategy,",","&amp;SUBSTITUTE(TableMain[[#This Row],[Tags]],", ",",")&amp;",")),"Y","N")</f>
        <v>N</v>
      </c>
      <c r="P22" s="3" t="str">
        <f>IF(ISNUMBER(SEARCH(",Free To Play,",","&amp;SUBSTITUTE(TableMain[[#This Row],[Tags]],", ",",")&amp;",")),"Y","N")</f>
        <v>Y</v>
      </c>
    </row>
    <row r="23" spans="1:16" x14ac:dyDescent="0.35">
      <c r="A23">
        <v>2669320</v>
      </c>
      <c r="B23" t="s">
        <v>76</v>
      </c>
      <c r="C23" s="1">
        <v>45561</v>
      </c>
      <c r="D23">
        <v>42032</v>
      </c>
      <c r="E23" t="b">
        <v>0</v>
      </c>
      <c r="F23" t="s">
        <v>77</v>
      </c>
      <c r="G23" t="s">
        <v>78</v>
      </c>
      <c r="H23">
        <v>22</v>
      </c>
      <c r="I23" t="s">
        <v>79</v>
      </c>
      <c r="J23" s="3" t="str">
        <f>IF(ISNUMBER(SEARCH(",Action,",","&amp;SUBSTITUTE(TableMain[[#This Row],[Tags]],", ",",")&amp;",")),"Y","N")</f>
        <v>N</v>
      </c>
      <c r="K23" s="3" t="str">
        <f>IF(ISNUMBER(SEARCH(",Indie,",","&amp;SUBSTITUTE(TableMain[[#This Row],[Tags]],", ",",")&amp;",")),"Y","N")</f>
        <v>N</v>
      </c>
      <c r="L23" s="3" t="str">
        <f>IF(ISNUMBER(SEARCH(",Adventure,",","&amp;SUBSTITUTE(TableMain[[#This Row],[Tags]],", ",",")&amp;",")),"Y","N")</f>
        <v>N</v>
      </c>
      <c r="M23" s="3" t="str">
        <f>IF(ISNUMBER(SEARCH(",Simulation,",","&amp;SUBSTITUTE(TableMain[[#This Row],[Tags]],", ",",")&amp;",")),"Y","N")</f>
        <v>Y</v>
      </c>
      <c r="N23" s="3" t="str">
        <f>IF(ISNUMBER(SEARCH(",RPG,",","&amp;SUBSTITUTE(TableMain[[#This Row],[Tags]],", ",",")&amp;",")),"Y","N")</f>
        <v>N</v>
      </c>
      <c r="O23" s="3" t="str">
        <f>IF(ISNUMBER(SEARCH(",Strategy,",","&amp;SUBSTITUTE(TableMain[[#This Row],[Tags]],", ",",")&amp;",")),"Y","N")</f>
        <v>N</v>
      </c>
      <c r="P23" s="3" t="str">
        <f>IF(ISNUMBER(SEARCH(",Free To Play,",","&amp;SUBSTITUTE(TableMain[[#This Row],[Tags]],", ",",")&amp;",")),"Y","N")</f>
        <v>N</v>
      </c>
    </row>
    <row r="24" spans="1:16" x14ac:dyDescent="0.35">
      <c r="A24">
        <v>1366800</v>
      </c>
      <c r="B24" t="s">
        <v>80</v>
      </c>
      <c r="C24" s="1">
        <v>44060</v>
      </c>
      <c r="D24">
        <v>41428</v>
      </c>
      <c r="E24" t="b">
        <v>0</v>
      </c>
      <c r="F24" t="s">
        <v>81</v>
      </c>
      <c r="G24" t="s">
        <v>82</v>
      </c>
      <c r="H24">
        <v>23</v>
      </c>
      <c r="I24" t="s">
        <v>304</v>
      </c>
      <c r="J24" s="3" t="str">
        <f>IF(ISNUMBER(SEARCH(",Action,",","&amp;SUBSTITUTE(TableMain[[#This Row],[Tags]],", ",",")&amp;",")),"Y","N")</f>
        <v>Y</v>
      </c>
      <c r="K24" s="3" t="str">
        <f>IF(ISNUMBER(SEARCH(",Indie,",","&amp;SUBSTITUTE(TableMain[[#This Row],[Tags]],", ",",")&amp;",")),"Y","N")</f>
        <v>Y</v>
      </c>
      <c r="L24" s="3" t="str">
        <f>IF(ISNUMBER(SEARCH(",Adventure,",","&amp;SUBSTITUTE(TableMain[[#This Row],[Tags]],", ",",")&amp;",")),"Y","N")</f>
        <v>Y</v>
      </c>
      <c r="M24" s="3" t="str">
        <f>IF(ISNUMBER(SEARCH(",Simulation,",","&amp;SUBSTITUTE(TableMain[[#This Row],[Tags]],", ",",")&amp;",")),"Y","N")</f>
        <v>N</v>
      </c>
      <c r="N24" s="3" t="str">
        <f>IF(ISNUMBER(SEARCH(",RPG,",","&amp;SUBSTITUTE(TableMain[[#This Row],[Tags]],", ",",")&amp;",")),"Y","N")</f>
        <v>N</v>
      </c>
      <c r="O24" s="3" t="str">
        <f>IF(ISNUMBER(SEARCH(",Strategy,",","&amp;SUBSTITUTE(TableMain[[#This Row],[Tags]],", ",",")&amp;",")),"Y","N")</f>
        <v>N</v>
      </c>
      <c r="P24" s="3" t="str">
        <f>IF(ISNUMBER(SEARCH(",Free To Play,",","&amp;SUBSTITUTE(TableMain[[#This Row],[Tags]],", ",",")&amp;",")),"Y","N")</f>
        <v>N</v>
      </c>
    </row>
    <row r="25" spans="1:16" x14ac:dyDescent="0.35">
      <c r="A25">
        <v>3240220</v>
      </c>
      <c r="B25" t="s">
        <v>83</v>
      </c>
      <c r="C25" s="1">
        <v>45720</v>
      </c>
      <c r="D25">
        <v>39502</v>
      </c>
      <c r="E25" t="b">
        <v>0</v>
      </c>
      <c r="F25" t="s">
        <v>84</v>
      </c>
      <c r="G25" t="s">
        <v>85</v>
      </c>
      <c r="H25">
        <v>24</v>
      </c>
      <c r="I25" t="s">
        <v>29</v>
      </c>
      <c r="J25" s="3" t="str">
        <f>IF(ISNUMBER(SEARCH(",Action,",","&amp;SUBSTITUTE(TableMain[[#This Row],[Tags]],", ",",")&amp;",")),"Y","N")</f>
        <v>Y</v>
      </c>
      <c r="K25" s="3" t="str">
        <f>IF(ISNUMBER(SEARCH(",Indie,",","&amp;SUBSTITUTE(TableMain[[#This Row],[Tags]],", ",",")&amp;",")),"Y","N")</f>
        <v>N</v>
      </c>
      <c r="L25" s="3" t="str">
        <f>IF(ISNUMBER(SEARCH(",Adventure,",","&amp;SUBSTITUTE(TableMain[[#This Row],[Tags]],", ",",")&amp;",")),"Y","N")</f>
        <v>Y</v>
      </c>
      <c r="M25" s="3" t="str">
        <f>IF(ISNUMBER(SEARCH(",Simulation,",","&amp;SUBSTITUTE(TableMain[[#This Row],[Tags]],", ",",")&amp;",")),"Y","N")</f>
        <v>N</v>
      </c>
      <c r="N25" s="3" t="str">
        <f>IF(ISNUMBER(SEARCH(",RPG,",","&amp;SUBSTITUTE(TableMain[[#This Row],[Tags]],", ",",")&amp;",")),"Y","N")</f>
        <v>N</v>
      </c>
      <c r="O25" s="3" t="str">
        <f>IF(ISNUMBER(SEARCH(",Strategy,",","&amp;SUBSTITUTE(TableMain[[#This Row],[Tags]],", ",",")&amp;",")),"Y","N")</f>
        <v>N</v>
      </c>
      <c r="P25" s="3" t="str">
        <f>IF(ISNUMBER(SEARCH(",Free To Play,",","&amp;SUBSTITUTE(TableMain[[#This Row],[Tags]],", ",",")&amp;",")),"Y","N")</f>
        <v>N</v>
      </c>
    </row>
    <row r="26" spans="1:16" x14ac:dyDescent="0.35">
      <c r="A26">
        <v>221100</v>
      </c>
      <c r="B26" t="s">
        <v>86</v>
      </c>
      <c r="C26" s="1">
        <v>43447</v>
      </c>
      <c r="D26">
        <v>37066</v>
      </c>
      <c r="E26" t="b">
        <v>0</v>
      </c>
      <c r="F26" t="s">
        <v>87</v>
      </c>
      <c r="G26" t="s">
        <v>88</v>
      </c>
      <c r="H26">
        <v>25</v>
      </c>
      <c r="I26" t="s">
        <v>53</v>
      </c>
      <c r="J26" s="3" t="str">
        <f>IF(ISNUMBER(SEARCH(",Action,",","&amp;SUBSTITUTE(TableMain[[#This Row],[Tags]],", ",",")&amp;",")),"Y","N")</f>
        <v>Y</v>
      </c>
      <c r="K26" s="3" t="str">
        <f>IF(ISNUMBER(SEARCH(",Indie,",","&amp;SUBSTITUTE(TableMain[[#This Row],[Tags]],", ",",")&amp;",")),"Y","N")</f>
        <v>N</v>
      </c>
      <c r="L26" s="3" t="str">
        <f>IF(ISNUMBER(SEARCH(",Adventure,",","&amp;SUBSTITUTE(TableMain[[#This Row],[Tags]],", ",",")&amp;",")),"Y","N")</f>
        <v>Y</v>
      </c>
      <c r="M26" s="3" t="str">
        <f>IF(ISNUMBER(SEARCH(",Simulation,",","&amp;SUBSTITUTE(TableMain[[#This Row],[Tags]],", ",",")&amp;",")),"Y","N")</f>
        <v>N</v>
      </c>
      <c r="N26" s="3" t="str">
        <f>IF(ISNUMBER(SEARCH(",RPG,",","&amp;SUBSTITUTE(TableMain[[#This Row],[Tags]],", ",",")&amp;",")),"Y","N")</f>
        <v>N</v>
      </c>
      <c r="O26" s="3" t="str">
        <f>IF(ISNUMBER(SEARCH(",Strategy,",","&amp;SUBSTITUTE(TableMain[[#This Row],[Tags]],", ",",")&amp;",")),"Y","N")</f>
        <v>N</v>
      </c>
      <c r="P26" s="3" t="str">
        <f>IF(ISNUMBER(SEARCH(",Free To Play,",","&amp;SUBSTITUTE(TableMain[[#This Row],[Tags]],", ",",")&amp;",")),"Y","N")</f>
        <v>N</v>
      </c>
    </row>
    <row r="27" spans="1:16" x14ac:dyDescent="0.35">
      <c r="A27">
        <v>230410</v>
      </c>
      <c r="B27" t="s">
        <v>89</v>
      </c>
      <c r="C27" s="1">
        <v>41358</v>
      </c>
      <c r="D27">
        <v>36195</v>
      </c>
      <c r="E27" t="b">
        <v>0</v>
      </c>
      <c r="F27" t="s">
        <v>90</v>
      </c>
      <c r="G27" t="s">
        <v>91</v>
      </c>
      <c r="H27">
        <v>26</v>
      </c>
      <c r="I27" t="s">
        <v>2092</v>
      </c>
      <c r="J27" s="3" t="str">
        <f>IF(ISNUMBER(SEARCH(",Action,",","&amp;SUBSTITUTE(TableMain[[#This Row],[Tags]],", ",",")&amp;",")),"Y","N")</f>
        <v>Y</v>
      </c>
      <c r="K27" s="3" t="str">
        <f>IF(ISNUMBER(SEARCH(",Indie,",","&amp;SUBSTITUTE(TableMain[[#This Row],[Tags]],", ",",")&amp;",")),"Y","N")</f>
        <v>N</v>
      </c>
      <c r="L27" s="3" t="str">
        <f>IF(ISNUMBER(SEARCH(",Adventure,",","&amp;SUBSTITUTE(TableMain[[#This Row],[Tags]],", ",",")&amp;",")),"Y","N")</f>
        <v>N</v>
      </c>
      <c r="M27" s="3" t="str">
        <f>IF(ISNUMBER(SEARCH(",Simulation,",","&amp;SUBSTITUTE(TableMain[[#This Row],[Tags]],", ",",")&amp;",")),"Y","N")</f>
        <v>N</v>
      </c>
      <c r="N27" s="3" t="str">
        <f>IF(ISNUMBER(SEARCH(",RPG,",","&amp;SUBSTITUTE(TableMain[[#This Row],[Tags]],", ",",")&amp;",")),"Y","N")</f>
        <v>Y</v>
      </c>
      <c r="O27" s="3" t="str">
        <f>IF(ISNUMBER(SEARCH(",Strategy,",","&amp;SUBSTITUTE(TableMain[[#This Row],[Tags]],", ",",")&amp;",")),"Y","N")</f>
        <v>N</v>
      </c>
      <c r="P27" s="3" t="str">
        <f>IF(ISNUMBER(SEARCH(",Free To Play,",","&amp;SUBSTITUTE(TableMain[[#This Row],[Tags]],", ",",")&amp;",")),"Y","N")</f>
        <v>Y</v>
      </c>
    </row>
    <row r="28" spans="1:16" x14ac:dyDescent="0.35">
      <c r="A28">
        <v>438100</v>
      </c>
      <c r="B28" t="s">
        <v>92</v>
      </c>
      <c r="C28" s="1">
        <v>42767</v>
      </c>
      <c r="D28">
        <v>34699</v>
      </c>
      <c r="E28" t="b">
        <v>0</v>
      </c>
      <c r="F28" t="s">
        <v>93</v>
      </c>
      <c r="G28" t="s">
        <v>94</v>
      </c>
      <c r="H28">
        <v>27</v>
      </c>
      <c r="I28" t="s">
        <v>33</v>
      </c>
      <c r="J28" s="3" t="str">
        <f>IF(ISNUMBER(SEARCH(",Action,",","&amp;SUBSTITUTE(TableMain[[#This Row],[Tags]],", ",",")&amp;",")),"Y","N")</f>
        <v>N</v>
      </c>
      <c r="K28" s="3" t="str">
        <f>IF(ISNUMBER(SEARCH(",Indie,",","&amp;SUBSTITUTE(TableMain[[#This Row],[Tags]],", ",",")&amp;",")),"Y","N")</f>
        <v>N</v>
      </c>
      <c r="L28" s="3" t="str">
        <f>IF(ISNUMBER(SEARCH(",Adventure,",","&amp;SUBSTITUTE(TableMain[[#This Row],[Tags]],", ",",")&amp;",")),"Y","N")</f>
        <v>Y</v>
      </c>
      <c r="M28" s="3" t="str">
        <f>IF(ISNUMBER(SEARCH(",Simulation,",","&amp;SUBSTITUTE(TableMain[[#This Row],[Tags]],", ",",")&amp;",")),"Y","N")</f>
        <v>Y</v>
      </c>
      <c r="N28" s="3" t="str">
        <f>IF(ISNUMBER(SEARCH(",RPG,",","&amp;SUBSTITUTE(TableMain[[#This Row],[Tags]],", ",",")&amp;",")),"Y","N")</f>
        <v>N</v>
      </c>
      <c r="O28" s="3" t="str">
        <f>IF(ISNUMBER(SEARCH(",Strategy,",","&amp;SUBSTITUTE(TableMain[[#This Row],[Tags]],", ",",")&amp;",")),"Y","N")</f>
        <v>N</v>
      </c>
      <c r="P28" s="3" t="str">
        <f>IF(ISNUMBER(SEARCH(",Free To Play,",","&amp;SUBSTITUTE(TableMain[[#This Row],[Tags]],", ",",")&amp;",")),"Y","N")</f>
        <v>Y</v>
      </c>
    </row>
    <row r="29" spans="1:16" x14ac:dyDescent="0.35">
      <c r="A29">
        <v>3241660</v>
      </c>
      <c r="B29" t="s">
        <v>95</v>
      </c>
      <c r="C29" s="1">
        <v>45714</v>
      </c>
      <c r="D29">
        <v>32349</v>
      </c>
      <c r="E29" t="b">
        <v>0</v>
      </c>
      <c r="F29" t="s">
        <v>96</v>
      </c>
      <c r="G29" t="s">
        <v>97</v>
      </c>
      <c r="H29">
        <v>28</v>
      </c>
      <c r="I29" t="s">
        <v>25</v>
      </c>
      <c r="J29" s="3" t="str">
        <f>IF(ISNUMBER(SEARCH(",Action,",","&amp;SUBSTITUTE(TableMain[[#This Row],[Tags]],", ",",")&amp;",")),"Y","N")</f>
        <v>Y</v>
      </c>
      <c r="K29" s="3" t="str">
        <f>IF(ISNUMBER(SEARCH(",Indie,",","&amp;SUBSTITUTE(TableMain[[#This Row],[Tags]],", ",",")&amp;",")),"Y","N")</f>
        <v>N</v>
      </c>
      <c r="L29" s="3" t="str">
        <f>IF(ISNUMBER(SEARCH(",Adventure,",","&amp;SUBSTITUTE(TableMain[[#This Row],[Tags]],", ",",")&amp;",")),"Y","N")</f>
        <v>N</v>
      </c>
      <c r="M29" s="3" t="str">
        <f>IF(ISNUMBER(SEARCH(",Simulation,",","&amp;SUBSTITUTE(TableMain[[#This Row],[Tags]],", ",",")&amp;",")),"Y","N")</f>
        <v>N</v>
      </c>
      <c r="N29" s="3" t="str">
        <f>IF(ISNUMBER(SEARCH(",RPG,",","&amp;SUBSTITUTE(TableMain[[#This Row],[Tags]],", ",",")&amp;",")),"Y","N")</f>
        <v>N</v>
      </c>
      <c r="O29" s="3" t="str">
        <f>IF(ISNUMBER(SEARCH(",Strategy,",","&amp;SUBSTITUTE(TableMain[[#This Row],[Tags]],", ",",")&amp;",")),"Y","N")</f>
        <v>N</v>
      </c>
      <c r="P29" s="3" t="str">
        <f>IF(ISNUMBER(SEARCH(",Free To Play,",","&amp;SUBSTITUTE(TableMain[[#This Row],[Tags]],", ",",")&amp;",")),"Y","N")</f>
        <v>N</v>
      </c>
    </row>
    <row r="30" spans="1:16" x14ac:dyDescent="0.35">
      <c r="A30">
        <v>394360</v>
      </c>
      <c r="B30" t="s">
        <v>98</v>
      </c>
      <c r="C30" s="1">
        <v>42527</v>
      </c>
      <c r="D30">
        <v>32112</v>
      </c>
      <c r="E30" t="b">
        <v>1</v>
      </c>
      <c r="F30" t="s">
        <v>99</v>
      </c>
      <c r="G30" t="s">
        <v>100</v>
      </c>
      <c r="H30">
        <v>29</v>
      </c>
      <c r="I30" t="s">
        <v>2093</v>
      </c>
      <c r="J30" s="3" t="str">
        <f>IF(ISNUMBER(SEARCH(",Action,",","&amp;SUBSTITUTE(TableMain[[#This Row],[Tags]],", ",",")&amp;",")),"Y","N")</f>
        <v>N</v>
      </c>
      <c r="K30" s="3" t="str">
        <f>IF(ISNUMBER(SEARCH(",Indie,",","&amp;SUBSTITUTE(TableMain[[#This Row],[Tags]],", ",",")&amp;",")),"Y","N")</f>
        <v>N</v>
      </c>
      <c r="L30" s="3" t="str">
        <f>IF(ISNUMBER(SEARCH(",Adventure,",","&amp;SUBSTITUTE(TableMain[[#This Row],[Tags]],", ",",")&amp;",")),"Y","N")</f>
        <v>N</v>
      </c>
      <c r="M30" s="3" t="str">
        <f>IF(ISNUMBER(SEARCH(",Simulation,",","&amp;SUBSTITUTE(TableMain[[#This Row],[Tags]],", ",",")&amp;",")),"Y","N")</f>
        <v>Y</v>
      </c>
      <c r="N30" s="3" t="str">
        <f>IF(ISNUMBER(SEARCH(",RPG,",","&amp;SUBSTITUTE(TableMain[[#This Row],[Tags]],", ",",")&amp;",")),"Y","N")</f>
        <v>N</v>
      </c>
      <c r="O30" s="3" t="str">
        <f>IF(ISNUMBER(SEARCH(",Strategy,",","&amp;SUBSTITUTE(TableMain[[#This Row],[Tags]],", ",",")&amp;",")),"Y","N")</f>
        <v>Y</v>
      </c>
      <c r="P30" s="3" t="str">
        <f>IF(ISNUMBER(SEARCH(",Free To Play,",","&amp;SUBSTITUTE(TableMain[[#This Row],[Tags]],", ",",")&amp;",")),"Y","N")</f>
        <v>N</v>
      </c>
    </row>
    <row r="31" spans="1:16" x14ac:dyDescent="0.35">
      <c r="A31">
        <v>322330</v>
      </c>
      <c r="B31" t="s">
        <v>101</v>
      </c>
      <c r="C31" s="1">
        <v>42481</v>
      </c>
      <c r="D31">
        <v>30542</v>
      </c>
      <c r="E31" t="b">
        <v>1</v>
      </c>
      <c r="F31" t="s">
        <v>102</v>
      </c>
      <c r="G31" t="s">
        <v>103</v>
      </c>
      <c r="H31">
        <v>30</v>
      </c>
      <c r="I31" t="s">
        <v>110</v>
      </c>
      <c r="J31" s="3" t="str">
        <f>IF(ISNUMBER(SEARCH(",Action,",","&amp;SUBSTITUTE(TableMain[[#This Row],[Tags]],", ",",")&amp;",")),"Y","N")</f>
        <v>Y</v>
      </c>
      <c r="K31" s="3" t="str">
        <f>IF(ISNUMBER(SEARCH(",Indie,",","&amp;SUBSTITUTE(TableMain[[#This Row],[Tags]],", ",",")&amp;",")),"Y","N")</f>
        <v>Y</v>
      </c>
      <c r="L31" s="3" t="str">
        <f>IF(ISNUMBER(SEARCH(",Adventure,",","&amp;SUBSTITUTE(TableMain[[#This Row],[Tags]],", ",",")&amp;",")),"Y","N")</f>
        <v>Y</v>
      </c>
      <c r="M31" s="3" t="str">
        <f>IF(ISNUMBER(SEARCH(",Simulation,",","&amp;SUBSTITUTE(TableMain[[#This Row],[Tags]],", ",",")&amp;",")),"Y","N")</f>
        <v>Y</v>
      </c>
      <c r="N31" s="3" t="str">
        <f>IF(ISNUMBER(SEARCH(",RPG,",","&amp;SUBSTITUTE(TableMain[[#This Row],[Tags]],", ",",")&amp;",")),"Y","N")</f>
        <v>Y</v>
      </c>
      <c r="O31" s="3" t="str">
        <f>IF(ISNUMBER(SEARCH(",Strategy,",","&amp;SUBSTITUTE(TableMain[[#This Row],[Tags]],", ",",")&amp;",")),"Y","N")</f>
        <v>Y</v>
      </c>
      <c r="P31" s="3" t="str">
        <f>IF(ISNUMBER(SEARCH(",Free To Play,",","&amp;SUBSTITUTE(TableMain[[#This Row],[Tags]],", ",",")&amp;",")),"Y","N")</f>
        <v>N</v>
      </c>
    </row>
    <row r="32" spans="1:16" x14ac:dyDescent="0.35">
      <c r="A32">
        <v>1174180</v>
      </c>
      <c r="B32" t="s">
        <v>104</v>
      </c>
      <c r="C32" s="1">
        <v>43804</v>
      </c>
      <c r="D32">
        <v>29885</v>
      </c>
      <c r="E32" t="b">
        <v>0</v>
      </c>
      <c r="F32" t="s">
        <v>84</v>
      </c>
      <c r="G32" t="s">
        <v>46</v>
      </c>
      <c r="H32">
        <v>31</v>
      </c>
      <c r="I32" t="s">
        <v>53</v>
      </c>
      <c r="J32" s="3" t="str">
        <f>IF(ISNUMBER(SEARCH(",Action,",","&amp;SUBSTITUTE(TableMain[[#This Row],[Tags]],", ",",")&amp;",")),"Y","N")</f>
        <v>Y</v>
      </c>
      <c r="K32" s="3" t="str">
        <f>IF(ISNUMBER(SEARCH(",Indie,",","&amp;SUBSTITUTE(TableMain[[#This Row],[Tags]],", ",",")&amp;",")),"Y","N")</f>
        <v>N</v>
      </c>
      <c r="L32" s="3" t="str">
        <f>IF(ISNUMBER(SEARCH(",Adventure,",","&amp;SUBSTITUTE(TableMain[[#This Row],[Tags]],", ",",")&amp;",")),"Y","N")</f>
        <v>Y</v>
      </c>
      <c r="M32" s="3" t="str">
        <f>IF(ISNUMBER(SEARCH(",Simulation,",","&amp;SUBSTITUTE(TableMain[[#This Row],[Tags]],", ",",")&amp;",")),"Y","N")</f>
        <v>N</v>
      </c>
      <c r="N32" s="3" t="str">
        <f>IF(ISNUMBER(SEARCH(",RPG,",","&amp;SUBSTITUTE(TableMain[[#This Row],[Tags]],", ",",")&amp;",")),"Y","N")</f>
        <v>N</v>
      </c>
      <c r="O32" s="3" t="str">
        <f>IF(ISNUMBER(SEARCH(",Strategy,",","&amp;SUBSTITUTE(TableMain[[#This Row],[Tags]],", ",",")&amp;",")),"Y","N")</f>
        <v>N</v>
      </c>
      <c r="P32" s="3" t="str">
        <f>IF(ISNUMBER(SEARCH(",Free To Play,",","&amp;SUBSTITUTE(TableMain[[#This Row],[Tags]],", ",",")&amp;",")),"Y","N")</f>
        <v>N</v>
      </c>
    </row>
    <row r="33" spans="1:16" x14ac:dyDescent="0.35">
      <c r="A33">
        <v>1245620</v>
      </c>
      <c r="B33" t="s">
        <v>105</v>
      </c>
      <c r="C33" s="1">
        <v>44616</v>
      </c>
      <c r="D33">
        <v>29529</v>
      </c>
      <c r="E33" t="b">
        <v>0</v>
      </c>
      <c r="F33" t="s">
        <v>106</v>
      </c>
      <c r="G33" t="s">
        <v>24</v>
      </c>
      <c r="H33">
        <v>32</v>
      </c>
      <c r="I33" t="s">
        <v>25</v>
      </c>
      <c r="J33" s="3" t="str">
        <f>IF(ISNUMBER(SEARCH(",Action,",","&amp;SUBSTITUTE(TableMain[[#This Row],[Tags]],", ",",")&amp;",")),"Y","N")</f>
        <v>Y</v>
      </c>
      <c r="K33" s="3" t="str">
        <f>IF(ISNUMBER(SEARCH(",Indie,",","&amp;SUBSTITUTE(TableMain[[#This Row],[Tags]],", ",",")&amp;",")),"Y","N")</f>
        <v>N</v>
      </c>
      <c r="L33" s="3" t="str">
        <f>IF(ISNUMBER(SEARCH(",Adventure,",","&amp;SUBSTITUTE(TableMain[[#This Row],[Tags]],", ",",")&amp;",")),"Y","N")</f>
        <v>N</v>
      </c>
      <c r="M33" s="3" t="str">
        <f>IF(ISNUMBER(SEARCH(",Simulation,",","&amp;SUBSTITUTE(TableMain[[#This Row],[Tags]],", ",",")&amp;",")),"Y","N")</f>
        <v>N</v>
      </c>
      <c r="N33" s="3" t="str">
        <f>IF(ISNUMBER(SEARCH(",RPG,",","&amp;SUBSTITUTE(TableMain[[#This Row],[Tags]],", ",",")&amp;",")),"Y","N")</f>
        <v>Y</v>
      </c>
      <c r="O33" s="3" t="str">
        <f>IF(ISNUMBER(SEARCH(",Strategy,",","&amp;SUBSTITUTE(TableMain[[#This Row],[Tags]],", ",",")&amp;",")),"Y","N")</f>
        <v>N</v>
      </c>
      <c r="P33" s="3" t="str">
        <f>IF(ISNUMBER(SEARCH(",Free To Play,",","&amp;SUBSTITUTE(TableMain[[#This Row],[Tags]],", ",",")&amp;",")),"Y","N")</f>
        <v>N</v>
      </c>
    </row>
    <row r="34" spans="1:16" x14ac:dyDescent="0.35">
      <c r="A34">
        <v>3188910</v>
      </c>
      <c r="B34" t="s">
        <v>107</v>
      </c>
      <c r="C34" s="1">
        <v>45629</v>
      </c>
      <c r="D34">
        <v>28258</v>
      </c>
      <c r="E34" t="b">
        <v>1</v>
      </c>
      <c r="F34" t="s">
        <v>108</v>
      </c>
      <c r="G34" t="s">
        <v>109</v>
      </c>
      <c r="H34">
        <v>33</v>
      </c>
      <c r="I34" t="s">
        <v>110</v>
      </c>
      <c r="J34" s="3" t="str">
        <f>IF(ISNUMBER(SEARCH(",Action,",","&amp;SUBSTITUTE(TableMain[[#This Row],[Tags]],", ",",")&amp;",")),"Y","N")</f>
        <v>N</v>
      </c>
      <c r="K34" s="3" t="str">
        <f>IF(ISNUMBER(SEARCH(",Indie,",","&amp;SUBSTITUTE(TableMain[[#This Row],[Tags]],", ",",")&amp;",")),"Y","N")</f>
        <v>Y</v>
      </c>
      <c r="L34" s="3" t="str">
        <f>IF(ISNUMBER(SEARCH(",Adventure,",","&amp;SUBSTITUTE(TableMain[[#This Row],[Tags]],", ",",")&amp;",")),"Y","N")</f>
        <v>N</v>
      </c>
      <c r="M34" s="3" t="str">
        <f>IF(ISNUMBER(SEARCH(",Simulation,",","&amp;SUBSTITUTE(TableMain[[#This Row],[Tags]],", ",",")&amp;",")),"Y","N")</f>
        <v>Y</v>
      </c>
      <c r="N34" s="3" t="str">
        <f>IF(ISNUMBER(SEARCH(",RPG,",","&amp;SUBSTITUTE(TableMain[[#This Row],[Tags]],", ",",")&amp;",")),"Y","N")</f>
        <v>Y</v>
      </c>
      <c r="O34" s="3" t="str">
        <f>IF(ISNUMBER(SEARCH(",Strategy,",","&amp;SUBSTITUTE(TableMain[[#This Row],[Tags]],", ",",")&amp;",")),"Y","N")</f>
        <v>N</v>
      </c>
      <c r="P34" s="3" t="str">
        <f>IF(ISNUMBER(SEARCH(",Free To Play,",","&amp;SUBSTITUTE(TableMain[[#This Row],[Tags]],", ",",")&amp;",")),"Y","N")</f>
        <v>Y</v>
      </c>
    </row>
    <row r="35" spans="1:16" x14ac:dyDescent="0.35">
      <c r="A35">
        <v>1903340</v>
      </c>
      <c r="B35" t="s">
        <v>111</v>
      </c>
      <c r="C35" s="1">
        <v>45771</v>
      </c>
      <c r="D35">
        <v>27880</v>
      </c>
      <c r="E35" t="b">
        <v>0</v>
      </c>
      <c r="F35" t="s">
        <v>112</v>
      </c>
      <c r="G35" t="s">
        <v>24</v>
      </c>
      <c r="H35">
        <v>34</v>
      </c>
      <c r="I35" t="s">
        <v>113</v>
      </c>
      <c r="J35" s="3" t="str">
        <f>IF(ISNUMBER(SEARCH(",Action,",","&amp;SUBSTITUTE(TableMain[[#This Row],[Tags]],", ",",")&amp;",")),"Y","N")</f>
        <v>Y</v>
      </c>
      <c r="K35" s="3" t="str">
        <f>IF(ISNUMBER(SEARCH(",Indie,",","&amp;SUBSTITUTE(TableMain[[#This Row],[Tags]],", ",",")&amp;",")),"Y","N")</f>
        <v>N</v>
      </c>
      <c r="L35" s="3" t="str">
        <f>IF(ISNUMBER(SEARCH(",Adventure,",","&amp;SUBSTITUTE(TableMain[[#This Row],[Tags]],", ",",")&amp;",")),"Y","N")</f>
        <v>N</v>
      </c>
      <c r="M35" s="3" t="str">
        <f>IF(ISNUMBER(SEARCH(",Simulation,",","&amp;SUBSTITUTE(TableMain[[#This Row],[Tags]],", ",",")&amp;",")),"Y","N")</f>
        <v>N</v>
      </c>
      <c r="N35" s="3" t="str">
        <f>IF(ISNUMBER(SEARCH(",RPG,",","&amp;SUBSTITUTE(TableMain[[#This Row],[Tags]],", ",",")&amp;",")),"Y","N")</f>
        <v>Y</v>
      </c>
      <c r="O35" s="3" t="str">
        <f>IF(ISNUMBER(SEARCH(",Strategy,",","&amp;SUBSTITUTE(TableMain[[#This Row],[Tags]],", ",",")&amp;",")),"Y","N")</f>
        <v>N</v>
      </c>
      <c r="P35" s="3" t="str">
        <f>IF(ISNUMBER(SEARCH(",Free To Play,",","&amp;SUBSTITUTE(TableMain[[#This Row],[Tags]],", ",",")&amp;",")),"Y","N")</f>
        <v>N</v>
      </c>
    </row>
    <row r="36" spans="1:16" x14ac:dyDescent="0.35">
      <c r="A36">
        <v>322170</v>
      </c>
      <c r="B36" t="s">
        <v>114</v>
      </c>
      <c r="C36" s="1">
        <v>41995</v>
      </c>
      <c r="D36">
        <v>27850</v>
      </c>
      <c r="E36" t="b">
        <v>1</v>
      </c>
      <c r="F36" t="s">
        <v>115</v>
      </c>
      <c r="G36" t="s">
        <v>116</v>
      </c>
      <c r="H36">
        <v>35</v>
      </c>
      <c r="I36" t="s">
        <v>2082</v>
      </c>
      <c r="J36" s="3" t="str">
        <f>IF(ISNUMBER(SEARCH(",Action,",","&amp;SUBSTITUTE(TableMain[[#This Row],[Tags]],", ",",")&amp;",")),"Y","N")</f>
        <v>Y</v>
      </c>
      <c r="K36" s="3" t="str">
        <f>IF(ISNUMBER(SEARCH(",Indie,",","&amp;SUBSTITUTE(TableMain[[#This Row],[Tags]],", ",",")&amp;",")),"Y","N")</f>
        <v>Y</v>
      </c>
      <c r="L36" s="3" t="str">
        <f>IF(ISNUMBER(SEARCH(",Adventure,",","&amp;SUBSTITUTE(TableMain[[#This Row],[Tags]],", ",",")&amp;",")),"Y","N")</f>
        <v>N</v>
      </c>
      <c r="M36" s="3" t="str">
        <f>IF(ISNUMBER(SEARCH(",Simulation,",","&amp;SUBSTITUTE(TableMain[[#This Row],[Tags]],", ",",")&amp;",")),"Y","N")</f>
        <v>N</v>
      </c>
      <c r="N36" s="3" t="str">
        <f>IF(ISNUMBER(SEARCH(",RPG,",","&amp;SUBSTITUTE(TableMain[[#This Row],[Tags]],", ",",")&amp;",")),"Y","N")</f>
        <v>N</v>
      </c>
      <c r="O36" s="3" t="str">
        <f>IF(ISNUMBER(SEARCH(",Strategy,",","&amp;SUBSTITUTE(TableMain[[#This Row],[Tags]],", ",",")&amp;",")),"Y","N")</f>
        <v>N</v>
      </c>
      <c r="P36" s="3" t="str">
        <f>IF(ISNUMBER(SEARCH(",Free To Play,",","&amp;SUBSTITUTE(TableMain[[#This Row],[Tags]],", ",",")&amp;",")),"Y","N")</f>
        <v>N</v>
      </c>
    </row>
    <row r="37" spans="1:16" x14ac:dyDescent="0.35">
      <c r="A37">
        <v>2878980</v>
      </c>
      <c r="B37" t="s">
        <v>117</v>
      </c>
      <c r="C37" s="1">
        <v>45593</v>
      </c>
      <c r="D37">
        <v>27486</v>
      </c>
      <c r="E37" t="b">
        <v>0</v>
      </c>
      <c r="F37" t="s">
        <v>118</v>
      </c>
      <c r="G37" t="s">
        <v>78</v>
      </c>
      <c r="H37">
        <v>36</v>
      </c>
      <c r="I37" t="s">
        <v>119</v>
      </c>
      <c r="J37" s="3" t="str">
        <f>IF(ISNUMBER(SEARCH(",Action,",","&amp;SUBSTITUTE(TableMain[[#This Row],[Tags]],", ",",")&amp;",")),"Y","N")</f>
        <v>N</v>
      </c>
      <c r="K37" s="3" t="str">
        <f>IF(ISNUMBER(SEARCH(",Indie,",","&amp;SUBSTITUTE(TableMain[[#This Row],[Tags]],", ",",")&amp;",")),"Y","N")</f>
        <v>N</v>
      </c>
      <c r="L37" s="3" t="str">
        <f>IF(ISNUMBER(SEARCH(",Adventure,",","&amp;SUBSTITUTE(TableMain[[#This Row],[Tags]],", ",",")&amp;",")),"Y","N")</f>
        <v>N</v>
      </c>
      <c r="M37" s="3" t="str">
        <f>IF(ISNUMBER(SEARCH(",Simulation,",","&amp;SUBSTITUTE(TableMain[[#This Row],[Tags]],", ",",")&amp;",")),"Y","N")</f>
        <v>Y</v>
      </c>
      <c r="N37" s="3" t="str">
        <f>IF(ISNUMBER(SEARCH(",RPG,",","&amp;SUBSTITUTE(TableMain[[#This Row],[Tags]],", ",",")&amp;",")),"Y","N")</f>
        <v>N</v>
      </c>
      <c r="O37" s="3" t="str">
        <f>IF(ISNUMBER(SEARCH(",Strategy,",","&amp;SUBSTITUTE(TableMain[[#This Row],[Tags]],", ",",")&amp;",")),"Y","N")</f>
        <v>N</v>
      </c>
      <c r="P37" s="3" t="str">
        <f>IF(ISNUMBER(SEARCH(",Free To Play,",","&amp;SUBSTITUTE(TableMain[[#This Row],[Tags]],", ",",")&amp;",")),"Y","N")</f>
        <v>N</v>
      </c>
    </row>
    <row r="38" spans="1:16" x14ac:dyDescent="0.35">
      <c r="A38">
        <v>218620</v>
      </c>
      <c r="B38" t="s">
        <v>120</v>
      </c>
      <c r="C38" s="1">
        <v>41499</v>
      </c>
      <c r="D38">
        <v>27254</v>
      </c>
      <c r="E38" t="b">
        <v>0</v>
      </c>
      <c r="F38" t="s">
        <v>121</v>
      </c>
      <c r="G38" t="s">
        <v>24</v>
      </c>
      <c r="H38">
        <v>37</v>
      </c>
      <c r="I38" t="s">
        <v>2082</v>
      </c>
      <c r="J38" s="3" t="str">
        <f>IF(ISNUMBER(SEARCH(",Action,",","&amp;SUBSTITUTE(TableMain[[#This Row],[Tags]],", ",",")&amp;",")),"Y","N")</f>
        <v>Y</v>
      </c>
      <c r="K38" s="3" t="str">
        <f>IF(ISNUMBER(SEARCH(",Indie,",","&amp;SUBSTITUTE(TableMain[[#This Row],[Tags]],", ",",")&amp;",")),"Y","N")</f>
        <v>N</v>
      </c>
      <c r="L38" s="3" t="str">
        <f>IF(ISNUMBER(SEARCH(",Adventure,",","&amp;SUBSTITUTE(TableMain[[#This Row],[Tags]],", ",",")&amp;",")),"Y","N")</f>
        <v>N</v>
      </c>
      <c r="M38" s="3" t="str">
        <f>IF(ISNUMBER(SEARCH(",Simulation,",","&amp;SUBSTITUTE(TableMain[[#This Row],[Tags]],", ",",")&amp;",")),"Y","N")</f>
        <v>N</v>
      </c>
      <c r="N38" s="3" t="str">
        <f>IF(ISNUMBER(SEARCH(",RPG,",","&amp;SUBSTITUTE(TableMain[[#This Row],[Tags]],", ",",")&amp;",")),"Y","N")</f>
        <v>Y</v>
      </c>
      <c r="O38" s="3" t="str">
        <f>IF(ISNUMBER(SEARCH(",Strategy,",","&amp;SUBSTITUTE(TableMain[[#This Row],[Tags]],", ",",")&amp;",")),"Y","N")</f>
        <v>N</v>
      </c>
      <c r="P38" s="3" t="str">
        <f>IF(ISNUMBER(SEARCH(",Free To Play,",","&amp;SUBSTITUTE(TableMain[[#This Row],[Tags]],", ",",")&amp;",")),"Y","N")</f>
        <v>N</v>
      </c>
    </row>
    <row r="39" spans="1:16" x14ac:dyDescent="0.35">
      <c r="A39">
        <v>289070</v>
      </c>
      <c r="B39" t="s">
        <v>122</v>
      </c>
      <c r="C39" s="1">
        <v>42663</v>
      </c>
      <c r="D39">
        <v>25420</v>
      </c>
      <c r="E39" t="b">
        <v>1</v>
      </c>
      <c r="F39" t="s">
        <v>123</v>
      </c>
      <c r="G39" t="s">
        <v>124</v>
      </c>
      <c r="H39">
        <v>38</v>
      </c>
      <c r="I39" t="s">
        <v>304</v>
      </c>
      <c r="J39" s="3" t="str">
        <f>IF(ISNUMBER(SEARCH(",Action,",","&amp;SUBSTITUTE(TableMain[[#This Row],[Tags]],", ",",")&amp;",")),"Y","N")</f>
        <v>N</v>
      </c>
      <c r="K39" s="3" t="str">
        <f>IF(ISNUMBER(SEARCH(",Indie,",","&amp;SUBSTITUTE(TableMain[[#This Row],[Tags]],", ",",")&amp;",")),"Y","N")</f>
        <v>N</v>
      </c>
      <c r="L39" s="3" t="str">
        <f>IF(ISNUMBER(SEARCH(",Adventure,",","&amp;SUBSTITUTE(TableMain[[#This Row],[Tags]],", ",",")&amp;",")),"Y","N")</f>
        <v>N</v>
      </c>
      <c r="M39" s="3" t="str">
        <f>IF(ISNUMBER(SEARCH(",Simulation,",","&amp;SUBSTITUTE(TableMain[[#This Row],[Tags]],", ",",")&amp;",")),"Y","N")</f>
        <v>N</v>
      </c>
      <c r="N39" s="3" t="str">
        <f>IF(ISNUMBER(SEARCH(",RPG,",","&amp;SUBSTITUTE(TableMain[[#This Row],[Tags]],", ",",")&amp;",")),"Y","N")</f>
        <v>N</v>
      </c>
      <c r="O39" s="3" t="str">
        <f>IF(ISNUMBER(SEARCH(",Strategy,",","&amp;SUBSTITUTE(TableMain[[#This Row],[Tags]],", ",",")&amp;",")),"Y","N")</f>
        <v>Y</v>
      </c>
      <c r="P39" s="3" t="str">
        <f>IF(ISNUMBER(SEARCH(",Free To Play,",","&amp;SUBSTITUTE(TableMain[[#This Row],[Tags]],", ",",")&amp;",")),"Y","N")</f>
        <v>N</v>
      </c>
    </row>
    <row r="40" spans="1:16" x14ac:dyDescent="0.35">
      <c r="A40">
        <v>1222670</v>
      </c>
      <c r="B40" t="s">
        <v>125</v>
      </c>
      <c r="C40" s="1">
        <v>44000</v>
      </c>
      <c r="D40">
        <v>25276</v>
      </c>
      <c r="E40" t="b">
        <v>0</v>
      </c>
      <c r="F40" t="s">
        <v>126</v>
      </c>
      <c r="G40" t="s">
        <v>127</v>
      </c>
      <c r="H40">
        <v>39</v>
      </c>
      <c r="I40" t="s">
        <v>110</v>
      </c>
      <c r="J40" s="3" t="str">
        <f>IF(ISNUMBER(SEARCH(",Action,",","&amp;SUBSTITUTE(TableMain[[#This Row],[Tags]],", ",",")&amp;",")),"Y","N")</f>
        <v>N</v>
      </c>
      <c r="K40" s="3" t="str">
        <f>IF(ISNUMBER(SEARCH(",Indie,",","&amp;SUBSTITUTE(TableMain[[#This Row],[Tags]],", ",",")&amp;",")),"Y","N")</f>
        <v>N</v>
      </c>
      <c r="L40" s="3" t="str">
        <f>IF(ISNUMBER(SEARCH(",Adventure,",","&amp;SUBSTITUTE(TableMain[[#This Row],[Tags]],", ",",")&amp;",")),"Y","N")</f>
        <v>Y</v>
      </c>
      <c r="M40" s="3" t="str">
        <f>IF(ISNUMBER(SEARCH(",Simulation,",","&amp;SUBSTITUTE(TableMain[[#This Row],[Tags]],", ",",")&amp;",")),"Y","N")</f>
        <v>Y</v>
      </c>
      <c r="N40" s="3" t="str">
        <f>IF(ISNUMBER(SEARCH(",RPG,",","&amp;SUBSTITUTE(TableMain[[#This Row],[Tags]],", ",",")&amp;",")),"Y","N")</f>
        <v>N</v>
      </c>
      <c r="O40" s="3" t="str">
        <f>IF(ISNUMBER(SEARCH(",Strategy,",","&amp;SUBSTITUTE(TableMain[[#This Row],[Tags]],", ",",")&amp;",")),"Y","N")</f>
        <v>N</v>
      </c>
      <c r="P40" s="3" t="str">
        <f>IF(ISNUMBER(SEARCH(",Free To Play,",","&amp;SUBSTITUTE(TableMain[[#This Row],[Tags]],", ",",")&amp;",")),"Y","N")</f>
        <v>Y</v>
      </c>
    </row>
    <row r="41" spans="1:16" x14ac:dyDescent="0.35">
      <c r="A41">
        <v>550</v>
      </c>
      <c r="B41" t="s">
        <v>128</v>
      </c>
      <c r="C41" s="1">
        <v>40133</v>
      </c>
      <c r="D41">
        <v>25122</v>
      </c>
      <c r="E41" t="b">
        <v>0</v>
      </c>
      <c r="F41" t="s">
        <v>129</v>
      </c>
      <c r="G41" t="s">
        <v>49</v>
      </c>
      <c r="H41">
        <v>40</v>
      </c>
      <c r="I41" t="s">
        <v>2084</v>
      </c>
      <c r="J41" s="3" t="str">
        <f>IF(ISNUMBER(SEARCH(",Action,",","&amp;SUBSTITUTE(TableMain[[#This Row],[Tags]],", ",",")&amp;",")),"Y","N")</f>
        <v>Y</v>
      </c>
      <c r="K41" s="3" t="str">
        <f>IF(ISNUMBER(SEARCH(",Indie,",","&amp;SUBSTITUTE(TableMain[[#This Row],[Tags]],", ",",")&amp;",")),"Y","N")</f>
        <v>N</v>
      </c>
      <c r="L41" s="3" t="str">
        <f>IF(ISNUMBER(SEARCH(",Adventure,",","&amp;SUBSTITUTE(TableMain[[#This Row],[Tags]],", ",",")&amp;",")),"Y","N")</f>
        <v>N</v>
      </c>
      <c r="M41" s="3" t="str">
        <f>IF(ISNUMBER(SEARCH(",Simulation,",","&amp;SUBSTITUTE(TableMain[[#This Row],[Tags]],", ",",")&amp;",")),"Y","N")</f>
        <v>N</v>
      </c>
      <c r="N41" s="3" t="str">
        <f>IF(ISNUMBER(SEARCH(",RPG,",","&amp;SUBSTITUTE(TableMain[[#This Row],[Tags]],", ",",")&amp;",")),"Y","N")</f>
        <v>N</v>
      </c>
      <c r="O41" s="3" t="str">
        <f>IF(ISNUMBER(SEARCH(",Strategy,",","&amp;SUBSTITUTE(TableMain[[#This Row],[Tags]],", ",",")&amp;",")),"Y","N")</f>
        <v>N</v>
      </c>
      <c r="P41" s="3" t="str">
        <f>IF(ISNUMBER(SEARCH(",Free To Play,",","&amp;SUBSTITUTE(TableMain[[#This Row],[Tags]],", ",",")&amp;",")),"Y","N")</f>
        <v>N</v>
      </c>
    </row>
    <row r="42" spans="1:16" x14ac:dyDescent="0.35">
      <c r="A42">
        <v>489830</v>
      </c>
      <c r="B42" t="s">
        <v>130</v>
      </c>
      <c r="C42" s="1">
        <v>42670</v>
      </c>
      <c r="D42">
        <v>25085</v>
      </c>
      <c r="E42" t="b">
        <v>0</v>
      </c>
      <c r="F42" t="s">
        <v>131</v>
      </c>
      <c r="G42" t="s">
        <v>132</v>
      </c>
      <c r="H42">
        <v>41</v>
      </c>
      <c r="I42" t="s">
        <v>133</v>
      </c>
      <c r="J42" s="3" t="str">
        <f>IF(ISNUMBER(SEARCH(",Action,",","&amp;SUBSTITUTE(TableMain[[#This Row],[Tags]],", ",",")&amp;",")),"Y","N")</f>
        <v>N</v>
      </c>
      <c r="K42" s="3" t="str">
        <f>IF(ISNUMBER(SEARCH(",Indie,",","&amp;SUBSTITUTE(TableMain[[#This Row],[Tags]],", ",",")&amp;",")),"Y","N")</f>
        <v>N</v>
      </c>
      <c r="L42" s="3" t="str">
        <f>IF(ISNUMBER(SEARCH(",Adventure,",","&amp;SUBSTITUTE(TableMain[[#This Row],[Tags]],", ",",")&amp;",")),"Y","N")</f>
        <v>N</v>
      </c>
      <c r="M42" s="3" t="str">
        <f>IF(ISNUMBER(SEARCH(",Simulation,",","&amp;SUBSTITUTE(TableMain[[#This Row],[Tags]],", ",",")&amp;",")),"Y","N")</f>
        <v>N</v>
      </c>
      <c r="N42" s="3" t="str">
        <f>IF(ISNUMBER(SEARCH(",RPG,",","&amp;SUBSTITUTE(TableMain[[#This Row],[Tags]],", ",",")&amp;",")),"Y","N")</f>
        <v>Y</v>
      </c>
      <c r="O42" s="3" t="str">
        <f>IF(ISNUMBER(SEARCH(",Strategy,",","&amp;SUBSTITUTE(TableMain[[#This Row],[Tags]],", ",",")&amp;",")),"Y","N")</f>
        <v>N</v>
      </c>
      <c r="P42" s="3" t="str">
        <f>IF(ISNUMBER(SEARCH(",Free To Play,",","&amp;SUBSTITUTE(TableMain[[#This Row],[Tags]],", ",",")&amp;",")),"Y","N")</f>
        <v>N</v>
      </c>
    </row>
    <row r="43" spans="1:16" x14ac:dyDescent="0.35">
      <c r="A43">
        <v>1085660</v>
      </c>
      <c r="B43" t="s">
        <v>134</v>
      </c>
      <c r="C43" s="1">
        <v>43739</v>
      </c>
      <c r="D43">
        <v>24619</v>
      </c>
      <c r="E43" t="b">
        <v>0</v>
      </c>
      <c r="F43" t="s">
        <v>135</v>
      </c>
      <c r="G43" t="s">
        <v>32</v>
      </c>
      <c r="H43">
        <v>42</v>
      </c>
      <c r="I43" t="s">
        <v>33</v>
      </c>
      <c r="J43" s="3" t="str">
        <f>IF(ISNUMBER(SEARCH(",Action,",","&amp;SUBSTITUTE(TableMain[[#This Row],[Tags]],", ",",")&amp;",")),"Y","N")</f>
        <v>Y</v>
      </c>
      <c r="K43" s="3" t="str">
        <f>IF(ISNUMBER(SEARCH(",Indie,",","&amp;SUBSTITUTE(TableMain[[#This Row],[Tags]],", ",",")&amp;",")),"Y","N")</f>
        <v>N</v>
      </c>
      <c r="L43" s="3" t="str">
        <f>IF(ISNUMBER(SEARCH(",Adventure,",","&amp;SUBSTITUTE(TableMain[[#This Row],[Tags]],", ",",")&amp;",")),"Y","N")</f>
        <v>Y</v>
      </c>
      <c r="M43" s="3" t="str">
        <f>IF(ISNUMBER(SEARCH(",Simulation,",","&amp;SUBSTITUTE(TableMain[[#This Row],[Tags]],", ",",")&amp;",")),"Y","N")</f>
        <v>N</v>
      </c>
      <c r="N43" s="3" t="str">
        <f>IF(ISNUMBER(SEARCH(",RPG,",","&amp;SUBSTITUTE(TableMain[[#This Row],[Tags]],", ",",")&amp;",")),"Y","N")</f>
        <v>N</v>
      </c>
      <c r="O43" s="3" t="str">
        <f>IF(ISNUMBER(SEARCH(",Strategy,",","&amp;SUBSTITUTE(TableMain[[#This Row],[Tags]],", ",",")&amp;",")),"Y","N")</f>
        <v>N</v>
      </c>
      <c r="P43" s="3" t="str">
        <f>IF(ISNUMBER(SEARCH(",Free To Play,",","&amp;SUBSTITUTE(TableMain[[#This Row],[Tags]],", ",",")&amp;",")),"Y","N")</f>
        <v>Y</v>
      </c>
    </row>
    <row r="44" spans="1:16" x14ac:dyDescent="0.35">
      <c r="A44">
        <v>105600</v>
      </c>
      <c r="B44" t="s">
        <v>136</v>
      </c>
      <c r="C44" s="1">
        <v>40679</v>
      </c>
      <c r="D44">
        <v>24580</v>
      </c>
      <c r="E44" t="b">
        <v>1</v>
      </c>
      <c r="F44" t="s">
        <v>137</v>
      </c>
      <c r="G44" t="s">
        <v>138</v>
      </c>
      <c r="H44">
        <v>43</v>
      </c>
      <c r="I44" t="s">
        <v>2084</v>
      </c>
      <c r="J44" s="3" t="str">
        <f>IF(ISNUMBER(SEARCH(",Action,",","&amp;SUBSTITUTE(TableMain[[#This Row],[Tags]],", ",",")&amp;",")),"Y","N")</f>
        <v>Y</v>
      </c>
      <c r="K44" s="3" t="str">
        <f>IF(ISNUMBER(SEARCH(",Indie,",","&amp;SUBSTITUTE(TableMain[[#This Row],[Tags]],", ",",")&amp;",")),"Y","N")</f>
        <v>Y</v>
      </c>
      <c r="L44" s="3" t="str">
        <f>IF(ISNUMBER(SEARCH(",Adventure,",","&amp;SUBSTITUTE(TableMain[[#This Row],[Tags]],", ",",")&amp;",")),"Y","N")</f>
        <v>Y</v>
      </c>
      <c r="M44" s="3" t="str">
        <f>IF(ISNUMBER(SEARCH(",Simulation,",","&amp;SUBSTITUTE(TableMain[[#This Row],[Tags]],", ",",")&amp;",")),"Y","N")</f>
        <v>N</v>
      </c>
      <c r="N44" s="3" t="str">
        <f>IF(ISNUMBER(SEARCH(",RPG,",","&amp;SUBSTITUTE(TableMain[[#This Row],[Tags]],", ",",")&amp;",")),"Y","N")</f>
        <v>Y</v>
      </c>
      <c r="O44" s="3" t="str">
        <f>IF(ISNUMBER(SEARCH(",Strategy,",","&amp;SUBSTITUTE(TableMain[[#This Row],[Tags]],", ",",")&amp;",")),"Y","N")</f>
        <v>N</v>
      </c>
      <c r="P44" s="3" t="str">
        <f>IF(ISNUMBER(SEARCH(",Free To Play,",","&amp;SUBSTITUTE(TableMain[[#This Row],[Tags]],", ",",")&amp;",")),"Y","N")</f>
        <v>N</v>
      </c>
    </row>
    <row r="45" spans="1:16" x14ac:dyDescent="0.35">
      <c r="A45">
        <v>108600</v>
      </c>
      <c r="B45" t="s">
        <v>139</v>
      </c>
      <c r="C45" s="1">
        <v>41586</v>
      </c>
      <c r="D45">
        <v>22864</v>
      </c>
      <c r="E45" t="b">
        <v>1</v>
      </c>
      <c r="F45" t="s">
        <v>140</v>
      </c>
      <c r="G45" t="s">
        <v>141</v>
      </c>
      <c r="H45">
        <v>44</v>
      </c>
      <c r="I45" t="s">
        <v>2084</v>
      </c>
      <c r="J45" s="3" t="str">
        <f>IF(ISNUMBER(SEARCH(",Action,",","&amp;SUBSTITUTE(TableMain[[#This Row],[Tags]],", ",",")&amp;",")),"Y","N")</f>
        <v>N</v>
      </c>
      <c r="K45" s="3" t="str">
        <f>IF(ISNUMBER(SEARCH(",Indie,",","&amp;SUBSTITUTE(TableMain[[#This Row],[Tags]],", ",",")&amp;",")),"Y","N")</f>
        <v>Y</v>
      </c>
      <c r="L45" s="3" t="str">
        <f>IF(ISNUMBER(SEARCH(",Adventure,",","&amp;SUBSTITUTE(TableMain[[#This Row],[Tags]],", ",",")&amp;",")),"Y","N")</f>
        <v>N</v>
      </c>
      <c r="M45" s="3" t="str">
        <f>IF(ISNUMBER(SEARCH(",Simulation,",","&amp;SUBSTITUTE(TableMain[[#This Row],[Tags]],", ",",")&amp;",")),"Y","N")</f>
        <v>Y</v>
      </c>
      <c r="N45" s="3" t="str">
        <f>IF(ISNUMBER(SEARCH(",RPG,",","&amp;SUBSTITUTE(TableMain[[#This Row],[Tags]],", ",",")&amp;",")),"Y","N")</f>
        <v>Y</v>
      </c>
      <c r="O45" s="3" t="str">
        <f>IF(ISNUMBER(SEARCH(",Strategy,",","&amp;SUBSTITUTE(TableMain[[#This Row],[Tags]],", ",",")&amp;",")),"Y","N")</f>
        <v>N</v>
      </c>
      <c r="P45" s="3" t="str">
        <f>IF(ISNUMBER(SEARCH(",Free To Play,",","&amp;SUBSTITUTE(TableMain[[#This Row],[Tags]],", ",",")&amp;",")),"Y","N")</f>
        <v>N</v>
      </c>
    </row>
    <row r="46" spans="1:16" x14ac:dyDescent="0.35">
      <c r="A46">
        <v>3164500</v>
      </c>
      <c r="B46" t="s">
        <v>142</v>
      </c>
      <c r="C46" s="1">
        <v>45740</v>
      </c>
      <c r="D46">
        <v>22757</v>
      </c>
      <c r="E46" t="b">
        <v>0</v>
      </c>
      <c r="F46" t="s">
        <v>143</v>
      </c>
      <c r="G46" t="s">
        <v>144</v>
      </c>
      <c r="H46">
        <v>45</v>
      </c>
      <c r="I46" t="s">
        <v>29</v>
      </c>
      <c r="J46" s="3" t="str">
        <f>IF(ISNUMBER(SEARCH(",Action,",","&amp;SUBSTITUTE(TableMain[[#This Row],[Tags]],", ",",")&amp;",")),"Y","N")</f>
        <v>Y</v>
      </c>
      <c r="K46" s="3" t="str">
        <f>IF(ISNUMBER(SEARCH(",Indie,",","&amp;SUBSTITUTE(TableMain[[#This Row],[Tags]],", ",",")&amp;",")),"Y","N")</f>
        <v>Y</v>
      </c>
      <c r="L46" s="3" t="str">
        <f>IF(ISNUMBER(SEARCH(",Adventure,",","&amp;SUBSTITUTE(TableMain[[#This Row],[Tags]],", ",",")&amp;",")),"Y","N")</f>
        <v>N</v>
      </c>
      <c r="M46" s="3" t="str">
        <f>IF(ISNUMBER(SEARCH(",Simulation,",","&amp;SUBSTITUTE(TableMain[[#This Row],[Tags]],", ",",")&amp;",")),"Y","N")</f>
        <v>Y</v>
      </c>
      <c r="N46" s="3" t="str">
        <f>IF(ISNUMBER(SEARCH(",RPG,",","&amp;SUBSTITUTE(TableMain[[#This Row],[Tags]],", ",",")&amp;",")),"Y","N")</f>
        <v>N</v>
      </c>
      <c r="O46" s="3" t="str">
        <f>IF(ISNUMBER(SEARCH(",Strategy,",","&amp;SUBSTITUTE(TableMain[[#This Row],[Tags]],", ",",")&amp;",")),"Y","N")</f>
        <v>Y</v>
      </c>
      <c r="P46" s="3" t="str">
        <f>IF(ISNUMBER(SEARCH(",Free To Play,",","&amp;SUBSTITUTE(TableMain[[#This Row],[Tags]],", ",",")&amp;",")),"Y","N")</f>
        <v>N</v>
      </c>
    </row>
    <row r="47" spans="1:16" x14ac:dyDescent="0.35">
      <c r="A47">
        <v>1091500</v>
      </c>
      <c r="B47" t="s">
        <v>145</v>
      </c>
      <c r="C47" s="1">
        <v>44174</v>
      </c>
      <c r="D47">
        <v>22265</v>
      </c>
      <c r="E47" t="b">
        <v>1</v>
      </c>
      <c r="F47" t="s">
        <v>146</v>
      </c>
      <c r="G47" t="s">
        <v>132</v>
      </c>
      <c r="H47">
        <v>46</v>
      </c>
      <c r="I47" t="s">
        <v>147</v>
      </c>
      <c r="J47" s="3" t="str">
        <f>IF(ISNUMBER(SEARCH(",Action,",","&amp;SUBSTITUTE(TableMain[[#This Row],[Tags]],", ",",")&amp;",")),"Y","N")</f>
        <v>N</v>
      </c>
      <c r="K47" s="3" t="str">
        <f>IF(ISNUMBER(SEARCH(",Indie,",","&amp;SUBSTITUTE(TableMain[[#This Row],[Tags]],", ",",")&amp;",")),"Y","N")</f>
        <v>N</v>
      </c>
      <c r="L47" s="3" t="str">
        <f>IF(ISNUMBER(SEARCH(",Adventure,",","&amp;SUBSTITUTE(TableMain[[#This Row],[Tags]],", ",",")&amp;",")),"Y","N")</f>
        <v>N</v>
      </c>
      <c r="M47" s="3" t="str">
        <f>IF(ISNUMBER(SEARCH(",Simulation,",","&amp;SUBSTITUTE(TableMain[[#This Row],[Tags]],", ",",")&amp;",")),"Y","N")</f>
        <v>N</v>
      </c>
      <c r="N47" s="3" t="str">
        <f>IF(ISNUMBER(SEARCH(",RPG,",","&amp;SUBSTITUTE(TableMain[[#This Row],[Tags]],", ",",")&amp;",")),"Y","N")</f>
        <v>Y</v>
      </c>
      <c r="O47" s="3" t="str">
        <f>IF(ISNUMBER(SEARCH(",Strategy,",","&amp;SUBSTITUTE(TableMain[[#This Row],[Tags]],", ",",")&amp;",")),"Y","N")</f>
        <v>N</v>
      </c>
      <c r="P47" s="3" t="str">
        <f>IF(ISNUMBER(SEARCH(",Free To Play,",","&amp;SUBSTITUTE(TableMain[[#This Row],[Tags]],", ",",")&amp;",")),"Y","N")</f>
        <v>N</v>
      </c>
    </row>
    <row r="48" spans="1:16" x14ac:dyDescent="0.35">
      <c r="A48">
        <v>346110</v>
      </c>
      <c r="B48" t="s">
        <v>148</v>
      </c>
      <c r="C48" s="1">
        <v>42974</v>
      </c>
      <c r="D48">
        <v>22170</v>
      </c>
      <c r="E48" t="b">
        <v>1</v>
      </c>
      <c r="F48" t="s">
        <v>149</v>
      </c>
      <c r="G48" t="s">
        <v>28</v>
      </c>
      <c r="H48">
        <v>47</v>
      </c>
      <c r="I48" t="s">
        <v>304</v>
      </c>
      <c r="J48" s="3" t="str">
        <f>IF(ISNUMBER(SEARCH(",Action,",","&amp;SUBSTITUTE(TableMain[[#This Row],[Tags]],", ",",")&amp;",")),"Y","N")</f>
        <v>Y</v>
      </c>
      <c r="K48" s="3" t="str">
        <f>IF(ISNUMBER(SEARCH(",Indie,",","&amp;SUBSTITUTE(TableMain[[#This Row],[Tags]],", ",",")&amp;",")),"Y","N")</f>
        <v>Y</v>
      </c>
      <c r="L48" s="3" t="str">
        <f>IF(ISNUMBER(SEARCH(",Adventure,",","&amp;SUBSTITUTE(TableMain[[#This Row],[Tags]],", ",",")&amp;",")),"Y","N")</f>
        <v>Y</v>
      </c>
      <c r="M48" s="3" t="str">
        <f>IF(ISNUMBER(SEARCH(",Simulation,",","&amp;SUBSTITUTE(TableMain[[#This Row],[Tags]],", ",",")&amp;",")),"Y","N")</f>
        <v>N</v>
      </c>
      <c r="N48" s="3" t="str">
        <f>IF(ISNUMBER(SEARCH(",RPG,",","&amp;SUBSTITUTE(TableMain[[#This Row],[Tags]],", ",",")&amp;",")),"Y","N")</f>
        <v>Y</v>
      </c>
      <c r="O48" s="3" t="str">
        <f>IF(ISNUMBER(SEARCH(",Strategy,",","&amp;SUBSTITUTE(TableMain[[#This Row],[Tags]],", ",",")&amp;",")),"Y","N")</f>
        <v>N</v>
      </c>
      <c r="P48" s="3" t="str">
        <f>IF(ISNUMBER(SEARCH(",Free To Play,",","&amp;SUBSTITUTE(TableMain[[#This Row],[Tags]],", ",",")&amp;",")),"Y","N")</f>
        <v>N</v>
      </c>
    </row>
    <row r="49" spans="1:16" x14ac:dyDescent="0.35">
      <c r="A49">
        <v>252950</v>
      </c>
      <c r="B49" t="s">
        <v>150</v>
      </c>
      <c r="C49" s="1">
        <v>42191</v>
      </c>
      <c r="D49">
        <v>21106</v>
      </c>
      <c r="E49" t="b">
        <v>0</v>
      </c>
      <c r="F49" t="s">
        <v>151</v>
      </c>
      <c r="G49" t="s">
        <v>152</v>
      </c>
      <c r="H49">
        <v>48</v>
      </c>
      <c r="I49" t="s">
        <v>438</v>
      </c>
      <c r="J49" s="3" t="str">
        <f>IF(ISNUMBER(SEARCH(",Action,",","&amp;SUBSTITUTE(TableMain[[#This Row],[Tags]],", ",",")&amp;",")),"Y","N")</f>
        <v>Y</v>
      </c>
      <c r="K49" s="3" t="str">
        <f>IF(ISNUMBER(SEARCH(",Indie,",","&amp;SUBSTITUTE(TableMain[[#This Row],[Tags]],", ",",")&amp;",")),"Y","N")</f>
        <v>Y</v>
      </c>
      <c r="L49" s="3" t="str">
        <f>IF(ISNUMBER(SEARCH(",Adventure,",","&amp;SUBSTITUTE(TableMain[[#This Row],[Tags]],", ",",")&amp;",")),"Y","N")</f>
        <v>N</v>
      </c>
      <c r="M49" s="3" t="str">
        <f>IF(ISNUMBER(SEARCH(",Simulation,",","&amp;SUBSTITUTE(TableMain[[#This Row],[Tags]],", ",",")&amp;",")),"Y","N")</f>
        <v>N</v>
      </c>
      <c r="N49" s="3" t="str">
        <f>IF(ISNUMBER(SEARCH(",RPG,",","&amp;SUBSTITUTE(TableMain[[#This Row],[Tags]],", ",",")&amp;",")),"Y","N")</f>
        <v>N</v>
      </c>
      <c r="O49" s="3" t="str">
        <f>IF(ISNUMBER(SEARCH(",Strategy,",","&amp;SUBSTITUTE(TableMain[[#This Row],[Tags]],", ",",")&amp;",")),"Y","N")</f>
        <v>N</v>
      </c>
      <c r="P49" s="3" t="str">
        <f>IF(ISNUMBER(SEARCH(",Free To Play,",","&amp;SUBSTITUTE(TableMain[[#This Row],[Tags]],", ",",")&amp;",")),"Y","N")</f>
        <v>N</v>
      </c>
    </row>
    <row r="50" spans="1:16" x14ac:dyDescent="0.35">
      <c r="A50">
        <v>39210</v>
      </c>
      <c r="B50" t="s">
        <v>153</v>
      </c>
      <c r="C50" s="1">
        <v>41688</v>
      </c>
      <c r="D50">
        <v>19824</v>
      </c>
      <c r="E50" t="b">
        <v>0</v>
      </c>
      <c r="F50" t="s">
        <v>154</v>
      </c>
      <c r="G50" t="s">
        <v>155</v>
      </c>
      <c r="H50">
        <v>49</v>
      </c>
      <c r="I50" t="s">
        <v>36</v>
      </c>
      <c r="J50" s="3" t="str">
        <f>IF(ISNUMBER(SEARCH(",Action,",","&amp;SUBSTITUTE(TableMain[[#This Row],[Tags]],", ",",")&amp;",")),"Y","N")</f>
        <v>N</v>
      </c>
      <c r="K50" s="3" t="str">
        <f>IF(ISNUMBER(SEARCH(",Indie,",","&amp;SUBSTITUTE(TableMain[[#This Row],[Tags]],", ",",")&amp;",")),"Y","N")</f>
        <v>N</v>
      </c>
      <c r="L50" s="3" t="str">
        <f>IF(ISNUMBER(SEARCH(",Adventure,",","&amp;SUBSTITUTE(TableMain[[#This Row],[Tags]],", ",",")&amp;",")),"Y","N")</f>
        <v>N</v>
      </c>
      <c r="M50" s="3" t="str">
        <f>IF(ISNUMBER(SEARCH(",Simulation,",","&amp;SUBSTITUTE(TableMain[[#This Row],[Tags]],", ",",")&amp;",")),"Y","N")</f>
        <v>N</v>
      </c>
      <c r="N50" s="3" t="str">
        <f>IF(ISNUMBER(SEARCH(",RPG,",","&amp;SUBSTITUTE(TableMain[[#This Row],[Tags]],", ",",")&amp;",")),"Y","N")</f>
        <v>Y</v>
      </c>
      <c r="O50" s="3" t="str">
        <f>IF(ISNUMBER(SEARCH(",Strategy,",","&amp;SUBSTITUTE(TableMain[[#This Row],[Tags]],", ",",")&amp;",")),"Y","N")</f>
        <v>N</v>
      </c>
      <c r="P50" s="3" t="str">
        <f>IF(ISNUMBER(SEARCH(",Free To Play,",","&amp;SUBSTITUTE(TableMain[[#This Row],[Tags]],", ",",")&amp;",")),"Y","N")</f>
        <v>N</v>
      </c>
    </row>
    <row r="51" spans="1:16" x14ac:dyDescent="0.35">
      <c r="A51">
        <v>2993780</v>
      </c>
      <c r="B51" t="s">
        <v>156</v>
      </c>
      <c r="C51" s="1">
        <v>45798</v>
      </c>
      <c r="D51">
        <v>19498</v>
      </c>
      <c r="E51" t="b">
        <v>0</v>
      </c>
      <c r="F51" t="s">
        <v>157</v>
      </c>
      <c r="G51" t="s">
        <v>132</v>
      </c>
      <c r="H51">
        <v>50</v>
      </c>
      <c r="I51" t="s">
        <v>53</v>
      </c>
      <c r="J51" s="3" t="str">
        <f>IF(ISNUMBER(SEARCH(",Action,",","&amp;SUBSTITUTE(TableMain[[#This Row],[Tags]],", ",",")&amp;",")),"Y","N")</f>
        <v>N</v>
      </c>
      <c r="K51" s="3" t="str">
        <f>IF(ISNUMBER(SEARCH(",Indie,",","&amp;SUBSTITUTE(TableMain[[#This Row],[Tags]],", ",",")&amp;",")),"Y","N")</f>
        <v>N</v>
      </c>
      <c r="L51" s="3" t="str">
        <f>IF(ISNUMBER(SEARCH(",Adventure,",","&amp;SUBSTITUTE(TableMain[[#This Row],[Tags]],", ",",")&amp;",")),"Y","N")</f>
        <v>N</v>
      </c>
      <c r="M51" s="3" t="str">
        <f>IF(ISNUMBER(SEARCH(",Simulation,",","&amp;SUBSTITUTE(TableMain[[#This Row],[Tags]],", ",",")&amp;",")),"Y","N")</f>
        <v>N</v>
      </c>
      <c r="N51" s="3" t="str">
        <f>IF(ISNUMBER(SEARCH(",RPG,",","&amp;SUBSTITUTE(TableMain[[#This Row],[Tags]],", ",",")&amp;",")),"Y","N")</f>
        <v>Y</v>
      </c>
      <c r="O51" s="3" t="str">
        <f>IF(ISNUMBER(SEARCH(",Strategy,",","&amp;SUBSTITUTE(TableMain[[#This Row],[Tags]],", ",",")&amp;",")),"Y","N")</f>
        <v>N</v>
      </c>
      <c r="P51" s="3" t="str">
        <f>IF(ISNUMBER(SEARCH(",Free To Play,",","&amp;SUBSTITUTE(TableMain[[#This Row],[Tags]],", ",",")&amp;",")),"Y","N")</f>
        <v>N</v>
      </c>
    </row>
    <row r="52" spans="1:16" x14ac:dyDescent="0.35">
      <c r="A52">
        <v>294100</v>
      </c>
      <c r="B52" t="s">
        <v>158</v>
      </c>
      <c r="C52" s="1">
        <v>43390</v>
      </c>
      <c r="D52">
        <v>19211</v>
      </c>
      <c r="E52" t="b">
        <v>1</v>
      </c>
      <c r="F52" t="s">
        <v>159</v>
      </c>
      <c r="G52" t="s">
        <v>160</v>
      </c>
      <c r="H52">
        <v>51</v>
      </c>
      <c r="I52" t="s">
        <v>161</v>
      </c>
      <c r="J52" s="3" t="str">
        <f>IF(ISNUMBER(SEARCH(",Action,",","&amp;SUBSTITUTE(TableMain[[#This Row],[Tags]],", ",",")&amp;",")),"Y","N")</f>
        <v>N</v>
      </c>
      <c r="K52" s="3" t="str">
        <f>IF(ISNUMBER(SEARCH(",Indie,",","&amp;SUBSTITUTE(TableMain[[#This Row],[Tags]],", ",",")&amp;",")),"Y","N")</f>
        <v>Y</v>
      </c>
      <c r="L52" s="3" t="str">
        <f>IF(ISNUMBER(SEARCH(",Adventure,",","&amp;SUBSTITUTE(TableMain[[#This Row],[Tags]],", ",",")&amp;",")),"Y","N")</f>
        <v>N</v>
      </c>
      <c r="M52" s="3" t="str">
        <f>IF(ISNUMBER(SEARCH(",Simulation,",","&amp;SUBSTITUTE(TableMain[[#This Row],[Tags]],", ",",")&amp;",")),"Y","N")</f>
        <v>Y</v>
      </c>
      <c r="N52" s="3" t="str">
        <f>IF(ISNUMBER(SEARCH(",RPG,",","&amp;SUBSTITUTE(TableMain[[#This Row],[Tags]],", ",",")&amp;",")),"Y","N")</f>
        <v>N</v>
      </c>
      <c r="O52" s="3" t="str">
        <f>IF(ISNUMBER(SEARCH(",Strategy,",","&amp;SUBSTITUTE(TableMain[[#This Row],[Tags]],", ",",")&amp;",")),"Y","N")</f>
        <v>Y</v>
      </c>
      <c r="P52" s="3" t="str">
        <f>IF(ISNUMBER(SEARCH(",Free To Play,",","&amp;SUBSTITUTE(TableMain[[#This Row],[Tags]],", ",",")&amp;",")),"Y","N")</f>
        <v>N</v>
      </c>
    </row>
    <row r="53" spans="1:16" x14ac:dyDescent="0.35">
      <c r="A53">
        <v>4000</v>
      </c>
      <c r="B53" t="s">
        <v>162</v>
      </c>
      <c r="C53" s="1">
        <v>39050</v>
      </c>
      <c r="D53">
        <v>18400</v>
      </c>
      <c r="E53" t="b">
        <v>1</v>
      </c>
      <c r="F53" t="s">
        <v>163</v>
      </c>
      <c r="G53" t="s">
        <v>164</v>
      </c>
      <c r="H53">
        <v>52</v>
      </c>
      <c r="I53" t="s">
        <v>2083</v>
      </c>
      <c r="J53" s="3" t="str">
        <f>IF(ISNUMBER(SEARCH(",Action,",","&amp;SUBSTITUTE(TableMain[[#This Row],[Tags]],", ",",")&amp;",")),"Y","N")</f>
        <v>N</v>
      </c>
      <c r="K53" s="3" t="str">
        <f>IF(ISNUMBER(SEARCH(",Indie,",","&amp;SUBSTITUTE(TableMain[[#This Row],[Tags]],", ",",")&amp;",")),"Y","N")</f>
        <v>Y</v>
      </c>
      <c r="L53" s="3" t="str">
        <f>IF(ISNUMBER(SEARCH(",Adventure,",","&amp;SUBSTITUTE(TableMain[[#This Row],[Tags]],", ",",")&amp;",")),"Y","N")</f>
        <v>N</v>
      </c>
      <c r="M53" s="3" t="str">
        <f>IF(ISNUMBER(SEARCH(",Simulation,",","&amp;SUBSTITUTE(TableMain[[#This Row],[Tags]],", ",",")&amp;",")),"Y","N")</f>
        <v>Y</v>
      </c>
      <c r="N53" s="3" t="str">
        <f>IF(ISNUMBER(SEARCH(",RPG,",","&amp;SUBSTITUTE(TableMain[[#This Row],[Tags]],", ",",")&amp;",")),"Y","N")</f>
        <v>N</v>
      </c>
      <c r="O53" s="3" t="str">
        <f>IF(ISNUMBER(SEARCH(",Strategy,",","&amp;SUBSTITUTE(TableMain[[#This Row],[Tags]],", ",",")&amp;",")),"Y","N")</f>
        <v>N</v>
      </c>
      <c r="P53" s="3" t="str">
        <f>IF(ISNUMBER(SEARCH(",Free To Play,",","&amp;SUBSTITUTE(TableMain[[#This Row],[Tags]],", ",",")&amp;",")),"Y","N")</f>
        <v>N</v>
      </c>
    </row>
    <row r="54" spans="1:16" x14ac:dyDescent="0.35">
      <c r="A54">
        <v>1623730</v>
      </c>
      <c r="B54" t="s">
        <v>165</v>
      </c>
      <c r="C54" s="1">
        <v>45309</v>
      </c>
      <c r="D54">
        <v>18028</v>
      </c>
      <c r="E54" t="b">
        <v>0</v>
      </c>
      <c r="F54" t="s">
        <v>166</v>
      </c>
      <c r="G54" t="s">
        <v>167</v>
      </c>
      <c r="H54">
        <v>53</v>
      </c>
      <c r="I54" t="s">
        <v>113</v>
      </c>
      <c r="J54" s="3" t="str">
        <f>IF(ISNUMBER(SEARCH(",Action,",","&amp;SUBSTITUTE(TableMain[[#This Row],[Tags]],", ",",")&amp;",")),"Y","N")</f>
        <v>Y</v>
      </c>
      <c r="K54" s="3" t="str">
        <f>IF(ISNUMBER(SEARCH(",Indie,",","&amp;SUBSTITUTE(TableMain[[#This Row],[Tags]],", ",",")&amp;",")),"Y","N")</f>
        <v>Y</v>
      </c>
      <c r="L54" s="3" t="str">
        <f>IF(ISNUMBER(SEARCH(",Adventure,",","&amp;SUBSTITUTE(TableMain[[#This Row],[Tags]],", ",",")&amp;",")),"Y","N")</f>
        <v>Y</v>
      </c>
      <c r="M54" s="3" t="str">
        <f>IF(ISNUMBER(SEARCH(",Simulation,",","&amp;SUBSTITUTE(TableMain[[#This Row],[Tags]],", ",",")&amp;",")),"Y","N")</f>
        <v>N</v>
      </c>
      <c r="N54" s="3" t="str">
        <f>IF(ISNUMBER(SEARCH(",RPG,",","&amp;SUBSTITUTE(TableMain[[#This Row],[Tags]],", ",",")&amp;",")),"Y","N")</f>
        <v>Y</v>
      </c>
      <c r="O54" s="3" t="str">
        <f>IF(ISNUMBER(SEARCH(",Strategy,",","&amp;SUBSTITUTE(TableMain[[#This Row],[Tags]],", ",",")&amp;",")),"Y","N")</f>
        <v>N</v>
      </c>
      <c r="P54" s="3" t="str">
        <f>IF(ISNUMBER(SEARCH(",Free To Play,",","&amp;SUBSTITUTE(TableMain[[#This Row],[Tags]],", ",",")&amp;",")),"Y","N")</f>
        <v>N</v>
      </c>
    </row>
    <row r="55" spans="1:16" x14ac:dyDescent="0.35">
      <c r="A55">
        <v>1599340</v>
      </c>
      <c r="B55" t="s">
        <v>168</v>
      </c>
      <c r="C55" s="1">
        <v>44603</v>
      </c>
      <c r="D55">
        <v>17355</v>
      </c>
      <c r="E55" t="b">
        <v>0</v>
      </c>
      <c r="F55" t="s">
        <v>169</v>
      </c>
      <c r="G55" t="s">
        <v>170</v>
      </c>
      <c r="H55">
        <v>54</v>
      </c>
      <c r="I55" t="s">
        <v>171</v>
      </c>
      <c r="J55" s="3" t="str">
        <f>IF(ISNUMBER(SEARCH(",Action,",","&amp;SUBSTITUTE(TableMain[[#This Row],[Tags]],", ",",")&amp;",")),"Y","N")</f>
        <v>Y</v>
      </c>
      <c r="K55" s="3" t="str">
        <f>IF(ISNUMBER(SEARCH(",Indie,",","&amp;SUBSTITUTE(TableMain[[#This Row],[Tags]],", ",",")&amp;",")),"Y","N")</f>
        <v>N</v>
      </c>
      <c r="L55" s="3" t="str">
        <f>IF(ISNUMBER(SEARCH(",Adventure,",","&amp;SUBSTITUTE(TableMain[[#This Row],[Tags]],", ",",")&amp;",")),"Y","N")</f>
        <v>Y</v>
      </c>
      <c r="M55" s="3" t="str">
        <f>IF(ISNUMBER(SEARCH(",Simulation,",","&amp;SUBSTITUTE(TableMain[[#This Row],[Tags]],", ",",")&amp;",")),"Y","N")</f>
        <v>N</v>
      </c>
      <c r="N55" s="3" t="str">
        <f>IF(ISNUMBER(SEARCH(",RPG,",","&amp;SUBSTITUTE(TableMain[[#This Row],[Tags]],", ",",")&amp;",")),"Y","N")</f>
        <v>Y</v>
      </c>
      <c r="O55" s="3" t="str">
        <f>IF(ISNUMBER(SEARCH(",Strategy,",","&amp;SUBSTITUTE(TableMain[[#This Row],[Tags]],", ",",")&amp;",")),"Y","N")</f>
        <v>N</v>
      </c>
      <c r="P55" s="3" t="str">
        <f>IF(ISNUMBER(SEARCH(",Free To Play,",","&amp;SUBSTITUTE(TableMain[[#This Row],[Tags]],", ",",")&amp;",")),"Y","N")</f>
        <v>Y</v>
      </c>
    </row>
    <row r="56" spans="1:16" x14ac:dyDescent="0.35">
      <c r="A56">
        <v>227300</v>
      </c>
      <c r="B56" t="s">
        <v>172</v>
      </c>
      <c r="C56" s="1">
        <v>41194</v>
      </c>
      <c r="D56">
        <v>17281</v>
      </c>
      <c r="E56" t="b">
        <v>1</v>
      </c>
      <c r="F56" t="s">
        <v>173</v>
      </c>
      <c r="G56" t="s">
        <v>174</v>
      </c>
      <c r="H56">
        <v>55</v>
      </c>
      <c r="I56" t="s">
        <v>967</v>
      </c>
      <c r="J56" s="3" t="str">
        <f>IF(ISNUMBER(SEARCH(",Action,",","&amp;SUBSTITUTE(TableMain[[#This Row],[Tags]],", ",",")&amp;",")),"Y","N")</f>
        <v>N</v>
      </c>
      <c r="K56" s="3" t="str">
        <f>IF(ISNUMBER(SEARCH(",Indie,",","&amp;SUBSTITUTE(TableMain[[#This Row],[Tags]],", ",",")&amp;",")),"Y","N")</f>
        <v>Y</v>
      </c>
      <c r="L56" s="3" t="str">
        <f>IF(ISNUMBER(SEARCH(",Adventure,",","&amp;SUBSTITUTE(TableMain[[#This Row],[Tags]],", ",",")&amp;",")),"Y","N")</f>
        <v>N</v>
      </c>
      <c r="M56" s="3" t="str">
        <f>IF(ISNUMBER(SEARCH(",Simulation,",","&amp;SUBSTITUTE(TableMain[[#This Row],[Tags]],", ",",")&amp;",")),"Y","N")</f>
        <v>Y</v>
      </c>
      <c r="N56" s="3" t="str">
        <f>IF(ISNUMBER(SEARCH(",RPG,",","&amp;SUBSTITUTE(TableMain[[#This Row],[Tags]],", ",",")&amp;",")),"Y","N")</f>
        <v>N</v>
      </c>
      <c r="O56" s="3" t="str">
        <f>IF(ISNUMBER(SEARCH(",Strategy,",","&amp;SUBSTITUTE(TableMain[[#This Row],[Tags]],", ",",")&amp;",")),"Y","N")</f>
        <v>N</v>
      </c>
      <c r="P56" s="3" t="str">
        <f>IF(ISNUMBER(SEARCH(",Free To Play,",","&amp;SUBSTITUTE(TableMain[[#This Row],[Tags]],", ",",")&amp;",")),"Y","N")</f>
        <v>N</v>
      </c>
    </row>
    <row r="57" spans="1:16" x14ac:dyDescent="0.35">
      <c r="A57">
        <v>2379780</v>
      </c>
      <c r="B57" t="s">
        <v>176</v>
      </c>
      <c r="C57" s="1">
        <v>45342</v>
      </c>
      <c r="D57">
        <v>17123</v>
      </c>
      <c r="E57" t="b">
        <v>1</v>
      </c>
      <c r="F57" t="s">
        <v>177</v>
      </c>
      <c r="G57" t="s">
        <v>178</v>
      </c>
      <c r="H57">
        <v>56</v>
      </c>
      <c r="I57" t="s">
        <v>14</v>
      </c>
      <c r="J57" s="3" t="str">
        <f>IF(ISNUMBER(SEARCH(",Action,",","&amp;SUBSTITUTE(TableMain[[#This Row],[Tags]],", ",",")&amp;",")),"Y","N")</f>
        <v>N</v>
      </c>
      <c r="K57" s="3" t="str">
        <f>IF(ISNUMBER(SEARCH(",Indie,",","&amp;SUBSTITUTE(TableMain[[#This Row],[Tags]],", ",",")&amp;",")),"Y","N")</f>
        <v>Y</v>
      </c>
      <c r="L57" s="3" t="str">
        <f>IF(ISNUMBER(SEARCH(",Adventure,",","&amp;SUBSTITUTE(TableMain[[#This Row],[Tags]],", ",",")&amp;",")),"Y","N")</f>
        <v>N</v>
      </c>
      <c r="M57" s="3" t="str">
        <f>IF(ISNUMBER(SEARCH(",Simulation,",","&amp;SUBSTITUTE(TableMain[[#This Row],[Tags]],", ",",")&amp;",")),"Y","N")</f>
        <v>N</v>
      </c>
      <c r="N57" s="3" t="str">
        <f>IF(ISNUMBER(SEARCH(",RPG,",","&amp;SUBSTITUTE(TableMain[[#This Row],[Tags]],", ",",")&amp;",")),"Y","N")</f>
        <v>N</v>
      </c>
      <c r="O57" s="3" t="str">
        <f>IF(ISNUMBER(SEARCH(",Strategy,",","&amp;SUBSTITUTE(TableMain[[#This Row],[Tags]],", ",",")&amp;",")),"Y","N")</f>
        <v>Y</v>
      </c>
      <c r="P57" s="3" t="str">
        <f>IF(ISNUMBER(SEARCH(",Free To Play,",","&amp;SUBSTITUTE(TableMain[[#This Row],[Tags]],", ",",")&amp;",")),"Y","N")</f>
        <v>N</v>
      </c>
    </row>
    <row r="58" spans="1:16" x14ac:dyDescent="0.35">
      <c r="A58">
        <v>251570</v>
      </c>
      <c r="B58" t="s">
        <v>179</v>
      </c>
      <c r="C58" s="1">
        <v>45498</v>
      </c>
      <c r="D58">
        <v>17045</v>
      </c>
      <c r="E58" t="b">
        <v>1</v>
      </c>
      <c r="F58" t="s">
        <v>180</v>
      </c>
      <c r="G58" t="s">
        <v>103</v>
      </c>
      <c r="H58">
        <v>57</v>
      </c>
      <c r="I58" t="s">
        <v>304</v>
      </c>
      <c r="J58" s="3" t="str">
        <f>IF(ISNUMBER(SEARCH(",Action,",","&amp;SUBSTITUTE(TableMain[[#This Row],[Tags]],", ",",")&amp;",")),"Y","N")</f>
        <v>Y</v>
      </c>
      <c r="K58" s="3" t="str">
        <f>IF(ISNUMBER(SEARCH(",Indie,",","&amp;SUBSTITUTE(TableMain[[#This Row],[Tags]],", ",",")&amp;",")),"Y","N")</f>
        <v>Y</v>
      </c>
      <c r="L58" s="3" t="str">
        <f>IF(ISNUMBER(SEARCH(",Adventure,",","&amp;SUBSTITUTE(TableMain[[#This Row],[Tags]],", ",",")&amp;",")),"Y","N")</f>
        <v>Y</v>
      </c>
      <c r="M58" s="3" t="str">
        <f>IF(ISNUMBER(SEARCH(",Simulation,",","&amp;SUBSTITUTE(TableMain[[#This Row],[Tags]],", ",",")&amp;",")),"Y","N")</f>
        <v>Y</v>
      </c>
      <c r="N58" s="3" t="str">
        <f>IF(ISNUMBER(SEARCH(",RPG,",","&amp;SUBSTITUTE(TableMain[[#This Row],[Tags]],", ",",")&amp;",")),"Y","N")</f>
        <v>Y</v>
      </c>
      <c r="O58" s="3" t="str">
        <f>IF(ISNUMBER(SEARCH(",Strategy,",","&amp;SUBSTITUTE(TableMain[[#This Row],[Tags]],", ",",")&amp;",")),"Y","N")</f>
        <v>Y</v>
      </c>
      <c r="P58" s="3" t="str">
        <f>IF(ISNUMBER(SEARCH(",Free To Play,",","&amp;SUBSTITUTE(TableMain[[#This Row],[Tags]],", ",",")&amp;",")),"Y","N")</f>
        <v>N</v>
      </c>
    </row>
    <row r="59" spans="1:16" x14ac:dyDescent="0.35">
      <c r="A59">
        <v>1142710</v>
      </c>
      <c r="B59" t="s">
        <v>181</v>
      </c>
      <c r="C59" s="1">
        <v>44608</v>
      </c>
      <c r="D59">
        <v>16842</v>
      </c>
      <c r="E59" t="b">
        <v>1</v>
      </c>
      <c r="F59" t="s">
        <v>182</v>
      </c>
      <c r="G59" t="s">
        <v>183</v>
      </c>
      <c r="H59">
        <v>58</v>
      </c>
      <c r="I59" t="s">
        <v>184</v>
      </c>
      <c r="J59" s="3" t="str">
        <f>IF(ISNUMBER(SEARCH(",Action,",","&amp;SUBSTITUTE(TableMain[[#This Row],[Tags]],", ",",")&amp;",")),"Y","N")</f>
        <v>Y</v>
      </c>
      <c r="K59" s="3" t="str">
        <f>IF(ISNUMBER(SEARCH(",Indie,",","&amp;SUBSTITUTE(TableMain[[#This Row],[Tags]],", ",",")&amp;",")),"Y","N")</f>
        <v>N</v>
      </c>
      <c r="L59" s="3" t="str">
        <f>IF(ISNUMBER(SEARCH(",Adventure,",","&amp;SUBSTITUTE(TableMain[[#This Row],[Tags]],", ",",")&amp;",")),"Y","N")</f>
        <v>N</v>
      </c>
      <c r="M59" s="3" t="str">
        <f>IF(ISNUMBER(SEARCH(",Simulation,",","&amp;SUBSTITUTE(TableMain[[#This Row],[Tags]],", ",",")&amp;",")),"Y","N")</f>
        <v>N</v>
      </c>
      <c r="N59" s="3" t="str">
        <f>IF(ISNUMBER(SEARCH(",RPG,",","&amp;SUBSTITUTE(TableMain[[#This Row],[Tags]],", ",",")&amp;",")),"Y","N")</f>
        <v>N</v>
      </c>
      <c r="O59" s="3" t="str">
        <f>IF(ISNUMBER(SEARCH(",Strategy,",","&amp;SUBSTITUTE(TableMain[[#This Row],[Tags]],", ",",")&amp;",")),"Y","N")</f>
        <v>Y</v>
      </c>
      <c r="P59" s="3" t="str">
        <f>IF(ISNUMBER(SEARCH(",Free To Play,",","&amp;SUBSTITUTE(TableMain[[#This Row],[Tags]],", ",",")&amp;",")),"Y","N")</f>
        <v>N</v>
      </c>
    </row>
    <row r="60" spans="1:16" x14ac:dyDescent="0.35">
      <c r="A60">
        <v>2694490</v>
      </c>
      <c r="B60" t="s">
        <v>185</v>
      </c>
      <c r="C60" s="1">
        <v>45632</v>
      </c>
      <c r="D60">
        <v>16727</v>
      </c>
      <c r="E60" t="b">
        <v>0</v>
      </c>
      <c r="F60" t="s">
        <v>186</v>
      </c>
      <c r="G60" t="s">
        <v>187</v>
      </c>
      <c r="H60">
        <v>59</v>
      </c>
      <c r="I60" t="s">
        <v>36</v>
      </c>
      <c r="J60" s="3" t="str">
        <f>IF(ISNUMBER(SEARCH(",Action,",","&amp;SUBSTITUTE(TableMain[[#This Row],[Tags]],", ",",")&amp;",")),"Y","N")</f>
        <v>Y</v>
      </c>
      <c r="K60" s="3" t="str">
        <f>IF(ISNUMBER(SEARCH(",Indie,",","&amp;SUBSTITUTE(TableMain[[#This Row],[Tags]],", ",",")&amp;",")),"Y","N")</f>
        <v>N</v>
      </c>
      <c r="L60" s="3" t="str">
        <f>IF(ISNUMBER(SEARCH(",Adventure,",","&amp;SUBSTITUTE(TableMain[[#This Row],[Tags]],", ",",")&amp;",")),"Y","N")</f>
        <v>Y</v>
      </c>
      <c r="M60" s="3" t="str">
        <f>IF(ISNUMBER(SEARCH(",Simulation,",","&amp;SUBSTITUTE(TableMain[[#This Row],[Tags]],", ",",")&amp;",")),"Y","N")</f>
        <v>N</v>
      </c>
      <c r="N60" s="3" t="str">
        <f>IF(ISNUMBER(SEARCH(",RPG,",","&amp;SUBSTITUTE(TableMain[[#This Row],[Tags]],", ",",")&amp;",")),"Y","N")</f>
        <v>Y</v>
      </c>
      <c r="O60" s="3" t="str">
        <f>IF(ISNUMBER(SEARCH(",Strategy,",","&amp;SUBSTITUTE(TableMain[[#This Row],[Tags]],", ",",")&amp;",")),"Y","N")</f>
        <v>N</v>
      </c>
      <c r="P60" s="3" t="str">
        <f>IF(ISNUMBER(SEARCH(",Free To Play,",","&amp;SUBSTITUTE(TableMain[[#This Row],[Tags]],", ",",")&amp;",")),"Y","N")</f>
        <v>N</v>
      </c>
    </row>
    <row r="61" spans="1:16" x14ac:dyDescent="0.35">
      <c r="A61">
        <v>427520</v>
      </c>
      <c r="B61" t="s">
        <v>188</v>
      </c>
      <c r="C61" s="1">
        <v>44057</v>
      </c>
      <c r="D61">
        <v>16426</v>
      </c>
      <c r="E61" t="b">
        <v>1</v>
      </c>
      <c r="F61" t="s">
        <v>189</v>
      </c>
      <c r="G61" t="s">
        <v>190</v>
      </c>
      <c r="H61">
        <v>60</v>
      </c>
      <c r="I61" t="s">
        <v>133</v>
      </c>
      <c r="J61" s="3" t="str">
        <f>IF(ISNUMBER(SEARCH(",Action,",","&amp;SUBSTITUTE(TableMain[[#This Row],[Tags]],", ",",")&amp;",")),"Y","N")</f>
        <v>N</v>
      </c>
      <c r="K61" s="3" t="str">
        <f>IF(ISNUMBER(SEARCH(",Indie,",","&amp;SUBSTITUTE(TableMain[[#This Row],[Tags]],", ",",")&amp;",")),"Y","N")</f>
        <v>Y</v>
      </c>
      <c r="L61" s="3" t="str">
        <f>IF(ISNUMBER(SEARCH(",Adventure,",","&amp;SUBSTITUTE(TableMain[[#This Row],[Tags]],", ",",")&amp;",")),"Y","N")</f>
        <v>N</v>
      </c>
      <c r="M61" s="3" t="str">
        <f>IF(ISNUMBER(SEARCH(",Simulation,",","&amp;SUBSTITUTE(TableMain[[#This Row],[Tags]],", ",",")&amp;",")),"Y","N")</f>
        <v>Y</v>
      </c>
      <c r="N61" s="3" t="str">
        <f>IF(ISNUMBER(SEARCH(",RPG,",","&amp;SUBSTITUTE(TableMain[[#This Row],[Tags]],", ",",")&amp;",")),"Y","N")</f>
        <v>N</v>
      </c>
      <c r="O61" s="3" t="str">
        <f>IF(ISNUMBER(SEARCH(",Strategy,",","&amp;SUBSTITUTE(TableMain[[#This Row],[Tags]],", ",",")&amp;",")),"Y","N")</f>
        <v>Y</v>
      </c>
      <c r="P61" s="3" t="str">
        <f>IF(ISNUMBER(SEARCH(",Free To Play,",","&amp;SUBSTITUTE(TableMain[[#This Row],[Tags]],", ",",")&amp;",")),"Y","N")</f>
        <v>N</v>
      </c>
    </row>
    <row r="62" spans="1:16" x14ac:dyDescent="0.35">
      <c r="A62">
        <v>306130</v>
      </c>
      <c r="B62" t="s">
        <v>191</v>
      </c>
      <c r="C62" s="1">
        <v>42877</v>
      </c>
      <c r="D62">
        <v>15987</v>
      </c>
      <c r="E62" t="b">
        <v>1</v>
      </c>
      <c r="F62" t="s">
        <v>192</v>
      </c>
      <c r="G62" t="s">
        <v>193</v>
      </c>
      <c r="H62">
        <v>61</v>
      </c>
      <c r="I62" t="s">
        <v>33</v>
      </c>
      <c r="J62" s="3" t="str">
        <f>IF(ISNUMBER(SEARCH(",Action,",","&amp;SUBSTITUTE(TableMain[[#This Row],[Tags]],", ",",")&amp;",")),"Y","N")</f>
        <v>Y</v>
      </c>
      <c r="K62" s="3" t="str">
        <f>IF(ISNUMBER(SEARCH(",Indie,",","&amp;SUBSTITUTE(TableMain[[#This Row],[Tags]],", ",",")&amp;",")),"Y","N")</f>
        <v>N</v>
      </c>
      <c r="L62" s="3" t="str">
        <f>IF(ISNUMBER(SEARCH(",Adventure,",","&amp;SUBSTITUTE(TableMain[[#This Row],[Tags]],", ",",")&amp;",")),"Y","N")</f>
        <v>Y</v>
      </c>
      <c r="M62" s="3" t="str">
        <f>IF(ISNUMBER(SEARCH(",Simulation,",","&amp;SUBSTITUTE(TableMain[[#This Row],[Tags]],", ",",")&amp;",")),"Y","N")</f>
        <v>N</v>
      </c>
      <c r="N62" s="3" t="str">
        <f>IF(ISNUMBER(SEARCH(",RPG,",","&amp;SUBSTITUTE(TableMain[[#This Row],[Tags]],", ",",")&amp;",")),"Y","N")</f>
        <v>Y</v>
      </c>
      <c r="O62" s="3" t="str">
        <f>IF(ISNUMBER(SEARCH(",Strategy,",","&amp;SUBSTITUTE(TableMain[[#This Row],[Tags]],", ",",")&amp;",")),"Y","N")</f>
        <v>N</v>
      </c>
      <c r="P62" s="3" t="str">
        <f>IF(ISNUMBER(SEARCH(",Free To Play,",","&amp;SUBSTITUTE(TableMain[[#This Row],[Tags]],", ",",")&amp;",")),"Y","N")</f>
        <v>N</v>
      </c>
    </row>
    <row r="63" spans="1:16" x14ac:dyDescent="0.35">
      <c r="A63">
        <v>292030</v>
      </c>
      <c r="B63" t="s">
        <v>194</v>
      </c>
      <c r="C63" s="1">
        <v>42142</v>
      </c>
      <c r="D63">
        <v>15893</v>
      </c>
      <c r="E63" t="b">
        <v>0</v>
      </c>
      <c r="F63" t="s">
        <v>195</v>
      </c>
      <c r="G63" t="s">
        <v>132</v>
      </c>
      <c r="H63">
        <v>62</v>
      </c>
      <c r="I63" t="s">
        <v>967</v>
      </c>
      <c r="J63" s="3" t="str">
        <f>IF(ISNUMBER(SEARCH(",Action,",","&amp;SUBSTITUTE(TableMain[[#This Row],[Tags]],", ",",")&amp;",")),"Y","N")</f>
        <v>N</v>
      </c>
      <c r="K63" s="3" t="str">
        <f>IF(ISNUMBER(SEARCH(",Indie,",","&amp;SUBSTITUTE(TableMain[[#This Row],[Tags]],", ",",")&amp;",")),"Y","N")</f>
        <v>N</v>
      </c>
      <c r="L63" s="3" t="str">
        <f>IF(ISNUMBER(SEARCH(",Adventure,",","&amp;SUBSTITUTE(TableMain[[#This Row],[Tags]],", ",",")&amp;",")),"Y","N")</f>
        <v>N</v>
      </c>
      <c r="M63" s="3" t="str">
        <f>IF(ISNUMBER(SEARCH(",Simulation,",","&amp;SUBSTITUTE(TableMain[[#This Row],[Tags]],", ",",")&amp;",")),"Y","N")</f>
        <v>N</v>
      </c>
      <c r="N63" s="3" t="str">
        <f>IF(ISNUMBER(SEARCH(",RPG,",","&amp;SUBSTITUTE(TableMain[[#This Row],[Tags]],", ",",")&amp;",")),"Y","N")</f>
        <v>Y</v>
      </c>
      <c r="O63" s="3" t="str">
        <f>IF(ISNUMBER(SEARCH(",Strategy,",","&amp;SUBSTITUTE(TableMain[[#This Row],[Tags]],", ",",")&amp;",")),"Y","N")</f>
        <v>N</v>
      </c>
      <c r="P63" s="3" t="str">
        <f>IF(ISNUMBER(SEARCH(",Free To Play,",","&amp;SUBSTITUTE(TableMain[[#This Row],[Tags]],", ",",")&amp;",")),"Y","N")</f>
        <v>N</v>
      </c>
    </row>
    <row r="64" spans="1:16" x14ac:dyDescent="0.35">
      <c r="A64">
        <v>284160</v>
      </c>
      <c r="B64" t="s">
        <v>196</v>
      </c>
      <c r="C64" s="1">
        <v>42153</v>
      </c>
      <c r="D64">
        <v>15863</v>
      </c>
      <c r="E64" t="b">
        <v>0</v>
      </c>
      <c r="F64" t="s">
        <v>197</v>
      </c>
      <c r="G64" t="s">
        <v>198</v>
      </c>
      <c r="H64">
        <v>63</v>
      </c>
      <c r="I64" t="s">
        <v>199</v>
      </c>
      <c r="J64" s="3" t="str">
        <f>IF(ISNUMBER(SEARCH(",Action,",","&amp;SUBSTITUTE(TableMain[[#This Row],[Tags]],", ",",")&amp;",")),"Y","N")</f>
        <v>N</v>
      </c>
      <c r="K64" s="3" t="str">
        <f>IF(ISNUMBER(SEARCH(",Indie,",","&amp;SUBSTITUTE(TableMain[[#This Row],[Tags]],", ",",")&amp;",")),"Y","N")</f>
        <v>N</v>
      </c>
      <c r="L64" s="3" t="str">
        <f>IF(ISNUMBER(SEARCH(",Adventure,",","&amp;SUBSTITUTE(TableMain[[#This Row],[Tags]],", ",",")&amp;",")),"Y","N")</f>
        <v>N</v>
      </c>
      <c r="M64" s="3" t="str">
        <f>IF(ISNUMBER(SEARCH(",Simulation,",","&amp;SUBSTITUTE(TableMain[[#This Row],[Tags]],", ",",")&amp;",")),"Y","N")</f>
        <v>Y</v>
      </c>
      <c r="N64" s="3" t="str">
        <f>IF(ISNUMBER(SEARCH(",RPG,",","&amp;SUBSTITUTE(TableMain[[#This Row],[Tags]],", ",",")&amp;",")),"Y","N")</f>
        <v>N</v>
      </c>
      <c r="O64" s="3" t="str">
        <f>IF(ISNUMBER(SEARCH(",Strategy,",","&amp;SUBSTITUTE(TableMain[[#This Row],[Tags]],", ",",")&amp;",")),"Y","N")</f>
        <v>N</v>
      </c>
      <c r="P64" s="3" t="str">
        <f>IF(ISNUMBER(SEARCH(",Free To Play,",","&amp;SUBSTITUTE(TableMain[[#This Row],[Tags]],", ",",")&amp;",")),"Y","N")</f>
        <v>N</v>
      </c>
    </row>
    <row r="65" spans="1:16" x14ac:dyDescent="0.35">
      <c r="A65">
        <v>629520</v>
      </c>
      <c r="B65" t="s">
        <v>200</v>
      </c>
      <c r="C65" s="1">
        <v>43008</v>
      </c>
      <c r="D65">
        <v>15279</v>
      </c>
      <c r="E65" t="b">
        <v>0</v>
      </c>
      <c r="F65" t="s">
        <v>201</v>
      </c>
      <c r="G65" t="s">
        <v>202</v>
      </c>
      <c r="H65">
        <v>64</v>
      </c>
      <c r="I65" t="s">
        <v>110</v>
      </c>
      <c r="J65" s="3" t="str">
        <f>IF(ISNUMBER(SEARCH(",Action,",","&amp;SUBSTITUTE(TableMain[[#This Row],[Tags]],", ",",")&amp;",")),"Y","N")</f>
        <v>N</v>
      </c>
      <c r="K65" s="3" t="str">
        <f>IF(ISNUMBER(SEARCH(",Indie,",","&amp;SUBSTITUTE(TableMain[[#This Row],[Tags]],", ",",")&amp;",")),"Y","N")</f>
        <v>N</v>
      </c>
      <c r="L65" s="3" t="str">
        <f>IF(ISNUMBER(SEARCH(",Adventure,",","&amp;SUBSTITUTE(TableMain[[#This Row],[Tags]],", ",",")&amp;",")),"Y","N")</f>
        <v>N</v>
      </c>
      <c r="M65" s="3" t="str">
        <f>IF(ISNUMBER(SEARCH(",Simulation,",","&amp;SUBSTITUTE(TableMain[[#This Row],[Tags]],", ",",")&amp;",")),"Y","N")</f>
        <v>N</v>
      </c>
      <c r="N65" s="3" t="str">
        <f>IF(ISNUMBER(SEARCH(",RPG,",","&amp;SUBSTITUTE(TableMain[[#This Row],[Tags]],", ",",")&amp;",")),"Y","N")</f>
        <v>N</v>
      </c>
      <c r="O65" s="3" t="str">
        <f>IF(ISNUMBER(SEARCH(",Strategy,",","&amp;SUBSTITUTE(TableMain[[#This Row],[Tags]],", ",",")&amp;",")),"Y","N")</f>
        <v>N</v>
      </c>
      <c r="P65" s="3" t="str">
        <f>IF(ISNUMBER(SEARCH(",Free To Play,",","&amp;SUBSTITUTE(TableMain[[#This Row],[Tags]],", ",",")&amp;",")),"Y","N")</f>
        <v>N</v>
      </c>
    </row>
    <row r="66" spans="1:16" x14ac:dyDescent="0.35">
      <c r="A66">
        <v>646570</v>
      </c>
      <c r="B66" t="s">
        <v>203</v>
      </c>
      <c r="C66" s="1">
        <v>43488</v>
      </c>
      <c r="D66">
        <v>15038</v>
      </c>
      <c r="E66" t="b">
        <v>1</v>
      </c>
      <c r="F66" t="s">
        <v>204</v>
      </c>
      <c r="G66" t="s">
        <v>205</v>
      </c>
      <c r="H66">
        <v>65</v>
      </c>
      <c r="I66" t="s">
        <v>2082</v>
      </c>
      <c r="J66" s="3" t="str">
        <f>IF(ISNUMBER(SEARCH(",Action,",","&amp;SUBSTITUTE(TableMain[[#This Row],[Tags]],", ",",")&amp;",")),"Y","N")</f>
        <v>N</v>
      </c>
      <c r="K66" s="3" t="str">
        <f>IF(ISNUMBER(SEARCH(",Indie,",","&amp;SUBSTITUTE(TableMain[[#This Row],[Tags]],", ",",")&amp;",")),"Y","N")</f>
        <v>Y</v>
      </c>
      <c r="L66" s="3" t="str">
        <f>IF(ISNUMBER(SEARCH(",Adventure,",","&amp;SUBSTITUTE(TableMain[[#This Row],[Tags]],", ",",")&amp;",")),"Y","N")</f>
        <v>N</v>
      </c>
      <c r="M66" s="3" t="str">
        <f>IF(ISNUMBER(SEARCH(",Simulation,",","&amp;SUBSTITUTE(TableMain[[#This Row],[Tags]],", ",",")&amp;",")),"Y","N")</f>
        <v>N</v>
      </c>
      <c r="N66" s="3" t="str">
        <f>IF(ISNUMBER(SEARCH(",RPG,",","&amp;SUBSTITUTE(TableMain[[#This Row],[Tags]],", ",",")&amp;",")),"Y","N")</f>
        <v>N</v>
      </c>
      <c r="O66" s="3" t="str">
        <f>IF(ISNUMBER(SEARCH(",Strategy,",","&amp;SUBSTITUTE(TableMain[[#This Row],[Tags]],", ",",")&amp;",")),"Y","N")</f>
        <v>Y</v>
      </c>
      <c r="P66" s="3" t="str">
        <f>IF(ISNUMBER(SEARCH(",Free To Play,",","&amp;SUBSTITUTE(TableMain[[#This Row],[Tags]],", ",",")&amp;",")),"Y","N")</f>
        <v>N</v>
      </c>
    </row>
    <row r="67" spans="1:16" x14ac:dyDescent="0.35">
      <c r="A67">
        <v>2358720</v>
      </c>
      <c r="B67" t="s">
        <v>206</v>
      </c>
      <c r="C67" s="1">
        <v>45523</v>
      </c>
      <c r="D67">
        <v>15004</v>
      </c>
      <c r="E67" t="b">
        <v>0</v>
      </c>
      <c r="F67" t="s">
        <v>207</v>
      </c>
      <c r="G67" t="s">
        <v>208</v>
      </c>
      <c r="H67">
        <v>66</v>
      </c>
      <c r="I67" t="s">
        <v>36</v>
      </c>
      <c r="J67" s="3" t="str">
        <f>IF(ISNUMBER(SEARCH(",Action,",","&amp;SUBSTITUTE(TableMain[[#This Row],[Tags]],", ",",")&amp;",")),"Y","N")</f>
        <v>Y</v>
      </c>
      <c r="K67" s="3" t="str">
        <f>IF(ISNUMBER(SEARCH(",Indie,",","&amp;SUBSTITUTE(TableMain[[#This Row],[Tags]],", ",",")&amp;",")),"Y","N")</f>
        <v>N</v>
      </c>
      <c r="L67" s="3" t="str">
        <f>IF(ISNUMBER(SEARCH(",Adventure,",","&amp;SUBSTITUTE(TableMain[[#This Row],[Tags]],", ",",")&amp;",")),"Y","N")</f>
        <v>Y</v>
      </c>
      <c r="M67" s="3" t="str">
        <f>IF(ISNUMBER(SEARCH(",Simulation,",","&amp;SUBSTITUTE(TableMain[[#This Row],[Tags]],", ",",")&amp;",")),"Y","N")</f>
        <v>N</v>
      </c>
      <c r="N67" s="3" t="str">
        <f>IF(ISNUMBER(SEARCH(",RPG,",","&amp;SUBSTITUTE(TableMain[[#This Row],[Tags]],", ",",")&amp;",")),"Y","N")</f>
        <v>Y</v>
      </c>
      <c r="O67" s="3" t="str">
        <f>IF(ISNUMBER(SEARCH(",Strategy,",","&amp;SUBSTITUTE(TableMain[[#This Row],[Tags]],", ",",")&amp;",")),"Y","N")</f>
        <v>N</v>
      </c>
      <c r="P67" s="3" t="str">
        <f>IF(ISNUMBER(SEARCH(",Free To Play,",","&amp;SUBSTITUTE(TableMain[[#This Row],[Tags]],", ",",")&amp;",")),"Y","N")</f>
        <v>N</v>
      </c>
    </row>
    <row r="68" spans="1:16" x14ac:dyDescent="0.35">
      <c r="A68">
        <v>766570</v>
      </c>
      <c r="B68" t="s">
        <v>209</v>
      </c>
      <c r="C68" s="1">
        <v>44510</v>
      </c>
      <c r="D68">
        <v>14950</v>
      </c>
      <c r="E68" t="b">
        <v>0</v>
      </c>
      <c r="F68" t="s">
        <v>210</v>
      </c>
      <c r="G68" t="s">
        <v>211</v>
      </c>
      <c r="H68">
        <v>67</v>
      </c>
      <c r="I68" t="s">
        <v>53</v>
      </c>
      <c r="J68" s="3" t="str">
        <f>IF(ISNUMBER(SEARCH(",Action,",","&amp;SUBSTITUTE(TableMain[[#This Row],[Tags]],", ",",")&amp;",")),"Y","N")</f>
        <v>N</v>
      </c>
      <c r="K68" s="3" t="str">
        <f>IF(ISNUMBER(SEARCH(",Indie,",","&amp;SUBSTITUTE(TableMain[[#This Row],[Tags]],", ",",")&amp;",")),"Y","N")</f>
        <v>N</v>
      </c>
      <c r="L68" s="3" t="str">
        <f>IF(ISNUMBER(SEARCH(",Adventure,",","&amp;SUBSTITUTE(TableMain[[#This Row],[Tags]],", ",",")&amp;",")),"Y","N")</f>
        <v>Y</v>
      </c>
      <c r="M68" s="3" t="str">
        <f>IF(ISNUMBER(SEARCH(",Simulation,",","&amp;SUBSTITUTE(TableMain[[#This Row],[Tags]],", ",",")&amp;",")),"Y","N")</f>
        <v>Y</v>
      </c>
      <c r="N68" s="3" t="str">
        <f>IF(ISNUMBER(SEARCH(",RPG,",","&amp;SUBSTITUTE(TableMain[[#This Row],[Tags]],", ",",")&amp;",")),"Y","N")</f>
        <v>Y</v>
      </c>
      <c r="O68" s="3" t="str">
        <f>IF(ISNUMBER(SEARCH(",Strategy,",","&amp;SUBSTITUTE(TableMain[[#This Row],[Tags]],", ",",")&amp;",")),"Y","N")</f>
        <v>N</v>
      </c>
      <c r="P68" s="3" t="str">
        <f>IF(ISNUMBER(SEARCH(",Free To Play,",","&amp;SUBSTITUTE(TableMain[[#This Row],[Tags]],", ",",")&amp;",")),"Y","N")</f>
        <v>Y</v>
      </c>
    </row>
    <row r="69" spans="1:16" x14ac:dyDescent="0.35">
      <c r="A69">
        <v>1364780</v>
      </c>
      <c r="B69" t="s">
        <v>212</v>
      </c>
      <c r="C69" s="1">
        <v>45078</v>
      </c>
      <c r="D69">
        <v>14920</v>
      </c>
      <c r="E69" t="b">
        <v>0</v>
      </c>
      <c r="F69" t="s">
        <v>213</v>
      </c>
      <c r="G69" t="s">
        <v>46</v>
      </c>
      <c r="H69">
        <v>68</v>
      </c>
      <c r="I69" t="s">
        <v>119</v>
      </c>
      <c r="J69" s="3" t="str">
        <f>IF(ISNUMBER(SEARCH(",Action,",","&amp;SUBSTITUTE(TableMain[[#This Row],[Tags]],", ",",")&amp;",")),"Y","N")</f>
        <v>Y</v>
      </c>
      <c r="K69" s="3" t="str">
        <f>IF(ISNUMBER(SEARCH(",Indie,",","&amp;SUBSTITUTE(TableMain[[#This Row],[Tags]],", ",",")&amp;",")),"Y","N")</f>
        <v>N</v>
      </c>
      <c r="L69" s="3" t="str">
        <f>IF(ISNUMBER(SEARCH(",Adventure,",","&amp;SUBSTITUTE(TableMain[[#This Row],[Tags]],", ",",")&amp;",")),"Y","N")</f>
        <v>Y</v>
      </c>
      <c r="M69" s="3" t="str">
        <f>IF(ISNUMBER(SEARCH(",Simulation,",","&amp;SUBSTITUTE(TableMain[[#This Row],[Tags]],", ",",")&amp;",")),"Y","N")</f>
        <v>N</v>
      </c>
      <c r="N69" s="3" t="str">
        <f>IF(ISNUMBER(SEARCH(",RPG,",","&amp;SUBSTITUTE(TableMain[[#This Row],[Tags]],", ",",")&amp;",")),"Y","N")</f>
        <v>N</v>
      </c>
      <c r="O69" s="3" t="str">
        <f>IF(ISNUMBER(SEARCH(",Strategy,",","&amp;SUBSTITUTE(TableMain[[#This Row],[Tags]],", ",",")&amp;",")),"Y","N")</f>
        <v>N</v>
      </c>
      <c r="P69" s="3" t="str">
        <f>IF(ISNUMBER(SEARCH(",Free To Play,",","&amp;SUBSTITUTE(TableMain[[#This Row],[Tags]],", ",",")&amp;",")),"Y","N")</f>
        <v>N</v>
      </c>
    </row>
    <row r="70" spans="1:16" x14ac:dyDescent="0.35">
      <c r="A70">
        <v>250900</v>
      </c>
      <c r="B70" t="s">
        <v>214</v>
      </c>
      <c r="C70" s="1">
        <v>41947</v>
      </c>
      <c r="D70">
        <v>14904</v>
      </c>
      <c r="E70" t="b">
        <v>1</v>
      </c>
      <c r="F70" t="s">
        <v>215</v>
      </c>
      <c r="G70" t="s">
        <v>49</v>
      </c>
      <c r="H70">
        <v>69</v>
      </c>
      <c r="I70" t="s">
        <v>2083</v>
      </c>
      <c r="J70" s="3" t="str">
        <f>IF(ISNUMBER(SEARCH(",Action,",","&amp;SUBSTITUTE(TableMain[[#This Row],[Tags]],", ",",")&amp;",")),"Y","N")</f>
        <v>Y</v>
      </c>
      <c r="K70" s="3" t="str">
        <f>IF(ISNUMBER(SEARCH(",Indie,",","&amp;SUBSTITUTE(TableMain[[#This Row],[Tags]],", ",",")&amp;",")),"Y","N")</f>
        <v>N</v>
      </c>
      <c r="L70" s="3" t="str">
        <f>IF(ISNUMBER(SEARCH(",Adventure,",","&amp;SUBSTITUTE(TableMain[[#This Row],[Tags]],", ",",")&amp;",")),"Y","N")</f>
        <v>N</v>
      </c>
      <c r="M70" s="3" t="str">
        <f>IF(ISNUMBER(SEARCH(",Simulation,",","&amp;SUBSTITUTE(TableMain[[#This Row],[Tags]],", ",",")&amp;",")),"Y","N")</f>
        <v>N</v>
      </c>
      <c r="N70" s="3" t="str">
        <f>IF(ISNUMBER(SEARCH(",RPG,",","&amp;SUBSTITUTE(TableMain[[#This Row],[Tags]],", ",",")&amp;",")),"Y","N")</f>
        <v>N</v>
      </c>
      <c r="O70" s="3" t="str">
        <f>IF(ISNUMBER(SEARCH(",Strategy,",","&amp;SUBSTITUTE(TableMain[[#This Row],[Tags]],", ",",")&amp;",")),"Y","N")</f>
        <v>N</v>
      </c>
      <c r="P70" s="3" t="str">
        <f>IF(ISNUMBER(SEARCH(",Free To Play,",","&amp;SUBSTITUTE(TableMain[[#This Row],[Tags]],", ",",")&amp;",")),"Y","N")</f>
        <v>N</v>
      </c>
    </row>
    <row r="71" spans="1:16" x14ac:dyDescent="0.35">
      <c r="A71">
        <v>261550</v>
      </c>
      <c r="B71" t="s">
        <v>216</v>
      </c>
      <c r="C71" s="1">
        <v>44859</v>
      </c>
      <c r="D71">
        <v>14477</v>
      </c>
      <c r="E71" t="b">
        <v>0</v>
      </c>
      <c r="F71" t="s">
        <v>217</v>
      </c>
      <c r="G71" t="s">
        <v>218</v>
      </c>
      <c r="H71">
        <v>70</v>
      </c>
      <c r="I71" t="s">
        <v>53</v>
      </c>
      <c r="J71" s="3" t="str">
        <f>IF(ISNUMBER(SEARCH(",Action,",","&amp;SUBSTITUTE(TableMain[[#This Row],[Tags]],", ",",")&amp;",")),"Y","N")</f>
        <v>Y</v>
      </c>
      <c r="K71" s="3" t="str">
        <f>IF(ISNUMBER(SEARCH(",Indie,",","&amp;SUBSTITUTE(TableMain[[#This Row],[Tags]],", ",",")&amp;",")),"Y","N")</f>
        <v>Y</v>
      </c>
      <c r="L71" s="3" t="str">
        <f>IF(ISNUMBER(SEARCH(",Adventure,",","&amp;SUBSTITUTE(TableMain[[#This Row],[Tags]],", ",",")&amp;",")),"Y","N")</f>
        <v>N</v>
      </c>
      <c r="M71" s="3" t="str">
        <f>IF(ISNUMBER(SEARCH(",Simulation,",","&amp;SUBSTITUTE(TableMain[[#This Row],[Tags]],", ",",")&amp;",")),"Y","N")</f>
        <v>Y</v>
      </c>
      <c r="N71" s="3" t="str">
        <f>IF(ISNUMBER(SEARCH(",RPG,",","&amp;SUBSTITUTE(TableMain[[#This Row],[Tags]],", ",",")&amp;",")),"Y","N")</f>
        <v>Y</v>
      </c>
      <c r="O71" s="3" t="str">
        <f>IF(ISNUMBER(SEARCH(",Strategy,",","&amp;SUBSTITUTE(TableMain[[#This Row],[Tags]],", ",",")&amp;",")),"Y","N")</f>
        <v>Y</v>
      </c>
      <c r="P71" s="3" t="str">
        <f>IF(ISNUMBER(SEARCH(",Free To Play,",","&amp;SUBSTITUTE(TableMain[[#This Row],[Tags]],", ",",")&amp;",")),"Y","N")</f>
        <v>N</v>
      </c>
    </row>
    <row r="72" spans="1:16" x14ac:dyDescent="0.35">
      <c r="A72">
        <v>892970</v>
      </c>
      <c r="B72" t="s">
        <v>219</v>
      </c>
      <c r="C72" s="1">
        <v>44229</v>
      </c>
      <c r="D72">
        <v>14439</v>
      </c>
      <c r="E72" t="b">
        <v>1</v>
      </c>
      <c r="F72" t="s">
        <v>220</v>
      </c>
      <c r="G72" t="s">
        <v>167</v>
      </c>
      <c r="H72">
        <v>71</v>
      </c>
      <c r="I72" t="s">
        <v>18</v>
      </c>
      <c r="J72" s="3" t="str">
        <f>IF(ISNUMBER(SEARCH(",Action,",","&amp;SUBSTITUTE(TableMain[[#This Row],[Tags]],", ",",")&amp;",")),"Y","N")</f>
        <v>Y</v>
      </c>
      <c r="K72" s="3" t="str">
        <f>IF(ISNUMBER(SEARCH(",Indie,",","&amp;SUBSTITUTE(TableMain[[#This Row],[Tags]],", ",",")&amp;",")),"Y","N")</f>
        <v>Y</v>
      </c>
      <c r="L72" s="3" t="str">
        <f>IF(ISNUMBER(SEARCH(",Adventure,",","&amp;SUBSTITUTE(TableMain[[#This Row],[Tags]],", ",",")&amp;",")),"Y","N")</f>
        <v>Y</v>
      </c>
      <c r="M72" s="3" t="str">
        <f>IF(ISNUMBER(SEARCH(",Simulation,",","&amp;SUBSTITUTE(TableMain[[#This Row],[Tags]],", ",",")&amp;",")),"Y","N")</f>
        <v>N</v>
      </c>
      <c r="N72" s="3" t="str">
        <f>IF(ISNUMBER(SEARCH(",RPG,",","&amp;SUBSTITUTE(TableMain[[#This Row],[Tags]],", ",",")&amp;",")),"Y","N")</f>
        <v>Y</v>
      </c>
      <c r="O72" s="3" t="str">
        <f>IF(ISNUMBER(SEARCH(",Strategy,",","&amp;SUBSTITUTE(TableMain[[#This Row],[Tags]],", ",",")&amp;",")),"Y","N")</f>
        <v>N</v>
      </c>
      <c r="P72" s="3" t="str">
        <f>IF(ISNUMBER(SEARCH(",Free To Play,",","&amp;SUBSTITUTE(TableMain[[#This Row],[Tags]],", ",",")&amp;",")),"Y","N")</f>
        <v>N</v>
      </c>
    </row>
    <row r="73" spans="1:16" x14ac:dyDescent="0.35">
      <c r="A73">
        <v>2623190</v>
      </c>
      <c r="B73" t="s">
        <v>221</v>
      </c>
      <c r="C73" s="1">
        <v>45769</v>
      </c>
      <c r="D73">
        <v>14420</v>
      </c>
      <c r="E73" t="b">
        <v>0</v>
      </c>
      <c r="F73" t="s">
        <v>222</v>
      </c>
      <c r="G73" t="s">
        <v>132</v>
      </c>
      <c r="H73">
        <v>72</v>
      </c>
      <c r="I73" t="s">
        <v>223</v>
      </c>
      <c r="J73" s="3" t="str">
        <f>IF(ISNUMBER(SEARCH(",Action,",","&amp;SUBSTITUTE(TableMain[[#This Row],[Tags]],", ",",")&amp;",")),"Y","N")</f>
        <v>N</v>
      </c>
      <c r="K73" s="3" t="str">
        <f>IF(ISNUMBER(SEARCH(",Indie,",","&amp;SUBSTITUTE(TableMain[[#This Row],[Tags]],", ",",")&amp;",")),"Y","N")</f>
        <v>N</v>
      </c>
      <c r="L73" s="3" t="str">
        <f>IF(ISNUMBER(SEARCH(",Adventure,",","&amp;SUBSTITUTE(TableMain[[#This Row],[Tags]],", ",",")&amp;",")),"Y","N")</f>
        <v>N</v>
      </c>
      <c r="M73" s="3" t="str">
        <f>IF(ISNUMBER(SEARCH(",Simulation,",","&amp;SUBSTITUTE(TableMain[[#This Row],[Tags]],", ",",")&amp;",")),"Y","N")</f>
        <v>N</v>
      </c>
      <c r="N73" s="3" t="str">
        <f>IF(ISNUMBER(SEARCH(",RPG,",","&amp;SUBSTITUTE(TableMain[[#This Row],[Tags]],", ",",")&amp;",")),"Y","N")</f>
        <v>Y</v>
      </c>
      <c r="O73" s="3" t="str">
        <f>IF(ISNUMBER(SEARCH(",Strategy,",","&amp;SUBSTITUTE(TableMain[[#This Row],[Tags]],", ",",")&amp;",")),"Y","N")</f>
        <v>N</v>
      </c>
      <c r="P73" s="3" t="str">
        <f>IF(ISNUMBER(SEARCH(",Free To Play,",","&amp;SUBSTITUTE(TableMain[[#This Row],[Tags]],", ",",")&amp;",")),"Y","N")</f>
        <v>N</v>
      </c>
    </row>
    <row r="74" spans="1:16" x14ac:dyDescent="0.35">
      <c r="A74">
        <v>582660</v>
      </c>
      <c r="B74" t="s">
        <v>224</v>
      </c>
      <c r="C74" s="1">
        <v>42879</v>
      </c>
      <c r="D74">
        <v>14345</v>
      </c>
      <c r="E74" t="b">
        <v>0</v>
      </c>
      <c r="F74" t="s">
        <v>225</v>
      </c>
      <c r="G74" t="s">
        <v>226</v>
      </c>
      <c r="H74">
        <v>73</v>
      </c>
      <c r="I74" t="s">
        <v>68</v>
      </c>
      <c r="J74" s="3" t="str">
        <f>IF(ISNUMBER(SEARCH(",Action,",","&amp;SUBSTITUTE(TableMain[[#This Row],[Tags]],", ",",")&amp;",")),"Y","N")</f>
        <v>Y</v>
      </c>
      <c r="K74" s="3" t="str">
        <f>IF(ISNUMBER(SEARCH(",Indie,",","&amp;SUBSTITUTE(TableMain[[#This Row],[Tags]],", ",",")&amp;",")),"Y","N")</f>
        <v>N</v>
      </c>
      <c r="L74" s="3" t="str">
        <f>IF(ISNUMBER(SEARCH(",Adventure,",","&amp;SUBSTITUTE(TableMain[[#This Row],[Tags]],", ",",")&amp;",")),"Y","N")</f>
        <v>Y</v>
      </c>
      <c r="M74" s="3" t="str">
        <f>IF(ISNUMBER(SEARCH(",Simulation,",","&amp;SUBSTITUTE(TableMain[[#This Row],[Tags]],", ",",")&amp;",")),"Y","N")</f>
        <v>N</v>
      </c>
      <c r="N74" s="3" t="str">
        <f>IF(ISNUMBER(SEARCH(",RPG,",","&amp;SUBSTITUTE(TableMain[[#This Row],[Tags]],", ",",")&amp;",")),"Y","N")</f>
        <v>Y</v>
      </c>
      <c r="O74" s="3" t="str">
        <f>IF(ISNUMBER(SEARCH(",Strategy,",","&amp;SUBSTITUTE(TableMain[[#This Row],[Tags]],", ",",")&amp;",")),"Y","N")</f>
        <v>Y</v>
      </c>
      <c r="P74" s="3" t="str">
        <f>IF(ISNUMBER(SEARCH(",Free To Play,",","&amp;SUBSTITUTE(TableMain[[#This Row],[Tags]],", ",",")&amp;",")),"Y","N")</f>
        <v>N</v>
      </c>
    </row>
    <row r="75" spans="1:16" x14ac:dyDescent="0.35">
      <c r="A75">
        <v>1158310</v>
      </c>
      <c r="B75" t="s">
        <v>227</v>
      </c>
      <c r="C75" s="1">
        <v>44075</v>
      </c>
      <c r="D75">
        <v>14302</v>
      </c>
      <c r="E75" t="b">
        <v>1</v>
      </c>
      <c r="F75" t="s">
        <v>228</v>
      </c>
      <c r="G75" t="s">
        <v>229</v>
      </c>
      <c r="H75">
        <v>74</v>
      </c>
      <c r="I75" t="s">
        <v>33</v>
      </c>
      <c r="J75" s="3" t="str">
        <f>IF(ISNUMBER(SEARCH(",Action,",","&amp;SUBSTITUTE(TableMain[[#This Row],[Tags]],", ",",")&amp;",")),"Y","N")</f>
        <v>N</v>
      </c>
      <c r="K75" s="3" t="str">
        <f>IF(ISNUMBER(SEARCH(",Indie,",","&amp;SUBSTITUTE(TableMain[[#This Row],[Tags]],", ",",")&amp;",")),"Y","N")</f>
        <v>N</v>
      </c>
      <c r="L75" s="3" t="str">
        <f>IF(ISNUMBER(SEARCH(",Adventure,",","&amp;SUBSTITUTE(TableMain[[#This Row],[Tags]],", ",",")&amp;",")),"Y","N")</f>
        <v>N</v>
      </c>
      <c r="M75" s="3" t="str">
        <f>IF(ISNUMBER(SEARCH(",Simulation,",","&amp;SUBSTITUTE(TableMain[[#This Row],[Tags]],", ",",")&amp;",")),"Y","N")</f>
        <v>Y</v>
      </c>
      <c r="N75" s="3" t="str">
        <f>IF(ISNUMBER(SEARCH(",RPG,",","&amp;SUBSTITUTE(TableMain[[#This Row],[Tags]],", ",",")&amp;",")),"Y","N")</f>
        <v>Y</v>
      </c>
      <c r="O75" s="3" t="str">
        <f>IF(ISNUMBER(SEARCH(",Strategy,",","&amp;SUBSTITUTE(TableMain[[#This Row],[Tags]],", ",",")&amp;",")),"Y","N")</f>
        <v>Y</v>
      </c>
      <c r="P75" s="3" t="str">
        <f>IF(ISNUMBER(SEARCH(",Free To Play,",","&amp;SUBSTITUTE(TableMain[[#This Row],[Tags]],", ",",")&amp;",")),"Y","N")</f>
        <v>N</v>
      </c>
    </row>
    <row r="76" spans="1:16" x14ac:dyDescent="0.35">
      <c r="A76">
        <v>291550</v>
      </c>
      <c r="B76" t="s">
        <v>230</v>
      </c>
      <c r="C76" s="1">
        <v>43025</v>
      </c>
      <c r="D76">
        <v>14169</v>
      </c>
      <c r="E76" t="b">
        <v>1</v>
      </c>
      <c r="F76" t="s">
        <v>231</v>
      </c>
      <c r="G76" t="s">
        <v>232</v>
      </c>
      <c r="H76">
        <v>75</v>
      </c>
      <c r="I76" t="s">
        <v>110</v>
      </c>
      <c r="J76" s="3" t="str">
        <f>IF(ISNUMBER(SEARCH(",Action,",","&amp;SUBSTITUTE(TableMain[[#This Row],[Tags]],", ",",")&amp;",")),"Y","N")</f>
        <v>Y</v>
      </c>
      <c r="K76" s="3" t="str">
        <f>IF(ISNUMBER(SEARCH(",Indie,",","&amp;SUBSTITUTE(TableMain[[#This Row],[Tags]],", ",",")&amp;",")),"Y","N")</f>
        <v>Y</v>
      </c>
      <c r="L76" s="3" t="str">
        <f>IF(ISNUMBER(SEARCH(",Adventure,",","&amp;SUBSTITUTE(TableMain[[#This Row],[Tags]],", ",",")&amp;",")),"Y","N")</f>
        <v>N</v>
      </c>
      <c r="M76" s="3" t="str">
        <f>IF(ISNUMBER(SEARCH(",Simulation,",","&amp;SUBSTITUTE(TableMain[[#This Row],[Tags]],", ",",")&amp;",")),"Y","N")</f>
        <v>N</v>
      </c>
      <c r="N76" s="3" t="str">
        <f>IF(ISNUMBER(SEARCH(",RPG,",","&amp;SUBSTITUTE(TableMain[[#This Row],[Tags]],", ",",")&amp;",")),"Y","N")</f>
        <v>N</v>
      </c>
      <c r="O76" s="3" t="str">
        <f>IF(ISNUMBER(SEARCH(",Strategy,",","&amp;SUBSTITUTE(TableMain[[#This Row],[Tags]],", ",",")&amp;",")),"Y","N")</f>
        <v>N</v>
      </c>
      <c r="P76" s="3" t="str">
        <f>IF(ISNUMBER(SEARCH(",Free To Play,",","&amp;SUBSTITUTE(TableMain[[#This Row],[Tags]],", ",",")&amp;",")),"Y","N")</f>
        <v>Y</v>
      </c>
    </row>
    <row r="77" spans="1:16" x14ac:dyDescent="0.35">
      <c r="A77">
        <v>281990</v>
      </c>
      <c r="B77" t="s">
        <v>233</v>
      </c>
      <c r="C77" s="1">
        <v>42499</v>
      </c>
      <c r="D77">
        <v>13727</v>
      </c>
      <c r="E77" t="b">
        <v>1</v>
      </c>
      <c r="F77" t="s">
        <v>234</v>
      </c>
      <c r="G77" t="s">
        <v>100</v>
      </c>
      <c r="H77">
        <v>76</v>
      </c>
      <c r="I77" t="s">
        <v>2093</v>
      </c>
      <c r="J77" s="3" t="str">
        <f>IF(ISNUMBER(SEARCH(",Action,",","&amp;SUBSTITUTE(TableMain[[#This Row],[Tags]],", ",",")&amp;",")),"Y","N")</f>
        <v>N</v>
      </c>
      <c r="K77" s="3" t="str">
        <f>IF(ISNUMBER(SEARCH(",Indie,",","&amp;SUBSTITUTE(TableMain[[#This Row],[Tags]],", ",",")&amp;",")),"Y","N")</f>
        <v>N</v>
      </c>
      <c r="L77" s="3" t="str">
        <f>IF(ISNUMBER(SEARCH(",Adventure,",","&amp;SUBSTITUTE(TableMain[[#This Row],[Tags]],", ",",")&amp;",")),"Y","N")</f>
        <v>N</v>
      </c>
      <c r="M77" s="3" t="str">
        <f>IF(ISNUMBER(SEARCH(",Simulation,",","&amp;SUBSTITUTE(TableMain[[#This Row],[Tags]],", ",",")&amp;",")),"Y","N")</f>
        <v>Y</v>
      </c>
      <c r="N77" s="3" t="str">
        <f>IF(ISNUMBER(SEARCH(",RPG,",","&amp;SUBSTITUTE(TableMain[[#This Row],[Tags]],", ",",")&amp;",")),"Y","N")</f>
        <v>N</v>
      </c>
      <c r="O77" s="3" t="str">
        <f>IF(ISNUMBER(SEARCH(",Strategy,",","&amp;SUBSTITUTE(TableMain[[#This Row],[Tags]],", ",",")&amp;",")),"Y","N")</f>
        <v>Y</v>
      </c>
      <c r="P77" s="3" t="str">
        <f>IF(ISNUMBER(SEARCH(",Free To Play,",","&amp;SUBSTITUTE(TableMain[[#This Row],[Tags]],", ",",")&amp;",")),"Y","N")</f>
        <v>N</v>
      </c>
    </row>
    <row r="78" spans="1:16" x14ac:dyDescent="0.35">
      <c r="A78">
        <v>813780</v>
      </c>
      <c r="B78" t="s">
        <v>235</v>
      </c>
      <c r="C78" s="1">
        <v>43783</v>
      </c>
      <c r="D78">
        <v>13465</v>
      </c>
      <c r="E78" t="b">
        <v>0</v>
      </c>
      <c r="F78" t="s">
        <v>236</v>
      </c>
      <c r="G78" t="s">
        <v>124</v>
      </c>
      <c r="H78">
        <v>77</v>
      </c>
      <c r="I78" t="s">
        <v>110</v>
      </c>
      <c r="J78" s="3" t="str">
        <f>IF(ISNUMBER(SEARCH(",Action,",","&amp;SUBSTITUTE(TableMain[[#This Row],[Tags]],", ",",")&amp;",")),"Y","N")</f>
        <v>N</v>
      </c>
      <c r="K78" s="3" t="str">
        <f>IF(ISNUMBER(SEARCH(",Indie,",","&amp;SUBSTITUTE(TableMain[[#This Row],[Tags]],", ",",")&amp;",")),"Y","N")</f>
        <v>N</v>
      </c>
      <c r="L78" s="3" t="str">
        <f>IF(ISNUMBER(SEARCH(",Adventure,",","&amp;SUBSTITUTE(TableMain[[#This Row],[Tags]],", ",",")&amp;",")),"Y","N")</f>
        <v>N</v>
      </c>
      <c r="M78" s="3" t="str">
        <f>IF(ISNUMBER(SEARCH(",Simulation,",","&amp;SUBSTITUTE(TableMain[[#This Row],[Tags]],", ",",")&amp;",")),"Y","N")</f>
        <v>N</v>
      </c>
      <c r="N78" s="3" t="str">
        <f>IF(ISNUMBER(SEARCH(",RPG,",","&amp;SUBSTITUTE(TableMain[[#This Row],[Tags]],", ",",")&amp;",")),"Y","N")</f>
        <v>N</v>
      </c>
      <c r="O78" s="3" t="str">
        <f>IF(ISNUMBER(SEARCH(",Strategy,",","&amp;SUBSTITUTE(TableMain[[#This Row],[Tags]],", ",",")&amp;",")),"Y","N")</f>
        <v>Y</v>
      </c>
      <c r="P78" s="3" t="str">
        <f>IF(ISNUMBER(SEARCH(",Free To Play,",","&amp;SUBSTITUTE(TableMain[[#This Row],[Tags]],", ",",")&amp;",")),"Y","N")</f>
        <v>N</v>
      </c>
    </row>
    <row r="79" spans="1:16" x14ac:dyDescent="0.35">
      <c r="A79">
        <v>2300320</v>
      </c>
      <c r="B79" t="s">
        <v>237</v>
      </c>
      <c r="C79" s="1">
        <v>45608</v>
      </c>
      <c r="D79">
        <v>13431</v>
      </c>
      <c r="E79" t="b">
        <v>1</v>
      </c>
      <c r="F79" t="s">
        <v>238</v>
      </c>
      <c r="G79" t="s">
        <v>239</v>
      </c>
      <c r="H79">
        <v>78</v>
      </c>
      <c r="I79" t="s">
        <v>119</v>
      </c>
      <c r="J79" s="3" t="str">
        <f>IF(ISNUMBER(SEARCH(",Action,",","&amp;SUBSTITUTE(TableMain[[#This Row],[Tags]],", ",",")&amp;",")),"Y","N")</f>
        <v>N</v>
      </c>
      <c r="K79" s="3" t="str">
        <f>IF(ISNUMBER(SEARCH(",Indie,",","&amp;SUBSTITUTE(TableMain[[#This Row],[Tags]],", ",",")&amp;",")),"Y","N")</f>
        <v>N</v>
      </c>
      <c r="L79" s="3" t="str">
        <f>IF(ISNUMBER(SEARCH(",Adventure,",","&amp;SUBSTITUTE(TableMain[[#This Row],[Tags]],", ",",")&amp;",")),"Y","N")</f>
        <v>N</v>
      </c>
      <c r="M79" s="3" t="str">
        <f>IF(ISNUMBER(SEARCH(",Simulation,",","&amp;SUBSTITUTE(TableMain[[#This Row],[Tags]],", ",",")&amp;",")),"Y","N")</f>
        <v>Y</v>
      </c>
      <c r="N79" s="3" t="str">
        <f>IF(ISNUMBER(SEARCH(",RPG,",","&amp;SUBSTITUTE(TableMain[[#This Row],[Tags]],", ",",")&amp;",")),"Y","N")</f>
        <v>N</v>
      </c>
      <c r="O79" s="3" t="str">
        <f>IF(ISNUMBER(SEARCH(",Strategy,",","&amp;SUBSTITUTE(TableMain[[#This Row],[Tags]],", ",",")&amp;",")),"Y","N")</f>
        <v>N</v>
      </c>
      <c r="P79" s="3" t="str">
        <f>IF(ISNUMBER(SEARCH(",Free To Play,",","&amp;SUBSTITUTE(TableMain[[#This Row],[Tags]],", ",",")&amp;",")),"Y","N")</f>
        <v>N</v>
      </c>
    </row>
    <row r="80" spans="1:16" x14ac:dyDescent="0.35">
      <c r="A80">
        <v>1665460</v>
      </c>
      <c r="B80" t="s">
        <v>240</v>
      </c>
      <c r="C80" s="1">
        <v>44468</v>
      </c>
      <c r="D80">
        <v>13404</v>
      </c>
      <c r="E80" t="b">
        <v>0</v>
      </c>
      <c r="F80" t="s">
        <v>241</v>
      </c>
      <c r="G80" t="s">
        <v>242</v>
      </c>
      <c r="H80">
        <v>79</v>
      </c>
      <c r="I80" t="s">
        <v>53</v>
      </c>
      <c r="J80" s="3" t="str">
        <f>IF(ISNUMBER(SEARCH(",Action,",","&amp;SUBSTITUTE(TableMain[[#This Row],[Tags]],", ",",")&amp;",")),"Y","N")</f>
        <v>N</v>
      </c>
      <c r="K80" s="3" t="str">
        <f>IF(ISNUMBER(SEARCH(",Indie,",","&amp;SUBSTITUTE(TableMain[[#This Row],[Tags]],", ",",")&amp;",")),"Y","N")</f>
        <v>N</v>
      </c>
      <c r="L80" s="3" t="str">
        <f>IF(ISNUMBER(SEARCH(",Adventure,",","&amp;SUBSTITUTE(TableMain[[#This Row],[Tags]],", ",",")&amp;",")),"Y","N")</f>
        <v>N</v>
      </c>
      <c r="M80" s="3" t="str">
        <f>IF(ISNUMBER(SEARCH(",Simulation,",","&amp;SUBSTITUTE(TableMain[[#This Row],[Tags]],", ",",")&amp;",")),"Y","N")</f>
        <v>Y</v>
      </c>
      <c r="N80" s="3" t="str">
        <f>IF(ISNUMBER(SEARCH(",RPG,",","&amp;SUBSTITUTE(TableMain[[#This Row],[Tags]],", ",",")&amp;",")),"Y","N")</f>
        <v>N</v>
      </c>
      <c r="O80" s="3" t="str">
        <f>IF(ISNUMBER(SEARCH(",Strategy,",","&amp;SUBSTITUTE(TableMain[[#This Row],[Tags]],", ",",")&amp;",")),"Y","N")</f>
        <v>N</v>
      </c>
      <c r="P80" s="3" t="str">
        <f>IF(ISNUMBER(SEARCH(",Free To Play,",","&amp;SUBSTITUTE(TableMain[[#This Row],[Tags]],", ",",")&amp;",")),"Y","N")</f>
        <v>Y</v>
      </c>
    </row>
    <row r="81" spans="1:16" x14ac:dyDescent="0.35">
      <c r="A81">
        <v>526870</v>
      </c>
      <c r="B81" t="s">
        <v>243</v>
      </c>
      <c r="C81" s="1">
        <v>45545</v>
      </c>
      <c r="D81">
        <v>12596</v>
      </c>
      <c r="E81" t="b">
        <v>0</v>
      </c>
      <c r="F81" t="s">
        <v>244</v>
      </c>
      <c r="G81" t="s">
        <v>245</v>
      </c>
      <c r="H81">
        <v>80</v>
      </c>
      <c r="I81" t="s">
        <v>119</v>
      </c>
      <c r="J81" s="3" t="str">
        <f>IF(ISNUMBER(SEARCH(",Action,",","&amp;SUBSTITUTE(TableMain[[#This Row],[Tags]],", ",",")&amp;",")),"Y","N")</f>
        <v>N</v>
      </c>
      <c r="K81" s="3" t="str">
        <f>IF(ISNUMBER(SEARCH(",Indie,",","&amp;SUBSTITUTE(TableMain[[#This Row],[Tags]],", ",",")&amp;",")),"Y","N")</f>
        <v>Y</v>
      </c>
      <c r="L81" s="3" t="str">
        <f>IF(ISNUMBER(SEARCH(",Adventure,",","&amp;SUBSTITUTE(TableMain[[#This Row],[Tags]],", ",",")&amp;",")),"Y","N")</f>
        <v>Y</v>
      </c>
      <c r="M81" s="3" t="str">
        <f>IF(ISNUMBER(SEARCH(",Simulation,",","&amp;SUBSTITUTE(TableMain[[#This Row],[Tags]],", ",",")&amp;",")),"Y","N")</f>
        <v>Y</v>
      </c>
      <c r="N81" s="3" t="str">
        <f>IF(ISNUMBER(SEARCH(",RPG,",","&amp;SUBSTITUTE(TableMain[[#This Row],[Tags]],", ",",")&amp;",")),"Y","N")</f>
        <v>N</v>
      </c>
      <c r="O81" s="3" t="str">
        <f>IF(ISNUMBER(SEARCH(",Strategy,",","&amp;SUBSTITUTE(TableMain[[#This Row],[Tags]],", ",",")&amp;",")),"Y","N")</f>
        <v>Y</v>
      </c>
      <c r="P81" s="3" t="str">
        <f>IF(ISNUMBER(SEARCH(",Free To Play,",","&amp;SUBSTITUTE(TableMain[[#This Row],[Tags]],", ",",")&amp;",")),"Y","N")</f>
        <v>N</v>
      </c>
    </row>
    <row r="82" spans="1:16" x14ac:dyDescent="0.35">
      <c r="A82">
        <v>2246340</v>
      </c>
      <c r="B82" t="s">
        <v>246</v>
      </c>
      <c r="C82" s="1">
        <v>45715</v>
      </c>
      <c r="D82">
        <v>12494</v>
      </c>
      <c r="E82" t="b">
        <v>0</v>
      </c>
      <c r="F82" t="s">
        <v>247</v>
      </c>
      <c r="G82" t="s">
        <v>208</v>
      </c>
      <c r="H82">
        <v>81</v>
      </c>
      <c r="I82" t="s">
        <v>147</v>
      </c>
      <c r="J82" s="3" t="str">
        <f>IF(ISNUMBER(SEARCH(",Action,",","&amp;SUBSTITUTE(TableMain[[#This Row],[Tags]],", ",",")&amp;",")),"Y","N")</f>
        <v>Y</v>
      </c>
      <c r="K82" s="3" t="str">
        <f>IF(ISNUMBER(SEARCH(",Indie,",","&amp;SUBSTITUTE(TableMain[[#This Row],[Tags]],", ",",")&amp;",")),"Y","N")</f>
        <v>N</v>
      </c>
      <c r="L82" s="3" t="str">
        <f>IF(ISNUMBER(SEARCH(",Adventure,",","&amp;SUBSTITUTE(TableMain[[#This Row],[Tags]],", ",",")&amp;",")),"Y","N")</f>
        <v>Y</v>
      </c>
      <c r="M82" s="3" t="str">
        <f>IF(ISNUMBER(SEARCH(",Simulation,",","&amp;SUBSTITUTE(TableMain[[#This Row],[Tags]],", ",",")&amp;",")),"Y","N")</f>
        <v>N</v>
      </c>
      <c r="N82" s="3" t="str">
        <f>IF(ISNUMBER(SEARCH(",RPG,",","&amp;SUBSTITUTE(TableMain[[#This Row],[Tags]],", ",",")&amp;",")),"Y","N")</f>
        <v>Y</v>
      </c>
      <c r="O82" s="3" t="str">
        <f>IF(ISNUMBER(SEARCH(",Strategy,",","&amp;SUBSTITUTE(TableMain[[#This Row],[Tags]],", ",",")&amp;",")),"Y","N")</f>
        <v>N</v>
      </c>
      <c r="P82" s="3" t="str">
        <f>IF(ISNUMBER(SEARCH(",Free To Play,",","&amp;SUBSTITUTE(TableMain[[#This Row],[Tags]],", ",",")&amp;",")),"Y","N")</f>
        <v>N</v>
      </c>
    </row>
    <row r="83" spans="1:16" x14ac:dyDescent="0.35">
      <c r="A83">
        <v>236850</v>
      </c>
      <c r="B83" t="s">
        <v>248</v>
      </c>
      <c r="C83" s="1">
        <v>41499</v>
      </c>
      <c r="D83">
        <v>12445</v>
      </c>
      <c r="E83" t="b">
        <v>1</v>
      </c>
      <c r="F83" t="s">
        <v>249</v>
      </c>
      <c r="G83" t="s">
        <v>100</v>
      </c>
      <c r="H83">
        <v>82</v>
      </c>
      <c r="I83" t="s">
        <v>2094</v>
      </c>
      <c r="J83" s="3" t="str">
        <f>IF(ISNUMBER(SEARCH(",Action,",","&amp;SUBSTITUTE(TableMain[[#This Row],[Tags]],", ",",")&amp;",")),"Y","N")</f>
        <v>N</v>
      </c>
      <c r="K83" s="3" t="str">
        <f>IF(ISNUMBER(SEARCH(",Indie,",","&amp;SUBSTITUTE(TableMain[[#This Row],[Tags]],", ",",")&amp;",")),"Y","N")</f>
        <v>N</v>
      </c>
      <c r="L83" s="3" t="str">
        <f>IF(ISNUMBER(SEARCH(",Adventure,",","&amp;SUBSTITUTE(TableMain[[#This Row],[Tags]],", ",",")&amp;",")),"Y","N")</f>
        <v>N</v>
      </c>
      <c r="M83" s="3" t="str">
        <f>IF(ISNUMBER(SEARCH(",Simulation,",","&amp;SUBSTITUTE(TableMain[[#This Row],[Tags]],", ",",")&amp;",")),"Y","N")</f>
        <v>Y</v>
      </c>
      <c r="N83" s="3" t="str">
        <f>IF(ISNUMBER(SEARCH(",RPG,",","&amp;SUBSTITUTE(TableMain[[#This Row],[Tags]],", ",",")&amp;",")),"Y","N")</f>
        <v>N</v>
      </c>
      <c r="O83" s="3" t="str">
        <f>IF(ISNUMBER(SEARCH(",Strategy,",","&amp;SUBSTITUTE(TableMain[[#This Row],[Tags]],", ",",")&amp;",")),"Y","N")</f>
        <v>Y</v>
      </c>
      <c r="P83" s="3" t="str">
        <f>IF(ISNUMBER(SEARCH(",Free To Play,",","&amp;SUBSTITUTE(TableMain[[#This Row],[Tags]],", ",",")&amp;",")),"Y","N")</f>
        <v>N</v>
      </c>
    </row>
    <row r="84" spans="1:16" x14ac:dyDescent="0.35">
      <c r="A84">
        <v>1049590</v>
      </c>
      <c r="B84" t="s">
        <v>250</v>
      </c>
      <c r="C84" s="1">
        <v>45126</v>
      </c>
      <c r="D84">
        <v>12341</v>
      </c>
      <c r="E84" t="b">
        <v>0</v>
      </c>
      <c r="F84" t="s">
        <v>251</v>
      </c>
      <c r="G84" t="s">
        <v>252</v>
      </c>
      <c r="H84">
        <v>83</v>
      </c>
      <c r="I84" t="s">
        <v>18</v>
      </c>
      <c r="J84" s="3" t="str">
        <f>IF(ISNUMBER(SEARCH(",Action,",","&amp;SUBSTITUTE(TableMain[[#This Row],[Tags]],", ",",")&amp;",")),"Y","N")</f>
        <v>N</v>
      </c>
      <c r="K84" s="3" t="str">
        <f>IF(ISNUMBER(SEARCH(",Indie,",","&amp;SUBSTITUTE(TableMain[[#This Row],[Tags]],", ",",")&amp;",")),"Y","N")</f>
        <v>Y</v>
      </c>
      <c r="L84" s="3" t="str">
        <f>IF(ISNUMBER(SEARCH(",Adventure,",","&amp;SUBSTITUTE(TableMain[[#This Row],[Tags]],", ",",")&amp;",")),"Y","N")</f>
        <v>N</v>
      </c>
      <c r="M84" s="3" t="str">
        <f>IF(ISNUMBER(SEARCH(",Simulation,",","&amp;SUBSTITUTE(TableMain[[#This Row],[Tags]],", ",",")&amp;",")),"Y","N")</f>
        <v>N</v>
      </c>
      <c r="N84" s="3" t="str">
        <f>IF(ISNUMBER(SEARCH(",RPG,",","&amp;SUBSTITUTE(TableMain[[#This Row],[Tags]],", ",",")&amp;",")),"Y","N")</f>
        <v>N</v>
      </c>
      <c r="O84" s="3" t="str">
        <f>IF(ISNUMBER(SEARCH(",Strategy,",","&amp;SUBSTITUTE(TableMain[[#This Row],[Tags]],", ",",")&amp;",")),"Y","N")</f>
        <v>Y</v>
      </c>
      <c r="P84" s="3" t="str">
        <f>IF(ISNUMBER(SEARCH(",Free To Play,",","&amp;SUBSTITUTE(TableMain[[#This Row],[Tags]],", ",",")&amp;",")),"Y","N")</f>
        <v>Y</v>
      </c>
    </row>
    <row r="85" spans="1:16" x14ac:dyDescent="0.35">
      <c r="A85">
        <v>275850</v>
      </c>
      <c r="B85" t="s">
        <v>253</v>
      </c>
      <c r="C85" s="1">
        <v>42594</v>
      </c>
      <c r="D85">
        <v>12291</v>
      </c>
      <c r="E85" t="b">
        <v>1</v>
      </c>
      <c r="F85" t="s">
        <v>254</v>
      </c>
      <c r="G85" t="s">
        <v>46</v>
      </c>
      <c r="H85">
        <v>84</v>
      </c>
      <c r="I85" t="s">
        <v>438</v>
      </c>
      <c r="J85" s="3" t="str">
        <f>IF(ISNUMBER(SEARCH(",Action,",","&amp;SUBSTITUTE(TableMain[[#This Row],[Tags]],", ",",")&amp;",")),"Y","N")</f>
        <v>Y</v>
      </c>
      <c r="K85" s="3" t="str">
        <f>IF(ISNUMBER(SEARCH(",Indie,",","&amp;SUBSTITUTE(TableMain[[#This Row],[Tags]],", ",",")&amp;",")),"Y","N")</f>
        <v>N</v>
      </c>
      <c r="L85" s="3" t="str">
        <f>IF(ISNUMBER(SEARCH(",Adventure,",","&amp;SUBSTITUTE(TableMain[[#This Row],[Tags]],", ",",")&amp;",")),"Y","N")</f>
        <v>Y</v>
      </c>
      <c r="M85" s="3" t="str">
        <f>IF(ISNUMBER(SEARCH(",Simulation,",","&amp;SUBSTITUTE(TableMain[[#This Row],[Tags]],", ",",")&amp;",")),"Y","N")</f>
        <v>N</v>
      </c>
      <c r="N85" s="3" t="str">
        <f>IF(ISNUMBER(SEARCH(",RPG,",","&amp;SUBSTITUTE(TableMain[[#This Row],[Tags]],", ",",")&amp;",")),"Y","N")</f>
        <v>N</v>
      </c>
      <c r="O85" s="3" t="str">
        <f>IF(ISNUMBER(SEARCH(",Strategy,",","&amp;SUBSTITUTE(TableMain[[#This Row],[Tags]],", ",",")&amp;",")),"Y","N")</f>
        <v>N</v>
      </c>
      <c r="P85" s="3" t="str">
        <f>IF(ISNUMBER(SEARCH(",Free To Play,",","&amp;SUBSTITUTE(TableMain[[#This Row],[Tags]],", ",",")&amp;",")),"Y","N")</f>
        <v>N</v>
      </c>
    </row>
    <row r="86" spans="1:16" x14ac:dyDescent="0.35">
      <c r="A86">
        <v>8930</v>
      </c>
      <c r="B86" t="s">
        <v>255</v>
      </c>
      <c r="C86" s="1">
        <v>40442</v>
      </c>
      <c r="D86">
        <v>12206</v>
      </c>
      <c r="E86" t="b">
        <v>1</v>
      </c>
      <c r="F86" t="s">
        <v>256</v>
      </c>
      <c r="G86" t="s">
        <v>124</v>
      </c>
      <c r="H86">
        <v>85</v>
      </c>
      <c r="I86" t="s">
        <v>2084</v>
      </c>
      <c r="J86" s="3" t="str">
        <f>IF(ISNUMBER(SEARCH(",Action,",","&amp;SUBSTITUTE(TableMain[[#This Row],[Tags]],", ",",")&amp;",")),"Y","N")</f>
        <v>N</v>
      </c>
      <c r="K86" s="3" t="str">
        <f>IF(ISNUMBER(SEARCH(",Indie,",","&amp;SUBSTITUTE(TableMain[[#This Row],[Tags]],", ",",")&amp;",")),"Y","N")</f>
        <v>N</v>
      </c>
      <c r="L86" s="3" t="str">
        <f>IF(ISNUMBER(SEARCH(",Adventure,",","&amp;SUBSTITUTE(TableMain[[#This Row],[Tags]],", ",",")&amp;",")),"Y","N")</f>
        <v>N</v>
      </c>
      <c r="M86" s="3" t="str">
        <f>IF(ISNUMBER(SEARCH(",Simulation,",","&amp;SUBSTITUTE(TableMain[[#This Row],[Tags]],", ",",")&amp;",")),"Y","N")</f>
        <v>N</v>
      </c>
      <c r="N86" s="3" t="str">
        <f>IF(ISNUMBER(SEARCH(",RPG,",","&amp;SUBSTITUTE(TableMain[[#This Row],[Tags]],", ",",")&amp;",")),"Y","N")</f>
        <v>N</v>
      </c>
      <c r="O86" s="3" t="str">
        <f>IF(ISNUMBER(SEARCH(",Strategy,",","&amp;SUBSTITUTE(TableMain[[#This Row],[Tags]],", ",",")&amp;",")),"Y","N")</f>
        <v>Y</v>
      </c>
      <c r="P86" s="3" t="str">
        <f>IF(ISNUMBER(SEARCH(",Free To Play,",","&amp;SUBSTITUTE(TableMain[[#This Row],[Tags]],", ",",")&amp;",")),"Y","N")</f>
        <v>N</v>
      </c>
    </row>
    <row r="87" spans="1:16" x14ac:dyDescent="0.35">
      <c r="A87">
        <v>2399830</v>
      </c>
      <c r="B87" t="s">
        <v>257</v>
      </c>
      <c r="C87" s="1">
        <v>45224</v>
      </c>
      <c r="D87">
        <v>12007</v>
      </c>
      <c r="E87" t="b">
        <v>0</v>
      </c>
      <c r="F87" t="s">
        <v>258</v>
      </c>
      <c r="G87" t="s">
        <v>259</v>
      </c>
      <c r="H87">
        <v>86</v>
      </c>
      <c r="I87" t="s">
        <v>260</v>
      </c>
      <c r="J87" s="3" t="str">
        <f>IF(ISNUMBER(SEARCH(",Action,",","&amp;SUBSTITUTE(TableMain[[#This Row],[Tags]],", ",",")&amp;",")),"Y","N")</f>
        <v>Y</v>
      </c>
      <c r="K87" s="3" t="str">
        <f>IF(ISNUMBER(SEARCH(",Indie,",","&amp;SUBSTITUTE(TableMain[[#This Row],[Tags]],", ",",")&amp;",")),"Y","N")</f>
        <v>Y</v>
      </c>
      <c r="L87" s="3" t="str">
        <f>IF(ISNUMBER(SEARCH(",Adventure,",","&amp;SUBSTITUTE(TableMain[[#This Row],[Tags]],", ",",")&amp;",")),"Y","N")</f>
        <v>Y</v>
      </c>
      <c r="M87" s="3" t="str">
        <f>IF(ISNUMBER(SEARCH(",Simulation,",","&amp;SUBSTITUTE(TableMain[[#This Row],[Tags]],", ",",")&amp;",")),"Y","N")</f>
        <v>N</v>
      </c>
      <c r="N87" s="3" t="str">
        <f>IF(ISNUMBER(SEARCH(",RPG,",","&amp;SUBSTITUTE(TableMain[[#This Row],[Tags]],", ",",")&amp;",")),"Y","N")</f>
        <v>Y</v>
      </c>
      <c r="O87" s="3" t="str">
        <f>IF(ISNUMBER(SEARCH(",Strategy,",","&amp;SUBSTITUTE(TableMain[[#This Row],[Tags]],", ",",")&amp;",")),"Y","N")</f>
        <v>N</v>
      </c>
      <c r="P87" s="3" t="str">
        <f>IF(ISNUMBER(SEARCH(",Free To Play,",","&amp;SUBSTITUTE(TableMain[[#This Row],[Tags]],", ",",")&amp;",")),"Y","N")</f>
        <v>N</v>
      </c>
    </row>
    <row r="88" spans="1:16" x14ac:dyDescent="0.35">
      <c r="A88">
        <v>582010</v>
      </c>
      <c r="B88" t="s">
        <v>261</v>
      </c>
      <c r="C88" s="1">
        <v>43320</v>
      </c>
      <c r="D88">
        <v>11923</v>
      </c>
      <c r="E88" t="b">
        <v>0</v>
      </c>
      <c r="F88" t="s">
        <v>262</v>
      </c>
      <c r="G88" t="s">
        <v>49</v>
      </c>
      <c r="H88">
        <v>87</v>
      </c>
      <c r="I88" t="s">
        <v>53</v>
      </c>
      <c r="J88" s="3" t="str">
        <f>IF(ISNUMBER(SEARCH(",Action,",","&amp;SUBSTITUTE(TableMain[[#This Row],[Tags]],", ",",")&amp;",")),"Y","N")</f>
        <v>Y</v>
      </c>
      <c r="K88" s="3" t="str">
        <f>IF(ISNUMBER(SEARCH(",Indie,",","&amp;SUBSTITUTE(TableMain[[#This Row],[Tags]],", ",",")&amp;",")),"Y","N")</f>
        <v>N</v>
      </c>
      <c r="L88" s="3" t="str">
        <f>IF(ISNUMBER(SEARCH(",Adventure,",","&amp;SUBSTITUTE(TableMain[[#This Row],[Tags]],", ",",")&amp;",")),"Y","N")</f>
        <v>N</v>
      </c>
      <c r="M88" s="3" t="str">
        <f>IF(ISNUMBER(SEARCH(",Simulation,",","&amp;SUBSTITUTE(TableMain[[#This Row],[Tags]],", ",",")&amp;",")),"Y","N")</f>
        <v>N</v>
      </c>
      <c r="N88" s="3" t="str">
        <f>IF(ISNUMBER(SEARCH(",RPG,",","&amp;SUBSTITUTE(TableMain[[#This Row],[Tags]],", ",",")&amp;",")),"Y","N")</f>
        <v>N</v>
      </c>
      <c r="O88" s="3" t="str">
        <f>IF(ISNUMBER(SEARCH(",Strategy,",","&amp;SUBSTITUTE(TableMain[[#This Row],[Tags]],", ",",")&amp;",")),"Y","N")</f>
        <v>N</v>
      </c>
      <c r="P88" s="3" t="str">
        <f>IF(ISNUMBER(SEARCH(",Free To Play,",","&amp;SUBSTITUTE(TableMain[[#This Row],[Tags]],", ",",")&amp;",")),"Y","N")</f>
        <v>N</v>
      </c>
    </row>
    <row r="89" spans="1:16" x14ac:dyDescent="0.35">
      <c r="A89">
        <v>1874880</v>
      </c>
      <c r="B89" t="s">
        <v>263</v>
      </c>
      <c r="C89" s="1">
        <v>45246</v>
      </c>
      <c r="D89">
        <v>11466</v>
      </c>
      <c r="E89" t="b">
        <v>0</v>
      </c>
      <c r="F89" t="s">
        <v>264</v>
      </c>
      <c r="G89" t="s">
        <v>265</v>
      </c>
      <c r="H89">
        <v>88</v>
      </c>
      <c r="I89" t="s">
        <v>266</v>
      </c>
      <c r="J89" s="3" t="str">
        <f>IF(ISNUMBER(SEARCH(",Action,",","&amp;SUBSTITUTE(TableMain[[#This Row],[Tags]],", ",",")&amp;",")),"Y","N")</f>
        <v>Y</v>
      </c>
      <c r="K89" s="3" t="str">
        <f>IF(ISNUMBER(SEARCH(",Indie,",","&amp;SUBSTITUTE(TableMain[[#This Row],[Tags]],", ",",")&amp;",")),"Y","N")</f>
        <v>N</v>
      </c>
      <c r="L89" s="3" t="str">
        <f>IF(ISNUMBER(SEARCH(",Adventure,",","&amp;SUBSTITUTE(TableMain[[#This Row],[Tags]],", ",",")&amp;",")),"Y","N")</f>
        <v>N</v>
      </c>
      <c r="M89" s="3" t="str">
        <f>IF(ISNUMBER(SEARCH(",Simulation,",","&amp;SUBSTITUTE(TableMain[[#This Row],[Tags]],", ",",")&amp;",")),"Y","N")</f>
        <v>Y</v>
      </c>
      <c r="N89" s="3" t="str">
        <f>IF(ISNUMBER(SEARCH(",RPG,",","&amp;SUBSTITUTE(TableMain[[#This Row],[Tags]],", ",",")&amp;",")),"Y","N")</f>
        <v>N</v>
      </c>
      <c r="O89" s="3" t="str">
        <f>IF(ISNUMBER(SEARCH(",Strategy,",","&amp;SUBSTITUTE(TableMain[[#This Row],[Tags]],", ",",")&amp;",")),"Y","N")</f>
        <v>Y</v>
      </c>
      <c r="P89" s="3" t="str">
        <f>IF(ISNUMBER(SEARCH(",Free To Play,",","&amp;SUBSTITUTE(TableMain[[#This Row],[Tags]],", ",",")&amp;",")),"Y","N")</f>
        <v>N</v>
      </c>
    </row>
    <row r="90" spans="1:16" x14ac:dyDescent="0.35">
      <c r="A90">
        <v>377160</v>
      </c>
      <c r="B90" t="s">
        <v>267</v>
      </c>
      <c r="C90" s="1">
        <v>42317</v>
      </c>
      <c r="D90">
        <v>11179</v>
      </c>
      <c r="E90" t="b">
        <v>0</v>
      </c>
      <c r="F90" t="s">
        <v>268</v>
      </c>
      <c r="G90" t="s">
        <v>132</v>
      </c>
      <c r="H90">
        <v>89</v>
      </c>
      <c r="I90" t="s">
        <v>2091</v>
      </c>
      <c r="J90" s="3" t="str">
        <f>IF(ISNUMBER(SEARCH(",Action,",","&amp;SUBSTITUTE(TableMain[[#This Row],[Tags]],", ",",")&amp;",")),"Y","N")</f>
        <v>N</v>
      </c>
      <c r="K90" s="3" t="str">
        <f>IF(ISNUMBER(SEARCH(",Indie,",","&amp;SUBSTITUTE(TableMain[[#This Row],[Tags]],", ",",")&amp;",")),"Y","N")</f>
        <v>N</v>
      </c>
      <c r="L90" s="3" t="str">
        <f>IF(ISNUMBER(SEARCH(",Adventure,",","&amp;SUBSTITUTE(TableMain[[#This Row],[Tags]],", ",",")&amp;",")),"Y","N")</f>
        <v>N</v>
      </c>
      <c r="M90" s="3" t="str">
        <f>IF(ISNUMBER(SEARCH(",Simulation,",","&amp;SUBSTITUTE(TableMain[[#This Row],[Tags]],", ",",")&amp;",")),"Y","N")</f>
        <v>N</v>
      </c>
      <c r="N90" s="3" t="str">
        <f>IF(ISNUMBER(SEARCH(",RPG,",","&amp;SUBSTITUTE(TableMain[[#This Row],[Tags]],", ",",")&amp;",")),"Y","N")</f>
        <v>Y</v>
      </c>
      <c r="O90" s="3" t="str">
        <f>IF(ISNUMBER(SEARCH(",Strategy,",","&amp;SUBSTITUTE(TableMain[[#This Row],[Tags]],", ",",")&amp;",")),"Y","N")</f>
        <v>N</v>
      </c>
      <c r="P90" s="3" t="str">
        <f>IF(ISNUMBER(SEARCH(",Free To Play,",","&amp;SUBSTITUTE(TableMain[[#This Row],[Tags]],", ",",")&amp;",")),"Y","N")</f>
        <v>N</v>
      </c>
    </row>
    <row r="91" spans="1:16" x14ac:dyDescent="0.35">
      <c r="A91">
        <v>1476970</v>
      </c>
      <c r="B91" t="s">
        <v>269</v>
      </c>
      <c r="C91" s="1">
        <v>45967</v>
      </c>
      <c r="D91">
        <v>11081</v>
      </c>
      <c r="E91" t="b">
        <v>0</v>
      </c>
      <c r="F91" t="s">
        <v>270</v>
      </c>
      <c r="G91" t="s">
        <v>271</v>
      </c>
      <c r="H91">
        <v>90</v>
      </c>
      <c r="I91" t="s">
        <v>304</v>
      </c>
      <c r="J91" s="3" t="str">
        <f>IF(ISNUMBER(SEARCH(",Action,",","&amp;SUBSTITUTE(TableMain[[#This Row],[Tags]],", ",",")&amp;",")),"Y","N")</f>
        <v>N</v>
      </c>
      <c r="K91" s="3" t="str">
        <f>IF(ISNUMBER(SEARCH(",Indie,",","&amp;SUBSTITUTE(TableMain[[#This Row],[Tags]],", ",",")&amp;",")),"Y","N")</f>
        <v>Y</v>
      </c>
      <c r="L91" s="3" t="str">
        <f>IF(ISNUMBER(SEARCH(",Adventure,",","&amp;SUBSTITUTE(TableMain[[#This Row],[Tags]],", ",",")&amp;",")),"Y","N")</f>
        <v>N</v>
      </c>
      <c r="M91" s="3" t="str">
        <f>IF(ISNUMBER(SEARCH(",Simulation,",","&amp;SUBSTITUTE(TableMain[[#This Row],[Tags]],", ",",")&amp;",")),"Y","N")</f>
        <v>Y</v>
      </c>
      <c r="N91" s="3" t="str">
        <f>IF(ISNUMBER(SEARCH(",RPG,",","&amp;SUBSTITUTE(TableMain[[#This Row],[Tags]],", ",",")&amp;",")),"Y","N")</f>
        <v>Y</v>
      </c>
      <c r="O91" s="3" t="str">
        <f>IF(ISNUMBER(SEARCH(",Strategy,",","&amp;SUBSTITUTE(TableMain[[#This Row],[Tags]],", ",",")&amp;",")),"Y","N")</f>
        <v>N</v>
      </c>
      <c r="P91" s="3" t="str">
        <f>IF(ISNUMBER(SEARCH(",Free To Play,",","&amp;SUBSTITUTE(TableMain[[#This Row],[Tags]],", ",",")&amp;",")),"Y","N")</f>
        <v>Y</v>
      </c>
    </row>
    <row r="92" spans="1:16" x14ac:dyDescent="0.35">
      <c r="A92">
        <v>1604030</v>
      </c>
      <c r="B92" t="s">
        <v>272</v>
      </c>
      <c r="C92" s="1">
        <v>45420</v>
      </c>
      <c r="D92">
        <v>10961</v>
      </c>
      <c r="E92" t="b">
        <v>0</v>
      </c>
      <c r="F92" t="s">
        <v>273</v>
      </c>
      <c r="G92" t="s">
        <v>88</v>
      </c>
      <c r="H92">
        <v>91</v>
      </c>
      <c r="I92" t="s">
        <v>25</v>
      </c>
      <c r="J92" s="3" t="str">
        <f>IF(ISNUMBER(SEARCH(",Action,",","&amp;SUBSTITUTE(TableMain[[#This Row],[Tags]],", ",",")&amp;",")),"Y","N")</f>
        <v>Y</v>
      </c>
      <c r="K92" s="3" t="str">
        <f>IF(ISNUMBER(SEARCH(",Indie,",","&amp;SUBSTITUTE(TableMain[[#This Row],[Tags]],", ",",")&amp;",")),"Y","N")</f>
        <v>N</v>
      </c>
      <c r="L92" s="3" t="str">
        <f>IF(ISNUMBER(SEARCH(",Adventure,",","&amp;SUBSTITUTE(TableMain[[#This Row],[Tags]],", ",",")&amp;",")),"Y","N")</f>
        <v>Y</v>
      </c>
      <c r="M92" s="3" t="str">
        <f>IF(ISNUMBER(SEARCH(",Simulation,",","&amp;SUBSTITUTE(TableMain[[#This Row],[Tags]],", ",",")&amp;",")),"Y","N")</f>
        <v>N</v>
      </c>
      <c r="N92" s="3" t="str">
        <f>IF(ISNUMBER(SEARCH(",RPG,",","&amp;SUBSTITUTE(TableMain[[#This Row],[Tags]],", ",",")&amp;",")),"Y","N")</f>
        <v>N</v>
      </c>
      <c r="O92" s="3" t="str">
        <f>IF(ISNUMBER(SEARCH(",Strategy,",","&amp;SUBSTITUTE(TableMain[[#This Row],[Tags]],", ",",")&amp;",")),"Y","N")</f>
        <v>N</v>
      </c>
      <c r="P92" s="3" t="str">
        <f>IF(ISNUMBER(SEARCH(",Free To Play,",","&amp;SUBSTITUTE(TableMain[[#This Row],[Tags]],", ",",")&amp;",")),"Y","N")</f>
        <v>N</v>
      </c>
    </row>
    <row r="93" spans="1:16" x14ac:dyDescent="0.35">
      <c r="A93">
        <v>1203620</v>
      </c>
      <c r="B93" t="s">
        <v>274</v>
      </c>
      <c r="C93" s="1">
        <v>45315</v>
      </c>
      <c r="D93">
        <v>10654</v>
      </c>
      <c r="E93" t="b">
        <v>0</v>
      </c>
      <c r="F93" t="s">
        <v>275</v>
      </c>
      <c r="G93" t="s">
        <v>167</v>
      </c>
      <c r="H93">
        <v>92</v>
      </c>
      <c r="I93" t="s">
        <v>276</v>
      </c>
      <c r="J93" s="3" t="str">
        <f>IF(ISNUMBER(SEARCH(",Action,",","&amp;SUBSTITUTE(TableMain[[#This Row],[Tags]],", ",",")&amp;",")),"Y","N")</f>
        <v>Y</v>
      </c>
      <c r="K93" s="3" t="str">
        <f>IF(ISNUMBER(SEARCH(",Indie,",","&amp;SUBSTITUTE(TableMain[[#This Row],[Tags]],", ",",")&amp;",")),"Y","N")</f>
        <v>Y</v>
      </c>
      <c r="L93" s="3" t="str">
        <f>IF(ISNUMBER(SEARCH(",Adventure,",","&amp;SUBSTITUTE(TableMain[[#This Row],[Tags]],", ",",")&amp;",")),"Y","N")</f>
        <v>Y</v>
      </c>
      <c r="M93" s="3" t="str">
        <f>IF(ISNUMBER(SEARCH(",Simulation,",","&amp;SUBSTITUTE(TableMain[[#This Row],[Tags]],", ",",")&amp;",")),"Y","N")</f>
        <v>N</v>
      </c>
      <c r="N93" s="3" t="str">
        <f>IF(ISNUMBER(SEARCH(",RPG,",","&amp;SUBSTITUTE(TableMain[[#This Row],[Tags]],", ",",")&amp;",")),"Y","N")</f>
        <v>Y</v>
      </c>
      <c r="O93" s="3" t="str">
        <f>IF(ISNUMBER(SEARCH(",Strategy,",","&amp;SUBSTITUTE(TableMain[[#This Row],[Tags]],", ",",")&amp;",")),"Y","N")</f>
        <v>N</v>
      </c>
      <c r="P93" s="3" t="str">
        <f>IF(ISNUMBER(SEARCH(",Free To Play,",","&amp;SUBSTITUTE(TableMain[[#This Row],[Tags]],", ",",")&amp;",")),"Y","N")</f>
        <v>N</v>
      </c>
    </row>
    <row r="94" spans="1:16" x14ac:dyDescent="0.35">
      <c r="A94">
        <v>304930</v>
      </c>
      <c r="B94" t="s">
        <v>277</v>
      </c>
      <c r="C94" s="1">
        <v>42923</v>
      </c>
      <c r="D94">
        <v>10408</v>
      </c>
      <c r="E94" t="b">
        <v>1</v>
      </c>
      <c r="F94" t="s">
        <v>278</v>
      </c>
      <c r="G94" t="s">
        <v>279</v>
      </c>
      <c r="H94">
        <v>93</v>
      </c>
      <c r="I94" t="s">
        <v>40</v>
      </c>
      <c r="J94" s="3" t="str">
        <f>IF(ISNUMBER(SEARCH(",Action,",","&amp;SUBSTITUTE(TableMain[[#This Row],[Tags]],", ",",")&amp;",")),"Y","N")</f>
        <v>Y</v>
      </c>
      <c r="K94" s="3" t="str">
        <f>IF(ISNUMBER(SEARCH(",Indie,",","&amp;SUBSTITUTE(TableMain[[#This Row],[Tags]],", ",",")&amp;",")),"Y","N")</f>
        <v>Y</v>
      </c>
      <c r="L94" s="3" t="str">
        <f>IF(ISNUMBER(SEARCH(",Adventure,",","&amp;SUBSTITUTE(TableMain[[#This Row],[Tags]],", ",",")&amp;",")),"Y","N")</f>
        <v>Y</v>
      </c>
      <c r="M94" s="3" t="str">
        <f>IF(ISNUMBER(SEARCH(",Simulation,",","&amp;SUBSTITUTE(TableMain[[#This Row],[Tags]],", ",",")&amp;",")),"Y","N")</f>
        <v>N</v>
      </c>
      <c r="N94" s="3" t="str">
        <f>IF(ISNUMBER(SEARCH(",RPG,",","&amp;SUBSTITUTE(TableMain[[#This Row],[Tags]],", ",",")&amp;",")),"Y","N")</f>
        <v>N</v>
      </c>
      <c r="O94" s="3" t="str">
        <f>IF(ISNUMBER(SEARCH(",Strategy,",","&amp;SUBSTITUTE(TableMain[[#This Row],[Tags]],", ",",")&amp;",")),"Y","N")</f>
        <v>N</v>
      </c>
      <c r="P94" s="3" t="str">
        <f>IF(ISNUMBER(SEARCH(",Free To Play,",","&amp;SUBSTITUTE(TableMain[[#This Row],[Tags]],", ",",")&amp;",")),"Y","N")</f>
        <v>Y</v>
      </c>
    </row>
    <row r="95" spans="1:16" x14ac:dyDescent="0.35">
      <c r="A95">
        <v>1325860</v>
      </c>
      <c r="B95" t="s">
        <v>280</v>
      </c>
      <c r="C95" s="1">
        <v>44267</v>
      </c>
      <c r="D95">
        <v>10139</v>
      </c>
      <c r="E95" t="b">
        <v>1</v>
      </c>
      <c r="F95" t="s">
        <v>281</v>
      </c>
      <c r="G95" t="s">
        <v>282</v>
      </c>
      <c r="H95">
        <v>94</v>
      </c>
      <c r="I95" t="s">
        <v>53</v>
      </c>
      <c r="J95" s="3" t="str">
        <f>IF(ISNUMBER(SEARCH(",Action,",","&amp;SUBSTITUTE(TableMain[[#This Row],[Tags]],", ",",")&amp;",")),"Y","N")</f>
        <v>N</v>
      </c>
      <c r="K95" s="3" t="str">
        <f>IF(ISNUMBER(SEARCH(",Indie,",","&amp;SUBSTITUTE(TableMain[[#This Row],[Tags]],", ",",")&amp;",")),"Y","N")</f>
        <v>Y</v>
      </c>
      <c r="L95" s="3" t="str">
        <f>IF(ISNUMBER(SEARCH(",Adventure,",","&amp;SUBSTITUTE(TableMain[[#This Row],[Tags]],", ",",")&amp;",")),"Y","N")</f>
        <v>N</v>
      </c>
      <c r="M95" s="3" t="str">
        <f>IF(ISNUMBER(SEARCH(",Simulation,",","&amp;SUBSTITUTE(TableMain[[#This Row],[Tags]],", ",",")&amp;",")),"Y","N")</f>
        <v>N</v>
      </c>
      <c r="N95" s="3" t="str">
        <f>IF(ISNUMBER(SEARCH(",RPG,",","&amp;SUBSTITUTE(TableMain[[#This Row],[Tags]],", ",",")&amp;",")),"Y","N")</f>
        <v>N</v>
      </c>
      <c r="O95" s="3" t="str">
        <f>IF(ISNUMBER(SEARCH(",Strategy,",","&amp;SUBSTITUTE(TableMain[[#This Row],[Tags]],", ",",")&amp;",")),"Y","N")</f>
        <v>N</v>
      </c>
      <c r="P95" s="3" t="str">
        <f>IF(ISNUMBER(SEARCH(",Free To Play,",","&amp;SUBSTITUTE(TableMain[[#This Row],[Tags]],", ",",")&amp;",")),"Y","N")</f>
        <v>N</v>
      </c>
    </row>
    <row r="96" spans="1:16" x14ac:dyDescent="0.35">
      <c r="A96">
        <v>1551360</v>
      </c>
      <c r="B96" t="s">
        <v>283</v>
      </c>
      <c r="C96" s="1">
        <v>44508</v>
      </c>
      <c r="D96">
        <v>10009</v>
      </c>
      <c r="E96" t="b">
        <v>0</v>
      </c>
      <c r="F96" t="s">
        <v>284</v>
      </c>
      <c r="G96" t="s">
        <v>285</v>
      </c>
      <c r="H96">
        <v>95</v>
      </c>
      <c r="I96" t="s">
        <v>25</v>
      </c>
      <c r="J96" s="3" t="str">
        <f>IF(ISNUMBER(SEARCH(",Action,",","&amp;SUBSTITUTE(TableMain[[#This Row],[Tags]],", ",",")&amp;",")),"Y","N")</f>
        <v>Y</v>
      </c>
      <c r="K96" s="3" t="str">
        <f>IF(ISNUMBER(SEARCH(",Indie,",","&amp;SUBSTITUTE(TableMain[[#This Row],[Tags]],", ",",")&amp;",")),"Y","N")</f>
        <v>N</v>
      </c>
      <c r="L96" s="3" t="str">
        <f>IF(ISNUMBER(SEARCH(",Adventure,",","&amp;SUBSTITUTE(TableMain[[#This Row],[Tags]],", ",",")&amp;",")),"Y","N")</f>
        <v>Y</v>
      </c>
      <c r="M96" s="3" t="str">
        <f>IF(ISNUMBER(SEARCH(",Simulation,",","&amp;SUBSTITUTE(TableMain[[#This Row],[Tags]],", ",",")&amp;",")),"Y","N")</f>
        <v>Y</v>
      </c>
      <c r="N96" s="3" t="str">
        <f>IF(ISNUMBER(SEARCH(",RPG,",","&amp;SUBSTITUTE(TableMain[[#This Row],[Tags]],", ",",")&amp;",")),"Y","N")</f>
        <v>N</v>
      </c>
      <c r="O96" s="3" t="str">
        <f>IF(ISNUMBER(SEARCH(",Strategy,",","&amp;SUBSTITUTE(TableMain[[#This Row],[Tags]],", ",",")&amp;",")),"Y","N")</f>
        <v>N</v>
      </c>
      <c r="P96" s="3" t="str">
        <f>IF(ISNUMBER(SEARCH(",Free To Play,",","&amp;SUBSTITUTE(TableMain[[#This Row],[Tags]],", ",",")&amp;",")),"Y","N")</f>
        <v>N</v>
      </c>
    </row>
    <row r="97" spans="1:16" x14ac:dyDescent="0.35">
      <c r="A97">
        <v>739630</v>
      </c>
      <c r="B97" t="s">
        <v>286</v>
      </c>
      <c r="C97" s="1">
        <v>44092</v>
      </c>
      <c r="D97">
        <v>9978</v>
      </c>
      <c r="E97" t="b">
        <v>0</v>
      </c>
      <c r="F97" t="s">
        <v>287</v>
      </c>
      <c r="G97" t="s">
        <v>288</v>
      </c>
      <c r="H97">
        <v>96</v>
      </c>
      <c r="I97" t="s">
        <v>36</v>
      </c>
      <c r="J97" s="3" t="str">
        <f>IF(ISNUMBER(SEARCH(",Action,",","&amp;SUBSTITUTE(TableMain[[#This Row],[Tags]],", ",",")&amp;",")),"Y","N")</f>
        <v>Y</v>
      </c>
      <c r="K97" s="3" t="str">
        <f>IF(ISNUMBER(SEARCH(",Indie,",","&amp;SUBSTITUTE(TableMain[[#This Row],[Tags]],", ",",")&amp;",")),"Y","N")</f>
        <v>Y</v>
      </c>
      <c r="L97" s="3" t="str">
        <f>IF(ISNUMBER(SEARCH(",Adventure,",","&amp;SUBSTITUTE(TableMain[[#This Row],[Tags]],", ",",")&amp;",")),"Y","N")</f>
        <v>N</v>
      </c>
      <c r="M97" s="3" t="str">
        <f>IF(ISNUMBER(SEARCH(",Simulation,",","&amp;SUBSTITUTE(TableMain[[#This Row],[Tags]],", ",",")&amp;",")),"Y","N")</f>
        <v>N</v>
      </c>
      <c r="N97" s="3" t="str">
        <f>IF(ISNUMBER(SEARCH(",RPG,",","&amp;SUBSTITUTE(TableMain[[#This Row],[Tags]],", ",",")&amp;",")),"Y","N")</f>
        <v>N</v>
      </c>
      <c r="O97" s="3" t="str">
        <f>IF(ISNUMBER(SEARCH(",Strategy,",","&amp;SUBSTITUTE(TableMain[[#This Row],[Tags]],", ",",")&amp;",")),"Y","N")</f>
        <v>N</v>
      </c>
      <c r="P97" s="3" t="str">
        <f>IF(ISNUMBER(SEARCH(",Free To Play,",","&amp;SUBSTITUTE(TableMain[[#This Row],[Tags]],", ",",")&amp;",")),"Y","N")</f>
        <v>N</v>
      </c>
    </row>
    <row r="98" spans="1:16" x14ac:dyDescent="0.35">
      <c r="A98">
        <v>1454400</v>
      </c>
      <c r="B98" t="s">
        <v>289</v>
      </c>
      <c r="C98" s="1">
        <v>44440</v>
      </c>
      <c r="D98">
        <v>9583</v>
      </c>
      <c r="E98" t="b">
        <v>1</v>
      </c>
      <c r="F98" t="s">
        <v>290</v>
      </c>
      <c r="G98" t="s">
        <v>190</v>
      </c>
      <c r="H98">
        <v>97</v>
      </c>
      <c r="I98" t="s">
        <v>14</v>
      </c>
      <c r="J98" s="3" t="str">
        <f>IF(ISNUMBER(SEARCH(",Action,",","&amp;SUBSTITUTE(TableMain[[#This Row],[Tags]],", ",",")&amp;",")),"Y","N")</f>
        <v>N</v>
      </c>
      <c r="K98" s="3" t="str">
        <f>IF(ISNUMBER(SEARCH(",Indie,",","&amp;SUBSTITUTE(TableMain[[#This Row],[Tags]],", ",",")&amp;",")),"Y","N")</f>
        <v>Y</v>
      </c>
      <c r="L98" s="3" t="str">
        <f>IF(ISNUMBER(SEARCH(",Adventure,",","&amp;SUBSTITUTE(TableMain[[#This Row],[Tags]],", ",",")&amp;",")),"Y","N")</f>
        <v>N</v>
      </c>
      <c r="M98" s="3" t="str">
        <f>IF(ISNUMBER(SEARCH(",Simulation,",","&amp;SUBSTITUTE(TableMain[[#This Row],[Tags]],", ",",")&amp;",")),"Y","N")</f>
        <v>Y</v>
      </c>
      <c r="N98" s="3" t="str">
        <f>IF(ISNUMBER(SEARCH(",RPG,",","&amp;SUBSTITUTE(TableMain[[#This Row],[Tags]],", ",",")&amp;",")),"Y","N")</f>
        <v>N</v>
      </c>
      <c r="O98" s="3" t="str">
        <f>IF(ISNUMBER(SEARCH(",Strategy,",","&amp;SUBSTITUTE(TableMain[[#This Row],[Tags]],", ",",")&amp;",")),"Y","N")</f>
        <v>Y</v>
      </c>
      <c r="P98" s="3" t="str">
        <f>IF(ISNUMBER(SEARCH(",Free To Play,",","&amp;SUBSTITUTE(TableMain[[#This Row],[Tags]],", ",",")&amp;",")),"Y","N")</f>
        <v>N</v>
      </c>
    </row>
    <row r="99" spans="1:16" x14ac:dyDescent="0.35">
      <c r="A99">
        <v>2221490</v>
      </c>
      <c r="B99" t="s">
        <v>291</v>
      </c>
      <c r="C99" s="1">
        <v>44938</v>
      </c>
      <c r="D99">
        <v>9481</v>
      </c>
      <c r="E99" t="b">
        <v>0</v>
      </c>
      <c r="F99" t="s">
        <v>292</v>
      </c>
      <c r="G99" t="s">
        <v>208</v>
      </c>
      <c r="H99">
        <v>98</v>
      </c>
      <c r="I99" t="s">
        <v>293</v>
      </c>
      <c r="J99" s="3" t="str">
        <f>IF(ISNUMBER(SEARCH(",Action,",","&amp;SUBSTITUTE(TableMain[[#This Row],[Tags]],", ",",")&amp;",")),"Y","N")</f>
        <v>Y</v>
      </c>
      <c r="K99" s="3" t="str">
        <f>IF(ISNUMBER(SEARCH(",Indie,",","&amp;SUBSTITUTE(TableMain[[#This Row],[Tags]],", ",",")&amp;",")),"Y","N")</f>
        <v>N</v>
      </c>
      <c r="L99" s="3" t="str">
        <f>IF(ISNUMBER(SEARCH(",Adventure,",","&amp;SUBSTITUTE(TableMain[[#This Row],[Tags]],", ",",")&amp;",")),"Y","N")</f>
        <v>Y</v>
      </c>
      <c r="M99" s="3" t="str">
        <f>IF(ISNUMBER(SEARCH(",Simulation,",","&amp;SUBSTITUTE(TableMain[[#This Row],[Tags]],", ",",")&amp;",")),"Y","N")</f>
        <v>N</v>
      </c>
      <c r="N99" s="3" t="str">
        <f>IF(ISNUMBER(SEARCH(",RPG,",","&amp;SUBSTITUTE(TableMain[[#This Row],[Tags]],", ",",")&amp;",")),"Y","N")</f>
        <v>Y</v>
      </c>
      <c r="O99" s="3" t="str">
        <f>IF(ISNUMBER(SEARCH(",Strategy,",","&amp;SUBSTITUTE(TableMain[[#This Row],[Tags]],", ",",")&amp;",")),"Y","N")</f>
        <v>N</v>
      </c>
      <c r="P99" s="3" t="str">
        <f>IF(ISNUMBER(SEARCH(",Free To Play,",","&amp;SUBSTITUTE(TableMain[[#This Row],[Tags]],", ",",")&amp;",")),"Y","N")</f>
        <v>N</v>
      </c>
    </row>
    <row r="100" spans="1:16" x14ac:dyDescent="0.35">
      <c r="A100">
        <v>1237950</v>
      </c>
      <c r="B100" t="s">
        <v>294</v>
      </c>
      <c r="C100" s="1">
        <v>43993</v>
      </c>
      <c r="D100">
        <v>9213</v>
      </c>
      <c r="E100" t="b">
        <v>0</v>
      </c>
      <c r="F100" t="s">
        <v>295</v>
      </c>
      <c r="G100" t="s">
        <v>46</v>
      </c>
      <c r="H100">
        <v>99</v>
      </c>
      <c r="I100" t="s">
        <v>293</v>
      </c>
      <c r="J100" s="3" t="str">
        <f>IF(ISNUMBER(SEARCH(",Action,",","&amp;SUBSTITUTE(TableMain[[#This Row],[Tags]],", ",",")&amp;",")),"Y","N")</f>
        <v>Y</v>
      </c>
      <c r="K100" s="3" t="str">
        <f>IF(ISNUMBER(SEARCH(",Indie,",","&amp;SUBSTITUTE(TableMain[[#This Row],[Tags]],", ",",")&amp;",")),"Y","N")</f>
        <v>N</v>
      </c>
      <c r="L100" s="3" t="str">
        <f>IF(ISNUMBER(SEARCH(",Adventure,",","&amp;SUBSTITUTE(TableMain[[#This Row],[Tags]],", ",",")&amp;",")),"Y","N")</f>
        <v>Y</v>
      </c>
      <c r="M100" s="3" t="str">
        <f>IF(ISNUMBER(SEARCH(",Simulation,",","&amp;SUBSTITUTE(TableMain[[#This Row],[Tags]],", ",",")&amp;",")),"Y","N")</f>
        <v>N</v>
      </c>
      <c r="N100" s="3" t="str">
        <f>IF(ISNUMBER(SEARCH(",RPG,",","&amp;SUBSTITUTE(TableMain[[#This Row],[Tags]],", ",",")&amp;",")),"Y","N")</f>
        <v>N</v>
      </c>
      <c r="O100" s="3" t="str">
        <f>IF(ISNUMBER(SEARCH(",Strategy,",","&amp;SUBSTITUTE(TableMain[[#This Row],[Tags]],", ",",")&amp;",")),"Y","N")</f>
        <v>N</v>
      </c>
      <c r="P100" s="3" t="str">
        <f>IF(ISNUMBER(SEARCH(",Free To Play,",","&amp;SUBSTITUTE(TableMain[[#This Row],[Tags]],", ",",")&amp;",")),"Y","N")</f>
        <v>N</v>
      </c>
    </row>
    <row r="101" spans="1:16" x14ac:dyDescent="0.35">
      <c r="A101">
        <v>393380</v>
      </c>
      <c r="B101" t="s">
        <v>296</v>
      </c>
      <c r="C101" s="1">
        <v>44097</v>
      </c>
      <c r="D101">
        <v>9116</v>
      </c>
      <c r="E101" t="b">
        <v>0</v>
      </c>
      <c r="F101" t="s">
        <v>297</v>
      </c>
      <c r="G101" t="s">
        <v>298</v>
      </c>
      <c r="H101">
        <v>100</v>
      </c>
      <c r="I101" t="s">
        <v>29</v>
      </c>
      <c r="J101" s="3" t="str">
        <f>IF(ISNUMBER(SEARCH(",Action,",","&amp;SUBSTITUTE(TableMain[[#This Row],[Tags]],", ",",")&amp;",")),"Y","N")</f>
        <v>Y</v>
      </c>
      <c r="K101" s="3" t="str">
        <f>IF(ISNUMBER(SEARCH(",Indie,",","&amp;SUBSTITUTE(TableMain[[#This Row],[Tags]],", ",",")&amp;",")),"Y","N")</f>
        <v>Y</v>
      </c>
      <c r="L101" s="3" t="str">
        <f>IF(ISNUMBER(SEARCH(",Adventure,",","&amp;SUBSTITUTE(TableMain[[#This Row],[Tags]],", ",",")&amp;",")),"Y","N")</f>
        <v>N</v>
      </c>
      <c r="M101" s="3" t="str">
        <f>IF(ISNUMBER(SEARCH(",Simulation,",","&amp;SUBSTITUTE(TableMain[[#This Row],[Tags]],", ",",")&amp;",")),"Y","N")</f>
        <v>N</v>
      </c>
      <c r="N101" s="3" t="str">
        <f>IF(ISNUMBER(SEARCH(",RPG,",","&amp;SUBSTITUTE(TableMain[[#This Row],[Tags]],", ",",")&amp;",")),"Y","N")</f>
        <v>N</v>
      </c>
      <c r="O101" s="3" t="str">
        <f>IF(ISNUMBER(SEARCH(",Strategy,",","&amp;SUBSTITUTE(TableMain[[#This Row],[Tags]],", ",",")&amp;",")),"Y","N")</f>
        <v>Y</v>
      </c>
      <c r="P101" s="3" t="str">
        <f>IF(ISNUMBER(SEARCH(",Free To Play,",","&amp;SUBSTITUTE(TableMain[[#This Row],[Tags]],", ",",")&amp;",")),"Y","N")</f>
        <v>N</v>
      </c>
    </row>
    <row r="102" spans="1:16" x14ac:dyDescent="0.35">
      <c r="A102">
        <v>244210</v>
      </c>
      <c r="B102" t="s">
        <v>299</v>
      </c>
      <c r="C102" s="1">
        <v>41992</v>
      </c>
      <c r="D102">
        <v>8961</v>
      </c>
      <c r="E102" t="b">
        <v>0</v>
      </c>
      <c r="F102" t="s">
        <v>300</v>
      </c>
      <c r="G102" t="s">
        <v>301</v>
      </c>
      <c r="H102">
        <v>101</v>
      </c>
      <c r="I102" t="s">
        <v>967</v>
      </c>
      <c r="J102" s="3" t="str">
        <f>IF(ISNUMBER(SEARCH(",Action,",","&amp;SUBSTITUTE(TableMain[[#This Row],[Tags]],", ",",")&amp;",")),"Y","N")</f>
        <v>N</v>
      </c>
      <c r="K102" s="3" t="str">
        <f>IF(ISNUMBER(SEARCH(",Indie,",","&amp;SUBSTITUTE(TableMain[[#This Row],[Tags]],", ",",")&amp;",")),"Y","N")</f>
        <v>Y</v>
      </c>
      <c r="L102" s="3" t="str">
        <f>IF(ISNUMBER(SEARCH(",Adventure,",","&amp;SUBSTITUTE(TableMain[[#This Row],[Tags]],", ",",")&amp;",")),"Y","N")</f>
        <v>N</v>
      </c>
      <c r="M102" s="3" t="str">
        <f>IF(ISNUMBER(SEARCH(",Simulation,",","&amp;SUBSTITUTE(TableMain[[#This Row],[Tags]],", ",",")&amp;",")),"Y","N")</f>
        <v>Y</v>
      </c>
      <c r="N102" s="3" t="str">
        <f>IF(ISNUMBER(SEARCH(",RPG,",","&amp;SUBSTITUTE(TableMain[[#This Row],[Tags]],", ",",")&amp;",")),"Y","N")</f>
        <v>N</v>
      </c>
      <c r="O102" s="3" t="str">
        <f>IF(ISNUMBER(SEARCH(",Strategy,",","&amp;SUBSTITUTE(TableMain[[#This Row],[Tags]],", ",",")&amp;",")),"Y","N")</f>
        <v>N</v>
      </c>
      <c r="P102" s="3" t="str">
        <f>IF(ISNUMBER(SEARCH(",Free To Play,",","&amp;SUBSTITUTE(TableMain[[#This Row],[Tags]],", ",",")&amp;",")),"Y","N")</f>
        <v>N</v>
      </c>
    </row>
    <row r="103" spans="1:16" x14ac:dyDescent="0.35">
      <c r="A103">
        <v>255710</v>
      </c>
      <c r="B103" t="s">
        <v>302</v>
      </c>
      <c r="C103" s="1">
        <v>42073</v>
      </c>
      <c r="D103">
        <v>8842</v>
      </c>
      <c r="E103" t="b">
        <v>1</v>
      </c>
      <c r="F103" t="s">
        <v>303</v>
      </c>
      <c r="G103" t="s">
        <v>100</v>
      </c>
      <c r="H103">
        <v>102</v>
      </c>
      <c r="I103" t="s">
        <v>2087</v>
      </c>
      <c r="J103" s="3" t="str">
        <f>IF(ISNUMBER(SEARCH(",Action,",","&amp;SUBSTITUTE(TableMain[[#This Row],[Tags]],", ",",")&amp;",")),"Y","N")</f>
        <v>N</v>
      </c>
      <c r="K103" s="3" t="str">
        <f>IF(ISNUMBER(SEARCH(",Indie,",","&amp;SUBSTITUTE(TableMain[[#This Row],[Tags]],", ",",")&amp;",")),"Y","N")</f>
        <v>N</v>
      </c>
      <c r="L103" s="3" t="str">
        <f>IF(ISNUMBER(SEARCH(",Adventure,",","&amp;SUBSTITUTE(TableMain[[#This Row],[Tags]],", ",",")&amp;",")),"Y","N")</f>
        <v>N</v>
      </c>
      <c r="M103" s="3" t="str">
        <f>IF(ISNUMBER(SEARCH(",Simulation,",","&amp;SUBSTITUTE(TableMain[[#This Row],[Tags]],", ",",")&amp;",")),"Y","N")</f>
        <v>Y</v>
      </c>
      <c r="N103" s="3" t="str">
        <f>IF(ISNUMBER(SEARCH(",RPG,",","&amp;SUBSTITUTE(TableMain[[#This Row],[Tags]],", ",",")&amp;",")),"Y","N")</f>
        <v>N</v>
      </c>
      <c r="O103" s="3" t="str">
        <f>IF(ISNUMBER(SEARCH(",Strategy,",","&amp;SUBSTITUTE(TableMain[[#This Row],[Tags]],", ",",")&amp;",")),"Y","N")</f>
        <v>Y</v>
      </c>
      <c r="P103" s="3" t="str">
        <f>IF(ISNUMBER(SEARCH(",Free To Play,",","&amp;SUBSTITUTE(TableMain[[#This Row],[Tags]],", ",",")&amp;",")),"Y","N")</f>
        <v>N</v>
      </c>
    </row>
    <row r="104" spans="1:16" x14ac:dyDescent="0.35">
      <c r="A104">
        <v>2344520</v>
      </c>
      <c r="B104" t="s">
        <v>305</v>
      </c>
      <c r="C104" s="1">
        <v>45216</v>
      </c>
      <c r="D104">
        <v>8835</v>
      </c>
      <c r="E104" t="b">
        <v>0</v>
      </c>
      <c r="F104" t="s">
        <v>306</v>
      </c>
      <c r="G104" t="s">
        <v>24</v>
      </c>
      <c r="H104">
        <v>103</v>
      </c>
      <c r="I104" t="s">
        <v>33</v>
      </c>
      <c r="J104" s="3" t="str">
        <f>IF(ISNUMBER(SEARCH(",Action,",","&amp;SUBSTITUTE(TableMain[[#This Row],[Tags]],", ",",")&amp;",")),"Y","N")</f>
        <v>Y</v>
      </c>
      <c r="K104" s="3" t="str">
        <f>IF(ISNUMBER(SEARCH(",Indie,",","&amp;SUBSTITUTE(TableMain[[#This Row],[Tags]],", ",",")&amp;",")),"Y","N")</f>
        <v>N</v>
      </c>
      <c r="L104" s="3" t="str">
        <f>IF(ISNUMBER(SEARCH(",Adventure,",","&amp;SUBSTITUTE(TableMain[[#This Row],[Tags]],", ",",")&amp;",")),"Y","N")</f>
        <v>N</v>
      </c>
      <c r="M104" s="3" t="str">
        <f>IF(ISNUMBER(SEARCH(",Simulation,",","&amp;SUBSTITUTE(TableMain[[#This Row],[Tags]],", ",",")&amp;",")),"Y","N")</f>
        <v>N</v>
      </c>
      <c r="N104" s="3" t="str">
        <f>IF(ISNUMBER(SEARCH(",RPG,",","&amp;SUBSTITUTE(TableMain[[#This Row],[Tags]],", ",",")&amp;",")),"Y","N")</f>
        <v>Y</v>
      </c>
      <c r="O104" s="3" t="str">
        <f>IF(ISNUMBER(SEARCH(",Strategy,",","&amp;SUBSTITUTE(TableMain[[#This Row],[Tags]],", ",",")&amp;",")),"Y","N")</f>
        <v>N</v>
      </c>
      <c r="P104" s="3" t="str">
        <f>IF(ISNUMBER(SEARCH(",Free To Play,",","&amp;SUBSTITUTE(TableMain[[#This Row],[Tags]],", ",",")&amp;",")),"Y","N")</f>
        <v>N</v>
      </c>
    </row>
    <row r="105" spans="1:16" x14ac:dyDescent="0.35">
      <c r="A105">
        <v>1151340</v>
      </c>
      <c r="B105" t="s">
        <v>307</v>
      </c>
      <c r="C105" s="1">
        <v>43935</v>
      </c>
      <c r="D105">
        <v>8796</v>
      </c>
      <c r="E105" t="b">
        <v>0</v>
      </c>
      <c r="F105" t="s">
        <v>308</v>
      </c>
      <c r="G105" t="s">
        <v>132</v>
      </c>
      <c r="H105">
        <v>104</v>
      </c>
      <c r="I105" t="s">
        <v>33</v>
      </c>
      <c r="J105" s="3" t="str">
        <f>IF(ISNUMBER(SEARCH(",Action,",","&amp;SUBSTITUTE(TableMain[[#This Row],[Tags]],", ",",")&amp;",")),"Y","N")</f>
        <v>N</v>
      </c>
      <c r="K105" s="3" t="str">
        <f>IF(ISNUMBER(SEARCH(",Indie,",","&amp;SUBSTITUTE(TableMain[[#This Row],[Tags]],", ",",")&amp;",")),"Y","N")</f>
        <v>N</v>
      </c>
      <c r="L105" s="3" t="str">
        <f>IF(ISNUMBER(SEARCH(",Adventure,",","&amp;SUBSTITUTE(TableMain[[#This Row],[Tags]],", ",",")&amp;",")),"Y","N")</f>
        <v>N</v>
      </c>
      <c r="M105" s="3" t="str">
        <f>IF(ISNUMBER(SEARCH(",Simulation,",","&amp;SUBSTITUTE(TableMain[[#This Row],[Tags]],", ",",")&amp;",")),"Y","N")</f>
        <v>N</v>
      </c>
      <c r="N105" s="3" t="str">
        <f>IF(ISNUMBER(SEARCH(",RPG,",","&amp;SUBSTITUTE(TableMain[[#This Row],[Tags]],", ",",")&amp;",")),"Y","N")</f>
        <v>Y</v>
      </c>
      <c r="O105" s="3" t="str">
        <f>IF(ISNUMBER(SEARCH(",Strategy,",","&amp;SUBSTITUTE(TableMain[[#This Row],[Tags]],", ",",")&amp;",")),"Y","N")</f>
        <v>N</v>
      </c>
      <c r="P105" s="3" t="str">
        <f>IF(ISNUMBER(SEARCH(",Free To Play,",","&amp;SUBSTITUTE(TableMain[[#This Row],[Tags]],", ",",")&amp;",")),"Y","N")</f>
        <v>N</v>
      </c>
    </row>
    <row r="106" spans="1:16" x14ac:dyDescent="0.35">
      <c r="A106">
        <v>49520</v>
      </c>
      <c r="B106" t="s">
        <v>309</v>
      </c>
      <c r="C106" s="1">
        <v>41169</v>
      </c>
      <c r="D106">
        <v>8551</v>
      </c>
      <c r="E106" t="b">
        <v>1</v>
      </c>
      <c r="F106" t="s">
        <v>310</v>
      </c>
      <c r="G106" t="s">
        <v>24</v>
      </c>
      <c r="H106">
        <v>105</v>
      </c>
      <c r="I106" t="s">
        <v>2082</v>
      </c>
      <c r="J106" s="3" t="str">
        <f>IF(ISNUMBER(SEARCH(",Action,",","&amp;SUBSTITUTE(TableMain[[#This Row],[Tags]],", ",",")&amp;",")),"Y","N")</f>
        <v>Y</v>
      </c>
      <c r="K106" s="3" t="str">
        <f>IF(ISNUMBER(SEARCH(",Indie,",","&amp;SUBSTITUTE(TableMain[[#This Row],[Tags]],", ",",")&amp;",")),"Y","N")</f>
        <v>N</v>
      </c>
      <c r="L106" s="3" t="str">
        <f>IF(ISNUMBER(SEARCH(",Adventure,",","&amp;SUBSTITUTE(TableMain[[#This Row],[Tags]],", ",",")&amp;",")),"Y","N")</f>
        <v>N</v>
      </c>
      <c r="M106" s="3" t="str">
        <f>IF(ISNUMBER(SEARCH(",Simulation,",","&amp;SUBSTITUTE(TableMain[[#This Row],[Tags]],", ",",")&amp;",")),"Y","N")</f>
        <v>N</v>
      </c>
      <c r="N106" s="3" t="str">
        <f>IF(ISNUMBER(SEARCH(",RPG,",","&amp;SUBSTITUTE(TableMain[[#This Row],[Tags]],", ",",")&amp;",")),"Y","N")</f>
        <v>Y</v>
      </c>
      <c r="O106" s="3" t="str">
        <f>IF(ISNUMBER(SEARCH(",Strategy,",","&amp;SUBSTITUTE(TableMain[[#This Row],[Tags]],", ",",")&amp;",")),"Y","N")</f>
        <v>N</v>
      </c>
      <c r="P106" s="3" t="str">
        <f>IF(ISNUMBER(SEARCH(",Free To Play,",","&amp;SUBSTITUTE(TableMain[[#This Row],[Tags]],", ",",")&amp;",")),"Y","N")</f>
        <v>N</v>
      </c>
    </row>
    <row r="107" spans="1:16" x14ac:dyDescent="0.35">
      <c r="A107">
        <v>513710</v>
      </c>
      <c r="B107" t="s">
        <v>311</v>
      </c>
      <c r="C107" s="1">
        <v>45825</v>
      </c>
      <c r="D107">
        <v>8535</v>
      </c>
      <c r="E107" t="b">
        <v>0</v>
      </c>
      <c r="F107" t="s">
        <v>312</v>
      </c>
      <c r="G107" t="s">
        <v>313</v>
      </c>
      <c r="H107">
        <v>106</v>
      </c>
      <c r="I107" t="s">
        <v>36</v>
      </c>
      <c r="J107" s="3" t="str">
        <f>IF(ISNUMBER(SEARCH(",Action,",","&amp;SUBSTITUTE(TableMain[[#This Row],[Tags]],", ",",")&amp;",")),"Y","N")</f>
        <v>Y</v>
      </c>
      <c r="K107" s="3" t="str">
        <f>IF(ISNUMBER(SEARCH(",Indie,",","&amp;SUBSTITUTE(TableMain[[#This Row],[Tags]],", ",",")&amp;",")),"Y","N")</f>
        <v>Y</v>
      </c>
      <c r="L107" s="3" t="str">
        <f>IF(ISNUMBER(SEARCH(",Adventure,",","&amp;SUBSTITUTE(TableMain[[#This Row],[Tags]],", ",",")&amp;",")),"Y","N")</f>
        <v>Y</v>
      </c>
      <c r="M107" s="3" t="str">
        <f>IF(ISNUMBER(SEARCH(",Simulation,",","&amp;SUBSTITUTE(TableMain[[#This Row],[Tags]],", ",",")&amp;",")),"Y","N")</f>
        <v>N</v>
      </c>
      <c r="N107" s="3" t="str">
        <f>IF(ISNUMBER(SEARCH(",RPG,",","&amp;SUBSTITUTE(TableMain[[#This Row],[Tags]],", ",",")&amp;",")),"Y","N")</f>
        <v>N</v>
      </c>
      <c r="O107" s="3" t="str">
        <f>IF(ISNUMBER(SEARCH(",Strategy,",","&amp;SUBSTITUTE(TableMain[[#This Row],[Tags]],", ",",")&amp;",")),"Y","N")</f>
        <v>N</v>
      </c>
      <c r="P107" s="3" t="str">
        <f>IF(ISNUMBER(SEARCH(",Free To Play,",","&amp;SUBSTITUTE(TableMain[[#This Row],[Tags]],", ",",")&amp;",")),"Y","N")</f>
        <v>N</v>
      </c>
    </row>
    <row r="108" spans="1:16" x14ac:dyDescent="0.35">
      <c r="A108">
        <v>552990</v>
      </c>
      <c r="B108" t="s">
        <v>314</v>
      </c>
      <c r="C108" s="1">
        <v>43054</v>
      </c>
      <c r="D108">
        <v>8518</v>
      </c>
      <c r="E108" t="b">
        <v>0</v>
      </c>
      <c r="F108" t="s">
        <v>315</v>
      </c>
      <c r="G108" t="s">
        <v>316</v>
      </c>
      <c r="H108">
        <v>107</v>
      </c>
      <c r="I108" t="s">
        <v>133</v>
      </c>
      <c r="J108" s="3" t="str">
        <f>IF(ISNUMBER(SEARCH(",Action,",","&amp;SUBSTITUTE(TableMain[[#This Row],[Tags]],", ",",")&amp;",")),"Y","N")</f>
        <v>Y</v>
      </c>
      <c r="K108" s="3" t="str">
        <f>IF(ISNUMBER(SEARCH(",Indie,",","&amp;SUBSTITUTE(TableMain[[#This Row],[Tags]],", ",",")&amp;",")),"Y","N")</f>
        <v>N</v>
      </c>
      <c r="L108" s="3" t="str">
        <f>IF(ISNUMBER(SEARCH(",Adventure,",","&amp;SUBSTITUTE(TableMain[[#This Row],[Tags]],", ",",")&amp;",")),"Y","N")</f>
        <v>N</v>
      </c>
      <c r="M108" s="3" t="str">
        <f>IF(ISNUMBER(SEARCH(",Simulation,",","&amp;SUBSTITUTE(TableMain[[#This Row],[Tags]],", ",",")&amp;",")),"Y","N")</f>
        <v>Y</v>
      </c>
      <c r="N108" s="3" t="str">
        <f>IF(ISNUMBER(SEARCH(",RPG,",","&amp;SUBSTITUTE(TableMain[[#This Row],[Tags]],", ",",")&amp;",")),"Y","N")</f>
        <v>N</v>
      </c>
      <c r="O108" s="3" t="str">
        <f>IF(ISNUMBER(SEARCH(",Strategy,",","&amp;SUBSTITUTE(TableMain[[#This Row],[Tags]],", ",",")&amp;",")),"Y","N")</f>
        <v>Y</v>
      </c>
      <c r="P108" s="3" t="str">
        <f>IF(ISNUMBER(SEARCH(",Free To Play,",","&amp;SUBSTITUTE(TableMain[[#This Row],[Tags]],", ",",")&amp;",")),"Y","N")</f>
        <v>Y</v>
      </c>
    </row>
    <row r="109" spans="1:16" x14ac:dyDescent="0.35">
      <c r="A109">
        <v>1283970</v>
      </c>
      <c r="B109" t="s">
        <v>317</v>
      </c>
      <c r="C109" s="1">
        <v>43952</v>
      </c>
      <c r="D109">
        <v>8493</v>
      </c>
      <c r="E109" t="b">
        <v>0</v>
      </c>
      <c r="F109" t="s">
        <v>318</v>
      </c>
      <c r="G109" t="s">
        <v>319</v>
      </c>
      <c r="H109">
        <v>108</v>
      </c>
      <c r="I109" t="s">
        <v>14</v>
      </c>
      <c r="J109" s="3" t="str">
        <f>IF(ISNUMBER(SEARCH(",Action,",","&amp;SUBSTITUTE(TableMain[[#This Row],[Tags]],", ",",")&amp;",")),"Y","N")</f>
        <v>N</v>
      </c>
      <c r="K109" s="3" t="str">
        <f>IF(ISNUMBER(SEARCH(",Indie,",","&amp;SUBSTITUTE(TableMain[[#This Row],[Tags]],", ",",")&amp;",")),"Y","N")</f>
        <v>N</v>
      </c>
      <c r="L109" s="3" t="str">
        <f>IF(ISNUMBER(SEARCH(",Adventure,",","&amp;SUBSTITUTE(TableMain[[#This Row],[Tags]],", ",",")&amp;",")),"Y","N")</f>
        <v>N</v>
      </c>
      <c r="M109" s="3" t="str">
        <f>IF(ISNUMBER(SEARCH(",Simulation,",","&amp;SUBSTITUTE(TableMain[[#This Row],[Tags]],", ",",")&amp;",")),"Y","N")</f>
        <v>N</v>
      </c>
      <c r="N109" s="3" t="str">
        <f>IF(ISNUMBER(SEARCH(",RPG,",","&amp;SUBSTITUTE(TableMain[[#This Row],[Tags]],", ",",")&amp;",")),"Y","N")</f>
        <v>N</v>
      </c>
      <c r="O109" s="3" t="str">
        <f>IF(ISNUMBER(SEARCH(",Strategy,",","&amp;SUBSTITUTE(TableMain[[#This Row],[Tags]],", ",",")&amp;",")),"Y","N")</f>
        <v>N</v>
      </c>
      <c r="P109" s="3" t="str">
        <f>IF(ISNUMBER(SEARCH(",Free To Play,",","&amp;SUBSTITUTE(TableMain[[#This Row],[Tags]],", ",",")&amp;",")),"Y","N")</f>
        <v>N</v>
      </c>
    </row>
    <row r="110" spans="1:16" x14ac:dyDescent="0.35">
      <c r="A110">
        <v>761890</v>
      </c>
      <c r="B110" t="s">
        <v>320</v>
      </c>
      <c r="C110" s="1">
        <v>43236</v>
      </c>
      <c r="D110">
        <v>8184</v>
      </c>
      <c r="E110" t="b">
        <v>1</v>
      </c>
      <c r="F110" t="s">
        <v>321</v>
      </c>
      <c r="G110" t="s">
        <v>322</v>
      </c>
      <c r="H110">
        <v>109</v>
      </c>
      <c r="I110" t="s">
        <v>110</v>
      </c>
      <c r="J110" s="3" t="str">
        <f>IF(ISNUMBER(SEARCH(",Action,",","&amp;SUBSTITUTE(TableMain[[#This Row],[Tags]],", ",",")&amp;",")),"Y","N")</f>
        <v>N</v>
      </c>
      <c r="K110" s="3" t="str">
        <f>IF(ISNUMBER(SEARCH(",Indie,",","&amp;SUBSTITUTE(TableMain[[#This Row],[Tags]],", ",",")&amp;",")),"Y","N")</f>
        <v>N</v>
      </c>
      <c r="L110" s="3" t="str">
        <f>IF(ISNUMBER(SEARCH(",Adventure,",","&amp;SUBSTITUTE(TableMain[[#This Row],[Tags]],", ",",")&amp;",")),"Y","N")</f>
        <v>N</v>
      </c>
      <c r="M110" s="3" t="str">
        <f>IF(ISNUMBER(SEARCH(",Simulation,",","&amp;SUBSTITUTE(TableMain[[#This Row],[Tags]],", ",",")&amp;",")),"Y","N")</f>
        <v>N</v>
      </c>
      <c r="N110" s="3" t="str">
        <f>IF(ISNUMBER(SEARCH(",RPG,",","&amp;SUBSTITUTE(TableMain[[#This Row],[Tags]],", ",",")&amp;",")),"Y","N")</f>
        <v>Y</v>
      </c>
      <c r="O110" s="3" t="str">
        <f>IF(ISNUMBER(SEARCH(",Strategy,",","&amp;SUBSTITUTE(TableMain[[#This Row],[Tags]],", ",",")&amp;",")),"Y","N")</f>
        <v>N</v>
      </c>
      <c r="P110" s="3" t="str">
        <f>IF(ISNUMBER(SEARCH(",Free To Play,",","&amp;SUBSTITUTE(TableMain[[#This Row],[Tags]],", ",",")&amp;",")),"Y","N")</f>
        <v>Y</v>
      </c>
    </row>
    <row r="111" spans="1:16" x14ac:dyDescent="0.35">
      <c r="A111">
        <v>1466060</v>
      </c>
      <c r="B111" t="s">
        <v>323</v>
      </c>
      <c r="C111" s="1">
        <v>45800</v>
      </c>
      <c r="D111">
        <v>8175</v>
      </c>
      <c r="E111" t="b">
        <v>0</v>
      </c>
      <c r="F111" t="s">
        <v>324</v>
      </c>
      <c r="G111" t="s">
        <v>138</v>
      </c>
      <c r="H111">
        <v>110</v>
      </c>
      <c r="I111" t="s">
        <v>276</v>
      </c>
      <c r="J111" s="3" t="str">
        <f>IF(ISNUMBER(SEARCH(",Action,",","&amp;SUBSTITUTE(TableMain[[#This Row],[Tags]],", ",",")&amp;",")),"Y","N")</f>
        <v>Y</v>
      </c>
      <c r="K111" s="3" t="str">
        <f>IF(ISNUMBER(SEARCH(",Indie,",","&amp;SUBSTITUTE(TableMain[[#This Row],[Tags]],", ",",")&amp;",")),"Y","N")</f>
        <v>Y</v>
      </c>
      <c r="L111" s="3" t="str">
        <f>IF(ISNUMBER(SEARCH(",Adventure,",","&amp;SUBSTITUTE(TableMain[[#This Row],[Tags]],", ",",")&amp;",")),"Y","N")</f>
        <v>Y</v>
      </c>
      <c r="M111" s="3" t="str">
        <f>IF(ISNUMBER(SEARCH(",Simulation,",","&amp;SUBSTITUTE(TableMain[[#This Row],[Tags]],", ",",")&amp;",")),"Y","N")</f>
        <v>N</v>
      </c>
      <c r="N111" s="3" t="str">
        <f>IF(ISNUMBER(SEARCH(",RPG,",","&amp;SUBSTITUTE(TableMain[[#This Row],[Tags]],", ",",")&amp;",")),"Y","N")</f>
        <v>Y</v>
      </c>
      <c r="O111" s="3" t="str">
        <f>IF(ISNUMBER(SEARCH(",Strategy,",","&amp;SUBSTITUTE(TableMain[[#This Row],[Tags]],", ",",")&amp;",")),"Y","N")</f>
        <v>N</v>
      </c>
      <c r="P111" s="3" t="str">
        <f>IF(ISNUMBER(SEARCH(",Free To Play,",","&amp;SUBSTITUTE(TableMain[[#This Row],[Tags]],", ",",")&amp;",")),"Y","N")</f>
        <v>N</v>
      </c>
    </row>
    <row r="112" spans="1:16" x14ac:dyDescent="0.35">
      <c r="A112">
        <v>2104890</v>
      </c>
      <c r="B112" t="s">
        <v>325</v>
      </c>
      <c r="C112" s="1">
        <v>45797</v>
      </c>
      <c r="D112">
        <v>8156</v>
      </c>
      <c r="E112" t="b">
        <v>0</v>
      </c>
      <c r="F112" t="s">
        <v>326</v>
      </c>
      <c r="G112" t="s">
        <v>327</v>
      </c>
      <c r="H112">
        <v>111</v>
      </c>
      <c r="I112" t="s">
        <v>50</v>
      </c>
      <c r="J112" s="3" t="str">
        <f>IF(ISNUMBER(SEARCH(",Action,",","&amp;SUBSTITUTE(TableMain[[#This Row],[Tags]],", ",",")&amp;",")),"Y","N")</f>
        <v>N</v>
      </c>
      <c r="K112" s="3" t="str">
        <f>IF(ISNUMBER(SEARCH(",Indie,",","&amp;SUBSTITUTE(TableMain[[#This Row],[Tags]],", ",",")&amp;",")),"Y","N")</f>
        <v>N</v>
      </c>
      <c r="L112" s="3" t="str">
        <f>IF(ISNUMBER(SEARCH(",Adventure,",","&amp;SUBSTITUTE(TableMain[[#This Row],[Tags]],", ",",")&amp;",")),"Y","N")</f>
        <v>Y</v>
      </c>
      <c r="M112" s="3" t="str">
        <f>IF(ISNUMBER(SEARCH(",Simulation,",","&amp;SUBSTITUTE(TableMain[[#This Row],[Tags]],", ",",")&amp;",")),"Y","N")</f>
        <v>Y</v>
      </c>
      <c r="N112" s="3" t="str">
        <f>IF(ISNUMBER(SEARCH(",RPG,",","&amp;SUBSTITUTE(TableMain[[#This Row],[Tags]],", ",",")&amp;",")),"Y","N")</f>
        <v>N</v>
      </c>
      <c r="O112" s="3" t="str">
        <f>IF(ISNUMBER(SEARCH(",Strategy,",","&amp;SUBSTITUTE(TableMain[[#This Row],[Tags]],", ",",")&amp;",")),"Y","N")</f>
        <v>N</v>
      </c>
      <c r="P112" s="3" t="str">
        <f>IF(ISNUMBER(SEARCH(",Free To Play,",","&amp;SUBSTITUTE(TableMain[[#This Row],[Tags]],", ",",")&amp;",")),"Y","N")</f>
        <v>N</v>
      </c>
    </row>
    <row r="113" spans="1:16" x14ac:dyDescent="0.35">
      <c r="A113">
        <v>216150</v>
      </c>
      <c r="B113" t="s">
        <v>328</v>
      </c>
      <c r="C113" s="1">
        <v>41130</v>
      </c>
      <c r="D113">
        <v>8092</v>
      </c>
      <c r="E113" t="b">
        <v>0</v>
      </c>
      <c r="F113" t="s">
        <v>329</v>
      </c>
      <c r="G113" t="s">
        <v>330</v>
      </c>
      <c r="H113">
        <v>112</v>
      </c>
      <c r="I113" t="s">
        <v>2089</v>
      </c>
      <c r="J113" s="3" t="str">
        <f>IF(ISNUMBER(SEARCH(",Action,",","&amp;SUBSTITUTE(TableMain[[#This Row],[Tags]],", ",",")&amp;",")),"Y","N")</f>
        <v>Y</v>
      </c>
      <c r="K113" s="3" t="str">
        <f>IF(ISNUMBER(SEARCH(",Indie,",","&amp;SUBSTITUTE(TableMain[[#This Row],[Tags]],", ",",")&amp;",")),"Y","N")</f>
        <v>N</v>
      </c>
      <c r="L113" s="3" t="str">
        <f>IF(ISNUMBER(SEARCH(",Adventure,",","&amp;SUBSTITUTE(TableMain[[#This Row],[Tags]],", ",",")&amp;",")),"Y","N")</f>
        <v>Y</v>
      </c>
      <c r="M113" s="3" t="str">
        <f>IF(ISNUMBER(SEARCH(",Simulation,",","&amp;SUBSTITUTE(TableMain[[#This Row],[Tags]],", ",",")&amp;",")),"Y","N")</f>
        <v>N</v>
      </c>
      <c r="N113" s="3" t="str">
        <f>IF(ISNUMBER(SEARCH(",RPG,",","&amp;SUBSTITUTE(TableMain[[#This Row],[Tags]],", ",",")&amp;",")),"Y","N")</f>
        <v>Y</v>
      </c>
      <c r="O113" s="3" t="str">
        <f>IF(ISNUMBER(SEARCH(",Strategy,",","&amp;SUBSTITUTE(TableMain[[#This Row],[Tags]],", ",",")&amp;",")),"Y","N")</f>
        <v>N</v>
      </c>
      <c r="P113" s="3" t="str">
        <f>IF(ISNUMBER(SEARCH(",Free To Play,",","&amp;SUBSTITUTE(TableMain[[#This Row],[Tags]],", ",",")&amp;",")),"Y","N")</f>
        <v>Y</v>
      </c>
    </row>
    <row r="114" spans="1:16" x14ac:dyDescent="0.35">
      <c r="A114">
        <v>632360</v>
      </c>
      <c r="B114" t="s">
        <v>331</v>
      </c>
      <c r="C114" s="1">
        <v>44054</v>
      </c>
      <c r="D114">
        <v>7902</v>
      </c>
      <c r="E114" t="b">
        <v>0</v>
      </c>
      <c r="F114" t="s">
        <v>332</v>
      </c>
      <c r="G114" t="s">
        <v>116</v>
      </c>
      <c r="H114">
        <v>113</v>
      </c>
      <c r="I114" t="s">
        <v>133</v>
      </c>
      <c r="J114" s="3" t="str">
        <f>IF(ISNUMBER(SEARCH(",Action,",","&amp;SUBSTITUTE(TableMain[[#This Row],[Tags]],", ",",")&amp;",")),"Y","N")</f>
        <v>Y</v>
      </c>
      <c r="K114" s="3" t="str">
        <f>IF(ISNUMBER(SEARCH(",Indie,",","&amp;SUBSTITUTE(TableMain[[#This Row],[Tags]],", ",",")&amp;",")),"Y","N")</f>
        <v>Y</v>
      </c>
      <c r="L114" s="3" t="str">
        <f>IF(ISNUMBER(SEARCH(",Adventure,",","&amp;SUBSTITUTE(TableMain[[#This Row],[Tags]],", ",",")&amp;",")),"Y","N")</f>
        <v>N</v>
      </c>
      <c r="M114" s="3" t="str">
        <f>IF(ISNUMBER(SEARCH(",Simulation,",","&amp;SUBSTITUTE(TableMain[[#This Row],[Tags]],", ",",")&amp;",")),"Y","N")</f>
        <v>N</v>
      </c>
      <c r="N114" s="3" t="str">
        <f>IF(ISNUMBER(SEARCH(",RPG,",","&amp;SUBSTITUTE(TableMain[[#This Row],[Tags]],", ",",")&amp;",")),"Y","N")</f>
        <v>N</v>
      </c>
      <c r="O114" s="3" t="str">
        <f>IF(ISNUMBER(SEARCH(",Strategy,",","&amp;SUBSTITUTE(TableMain[[#This Row],[Tags]],", ",",")&amp;",")),"Y","N")</f>
        <v>N</v>
      </c>
      <c r="P114" s="3" t="str">
        <f>IF(ISNUMBER(SEARCH(",Free To Play,",","&amp;SUBSTITUTE(TableMain[[#This Row],[Tags]],", ",",")&amp;",")),"Y","N")</f>
        <v>N</v>
      </c>
    </row>
    <row r="115" spans="1:16" x14ac:dyDescent="0.35">
      <c r="A115">
        <v>3117820</v>
      </c>
      <c r="B115" t="s">
        <v>333</v>
      </c>
      <c r="C115" s="1">
        <v>45746</v>
      </c>
      <c r="D115">
        <v>7726</v>
      </c>
      <c r="E115" t="b">
        <v>1</v>
      </c>
      <c r="F115" t="s">
        <v>334</v>
      </c>
      <c r="G115" t="s">
        <v>335</v>
      </c>
      <c r="H115">
        <v>114</v>
      </c>
      <c r="I115" t="s">
        <v>25</v>
      </c>
      <c r="J115" s="3" t="str">
        <f>IF(ISNUMBER(SEARCH(",Action,",","&amp;SUBSTITUTE(TableMain[[#This Row],[Tags]],", ",",")&amp;",")),"Y","N")</f>
        <v>N</v>
      </c>
      <c r="K115" s="3" t="str">
        <f>IF(ISNUMBER(SEARCH(",Indie,",","&amp;SUBSTITUTE(TableMain[[#This Row],[Tags]],", ",",")&amp;",")),"Y","N")</f>
        <v>Y</v>
      </c>
      <c r="L115" s="3" t="str">
        <f>IF(ISNUMBER(SEARCH(",Adventure,",","&amp;SUBSTITUTE(TableMain[[#This Row],[Tags]],", ",",")&amp;",")),"Y","N")</f>
        <v>Y</v>
      </c>
      <c r="M115" s="3" t="str">
        <f>IF(ISNUMBER(SEARCH(",Simulation,",","&amp;SUBSTITUTE(TableMain[[#This Row],[Tags]],", ",",")&amp;",")),"Y","N")</f>
        <v>Y</v>
      </c>
      <c r="N115" s="3" t="str">
        <f>IF(ISNUMBER(SEARCH(",RPG,",","&amp;SUBSTITUTE(TableMain[[#This Row],[Tags]],", ",",")&amp;",")),"Y","N")</f>
        <v>Y</v>
      </c>
      <c r="O115" s="3" t="str">
        <f>IF(ISNUMBER(SEARCH(",Strategy,",","&amp;SUBSTITUTE(TableMain[[#This Row],[Tags]],", ",",")&amp;",")),"Y","N")</f>
        <v>Y</v>
      </c>
      <c r="P115" s="3" t="str">
        <f>IF(ISNUMBER(SEARCH(",Free To Play,",","&amp;SUBSTITUTE(TableMain[[#This Row],[Tags]],", ",",")&amp;",")),"Y","N")</f>
        <v>N</v>
      </c>
    </row>
    <row r="116" spans="1:16" x14ac:dyDescent="0.35">
      <c r="A116">
        <v>457140</v>
      </c>
      <c r="B116" t="s">
        <v>336</v>
      </c>
      <c r="C116" s="1">
        <v>43676</v>
      </c>
      <c r="D116">
        <v>7545</v>
      </c>
      <c r="E116" t="b">
        <v>1</v>
      </c>
      <c r="F116" t="s">
        <v>337</v>
      </c>
      <c r="G116" t="s">
        <v>174</v>
      </c>
      <c r="H116">
        <v>115</v>
      </c>
      <c r="I116" t="s">
        <v>2082</v>
      </c>
      <c r="J116" s="3" t="str">
        <f>IF(ISNUMBER(SEARCH(",Action,",","&amp;SUBSTITUTE(TableMain[[#This Row],[Tags]],", ",",")&amp;",")),"Y","N")</f>
        <v>N</v>
      </c>
      <c r="K116" s="3" t="str">
        <f>IF(ISNUMBER(SEARCH(",Indie,",","&amp;SUBSTITUTE(TableMain[[#This Row],[Tags]],", ",",")&amp;",")),"Y","N")</f>
        <v>Y</v>
      </c>
      <c r="L116" s="3" t="str">
        <f>IF(ISNUMBER(SEARCH(",Adventure,",","&amp;SUBSTITUTE(TableMain[[#This Row],[Tags]],", ",",")&amp;",")),"Y","N")</f>
        <v>N</v>
      </c>
      <c r="M116" s="3" t="str">
        <f>IF(ISNUMBER(SEARCH(",Simulation,",","&amp;SUBSTITUTE(TableMain[[#This Row],[Tags]],", ",",")&amp;",")),"Y","N")</f>
        <v>Y</v>
      </c>
      <c r="N116" s="3" t="str">
        <f>IF(ISNUMBER(SEARCH(",RPG,",","&amp;SUBSTITUTE(TableMain[[#This Row],[Tags]],", ",",")&amp;",")),"Y","N")</f>
        <v>N</v>
      </c>
      <c r="O116" s="3" t="str">
        <f>IF(ISNUMBER(SEARCH(",Strategy,",","&amp;SUBSTITUTE(TableMain[[#This Row],[Tags]],", ",",")&amp;",")),"Y","N")</f>
        <v>N</v>
      </c>
      <c r="P116" s="3" t="str">
        <f>IF(ISNUMBER(SEARCH(",Free To Play,",","&amp;SUBSTITUTE(TableMain[[#This Row],[Tags]],", ",",")&amp;",")),"Y","N")</f>
        <v>N</v>
      </c>
    </row>
    <row r="117" spans="1:16" x14ac:dyDescent="0.35">
      <c r="A117">
        <v>2479810</v>
      </c>
      <c r="B117" t="s">
        <v>338</v>
      </c>
      <c r="C117" s="1">
        <v>45412</v>
      </c>
      <c r="D117">
        <v>7543</v>
      </c>
      <c r="E117" t="b">
        <v>0</v>
      </c>
      <c r="F117" t="s">
        <v>339</v>
      </c>
      <c r="G117" t="s">
        <v>340</v>
      </c>
      <c r="H117">
        <v>116</v>
      </c>
      <c r="I117" t="s">
        <v>341</v>
      </c>
      <c r="J117" s="3" t="str">
        <f>IF(ISNUMBER(SEARCH(",Action,",","&amp;SUBSTITUTE(TableMain[[#This Row],[Tags]],", ",",")&amp;",")),"Y","N")</f>
        <v>Y</v>
      </c>
      <c r="K117" s="3" t="str">
        <f>IF(ISNUMBER(SEARCH(",Indie,",","&amp;SUBSTITUTE(TableMain[[#This Row],[Tags]],", ",",")&amp;",")),"Y","N")</f>
        <v>N</v>
      </c>
      <c r="L117" s="3" t="str">
        <f>IF(ISNUMBER(SEARCH(",Adventure,",","&amp;SUBSTITUTE(TableMain[[#This Row],[Tags]],", ",",")&amp;",")),"Y","N")</f>
        <v>N</v>
      </c>
      <c r="M117" s="3" t="str">
        <f>IF(ISNUMBER(SEARCH(",Simulation,",","&amp;SUBSTITUTE(TableMain[[#This Row],[Tags]],", ",",")&amp;",")),"Y","N")</f>
        <v>Y</v>
      </c>
      <c r="N117" s="3" t="str">
        <f>IF(ISNUMBER(SEARCH(",RPG,",","&amp;SUBSTITUTE(TableMain[[#This Row],[Tags]],", ",",")&amp;",")),"Y","N")</f>
        <v>N</v>
      </c>
      <c r="O117" s="3" t="str">
        <f>IF(ISNUMBER(SEARCH(",Strategy,",","&amp;SUBSTITUTE(TableMain[[#This Row],[Tags]],", ",",")&amp;",")),"Y","N")</f>
        <v>N</v>
      </c>
      <c r="P117" s="3" t="str">
        <f>IF(ISNUMBER(SEARCH(",Free To Play,",","&amp;SUBSTITUTE(TableMain[[#This Row],[Tags]],", ",",")&amp;",")),"Y","N")</f>
        <v>N</v>
      </c>
    </row>
    <row r="118" spans="1:16" x14ac:dyDescent="0.35">
      <c r="A118">
        <v>960090</v>
      </c>
      <c r="B118" t="s">
        <v>342</v>
      </c>
      <c r="C118" s="1">
        <v>43451</v>
      </c>
      <c r="D118">
        <v>7489</v>
      </c>
      <c r="E118" t="b">
        <v>1</v>
      </c>
      <c r="F118" t="s">
        <v>343</v>
      </c>
      <c r="G118" t="s">
        <v>124</v>
      </c>
      <c r="H118">
        <v>117</v>
      </c>
      <c r="I118" t="s">
        <v>110</v>
      </c>
      <c r="J118" s="3" t="str">
        <f>IF(ISNUMBER(SEARCH(",Action,",","&amp;SUBSTITUTE(TableMain[[#This Row],[Tags]],", ",",")&amp;",")),"Y","N")</f>
        <v>N</v>
      </c>
      <c r="K118" s="3" t="str">
        <f>IF(ISNUMBER(SEARCH(",Indie,",","&amp;SUBSTITUTE(TableMain[[#This Row],[Tags]],", ",",")&amp;",")),"Y","N")</f>
        <v>N</v>
      </c>
      <c r="L118" s="3" t="str">
        <f>IF(ISNUMBER(SEARCH(",Adventure,",","&amp;SUBSTITUTE(TableMain[[#This Row],[Tags]],", ",",")&amp;",")),"Y","N")</f>
        <v>N</v>
      </c>
      <c r="M118" s="3" t="str">
        <f>IF(ISNUMBER(SEARCH(",Simulation,",","&amp;SUBSTITUTE(TableMain[[#This Row],[Tags]],", ",",")&amp;",")),"Y","N")</f>
        <v>N</v>
      </c>
      <c r="N118" s="3" t="str">
        <f>IF(ISNUMBER(SEARCH(",RPG,",","&amp;SUBSTITUTE(TableMain[[#This Row],[Tags]],", ",",")&amp;",")),"Y","N")</f>
        <v>N</v>
      </c>
      <c r="O118" s="3" t="str">
        <f>IF(ISNUMBER(SEARCH(",Strategy,",","&amp;SUBSTITUTE(TableMain[[#This Row],[Tags]],", ",",")&amp;",")),"Y","N")</f>
        <v>Y</v>
      </c>
      <c r="P118" s="3" t="str">
        <f>IF(ISNUMBER(SEARCH(",Free To Play,",","&amp;SUBSTITUTE(TableMain[[#This Row],[Tags]],", ",",")&amp;",")),"Y","N")</f>
        <v>N</v>
      </c>
    </row>
    <row r="119" spans="1:16" x14ac:dyDescent="0.35">
      <c r="A119">
        <v>1284190</v>
      </c>
      <c r="B119" t="s">
        <v>344</v>
      </c>
      <c r="C119" s="1">
        <v>45392</v>
      </c>
      <c r="D119">
        <v>7330</v>
      </c>
      <c r="E119" t="b">
        <v>0</v>
      </c>
      <c r="F119" t="s">
        <v>345</v>
      </c>
      <c r="G119" t="s">
        <v>346</v>
      </c>
      <c r="H119">
        <v>118</v>
      </c>
      <c r="I119" t="s">
        <v>175</v>
      </c>
      <c r="J119" s="3" t="str">
        <f>IF(ISNUMBER(SEARCH(",Action,",","&amp;SUBSTITUTE(TableMain[[#This Row],[Tags]],", ",",")&amp;",")),"Y","N")</f>
        <v>N</v>
      </c>
      <c r="K119" s="3" t="str">
        <f>IF(ISNUMBER(SEARCH(",Indie,",","&amp;SUBSTITUTE(TableMain[[#This Row],[Tags]],", ",",")&amp;",")),"Y","N")</f>
        <v>N</v>
      </c>
      <c r="L119" s="3" t="str">
        <f>IF(ISNUMBER(SEARCH(",Adventure,",","&amp;SUBSTITUTE(TableMain[[#This Row],[Tags]],", ",",")&amp;",")),"Y","N")</f>
        <v>Y</v>
      </c>
      <c r="M119" s="3" t="str">
        <f>IF(ISNUMBER(SEARCH(",Simulation,",","&amp;SUBSTITUTE(TableMain[[#This Row],[Tags]],", ",",")&amp;",")),"Y","N")</f>
        <v>N</v>
      </c>
      <c r="N119" s="3" t="str">
        <f>IF(ISNUMBER(SEARCH(",RPG,",","&amp;SUBSTITUTE(TableMain[[#This Row],[Tags]],", ",",")&amp;",")),"Y","N")</f>
        <v>N</v>
      </c>
      <c r="O119" s="3" t="str">
        <f>IF(ISNUMBER(SEARCH(",Strategy,",","&amp;SUBSTITUTE(TableMain[[#This Row],[Tags]],", ",",")&amp;",")),"Y","N")</f>
        <v>N</v>
      </c>
      <c r="P119" s="3" t="str">
        <f>IF(ISNUMBER(SEARCH(",Free To Play,",","&amp;SUBSTITUTE(TableMain[[#This Row],[Tags]],", ",",")&amp;",")),"Y","N")</f>
        <v>N</v>
      </c>
    </row>
    <row r="120" spans="1:16" x14ac:dyDescent="0.35">
      <c r="A120">
        <v>10</v>
      </c>
      <c r="B120" t="s">
        <v>347</v>
      </c>
      <c r="C120" s="1">
        <v>36831</v>
      </c>
      <c r="D120">
        <v>7323</v>
      </c>
      <c r="E120" t="b">
        <v>1</v>
      </c>
      <c r="F120" t="s">
        <v>348</v>
      </c>
      <c r="G120" t="s">
        <v>49</v>
      </c>
      <c r="H120">
        <v>119</v>
      </c>
      <c r="I120" t="s">
        <v>2083</v>
      </c>
      <c r="J120" s="3" t="str">
        <f>IF(ISNUMBER(SEARCH(",Action,",","&amp;SUBSTITUTE(TableMain[[#This Row],[Tags]],", ",",")&amp;",")),"Y","N")</f>
        <v>Y</v>
      </c>
      <c r="K120" s="3" t="str">
        <f>IF(ISNUMBER(SEARCH(",Indie,",","&amp;SUBSTITUTE(TableMain[[#This Row],[Tags]],", ",",")&amp;",")),"Y","N")</f>
        <v>N</v>
      </c>
      <c r="L120" s="3" t="str">
        <f>IF(ISNUMBER(SEARCH(",Adventure,",","&amp;SUBSTITUTE(TableMain[[#This Row],[Tags]],", ",",")&amp;",")),"Y","N")</f>
        <v>N</v>
      </c>
      <c r="M120" s="3" t="str">
        <f>IF(ISNUMBER(SEARCH(",Simulation,",","&amp;SUBSTITUTE(TableMain[[#This Row],[Tags]],", ",",")&amp;",")),"Y","N")</f>
        <v>N</v>
      </c>
      <c r="N120" s="3" t="str">
        <f>IF(ISNUMBER(SEARCH(",RPG,",","&amp;SUBSTITUTE(TableMain[[#This Row],[Tags]],", ",",")&amp;",")),"Y","N")</f>
        <v>N</v>
      </c>
      <c r="O120" s="3" t="str">
        <f>IF(ISNUMBER(SEARCH(",Strategy,",","&amp;SUBSTITUTE(TableMain[[#This Row],[Tags]],", ",",")&amp;",")),"Y","N")</f>
        <v>N</v>
      </c>
      <c r="P120" s="3" t="str">
        <f>IF(ISNUMBER(SEARCH(",Free To Play,",","&amp;SUBSTITUTE(TableMain[[#This Row],[Tags]],", ",",")&amp;",")),"Y","N")</f>
        <v>N</v>
      </c>
    </row>
    <row r="121" spans="1:16" x14ac:dyDescent="0.35">
      <c r="A121">
        <v>1361210</v>
      </c>
      <c r="B121" t="s">
        <v>349</v>
      </c>
      <c r="C121" s="1">
        <v>44895</v>
      </c>
      <c r="D121">
        <v>7267</v>
      </c>
      <c r="E121" t="b">
        <v>0</v>
      </c>
      <c r="F121" t="s">
        <v>350</v>
      </c>
      <c r="G121" t="s">
        <v>208</v>
      </c>
      <c r="H121">
        <v>120</v>
      </c>
      <c r="I121" t="s">
        <v>29</v>
      </c>
      <c r="J121" s="3" t="str">
        <f>IF(ISNUMBER(SEARCH(",Action,",","&amp;SUBSTITUTE(TableMain[[#This Row],[Tags]],", ",",")&amp;",")),"Y","N")</f>
        <v>Y</v>
      </c>
      <c r="K121" s="3" t="str">
        <f>IF(ISNUMBER(SEARCH(",Indie,",","&amp;SUBSTITUTE(TableMain[[#This Row],[Tags]],", ",",")&amp;",")),"Y","N")</f>
        <v>N</v>
      </c>
      <c r="L121" s="3" t="str">
        <f>IF(ISNUMBER(SEARCH(",Adventure,",","&amp;SUBSTITUTE(TableMain[[#This Row],[Tags]],", ",",")&amp;",")),"Y","N")</f>
        <v>Y</v>
      </c>
      <c r="M121" s="3" t="str">
        <f>IF(ISNUMBER(SEARCH(",Simulation,",","&amp;SUBSTITUTE(TableMain[[#This Row],[Tags]],", ",",")&amp;",")),"Y","N")</f>
        <v>N</v>
      </c>
      <c r="N121" s="3" t="str">
        <f>IF(ISNUMBER(SEARCH(",RPG,",","&amp;SUBSTITUTE(TableMain[[#This Row],[Tags]],", ",",")&amp;",")),"Y","N")</f>
        <v>Y</v>
      </c>
      <c r="O121" s="3" t="str">
        <f>IF(ISNUMBER(SEARCH(",Strategy,",","&amp;SUBSTITUTE(TableMain[[#This Row],[Tags]],", ",",")&amp;",")),"Y","N")</f>
        <v>N</v>
      </c>
      <c r="P121" s="3" t="str">
        <f>IF(ISNUMBER(SEARCH(",Free To Play,",","&amp;SUBSTITUTE(TableMain[[#This Row],[Tags]],", ",",")&amp;",")),"Y","N")</f>
        <v>N</v>
      </c>
    </row>
    <row r="122" spans="1:16" x14ac:dyDescent="0.35">
      <c r="A122">
        <v>107410</v>
      </c>
      <c r="B122" t="s">
        <v>351</v>
      </c>
      <c r="C122" s="1">
        <v>41529</v>
      </c>
      <c r="D122">
        <v>7181</v>
      </c>
      <c r="E122" t="b">
        <v>1</v>
      </c>
      <c r="F122" t="s">
        <v>352</v>
      </c>
      <c r="G122" t="s">
        <v>265</v>
      </c>
      <c r="H122">
        <v>121</v>
      </c>
      <c r="I122" t="s">
        <v>2094</v>
      </c>
      <c r="J122" s="3" t="str">
        <f>IF(ISNUMBER(SEARCH(",Action,",","&amp;SUBSTITUTE(TableMain[[#This Row],[Tags]],", ",",")&amp;",")),"Y","N")</f>
        <v>Y</v>
      </c>
      <c r="K122" s="3" t="str">
        <f>IF(ISNUMBER(SEARCH(",Indie,",","&amp;SUBSTITUTE(TableMain[[#This Row],[Tags]],", ",",")&amp;",")),"Y","N")</f>
        <v>N</v>
      </c>
      <c r="L122" s="3" t="str">
        <f>IF(ISNUMBER(SEARCH(",Adventure,",","&amp;SUBSTITUTE(TableMain[[#This Row],[Tags]],", ",",")&amp;",")),"Y","N")</f>
        <v>N</v>
      </c>
      <c r="M122" s="3" t="str">
        <f>IF(ISNUMBER(SEARCH(",Simulation,",","&amp;SUBSTITUTE(TableMain[[#This Row],[Tags]],", ",",")&amp;",")),"Y","N")</f>
        <v>Y</v>
      </c>
      <c r="N122" s="3" t="str">
        <f>IF(ISNUMBER(SEARCH(",RPG,",","&amp;SUBSTITUTE(TableMain[[#This Row],[Tags]],", ",",")&amp;",")),"Y","N")</f>
        <v>N</v>
      </c>
      <c r="O122" s="3" t="str">
        <f>IF(ISNUMBER(SEARCH(",Strategy,",","&amp;SUBSTITUTE(TableMain[[#This Row],[Tags]],", ",",")&amp;",")),"Y","N")</f>
        <v>Y</v>
      </c>
      <c r="P122" s="3" t="str">
        <f>IF(ISNUMBER(SEARCH(",Free To Play,",","&amp;SUBSTITUTE(TableMain[[#This Row],[Tags]],", ",",")&amp;",")),"Y","N")</f>
        <v>N</v>
      </c>
    </row>
    <row r="123" spans="1:16" x14ac:dyDescent="0.35">
      <c r="A123">
        <v>1466860</v>
      </c>
      <c r="B123" t="s">
        <v>353</v>
      </c>
      <c r="C123" s="1">
        <v>44497</v>
      </c>
      <c r="D123">
        <v>7084</v>
      </c>
      <c r="E123" t="b">
        <v>0</v>
      </c>
      <c r="F123" t="s">
        <v>354</v>
      </c>
      <c r="G123" t="s">
        <v>124</v>
      </c>
      <c r="H123">
        <v>122</v>
      </c>
      <c r="I123" t="s">
        <v>68</v>
      </c>
      <c r="J123" s="3" t="str">
        <f>IF(ISNUMBER(SEARCH(",Action,",","&amp;SUBSTITUTE(TableMain[[#This Row],[Tags]],", ",",")&amp;",")),"Y","N")</f>
        <v>N</v>
      </c>
      <c r="K123" s="3" t="str">
        <f>IF(ISNUMBER(SEARCH(",Indie,",","&amp;SUBSTITUTE(TableMain[[#This Row],[Tags]],", ",",")&amp;",")),"Y","N")</f>
        <v>N</v>
      </c>
      <c r="L123" s="3" t="str">
        <f>IF(ISNUMBER(SEARCH(",Adventure,",","&amp;SUBSTITUTE(TableMain[[#This Row],[Tags]],", ",",")&amp;",")),"Y","N")</f>
        <v>N</v>
      </c>
      <c r="M123" s="3" t="str">
        <f>IF(ISNUMBER(SEARCH(",Simulation,",","&amp;SUBSTITUTE(TableMain[[#This Row],[Tags]],", ",",")&amp;",")),"Y","N")</f>
        <v>N</v>
      </c>
      <c r="N123" s="3" t="str">
        <f>IF(ISNUMBER(SEARCH(",RPG,",","&amp;SUBSTITUTE(TableMain[[#This Row],[Tags]],", ",",")&amp;",")),"Y","N")</f>
        <v>N</v>
      </c>
      <c r="O123" s="3" t="str">
        <f>IF(ISNUMBER(SEARCH(",Strategy,",","&amp;SUBSTITUTE(TableMain[[#This Row],[Tags]],", ",",")&amp;",")),"Y","N")</f>
        <v>Y</v>
      </c>
      <c r="P123" s="3" t="str">
        <f>IF(ISNUMBER(SEARCH(",Free To Play,",","&amp;SUBSTITUTE(TableMain[[#This Row],[Tags]],", ",",")&amp;",")),"Y","N")</f>
        <v>N</v>
      </c>
    </row>
    <row r="124" spans="1:16" x14ac:dyDescent="0.35">
      <c r="A124">
        <v>1771300</v>
      </c>
      <c r="B124" t="s">
        <v>355</v>
      </c>
      <c r="C124" s="1">
        <v>45692</v>
      </c>
      <c r="D124">
        <v>7073</v>
      </c>
      <c r="E124" t="b">
        <v>0</v>
      </c>
      <c r="F124" t="s">
        <v>356</v>
      </c>
      <c r="G124" t="s">
        <v>208</v>
      </c>
      <c r="H124">
        <v>123</v>
      </c>
      <c r="I124" t="s">
        <v>357</v>
      </c>
      <c r="J124" s="3" t="str">
        <f>IF(ISNUMBER(SEARCH(",Action,",","&amp;SUBSTITUTE(TableMain[[#This Row],[Tags]],", ",",")&amp;",")),"Y","N")</f>
        <v>Y</v>
      </c>
      <c r="K124" s="3" t="str">
        <f>IF(ISNUMBER(SEARCH(",Indie,",","&amp;SUBSTITUTE(TableMain[[#This Row],[Tags]],", ",",")&amp;",")),"Y","N")</f>
        <v>N</v>
      </c>
      <c r="L124" s="3" t="str">
        <f>IF(ISNUMBER(SEARCH(",Adventure,",","&amp;SUBSTITUTE(TableMain[[#This Row],[Tags]],", ",",")&amp;",")),"Y","N")</f>
        <v>Y</v>
      </c>
      <c r="M124" s="3" t="str">
        <f>IF(ISNUMBER(SEARCH(",Simulation,",","&amp;SUBSTITUTE(TableMain[[#This Row],[Tags]],", ",",")&amp;",")),"Y","N")</f>
        <v>N</v>
      </c>
      <c r="N124" s="3" t="str">
        <f>IF(ISNUMBER(SEARCH(",RPG,",","&amp;SUBSTITUTE(TableMain[[#This Row],[Tags]],", ",",")&amp;",")),"Y","N")</f>
        <v>Y</v>
      </c>
      <c r="O124" s="3" t="str">
        <f>IF(ISNUMBER(SEARCH(",Strategy,",","&amp;SUBSTITUTE(TableMain[[#This Row],[Tags]],", ",",")&amp;",")),"Y","N")</f>
        <v>N</v>
      </c>
      <c r="P124" s="3" t="str">
        <f>IF(ISNUMBER(SEARCH(",Free To Play,",","&amp;SUBSTITUTE(TableMain[[#This Row],[Tags]],", ",",")&amp;",")),"Y","N")</f>
        <v>N</v>
      </c>
    </row>
    <row r="125" spans="1:16" x14ac:dyDescent="0.35">
      <c r="A125">
        <v>2784470</v>
      </c>
      <c r="B125" t="s">
        <v>358</v>
      </c>
      <c r="C125" s="1">
        <v>45800</v>
      </c>
      <c r="D125">
        <v>6920</v>
      </c>
      <c r="E125" t="b">
        <v>1</v>
      </c>
      <c r="F125" t="s">
        <v>359</v>
      </c>
      <c r="G125" t="s">
        <v>360</v>
      </c>
      <c r="H125">
        <v>124</v>
      </c>
      <c r="I125" t="s">
        <v>110</v>
      </c>
      <c r="J125" s="3" t="str">
        <f>IF(ISNUMBER(SEARCH(",Action,",","&amp;SUBSTITUTE(TableMain[[#This Row],[Tags]],", ",",")&amp;",")),"Y","N")</f>
        <v>N</v>
      </c>
      <c r="K125" s="3" t="str">
        <f>IF(ISNUMBER(SEARCH(",Indie,",","&amp;SUBSTITUTE(TableMain[[#This Row],[Tags]],", ",",")&amp;",")),"Y","N")</f>
        <v>N</v>
      </c>
      <c r="L125" s="3" t="str">
        <f>IF(ISNUMBER(SEARCH(",Adventure,",","&amp;SUBSTITUTE(TableMain[[#This Row],[Tags]],", ",",")&amp;",")),"Y","N")</f>
        <v>N</v>
      </c>
      <c r="M125" s="3" t="str">
        <f>IF(ISNUMBER(SEARCH(",Simulation,",","&amp;SUBSTITUTE(TableMain[[#This Row],[Tags]],", ",",")&amp;",")),"Y","N")</f>
        <v>N</v>
      </c>
      <c r="N125" s="3" t="str">
        <f>IF(ISNUMBER(SEARCH(",RPG,",","&amp;SUBSTITUTE(TableMain[[#This Row],[Tags]],", ",",")&amp;",")),"Y","N")</f>
        <v>Y</v>
      </c>
      <c r="O125" s="3" t="str">
        <f>IF(ISNUMBER(SEARCH(",Strategy,",","&amp;SUBSTITUTE(TableMain[[#This Row],[Tags]],", ",",")&amp;",")),"Y","N")</f>
        <v>Y</v>
      </c>
      <c r="P125" s="3" t="str">
        <f>IF(ISNUMBER(SEARCH(",Free To Play,",","&amp;SUBSTITUTE(TableMain[[#This Row],[Tags]],", ",",")&amp;",")),"Y","N")</f>
        <v>N</v>
      </c>
    </row>
    <row r="126" spans="1:16" x14ac:dyDescent="0.35">
      <c r="A126">
        <v>2183900</v>
      </c>
      <c r="B126" t="s">
        <v>361</v>
      </c>
      <c r="C126" s="1">
        <v>45544</v>
      </c>
      <c r="D126">
        <v>6851</v>
      </c>
      <c r="E126" t="b">
        <v>0</v>
      </c>
      <c r="F126" t="s">
        <v>362</v>
      </c>
      <c r="G126" t="s">
        <v>208</v>
      </c>
      <c r="H126">
        <v>125</v>
      </c>
      <c r="I126" t="s">
        <v>223</v>
      </c>
      <c r="J126" s="3" t="str">
        <f>IF(ISNUMBER(SEARCH(",Action,",","&amp;SUBSTITUTE(TableMain[[#This Row],[Tags]],", ",",")&amp;",")),"Y","N")</f>
        <v>Y</v>
      </c>
      <c r="K126" s="3" t="str">
        <f>IF(ISNUMBER(SEARCH(",Indie,",","&amp;SUBSTITUTE(TableMain[[#This Row],[Tags]],", ",",")&amp;",")),"Y","N")</f>
        <v>N</v>
      </c>
      <c r="L126" s="3" t="str">
        <f>IF(ISNUMBER(SEARCH(",Adventure,",","&amp;SUBSTITUTE(TableMain[[#This Row],[Tags]],", ",",")&amp;",")),"Y","N")</f>
        <v>Y</v>
      </c>
      <c r="M126" s="3" t="str">
        <f>IF(ISNUMBER(SEARCH(",Simulation,",","&amp;SUBSTITUTE(TableMain[[#This Row],[Tags]],", ",",")&amp;",")),"Y","N")</f>
        <v>N</v>
      </c>
      <c r="N126" s="3" t="str">
        <f>IF(ISNUMBER(SEARCH(",RPG,",","&amp;SUBSTITUTE(TableMain[[#This Row],[Tags]],", ",",")&amp;",")),"Y","N")</f>
        <v>Y</v>
      </c>
      <c r="O126" s="3" t="str">
        <f>IF(ISNUMBER(SEARCH(",Strategy,",","&amp;SUBSTITUTE(TableMain[[#This Row],[Tags]],", ",",")&amp;",")),"Y","N")</f>
        <v>N</v>
      </c>
      <c r="P126" s="3" t="str">
        <f>IF(ISNUMBER(SEARCH(",Free To Play,",","&amp;SUBSTITUTE(TableMain[[#This Row],[Tags]],", ",",")&amp;",")),"Y","N")</f>
        <v>N</v>
      </c>
    </row>
    <row r="127" spans="1:16" x14ac:dyDescent="0.35">
      <c r="A127">
        <v>814380</v>
      </c>
      <c r="B127" t="s">
        <v>363</v>
      </c>
      <c r="C127" s="1">
        <v>43545</v>
      </c>
      <c r="D127">
        <v>6767</v>
      </c>
      <c r="E127" t="b">
        <v>0</v>
      </c>
      <c r="F127" t="s">
        <v>364</v>
      </c>
      <c r="G127" t="s">
        <v>46</v>
      </c>
      <c r="H127">
        <v>126</v>
      </c>
      <c r="I127" t="s">
        <v>33</v>
      </c>
      <c r="J127" s="3" t="str">
        <f>IF(ISNUMBER(SEARCH(",Action,",","&amp;SUBSTITUTE(TableMain[[#This Row],[Tags]],", ",",")&amp;",")),"Y","N")</f>
        <v>Y</v>
      </c>
      <c r="K127" s="3" t="str">
        <f>IF(ISNUMBER(SEARCH(",Indie,",","&amp;SUBSTITUTE(TableMain[[#This Row],[Tags]],", ",",")&amp;",")),"Y","N")</f>
        <v>N</v>
      </c>
      <c r="L127" s="3" t="str">
        <f>IF(ISNUMBER(SEARCH(",Adventure,",","&amp;SUBSTITUTE(TableMain[[#This Row],[Tags]],", ",",")&amp;",")),"Y","N")</f>
        <v>Y</v>
      </c>
      <c r="M127" s="3" t="str">
        <f>IF(ISNUMBER(SEARCH(",Simulation,",","&amp;SUBSTITUTE(TableMain[[#This Row],[Tags]],", ",",")&amp;",")),"Y","N")</f>
        <v>N</v>
      </c>
      <c r="N127" s="3" t="str">
        <f>IF(ISNUMBER(SEARCH(",RPG,",","&amp;SUBSTITUTE(TableMain[[#This Row],[Tags]],", ",",")&amp;",")),"Y","N")</f>
        <v>N</v>
      </c>
      <c r="O127" s="3" t="str">
        <f>IF(ISNUMBER(SEARCH(",Strategy,",","&amp;SUBSTITUTE(TableMain[[#This Row],[Tags]],", ",",")&amp;",")),"Y","N")</f>
        <v>N</v>
      </c>
      <c r="P127" s="3" t="str">
        <f>IF(ISNUMBER(SEARCH(",Free To Play,",","&amp;SUBSTITUTE(TableMain[[#This Row],[Tags]],", ",",")&amp;",")),"Y","N")</f>
        <v>N</v>
      </c>
    </row>
    <row r="128" spans="1:16" x14ac:dyDescent="0.35">
      <c r="A128">
        <v>270880</v>
      </c>
      <c r="B128" t="s">
        <v>365</v>
      </c>
      <c r="C128" s="1">
        <v>42402</v>
      </c>
      <c r="D128">
        <v>6742</v>
      </c>
      <c r="E128" t="b">
        <v>1</v>
      </c>
      <c r="F128" t="s">
        <v>366</v>
      </c>
      <c r="G128" t="s">
        <v>174</v>
      </c>
      <c r="H128">
        <v>127</v>
      </c>
      <c r="I128" t="s">
        <v>967</v>
      </c>
      <c r="J128" s="3" t="str">
        <f>IF(ISNUMBER(SEARCH(",Action,",","&amp;SUBSTITUTE(TableMain[[#This Row],[Tags]],", ",",")&amp;",")),"Y","N")</f>
        <v>N</v>
      </c>
      <c r="K128" s="3" t="str">
        <f>IF(ISNUMBER(SEARCH(",Indie,",","&amp;SUBSTITUTE(TableMain[[#This Row],[Tags]],", ",",")&amp;",")),"Y","N")</f>
        <v>Y</v>
      </c>
      <c r="L128" s="3" t="str">
        <f>IF(ISNUMBER(SEARCH(",Adventure,",","&amp;SUBSTITUTE(TableMain[[#This Row],[Tags]],", ",",")&amp;",")),"Y","N")</f>
        <v>N</v>
      </c>
      <c r="M128" s="3" t="str">
        <f>IF(ISNUMBER(SEARCH(",Simulation,",","&amp;SUBSTITUTE(TableMain[[#This Row],[Tags]],", ",",")&amp;",")),"Y","N")</f>
        <v>Y</v>
      </c>
      <c r="N128" s="3" t="str">
        <f>IF(ISNUMBER(SEARCH(",RPG,",","&amp;SUBSTITUTE(TableMain[[#This Row],[Tags]],", ",",")&amp;",")),"Y","N")</f>
        <v>N</v>
      </c>
      <c r="O128" s="3" t="str">
        <f>IF(ISNUMBER(SEARCH(",Strategy,",","&amp;SUBSTITUTE(TableMain[[#This Row],[Tags]],", ",",")&amp;",")),"Y","N")</f>
        <v>N</v>
      </c>
      <c r="P128" s="3" t="str">
        <f>IF(ISNUMBER(SEARCH(",Free To Play,",","&amp;SUBSTITUTE(TableMain[[#This Row],[Tags]],", ",",")&amp;",")),"Y","N")</f>
        <v>N</v>
      </c>
    </row>
    <row r="129" spans="1:16" x14ac:dyDescent="0.35">
      <c r="A129">
        <v>1286830</v>
      </c>
      <c r="B129" t="s">
        <v>367</v>
      </c>
      <c r="C129" s="1">
        <v>44033</v>
      </c>
      <c r="D129">
        <v>6625</v>
      </c>
      <c r="E129" t="b">
        <v>0</v>
      </c>
      <c r="F129" t="s">
        <v>368</v>
      </c>
      <c r="G129" t="s">
        <v>322</v>
      </c>
      <c r="H129">
        <v>128</v>
      </c>
      <c r="I129" t="s">
        <v>513</v>
      </c>
      <c r="J129" s="3" t="str">
        <f>IF(ISNUMBER(SEARCH(",Action,",","&amp;SUBSTITUTE(TableMain[[#This Row],[Tags]],", ",",")&amp;",")),"Y","N")</f>
        <v>N</v>
      </c>
      <c r="K129" s="3" t="str">
        <f>IF(ISNUMBER(SEARCH(",Indie,",","&amp;SUBSTITUTE(TableMain[[#This Row],[Tags]],", ",",")&amp;",")),"Y","N")</f>
        <v>N</v>
      </c>
      <c r="L129" s="3" t="str">
        <f>IF(ISNUMBER(SEARCH(",Adventure,",","&amp;SUBSTITUTE(TableMain[[#This Row],[Tags]],", ",",")&amp;",")),"Y","N")</f>
        <v>N</v>
      </c>
      <c r="M129" s="3" t="str">
        <f>IF(ISNUMBER(SEARCH(",Simulation,",","&amp;SUBSTITUTE(TableMain[[#This Row],[Tags]],", ",",")&amp;",")),"Y","N")</f>
        <v>N</v>
      </c>
      <c r="N129" s="3" t="str">
        <f>IF(ISNUMBER(SEARCH(",RPG,",","&amp;SUBSTITUTE(TableMain[[#This Row],[Tags]],", ",",")&amp;",")),"Y","N")</f>
        <v>Y</v>
      </c>
      <c r="O129" s="3" t="str">
        <f>IF(ISNUMBER(SEARCH(",Strategy,",","&amp;SUBSTITUTE(TableMain[[#This Row],[Tags]],", ",",")&amp;",")),"Y","N")</f>
        <v>N</v>
      </c>
      <c r="P129" s="3" t="str">
        <f>IF(ISNUMBER(SEARCH(",Free To Play,",","&amp;SUBSTITUTE(TableMain[[#This Row],[Tags]],", ",",")&amp;",")),"Y","N")</f>
        <v>Y</v>
      </c>
    </row>
    <row r="130" spans="1:16" x14ac:dyDescent="0.35">
      <c r="A130">
        <v>2742830</v>
      </c>
      <c r="B130" t="s">
        <v>369</v>
      </c>
      <c r="C130" s="1">
        <v>45798</v>
      </c>
      <c r="D130">
        <v>6617</v>
      </c>
      <c r="E130" t="b">
        <v>1</v>
      </c>
      <c r="F130" t="s">
        <v>370</v>
      </c>
      <c r="G130" t="s">
        <v>205</v>
      </c>
      <c r="H130">
        <v>129</v>
      </c>
      <c r="I130" t="s">
        <v>371</v>
      </c>
      <c r="J130" s="3" t="str">
        <f>IF(ISNUMBER(SEARCH(",Action,",","&amp;SUBSTITUTE(TableMain[[#This Row],[Tags]],", ",",")&amp;",")),"Y","N")</f>
        <v>N</v>
      </c>
      <c r="K130" s="3" t="str">
        <f>IF(ISNUMBER(SEARCH(",Indie,",","&amp;SUBSTITUTE(TableMain[[#This Row],[Tags]],", ",",")&amp;",")),"Y","N")</f>
        <v>Y</v>
      </c>
      <c r="L130" s="3" t="str">
        <f>IF(ISNUMBER(SEARCH(",Adventure,",","&amp;SUBSTITUTE(TableMain[[#This Row],[Tags]],", ",",")&amp;",")),"Y","N")</f>
        <v>N</v>
      </c>
      <c r="M130" s="3" t="str">
        <f>IF(ISNUMBER(SEARCH(",Simulation,",","&amp;SUBSTITUTE(TableMain[[#This Row],[Tags]],", ",",")&amp;",")),"Y","N")</f>
        <v>N</v>
      </c>
      <c r="N130" s="3" t="str">
        <f>IF(ISNUMBER(SEARCH(",RPG,",","&amp;SUBSTITUTE(TableMain[[#This Row],[Tags]],", ",",")&amp;",")),"Y","N")</f>
        <v>N</v>
      </c>
      <c r="O130" s="3" t="str">
        <f>IF(ISNUMBER(SEARCH(",Strategy,",","&amp;SUBSTITUTE(TableMain[[#This Row],[Tags]],", ",",")&amp;",")),"Y","N")</f>
        <v>Y</v>
      </c>
      <c r="P130" s="3" t="str">
        <f>IF(ISNUMBER(SEARCH(",Free To Play,",","&amp;SUBSTITUTE(TableMain[[#This Row],[Tags]],", ",",")&amp;",")),"Y","N")</f>
        <v>N</v>
      </c>
    </row>
    <row r="131" spans="1:16" x14ac:dyDescent="0.35">
      <c r="A131">
        <v>1942280</v>
      </c>
      <c r="B131" t="s">
        <v>372</v>
      </c>
      <c r="C131" s="1">
        <v>45100</v>
      </c>
      <c r="D131">
        <v>6389</v>
      </c>
      <c r="E131" t="b">
        <v>1</v>
      </c>
      <c r="F131" t="s">
        <v>373</v>
      </c>
      <c r="G131" t="s">
        <v>374</v>
      </c>
      <c r="H131">
        <v>130</v>
      </c>
      <c r="I131" t="s">
        <v>14</v>
      </c>
      <c r="J131" s="3" t="str">
        <f>IF(ISNUMBER(SEARCH(",Action,",","&amp;SUBSTITUTE(TableMain[[#This Row],[Tags]],", ",",")&amp;",")),"Y","N")</f>
        <v>Y</v>
      </c>
      <c r="K131" s="3" t="str">
        <f>IF(ISNUMBER(SEARCH(",Indie,",","&amp;SUBSTITUTE(TableMain[[#This Row],[Tags]],", ",",")&amp;",")),"Y","N")</f>
        <v>Y</v>
      </c>
      <c r="L131" s="3" t="str">
        <f>IF(ISNUMBER(SEARCH(",Adventure,",","&amp;SUBSTITUTE(TableMain[[#This Row],[Tags]],", ",",")&amp;",")),"Y","N")</f>
        <v>N</v>
      </c>
      <c r="M131" s="3" t="str">
        <f>IF(ISNUMBER(SEARCH(",Simulation,",","&amp;SUBSTITUTE(TableMain[[#This Row],[Tags]],", ",",")&amp;",")),"Y","N")</f>
        <v>N</v>
      </c>
      <c r="N131" s="3" t="str">
        <f>IF(ISNUMBER(SEARCH(",RPG,",","&amp;SUBSTITUTE(TableMain[[#This Row],[Tags]],", ",",")&amp;",")),"Y","N")</f>
        <v>Y</v>
      </c>
      <c r="O131" s="3" t="str">
        <f>IF(ISNUMBER(SEARCH(",Strategy,",","&amp;SUBSTITUTE(TableMain[[#This Row],[Tags]],", ",",")&amp;",")),"Y","N")</f>
        <v>N</v>
      </c>
      <c r="P131" s="3" t="str">
        <f>IF(ISNUMBER(SEARCH(",Free To Play,",","&amp;SUBSTITUTE(TableMain[[#This Row],[Tags]],", ",",")&amp;",")),"Y","N")</f>
        <v>N</v>
      </c>
    </row>
    <row r="132" spans="1:16" x14ac:dyDescent="0.35">
      <c r="A132">
        <v>1238810</v>
      </c>
      <c r="B132" t="s">
        <v>375</v>
      </c>
      <c r="C132" s="1">
        <v>44126</v>
      </c>
      <c r="D132">
        <v>6327</v>
      </c>
      <c r="E132" t="b">
        <v>0</v>
      </c>
      <c r="F132" t="s">
        <v>376</v>
      </c>
      <c r="G132" t="s">
        <v>49</v>
      </c>
      <c r="H132">
        <v>131</v>
      </c>
      <c r="I132" t="s">
        <v>53</v>
      </c>
      <c r="J132" s="3" t="str">
        <f>IF(ISNUMBER(SEARCH(",Action,",","&amp;SUBSTITUTE(TableMain[[#This Row],[Tags]],", ",",")&amp;",")),"Y","N")</f>
        <v>Y</v>
      </c>
      <c r="K132" s="3" t="str">
        <f>IF(ISNUMBER(SEARCH(",Indie,",","&amp;SUBSTITUTE(TableMain[[#This Row],[Tags]],", ",",")&amp;",")),"Y","N")</f>
        <v>N</v>
      </c>
      <c r="L132" s="3" t="str">
        <f>IF(ISNUMBER(SEARCH(",Adventure,",","&amp;SUBSTITUTE(TableMain[[#This Row],[Tags]],", ",",")&amp;",")),"Y","N")</f>
        <v>N</v>
      </c>
      <c r="M132" s="3" t="str">
        <f>IF(ISNUMBER(SEARCH(",Simulation,",","&amp;SUBSTITUTE(TableMain[[#This Row],[Tags]],", ",",")&amp;",")),"Y","N")</f>
        <v>N</v>
      </c>
      <c r="N132" s="3" t="str">
        <f>IF(ISNUMBER(SEARCH(",RPG,",","&amp;SUBSTITUTE(TableMain[[#This Row],[Tags]],", ",",")&amp;",")),"Y","N")</f>
        <v>N</v>
      </c>
      <c r="O132" s="3" t="str">
        <f>IF(ISNUMBER(SEARCH(",Strategy,",","&amp;SUBSTITUTE(TableMain[[#This Row],[Tags]],", ",",")&amp;",")),"Y","N")</f>
        <v>N</v>
      </c>
      <c r="P132" s="3" t="str">
        <f>IF(ISNUMBER(SEARCH(",Free To Play,",","&amp;SUBSTITUTE(TableMain[[#This Row],[Tags]],", ",",")&amp;",")),"Y","N")</f>
        <v>N</v>
      </c>
    </row>
    <row r="133" spans="1:16" x14ac:dyDescent="0.35">
      <c r="A133">
        <v>1238840</v>
      </c>
      <c r="B133" t="s">
        <v>377</v>
      </c>
      <c r="C133" s="1">
        <v>43993</v>
      </c>
      <c r="D133">
        <v>6308</v>
      </c>
      <c r="E133" t="b">
        <v>0</v>
      </c>
      <c r="F133" t="s">
        <v>376</v>
      </c>
      <c r="G133" t="s">
        <v>378</v>
      </c>
      <c r="H133">
        <v>132</v>
      </c>
      <c r="I133" t="s">
        <v>293</v>
      </c>
      <c r="J133" s="3" t="str">
        <f>IF(ISNUMBER(SEARCH(",Action,",","&amp;SUBSTITUTE(TableMain[[#This Row],[Tags]],", ",",")&amp;",")),"Y","N")</f>
        <v>Y</v>
      </c>
      <c r="K133" s="3" t="str">
        <f>IF(ISNUMBER(SEARCH(",Indie,",","&amp;SUBSTITUTE(TableMain[[#This Row],[Tags]],", ",",")&amp;",")),"Y","N")</f>
        <v>N</v>
      </c>
      <c r="L133" s="3" t="str">
        <f>IF(ISNUMBER(SEARCH(",Adventure,",","&amp;SUBSTITUTE(TableMain[[#This Row],[Tags]],", ",",")&amp;",")),"Y","N")</f>
        <v>N</v>
      </c>
      <c r="M133" s="3" t="str">
        <f>IF(ISNUMBER(SEARCH(",Simulation,",","&amp;SUBSTITUTE(TableMain[[#This Row],[Tags]],", ",",")&amp;",")),"Y","N")</f>
        <v>N</v>
      </c>
      <c r="N133" s="3" t="str">
        <f>IF(ISNUMBER(SEARCH(",RPG,",","&amp;SUBSTITUTE(TableMain[[#This Row],[Tags]],", ",",")&amp;",")),"Y","N")</f>
        <v>N</v>
      </c>
      <c r="O133" s="3" t="str">
        <f>IF(ISNUMBER(SEARCH(",Strategy,",","&amp;SUBSTITUTE(TableMain[[#This Row],[Tags]],", ",",")&amp;",")),"Y","N")</f>
        <v>N</v>
      </c>
      <c r="P133" s="3" t="str">
        <f>IF(ISNUMBER(SEARCH(",Free To Play,",","&amp;SUBSTITUTE(TableMain[[#This Row],[Tags]],", ",",")&amp;",")),"Y","N")</f>
        <v>N</v>
      </c>
    </row>
    <row r="134" spans="1:16" x14ac:dyDescent="0.35">
      <c r="A134">
        <v>594650</v>
      </c>
      <c r="B134" t="s">
        <v>379</v>
      </c>
      <c r="C134" s="1">
        <v>43704</v>
      </c>
      <c r="D134">
        <v>6300</v>
      </c>
      <c r="E134" t="b">
        <v>0</v>
      </c>
      <c r="F134" t="s">
        <v>380</v>
      </c>
      <c r="G134" t="s">
        <v>49</v>
      </c>
      <c r="H134">
        <v>133</v>
      </c>
      <c r="I134" t="s">
        <v>147</v>
      </c>
      <c r="J134" s="3" t="str">
        <f>IF(ISNUMBER(SEARCH(",Action,",","&amp;SUBSTITUTE(TableMain[[#This Row],[Tags]],", ",",")&amp;",")),"Y","N")</f>
        <v>Y</v>
      </c>
      <c r="K134" s="3" t="str">
        <f>IF(ISNUMBER(SEARCH(",Indie,",","&amp;SUBSTITUTE(TableMain[[#This Row],[Tags]],", ",",")&amp;",")),"Y","N")</f>
        <v>N</v>
      </c>
      <c r="L134" s="3" t="str">
        <f>IF(ISNUMBER(SEARCH(",Adventure,",","&amp;SUBSTITUTE(TableMain[[#This Row],[Tags]],", ",",")&amp;",")),"Y","N")</f>
        <v>N</v>
      </c>
      <c r="M134" s="3" t="str">
        <f>IF(ISNUMBER(SEARCH(",Simulation,",","&amp;SUBSTITUTE(TableMain[[#This Row],[Tags]],", ",",")&amp;",")),"Y","N")</f>
        <v>N</v>
      </c>
      <c r="N134" s="3" t="str">
        <f>IF(ISNUMBER(SEARCH(",RPG,",","&amp;SUBSTITUTE(TableMain[[#This Row],[Tags]],", ",",")&amp;",")),"Y","N")</f>
        <v>N</v>
      </c>
      <c r="O134" s="3" t="str">
        <f>IF(ISNUMBER(SEARCH(",Strategy,",","&amp;SUBSTITUTE(TableMain[[#This Row],[Tags]],", ",",")&amp;",")),"Y","N")</f>
        <v>N</v>
      </c>
      <c r="P134" s="3" t="str">
        <f>IF(ISNUMBER(SEARCH(",Free To Play,",","&amp;SUBSTITUTE(TableMain[[#This Row],[Tags]],", ",",")&amp;",")),"Y","N")</f>
        <v>N</v>
      </c>
    </row>
    <row r="135" spans="1:16" x14ac:dyDescent="0.35">
      <c r="A135">
        <v>1966720</v>
      </c>
      <c r="B135" t="s">
        <v>381</v>
      </c>
      <c r="C135" s="1">
        <v>45222</v>
      </c>
      <c r="D135">
        <v>6199</v>
      </c>
      <c r="E135" t="b">
        <v>0</v>
      </c>
      <c r="F135" t="s">
        <v>382</v>
      </c>
      <c r="G135" t="s">
        <v>383</v>
      </c>
      <c r="H135">
        <v>134</v>
      </c>
      <c r="I135" t="s">
        <v>304</v>
      </c>
      <c r="J135" s="3" t="str">
        <f>IF(ISNUMBER(SEARCH(",Action,",","&amp;SUBSTITUTE(TableMain[[#This Row],[Tags]],", ",",")&amp;",")),"Y","N")</f>
        <v>Y</v>
      </c>
      <c r="K135" s="3" t="str">
        <f>IF(ISNUMBER(SEARCH(",Indie,",","&amp;SUBSTITUTE(TableMain[[#This Row],[Tags]],", ",",")&amp;",")),"Y","N")</f>
        <v>Y</v>
      </c>
      <c r="L135" s="3" t="str">
        <f>IF(ISNUMBER(SEARCH(",Adventure,",","&amp;SUBSTITUTE(TableMain[[#This Row],[Tags]],", ",",")&amp;",")),"Y","N")</f>
        <v>Y</v>
      </c>
      <c r="M135" s="3" t="str">
        <f>IF(ISNUMBER(SEARCH(",Simulation,",","&amp;SUBSTITUTE(TableMain[[#This Row],[Tags]],", ",",")&amp;",")),"Y","N")</f>
        <v>N</v>
      </c>
      <c r="N135" s="3" t="str">
        <f>IF(ISNUMBER(SEARCH(",RPG,",","&amp;SUBSTITUTE(TableMain[[#This Row],[Tags]],", ",",")&amp;",")),"Y","N")</f>
        <v>N</v>
      </c>
      <c r="O135" s="3" t="str">
        <f>IF(ISNUMBER(SEARCH(",Strategy,",","&amp;SUBSTITUTE(TableMain[[#This Row],[Tags]],", ",",")&amp;",")),"Y","N")</f>
        <v>N</v>
      </c>
      <c r="P135" s="3" t="str">
        <f>IF(ISNUMBER(SEARCH(",Free To Play,",","&amp;SUBSTITUTE(TableMain[[#This Row],[Tags]],", ",",")&amp;",")),"Y","N")</f>
        <v>N</v>
      </c>
    </row>
    <row r="136" spans="1:16" x14ac:dyDescent="0.35">
      <c r="A136">
        <v>240</v>
      </c>
      <c r="B136" t="s">
        <v>384</v>
      </c>
      <c r="C136" s="1">
        <v>38292</v>
      </c>
      <c r="D136">
        <v>6187</v>
      </c>
      <c r="E136" t="b">
        <v>0</v>
      </c>
      <c r="F136" t="s">
        <v>385</v>
      </c>
      <c r="G136" t="s">
        <v>49</v>
      </c>
      <c r="H136">
        <v>135</v>
      </c>
      <c r="I136" t="s">
        <v>2083</v>
      </c>
      <c r="J136" s="3" t="str">
        <f>IF(ISNUMBER(SEARCH(",Action,",","&amp;SUBSTITUTE(TableMain[[#This Row],[Tags]],", ",",")&amp;",")),"Y","N")</f>
        <v>Y</v>
      </c>
      <c r="K136" s="3" t="str">
        <f>IF(ISNUMBER(SEARCH(",Indie,",","&amp;SUBSTITUTE(TableMain[[#This Row],[Tags]],", ",",")&amp;",")),"Y","N")</f>
        <v>N</v>
      </c>
      <c r="L136" s="3" t="str">
        <f>IF(ISNUMBER(SEARCH(",Adventure,",","&amp;SUBSTITUTE(TableMain[[#This Row],[Tags]],", ",",")&amp;",")),"Y","N")</f>
        <v>N</v>
      </c>
      <c r="M136" s="3" t="str">
        <f>IF(ISNUMBER(SEARCH(",Simulation,",","&amp;SUBSTITUTE(TableMain[[#This Row],[Tags]],", ",",")&amp;",")),"Y","N")</f>
        <v>N</v>
      </c>
      <c r="N136" s="3" t="str">
        <f>IF(ISNUMBER(SEARCH(",RPG,",","&amp;SUBSTITUTE(TableMain[[#This Row],[Tags]],", ",",")&amp;",")),"Y","N")</f>
        <v>N</v>
      </c>
      <c r="O136" s="3" t="str">
        <f>IF(ISNUMBER(SEARCH(",Strategy,",","&amp;SUBSTITUTE(TableMain[[#This Row],[Tags]],", ",",")&amp;",")),"Y","N")</f>
        <v>N</v>
      </c>
      <c r="P136" s="3" t="str">
        <f>IF(ISNUMBER(SEARCH(",Free To Play,",","&amp;SUBSTITUTE(TableMain[[#This Row],[Tags]],", ",",")&amp;",")),"Y","N")</f>
        <v>N</v>
      </c>
    </row>
    <row r="137" spans="1:16" x14ac:dyDescent="0.35">
      <c r="A137">
        <v>376210</v>
      </c>
      <c r="B137" t="s">
        <v>386</v>
      </c>
      <c r="C137" s="1">
        <v>42339</v>
      </c>
      <c r="D137">
        <v>5946</v>
      </c>
      <c r="E137" t="b">
        <v>0</v>
      </c>
      <c r="F137" t="s">
        <v>387</v>
      </c>
      <c r="G137" t="s">
        <v>388</v>
      </c>
      <c r="H137">
        <v>136</v>
      </c>
      <c r="I137" t="s">
        <v>967</v>
      </c>
      <c r="J137" s="3" t="str">
        <f>IF(ISNUMBER(SEARCH(",Action,",","&amp;SUBSTITUTE(TableMain[[#This Row],[Tags]],", ",",")&amp;",")),"Y","N")</f>
        <v>Y</v>
      </c>
      <c r="K137" s="3" t="str">
        <f>IF(ISNUMBER(SEARCH(",Indie,",","&amp;SUBSTITUTE(TableMain[[#This Row],[Tags]],", ",",")&amp;",")),"Y","N")</f>
        <v>Y</v>
      </c>
      <c r="L137" s="3" t="str">
        <f>IF(ISNUMBER(SEARCH(",Adventure,",","&amp;SUBSTITUTE(TableMain[[#This Row],[Tags]],", ",",")&amp;",")),"Y","N")</f>
        <v>Y</v>
      </c>
      <c r="M137" s="3" t="str">
        <f>IF(ISNUMBER(SEARCH(",Simulation,",","&amp;SUBSTITUTE(TableMain[[#This Row],[Tags]],", ",",")&amp;",")),"Y","N")</f>
        <v>Y</v>
      </c>
      <c r="N137" s="3" t="str">
        <f>IF(ISNUMBER(SEARCH(",RPG,",","&amp;SUBSTITUTE(TableMain[[#This Row],[Tags]],", ",",")&amp;",")),"Y","N")</f>
        <v>N</v>
      </c>
      <c r="O137" s="3" t="str">
        <f>IF(ISNUMBER(SEARCH(",Strategy,",","&amp;SUBSTITUTE(TableMain[[#This Row],[Tags]],", ",",")&amp;",")),"Y","N")</f>
        <v>N</v>
      </c>
      <c r="P137" s="3" t="str">
        <f>IF(ISNUMBER(SEARCH(",Free To Play,",","&amp;SUBSTITUTE(TableMain[[#This Row],[Tags]],", ",",")&amp;",")),"Y","N")</f>
        <v>N</v>
      </c>
    </row>
    <row r="138" spans="1:16" x14ac:dyDescent="0.35">
      <c r="A138">
        <v>1295660</v>
      </c>
      <c r="B138" t="s">
        <v>389</v>
      </c>
      <c r="C138" s="1">
        <v>45698</v>
      </c>
      <c r="D138">
        <v>5931</v>
      </c>
      <c r="E138" t="b">
        <v>1</v>
      </c>
      <c r="F138" t="s">
        <v>390</v>
      </c>
      <c r="G138" t="s">
        <v>100</v>
      </c>
      <c r="H138">
        <v>137</v>
      </c>
      <c r="I138" t="s">
        <v>36</v>
      </c>
      <c r="J138" s="3" t="str">
        <f>IF(ISNUMBER(SEARCH(",Action,",","&amp;SUBSTITUTE(TableMain[[#This Row],[Tags]],", ",",")&amp;",")),"Y","N")</f>
        <v>N</v>
      </c>
      <c r="K138" s="3" t="str">
        <f>IF(ISNUMBER(SEARCH(",Indie,",","&amp;SUBSTITUTE(TableMain[[#This Row],[Tags]],", ",",")&amp;",")),"Y","N")</f>
        <v>N</v>
      </c>
      <c r="L138" s="3" t="str">
        <f>IF(ISNUMBER(SEARCH(",Adventure,",","&amp;SUBSTITUTE(TableMain[[#This Row],[Tags]],", ",",")&amp;",")),"Y","N")</f>
        <v>N</v>
      </c>
      <c r="M138" s="3" t="str">
        <f>IF(ISNUMBER(SEARCH(",Simulation,",","&amp;SUBSTITUTE(TableMain[[#This Row],[Tags]],", ",",")&amp;",")),"Y","N")</f>
        <v>Y</v>
      </c>
      <c r="N138" s="3" t="str">
        <f>IF(ISNUMBER(SEARCH(",RPG,",","&amp;SUBSTITUTE(TableMain[[#This Row],[Tags]],", ",",")&amp;",")),"Y","N")</f>
        <v>N</v>
      </c>
      <c r="O138" s="3" t="str">
        <f>IF(ISNUMBER(SEARCH(",Strategy,",","&amp;SUBSTITUTE(TableMain[[#This Row],[Tags]],", ",",")&amp;",")),"Y","N")</f>
        <v>Y</v>
      </c>
      <c r="P138" s="3" t="str">
        <f>IF(ISNUMBER(SEARCH(",Free To Play,",","&amp;SUBSTITUTE(TableMain[[#This Row],[Tags]],", ",",")&amp;",")),"Y","N")</f>
        <v>N</v>
      </c>
    </row>
    <row r="139" spans="1:16" x14ac:dyDescent="0.35">
      <c r="A139">
        <v>2864560</v>
      </c>
      <c r="B139" t="s">
        <v>391</v>
      </c>
      <c r="C139" s="1">
        <v>45812</v>
      </c>
      <c r="D139">
        <v>5831</v>
      </c>
      <c r="E139" t="b">
        <v>0</v>
      </c>
      <c r="F139" t="s">
        <v>324</v>
      </c>
      <c r="G139" t="s">
        <v>208</v>
      </c>
      <c r="H139">
        <v>138</v>
      </c>
      <c r="I139" t="s">
        <v>147</v>
      </c>
      <c r="J139" s="3" t="str">
        <f>IF(ISNUMBER(SEARCH(",Action,",","&amp;SUBSTITUTE(TableMain[[#This Row],[Tags]],", ",",")&amp;",")),"Y","N")</f>
        <v>Y</v>
      </c>
      <c r="K139" s="3" t="str">
        <f>IF(ISNUMBER(SEARCH(",Indie,",","&amp;SUBSTITUTE(TableMain[[#This Row],[Tags]],", ",",")&amp;",")),"Y","N")</f>
        <v>N</v>
      </c>
      <c r="L139" s="3" t="str">
        <f>IF(ISNUMBER(SEARCH(",Adventure,",","&amp;SUBSTITUTE(TableMain[[#This Row],[Tags]],", ",",")&amp;",")),"Y","N")</f>
        <v>Y</v>
      </c>
      <c r="M139" s="3" t="str">
        <f>IF(ISNUMBER(SEARCH(",Simulation,",","&amp;SUBSTITUTE(TableMain[[#This Row],[Tags]],", ",",")&amp;",")),"Y","N")</f>
        <v>N</v>
      </c>
      <c r="N139" s="3" t="str">
        <f>IF(ISNUMBER(SEARCH(",RPG,",","&amp;SUBSTITUTE(TableMain[[#This Row],[Tags]],", ",",")&amp;",")),"Y","N")</f>
        <v>Y</v>
      </c>
      <c r="O139" s="3" t="str">
        <f>IF(ISNUMBER(SEARCH(",Strategy,",","&amp;SUBSTITUTE(TableMain[[#This Row],[Tags]],", ",",")&amp;",")),"Y","N")</f>
        <v>N</v>
      </c>
      <c r="P139" s="3" t="str">
        <f>IF(ISNUMBER(SEARCH(",Free To Play,",","&amp;SUBSTITUTE(TableMain[[#This Row],[Tags]],", ",",")&amp;",")),"Y","N")</f>
        <v>N</v>
      </c>
    </row>
    <row r="140" spans="1:16" x14ac:dyDescent="0.35">
      <c r="A140">
        <v>899770</v>
      </c>
      <c r="B140" t="s">
        <v>392</v>
      </c>
      <c r="C140" s="1">
        <v>45343</v>
      </c>
      <c r="D140">
        <v>5831</v>
      </c>
      <c r="E140" t="b">
        <v>0</v>
      </c>
      <c r="F140" t="s">
        <v>393</v>
      </c>
      <c r="G140" t="s">
        <v>138</v>
      </c>
      <c r="H140">
        <v>138</v>
      </c>
      <c r="I140" t="s">
        <v>29</v>
      </c>
      <c r="J140" s="3" t="str">
        <f>IF(ISNUMBER(SEARCH(",Action,",","&amp;SUBSTITUTE(TableMain[[#This Row],[Tags]],", ",",")&amp;",")),"Y","N")</f>
        <v>Y</v>
      </c>
      <c r="K140" s="3" t="str">
        <f>IF(ISNUMBER(SEARCH(",Indie,",","&amp;SUBSTITUTE(TableMain[[#This Row],[Tags]],", ",",")&amp;",")),"Y","N")</f>
        <v>Y</v>
      </c>
      <c r="L140" s="3" t="str">
        <f>IF(ISNUMBER(SEARCH(",Adventure,",","&amp;SUBSTITUTE(TableMain[[#This Row],[Tags]],", ",",")&amp;",")),"Y","N")</f>
        <v>Y</v>
      </c>
      <c r="M140" s="3" t="str">
        <f>IF(ISNUMBER(SEARCH(",Simulation,",","&amp;SUBSTITUTE(TableMain[[#This Row],[Tags]],", ",",")&amp;",")),"Y","N")</f>
        <v>N</v>
      </c>
      <c r="N140" s="3" t="str">
        <f>IF(ISNUMBER(SEARCH(",RPG,",","&amp;SUBSTITUTE(TableMain[[#This Row],[Tags]],", ",",")&amp;",")),"Y","N")</f>
        <v>Y</v>
      </c>
      <c r="O140" s="3" t="str">
        <f>IF(ISNUMBER(SEARCH(",Strategy,",","&amp;SUBSTITUTE(TableMain[[#This Row],[Tags]],", ",",")&amp;",")),"Y","N")</f>
        <v>N</v>
      </c>
      <c r="P140" s="3" t="str">
        <f>IF(ISNUMBER(SEARCH(",Free To Play,",","&amp;SUBSTITUTE(TableMain[[#This Row],[Tags]],", ",",")&amp;",")),"Y","N")</f>
        <v>N</v>
      </c>
    </row>
    <row r="141" spans="1:16" x14ac:dyDescent="0.35">
      <c r="A141">
        <v>990080</v>
      </c>
      <c r="B141" t="s">
        <v>394</v>
      </c>
      <c r="C141" s="1">
        <v>44967</v>
      </c>
      <c r="D141">
        <v>5716</v>
      </c>
      <c r="E141" t="b">
        <v>0</v>
      </c>
      <c r="F141" t="s">
        <v>395</v>
      </c>
      <c r="G141" t="s">
        <v>208</v>
      </c>
      <c r="H141">
        <v>140</v>
      </c>
      <c r="I141" t="s">
        <v>57</v>
      </c>
      <c r="J141" s="3" t="str">
        <f>IF(ISNUMBER(SEARCH(",Action,",","&amp;SUBSTITUTE(TableMain[[#This Row],[Tags]],", ",",")&amp;",")),"Y","N")</f>
        <v>Y</v>
      </c>
      <c r="K141" s="3" t="str">
        <f>IF(ISNUMBER(SEARCH(",Indie,",","&amp;SUBSTITUTE(TableMain[[#This Row],[Tags]],", ",",")&amp;",")),"Y","N")</f>
        <v>N</v>
      </c>
      <c r="L141" s="3" t="str">
        <f>IF(ISNUMBER(SEARCH(",Adventure,",","&amp;SUBSTITUTE(TableMain[[#This Row],[Tags]],", ",",")&amp;",")),"Y","N")</f>
        <v>Y</v>
      </c>
      <c r="M141" s="3" t="str">
        <f>IF(ISNUMBER(SEARCH(",Simulation,",","&amp;SUBSTITUTE(TableMain[[#This Row],[Tags]],", ",",")&amp;",")),"Y","N")</f>
        <v>N</v>
      </c>
      <c r="N141" s="3" t="str">
        <f>IF(ISNUMBER(SEARCH(",RPG,",","&amp;SUBSTITUTE(TableMain[[#This Row],[Tags]],", ",",")&amp;",")),"Y","N")</f>
        <v>Y</v>
      </c>
      <c r="O141" s="3" t="str">
        <f>IF(ISNUMBER(SEARCH(",Strategy,",","&amp;SUBSTITUTE(TableMain[[#This Row],[Tags]],", ",",")&amp;",")),"Y","N")</f>
        <v>N</v>
      </c>
      <c r="P141" s="3" t="str">
        <f>IF(ISNUMBER(SEARCH(",Free To Play,",","&amp;SUBSTITUTE(TableMain[[#This Row],[Tags]],", ",",")&amp;",")),"Y","N")</f>
        <v>N</v>
      </c>
    </row>
    <row r="142" spans="1:16" x14ac:dyDescent="0.35">
      <c r="A142">
        <v>444200</v>
      </c>
      <c r="B142" t="s">
        <v>396</v>
      </c>
      <c r="C142" s="1">
        <v>42683</v>
      </c>
      <c r="D142">
        <v>5707</v>
      </c>
      <c r="E142" t="b">
        <v>1</v>
      </c>
      <c r="F142" t="s">
        <v>397</v>
      </c>
      <c r="G142" t="s">
        <v>316</v>
      </c>
      <c r="H142">
        <v>141</v>
      </c>
      <c r="I142" t="s">
        <v>110</v>
      </c>
      <c r="J142" s="3" t="str">
        <f>IF(ISNUMBER(SEARCH(",Action,",","&amp;SUBSTITUTE(TableMain[[#This Row],[Tags]],", ",",")&amp;",")),"Y","N")</f>
        <v>Y</v>
      </c>
      <c r="K142" s="3" t="str">
        <f>IF(ISNUMBER(SEARCH(",Indie,",","&amp;SUBSTITUTE(TableMain[[#This Row],[Tags]],", ",",")&amp;",")),"Y","N")</f>
        <v>N</v>
      </c>
      <c r="L142" s="3" t="str">
        <f>IF(ISNUMBER(SEARCH(",Adventure,",","&amp;SUBSTITUTE(TableMain[[#This Row],[Tags]],", ",",")&amp;",")),"Y","N")</f>
        <v>N</v>
      </c>
      <c r="M142" s="3" t="str">
        <f>IF(ISNUMBER(SEARCH(",Simulation,",","&amp;SUBSTITUTE(TableMain[[#This Row],[Tags]],", ",",")&amp;",")),"Y","N")</f>
        <v>Y</v>
      </c>
      <c r="N142" s="3" t="str">
        <f>IF(ISNUMBER(SEARCH(",RPG,",","&amp;SUBSTITUTE(TableMain[[#This Row],[Tags]],", ",",")&amp;",")),"Y","N")</f>
        <v>N</v>
      </c>
      <c r="O142" s="3" t="str">
        <f>IF(ISNUMBER(SEARCH(",Strategy,",","&amp;SUBSTITUTE(TableMain[[#This Row],[Tags]],", ",",")&amp;",")),"Y","N")</f>
        <v>Y</v>
      </c>
      <c r="P142" s="3" t="str">
        <f>IF(ISNUMBER(SEARCH(",Free To Play,",","&amp;SUBSTITUTE(TableMain[[#This Row],[Tags]],", ",",")&amp;",")),"Y","N")</f>
        <v>Y</v>
      </c>
    </row>
    <row r="143" spans="1:16" x14ac:dyDescent="0.35">
      <c r="A143">
        <v>440900</v>
      </c>
      <c r="B143" t="s">
        <v>398</v>
      </c>
      <c r="C143" s="1">
        <v>43228</v>
      </c>
      <c r="D143">
        <v>5677</v>
      </c>
      <c r="E143" t="b">
        <v>0</v>
      </c>
      <c r="F143" t="s">
        <v>399</v>
      </c>
      <c r="G143" t="s">
        <v>400</v>
      </c>
      <c r="H143">
        <v>142</v>
      </c>
      <c r="I143" t="s">
        <v>29</v>
      </c>
      <c r="J143" s="3" t="str">
        <f>IF(ISNUMBER(SEARCH(",Action,",","&amp;SUBSTITUTE(TableMain[[#This Row],[Tags]],", ",",")&amp;",")),"Y","N")</f>
        <v>Y</v>
      </c>
      <c r="K143" s="3" t="str">
        <f>IF(ISNUMBER(SEARCH(",Indie,",","&amp;SUBSTITUTE(TableMain[[#This Row],[Tags]],", ",",")&amp;",")),"Y","N")</f>
        <v>N</v>
      </c>
      <c r="L143" s="3" t="str">
        <f>IF(ISNUMBER(SEARCH(",Adventure,",","&amp;SUBSTITUTE(TableMain[[#This Row],[Tags]],", ",",")&amp;",")),"Y","N")</f>
        <v>Y</v>
      </c>
      <c r="M143" s="3" t="str">
        <f>IF(ISNUMBER(SEARCH(",Simulation,",","&amp;SUBSTITUTE(TableMain[[#This Row],[Tags]],", ",",")&amp;",")),"Y","N")</f>
        <v>Y</v>
      </c>
      <c r="N143" s="3" t="str">
        <f>IF(ISNUMBER(SEARCH(",RPG,",","&amp;SUBSTITUTE(TableMain[[#This Row],[Tags]],", ",",")&amp;",")),"Y","N")</f>
        <v>Y</v>
      </c>
      <c r="O143" s="3" t="str">
        <f>IF(ISNUMBER(SEARCH(",Strategy,",","&amp;SUBSTITUTE(TableMain[[#This Row],[Tags]],", ",",")&amp;",")),"Y","N")</f>
        <v>Y</v>
      </c>
      <c r="P143" s="3" t="str">
        <f>IF(ISNUMBER(SEARCH(",Free To Play,",","&amp;SUBSTITUTE(TableMain[[#This Row],[Tags]],", ",",")&amp;",")),"Y","N")</f>
        <v>N</v>
      </c>
    </row>
    <row r="144" spans="1:16" x14ac:dyDescent="0.35">
      <c r="A144">
        <v>1063730</v>
      </c>
      <c r="B144" t="s">
        <v>401</v>
      </c>
      <c r="C144" s="1">
        <v>44467</v>
      </c>
      <c r="D144">
        <v>5583</v>
      </c>
      <c r="E144" t="b">
        <v>0</v>
      </c>
      <c r="F144" t="s">
        <v>402</v>
      </c>
      <c r="G144" t="s">
        <v>193</v>
      </c>
      <c r="H144">
        <v>143</v>
      </c>
      <c r="I144" t="s">
        <v>36</v>
      </c>
      <c r="J144" s="3" t="str">
        <f>IF(ISNUMBER(SEARCH(",Action,",","&amp;SUBSTITUTE(TableMain[[#This Row],[Tags]],", ",",")&amp;",")),"Y","N")</f>
        <v>Y</v>
      </c>
      <c r="K144" s="3" t="str">
        <f>IF(ISNUMBER(SEARCH(",Indie,",","&amp;SUBSTITUTE(TableMain[[#This Row],[Tags]],", ",",")&amp;",")),"Y","N")</f>
        <v>N</v>
      </c>
      <c r="L144" s="3" t="str">
        <f>IF(ISNUMBER(SEARCH(",Adventure,",","&amp;SUBSTITUTE(TableMain[[#This Row],[Tags]],", ",",")&amp;",")),"Y","N")</f>
        <v>Y</v>
      </c>
      <c r="M144" s="3" t="str">
        <f>IF(ISNUMBER(SEARCH(",Simulation,",","&amp;SUBSTITUTE(TableMain[[#This Row],[Tags]],", ",",")&amp;",")),"Y","N")</f>
        <v>N</v>
      </c>
      <c r="N144" s="3" t="str">
        <f>IF(ISNUMBER(SEARCH(",RPG,",","&amp;SUBSTITUTE(TableMain[[#This Row],[Tags]],", ",",")&amp;",")),"Y","N")</f>
        <v>Y</v>
      </c>
      <c r="O144" s="3" t="str">
        <f>IF(ISNUMBER(SEARCH(",Strategy,",","&amp;SUBSTITUTE(TableMain[[#This Row],[Tags]],", ",",")&amp;",")),"Y","N")</f>
        <v>N</v>
      </c>
      <c r="P144" s="3" t="str">
        <f>IF(ISNUMBER(SEARCH(",Free To Play,",","&amp;SUBSTITUTE(TableMain[[#This Row],[Tags]],", ",",")&amp;",")),"Y","N")</f>
        <v>N</v>
      </c>
    </row>
    <row r="145" spans="1:16" x14ac:dyDescent="0.35">
      <c r="A145">
        <v>2001120</v>
      </c>
      <c r="B145" t="s">
        <v>403</v>
      </c>
      <c r="C145" s="1">
        <v>45722</v>
      </c>
      <c r="D145">
        <v>5476</v>
      </c>
      <c r="E145" t="b">
        <v>0</v>
      </c>
      <c r="F145" t="s">
        <v>404</v>
      </c>
      <c r="G145" t="s">
        <v>46</v>
      </c>
      <c r="H145">
        <v>144</v>
      </c>
      <c r="I145" t="s">
        <v>405</v>
      </c>
      <c r="J145" s="3" t="str">
        <f>IF(ISNUMBER(SEARCH(",Action,",","&amp;SUBSTITUTE(TableMain[[#This Row],[Tags]],", ",",")&amp;",")),"Y","N")</f>
        <v>Y</v>
      </c>
      <c r="K145" s="3" t="str">
        <f>IF(ISNUMBER(SEARCH(",Indie,",","&amp;SUBSTITUTE(TableMain[[#This Row],[Tags]],", ",",")&amp;",")),"Y","N")</f>
        <v>N</v>
      </c>
      <c r="L145" s="3" t="str">
        <f>IF(ISNUMBER(SEARCH(",Adventure,",","&amp;SUBSTITUTE(TableMain[[#This Row],[Tags]],", ",",")&amp;",")),"Y","N")</f>
        <v>Y</v>
      </c>
      <c r="M145" s="3" t="str">
        <f>IF(ISNUMBER(SEARCH(",Simulation,",","&amp;SUBSTITUTE(TableMain[[#This Row],[Tags]],", ",",")&amp;",")),"Y","N")</f>
        <v>N</v>
      </c>
      <c r="N145" s="3" t="str">
        <f>IF(ISNUMBER(SEARCH(",RPG,",","&amp;SUBSTITUTE(TableMain[[#This Row],[Tags]],", ",",")&amp;",")),"Y","N")</f>
        <v>N</v>
      </c>
      <c r="O145" s="3" t="str">
        <f>IF(ISNUMBER(SEARCH(",Strategy,",","&amp;SUBSTITUTE(TableMain[[#This Row],[Tags]],", ",",")&amp;",")),"Y","N")</f>
        <v>N</v>
      </c>
      <c r="P145" s="3" t="str">
        <f>IF(ISNUMBER(SEARCH(",Free To Play,",","&amp;SUBSTITUTE(TableMain[[#This Row],[Tags]],", ",",")&amp;",")),"Y","N")</f>
        <v>N</v>
      </c>
    </row>
    <row r="146" spans="1:16" x14ac:dyDescent="0.35">
      <c r="A146">
        <v>1172620</v>
      </c>
      <c r="B146" t="s">
        <v>406</v>
      </c>
      <c r="C146" s="1">
        <v>43985</v>
      </c>
      <c r="D146">
        <v>5437</v>
      </c>
      <c r="E146" t="b">
        <v>0</v>
      </c>
      <c r="F146" t="s">
        <v>407</v>
      </c>
      <c r="G146" t="s">
        <v>46</v>
      </c>
      <c r="H146">
        <v>145</v>
      </c>
      <c r="I146" t="s">
        <v>408</v>
      </c>
      <c r="J146" s="3" t="str">
        <f>IF(ISNUMBER(SEARCH(",Action,",","&amp;SUBSTITUTE(TableMain[[#This Row],[Tags]],", ",",")&amp;",")),"Y","N")</f>
        <v>Y</v>
      </c>
      <c r="K146" s="3" t="str">
        <f>IF(ISNUMBER(SEARCH(",Indie,",","&amp;SUBSTITUTE(TableMain[[#This Row],[Tags]],", ",",")&amp;",")),"Y","N")</f>
        <v>N</v>
      </c>
      <c r="L146" s="3" t="str">
        <f>IF(ISNUMBER(SEARCH(",Adventure,",","&amp;SUBSTITUTE(TableMain[[#This Row],[Tags]],", ",",")&amp;",")),"Y","N")</f>
        <v>Y</v>
      </c>
      <c r="M146" s="3" t="str">
        <f>IF(ISNUMBER(SEARCH(",Simulation,",","&amp;SUBSTITUTE(TableMain[[#This Row],[Tags]],", ",",")&amp;",")),"Y","N")</f>
        <v>N</v>
      </c>
      <c r="N146" s="3" t="str">
        <f>IF(ISNUMBER(SEARCH(",RPG,",","&amp;SUBSTITUTE(TableMain[[#This Row],[Tags]],", ",",")&amp;",")),"Y","N")</f>
        <v>N</v>
      </c>
      <c r="O146" s="3" t="str">
        <f>IF(ISNUMBER(SEARCH(",Strategy,",","&amp;SUBSTITUTE(TableMain[[#This Row],[Tags]],", ",",")&amp;",")),"Y","N")</f>
        <v>N</v>
      </c>
      <c r="P146" s="3" t="str">
        <f>IF(ISNUMBER(SEARCH(",Free To Play,",","&amp;SUBSTITUTE(TableMain[[#This Row],[Tags]],", ",",")&amp;",")),"Y","N")</f>
        <v>N</v>
      </c>
    </row>
    <row r="147" spans="1:16" x14ac:dyDescent="0.35">
      <c r="A147">
        <v>1248130</v>
      </c>
      <c r="B147" t="s">
        <v>409</v>
      </c>
      <c r="C147" s="1">
        <v>44521</v>
      </c>
      <c r="D147">
        <v>5419</v>
      </c>
      <c r="E147" t="b">
        <v>1</v>
      </c>
      <c r="F147" t="s">
        <v>410</v>
      </c>
      <c r="G147" t="s">
        <v>239</v>
      </c>
      <c r="H147">
        <v>146</v>
      </c>
      <c r="I147" t="s">
        <v>53</v>
      </c>
      <c r="J147" s="3" t="str">
        <f>IF(ISNUMBER(SEARCH(",Action,",","&amp;SUBSTITUTE(TableMain[[#This Row],[Tags]],", ",",")&amp;",")),"Y","N")</f>
        <v>N</v>
      </c>
      <c r="K147" s="3" t="str">
        <f>IF(ISNUMBER(SEARCH(",Indie,",","&amp;SUBSTITUTE(TableMain[[#This Row],[Tags]],", ",",")&amp;",")),"Y","N")</f>
        <v>N</v>
      </c>
      <c r="L147" s="3" t="str">
        <f>IF(ISNUMBER(SEARCH(",Adventure,",","&amp;SUBSTITUTE(TableMain[[#This Row],[Tags]],", ",",")&amp;",")),"Y","N")</f>
        <v>N</v>
      </c>
      <c r="M147" s="3" t="str">
        <f>IF(ISNUMBER(SEARCH(",Simulation,",","&amp;SUBSTITUTE(TableMain[[#This Row],[Tags]],", ",",")&amp;",")),"Y","N")</f>
        <v>Y</v>
      </c>
      <c r="N147" s="3" t="str">
        <f>IF(ISNUMBER(SEARCH(",RPG,",","&amp;SUBSTITUTE(TableMain[[#This Row],[Tags]],", ",",")&amp;",")),"Y","N")</f>
        <v>N</v>
      </c>
      <c r="O147" s="3" t="str">
        <f>IF(ISNUMBER(SEARCH(",Strategy,",","&amp;SUBSTITUTE(TableMain[[#This Row],[Tags]],", ",",")&amp;",")),"Y","N")</f>
        <v>N</v>
      </c>
      <c r="P147" s="3" t="str">
        <f>IF(ISNUMBER(SEARCH(",Free To Play,",","&amp;SUBSTITUTE(TableMain[[#This Row],[Tags]],", ",",")&amp;",")),"Y","N")</f>
        <v>N</v>
      </c>
    </row>
    <row r="148" spans="1:16" x14ac:dyDescent="0.35">
      <c r="A148">
        <v>311210</v>
      </c>
      <c r="B148" t="s">
        <v>411</v>
      </c>
      <c r="C148" s="1">
        <v>42313</v>
      </c>
      <c r="D148">
        <v>5414</v>
      </c>
      <c r="E148" t="b">
        <v>1</v>
      </c>
      <c r="F148" t="s">
        <v>412</v>
      </c>
      <c r="G148" t="s">
        <v>46</v>
      </c>
      <c r="H148">
        <v>147</v>
      </c>
      <c r="I148" t="s">
        <v>2087</v>
      </c>
      <c r="J148" s="3" t="str">
        <f>IF(ISNUMBER(SEARCH(",Action,",","&amp;SUBSTITUTE(TableMain[[#This Row],[Tags]],", ",",")&amp;",")),"Y","N")</f>
        <v>Y</v>
      </c>
      <c r="K148" s="3" t="str">
        <f>IF(ISNUMBER(SEARCH(",Indie,",","&amp;SUBSTITUTE(TableMain[[#This Row],[Tags]],", ",",")&amp;",")),"Y","N")</f>
        <v>N</v>
      </c>
      <c r="L148" s="3" t="str">
        <f>IF(ISNUMBER(SEARCH(",Adventure,",","&amp;SUBSTITUTE(TableMain[[#This Row],[Tags]],", ",",")&amp;",")),"Y","N")</f>
        <v>Y</v>
      </c>
      <c r="M148" s="3" t="str">
        <f>IF(ISNUMBER(SEARCH(",Simulation,",","&amp;SUBSTITUTE(TableMain[[#This Row],[Tags]],", ",",")&amp;",")),"Y","N")</f>
        <v>N</v>
      </c>
      <c r="N148" s="3" t="str">
        <f>IF(ISNUMBER(SEARCH(",RPG,",","&amp;SUBSTITUTE(TableMain[[#This Row],[Tags]],", ",",")&amp;",")),"Y","N")</f>
        <v>N</v>
      </c>
      <c r="O148" s="3" t="str">
        <f>IF(ISNUMBER(SEARCH(",Strategy,",","&amp;SUBSTITUTE(TableMain[[#This Row],[Tags]],", ",",")&amp;",")),"Y","N")</f>
        <v>N</v>
      </c>
      <c r="P148" s="3" t="str">
        <f>IF(ISNUMBER(SEARCH(",Free To Play,",","&amp;SUBSTITUTE(TableMain[[#This Row],[Tags]],", ",",")&amp;",")),"Y","N")</f>
        <v>N</v>
      </c>
    </row>
    <row r="149" spans="1:16" x14ac:dyDescent="0.35">
      <c r="A149">
        <v>233860</v>
      </c>
      <c r="B149" t="s">
        <v>413</v>
      </c>
      <c r="C149" s="1">
        <v>43440</v>
      </c>
      <c r="D149">
        <v>5412</v>
      </c>
      <c r="E149" t="b">
        <v>0</v>
      </c>
      <c r="F149" t="s">
        <v>414</v>
      </c>
      <c r="G149" t="s">
        <v>218</v>
      </c>
      <c r="H149">
        <v>148</v>
      </c>
      <c r="I149" t="s">
        <v>33</v>
      </c>
      <c r="J149" s="3" t="str">
        <f>IF(ISNUMBER(SEARCH(",Action,",","&amp;SUBSTITUTE(TableMain[[#This Row],[Tags]],", ",",")&amp;",")),"Y","N")</f>
        <v>Y</v>
      </c>
      <c r="K149" s="3" t="str">
        <f>IF(ISNUMBER(SEARCH(",Indie,",","&amp;SUBSTITUTE(TableMain[[#This Row],[Tags]],", ",",")&amp;",")),"Y","N")</f>
        <v>Y</v>
      </c>
      <c r="L149" s="3" t="str">
        <f>IF(ISNUMBER(SEARCH(",Adventure,",","&amp;SUBSTITUTE(TableMain[[#This Row],[Tags]],", ",",")&amp;",")),"Y","N")</f>
        <v>N</v>
      </c>
      <c r="M149" s="3" t="str">
        <f>IF(ISNUMBER(SEARCH(",Simulation,",","&amp;SUBSTITUTE(TableMain[[#This Row],[Tags]],", ",",")&amp;",")),"Y","N")</f>
        <v>Y</v>
      </c>
      <c r="N149" s="3" t="str">
        <f>IF(ISNUMBER(SEARCH(",RPG,",","&amp;SUBSTITUTE(TableMain[[#This Row],[Tags]],", ",",")&amp;",")),"Y","N")</f>
        <v>Y</v>
      </c>
      <c r="O149" s="3" t="str">
        <f>IF(ISNUMBER(SEARCH(",Strategy,",","&amp;SUBSTITUTE(TableMain[[#This Row],[Tags]],", ",",")&amp;",")),"Y","N")</f>
        <v>Y</v>
      </c>
      <c r="P149" s="3" t="str">
        <f>IF(ISNUMBER(SEARCH(",Free To Play,",","&amp;SUBSTITUTE(TableMain[[#This Row],[Tags]],", ",",")&amp;",")),"Y","N")</f>
        <v>N</v>
      </c>
    </row>
    <row r="150" spans="1:16" x14ac:dyDescent="0.35">
      <c r="A150">
        <v>949230</v>
      </c>
      <c r="B150" t="s">
        <v>415</v>
      </c>
      <c r="C150" s="1">
        <v>45223</v>
      </c>
      <c r="D150">
        <v>5392</v>
      </c>
      <c r="E150" t="b">
        <v>0</v>
      </c>
      <c r="F150" t="s">
        <v>416</v>
      </c>
      <c r="G150" t="s">
        <v>239</v>
      </c>
      <c r="H150">
        <v>149</v>
      </c>
      <c r="I150" t="s">
        <v>417</v>
      </c>
      <c r="J150" s="3" t="str">
        <f>IF(ISNUMBER(SEARCH(",Action,",","&amp;SUBSTITUTE(TableMain[[#This Row],[Tags]],", ",",")&amp;",")),"Y","N")</f>
        <v>N</v>
      </c>
      <c r="K150" s="3" t="str">
        <f>IF(ISNUMBER(SEARCH(",Indie,",","&amp;SUBSTITUTE(TableMain[[#This Row],[Tags]],", ",",")&amp;",")),"Y","N")</f>
        <v>N</v>
      </c>
      <c r="L150" s="3" t="str">
        <f>IF(ISNUMBER(SEARCH(",Adventure,",","&amp;SUBSTITUTE(TableMain[[#This Row],[Tags]],", ",",")&amp;",")),"Y","N")</f>
        <v>N</v>
      </c>
      <c r="M150" s="3" t="str">
        <f>IF(ISNUMBER(SEARCH(",Simulation,",","&amp;SUBSTITUTE(TableMain[[#This Row],[Tags]],", ",",")&amp;",")),"Y","N")</f>
        <v>Y</v>
      </c>
      <c r="N150" s="3" t="str">
        <f>IF(ISNUMBER(SEARCH(",RPG,",","&amp;SUBSTITUTE(TableMain[[#This Row],[Tags]],", ",",")&amp;",")),"Y","N")</f>
        <v>N</v>
      </c>
      <c r="O150" s="3" t="str">
        <f>IF(ISNUMBER(SEARCH(",Strategy,",","&amp;SUBSTITUTE(TableMain[[#This Row],[Tags]],", ",",")&amp;",")),"Y","N")</f>
        <v>N</v>
      </c>
      <c r="P150" s="3" t="str">
        <f>IF(ISNUMBER(SEARCH(",Free To Play,",","&amp;SUBSTITUTE(TableMain[[#This Row],[Tags]],", ",",")&amp;",")),"Y","N")</f>
        <v>N</v>
      </c>
    </row>
    <row r="151" spans="1:16" x14ac:dyDescent="0.35">
      <c r="A151">
        <v>3059520</v>
      </c>
      <c r="B151" t="s">
        <v>418</v>
      </c>
      <c r="C151" s="1">
        <v>45807</v>
      </c>
      <c r="D151">
        <v>5272</v>
      </c>
      <c r="E151" t="b">
        <v>0</v>
      </c>
      <c r="F151" t="s">
        <v>419</v>
      </c>
      <c r="G151" t="s">
        <v>420</v>
      </c>
      <c r="H151">
        <v>150</v>
      </c>
      <c r="I151" t="s">
        <v>119</v>
      </c>
      <c r="J151" s="3" t="str">
        <f>IF(ISNUMBER(SEARCH(",Action,",","&amp;SUBSTITUTE(TableMain[[#This Row],[Tags]],", ",",")&amp;",")),"Y","N")</f>
        <v>N</v>
      </c>
      <c r="K151" s="3" t="str">
        <f>IF(ISNUMBER(SEARCH(",Indie,",","&amp;SUBSTITUTE(TableMain[[#This Row],[Tags]],", ",",")&amp;",")),"Y","N")</f>
        <v>N</v>
      </c>
      <c r="L151" s="3" t="str">
        <f>IF(ISNUMBER(SEARCH(",Adventure,",","&amp;SUBSTITUTE(TableMain[[#This Row],[Tags]],", ",",")&amp;",")),"Y","N")</f>
        <v>N</v>
      </c>
      <c r="M151" s="3" t="str">
        <f>IF(ISNUMBER(SEARCH(",Simulation,",","&amp;SUBSTITUTE(TableMain[[#This Row],[Tags]],", ",",")&amp;",")),"Y","N")</f>
        <v>Y</v>
      </c>
      <c r="N151" s="3" t="str">
        <f>IF(ISNUMBER(SEARCH(",RPG,",","&amp;SUBSTITUTE(TableMain[[#This Row],[Tags]],", ",",")&amp;",")),"Y","N")</f>
        <v>N</v>
      </c>
      <c r="O151" s="3" t="str">
        <f>IF(ISNUMBER(SEARCH(",Strategy,",","&amp;SUBSTITUTE(TableMain[[#This Row],[Tags]],", ",",")&amp;",")),"Y","N")</f>
        <v>N</v>
      </c>
      <c r="P151" s="3" t="str">
        <f>IF(ISNUMBER(SEARCH(",Free To Play,",","&amp;SUBSTITUTE(TableMain[[#This Row],[Tags]],", ",",")&amp;",")),"Y","N")</f>
        <v>N</v>
      </c>
    </row>
    <row r="152" spans="1:16" x14ac:dyDescent="0.35">
      <c r="A152">
        <v>714010</v>
      </c>
      <c r="B152" t="s">
        <v>421</v>
      </c>
      <c r="C152" s="1">
        <v>45093</v>
      </c>
      <c r="D152">
        <v>5223</v>
      </c>
      <c r="E152" t="b">
        <v>0</v>
      </c>
      <c r="F152" t="s">
        <v>422</v>
      </c>
      <c r="G152" t="s">
        <v>423</v>
      </c>
      <c r="H152">
        <v>151</v>
      </c>
      <c r="I152" t="s">
        <v>14</v>
      </c>
      <c r="J152" s="3" t="str">
        <f>IF(ISNUMBER(SEARCH(",Action,",","&amp;SUBSTITUTE(TableMain[[#This Row],[Tags]],", ",",")&amp;",")),"Y","N")</f>
        <v>Y</v>
      </c>
      <c r="K152" s="3" t="str">
        <f>IF(ISNUMBER(SEARCH(",Indie,",","&amp;SUBSTITUTE(TableMain[[#This Row],[Tags]],", ",",")&amp;",")),"Y","N")</f>
        <v>Y</v>
      </c>
      <c r="L152" s="3" t="str">
        <f>IF(ISNUMBER(SEARCH(",Adventure,",","&amp;SUBSTITUTE(TableMain[[#This Row],[Tags]],", ",",")&amp;",")),"Y","N")</f>
        <v>Y</v>
      </c>
      <c r="M152" s="3" t="str">
        <f>IF(ISNUMBER(SEARCH(",Simulation,",","&amp;SUBSTITUTE(TableMain[[#This Row],[Tags]],", ",",")&amp;",")),"Y","N")</f>
        <v>Y</v>
      </c>
      <c r="N152" s="3" t="str">
        <f>IF(ISNUMBER(SEARCH(",RPG,",","&amp;SUBSTITUTE(TableMain[[#This Row],[Tags]],", ",",")&amp;",")),"Y","N")</f>
        <v>N</v>
      </c>
      <c r="O152" s="3" t="str">
        <f>IF(ISNUMBER(SEARCH(",Strategy,",","&amp;SUBSTITUTE(TableMain[[#This Row],[Tags]],", ",",")&amp;",")),"Y","N")</f>
        <v>N</v>
      </c>
      <c r="P152" s="3" t="str">
        <f>IF(ISNUMBER(SEARCH(",Free To Play,",","&amp;SUBSTITUTE(TableMain[[#This Row],[Tags]],", ",",")&amp;",")),"Y","N")</f>
        <v>Y</v>
      </c>
    </row>
    <row r="153" spans="1:16" x14ac:dyDescent="0.35">
      <c r="A153">
        <v>548430</v>
      </c>
      <c r="B153" t="s">
        <v>424</v>
      </c>
      <c r="C153" s="1">
        <v>43964</v>
      </c>
      <c r="D153">
        <v>5216</v>
      </c>
      <c r="E153" t="b">
        <v>0</v>
      </c>
      <c r="F153" t="s">
        <v>425</v>
      </c>
      <c r="G153" t="s">
        <v>49</v>
      </c>
      <c r="H153">
        <v>152</v>
      </c>
      <c r="I153" t="s">
        <v>68</v>
      </c>
      <c r="J153" s="3" t="str">
        <f>IF(ISNUMBER(SEARCH(",Action,",","&amp;SUBSTITUTE(TableMain[[#This Row],[Tags]],", ",",")&amp;",")),"Y","N")</f>
        <v>Y</v>
      </c>
      <c r="K153" s="3" t="str">
        <f>IF(ISNUMBER(SEARCH(",Indie,",","&amp;SUBSTITUTE(TableMain[[#This Row],[Tags]],", ",",")&amp;",")),"Y","N")</f>
        <v>N</v>
      </c>
      <c r="L153" s="3" t="str">
        <f>IF(ISNUMBER(SEARCH(",Adventure,",","&amp;SUBSTITUTE(TableMain[[#This Row],[Tags]],", ",",")&amp;",")),"Y","N")</f>
        <v>N</v>
      </c>
      <c r="M153" s="3" t="str">
        <f>IF(ISNUMBER(SEARCH(",Simulation,",","&amp;SUBSTITUTE(TableMain[[#This Row],[Tags]],", ",",")&amp;",")),"Y","N")</f>
        <v>N</v>
      </c>
      <c r="N153" s="3" t="str">
        <f>IF(ISNUMBER(SEARCH(",RPG,",","&amp;SUBSTITUTE(TableMain[[#This Row],[Tags]],", ",",")&amp;",")),"Y","N")</f>
        <v>N</v>
      </c>
      <c r="O153" s="3" t="str">
        <f>IF(ISNUMBER(SEARCH(",Strategy,",","&amp;SUBSTITUTE(TableMain[[#This Row],[Tags]],", ",",")&amp;",")),"Y","N")</f>
        <v>N</v>
      </c>
      <c r="P153" s="3" t="str">
        <f>IF(ISNUMBER(SEARCH(",Free To Play,",","&amp;SUBSTITUTE(TableMain[[#This Row],[Tags]],", ",",")&amp;",")),"Y","N")</f>
        <v>N</v>
      </c>
    </row>
    <row r="154" spans="1:16" x14ac:dyDescent="0.35">
      <c r="A154">
        <v>2707930</v>
      </c>
      <c r="B154" t="s">
        <v>426</v>
      </c>
      <c r="C154" s="1">
        <v>45376</v>
      </c>
      <c r="D154">
        <v>5140</v>
      </c>
      <c r="E154" t="b">
        <v>0</v>
      </c>
      <c r="F154" t="s">
        <v>427</v>
      </c>
      <c r="G154" t="s">
        <v>428</v>
      </c>
      <c r="H154">
        <v>153</v>
      </c>
      <c r="I154" t="s">
        <v>53</v>
      </c>
      <c r="J154" s="3" t="str">
        <f>IF(ISNUMBER(SEARCH(",Action,",","&amp;SUBSTITUTE(TableMain[[#This Row],[Tags]],", ",",")&amp;",")),"Y","N")</f>
        <v>N</v>
      </c>
      <c r="K154" s="3" t="str">
        <f>IF(ISNUMBER(SEARCH(",Indie,",","&amp;SUBSTITUTE(TableMain[[#This Row],[Tags]],", ",",")&amp;",")),"Y","N")</f>
        <v>Y</v>
      </c>
      <c r="L154" s="3" t="str">
        <f>IF(ISNUMBER(SEARCH(",Adventure,",","&amp;SUBSTITUTE(TableMain[[#This Row],[Tags]],", ",",")&amp;",")),"Y","N")</f>
        <v>Y</v>
      </c>
      <c r="M154" s="3" t="str">
        <f>IF(ISNUMBER(SEARCH(",Simulation,",","&amp;SUBSTITUTE(TableMain[[#This Row],[Tags]],", ",",")&amp;",")),"Y","N")</f>
        <v>Y</v>
      </c>
      <c r="N154" s="3" t="str">
        <f>IF(ISNUMBER(SEARCH(",RPG,",","&amp;SUBSTITUTE(TableMain[[#This Row],[Tags]],", ",",")&amp;",")),"Y","N")</f>
        <v>Y</v>
      </c>
      <c r="O154" s="3" t="str">
        <f>IF(ISNUMBER(SEARCH(",Strategy,",","&amp;SUBSTITUTE(TableMain[[#This Row],[Tags]],", ",",")&amp;",")),"Y","N")</f>
        <v>N</v>
      </c>
      <c r="P154" s="3" t="str">
        <f>IF(ISNUMBER(SEARCH(",Free To Play,",","&amp;SUBSTITUTE(TableMain[[#This Row],[Tags]],", ",",")&amp;",")),"Y","N")</f>
        <v>Y</v>
      </c>
    </row>
    <row r="155" spans="1:16" x14ac:dyDescent="0.35">
      <c r="A155">
        <v>1812620</v>
      </c>
      <c r="B155" t="s">
        <v>429</v>
      </c>
      <c r="C155" s="1">
        <v>44736</v>
      </c>
      <c r="D155">
        <v>5121</v>
      </c>
      <c r="E155" t="b">
        <v>0</v>
      </c>
      <c r="F155" t="s">
        <v>430</v>
      </c>
      <c r="G155" t="s">
        <v>431</v>
      </c>
      <c r="H155">
        <v>154</v>
      </c>
      <c r="I155" t="s">
        <v>14</v>
      </c>
      <c r="J155" s="3" t="str">
        <f>IF(ISNUMBER(SEARCH(",Action,",","&amp;SUBSTITUTE(TableMain[[#This Row],[Tags]],", ",",")&amp;",")),"Y","N")</f>
        <v>Y</v>
      </c>
      <c r="K155" s="3" t="str">
        <f>IF(ISNUMBER(SEARCH(",Indie,",","&amp;SUBSTITUTE(TableMain[[#This Row],[Tags]],", ",",")&amp;",")),"Y","N")</f>
        <v>Y</v>
      </c>
      <c r="L155" s="3" t="str">
        <f>IF(ISNUMBER(SEARCH(",Adventure,",","&amp;SUBSTITUTE(TableMain[[#This Row],[Tags]],", ",",")&amp;",")),"Y","N")</f>
        <v>Y</v>
      </c>
      <c r="M155" s="3" t="str">
        <f>IF(ISNUMBER(SEARCH(",Simulation,",","&amp;SUBSTITUTE(TableMain[[#This Row],[Tags]],", ",",")&amp;",")),"Y","N")</f>
        <v>Y</v>
      </c>
      <c r="N155" s="3" t="str">
        <f>IF(ISNUMBER(SEARCH(",RPG,",","&amp;SUBSTITUTE(TableMain[[#This Row],[Tags]],", ",",")&amp;",")),"Y","N")</f>
        <v>N</v>
      </c>
      <c r="O155" s="3" t="str">
        <f>IF(ISNUMBER(SEARCH(",Strategy,",","&amp;SUBSTITUTE(TableMain[[#This Row],[Tags]],", ",",")&amp;",")),"Y","N")</f>
        <v>N</v>
      </c>
      <c r="P155" s="3" t="str">
        <f>IF(ISNUMBER(SEARCH(",Free To Play,",","&amp;SUBSTITUTE(TableMain[[#This Row],[Tags]],", ",",")&amp;",")),"Y","N")</f>
        <v>N</v>
      </c>
    </row>
    <row r="156" spans="1:16" x14ac:dyDescent="0.35">
      <c r="A156">
        <v>2195250</v>
      </c>
      <c r="B156" t="s">
        <v>432</v>
      </c>
      <c r="C156" s="1">
        <v>45197</v>
      </c>
      <c r="D156">
        <v>5110</v>
      </c>
      <c r="E156" t="b">
        <v>0</v>
      </c>
      <c r="F156" t="s">
        <v>77</v>
      </c>
      <c r="G156" t="s">
        <v>78</v>
      </c>
      <c r="H156">
        <v>155</v>
      </c>
      <c r="I156" t="s">
        <v>175</v>
      </c>
      <c r="J156" s="3" t="str">
        <f>IF(ISNUMBER(SEARCH(",Action,",","&amp;SUBSTITUTE(TableMain[[#This Row],[Tags]],", ",",")&amp;",")),"Y","N")</f>
        <v>N</v>
      </c>
      <c r="K156" s="3" t="str">
        <f>IF(ISNUMBER(SEARCH(",Indie,",","&amp;SUBSTITUTE(TableMain[[#This Row],[Tags]],", ",",")&amp;",")),"Y","N")</f>
        <v>N</v>
      </c>
      <c r="L156" s="3" t="str">
        <f>IF(ISNUMBER(SEARCH(",Adventure,",","&amp;SUBSTITUTE(TableMain[[#This Row],[Tags]],", ",",")&amp;",")),"Y","N")</f>
        <v>N</v>
      </c>
      <c r="M156" s="3" t="str">
        <f>IF(ISNUMBER(SEARCH(",Simulation,",","&amp;SUBSTITUTE(TableMain[[#This Row],[Tags]],", ",",")&amp;",")),"Y","N")</f>
        <v>Y</v>
      </c>
      <c r="N156" s="3" t="str">
        <f>IF(ISNUMBER(SEARCH(",RPG,",","&amp;SUBSTITUTE(TableMain[[#This Row],[Tags]],", ",",")&amp;",")),"Y","N")</f>
        <v>N</v>
      </c>
      <c r="O156" s="3" t="str">
        <f>IF(ISNUMBER(SEARCH(",Strategy,",","&amp;SUBSTITUTE(TableMain[[#This Row],[Tags]],", ",",")&amp;",")),"Y","N")</f>
        <v>N</v>
      </c>
      <c r="P156" s="3" t="str">
        <f>IF(ISNUMBER(SEARCH(",Free To Play,",","&amp;SUBSTITUTE(TableMain[[#This Row],[Tags]],", ",",")&amp;",")),"Y","N")</f>
        <v>N</v>
      </c>
    </row>
    <row r="157" spans="1:16" x14ac:dyDescent="0.35">
      <c r="A157">
        <v>286160</v>
      </c>
      <c r="B157" t="s">
        <v>433</v>
      </c>
      <c r="C157" s="1">
        <v>42160</v>
      </c>
      <c r="D157">
        <v>5021</v>
      </c>
      <c r="E157" t="b">
        <v>1</v>
      </c>
      <c r="F157" t="s">
        <v>434</v>
      </c>
      <c r="G157" t="s">
        <v>435</v>
      </c>
      <c r="H157">
        <v>156</v>
      </c>
      <c r="I157" t="s">
        <v>2084</v>
      </c>
      <c r="J157" s="3" t="str">
        <f>IF(ISNUMBER(SEARCH(",Action,",","&amp;SUBSTITUTE(TableMain[[#This Row],[Tags]],", ",",")&amp;",")),"Y","N")</f>
        <v>N</v>
      </c>
      <c r="K157" s="3" t="str">
        <f>IF(ISNUMBER(SEARCH(",Indie,",","&amp;SUBSTITUTE(TableMain[[#This Row],[Tags]],", ",",")&amp;",")),"Y","N")</f>
        <v>Y</v>
      </c>
      <c r="L157" s="3" t="str">
        <f>IF(ISNUMBER(SEARCH(",Adventure,",","&amp;SUBSTITUTE(TableMain[[#This Row],[Tags]],", ",",")&amp;",")),"Y","N")</f>
        <v>N</v>
      </c>
      <c r="M157" s="3" t="str">
        <f>IF(ISNUMBER(SEARCH(",Simulation,",","&amp;SUBSTITUTE(TableMain[[#This Row],[Tags]],", ",",")&amp;",")),"Y","N")</f>
        <v>Y</v>
      </c>
      <c r="N157" s="3" t="str">
        <f>IF(ISNUMBER(SEARCH(",RPG,",","&amp;SUBSTITUTE(TableMain[[#This Row],[Tags]],", ",",")&amp;",")),"Y","N")</f>
        <v>Y</v>
      </c>
      <c r="O157" s="3" t="str">
        <f>IF(ISNUMBER(SEARCH(",Strategy,",","&amp;SUBSTITUTE(TableMain[[#This Row],[Tags]],", ",",")&amp;",")),"Y","N")</f>
        <v>Y</v>
      </c>
      <c r="P157" s="3" t="str">
        <f>IF(ISNUMBER(SEARCH(",Free To Play,",","&amp;SUBSTITUTE(TableMain[[#This Row],[Tags]],", ",",")&amp;",")),"Y","N")</f>
        <v>N</v>
      </c>
    </row>
    <row r="158" spans="1:16" x14ac:dyDescent="0.35">
      <c r="A158">
        <v>1426210</v>
      </c>
      <c r="B158" t="s">
        <v>436</v>
      </c>
      <c r="C158" s="1">
        <v>44280</v>
      </c>
      <c r="D158">
        <v>5018</v>
      </c>
      <c r="E158" t="b">
        <v>0</v>
      </c>
      <c r="F158" t="s">
        <v>437</v>
      </c>
      <c r="G158" t="s">
        <v>46</v>
      </c>
      <c r="H158">
        <v>157</v>
      </c>
      <c r="I158" t="s">
        <v>438</v>
      </c>
      <c r="J158" s="3" t="str">
        <f>IF(ISNUMBER(SEARCH(",Action,",","&amp;SUBSTITUTE(TableMain[[#This Row],[Tags]],", ",",")&amp;",")),"Y","N")</f>
        <v>Y</v>
      </c>
      <c r="K158" s="3" t="str">
        <f>IF(ISNUMBER(SEARCH(",Indie,",","&amp;SUBSTITUTE(TableMain[[#This Row],[Tags]],", ",",")&amp;",")),"Y","N")</f>
        <v>N</v>
      </c>
      <c r="L158" s="3" t="str">
        <f>IF(ISNUMBER(SEARCH(",Adventure,",","&amp;SUBSTITUTE(TableMain[[#This Row],[Tags]],", ",",")&amp;",")),"Y","N")</f>
        <v>Y</v>
      </c>
      <c r="M158" s="3" t="str">
        <f>IF(ISNUMBER(SEARCH(",Simulation,",","&amp;SUBSTITUTE(TableMain[[#This Row],[Tags]],", ",",")&amp;",")),"Y","N")</f>
        <v>N</v>
      </c>
      <c r="N158" s="3" t="str">
        <f>IF(ISNUMBER(SEARCH(",RPG,",","&amp;SUBSTITUTE(TableMain[[#This Row],[Tags]],", ",",")&amp;",")),"Y","N")</f>
        <v>N</v>
      </c>
      <c r="O158" s="3" t="str">
        <f>IF(ISNUMBER(SEARCH(",Strategy,",","&amp;SUBSTITUTE(TableMain[[#This Row],[Tags]],", ",",")&amp;",")),"Y","N")</f>
        <v>N</v>
      </c>
      <c r="P158" s="3" t="str">
        <f>IF(ISNUMBER(SEARCH(",Free To Play,",","&amp;SUBSTITUTE(TableMain[[#This Row],[Tags]],", ",",")&amp;",")),"Y","N")</f>
        <v>N</v>
      </c>
    </row>
    <row r="159" spans="1:16" x14ac:dyDescent="0.35">
      <c r="A159">
        <v>1687950</v>
      </c>
      <c r="B159" t="s">
        <v>439</v>
      </c>
      <c r="C159" s="1">
        <v>44854</v>
      </c>
      <c r="D159">
        <v>4994</v>
      </c>
      <c r="E159" t="b">
        <v>0</v>
      </c>
      <c r="F159" t="s">
        <v>324</v>
      </c>
      <c r="G159" t="s">
        <v>132</v>
      </c>
      <c r="H159">
        <v>158</v>
      </c>
      <c r="I159" t="s">
        <v>304</v>
      </c>
      <c r="J159" s="3" t="str">
        <f>IF(ISNUMBER(SEARCH(",Action,",","&amp;SUBSTITUTE(TableMain[[#This Row],[Tags]],", ",",")&amp;",")),"Y","N")</f>
        <v>N</v>
      </c>
      <c r="K159" s="3" t="str">
        <f>IF(ISNUMBER(SEARCH(",Indie,",","&amp;SUBSTITUTE(TableMain[[#This Row],[Tags]],", ",",")&amp;",")),"Y","N")</f>
        <v>N</v>
      </c>
      <c r="L159" s="3" t="str">
        <f>IF(ISNUMBER(SEARCH(",Adventure,",","&amp;SUBSTITUTE(TableMain[[#This Row],[Tags]],", ",",")&amp;",")),"Y","N")</f>
        <v>N</v>
      </c>
      <c r="M159" s="3" t="str">
        <f>IF(ISNUMBER(SEARCH(",Simulation,",","&amp;SUBSTITUTE(TableMain[[#This Row],[Tags]],", ",",")&amp;",")),"Y","N")</f>
        <v>N</v>
      </c>
      <c r="N159" s="3" t="str">
        <f>IF(ISNUMBER(SEARCH(",RPG,",","&amp;SUBSTITUTE(TableMain[[#This Row],[Tags]],", ",",")&amp;",")),"Y","N")</f>
        <v>Y</v>
      </c>
      <c r="O159" s="3" t="str">
        <f>IF(ISNUMBER(SEARCH(",Strategy,",","&amp;SUBSTITUTE(TableMain[[#This Row],[Tags]],", ",",")&amp;",")),"Y","N")</f>
        <v>N</v>
      </c>
      <c r="P159" s="3" t="str">
        <f>IF(ISNUMBER(SEARCH(",Free To Play,",","&amp;SUBSTITUTE(TableMain[[#This Row],[Tags]],", ",",")&amp;",")),"Y","N")</f>
        <v>N</v>
      </c>
    </row>
    <row r="160" spans="1:16" x14ac:dyDescent="0.35">
      <c r="A160">
        <v>2437170</v>
      </c>
      <c r="B160" t="s">
        <v>440</v>
      </c>
      <c r="C160" s="1">
        <v>45531</v>
      </c>
      <c r="D160">
        <v>4975</v>
      </c>
      <c r="E160" t="b">
        <v>0</v>
      </c>
      <c r="F160" t="s">
        <v>35</v>
      </c>
      <c r="G160" t="s">
        <v>441</v>
      </c>
      <c r="H160">
        <v>159</v>
      </c>
      <c r="I160" t="s">
        <v>133</v>
      </c>
      <c r="J160" s="3" t="str">
        <f>IF(ISNUMBER(SEARCH(",Action,",","&amp;SUBSTITUTE(TableMain[[#This Row],[Tags]],", ",",")&amp;",")),"Y","N")</f>
        <v>Y</v>
      </c>
      <c r="K160" s="3" t="str">
        <f>IF(ISNUMBER(SEARCH(",Indie,",","&amp;SUBSTITUTE(TableMain[[#This Row],[Tags]],", ",",")&amp;",")),"Y","N")</f>
        <v>N</v>
      </c>
      <c r="L160" s="3" t="str">
        <f>IF(ISNUMBER(SEARCH(",Adventure,",","&amp;SUBSTITUTE(TableMain[[#This Row],[Tags]],", ",",")&amp;",")),"Y","N")</f>
        <v>Y</v>
      </c>
      <c r="M160" s="3" t="str">
        <f>IF(ISNUMBER(SEARCH(",Simulation,",","&amp;SUBSTITUTE(TableMain[[#This Row],[Tags]],", ",",")&amp;",")),"Y","N")</f>
        <v>N</v>
      </c>
      <c r="N160" s="3" t="str">
        <f>IF(ISNUMBER(SEARCH(",RPG,",","&amp;SUBSTITUTE(TableMain[[#This Row],[Tags]],", ",",")&amp;",")),"Y","N")</f>
        <v>Y</v>
      </c>
      <c r="O160" s="3" t="str">
        <f>IF(ISNUMBER(SEARCH(",Strategy,",","&amp;SUBSTITUTE(TableMain[[#This Row],[Tags]],", ",",")&amp;",")),"Y","N")</f>
        <v>Y</v>
      </c>
      <c r="P160" s="3" t="str">
        <f>IF(ISNUMBER(SEARCH(",Free To Play,",","&amp;SUBSTITUTE(TableMain[[#This Row],[Tags]],", ",",")&amp;",")),"Y","N")</f>
        <v>Y</v>
      </c>
    </row>
    <row r="161" spans="1:16" x14ac:dyDescent="0.35">
      <c r="A161">
        <v>239140</v>
      </c>
      <c r="B161" t="s">
        <v>442</v>
      </c>
      <c r="C161" s="1">
        <v>42030</v>
      </c>
      <c r="D161">
        <v>4953</v>
      </c>
      <c r="E161" t="b">
        <v>1</v>
      </c>
      <c r="F161" t="s">
        <v>443</v>
      </c>
      <c r="G161" t="s">
        <v>24</v>
      </c>
      <c r="H161">
        <v>160</v>
      </c>
      <c r="I161" t="s">
        <v>2091</v>
      </c>
      <c r="J161" s="3" t="str">
        <f>IF(ISNUMBER(SEARCH(",Action,",","&amp;SUBSTITUTE(TableMain[[#This Row],[Tags]],", ",",")&amp;",")),"Y","N")</f>
        <v>Y</v>
      </c>
      <c r="K161" s="3" t="str">
        <f>IF(ISNUMBER(SEARCH(",Indie,",","&amp;SUBSTITUTE(TableMain[[#This Row],[Tags]],", ",",")&amp;",")),"Y","N")</f>
        <v>N</v>
      </c>
      <c r="L161" s="3" t="str">
        <f>IF(ISNUMBER(SEARCH(",Adventure,",","&amp;SUBSTITUTE(TableMain[[#This Row],[Tags]],", ",",")&amp;",")),"Y","N")</f>
        <v>N</v>
      </c>
      <c r="M161" s="3" t="str">
        <f>IF(ISNUMBER(SEARCH(",Simulation,",","&amp;SUBSTITUTE(TableMain[[#This Row],[Tags]],", ",",")&amp;",")),"Y","N")</f>
        <v>N</v>
      </c>
      <c r="N161" s="3" t="str">
        <f>IF(ISNUMBER(SEARCH(",RPG,",","&amp;SUBSTITUTE(TableMain[[#This Row],[Tags]],", ",",")&amp;",")),"Y","N")</f>
        <v>Y</v>
      </c>
      <c r="O161" s="3" t="str">
        <f>IF(ISNUMBER(SEARCH(",Strategy,",","&amp;SUBSTITUTE(TableMain[[#This Row],[Tags]],", ",",")&amp;",")),"Y","N")</f>
        <v>N</v>
      </c>
      <c r="P161" s="3" t="str">
        <f>IF(ISNUMBER(SEARCH(",Free To Play,",","&amp;SUBSTITUTE(TableMain[[#This Row],[Tags]],", ",",")&amp;",")),"Y","N")</f>
        <v>N</v>
      </c>
    </row>
    <row r="162" spans="1:16" x14ac:dyDescent="0.35">
      <c r="A162">
        <v>367520</v>
      </c>
      <c r="B162" t="s">
        <v>444</v>
      </c>
      <c r="C162" s="1">
        <v>42790</v>
      </c>
      <c r="D162">
        <v>4912</v>
      </c>
      <c r="E162" t="b">
        <v>1</v>
      </c>
      <c r="F162" t="s">
        <v>445</v>
      </c>
      <c r="G162" t="s">
        <v>446</v>
      </c>
      <c r="H162">
        <v>161</v>
      </c>
      <c r="I162" t="s">
        <v>304</v>
      </c>
      <c r="J162" s="3" t="str">
        <f>IF(ISNUMBER(SEARCH(",Action,",","&amp;SUBSTITUTE(TableMain[[#This Row],[Tags]],", ",",")&amp;",")),"Y","N")</f>
        <v>Y</v>
      </c>
      <c r="K162" s="3" t="str">
        <f>IF(ISNUMBER(SEARCH(",Indie,",","&amp;SUBSTITUTE(TableMain[[#This Row],[Tags]],", ",",")&amp;",")),"Y","N")</f>
        <v>Y</v>
      </c>
      <c r="L162" s="3" t="str">
        <f>IF(ISNUMBER(SEARCH(",Adventure,",","&amp;SUBSTITUTE(TableMain[[#This Row],[Tags]],", ",",")&amp;",")),"Y","N")</f>
        <v>Y</v>
      </c>
      <c r="M162" s="3" t="str">
        <f>IF(ISNUMBER(SEARCH(",Simulation,",","&amp;SUBSTITUTE(TableMain[[#This Row],[Tags]],", ",",")&amp;",")),"Y","N")</f>
        <v>N</v>
      </c>
      <c r="N162" s="3" t="str">
        <f>IF(ISNUMBER(SEARCH(",RPG,",","&amp;SUBSTITUTE(TableMain[[#This Row],[Tags]],", ",",")&amp;",")),"Y","N")</f>
        <v>N</v>
      </c>
      <c r="O162" s="3" t="str">
        <f>IF(ISNUMBER(SEARCH(",Strategy,",","&amp;SUBSTITUTE(TableMain[[#This Row],[Tags]],", ",",")&amp;",")),"Y","N")</f>
        <v>N</v>
      </c>
      <c r="P162" s="3" t="str">
        <f>IF(ISNUMBER(SEARCH(",Free To Play,",","&amp;SUBSTITUTE(TableMain[[#This Row],[Tags]],", ",",")&amp;",")),"Y","N")</f>
        <v>N</v>
      </c>
    </row>
    <row r="163" spans="1:16" x14ac:dyDescent="0.35">
      <c r="A163">
        <v>359320</v>
      </c>
      <c r="B163" t="s">
        <v>447</v>
      </c>
      <c r="C163" s="1">
        <v>42096</v>
      </c>
      <c r="D163">
        <v>4845</v>
      </c>
      <c r="E163" t="b">
        <v>0</v>
      </c>
      <c r="F163" t="s">
        <v>448</v>
      </c>
      <c r="G163" t="s">
        <v>400</v>
      </c>
      <c r="H163">
        <v>162</v>
      </c>
      <c r="I163" t="s">
        <v>2091</v>
      </c>
      <c r="J163" s="3" t="str">
        <f>IF(ISNUMBER(SEARCH(",Action,",","&amp;SUBSTITUTE(TableMain[[#This Row],[Tags]],", ",",")&amp;",")),"Y","N")</f>
        <v>Y</v>
      </c>
      <c r="K163" s="3" t="str">
        <f>IF(ISNUMBER(SEARCH(",Indie,",","&amp;SUBSTITUTE(TableMain[[#This Row],[Tags]],", ",",")&amp;",")),"Y","N")</f>
        <v>N</v>
      </c>
      <c r="L163" s="3" t="str">
        <f>IF(ISNUMBER(SEARCH(",Adventure,",","&amp;SUBSTITUTE(TableMain[[#This Row],[Tags]],", ",",")&amp;",")),"Y","N")</f>
        <v>Y</v>
      </c>
      <c r="M163" s="3" t="str">
        <f>IF(ISNUMBER(SEARCH(",Simulation,",","&amp;SUBSTITUTE(TableMain[[#This Row],[Tags]],", ",",")&amp;",")),"Y","N")</f>
        <v>Y</v>
      </c>
      <c r="N163" s="3" t="str">
        <f>IF(ISNUMBER(SEARCH(",RPG,",","&amp;SUBSTITUTE(TableMain[[#This Row],[Tags]],", ",",")&amp;",")),"Y","N")</f>
        <v>Y</v>
      </c>
      <c r="O163" s="3" t="str">
        <f>IF(ISNUMBER(SEARCH(",Strategy,",","&amp;SUBSTITUTE(TableMain[[#This Row],[Tags]],", ",",")&amp;",")),"Y","N")</f>
        <v>Y</v>
      </c>
      <c r="P163" s="3" t="str">
        <f>IF(ISNUMBER(SEARCH(",Free To Play,",","&amp;SUBSTITUTE(TableMain[[#This Row],[Tags]],", ",",")&amp;",")),"Y","N")</f>
        <v>N</v>
      </c>
    </row>
    <row r="164" spans="1:16" x14ac:dyDescent="0.35">
      <c r="A164">
        <v>544810</v>
      </c>
      <c r="B164" t="s">
        <v>449</v>
      </c>
      <c r="C164" s="1">
        <v>43936</v>
      </c>
      <c r="D164">
        <v>4796</v>
      </c>
      <c r="E164" t="b">
        <v>0</v>
      </c>
      <c r="F164" t="s">
        <v>450</v>
      </c>
      <c r="G164" t="s">
        <v>451</v>
      </c>
      <c r="H164">
        <v>163</v>
      </c>
      <c r="I164" t="s">
        <v>161</v>
      </c>
      <c r="J164" s="3" t="str">
        <f>IF(ISNUMBER(SEARCH(",Action,",","&amp;SUBSTITUTE(TableMain[[#This Row],[Tags]],", ",",")&amp;",")),"Y","N")</f>
        <v>N</v>
      </c>
      <c r="K164" s="3" t="str">
        <f>IF(ISNUMBER(SEARCH(",Indie,",","&amp;SUBSTITUTE(TableMain[[#This Row],[Tags]],", ",",")&amp;",")),"Y","N")</f>
        <v>Y</v>
      </c>
      <c r="L164" s="3" t="str">
        <f>IF(ISNUMBER(SEARCH(",Adventure,",","&amp;SUBSTITUTE(TableMain[[#This Row],[Tags]],", ",",")&amp;",")),"Y","N")</f>
        <v>N</v>
      </c>
      <c r="M164" s="3" t="str">
        <f>IF(ISNUMBER(SEARCH(",Simulation,",","&amp;SUBSTITUTE(TableMain[[#This Row],[Tags]],", ",",")&amp;",")),"Y","N")</f>
        <v>N</v>
      </c>
      <c r="N164" s="3" t="str">
        <f>IF(ISNUMBER(SEARCH(",RPG,",","&amp;SUBSTITUTE(TableMain[[#This Row],[Tags]],", ",",")&amp;",")),"Y","N")</f>
        <v>N</v>
      </c>
      <c r="O164" s="3" t="str">
        <f>IF(ISNUMBER(SEARCH(",Strategy,",","&amp;SUBSTITUTE(TableMain[[#This Row],[Tags]],", ",",")&amp;",")),"Y","N")</f>
        <v>Y</v>
      </c>
      <c r="P164" s="3" t="str">
        <f>IF(ISNUMBER(SEARCH(",Free To Play,",","&amp;SUBSTITUTE(TableMain[[#This Row],[Tags]],", ",",")&amp;",")),"Y","N")</f>
        <v>Y</v>
      </c>
    </row>
    <row r="165" spans="1:16" x14ac:dyDescent="0.35">
      <c r="A165">
        <v>2709570</v>
      </c>
      <c r="B165" t="s">
        <v>452</v>
      </c>
      <c r="C165" s="1">
        <v>45513</v>
      </c>
      <c r="D165">
        <v>4704</v>
      </c>
      <c r="E165" t="b">
        <v>0</v>
      </c>
      <c r="F165" t="s">
        <v>453</v>
      </c>
      <c r="G165" t="s">
        <v>454</v>
      </c>
      <c r="H165">
        <v>164</v>
      </c>
      <c r="I165" t="s">
        <v>25</v>
      </c>
      <c r="J165" s="3" t="str">
        <f>IF(ISNUMBER(SEARCH(",Action,",","&amp;SUBSTITUTE(TableMain[[#This Row],[Tags]],", ",",")&amp;",")),"Y","N")</f>
        <v>N</v>
      </c>
      <c r="K165" s="3" t="str">
        <f>IF(ISNUMBER(SEARCH(",Indie,",","&amp;SUBSTITUTE(TableMain[[#This Row],[Tags]],", ",",")&amp;",")),"Y","N")</f>
        <v>Y</v>
      </c>
      <c r="L165" s="3" t="str">
        <f>IF(ISNUMBER(SEARCH(",Adventure,",","&amp;SUBSTITUTE(TableMain[[#This Row],[Tags]],", ",",")&amp;",")),"Y","N")</f>
        <v>N</v>
      </c>
      <c r="M165" s="3" t="str">
        <f>IF(ISNUMBER(SEARCH(",Simulation,",","&amp;SUBSTITUTE(TableMain[[#This Row],[Tags]],", ",",")&amp;",")),"Y","N")</f>
        <v>Y</v>
      </c>
      <c r="N165" s="3" t="str">
        <f>IF(ISNUMBER(SEARCH(",RPG,",","&amp;SUBSTITUTE(TableMain[[#This Row],[Tags]],", ",",")&amp;",")),"Y","N")</f>
        <v>N</v>
      </c>
      <c r="O165" s="3" t="str">
        <f>IF(ISNUMBER(SEARCH(",Strategy,",","&amp;SUBSTITUTE(TableMain[[#This Row],[Tags]],", ",",")&amp;",")),"Y","N")</f>
        <v>N</v>
      </c>
      <c r="P165" s="3" t="str">
        <f>IF(ISNUMBER(SEARCH(",Free To Play,",","&amp;SUBSTITUTE(TableMain[[#This Row],[Tags]],", ",",")&amp;",")),"Y","N")</f>
        <v>Y</v>
      </c>
    </row>
    <row r="166" spans="1:16" x14ac:dyDescent="0.35">
      <c r="A166">
        <v>648800</v>
      </c>
      <c r="B166" t="s">
        <v>455</v>
      </c>
      <c r="C166" s="1">
        <v>44732</v>
      </c>
      <c r="D166">
        <v>4701</v>
      </c>
      <c r="E166" t="b">
        <v>0</v>
      </c>
      <c r="F166" t="s">
        <v>456</v>
      </c>
      <c r="G166" t="s">
        <v>457</v>
      </c>
      <c r="H166">
        <v>165</v>
      </c>
      <c r="I166" t="s">
        <v>304</v>
      </c>
      <c r="J166" s="3" t="str">
        <f>IF(ISNUMBER(SEARCH(",Action,",","&amp;SUBSTITUTE(TableMain[[#This Row],[Tags]],", ",",")&amp;",")),"Y","N")</f>
        <v>N</v>
      </c>
      <c r="K166" s="3" t="str">
        <f>IF(ISNUMBER(SEARCH(",Indie,",","&amp;SUBSTITUTE(TableMain[[#This Row],[Tags]],", ",",")&amp;",")),"Y","N")</f>
        <v>Y</v>
      </c>
      <c r="L166" s="3" t="str">
        <f>IF(ISNUMBER(SEARCH(",Adventure,",","&amp;SUBSTITUTE(TableMain[[#This Row],[Tags]],", ",",")&amp;",")),"Y","N")</f>
        <v>Y</v>
      </c>
      <c r="M166" s="3" t="str">
        <f>IF(ISNUMBER(SEARCH(",Simulation,",","&amp;SUBSTITUTE(TableMain[[#This Row],[Tags]],", ",",")&amp;",")),"Y","N")</f>
        <v>Y</v>
      </c>
      <c r="N166" s="3" t="str">
        <f>IF(ISNUMBER(SEARCH(",RPG,",","&amp;SUBSTITUTE(TableMain[[#This Row],[Tags]],", ",",")&amp;",")),"Y","N")</f>
        <v>N</v>
      </c>
      <c r="O166" s="3" t="str">
        <f>IF(ISNUMBER(SEARCH(",Strategy,",","&amp;SUBSTITUTE(TableMain[[#This Row],[Tags]],", ",",")&amp;",")),"Y","N")</f>
        <v>N</v>
      </c>
      <c r="P166" s="3" t="str">
        <f>IF(ISNUMBER(SEARCH(",Free To Play,",","&amp;SUBSTITUTE(TableMain[[#This Row],[Tags]],", ",",")&amp;",")),"Y","N")</f>
        <v>N</v>
      </c>
    </row>
    <row r="167" spans="1:16" x14ac:dyDescent="0.35">
      <c r="A167">
        <v>700330</v>
      </c>
      <c r="B167" t="s">
        <v>458</v>
      </c>
      <c r="C167" s="1">
        <v>43098</v>
      </c>
      <c r="D167">
        <v>4696</v>
      </c>
      <c r="E167" t="b">
        <v>0</v>
      </c>
      <c r="F167" t="s">
        <v>459</v>
      </c>
      <c r="G167" t="s">
        <v>460</v>
      </c>
      <c r="H167">
        <v>166</v>
      </c>
      <c r="I167" t="s">
        <v>29</v>
      </c>
      <c r="J167" s="3" t="str">
        <f>IF(ISNUMBER(SEARCH(",Action,",","&amp;SUBSTITUTE(TableMain[[#This Row],[Tags]],", ",",")&amp;",")),"Y","N")</f>
        <v>Y</v>
      </c>
      <c r="K167" s="3" t="str">
        <f>IF(ISNUMBER(SEARCH(",Indie,",","&amp;SUBSTITUTE(TableMain[[#This Row],[Tags]],", ",",")&amp;",")),"Y","N")</f>
        <v>Y</v>
      </c>
      <c r="L167" s="3" t="str">
        <f>IF(ISNUMBER(SEARCH(",Adventure,",","&amp;SUBSTITUTE(TableMain[[#This Row],[Tags]],", ",",")&amp;",")),"Y","N")</f>
        <v>N</v>
      </c>
      <c r="M167" s="3" t="str">
        <f>IF(ISNUMBER(SEARCH(",Simulation,",","&amp;SUBSTITUTE(TableMain[[#This Row],[Tags]],", ",",")&amp;",")),"Y","N")</f>
        <v>N</v>
      </c>
      <c r="N167" s="3" t="str">
        <f>IF(ISNUMBER(SEARCH(",RPG,",","&amp;SUBSTITUTE(TableMain[[#This Row],[Tags]],", ",",")&amp;",")),"Y","N")</f>
        <v>Y</v>
      </c>
      <c r="O167" s="3" t="str">
        <f>IF(ISNUMBER(SEARCH(",Strategy,",","&amp;SUBSTITUTE(TableMain[[#This Row],[Tags]],", ",",")&amp;",")),"Y","N")</f>
        <v>N</v>
      </c>
      <c r="P167" s="3" t="str">
        <f>IF(ISNUMBER(SEARCH(",Free To Play,",","&amp;SUBSTITUTE(TableMain[[#This Row],[Tags]],", ",",")&amp;",")),"Y","N")</f>
        <v>Y</v>
      </c>
    </row>
    <row r="168" spans="1:16" x14ac:dyDescent="0.35">
      <c r="A168">
        <v>238960</v>
      </c>
      <c r="B168" t="s">
        <v>461</v>
      </c>
      <c r="C168" s="1">
        <v>41570</v>
      </c>
      <c r="D168">
        <v>4694</v>
      </c>
      <c r="E168" t="b">
        <v>1</v>
      </c>
      <c r="F168" t="s">
        <v>462</v>
      </c>
      <c r="G168" t="s">
        <v>463</v>
      </c>
      <c r="H168">
        <v>167</v>
      </c>
      <c r="I168" t="s">
        <v>2090</v>
      </c>
      <c r="J168" s="3" t="str">
        <f>IF(ISNUMBER(SEARCH(",Action,",","&amp;SUBSTITUTE(TableMain[[#This Row],[Tags]],", ",",")&amp;",")),"Y","N")</f>
        <v>Y</v>
      </c>
      <c r="K168" s="3" t="str">
        <f>IF(ISNUMBER(SEARCH(",Indie,",","&amp;SUBSTITUTE(TableMain[[#This Row],[Tags]],", ",",")&amp;",")),"Y","N")</f>
        <v>Y</v>
      </c>
      <c r="L168" s="3" t="str">
        <f>IF(ISNUMBER(SEARCH(",Adventure,",","&amp;SUBSTITUTE(TableMain[[#This Row],[Tags]],", ",",")&amp;",")),"Y","N")</f>
        <v>Y</v>
      </c>
      <c r="M168" s="3" t="str">
        <f>IF(ISNUMBER(SEARCH(",Simulation,",","&amp;SUBSTITUTE(TableMain[[#This Row],[Tags]],", ",",")&amp;",")),"Y","N")</f>
        <v>N</v>
      </c>
      <c r="N168" s="3" t="str">
        <f>IF(ISNUMBER(SEARCH(",RPG,",","&amp;SUBSTITUTE(TableMain[[#This Row],[Tags]],", ",",")&amp;",")),"Y","N")</f>
        <v>Y</v>
      </c>
      <c r="O168" s="3" t="str">
        <f>IF(ISNUMBER(SEARCH(",Strategy,",","&amp;SUBSTITUTE(TableMain[[#This Row],[Tags]],", ",",")&amp;",")),"Y","N")</f>
        <v>N</v>
      </c>
      <c r="P168" s="3" t="str">
        <f>IF(ISNUMBER(SEARCH(",Free To Play,",","&amp;SUBSTITUTE(TableMain[[#This Row],[Tags]],", ",",")&amp;",")),"Y","N")</f>
        <v>Y</v>
      </c>
    </row>
    <row r="169" spans="1:16" x14ac:dyDescent="0.35">
      <c r="A169">
        <v>529340</v>
      </c>
      <c r="B169" t="s">
        <v>464</v>
      </c>
      <c r="C169" s="1">
        <v>44859</v>
      </c>
      <c r="D169">
        <v>4609</v>
      </c>
      <c r="E169" t="b">
        <v>1</v>
      </c>
      <c r="F169" t="s">
        <v>465</v>
      </c>
      <c r="G169" t="s">
        <v>100</v>
      </c>
      <c r="H169">
        <v>168</v>
      </c>
      <c r="I169" t="s">
        <v>175</v>
      </c>
      <c r="J169" s="3" t="str">
        <f>IF(ISNUMBER(SEARCH(",Action,",","&amp;SUBSTITUTE(TableMain[[#This Row],[Tags]],", ",",")&amp;",")),"Y","N")</f>
        <v>N</v>
      </c>
      <c r="K169" s="3" t="str">
        <f>IF(ISNUMBER(SEARCH(",Indie,",","&amp;SUBSTITUTE(TableMain[[#This Row],[Tags]],", ",",")&amp;",")),"Y","N")</f>
        <v>N</v>
      </c>
      <c r="L169" s="3" t="str">
        <f>IF(ISNUMBER(SEARCH(",Adventure,",","&amp;SUBSTITUTE(TableMain[[#This Row],[Tags]],", ",",")&amp;",")),"Y","N")</f>
        <v>N</v>
      </c>
      <c r="M169" s="3" t="str">
        <f>IF(ISNUMBER(SEARCH(",Simulation,",","&amp;SUBSTITUTE(TableMain[[#This Row],[Tags]],", ",",")&amp;",")),"Y","N")</f>
        <v>Y</v>
      </c>
      <c r="N169" s="3" t="str">
        <f>IF(ISNUMBER(SEARCH(",RPG,",","&amp;SUBSTITUTE(TableMain[[#This Row],[Tags]],", ",",")&amp;",")),"Y","N")</f>
        <v>N</v>
      </c>
      <c r="O169" s="3" t="str">
        <f>IF(ISNUMBER(SEARCH(",Strategy,",","&amp;SUBSTITUTE(TableMain[[#This Row],[Tags]],", ",",")&amp;",")),"Y","N")</f>
        <v>Y</v>
      </c>
      <c r="P169" s="3" t="str">
        <f>IF(ISNUMBER(SEARCH(",Free To Play,",","&amp;SUBSTITUTE(TableMain[[#This Row],[Tags]],", ",",")&amp;",")),"Y","N")</f>
        <v>N</v>
      </c>
    </row>
    <row r="170" spans="1:16" x14ac:dyDescent="0.35">
      <c r="A170">
        <v>1267910</v>
      </c>
      <c r="B170" t="s">
        <v>466</v>
      </c>
      <c r="C170" s="1">
        <v>44518</v>
      </c>
      <c r="D170">
        <v>4551</v>
      </c>
      <c r="E170" t="b">
        <v>1</v>
      </c>
      <c r="F170" t="s">
        <v>467</v>
      </c>
      <c r="G170" t="s">
        <v>468</v>
      </c>
      <c r="H170">
        <v>169</v>
      </c>
      <c r="I170" t="s">
        <v>14</v>
      </c>
      <c r="J170" s="3" t="str">
        <f>IF(ISNUMBER(SEARCH(",Action,",","&amp;SUBSTITUTE(TableMain[[#This Row],[Tags]],", ",",")&amp;",")),"Y","N")</f>
        <v>N</v>
      </c>
      <c r="K170" s="3" t="str">
        <f>IF(ISNUMBER(SEARCH(",Indie,",","&amp;SUBSTITUTE(TableMain[[#This Row],[Tags]],", ",",")&amp;",")),"Y","N")</f>
        <v>Y</v>
      </c>
      <c r="L170" s="3" t="str">
        <f>IF(ISNUMBER(SEARCH(",Adventure,",","&amp;SUBSTITUTE(TableMain[[#This Row],[Tags]],", ",",")&amp;",")),"Y","N")</f>
        <v>Y</v>
      </c>
      <c r="M170" s="3" t="str">
        <f>IF(ISNUMBER(SEARCH(",Simulation,",","&amp;SUBSTITUTE(TableMain[[#This Row],[Tags]],", ",",")&amp;",")),"Y","N")</f>
        <v>N</v>
      </c>
      <c r="N170" s="3" t="str">
        <f>IF(ISNUMBER(SEARCH(",RPG,",","&amp;SUBSTITUTE(TableMain[[#This Row],[Tags]],", ",",")&amp;",")),"Y","N")</f>
        <v>Y</v>
      </c>
      <c r="O170" s="3" t="str">
        <f>IF(ISNUMBER(SEARCH(",Strategy,",","&amp;SUBSTITUTE(TableMain[[#This Row],[Tags]],", ",",")&amp;",")),"Y","N")</f>
        <v>N</v>
      </c>
      <c r="P170" s="3" t="str">
        <f>IF(ISNUMBER(SEARCH(",Free To Play,",","&amp;SUBSTITUTE(TableMain[[#This Row],[Tags]],", ",",")&amp;",")),"Y","N")</f>
        <v>N</v>
      </c>
    </row>
    <row r="171" spans="1:16" x14ac:dyDescent="0.35">
      <c r="A171">
        <v>232090</v>
      </c>
      <c r="B171" t="s">
        <v>469</v>
      </c>
      <c r="C171" s="1">
        <v>42692</v>
      </c>
      <c r="D171">
        <v>4508</v>
      </c>
      <c r="E171" t="b">
        <v>0</v>
      </c>
      <c r="F171" t="s">
        <v>470</v>
      </c>
      <c r="G171" t="s">
        <v>49</v>
      </c>
      <c r="H171">
        <v>170</v>
      </c>
      <c r="I171" t="s">
        <v>967</v>
      </c>
      <c r="J171" s="3" t="str">
        <f>IF(ISNUMBER(SEARCH(",Action,",","&amp;SUBSTITUTE(TableMain[[#This Row],[Tags]],", ",",")&amp;",")),"Y","N")</f>
        <v>Y</v>
      </c>
      <c r="K171" s="3" t="str">
        <f>IF(ISNUMBER(SEARCH(",Indie,",","&amp;SUBSTITUTE(TableMain[[#This Row],[Tags]],", ",",")&amp;",")),"Y","N")</f>
        <v>N</v>
      </c>
      <c r="L171" s="3" t="str">
        <f>IF(ISNUMBER(SEARCH(",Adventure,",","&amp;SUBSTITUTE(TableMain[[#This Row],[Tags]],", ",",")&amp;",")),"Y","N")</f>
        <v>N</v>
      </c>
      <c r="M171" s="3" t="str">
        <f>IF(ISNUMBER(SEARCH(",Simulation,",","&amp;SUBSTITUTE(TableMain[[#This Row],[Tags]],", ",",")&amp;",")),"Y","N")</f>
        <v>N</v>
      </c>
      <c r="N171" s="3" t="str">
        <f>IF(ISNUMBER(SEARCH(",RPG,",","&amp;SUBSTITUTE(TableMain[[#This Row],[Tags]],", ",",")&amp;",")),"Y","N")</f>
        <v>N</v>
      </c>
      <c r="O171" s="3" t="str">
        <f>IF(ISNUMBER(SEARCH(",Strategy,",","&amp;SUBSTITUTE(TableMain[[#This Row],[Tags]],", ",",")&amp;",")),"Y","N")</f>
        <v>N</v>
      </c>
      <c r="P171" s="3" t="str">
        <f>IF(ISNUMBER(SEARCH(",Free To Play,",","&amp;SUBSTITUTE(TableMain[[#This Row],[Tags]],", ",",")&amp;",")),"Y","N")</f>
        <v>N</v>
      </c>
    </row>
    <row r="172" spans="1:16" x14ac:dyDescent="0.35">
      <c r="A172">
        <v>779340</v>
      </c>
      <c r="B172" t="s">
        <v>471</v>
      </c>
      <c r="C172" s="1">
        <v>43608</v>
      </c>
      <c r="D172">
        <v>4507</v>
      </c>
      <c r="E172" t="b">
        <v>1</v>
      </c>
      <c r="F172" t="s">
        <v>182</v>
      </c>
      <c r="G172" t="s">
        <v>183</v>
      </c>
      <c r="H172">
        <v>171</v>
      </c>
      <c r="I172" t="s">
        <v>33</v>
      </c>
      <c r="J172" s="3" t="str">
        <f>IF(ISNUMBER(SEARCH(",Action,",","&amp;SUBSTITUTE(TableMain[[#This Row],[Tags]],", ",",")&amp;",")),"Y","N")</f>
        <v>Y</v>
      </c>
      <c r="K172" s="3" t="str">
        <f>IF(ISNUMBER(SEARCH(",Indie,",","&amp;SUBSTITUTE(TableMain[[#This Row],[Tags]],", ",",")&amp;",")),"Y","N")</f>
        <v>N</v>
      </c>
      <c r="L172" s="3" t="str">
        <f>IF(ISNUMBER(SEARCH(",Adventure,",","&amp;SUBSTITUTE(TableMain[[#This Row],[Tags]],", ",",")&amp;",")),"Y","N")</f>
        <v>N</v>
      </c>
      <c r="M172" s="3" t="str">
        <f>IF(ISNUMBER(SEARCH(",Simulation,",","&amp;SUBSTITUTE(TableMain[[#This Row],[Tags]],", ",",")&amp;",")),"Y","N")</f>
        <v>N</v>
      </c>
      <c r="N172" s="3" t="str">
        <f>IF(ISNUMBER(SEARCH(",RPG,",","&amp;SUBSTITUTE(TableMain[[#This Row],[Tags]],", ",",")&amp;",")),"Y","N")</f>
        <v>N</v>
      </c>
      <c r="O172" s="3" t="str">
        <f>IF(ISNUMBER(SEARCH(",Strategy,",","&amp;SUBSTITUTE(TableMain[[#This Row],[Tags]],", ",",")&amp;",")),"Y","N")</f>
        <v>Y</v>
      </c>
      <c r="P172" s="3" t="str">
        <f>IF(ISNUMBER(SEARCH(",Free To Play,",","&amp;SUBSTITUTE(TableMain[[#This Row],[Tags]],", ",",")&amp;",")),"Y","N")</f>
        <v>N</v>
      </c>
    </row>
    <row r="173" spans="1:16" x14ac:dyDescent="0.35">
      <c r="A173">
        <v>1118200</v>
      </c>
      <c r="B173" t="s">
        <v>472</v>
      </c>
      <c r="C173" s="1">
        <v>43669</v>
      </c>
      <c r="D173">
        <v>4505</v>
      </c>
      <c r="E173" t="b">
        <v>0</v>
      </c>
      <c r="F173" t="s">
        <v>473</v>
      </c>
      <c r="G173" t="s">
        <v>474</v>
      </c>
      <c r="H173">
        <v>172</v>
      </c>
      <c r="I173" t="s">
        <v>14</v>
      </c>
      <c r="J173" s="3" t="str">
        <f>IF(ISNUMBER(SEARCH(",Action,",","&amp;SUBSTITUTE(TableMain[[#This Row],[Tags]],", ",",")&amp;",")),"Y","N")</f>
        <v>Y</v>
      </c>
      <c r="K173" s="3" t="str">
        <f>IF(ISNUMBER(SEARCH(",Indie,",","&amp;SUBSTITUTE(TableMain[[#This Row],[Tags]],", ",",")&amp;",")),"Y","N")</f>
        <v>Y</v>
      </c>
      <c r="L173" s="3" t="str">
        <f>IF(ISNUMBER(SEARCH(",Adventure,",","&amp;SUBSTITUTE(TableMain[[#This Row],[Tags]],", ",",")&amp;",")),"Y","N")</f>
        <v>N</v>
      </c>
      <c r="M173" s="3" t="str">
        <f>IF(ISNUMBER(SEARCH(",Simulation,",","&amp;SUBSTITUTE(TableMain[[#This Row],[Tags]],", ",",")&amp;",")),"Y","N")</f>
        <v>Y</v>
      </c>
      <c r="N173" s="3" t="str">
        <f>IF(ISNUMBER(SEARCH(",RPG,",","&amp;SUBSTITUTE(TableMain[[#This Row],[Tags]],", ",",")&amp;",")),"Y","N")</f>
        <v>N</v>
      </c>
      <c r="O173" s="3" t="str">
        <f>IF(ISNUMBER(SEARCH(",Strategy,",","&amp;SUBSTITUTE(TableMain[[#This Row],[Tags]],", ",",")&amp;",")),"Y","N")</f>
        <v>N</v>
      </c>
      <c r="P173" s="3" t="str">
        <f>IF(ISNUMBER(SEARCH(",Free To Play,",","&amp;SUBSTITUTE(TableMain[[#This Row],[Tags]],", ",",")&amp;",")),"Y","N")</f>
        <v>N</v>
      </c>
    </row>
    <row r="174" spans="1:16" x14ac:dyDescent="0.35">
      <c r="A174">
        <v>1326470</v>
      </c>
      <c r="B174" t="s">
        <v>475</v>
      </c>
      <c r="C174" s="1">
        <v>45344</v>
      </c>
      <c r="D174">
        <v>4450</v>
      </c>
      <c r="E174" t="b">
        <v>0</v>
      </c>
      <c r="F174" t="s">
        <v>238</v>
      </c>
      <c r="G174" t="s">
        <v>476</v>
      </c>
      <c r="H174">
        <v>173</v>
      </c>
      <c r="I174" t="s">
        <v>57</v>
      </c>
      <c r="J174" s="3" t="str">
        <f>IF(ISNUMBER(SEARCH(",Action,",","&amp;SUBSTITUTE(TableMain[[#This Row],[Tags]],", ",",")&amp;",")),"Y","N")</f>
        <v>Y</v>
      </c>
      <c r="K174" s="3" t="str">
        <f>IF(ISNUMBER(SEARCH(",Indie,",","&amp;SUBSTITUTE(TableMain[[#This Row],[Tags]],", ",",")&amp;",")),"Y","N")</f>
        <v>Y</v>
      </c>
      <c r="L174" s="3" t="str">
        <f>IF(ISNUMBER(SEARCH(",Adventure,",","&amp;SUBSTITUTE(TableMain[[#This Row],[Tags]],", ",",")&amp;",")),"Y","N")</f>
        <v>Y</v>
      </c>
      <c r="M174" s="3" t="str">
        <f>IF(ISNUMBER(SEARCH(",Simulation,",","&amp;SUBSTITUTE(TableMain[[#This Row],[Tags]],", ",",")&amp;",")),"Y","N")</f>
        <v>Y</v>
      </c>
      <c r="N174" s="3" t="str">
        <f>IF(ISNUMBER(SEARCH(",RPG,",","&amp;SUBSTITUTE(TableMain[[#This Row],[Tags]],", ",",")&amp;",")),"Y","N")</f>
        <v>N</v>
      </c>
      <c r="O174" s="3" t="str">
        <f>IF(ISNUMBER(SEARCH(",Strategy,",","&amp;SUBSTITUTE(TableMain[[#This Row],[Tags]],", ",",")&amp;",")),"Y","N")</f>
        <v>N</v>
      </c>
      <c r="P174" s="3" t="str">
        <f>IF(ISNUMBER(SEARCH(",Free To Play,",","&amp;SUBSTITUTE(TableMain[[#This Row],[Tags]],", ",",")&amp;",")),"Y","N")</f>
        <v>N</v>
      </c>
    </row>
    <row r="175" spans="1:16" x14ac:dyDescent="0.35">
      <c r="A175">
        <v>1778820</v>
      </c>
      <c r="B175" t="s">
        <v>477</v>
      </c>
      <c r="C175" s="1">
        <v>45316</v>
      </c>
      <c r="D175">
        <v>4409</v>
      </c>
      <c r="E175" t="b">
        <v>0</v>
      </c>
      <c r="F175" t="s">
        <v>478</v>
      </c>
      <c r="G175" t="s">
        <v>49</v>
      </c>
      <c r="H175">
        <v>174</v>
      </c>
      <c r="I175" t="s">
        <v>119</v>
      </c>
      <c r="J175" s="3" t="str">
        <f>IF(ISNUMBER(SEARCH(",Action,",","&amp;SUBSTITUTE(TableMain[[#This Row],[Tags]],", ",",")&amp;",")),"Y","N")</f>
        <v>Y</v>
      </c>
      <c r="K175" s="3" t="str">
        <f>IF(ISNUMBER(SEARCH(",Indie,",","&amp;SUBSTITUTE(TableMain[[#This Row],[Tags]],", ",",")&amp;",")),"Y","N")</f>
        <v>N</v>
      </c>
      <c r="L175" s="3" t="str">
        <f>IF(ISNUMBER(SEARCH(",Adventure,",","&amp;SUBSTITUTE(TableMain[[#This Row],[Tags]],", ",",")&amp;",")),"Y","N")</f>
        <v>N</v>
      </c>
      <c r="M175" s="3" t="str">
        <f>IF(ISNUMBER(SEARCH(",Simulation,",","&amp;SUBSTITUTE(TableMain[[#This Row],[Tags]],", ",",")&amp;",")),"Y","N")</f>
        <v>N</v>
      </c>
      <c r="N175" s="3" t="str">
        <f>IF(ISNUMBER(SEARCH(",RPG,",","&amp;SUBSTITUTE(TableMain[[#This Row],[Tags]],", ",",")&amp;",")),"Y","N")</f>
        <v>N</v>
      </c>
      <c r="O175" s="3" t="str">
        <f>IF(ISNUMBER(SEARCH(",Strategy,",","&amp;SUBSTITUTE(TableMain[[#This Row],[Tags]],", ",",")&amp;",")),"Y","N")</f>
        <v>N</v>
      </c>
      <c r="P175" s="3" t="str">
        <f>IF(ISNUMBER(SEARCH(",Free To Play,",","&amp;SUBSTITUTE(TableMain[[#This Row],[Tags]],", ",",")&amp;",")),"Y","N")</f>
        <v>N</v>
      </c>
    </row>
    <row r="176" spans="1:16" x14ac:dyDescent="0.35">
      <c r="A176">
        <v>2531310</v>
      </c>
      <c r="B176" t="s">
        <v>479</v>
      </c>
      <c r="C176" s="1">
        <v>45750</v>
      </c>
      <c r="D176">
        <v>4405</v>
      </c>
      <c r="E176" t="b">
        <v>0</v>
      </c>
      <c r="F176" t="s">
        <v>480</v>
      </c>
      <c r="G176" t="s">
        <v>46</v>
      </c>
      <c r="H176">
        <v>175</v>
      </c>
      <c r="I176" t="s">
        <v>29</v>
      </c>
      <c r="J176" s="3" t="str">
        <f>IF(ISNUMBER(SEARCH(",Action,",","&amp;SUBSTITUTE(TableMain[[#This Row],[Tags]],", ",",")&amp;",")),"Y","N")</f>
        <v>Y</v>
      </c>
      <c r="K176" s="3" t="str">
        <f>IF(ISNUMBER(SEARCH(",Indie,",","&amp;SUBSTITUTE(TableMain[[#This Row],[Tags]],", ",",")&amp;",")),"Y","N")</f>
        <v>N</v>
      </c>
      <c r="L176" s="3" t="str">
        <f>IF(ISNUMBER(SEARCH(",Adventure,",","&amp;SUBSTITUTE(TableMain[[#This Row],[Tags]],", ",",")&amp;",")),"Y","N")</f>
        <v>Y</v>
      </c>
      <c r="M176" s="3" t="str">
        <f>IF(ISNUMBER(SEARCH(",Simulation,",","&amp;SUBSTITUTE(TableMain[[#This Row],[Tags]],", ",",")&amp;",")),"Y","N")</f>
        <v>N</v>
      </c>
      <c r="N176" s="3" t="str">
        <f>IF(ISNUMBER(SEARCH(",RPG,",","&amp;SUBSTITUTE(TableMain[[#This Row],[Tags]],", ",",")&amp;",")),"Y","N")</f>
        <v>N</v>
      </c>
      <c r="O176" s="3" t="str">
        <f>IF(ISNUMBER(SEARCH(",Strategy,",","&amp;SUBSTITUTE(TableMain[[#This Row],[Tags]],", ",",")&amp;",")),"Y","N")</f>
        <v>N</v>
      </c>
      <c r="P176" s="3" t="str">
        <f>IF(ISNUMBER(SEARCH(",Free To Play,",","&amp;SUBSTITUTE(TableMain[[#This Row],[Tags]],", ",",")&amp;",")),"Y","N")</f>
        <v>N</v>
      </c>
    </row>
    <row r="177" spans="1:16" x14ac:dyDescent="0.35">
      <c r="A177">
        <v>1594320</v>
      </c>
      <c r="B177" t="s">
        <v>481</v>
      </c>
      <c r="C177" s="1">
        <v>44712</v>
      </c>
      <c r="D177">
        <v>4404</v>
      </c>
      <c r="E177" t="b">
        <v>0</v>
      </c>
      <c r="F177" t="s">
        <v>482</v>
      </c>
      <c r="G177" t="s">
        <v>483</v>
      </c>
      <c r="H177">
        <v>176</v>
      </c>
      <c r="I177" t="s">
        <v>175</v>
      </c>
      <c r="J177" s="3" t="str">
        <f>IF(ISNUMBER(SEARCH(",Action,",","&amp;SUBSTITUTE(TableMain[[#This Row],[Tags]],", ",",")&amp;",")),"Y","N")</f>
        <v>N</v>
      </c>
      <c r="K177" s="3" t="str">
        <f>IF(ISNUMBER(SEARCH(",Indie,",","&amp;SUBSTITUTE(TableMain[[#This Row],[Tags]],", ",",")&amp;",")),"Y","N")</f>
        <v>Y</v>
      </c>
      <c r="L177" s="3" t="str">
        <f>IF(ISNUMBER(SEARCH(",Adventure,",","&amp;SUBSTITUTE(TableMain[[#This Row],[Tags]],", ",",")&amp;",")),"Y","N")</f>
        <v>N</v>
      </c>
      <c r="M177" s="3" t="str">
        <f>IF(ISNUMBER(SEARCH(",Simulation,",","&amp;SUBSTITUTE(TableMain[[#This Row],[Tags]],", ",",")&amp;",")),"Y","N")</f>
        <v>Y</v>
      </c>
      <c r="N177" s="3" t="str">
        <f>IF(ISNUMBER(SEARCH(",RPG,",","&amp;SUBSTITUTE(TableMain[[#This Row],[Tags]],", ",",")&amp;",")),"Y","N")</f>
        <v>N</v>
      </c>
      <c r="O177" s="3" t="str">
        <f>IF(ISNUMBER(SEARCH(",Strategy,",","&amp;SUBSTITUTE(TableMain[[#This Row],[Tags]],", ",",")&amp;",")),"Y","N")</f>
        <v>Y</v>
      </c>
      <c r="P177" s="3" t="str">
        <f>IF(ISNUMBER(SEARCH(",Free To Play,",","&amp;SUBSTITUTE(TableMain[[#This Row],[Tags]],", ",",")&amp;",")),"Y","N")</f>
        <v>N</v>
      </c>
    </row>
    <row r="178" spans="1:16" x14ac:dyDescent="0.35">
      <c r="A178">
        <v>1569580</v>
      </c>
      <c r="B178" t="s">
        <v>484</v>
      </c>
      <c r="C178" s="1">
        <v>45757</v>
      </c>
      <c r="D178">
        <v>4395</v>
      </c>
      <c r="E178" t="b">
        <v>1</v>
      </c>
      <c r="F178" t="s">
        <v>416</v>
      </c>
      <c r="G178" t="s">
        <v>485</v>
      </c>
      <c r="H178">
        <v>177</v>
      </c>
      <c r="I178" t="s">
        <v>486</v>
      </c>
      <c r="J178" s="3" t="str">
        <f>IF(ISNUMBER(SEARCH(",Action,",","&amp;SUBSTITUTE(TableMain[[#This Row],[Tags]],", ",",")&amp;",")),"Y","N")</f>
        <v>N</v>
      </c>
      <c r="K178" s="3" t="str">
        <f>IF(ISNUMBER(SEARCH(",Indie,",","&amp;SUBSTITUTE(TableMain[[#This Row],[Tags]],", ",",")&amp;",")),"Y","N")</f>
        <v>Y</v>
      </c>
      <c r="L178" s="3" t="str">
        <f>IF(ISNUMBER(SEARCH(",Adventure,",","&amp;SUBSTITUTE(TableMain[[#This Row],[Tags]],", ",",")&amp;",")),"Y","N")</f>
        <v>Y</v>
      </c>
      <c r="M178" s="3" t="str">
        <f>IF(ISNUMBER(SEARCH(",Simulation,",","&amp;SUBSTITUTE(TableMain[[#This Row],[Tags]],", ",",")&amp;",")),"Y","N")</f>
        <v>N</v>
      </c>
      <c r="N178" s="3" t="str">
        <f>IF(ISNUMBER(SEARCH(",RPG,",","&amp;SUBSTITUTE(TableMain[[#This Row],[Tags]],", ",",")&amp;",")),"Y","N")</f>
        <v>N</v>
      </c>
      <c r="O178" s="3" t="str">
        <f>IF(ISNUMBER(SEARCH(",Strategy,",","&amp;SUBSTITUTE(TableMain[[#This Row],[Tags]],", ",",")&amp;",")),"Y","N")</f>
        <v>Y</v>
      </c>
      <c r="P178" s="3" t="str">
        <f>IF(ISNUMBER(SEARCH(",Free To Play,",","&amp;SUBSTITUTE(TableMain[[#This Row],[Tags]],", ",",")&amp;",")),"Y","N")</f>
        <v>N</v>
      </c>
    </row>
    <row r="179" spans="1:16" x14ac:dyDescent="0.35">
      <c r="A179">
        <v>374320</v>
      </c>
      <c r="B179" t="s">
        <v>487</v>
      </c>
      <c r="C179" s="1">
        <v>42471</v>
      </c>
      <c r="D179">
        <v>4381</v>
      </c>
      <c r="E179" t="b">
        <v>0</v>
      </c>
      <c r="F179" t="s">
        <v>488</v>
      </c>
      <c r="G179" t="s">
        <v>49</v>
      </c>
      <c r="H179">
        <v>178</v>
      </c>
      <c r="I179" t="s">
        <v>33</v>
      </c>
      <c r="J179" s="3" t="str">
        <f>IF(ISNUMBER(SEARCH(",Action,",","&amp;SUBSTITUTE(TableMain[[#This Row],[Tags]],", ",",")&amp;",")),"Y","N")</f>
        <v>Y</v>
      </c>
      <c r="K179" s="3" t="str">
        <f>IF(ISNUMBER(SEARCH(",Indie,",","&amp;SUBSTITUTE(TableMain[[#This Row],[Tags]],", ",",")&amp;",")),"Y","N")</f>
        <v>N</v>
      </c>
      <c r="L179" s="3" t="str">
        <f>IF(ISNUMBER(SEARCH(",Adventure,",","&amp;SUBSTITUTE(TableMain[[#This Row],[Tags]],", ",",")&amp;",")),"Y","N")</f>
        <v>N</v>
      </c>
      <c r="M179" s="3" t="str">
        <f>IF(ISNUMBER(SEARCH(",Simulation,",","&amp;SUBSTITUTE(TableMain[[#This Row],[Tags]],", ",",")&amp;",")),"Y","N")</f>
        <v>N</v>
      </c>
      <c r="N179" s="3" t="str">
        <f>IF(ISNUMBER(SEARCH(",RPG,",","&amp;SUBSTITUTE(TableMain[[#This Row],[Tags]],", ",",")&amp;",")),"Y","N")</f>
        <v>N</v>
      </c>
      <c r="O179" s="3" t="str">
        <f>IF(ISNUMBER(SEARCH(",Strategy,",","&amp;SUBSTITUTE(TableMain[[#This Row],[Tags]],", ",",")&amp;",")),"Y","N")</f>
        <v>N</v>
      </c>
      <c r="P179" s="3" t="str">
        <f>IF(ISNUMBER(SEARCH(",Free To Play,",","&amp;SUBSTITUTE(TableMain[[#This Row],[Tags]],", ",",")&amp;",")),"Y","N")</f>
        <v>N</v>
      </c>
    </row>
    <row r="180" spans="1:16" x14ac:dyDescent="0.35">
      <c r="A180">
        <v>2543180</v>
      </c>
      <c r="B180" t="s">
        <v>489</v>
      </c>
      <c r="C180" s="1">
        <v>45809</v>
      </c>
      <c r="D180">
        <v>4352</v>
      </c>
      <c r="E180" t="b">
        <v>0</v>
      </c>
      <c r="F180" t="s">
        <v>490</v>
      </c>
      <c r="G180" t="s">
        <v>491</v>
      </c>
      <c r="H180">
        <v>179</v>
      </c>
      <c r="I180" t="s">
        <v>36</v>
      </c>
      <c r="J180" s="3" t="str">
        <f>IF(ISNUMBER(SEARCH(",Action,",","&amp;SUBSTITUTE(TableMain[[#This Row],[Tags]],", ",",")&amp;",")),"Y","N")</f>
        <v>Y</v>
      </c>
      <c r="K180" s="3" t="str">
        <f>IF(ISNUMBER(SEARCH(",Indie,",","&amp;SUBSTITUTE(TableMain[[#This Row],[Tags]],", ",",")&amp;",")),"Y","N")</f>
        <v>N</v>
      </c>
      <c r="L180" s="3" t="str">
        <f>IF(ISNUMBER(SEARCH(",Adventure,",","&amp;SUBSTITUTE(TableMain[[#This Row],[Tags]],", ",",")&amp;",")),"Y","N")</f>
        <v>Y</v>
      </c>
      <c r="M180" s="3" t="str">
        <f>IF(ISNUMBER(SEARCH(",Simulation,",","&amp;SUBSTITUTE(TableMain[[#This Row],[Tags]],", ",",")&amp;",")),"Y","N")</f>
        <v>N</v>
      </c>
      <c r="N180" s="3" t="str">
        <f>IF(ISNUMBER(SEARCH(",RPG,",","&amp;SUBSTITUTE(TableMain[[#This Row],[Tags]],", ",",")&amp;",")),"Y","N")</f>
        <v>N</v>
      </c>
      <c r="O180" s="3" t="str">
        <f>IF(ISNUMBER(SEARCH(",Strategy,",","&amp;SUBSTITUTE(TableMain[[#This Row],[Tags]],", ",",")&amp;",")),"Y","N")</f>
        <v>N</v>
      </c>
      <c r="P180" s="3" t="str">
        <f>IF(ISNUMBER(SEARCH(",Free To Play,",","&amp;SUBSTITUTE(TableMain[[#This Row],[Tags]],", ",",")&amp;",")),"Y","N")</f>
        <v>N</v>
      </c>
    </row>
    <row r="181" spans="1:16" x14ac:dyDescent="0.35">
      <c r="A181">
        <v>1144200</v>
      </c>
      <c r="B181" t="s">
        <v>492</v>
      </c>
      <c r="C181" s="1">
        <v>45273</v>
      </c>
      <c r="D181">
        <v>4296</v>
      </c>
      <c r="E181" t="b">
        <v>0</v>
      </c>
      <c r="F181" t="s">
        <v>493</v>
      </c>
      <c r="G181" t="s">
        <v>446</v>
      </c>
      <c r="H181">
        <v>180</v>
      </c>
      <c r="I181" t="s">
        <v>53</v>
      </c>
      <c r="J181" s="3" t="str">
        <f>IF(ISNUMBER(SEARCH(",Action,",","&amp;SUBSTITUTE(TableMain[[#This Row],[Tags]],", ",",")&amp;",")),"Y","N")</f>
        <v>Y</v>
      </c>
      <c r="K181" s="3" t="str">
        <f>IF(ISNUMBER(SEARCH(",Indie,",","&amp;SUBSTITUTE(TableMain[[#This Row],[Tags]],", ",",")&amp;",")),"Y","N")</f>
        <v>Y</v>
      </c>
      <c r="L181" s="3" t="str">
        <f>IF(ISNUMBER(SEARCH(",Adventure,",","&amp;SUBSTITUTE(TableMain[[#This Row],[Tags]],", ",",")&amp;",")),"Y","N")</f>
        <v>Y</v>
      </c>
      <c r="M181" s="3" t="str">
        <f>IF(ISNUMBER(SEARCH(",Simulation,",","&amp;SUBSTITUTE(TableMain[[#This Row],[Tags]],", ",",")&amp;",")),"Y","N")</f>
        <v>N</v>
      </c>
      <c r="N181" s="3" t="str">
        <f>IF(ISNUMBER(SEARCH(",RPG,",","&amp;SUBSTITUTE(TableMain[[#This Row],[Tags]],", ",",")&amp;",")),"Y","N")</f>
        <v>N</v>
      </c>
      <c r="O181" s="3" t="str">
        <f>IF(ISNUMBER(SEARCH(",Strategy,",","&amp;SUBSTITUTE(TableMain[[#This Row],[Tags]],", ",",")&amp;",")),"Y","N")</f>
        <v>N</v>
      </c>
      <c r="P181" s="3" t="str">
        <f>IF(ISNUMBER(SEARCH(",Free To Play,",","&amp;SUBSTITUTE(TableMain[[#This Row],[Tags]],", ",",")&amp;",")),"Y","N")</f>
        <v>N</v>
      </c>
    </row>
    <row r="182" spans="1:16" x14ac:dyDescent="0.35">
      <c r="A182">
        <v>534380</v>
      </c>
      <c r="B182" t="s">
        <v>494</v>
      </c>
      <c r="C182" s="1">
        <v>44595</v>
      </c>
      <c r="D182">
        <v>4223</v>
      </c>
      <c r="E182" t="b">
        <v>0</v>
      </c>
      <c r="F182" t="s">
        <v>495</v>
      </c>
      <c r="G182" t="s">
        <v>208</v>
      </c>
      <c r="H182">
        <v>181</v>
      </c>
      <c r="I182" t="s">
        <v>133</v>
      </c>
      <c r="J182" s="3" t="str">
        <f>IF(ISNUMBER(SEARCH(",Action,",","&amp;SUBSTITUTE(TableMain[[#This Row],[Tags]],", ",",")&amp;",")),"Y","N")</f>
        <v>Y</v>
      </c>
      <c r="K182" s="3" t="str">
        <f>IF(ISNUMBER(SEARCH(",Indie,",","&amp;SUBSTITUTE(TableMain[[#This Row],[Tags]],", ",",")&amp;",")),"Y","N")</f>
        <v>N</v>
      </c>
      <c r="L182" s="3" t="str">
        <f>IF(ISNUMBER(SEARCH(",Adventure,",","&amp;SUBSTITUTE(TableMain[[#This Row],[Tags]],", ",",")&amp;",")),"Y","N")</f>
        <v>Y</v>
      </c>
      <c r="M182" s="3" t="str">
        <f>IF(ISNUMBER(SEARCH(",Simulation,",","&amp;SUBSTITUTE(TableMain[[#This Row],[Tags]],", ",",")&amp;",")),"Y","N")</f>
        <v>N</v>
      </c>
      <c r="N182" s="3" t="str">
        <f>IF(ISNUMBER(SEARCH(",RPG,",","&amp;SUBSTITUTE(TableMain[[#This Row],[Tags]],", ",",")&amp;",")),"Y","N")</f>
        <v>Y</v>
      </c>
      <c r="O182" s="3" t="str">
        <f>IF(ISNUMBER(SEARCH(",Strategy,",","&amp;SUBSTITUTE(TableMain[[#This Row],[Tags]],", ",",")&amp;",")),"Y","N")</f>
        <v>N</v>
      </c>
      <c r="P182" s="3" t="str">
        <f>IF(ISNUMBER(SEARCH(",Free To Play,",","&amp;SUBSTITUTE(TableMain[[#This Row],[Tags]],", ",",")&amp;",")),"Y","N")</f>
        <v>N</v>
      </c>
    </row>
    <row r="183" spans="1:16" x14ac:dyDescent="0.35">
      <c r="A183">
        <v>244850</v>
      </c>
      <c r="B183" t="s">
        <v>496</v>
      </c>
      <c r="C183" s="1">
        <v>43524</v>
      </c>
      <c r="D183">
        <v>4201</v>
      </c>
      <c r="E183" t="b">
        <v>0</v>
      </c>
      <c r="F183" t="s">
        <v>497</v>
      </c>
      <c r="G183" t="s">
        <v>498</v>
      </c>
      <c r="H183">
        <v>182</v>
      </c>
      <c r="I183" t="s">
        <v>304</v>
      </c>
      <c r="J183" s="3" t="str">
        <f>IF(ISNUMBER(SEARCH(",Action,",","&amp;SUBSTITUTE(TableMain[[#This Row],[Tags]],", ",",")&amp;",")),"Y","N")</f>
        <v>Y</v>
      </c>
      <c r="K183" s="3" t="str">
        <f>IF(ISNUMBER(SEARCH(",Indie,",","&amp;SUBSTITUTE(TableMain[[#This Row],[Tags]],", ",",")&amp;",")),"Y","N")</f>
        <v>Y</v>
      </c>
      <c r="L183" s="3" t="str">
        <f>IF(ISNUMBER(SEARCH(",Adventure,",","&amp;SUBSTITUTE(TableMain[[#This Row],[Tags]],", ",",")&amp;",")),"Y","N")</f>
        <v>N</v>
      </c>
      <c r="M183" s="3" t="str">
        <f>IF(ISNUMBER(SEARCH(",Simulation,",","&amp;SUBSTITUTE(TableMain[[#This Row],[Tags]],", ",",")&amp;",")),"Y","N")</f>
        <v>Y</v>
      </c>
      <c r="N183" s="3" t="str">
        <f>IF(ISNUMBER(SEARCH(",RPG,",","&amp;SUBSTITUTE(TableMain[[#This Row],[Tags]],", ",",")&amp;",")),"Y","N")</f>
        <v>N</v>
      </c>
      <c r="O183" s="3" t="str">
        <f>IF(ISNUMBER(SEARCH(",Strategy,",","&amp;SUBSTITUTE(TableMain[[#This Row],[Tags]],", ",",")&amp;",")),"Y","N")</f>
        <v>Y</v>
      </c>
      <c r="P183" s="3" t="str">
        <f>IF(ISNUMBER(SEARCH(",Free To Play,",","&amp;SUBSTITUTE(TableMain[[#This Row],[Tags]],", ",",")&amp;",")),"Y","N")</f>
        <v>N</v>
      </c>
    </row>
    <row r="184" spans="1:16" x14ac:dyDescent="0.35">
      <c r="A184">
        <v>1904540</v>
      </c>
      <c r="B184" t="s">
        <v>499</v>
      </c>
      <c r="C184" s="1">
        <v>44873</v>
      </c>
      <c r="D184">
        <v>4178</v>
      </c>
      <c r="E184" t="b">
        <v>1</v>
      </c>
      <c r="F184" t="s">
        <v>70</v>
      </c>
      <c r="G184" t="s">
        <v>78</v>
      </c>
      <c r="H184">
        <v>183</v>
      </c>
      <c r="I184" t="s">
        <v>14</v>
      </c>
      <c r="J184" s="3" t="str">
        <f>IF(ISNUMBER(SEARCH(",Action,",","&amp;SUBSTITUTE(TableMain[[#This Row],[Tags]],", ",",")&amp;",")),"Y","N")</f>
        <v>N</v>
      </c>
      <c r="K184" s="3" t="str">
        <f>IF(ISNUMBER(SEARCH(",Indie,",","&amp;SUBSTITUTE(TableMain[[#This Row],[Tags]],", ",",")&amp;",")),"Y","N")</f>
        <v>N</v>
      </c>
      <c r="L184" s="3" t="str">
        <f>IF(ISNUMBER(SEARCH(",Adventure,",","&amp;SUBSTITUTE(TableMain[[#This Row],[Tags]],", ",",")&amp;",")),"Y","N")</f>
        <v>N</v>
      </c>
      <c r="M184" s="3" t="str">
        <f>IF(ISNUMBER(SEARCH(",Simulation,",","&amp;SUBSTITUTE(TableMain[[#This Row],[Tags]],", ",",")&amp;",")),"Y","N")</f>
        <v>Y</v>
      </c>
      <c r="N184" s="3" t="str">
        <f>IF(ISNUMBER(SEARCH(",RPG,",","&amp;SUBSTITUTE(TableMain[[#This Row],[Tags]],", ",",")&amp;",")),"Y","N")</f>
        <v>N</v>
      </c>
      <c r="O184" s="3" t="str">
        <f>IF(ISNUMBER(SEARCH(",Strategy,",","&amp;SUBSTITUTE(TableMain[[#This Row],[Tags]],", ",",")&amp;",")),"Y","N")</f>
        <v>N</v>
      </c>
      <c r="P184" s="3" t="str">
        <f>IF(ISNUMBER(SEARCH(",Free To Play,",","&amp;SUBSTITUTE(TableMain[[#This Row],[Tags]],", ",",")&amp;",")),"Y","N")</f>
        <v>N</v>
      </c>
    </row>
    <row r="185" spans="1:16" x14ac:dyDescent="0.35">
      <c r="A185">
        <v>1888930</v>
      </c>
      <c r="B185" t="s">
        <v>500</v>
      </c>
      <c r="C185" s="1">
        <v>45013</v>
      </c>
      <c r="D185">
        <v>4144</v>
      </c>
      <c r="E185" t="b">
        <v>0</v>
      </c>
      <c r="F185" t="s">
        <v>501</v>
      </c>
      <c r="G185" t="s">
        <v>46</v>
      </c>
      <c r="H185">
        <v>184</v>
      </c>
      <c r="I185" t="s">
        <v>57</v>
      </c>
      <c r="J185" s="3" t="str">
        <f>IF(ISNUMBER(SEARCH(",Action,",","&amp;SUBSTITUTE(TableMain[[#This Row],[Tags]],", ",",")&amp;",")),"Y","N")</f>
        <v>Y</v>
      </c>
      <c r="K185" s="3" t="str">
        <f>IF(ISNUMBER(SEARCH(",Indie,",","&amp;SUBSTITUTE(TableMain[[#This Row],[Tags]],", ",",")&amp;",")),"Y","N")</f>
        <v>N</v>
      </c>
      <c r="L185" s="3" t="str">
        <f>IF(ISNUMBER(SEARCH(",Adventure,",","&amp;SUBSTITUTE(TableMain[[#This Row],[Tags]],", ",",")&amp;",")),"Y","N")</f>
        <v>Y</v>
      </c>
      <c r="M185" s="3" t="str">
        <f>IF(ISNUMBER(SEARCH(",Simulation,",","&amp;SUBSTITUTE(TableMain[[#This Row],[Tags]],", ",",")&amp;",")),"Y","N")</f>
        <v>N</v>
      </c>
      <c r="N185" s="3" t="str">
        <f>IF(ISNUMBER(SEARCH(",RPG,",","&amp;SUBSTITUTE(TableMain[[#This Row],[Tags]],", ",",")&amp;",")),"Y","N")</f>
        <v>N</v>
      </c>
      <c r="O185" s="3" t="str">
        <f>IF(ISNUMBER(SEARCH(",Strategy,",","&amp;SUBSTITUTE(TableMain[[#This Row],[Tags]],", ",",")&amp;",")),"Y","N")</f>
        <v>N</v>
      </c>
      <c r="P185" s="3" t="str">
        <f>IF(ISNUMBER(SEARCH(",Free To Play,",","&amp;SUBSTITUTE(TableMain[[#This Row],[Tags]],", ",",")&amp;",")),"Y","N")</f>
        <v>N</v>
      </c>
    </row>
    <row r="186" spans="1:16" x14ac:dyDescent="0.35">
      <c r="A186">
        <v>1468810</v>
      </c>
      <c r="B186" t="s">
        <v>502</v>
      </c>
      <c r="C186" s="1">
        <v>45072</v>
      </c>
      <c r="D186">
        <v>4116</v>
      </c>
      <c r="E186" t="b">
        <v>0</v>
      </c>
      <c r="F186" t="s">
        <v>503</v>
      </c>
      <c r="G186" t="s">
        <v>504</v>
      </c>
      <c r="H186">
        <v>185</v>
      </c>
      <c r="I186" t="s">
        <v>161</v>
      </c>
      <c r="J186" s="3" t="str">
        <f>IF(ISNUMBER(SEARCH(",Action,",","&amp;SUBSTITUTE(TableMain[[#This Row],[Tags]],", ",",")&amp;",")),"Y","N")</f>
        <v>Y</v>
      </c>
      <c r="K186" s="3" t="str">
        <f>IF(ISNUMBER(SEARCH(",Indie,",","&amp;SUBSTITUTE(TableMain[[#This Row],[Tags]],", ",",")&amp;",")),"Y","N")</f>
        <v>Y</v>
      </c>
      <c r="L186" s="3" t="str">
        <f>IF(ISNUMBER(SEARCH(",Adventure,",","&amp;SUBSTITUTE(TableMain[[#This Row],[Tags]],", ",",")&amp;",")),"Y","N")</f>
        <v>Y</v>
      </c>
      <c r="M186" s="3" t="str">
        <f>IF(ISNUMBER(SEARCH(",Simulation,",","&amp;SUBSTITUTE(TableMain[[#This Row],[Tags]],", ",",")&amp;",")),"Y","N")</f>
        <v>Y</v>
      </c>
      <c r="N186" s="3" t="str">
        <f>IF(ISNUMBER(SEARCH(",RPG,",","&amp;SUBSTITUTE(TableMain[[#This Row],[Tags]],", ",",")&amp;",")),"Y","N")</f>
        <v>Y</v>
      </c>
      <c r="O186" s="3" t="str">
        <f>IF(ISNUMBER(SEARCH(",Strategy,",","&amp;SUBSTITUTE(TableMain[[#This Row],[Tags]],", ",",")&amp;",")),"Y","N")</f>
        <v>N</v>
      </c>
      <c r="P186" s="3" t="str">
        <f>IF(ISNUMBER(SEARCH(",Free To Play,",","&amp;SUBSTITUTE(TableMain[[#This Row],[Tags]],", ",",")&amp;",")),"Y","N")</f>
        <v>N</v>
      </c>
    </row>
    <row r="187" spans="1:16" x14ac:dyDescent="0.35">
      <c r="A187">
        <v>214950</v>
      </c>
      <c r="B187" t="s">
        <v>505</v>
      </c>
      <c r="C187" s="1">
        <v>41519</v>
      </c>
      <c r="D187">
        <v>3901</v>
      </c>
      <c r="E187" t="b">
        <v>1</v>
      </c>
      <c r="F187" t="s">
        <v>506</v>
      </c>
      <c r="G187" t="s">
        <v>124</v>
      </c>
      <c r="H187">
        <v>186</v>
      </c>
      <c r="I187" t="s">
        <v>2084</v>
      </c>
      <c r="J187" s="3" t="str">
        <f>IF(ISNUMBER(SEARCH(",Action,",","&amp;SUBSTITUTE(TableMain[[#This Row],[Tags]],", ",",")&amp;",")),"Y","N")</f>
        <v>N</v>
      </c>
      <c r="K187" s="3" t="str">
        <f>IF(ISNUMBER(SEARCH(",Indie,",","&amp;SUBSTITUTE(TableMain[[#This Row],[Tags]],", ",",")&amp;",")),"Y","N")</f>
        <v>N</v>
      </c>
      <c r="L187" s="3" t="str">
        <f>IF(ISNUMBER(SEARCH(",Adventure,",","&amp;SUBSTITUTE(TableMain[[#This Row],[Tags]],", ",",")&amp;",")),"Y","N")</f>
        <v>N</v>
      </c>
      <c r="M187" s="3" t="str">
        <f>IF(ISNUMBER(SEARCH(",Simulation,",","&amp;SUBSTITUTE(TableMain[[#This Row],[Tags]],", ",",")&amp;",")),"Y","N")</f>
        <v>N</v>
      </c>
      <c r="N187" s="3" t="str">
        <f>IF(ISNUMBER(SEARCH(",RPG,",","&amp;SUBSTITUTE(TableMain[[#This Row],[Tags]],", ",",")&amp;",")),"Y","N")</f>
        <v>N</v>
      </c>
      <c r="O187" s="3" t="str">
        <f>IF(ISNUMBER(SEARCH(",Strategy,",","&amp;SUBSTITUTE(TableMain[[#This Row],[Tags]],", ",",")&amp;",")),"Y","N")</f>
        <v>Y</v>
      </c>
      <c r="P187" s="3" t="str">
        <f>IF(ISNUMBER(SEARCH(",Free To Play,",","&amp;SUBSTITUTE(TableMain[[#This Row],[Tags]],", ",",")&amp;",")),"Y","N")</f>
        <v>N</v>
      </c>
    </row>
    <row r="188" spans="1:16" x14ac:dyDescent="0.35">
      <c r="A188">
        <v>22380</v>
      </c>
      <c r="B188" t="s">
        <v>507</v>
      </c>
      <c r="C188" s="1">
        <v>40470</v>
      </c>
      <c r="D188">
        <v>3892</v>
      </c>
      <c r="E188" t="b">
        <v>0</v>
      </c>
      <c r="F188" t="s">
        <v>508</v>
      </c>
      <c r="G188" t="s">
        <v>24</v>
      </c>
      <c r="H188">
        <v>187</v>
      </c>
      <c r="I188" t="s">
        <v>2082</v>
      </c>
      <c r="J188" s="3" t="str">
        <f>IF(ISNUMBER(SEARCH(",Action,",","&amp;SUBSTITUTE(TableMain[[#This Row],[Tags]],", ",",")&amp;",")),"Y","N")</f>
        <v>Y</v>
      </c>
      <c r="K188" s="3" t="str">
        <f>IF(ISNUMBER(SEARCH(",Indie,",","&amp;SUBSTITUTE(TableMain[[#This Row],[Tags]],", ",",")&amp;",")),"Y","N")</f>
        <v>N</v>
      </c>
      <c r="L188" s="3" t="str">
        <f>IF(ISNUMBER(SEARCH(",Adventure,",","&amp;SUBSTITUTE(TableMain[[#This Row],[Tags]],", ",",")&amp;",")),"Y","N")</f>
        <v>N</v>
      </c>
      <c r="M188" s="3" t="str">
        <f>IF(ISNUMBER(SEARCH(",Simulation,",","&amp;SUBSTITUTE(TableMain[[#This Row],[Tags]],", ",",")&amp;",")),"Y","N")</f>
        <v>N</v>
      </c>
      <c r="N188" s="3" t="str">
        <f>IF(ISNUMBER(SEARCH(",RPG,",","&amp;SUBSTITUTE(TableMain[[#This Row],[Tags]],", ",",")&amp;",")),"Y","N")</f>
        <v>Y</v>
      </c>
      <c r="O188" s="3" t="str">
        <f>IF(ISNUMBER(SEARCH(",Strategy,",","&amp;SUBSTITUTE(TableMain[[#This Row],[Tags]],", ",",")&amp;",")),"Y","N")</f>
        <v>N</v>
      </c>
      <c r="P188" s="3" t="str">
        <f>IF(ISNUMBER(SEARCH(",Free To Play,",","&amp;SUBSTITUTE(TableMain[[#This Row],[Tags]],", ",",")&amp;",")),"Y","N")</f>
        <v>N</v>
      </c>
    </row>
    <row r="189" spans="1:16" x14ac:dyDescent="0.35">
      <c r="A189">
        <v>1062090</v>
      </c>
      <c r="B189" t="s">
        <v>509</v>
      </c>
      <c r="C189" s="1">
        <v>44454</v>
      </c>
      <c r="D189">
        <v>3884</v>
      </c>
      <c r="E189" t="b">
        <v>1</v>
      </c>
      <c r="F189" t="s">
        <v>510</v>
      </c>
      <c r="G189" t="s">
        <v>483</v>
      </c>
      <c r="H189">
        <v>188</v>
      </c>
      <c r="I189" t="s">
        <v>119</v>
      </c>
      <c r="J189" s="3" t="str">
        <f>IF(ISNUMBER(SEARCH(",Action,",","&amp;SUBSTITUTE(TableMain[[#This Row],[Tags]],", ",",")&amp;",")),"Y","N")</f>
        <v>N</v>
      </c>
      <c r="K189" s="3" t="str">
        <f>IF(ISNUMBER(SEARCH(",Indie,",","&amp;SUBSTITUTE(TableMain[[#This Row],[Tags]],", ",",")&amp;",")),"Y","N")</f>
        <v>Y</v>
      </c>
      <c r="L189" s="3" t="str">
        <f>IF(ISNUMBER(SEARCH(",Adventure,",","&amp;SUBSTITUTE(TableMain[[#This Row],[Tags]],", ",",")&amp;",")),"Y","N")</f>
        <v>N</v>
      </c>
      <c r="M189" s="3" t="str">
        <f>IF(ISNUMBER(SEARCH(",Simulation,",","&amp;SUBSTITUTE(TableMain[[#This Row],[Tags]],", ",",")&amp;",")),"Y","N")</f>
        <v>Y</v>
      </c>
      <c r="N189" s="3" t="str">
        <f>IF(ISNUMBER(SEARCH(",RPG,",","&amp;SUBSTITUTE(TableMain[[#This Row],[Tags]],", ",",")&amp;",")),"Y","N")</f>
        <v>N</v>
      </c>
      <c r="O189" s="3" t="str">
        <f>IF(ISNUMBER(SEARCH(",Strategy,",","&amp;SUBSTITUTE(TableMain[[#This Row],[Tags]],", ",",")&amp;",")),"Y","N")</f>
        <v>Y</v>
      </c>
      <c r="P189" s="3" t="str">
        <f>IF(ISNUMBER(SEARCH(",Free To Play,",","&amp;SUBSTITUTE(TableMain[[#This Row],[Tags]],", ",",")&amp;",")),"Y","N")</f>
        <v>N</v>
      </c>
    </row>
    <row r="190" spans="1:16" x14ac:dyDescent="0.35">
      <c r="A190">
        <v>1407200</v>
      </c>
      <c r="B190" t="s">
        <v>511</v>
      </c>
      <c r="C190" s="1">
        <v>44314</v>
      </c>
      <c r="D190">
        <v>3869</v>
      </c>
      <c r="E190" t="b">
        <v>0</v>
      </c>
      <c r="F190" t="s">
        <v>512</v>
      </c>
      <c r="G190" t="s">
        <v>67</v>
      </c>
      <c r="H190">
        <v>189</v>
      </c>
      <c r="I190" t="s">
        <v>513</v>
      </c>
      <c r="J190" s="3" t="str">
        <f>IF(ISNUMBER(SEARCH(",Action,",","&amp;SUBSTITUTE(TableMain[[#This Row],[Tags]],", ",",")&amp;",")),"Y","N")</f>
        <v>Y</v>
      </c>
      <c r="K190" s="3" t="str">
        <f>IF(ISNUMBER(SEARCH(",Indie,",","&amp;SUBSTITUTE(TableMain[[#This Row],[Tags]],", ",",")&amp;",")),"Y","N")</f>
        <v>N</v>
      </c>
      <c r="L190" s="3" t="str">
        <f>IF(ISNUMBER(SEARCH(",Adventure,",","&amp;SUBSTITUTE(TableMain[[#This Row],[Tags]],", ",",")&amp;",")),"Y","N")</f>
        <v>N</v>
      </c>
      <c r="M190" s="3" t="str">
        <f>IF(ISNUMBER(SEARCH(",Simulation,",","&amp;SUBSTITUTE(TableMain[[#This Row],[Tags]],", ",",")&amp;",")),"Y","N")</f>
        <v>Y</v>
      </c>
      <c r="N190" s="3" t="str">
        <f>IF(ISNUMBER(SEARCH(",RPG,",","&amp;SUBSTITUTE(TableMain[[#This Row],[Tags]],", ",",")&amp;",")),"Y","N")</f>
        <v>N</v>
      </c>
      <c r="O190" s="3" t="str">
        <f>IF(ISNUMBER(SEARCH(",Strategy,",","&amp;SUBSTITUTE(TableMain[[#This Row],[Tags]],", ",",")&amp;",")),"Y","N")</f>
        <v>N</v>
      </c>
      <c r="P190" s="3" t="str">
        <f>IF(ISNUMBER(SEARCH(",Free To Play,",","&amp;SUBSTITUTE(TableMain[[#This Row],[Tags]],", ",",")&amp;",")),"Y","N")</f>
        <v>Y</v>
      </c>
    </row>
    <row r="191" spans="1:16" x14ac:dyDescent="0.35">
      <c r="A191">
        <v>262060</v>
      </c>
      <c r="B191" t="s">
        <v>514</v>
      </c>
      <c r="C191" s="1">
        <v>42388</v>
      </c>
      <c r="D191">
        <v>3848</v>
      </c>
      <c r="E191" t="b">
        <v>1</v>
      </c>
      <c r="F191" t="s">
        <v>515</v>
      </c>
      <c r="G191" t="s">
        <v>516</v>
      </c>
      <c r="H191">
        <v>190</v>
      </c>
      <c r="I191" t="s">
        <v>33</v>
      </c>
      <c r="J191" s="3" t="str">
        <f>IF(ISNUMBER(SEARCH(",Action,",","&amp;SUBSTITUTE(TableMain[[#This Row],[Tags]],", ",",")&amp;",")),"Y","N")</f>
        <v>N</v>
      </c>
      <c r="K191" s="3" t="str">
        <f>IF(ISNUMBER(SEARCH(",Indie,",","&amp;SUBSTITUTE(TableMain[[#This Row],[Tags]],", ",",")&amp;",")),"Y","N")</f>
        <v>Y</v>
      </c>
      <c r="L191" s="3" t="str">
        <f>IF(ISNUMBER(SEARCH(",Adventure,",","&amp;SUBSTITUTE(TableMain[[#This Row],[Tags]],", ",",")&amp;",")),"Y","N")</f>
        <v>N</v>
      </c>
      <c r="M191" s="3" t="str">
        <f>IF(ISNUMBER(SEARCH(",Simulation,",","&amp;SUBSTITUTE(TableMain[[#This Row],[Tags]],", ",",")&amp;",")),"Y","N")</f>
        <v>N</v>
      </c>
      <c r="N191" s="3" t="str">
        <f>IF(ISNUMBER(SEARCH(",RPG,",","&amp;SUBSTITUTE(TableMain[[#This Row],[Tags]],", ",",")&amp;",")),"Y","N")</f>
        <v>Y</v>
      </c>
      <c r="O191" s="3" t="str">
        <f>IF(ISNUMBER(SEARCH(",Strategy,",","&amp;SUBSTITUTE(TableMain[[#This Row],[Tags]],", ",",")&amp;",")),"Y","N")</f>
        <v>Y</v>
      </c>
      <c r="P191" s="3" t="str">
        <f>IF(ISNUMBER(SEARCH(",Free To Play,",","&amp;SUBSTITUTE(TableMain[[#This Row],[Tags]],", ",",")&amp;",")),"Y","N")</f>
        <v>N</v>
      </c>
    </row>
    <row r="192" spans="1:16" x14ac:dyDescent="0.35">
      <c r="A192">
        <v>945360</v>
      </c>
      <c r="B192" t="s">
        <v>517</v>
      </c>
      <c r="C192" s="1">
        <v>43420</v>
      </c>
      <c r="D192">
        <v>3832</v>
      </c>
      <c r="E192" t="b">
        <v>0</v>
      </c>
      <c r="F192" t="s">
        <v>518</v>
      </c>
      <c r="G192" t="s">
        <v>519</v>
      </c>
      <c r="H192">
        <v>191</v>
      </c>
      <c r="I192" t="s">
        <v>110</v>
      </c>
      <c r="J192" s="3" t="str">
        <f>IF(ISNUMBER(SEARCH(",Action,",","&amp;SUBSTITUTE(TableMain[[#This Row],[Tags]],", ",",")&amp;",")),"Y","N")</f>
        <v>N</v>
      </c>
      <c r="K192" s="3" t="str">
        <f>IF(ISNUMBER(SEARCH(",Indie,",","&amp;SUBSTITUTE(TableMain[[#This Row],[Tags]],", ",",")&amp;",")),"Y","N")</f>
        <v>N</v>
      </c>
      <c r="L192" s="3" t="str">
        <f>IF(ISNUMBER(SEARCH(",Adventure,",","&amp;SUBSTITUTE(TableMain[[#This Row],[Tags]],", ",",")&amp;",")),"Y","N")</f>
        <v>N</v>
      </c>
      <c r="M192" s="3" t="str">
        <f>IF(ISNUMBER(SEARCH(",Simulation,",","&amp;SUBSTITUTE(TableMain[[#This Row],[Tags]],", ",",")&amp;",")),"Y","N")</f>
        <v>N</v>
      </c>
      <c r="N192" s="3" t="str">
        <f>IF(ISNUMBER(SEARCH(",RPG,",","&amp;SUBSTITUTE(TableMain[[#This Row],[Tags]],", ",",")&amp;",")),"Y","N")</f>
        <v>N</v>
      </c>
      <c r="O192" s="3" t="str">
        <f>IF(ISNUMBER(SEARCH(",Strategy,",","&amp;SUBSTITUTE(TableMain[[#This Row],[Tags]],", ",",")&amp;",")),"Y","N")</f>
        <v>N</v>
      </c>
      <c r="P192" s="3" t="str">
        <f>IF(ISNUMBER(SEARCH(",Free To Play,",","&amp;SUBSTITUTE(TableMain[[#This Row],[Tags]],", ",",")&amp;",")),"Y","N")</f>
        <v>N</v>
      </c>
    </row>
    <row r="193" spans="1:16" x14ac:dyDescent="0.35">
      <c r="A193">
        <v>2050650</v>
      </c>
      <c r="B193" t="s">
        <v>520</v>
      </c>
      <c r="C193" s="1">
        <v>45008</v>
      </c>
      <c r="D193">
        <v>3748</v>
      </c>
      <c r="E193" t="b">
        <v>0</v>
      </c>
      <c r="F193" t="s">
        <v>521</v>
      </c>
      <c r="G193" t="s">
        <v>46</v>
      </c>
      <c r="H193">
        <v>192</v>
      </c>
      <c r="I193" t="s">
        <v>486</v>
      </c>
      <c r="J193" s="3" t="str">
        <f>IF(ISNUMBER(SEARCH(",Action,",","&amp;SUBSTITUTE(TableMain[[#This Row],[Tags]],", ",",")&amp;",")),"Y","N")</f>
        <v>Y</v>
      </c>
      <c r="K193" s="3" t="str">
        <f>IF(ISNUMBER(SEARCH(",Indie,",","&amp;SUBSTITUTE(TableMain[[#This Row],[Tags]],", ",",")&amp;",")),"Y","N")</f>
        <v>N</v>
      </c>
      <c r="L193" s="3" t="str">
        <f>IF(ISNUMBER(SEARCH(",Adventure,",","&amp;SUBSTITUTE(TableMain[[#This Row],[Tags]],", ",",")&amp;",")),"Y","N")</f>
        <v>Y</v>
      </c>
      <c r="M193" s="3" t="str">
        <f>IF(ISNUMBER(SEARCH(",Simulation,",","&amp;SUBSTITUTE(TableMain[[#This Row],[Tags]],", ",",")&amp;",")),"Y","N")</f>
        <v>N</v>
      </c>
      <c r="N193" s="3" t="str">
        <f>IF(ISNUMBER(SEARCH(",RPG,",","&amp;SUBSTITUTE(TableMain[[#This Row],[Tags]],", ",",")&amp;",")),"Y","N")</f>
        <v>N</v>
      </c>
      <c r="O193" s="3" t="str">
        <f>IF(ISNUMBER(SEARCH(",Strategy,",","&amp;SUBSTITUTE(TableMain[[#This Row],[Tags]],", ",",")&amp;",")),"Y","N")</f>
        <v>N</v>
      </c>
      <c r="P193" s="3" t="str">
        <f>IF(ISNUMBER(SEARCH(",Free To Play,",","&amp;SUBSTITUTE(TableMain[[#This Row],[Tags]],", ",",")&amp;",")),"Y","N")</f>
        <v>N</v>
      </c>
    </row>
    <row r="194" spans="1:16" x14ac:dyDescent="0.35">
      <c r="A194">
        <v>1304930</v>
      </c>
      <c r="B194" t="s">
        <v>522</v>
      </c>
      <c r="C194" s="1">
        <v>45356</v>
      </c>
      <c r="D194">
        <v>3743</v>
      </c>
      <c r="E194" t="b">
        <v>0</v>
      </c>
      <c r="F194" t="s">
        <v>523</v>
      </c>
      <c r="G194" t="s">
        <v>446</v>
      </c>
      <c r="H194">
        <v>193</v>
      </c>
      <c r="I194" t="s">
        <v>175</v>
      </c>
      <c r="J194" s="3" t="str">
        <f>IF(ISNUMBER(SEARCH(",Action,",","&amp;SUBSTITUTE(TableMain[[#This Row],[Tags]],", ",",")&amp;",")),"Y","N")</f>
        <v>Y</v>
      </c>
      <c r="K194" s="3" t="str">
        <f>IF(ISNUMBER(SEARCH(",Indie,",","&amp;SUBSTITUTE(TableMain[[#This Row],[Tags]],", ",",")&amp;",")),"Y","N")</f>
        <v>Y</v>
      </c>
      <c r="L194" s="3" t="str">
        <f>IF(ISNUMBER(SEARCH(",Adventure,",","&amp;SUBSTITUTE(TableMain[[#This Row],[Tags]],", ",",")&amp;",")),"Y","N")</f>
        <v>Y</v>
      </c>
      <c r="M194" s="3" t="str">
        <f>IF(ISNUMBER(SEARCH(",Simulation,",","&amp;SUBSTITUTE(TableMain[[#This Row],[Tags]],", ",",")&amp;",")),"Y","N")</f>
        <v>N</v>
      </c>
      <c r="N194" s="3" t="str">
        <f>IF(ISNUMBER(SEARCH(",RPG,",","&amp;SUBSTITUTE(TableMain[[#This Row],[Tags]],", ",",")&amp;",")),"Y","N")</f>
        <v>N</v>
      </c>
      <c r="O194" s="3" t="str">
        <f>IF(ISNUMBER(SEARCH(",Strategy,",","&amp;SUBSTITUTE(TableMain[[#This Row],[Tags]],", ",",")&amp;",")),"Y","N")</f>
        <v>N</v>
      </c>
      <c r="P194" s="3" t="str">
        <f>IF(ISNUMBER(SEARCH(",Free To Play,",","&amp;SUBSTITUTE(TableMain[[#This Row],[Tags]],", ",",")&amp;",")),"Y","N")</f>
        <v>N</v>
      </c>
    </row>
    <row r="195" spans="1:16" x14ac:dyDescent="0.35">
      <c r="A195">
        <v>1716740</v>
      </c>
      <c r="B195" t="s">
        <v>524</v>
      </c>
      <c r="C195" s="1">
        <v>45174</v>
      </c>
      <c r="D195">
        <v>3725</v>
      </c>
      <c r="E195" t="b">
        <v>0</v>
      </c>
      <c r="F195" t="s">
        <v>525</v>
      </c>
      <c r="G195" t="s">
        <v>132</v>
      </c>
      <c r="H195">
        <v>194</v>
      </c>
      <c r="I195" t="s">
        <v>223</v>
      </c>
      <c r="J195" s="3" t="str">
        <f>IF(ISNUMBER(SEARCH(",Action,",","&amp;SUBSTITUTE(TableMain[[#This Row],[Tags]],", ",",")&amp;",")),"Y","N")</f>
        <v>N</v>
      </c>
      <c r="K195" s="3" t="str">
        <f>IF(ISNUMBER(SEARCH(",Indie,",","&amp;SUBSTITUTE(TableMain[[#This Row],[Tags]],", ",",")&amp;",")),"Y","N")</f>
        <v>N</v>
      </c>
      <c r="L195" s="3" t="str">
        <f>IF(ISNUMBER(SEARCH(",Adventure,",","&amp;SUBSTITUTE(TableMain[[#This Row],[Tags]],", ",",")&amp;",")),"Y","N")</f>
        <v>N</v>
      </c>
      <c r="M195" s="3" t="str">
        <f>IF(ISNUMBER(SEARCH(",Simulation,",","&amp;SUBSTITUTE(TableMain[[#This Row],[Tags]],", ",",")&amp;",")),"Y","N")</f>
        <v>N</v>
      </c>
      <c r="N195" s="3" t="str">
        <f>IF(ISNUMBER(SEARCH(",RPG,",","&amp;SUBSTITUTE(TableMain[[#This Row],[Tags]],", ",",")&amp;",")),"Y","N")</f>
        <v>Y</v>
      </c>
      <c r="O195" s="3" t="str">
        <f>IF(ISNUMBER(SEARCH(",Strategy,",","&amp;SUBSTITUTE(TableMain[[#This Row],[Tags]],", ",",")&amp;",")),"Y","N")</f>
        <v>N</v>
      </c>
      <c r="P195" s="3" t="str">
        <f>IF(ISNUMBER(SEARCH(",Free To Play,",","&amp;SUBSTITUTE(TableMain[[#This Row],[Tags]],", ",",")&amp;",")),"Y","N")</f>
        <v>N</v>
      </c>
    </row>
    <row r="196" spans="1:16" x14ac:dyDescent="0.35">
      <c r="A196">
        <v>8500</v>
      </c>
      <c r="B196" t="s">
        <v>526</v>
      </c>
      <c r="C196" s="1">
        <v>40527</v>
      </c>
      <c r="D196">
        <v>3705</v>
      </c>
      <c r="E196" t="b">
        <v>1</v>
      </c>
      <c r="F196" t="s">
        <v>527</v>
      </c>
      <c r="G196" t="s">
        <v>528</v>
      </c>
      <c r="H196">
        <v>195</v>
      </c>
      <c r="I196" t="s">
        <v>2084</v>
      </c>
      <c r="J196" s="3" t="str">
        <f>IF(ISNUMBER(SEARCH(",Action,",","&amp;SUBSTITUTE(TableMain[[#This Row],[Tags]],", ",",")&amp;",")),"Y","N")</f>
        <v>Y</v>
      </c>
      <c r="K196" s="3" t="str">
        <f>IF(ISNUMBER(SEARCH(",Indie,",","&amp;SUBSTITUTE(TableMain[[#This Row],[Tags]],", ",",")&amp;",")),"Y","N")</f>
        <v>N</v>
      </c>
      <c r="L196" s="3" t="str">
        <f>IF(ISNUMBER(SEARCH(",Adventure,",","&amp;SUBSTITUTE(TableMain[[#This Row],[Tags]],", ",",")&amp;",")),"Y","N")</f>
        <v>N</v>
      </c>
      <c r="M196" s="3" t="str">
        <f>IF(ISNUMBER(SEARCH(",Simulation,",","&amp;SUBSTITUTE(TableMain[[#This Row],[Tags]],", ",",")&amp;",")),"Y","N")</f>
        <v>N</v>
      </c>
      <c r="N196" s="3" t="str">
        <f>IF(ISNUMBER(SEARCH(",RPG,",","&amp;SUBSTITUTE(TableMain[[#This Row],[Tags]],", ",",")&amp;",")),"Y","N")</f>
        <v>Y</v>
      </c>
      <c r="O196" s="3" t="str">
        <f>IF(ISNUMBER(SEARCH(",Strategy,",","&amp;SUBSTITUTE(TableMain[[#This Row],[Tags]],", ",",")&amp;",")),"Y","N")</f>
        <v>Y</v>
      </c>
      <c r="P196" s="3" t="str">
        <f>IF(ISNUMBER(SEARCH(",Free To Play,",","&amp;SUBSTITUTE(TableMain[[#This Row],[Tags]],", ",",")&amp;",")),"Y","N")</f>
        <v>Y</v>
      </c>
    </row>
    <row r="197" spans="1:16" x14ac:dyDescent="0.35">
      <c r="A197">
        <v>1621690</v>
      </c>
      <c r="B197" t="s">
        <v>529</v>
      </c>
      <c r="C197" s="1">
        <v>45531</v>
      </c>
      <c r="D197">
        <v>3688</v>
      </c>
      <c r="E197" t="b">
        <v>0</v>
      </c>
      <c r="F197" t="s">
        <v>530</v>
      </c>
      <c r="G197" t="s">
        <v>504</v>
      </c>
      <c r="H197">
        <v>196</v>
      </c>
      <c r="I197" t="s">
        <v>133</v>
      </c>
      <c r="J197" s="3" t="str">
        <f>IF(ISNUMBER(SEARCH(",Action,",","&amp;SUBSTITUTE(TableMain[[#This Row],[Tags]],", ",",")&amp;",")),"Y","N")</f>
        <v>Y</v>
      </c>
      <c r="K197" s="3" t="str">
        <f>IF(ISNUMBER(SEARCH(",Indie,",","&amp;SUBSTITUTE(TableMain[[#This Row],[Tags]],", ",",")&amp;",")),"Y","N")</f>
        <v>Y</v>
      </c>
      <c r="L197" s="3" t="str">
        <f>IF(ISNUMBER(SEARCH(",Adventure,",","&amp;SUBSTITUTE(TableMain[[#This Row],[Tags]],", ",",")&amp;",")),"Y","N")</f>
        <v>Y</v>
      </c>
      <c r="M197" s="3" t="str">
        <f>IF(ISNUMBER(SEARCH(",Simulation,",","&amp;SUBSTITUTE(TableMain[[#This Row],[Tags]],", ",",")&amp;",")),"Y","N")</f>
        <v>Y</v>
      </c>
      <c r="N197" s="3" t="str">
        <f>IF(ISNUMBER(SEARCH(",RPG,",","&amp;SUBSTITUTE(TableMain[[#This Row],[Tags]],", ",",")&amp;",")),"Y","N")</f>
        <v>Y</v>
      </c>
      <c r="O197" s="3" t="str">
        <f>IF(ISNUMBER(SEARCH(",Strategy,",","&amp;SUBSTITUTE(TableMain[[#This Row],[Tags]],", ",",")&amp;",")),"Y","N")</f>
        <v>N</v>
      </c>
      <c r="P197" s="3" t="str">
        <f>IF(ISNUMBER(SEARCH(",Free To Play,",","&amp;SUBSTITUTE(TableMain[[#This Row],[Tags]],", ",",")&amp;",")),"Y","N")</f>
        <v>N</v>
      </c>
    </row>
    <row r="198" spans="1:16" x14ac:dyDescent="0.35">
      <c r="A198">
        <v>1446780</v>
      </c>
      <c r="B198" t="s">
        <v>531</v>
      </c>
      <c r="C198" s="1">
        <v>44573</v>
      </c>
      <c r="D198">
        <v>3658</v>
      </c>
      <c r="E198" t="b">
        <v>0</v>
      </c>
      <c r="F198" t="s">
        <v>532</v>
      </c>
      <c r="G198" t="s">
        <v>49</v>
      </c>
      <c r="H198">
        <v>197</v>
      </c>
      <c r="I198" t="s">
        <v>53</v>
      </c>
      <c r="J198" s="3" t="str">
        <f>IF(ISNUMBER(SEARCH(",Action,",","&amp;SUBSTITUTE(TableMain[[#This Row],[Tags]],", ",",")&amp;",")),"Y","N")</f>
        <v>Y</v>
      </c>
      <c r="K198" s="3" t="str">
        <f>IF(ISNUMBER(SEARCH(",Indie,",","&amp;SUBSTITUTE(TableMain[[#This Row],[Tags]],", ",",")&amp;",")),"Y","N")</f>
        <v>N</v>
      </c>
      <c r="L198" s="3" t="str">
        <f>IF(ISNUMBER(SEARCH(",Adventure,",","&amp;SUBSTITUTE(TableMain[[#This Row],[Tags]],", ",",")&amp;",")),"Y","N")</f>
        <v>N</v>
      </c>
      <c r="M198" s="3" t="str">
        <f>IF(ISNUMBER(SEARCH(",Simulation,",","&amp;SUBSTITUTE(TableMain[[#This Row],[Tags]],", ",",")&amp;",")),"Y","N")</f>
        <v>N</v>
      </c>
      <c r="N198" s="3" t="str">
        <f>IF(ISNUMBER(SEARCH(",RPG,",","&amp;SUBSTITUTE(TableMain[[#This Row],[Tags]],", ",",")&amp;",")),"Y","N")</f>
        <v>N</v>
      </c>
      <c r="O198" s="3" t="str">
        <f>IF(ISNUMBER(SEARCH(",Strategy,",","&amp;SUBSTITUTE(TableMain[[#This Row],[Tags]],", ",",")&amp;",")),"Y","N")</f>
        <v>N</v>
      </c>
      <c r="P198" s="3" t="str">
        <f>IF(ISNUMBER(SEARCH(",Free To Play,",","&amp;SUBSTITUTE(TableMain[[#This Row],[Tags]],", ",",")&amp;",")),"Y","N")</f>
        <v>N</v>
      </c>
    </row>
    <row r="199" spans="1:16" x14ac:dyDescent="0.35">
      <c r="A199">
        <v>655500</v>
      </c>
      <c r="B199" t="s">
        <v>533</v>
      </c>
      <c r="C199" s="1">
        <v>43745</v>
      </c>
      <c r="D199">
        <v>3605</v>
      </c>
      <c r="E199" t="b">
        <v>0</v>
      </c>
      <c r="F199" t="s">
        <v>534</v>
      </c>
      <c r="G199" t="s">
        <v>535</v>
      </c>
      <c r="H199">
        <v>198</v>
      </c>
      <c r="I199" t="s">
        <v>33</v>
      </c>
      <c r="J199" s="3" t="str">
        <f>IF(ISNUMBER(SEARCH(",Action,",","&amp;SUBSTITUTE(TableMain[[#This Row],[Tags]],", ",",")&amp;",")),"Y","N")</f>
        <v>N</v>
      </c>
      <c r="K199" s="3" t="str">
        <f>IF(ISNUMBER(SEARCH(",Indie,",","&amp;SUBSTITUTE(TableMain[[#This Row],[Tags]],", ",",")&amp;",")),"Y","N")</f>
        <v>N</v>
      </c>
      <c r="L199" s="3" t="str">
        <f>IF(ISNUMBER(SEARCH(",Adventure,",","&amp;SUBSTITUTE(TableMain[[#This Row],[Tags]],", ",",")&amp;",")),"Y","N")</f>
        <v>N</v>
      </c>
      <c r="M199" s="3" t="str">
        <f>IF(ISNUMBER(SEARCH(",Simulation,",","&amp;SUBSTITUTE(TableMain[[#This Row],[Tags]],", ",",")&amp;",")),"Y","N")</f>
        <v>Y</v>
      </c>
      <c r="N199" s="3" t="str">
        <f>IF(ISNUMBER(SEARCH(",RPG,",","&amp;SUBSTITUTE(TableMain[[#This Row],[Tags]],", ",",")&amp;",")),"Y","N")</f>
        <v>N</v>
      </c>
      <c r="O199" s="3" t="str">
        <f>IF(ISNUMBER(SEARCH(",Strategy,",","&amp;SUBSTITUTE(TableMain[[#This Row],[Tags]],", ",",")&amp;",")),"Y","N")</f>
        <v>N</v>
      </c>
      <c r="P199" s="3" t="str">
        <f>IF(ISNUMBER(SEARCH(",Free To Play,",","&amp;SUBSTITUTE(TableMain[[#This Row],[Tags]],", ",",")&amp;",")),"Y","N")</f>
        <v>N</v>
      </c>
    </row>
    <row r="200" spans="1:16" x14ac:dyDescent="0.35">
      <c r="A200">
        <v>3037410</v>
      </c>
      <c r="B200" t="s">
        <v>536</v>
      </c>
      <c r="C200" s="1">
        <v>45611</v>
      </c>
      <c r="D200">
        <v>3589</v>
      </c>
      <c r="E200" t="b">
        <v>0</v>
      </c>
      <c r="F200" t="s">
        <v>537</v>
      </c>
      <c r="G200" t="s">
        <v>538</v>
      </c>
      <c r="H200">
        <v>199</v>
      </c>
      <c r="I200" t="s">
        <v>14</v>
      </c>
      <c r="J200" s="3" t="str">
        <f>IF(ISNUMBER(SEARCH(",Action,",","&amp;SUBSTITUTE(TableMain[[#This Row],[Tags]],", ",",")&amp;",")),"Y","N")</f>
        <v>N</v>
      </c>
      <c r="K200" s="3" t="str">
        <f>IF(ISNUMBER(SEARCH(",Indie,",","&amp;SUBSTITUTE(TableMain[[#This Row],[Tags]],", ",",")&amp;",")),"Y","N")</f>
        <v>Y</v>
      </c>
      <c r="L200" s="3" t="str">
        <f>IF(ISNUMBER(SEARCH(",Adventure,",","&amp;SUBSTITUTE(TableMain[[#This Row],[Tags]],", ",",")&amp;",")),"Y","N")</f>
        <v>Y</v>
      </c>
      <c r="M200" s="3" t="str">
        <f>IF(ISNUMBER(SEARCH(",Simulation,",","&amp;SUBSTITUTE(TableMain[[#This Row],[Tags]],", ",",")&amp;",")),"Y","N")</f>
        <v>N</v>
      </c>
      <c r="N200" s="3" t="str">
        <f>IF(ISNUMBER(SEARCH(",RPG,",","&amp;SUBSTITUTE(TableMain[[#This Row],[Tags]],", ",",")&amp;",")),"Y","N")</f>
        <v>N</v>
      </c>
      <c r="O200" s="3" t="str">
        <f>IF(ISNUMBER(SEARCH(",Strategy,",","&amp;SUBSTITUTE(TableMain[[#This Row],[Tags]],", ",",")&amp;",")),"Y","N")</f>
        <v>N</v>
      </c>
      <c r="P200" s="3" t="str">
        <f>IF(ISNUMBER(SEARCH(",Free To Play,",","&amp;SUBSTITUTE(TableMain[[#This Row],[Tags]],", ",",")&amp;",")),"Y","N")</f>
        <v>Y</v>
      </c>
    </row>
    <row r="201" spans="1:16" x14ac:dyDescent="0.35">
      <c r="A201">
        <v>1401590</v>
      </c>
      <c r="B201" t="s">
        <v>539</v>
      </c>
      <c r="C201" s="1">
        <v>45265</v>
      </c>
      <c r="D201">
        <v>3587</v>
      </c>
      <c r="E201" t="b">
        <v>0</v>
      </c>
      <c r="F201" t="s">
        <v>540</v>
      </c>
      <c r="G201" t="s">
        <v>541</v>
      </c>
      <c r="H201">
        <v>200</v>
      </c>
      <c r="I201" t="s">
        <v>133</v>
      </c>
      <c r="J201" s="3" t="str">
        <f>IF(ISNUMBER(SEARCH(",Action,",","&amp;SUBSTITUTE(TableMain[[#This Row],[Tags]],", ",",")&amp;",")),"Y","N")</f>
        <v>Y</v>
      </c>
      <c r="K201" s="3" t="str">
        <f>IF(ISNUMBER(SEARCH(",Indie,",","&amp;SUBSTITUTE(TableMain[[#This Row],[Tags]],", ",",")&amp;",")),"Y","N")</f>
        <v>N</v>
      </c>
      <c r="L201" s="3" t="str">
        <f>IF(ISNUMBER(SEARCH(",Adventure,",","&amp;SUBSTITUTE(TableMain[[#This Row],[Tags]],", ",",")&amp;",")),"Y","N")</f>
        <v>Y</v>
      </c>
      <c r="M201" s="3" t="str">
        <f>IF(ISNUMBER(SEARCH(",Simulation,",","&amp;SUBSTITUTE(TableMain[[#This Row],[Tags]],", ",",")&amp;",")),"Y","N")</f>
        <v>Y</v>
      </c>
      <c r="N201" s="3" t="str">
        <f>IF(ISNUMBER(SEARCH(",RPG,",","&amp;SUBSTITUTE(TableMain[[#This Row],[Tags]],", ",",")&amp;",")),"Y","N")</f>
        <v>Y</v>
      </c>
      <c r="O201" s="3" t="str">
        <f>IF(ISNUMBER(SEARCH(",Strategy,",","&amp;SUBSTITUTE(TableMain[[#This Row],[Tags]],", ",",")&amp;",")),"Y","N")</f>
        <v>N</v>
      </c>
      <c r="P201" s="3" t="str">
        <f>IF(ISNUMBER(SEARCH(",Free To Play,",","&amp;SUBSTITUTE(TableMain[[#This Row],[Tags]],", ",",")&amp;",")),"Y","N")</f>
        <v>N</v>
      </c>
    </row>
    <row r="202" spans="1:16" x14ac:dyDescent="0.35">
      <c r="A202">
        <v>2186680</v>
      </c>
      <c r="B202" t="s">
        <v>542</v>
      </c>
      <c r="C202" s="1">
        <v>45267</v>
      </c>
      <c r="D202">
        <v>3582</v>
      </c>
      <c r="E202" t="b">
        <v>1</v>
      </c>
      <c r="F202" t="s">
        <v>543</v>
      </c>
      <c r="G202" t="s">
        <v>544</v>
      </c>
      <c r="H202">
        <v>201</v>
      </c>
      <c r="I202" t="s">
        <v>68</v>
      </c>
      <c r="J202" s="3" t="str">
        <f>IF(ISNUMBER(SEARCH(",Action,",","&amp;SUBSTITUTE(TableMain[[#This Row],[Tags]],", ",",")&amp;",")),"Y","N")</f>
        <v>Y</v>
      </c>
      <c r="K202" s="3" t="str">
        <f>IF(ISNUMBER(SEARCH(",Indie,",","&amp;SUBSTITUTE(TableMain[[#This Row],[Tags]],", ",",")&amp;",")),"Y","N")</f>
        <v>Y</v>
      </c>
      <c r="L202" s="3" t="str">
        <f>IF(ISNUMBER(SEARCH(",Adventure,",","&amp;SUBSTITUTE(TableMain[[#This Row],[Tags]],", ",",")&amp;",")),"Y","N")</f>
        <v>Y</v>
      </c>
      <c r="M202" s="3" t="str">
        <f>IF(ISNUMBER(SEARCH(",Simulation,",","&amp;SUBSTITUTE(TableMain[[#This Row],[Tags]],", ",",")&amp;",")),"Y","N")</f>
        <v>N</v>
      </c>
      <c r="N202" s="3" t="str">
        <f>IF(ISNUMBER(SEARCH(",RPG,",","&amp;SUBSTITUTE(TableMain[[#This Row],[Tags]],", ",",")&amp;",")),"Y","N")</f>
        <v>Y</v>
      </c>
      <c r="O202" s="3" t="str">
        <f>IF(ISNUMBER(SEARCH(",Strategy,",","&amp;SUBSTITUTE(TableMain[[#This Row],[Tags]],", ",",")&amp;",")),"Y","N")</f>
        <v>Y</v>
      </c>
      <c r="P202" s="3" t="str">
        <f>IF(ISNUMBER(SEARCH(",Free To Play,",","&amp;SUBSTITUTE(TableMain[[#This Row],[Tags]],", ",",")&amp;",")),"Y","N")</f>
        <v>N</v>
      </c>
    </row>
    <row r="203" spans="1:16" x14ac:dyDescent="0.35">
      <c r="A203">
        <v>2904000</v>
      </c>
      <c r="B203" t="s">
        <v>545</v>
      </c>
      <c r="C203" s="1">
        <v>45551</v>
      </c>
      <c r="D203">
        <v>3580</v>
      </c>
      <c r="E203" t="b">
        <v>0</v>
      </c>
      <c r="F203" t="s">
        <v>546</v>
      </c>
      <c r="G203" t="s">
        <v>547</v>
      </c>
      <c r="H203">
        <v>202</v>
      </c>
      <c r="I203" t="s">
        <v>304</v>
      </c>
      <c r="J203" s="3" t="str">
        <f>IF(ISNUMBER(SEARCH(",Action,",","&amp;SUBSTITUTE(TableMain[[#This Row],[Tags]],", ",",")&amp;",")),"Y","N")</f>
        <v>Y</v>
      </c>
      <c r="K203" s="3" t="str">
        <f>IF(ISNUMBER(SEARCH(",Indie,",","&amp;SUBSTITUTE(TableMain[[#This Row],[Tags]],", ",",")&amp;",")),"Y","N")</f>
        <v>Y</v>
      </c>
      <c r="L203" s="3" t="str">
        <f>IF(ISNUMBER(SEARCH(",Adventure,",","&amp;SUBSTITUTE(TableMain[[#This Row],[Tags]],", ",",")&amp;",")),"Y","N")</f>
        <v>N</v>
      </c>
      <c r="M203" s="3" t="str">
        <f>IF(ISNUMBER(SEARCH(",Simulation,",","&amp;SUBSTITUTE(TableMain[[#This Row],[Tags]],", ",",")&amp;",")),"Y","N")</f>
        <v>N</v>
      </c>
      <c r="N203" s="3" t="str">
        <f>IF(ISNUMBER(SEARCH(",RPG,",","&amp;SUBSTITUTE(TableMain[[#This Row],[Tags]],", ",",")&amp;",")),"Y","N")</f>
        <v>N</v>
      </c>
      <c r="O203" s="3" t="str">
        <f>IF(ISNUMBER(SEARCH(",Strategy,",","&amp;SUBSTITUTE(TableMain[[#This Row],[Tags]],", ",",")&amp;",")),"Y","N")</f>
        <v>N</v>
      </c>
      <c r="P203" s="3" t="str">
        <f>IF(ISNUMBER(SEARCH(",Free To Play,",","&amp;SUBSTITUTE(TableMain[[#This Row],[Tags]],", ",",")&amp;",")),"Y","N")</f>
        <v>Y</v>
      </c>
    </row>
    <row r="204" spans="1:16" x14ac:dyDescent="0.35">
      <c r="A204">
        <v>3017860</v>
      </c>
      <c r="B204" t="s">
        <v>548</v>
      </c>
      <c r="C204" s="1">
        <v>45791</v>
      </c>
      <c r="D204">
        <v>3518</v>
      </c>
      <c r="E204" t="b">
        <v>0</v>
      </c>
      <c r="F204" t="s">
        <v>549</v>
      </c>
      <c r="G204" t="s">
        <v>49</v>
      </c>
      <c r="H204">
        <v>203</v>
      </c>
      <c r="I204" t="s">
        <v>417</v>
      </c>
      <c r="J204" s="3" t="str">
        <f>IF(ISNUMBER(SEARCH(",Action,",","&amp;SUBSTITUTE(TableMain[[#This Row],[Tags]],", ",",")&amp;",")),"Y","N")</f>
        <v>Y</v>
      </c>
      <c r="K204" s="3" t="str">
        <f>IF(ISNUMBER(SEARCH(",Indie,",","&amp;SUBSTITUTE(TableMain[[#This Row],[Tags]],", ",",")&amp;",")),"Y","N")</f>
        <v>N</v>
      </c>
      <c r="L204" s="3" t="str">
        <f>IF(ISNUMBER(SEARCH(",Adventure,",","&amp;SUBSTITUTE(TableMain[[#This Row],[Tags]],", ",",")&amp;",")),"Y","N")</f>
        <v>N</v>
      </c>
      <c r="M204" s="3" t="str">
        <f>IF(ISNUMBER(SEARCH(",Simulation,",","&amp;SUBSTITUTE(TableMain[[#This Row],[Tags]],", ",",")&amp;",")),"Y","N")</f>
        <v>N</v>
      </c>
      <c r="N204" s="3" t="str">
        <f>IF(ISNUMBER(SEARCH(",RPG,",","&amp;SUBSTITUTE(TableMain[[#This Row],[Tags]],", ",",")&amp;",")),"Y","N")</f>
        <v>N</v>
      </c>
      <c r="O204" s="3" t="str">
        <f>IF(ISNUMBER(SEARCH(",Strategy,",","&amp;SUBSTITUTE(TableMain[[#This Row],[Tags]],", ",",")&amp;",")),"Y","N")</f>
        <v>N</v>
      </c>
      <c r="P204" s="3" t="str">
        <f>IF(ISNUMBER(SEARCH(",Free To Play,",","&amp;SUBSTITUTE(TableMain[[#This Row],[Tags]],", ",",")&amp;",")),"Y","N")</f>
        <v>N</v>
      </c>
    </row>
    <row r="205" spans="1:16" x14ac:dyDescent="0.35">
      <c r="A205">
        <v>435150</v>
      </c>
      <c r="B205" t="s">
        <v>550</v>
      </c>
      <c r="C205" s="1">
        <v>42992</v>
      </c>
      <c r="D205">
        <v>3510</v>
      </c>
      <c r="E205" t="b">
        <v>1</v>
      </c>
      <c r="F205" t="s">
        <v>551</v>
      </c>
      <c r="G205" t="s">
        <v>56</v>
      </c>
      <c r="H205">
        <v>204</v>
      </c>
      <c r="I205" t="s">
        <v>133</v>
      </c>
      <c r="J205" s="3" t="str">
        <f>IF(ISNUMBER(SEARCH(",Action,",","&amp;SUBSTITUTE(TableMain[[#This Row],[Tags]],", ",",")&amp;",")),"Y","N")</f>
        <v>N</v>
      </c>
      <c r="K205" s="3" t="str">
        <f>IF(ISNUMBER(SEARCH(",Indie,",","&amp;SUBSTITUTE(TableMain[[#This Row],[Tags]],", ",",")&amp;",")),"Y","N")</f>
        <v>N</v>
      </c>
      <c r="L205" s="3" t="str">
        <f>IF(ISNUMBER(SEARCH(",Adventure,",","&amp;SUBSTITUTE(TableMain[[#This Row],[Tags]],", ",",")&amp;",")),"Y","N")</f>
        <v>Y</v>
      </c>
      <c r="M205" s="3" t="str">
        <f>IF(ISNUMBER(SEARCH(",Simulation,",","&amp;SUBSTITUTE(TableMain[[#This Row],[Tags]],", ",",")&amp;",")),"Y","N")</f>
        <v>N</v>
      </c>
      <c r="N205" s="3" t="str">
        <f>IF(ISNUMBER(SEARCH(",RPG,",","&amp;SUBSTITUTE(TableMain[[#This Row],[Tags]],", ",",")&amp;",")),"Y","N")</f>
        <v>Y</v>
      </c>
      <c r="O205" s="3" t="str">
        <f>IF(ISNUMBER(SEARCH(",Strategy,",","&amp;SUBSTITUTE(TableMain[[#This Row],[Tags]],", ",",")&amp;",")),"Y","N")</f>
        <v>Y</v>
      </c>
      <c r="P205" s="3" t="str">
        <f>IF(ISNUMBER(SEARCH(",Free To Play,",","&amp;SUBSTITUTE(TableMain[[#This Row],[Tags]],", ",",")&amp;",")),"Y","N")</f>
        <v>N</v>
      </c>
    </row>
    <row r="206" spans="1:16" x14ac:dyDescent="0.35">
      <c r="A206">
        <v>1066780</v>
      </c>
      <c r="B206" t="s">
        <v>552</v>
      </c>
      <c r="C206" s="1">
        <v>43810</v>
      </c>
      <c r="D206">
        <v>3465</v>
      </c>
      <c r="E206" t="b">
        <v>1</v>
      </c>
      <c r="F206" t="s">
        <v>553</v>
      </c>
      <c r="G206" t="s">
        <v>190</v>
      </c>
      <c r="H206">
        <v>205</v>
      </c>
      <c r="I206" t="s">
        <v>18</v>
      </c>
      <c r="J206" s="3" t="str">
        <f>IF(ISNUMBER(SEARCH(",Action,",","&amp;SUBSTITUTE(TableMain[[#This Row],[Tags]],", ",",")&amp;",")),"Y","N")</f>
        <v>N</v>
      </c>
      <c r="K206" s="3" t="str">
        <f>IF(ISNUMBER(SEARCH(",Indie,",","&amp;SUBSTITUTE(TableMain[[#This Row],[Tags]],", ",",")&amp;",")),"Y","N")</f>
        <v>Y</v>
      </c>
      <c r="L206" s="3" t="str">
        <f>IF(ISNUMBER(SEARCH(",Adventure,",","&amp;SUBSTITUTE(TableMain[[#This Row],[Tags]],", ",",")&amp;",")),"Y","N")</f>
        <v>N</v>
      </c>
      <c r="M206" s="3" t="str">
        <f>IF(ISNUMBER(SEARCH(",Simulation,",","&amp;SUBSTITUTE(TableMain[[#This Row],[Tags]],", ",",")&amp;",")),"Y","N")</f>
        <v>Y</v>
      </c>
      <c r="N206" s="3" t="str">
        <f>IF(ISNUMBER(SEARCH(",RPG,",","&amp;SUBSTITUTE(TableMain[[#This Row],[Tags]],", ",",")&amp;",")),"Y","N")</f>
        <v>N</v>
      </c>
      <c r="O206" s="3" t="str">
        <f>IF(ISNUMBER(SEARCH(",Strategy,",","&amp;SUBSTITUTE(TableMain[[#This Row],[Tags]],", ",",")&amp;",")),"Y","N")</f>
        <v>Y</v>
      </c>
      <c r="P206" s="3" t="str">
        <f>IF(ISNUMBER(SEARCH(",Free To Play,",","&amp;SUBSTITUTE(TableMain[[#This Row],[Tags]],", ",",")&amp;",")),"Y","N")</f>
        <v>N</v>
      </c>
    </row>
    <row r="207" spans="1:16" x14ac:dyDescent="0.35">
      <c r="A207">
        <v>2665680</v>
      </c>
      <c r="B207" t="s">
        <v>554</v>
      </c>
      <c r="C207" s="1">
        <v>45796</v>
      </c>
      <c r="D207">
        <v>3392</v>
      </c>
      <c r="E207" t="b">
        <v>1</v>
      </c>
      <c r="F207" t="s">
        <v>416</v>
      </c>
      <c r="G207" t="s">
        <v>555</v>
      </c>
      <c r="H207">
        <v>206</v>
      </c>
      <c r="I207" t="s">
        <v>133</v>
      </c>
      <c r="J207" s="3" t="str">
        <f>IF(ISNUMBER(SEARCH(",Action,",","&amp;SUBSTITUTE(TableMain[[#This Row],[Tags]],", ",",")&amp;",")),"Y","N")</f>
        <v>Y</v>
      </c>
      <c r="K207" s="3" t="str">
        <f>IF(ISNUMBER(SEARCH(",Indie,",","&amp;SUBSTITUTE(TableMain[[#This Row],[Tags]],", ",",")&amp;",")),"Y","N")</f>
        <v>N</v>
      </c>
      <c r="L207" s="3" t="str">
        <f>IF(ISNUMBER(SEARCH(",Adventure,",","&amp;SUBSTITUTE(TableMain[[#This Row],[Tags]],", ",",")&amp;",")),"Y","N")</f>
        <v>N</v>
      </c>
      <c r="M207" s="3" t="str">
        <f>IF(ISNUMBER(SEARCH(",Simulation,",","&amp;SUBSTITUTE(TableMain[[#This Row],[Tags]],", ",",")&amp;",")),"Y","N")</f>
        <v>N</v>
      </c>
      <c r="N207" s="3" t="str">
        <f>IF(ISNUMBER(SEARCH(",RPG,",","&amp;SUBSTITUTE(TableMain[[#This Row],[Tags]],", ",",")&amp;",")),"Y","N")</f>
        <v>Y</v>
      </c>
      <c r="O207" s="3" t="str">
        <f>IF(ISNUMBER(SEARCH(",Strategy,",","&amp;SUBSTITUTE(TableMain[[#This Row],[Tags]],", ",",")&amp;",")),"Y","N")</f>
        <v>N</v>
      </c>
      <c r="P207" s="3" t="str">
        <f>IF(ISNUMBER(SEARCH(",Free To Play,",","&amp;SUBSTITUTE(TableMain[[#This Row],[Tags]],", ",",")&amp;",")),"Y","N")</f>
        <v>N</v>
      </c>
    </row>
    <row r="208" spans="1:16" x14ac:dyDescent="0.35">
      <c r="A208">
        <v>1147690</v>
      </c>
      <c r="B208" t="s">
        <v>556</v>
      </c>
      <c r="C208" s="1">
        <v>43739</v>
      </c>
      <c r="D208">
        <v>3382</v>
      </c>
      <c r="E208" t="b">
        <v>0</v>
      </c>
      <c r="F208" t="s">
        <v>557</v>
      </c>
      <c r="G208" t="s">
        <v>558</v>
      </c>
      <c r="H208">
        <v>207</v>
      </c>
      <c r="I208" t="s">
        <v>14</v>
      </c>
      <c r="J208" s="3" t="str">
        <f>IF(ISNUMBER(SEARCH(",Action,",","&amp;SUBSTITUTE(TableMain[[#This Row],[Tags]],", ",",")&amp;",")),"Y","N")</f>
        <v>N</v>
      </c>
      <c r="K208" s="3" t="str">
        <f>IF(ISNUMBER(SEARCH(",Indie,",","&amp;SUBSTITUTE(TableMain[[#This Row],[Tags]],", ",",")&amp;",")),"Y","N")</f>
        <v>Y</v>
      </c>
      <c r="L208" s="3" t="str">
        <f>IF(ISNUMBER(SEARCH(",Adventure,",","&amp;SUBSTITUTE(TableMain[[#This Row],[Tags]],", ",",")&amp;",")),"Y","N")</f>
        <v>Y</v>
      </c>
      <c r="M208" s="3" t="str">
        <f>IF(ISNUMBER(SEARCH(",Simulation,",","&amp;SUBSTITUTE(TableMain[[#This Row],[Tags]],", ",",")&amp;",")),"Y","N")</f>
        <v>Y</v>
      </c>
      <c r="N208" s="3" t="str">
        <f>IF(ISNUMBER(SEARCH(",RPG,",","&amp;SUBSTITUTE(TableMain[[#This Row],[Tags]],", ",",")&amp;",")),"Y","N")</f>
        <v>N</v>
      </c>
      <c r="O208" s="3" t="str">
        <f>IF(ISNUMBER(SEARCH(",Strategy,",","&amp;SUBSTITUTE(TableMain[[#This Row],[Tags]],", ",",")&amp;",")),"Y","N")</f>
        <v>N</v>
      </c>
      <c r="P208" s="3" t="str">
        <f>IF(ISNUMBER(SEARCH(",Free To Play,",","&amp;SUBSTITUTE(TableMain[[#This Row],[Tags]],", ",",")&amp;",")),"Y","N")</f>
        <v>Y</v>
      </c>
    </row>
    <row r="209" spans="1:16" x14ac:dyDescent="0.35">
      <c r="A209">
        <v>686810</v>
      </c>
      <c r="B209" t="s">
        <v>559</v>
      </c>
      <c r="C209" s="1">
        <v>44404</v>
      </c>
      <c r="D209">
        <v>3380</v>
      </c>
      <c r="E209" t="b">
        <v>0</v>
      </c>
      <c r="F209" t="s">
        <v>560</v>
      </c>
      <c r="G209" t="s">
        <v>561</v>
      </c>
      <c r="H209">
        <v>208</v>
      </c>
      <c r="I209" t="s">
        <v>53</v>
      </c>
      <c r="J209" s="3" t="str">
        <f>IF(ISNUMBER(SEARCH(",Action,",","&amp;SUBSTITUTE(TableMain[[#This Row],[Tags]],", ",",")&amp;",")),"Y","N")</f>
        <v>Y</v>
      </c>
      <c r="K209" s="3" t="str">
        <f>IF(ISNUMBER(SEARCH(",Indie,",","&amp;SUBSTITUTE(TableMain[[#This Row],[Tags]],", ",",")&amp;",")),"Y","N")</f>
        <v>Y</v>
      </c>
      <c r="L209" s="3" t="str">
        <f>IF(ISNUMBER(SEARCH(",Adventure,",","&amp;SUBSTITUTE(TableMain[[#This Row],[Tags]],", ",",")&amp;",")),"Y","N")</f>
        <v>N</v>
      </c>
      <c r="M209" s="3" t="str">
        <f>IF(ISNUMBER(SEARCH(",Simulation,",","&amp;SUBSTITUTE(TableMain[[#This Row],[Tags]],", ",",")&amp;",")),"Y","N")</f>
        <v>Y</v>
      </c>
      <c r="N209" s="3" t="str">
        <f>IF(ISNUMBER(SEARCH(",RPG,",","&amp;SUBSTITUTE(TableMain[[#This Row],[Tags]],", ",",")&amp;",")),"Y","N")</f>
        <v>N</v>
      </c>
      <c r="O209" s="3" t="str">
        <f>IF(ISNUMBER(SEARCH(",Strategy,",","&amp;SUBSTITUTE(TableMain[[#This Row],[Tags]],", ",",")&amp;",")),"Y","N")</f>
        <v>Y</v>
      </c>
      <c r="P209" s="3" t="str">
        <f>IF(ISNUMBER(SEARCH(",Free To Play,",","&amp;SUBSTITUTE(TableMain[[#This Row],[Tags]],", ",",")&amp;",")),"Y","N")</f>
        <v>N</v>
      </c>
    </row>
    <row r="210" spans="1:16" x14ac:dyDescent="0.35">
      <c r="A210">
        <v>1868140</v>
      </c>
      <c r="B210" t="s">
        <v>562</v>
      </c>
      <c r="C210" s="1">
        <v>45105</v>
      </c>
      <c r="D210">
        <v>3367</v>
      </c>
      <c r="E210" t="b">
        <v>1</v>
      </c>
      <c r="F210" t="s">
        <v>324</v>
      </c>
      <c r="G210" t="s">
        <v>563</v>
      </c>
      <c r="H210">
        <v>209</v>
      </c>
      <c r="I210" t="s">
        <v>53</v>
      </c>
      <c r="J210" s="3" t="str">
        <f>IF(ISNUMBER(SEARCH(",Action,",","&amp;SUBSTITUTE(TableMain[[#This Row],[Tags]],", ",",")&amp;",")),"Y","N")</f>
        <v>N</v>
      </c>
      <c r="K210" s="3" t="str">
        <f>IF(ISNUMBER(SEARCH(",Indie,",","&amp;SUBSTITUTE(TableMain[[#This Row],[Tags]],", ",",")&amp;",")),"Y","N")</f>
        <v>N</v>
      </c>
      <c r="L210" s="3" t="str">
        <f>IF(ISNUMBER(SEARCH(",Adventure,",","&amp;SUBSTITUTE(TableMain[[#This Row],[Tags]],", ",",")&amp;",")),"Y","N")</f>
        <v>Y</v>
      </c>
      <c r="M210" s="3" t="str">
        <f>IF(ISNUMBER(SEARCH(",Simulation,",","&amp;SUBSTITUTE(TableMain[[#This Row],[Tags]],", ",",")&amp;",")),"Y","N")</f>
        <v>Y</v>
      </c>
      <c r="N210" s="3" t="str">
        <f>IF(ISNUMBER(SEARCH(",RPG,",","&amp;SUBSTITUTE(TableMain[[#This Row],[Tags]],", ",",")&amp;",")),"Y","N")</f>
        <v>Y</v>
      </c>
      <c r="O210" s="3" t="str">
        <f>IF(ISNUMBER(SEARCH(",Strategy,",","&amp;SUBSTITUTE(TableMain[[#This Row],[Tags]],", ",",")&amp;",")),"Y","N")</f>
        <v>N</v>
      </c>
      <c r="P210" s="3" t="str">
        <f>IF(ISNUMBER(SEARCH(",Free To Play,",","&amp;SUBSTITUTE(TableMain[[#This Row],[Tags]],", ",",")&amp;",")),"Y","N")</f>
        <v>N</v>
      </c>
    </row>
    <row r="211" spans="1:16" x14ac:dyDescent="0.35">
      <c r="A211">
        <v>2625420</v>
      </c>
      <c r="B211" t="s">
        <v>564</v>
      </c>
      <c r="C211" s="1">
        <v>45740</v>
      </c>
      <c r="D211">
        <v>3366</v>
      </c>
      <c r="E211" t="b">
        <v>0</v>
      </c>
      <c r="F211" t="s">
        <v>565</v>
      </c>
      <c r="G211" t="s">
        <v>566</v>
      </c>
      <c r="H211">
        <v>210</v>
      </c>
      <c r="I211" t="s">
        <v>29</v>
      </c>
      <c r="J211" s="3" t="str">
        <f>IF(ISNUMBER(SEARCH(",Action,",","&amp;SUBSTITUTE(TableMain[[#This Row],[Tags]],", ",",")&amp;",")),"Y","N")</f>
        <v>Y</v>
      </c>
      <c r="K211" s="3" t="str">
        <f>IF(ISNUMBER(SEARCH(",Indie,",","&amp;SUBSTITUTE(TableMain[[#This Row],[Tags]],", ",",")&amp;",")),"Y","N")</f>
        <v>Y</v>
      </c>
      <c r="L211" s="3" t="str">
        <f>IF(ISNUMBER(SEARCH(",Adventure,",","&amp;SUBSTITUTE(TableMain[[#This Row],[Tags]],", ",",")&amp;",")),"Y","N")</f>
        <v>Y</v>
      </c>
      <c r="M211" s="3" t="str">
        <f>IF(ISNUMBER(SEARCH(",Simulation,",","&amp;SUBSTITUTE(TableMain[[#This Row],[Tags]],", ",",")&amp;",")),"Y","N")</f>
        <v>Y</v>
      </c>
      <c r="N211" s="3" t="str">
        <f>IF(ISNUMBER(SEARCH(",RPG,",","&amp;SUBSTITUTE(TableMain[[#This Row],[Tags]],", ",",")&amp;",")),"Y","N")</f>
        <v>N</v>
      </c>
      <c r="O211" s="3" t="str">
        <f>IF(ISNUMBER(SEARCH(",Strategy,",","&amp;SUBSTITUTE(TableMain[[#This Row],[Tags]],", ",",")&amp;",")),"Y","N")</f>
        <v>N</v>
      </c>
      <c r="P211" s="3" t="str">
        <f>IF(ISNUMBER(SEARCH(",Free To Play,",","&amp;SUBSTITUTE(TableMain[[#This Row],[Tags]],", ",",")&amp;",")),"Y","N")</f>
        <v>N</v>
      </c>
    </row>
    <row r="212" spans="1:16" x14ac:dyDescent="0.35">
      <c r="A212">
        <v>976730</v>
      </c>
      <c r="B212" t="s">
        <v>567</v>
      </c>
      <c r="C212" s="1">
        <v>43802</v>
      </c>
      <c r="D212">
        <v>3362</v>
      </c>
      <c r="E212" t="b">
        <v>0</v>
      </c>
      <c r="F212" t="s">
        <v>568</v>
      </c>
      <c r="G212" t="s">
        <v>49</v>
      </c>
      <c r="H212">
        <v>211</v>
      </c>
      <c r="I212" t="s">
        <v>33</v>
      </c>
      <c r="J212" s="3" t="str">
        <f>IF(ISNUMBER(SEARCH(",Action,",","&amp;SUBSTITUTE(TableMain[[#This Row],[Tags]],", ",",")&amp;",")),"Y","N")</f>
        <v>Y</v>
      </c>
      <c r="K212" s="3" t="str">
        <f>IF(ISNUMBER(SEARCH(",Indie,",","&amp;SUBSTITUTE(TableMain[[#This Row],[Tags]],", ",",")&amp;",")),"Y","N")</f>
        <v>N</v>
      </c>
      <c r="L212" s="3" t="str">
        <f>IF(ISNUMBER(SEARCH(",Adventure,",","&amp;SUBSTITUTE(TableMain[[#This Row],[Tags]],", ",",")&amp;",")),"Y","N")</f>
        <v>N</v>
      </c>
      <c r="M212" s="3" t="str">
        <f>IF(ISNUMBER(SEARCH(",Simulation,",","&amp;SUBSTITUTE(TableMain[[#This Row],[Tags]],", ",",")&amp;",")),"Y","N")</f>
        <v>N</v>
      </c>
      <c r="N212" s="3" t="str">
        <f>IF(ISNUMBER(SEARCH(",RPG,",","&amp;SUBSTITUTE(TableMain[[#This Row],[Tags]],", ",",")&amp;",")),"Y","N")</f>
        <v>N</v>
      </c>
      <c r="O212" s="3" t="str">
        <f>IF(ISNUMBER(SEARCH(",Strategy,",","&amp;SUBSTITUTE(TableMain[[#This Row],[Tags]],", ",",")&amp;",")),"Y","N")</f>
        <v>N</v>
      </c>
      <c r="P212" s="3" t="str">
        <f>IF(ISNUMBER(SEARCH(",Free To Play,",","&amp;SUBSTITUTE(TableMain[[#This Row],[Tags]],", ",",")&amp;",")),"Y","N")</f>
        <v>N</v>
      </c>
    </row>
    <row r="213" spans="1:16" x14ac:dyDescent="0.35">
      <c r="A213">
        <v>1009850</v>
      </c>
      <c r="B213" t="s">
        <v>569</v>
      </c>
      <c r="C213" s="1">
        <v>43935</v>
      </c>
      <c r="D213">
        <v>3358</v>
      </c>
      <c r="E213" t="b">
        <v>0</v>
      </c>
      <c r="F213" t="s">
        <v>570</v>
      </c>
      <c r="G213" t="s">
        <v>571</v>
      </c>
      <c r="H213">
        <v>212</v>
      </c>
      <c r="I213" t="s">
        <v>33</v>
      </c>
      <c r="J213" s="3" t="str">
        <f>IF(ISNUMBER(SEARCH(",Action,",","&amp;SUBSTITUTE(TableMain[[#This Row],[Tags]],", ",",")&amp;",")),"Y","N")</f>
        <v>N</v>
      </c>
      <c r="K213" s="3" t="str">
        <f>IF(ISNUMBER(SEARCH(",Indie,",","&amp;SUBSTITUTE(TableMain[[#This Row],[Tags]],", ",",")&amp;",")),"Y","N")</f>
        <v>N</v>
      </c>
      <c r="L213" s="3" t="str">
        <f>IF(ISNUMBER(SEARCH(",Adventure,",","&amp;SUBSTITUTE(TableMain[[#This Row],[Tags]],", ",",")&amp;",")),"Y","N")</f>
        <v>N</v>
      </c>
      <c r="M213" s="3" t="str">
        <f>IF(ISNUMBER(SEARCH(",Simulation,",","&amp;SUBSTITUTE(TableMain[[#This Row],[Tags]],", ",",")&amp;",")),"Y","N")</f>
        <v>N</v>
      </c>
      <c r="N213" s="3" t="str">
        <f>IF(ISNUMBER(SEARCH(",RPG,",","&amp;SUBSTITUTE(TableMain[[#This Row],[Tags]],", ",",")&amp;",")),"Y","N")</f>
        <v>N</v>
      </c>
      <c r="O213" s="3" t="str">
        <f>IF(ISNUMBER(SEARCH(",Strategy,",","&amp;SUBSTITUTE(TableMain[[#This Row],[Tags]],", ",",")&amp;",")),"Y","N")</f>
        <v>N</v>
      </c>
      <c r="P213" s="3" t="str">
        <f>IF(ISNUMBER(SEARCH(",Free To Play,",","&amp;SUBSTITUTE(TableMain[[#This Row],[Tags]],", ",",")&amp;",")),"Y","N")</f>
        <v>N</v>
      </c>
    </row>
    <row r="214" spans="1:16" x14ac:dyDescent="0.35">
      <c r="A214">
        <v>391540</v>
      </c>
      <c r="B214" t="s">
        <v>572</v>
      </c>
      <c r="C214" s="1">
        <v>42262</v>
      </c>
      <c r="D214">
        <v>3331</v>
      </c>
      <c r="E214" t="b">
        <v>1</v>
      </c>
      <c r="F214" t="s">
        <v>573</v>
      </c>
      <c r="G214" t="s">
        <v>43</v>
      </c>
      <c r="H214">
        <v>213</v>
      </c>
      <c r="I214" t="s">
        <v>2084</v>
      </c>
      <c r="J214" s="3" t="str">
        <f>IF(ISNUMBER(SEARCH(",Action,",","&amp;SUBSTITUTE(TableMain[[#This Row],[Tags]],", ",",")&amp;",")),"Y","N")</f>
        <v>N</v>
      </c>
      <c r="K214" s="3" t="str">
        <f>IF(ISNUMBER(SEARCH(",Indie,",","&amp;SUBSTITUTE(TableMain[[#This Row],[Tags]],", ",",")&amp;",")),"Y","N")</f>
        <v>Y</v>
      </c>
      <c r="L214" s="3" t="str">
        <f>IF(ISNUMBER(SEARCH(",Adventure,",","&amp;SUBSTITUTE(TableMain[[#This Row],[Tags]],", ",",")&amp;",")),"Y","N")</f>
        <v>N</v>
      </c>
      <c r="M214" s="3" t="str">
        <f>IF(ISNUMBER(SEARCH(",Simulation,",","&amp;SUBSTITUTE(TableMain[[#This Row],[Tags]],", ",",")&amp;",")),"Y","N")</f>
        <v>N</v>
      </c>
      <c r="N214" s="3" t="str">
        <f>IF(ISNUMBER(SEARCH(",RPG,",","&amp;SUBSTITUTE(TableMain[[#This Row],[Tags]],", ",",")&amp;",")),"Y","N")</f>
        <v>Y</v>
      </c>
      <c r="O214" s="3" t="str">
        <f>IF(ISNUMBER(SEARCH(",Strategy,",","&amp;SUBSTITUTE(TableMain[[#This Row],[Tags]],", ",",")&amp;",")),"Y","N")</f>
        <v>N</v>
      </c>
      <c r="P214" s="3" t="str">
        <f>IF(ISNUMBER(SEARCH(",Free To Play,",","&amp;SUBSTITUTE(TableMain[[#This Row],[Tags]],", ",",")&amp;",")),"Y","N")</f>
        <v>N</v>
      </c>
    </row>
    <row r="215" spans="1:16" x14ac:dyDescent="0.35">
      <c r="A215">
        <v>1546320</v>
      </c>
      <c r="B215" t="s">
        <v>574</v>
      </c>
      <c r="C215" s="1">
        <v>44290</v>
      </c>
      <c r="D215">
        <v>3324</v>
      </c>
      <c r="E215" t="b">
        <v>1</v>
      </c>
      <c r="F215" t="s">
        <v>575</v>
      </c>
      <c r="G215" t="s">
        <v>576</v>
      </c>
      <c r="H215">
        <v>214</v>
      </c>
      <c r="I215" t="s">
        <v>14</v>
      </c>
      <c r="J215" s="3" t="str">
        <f>IF(ISNUMBER(SEARCH(",Action,",","&amp;SUBSTITUTE(TableMain[[#This Row],[Tags]],", ",",")&amp;",")),"Y","N")</f>
        <v>N</v>
      </c>
      <c r="K215" s="3" t="str">
        <f>IF(ISNUMBER(SEARCH(",Indie,",","&amp;SUBSTITUTE(TableMain[[#This Row],[Tags]],", ",",")&amp;",")),"Y","N")</f>
        <v>N</v>
      </c>
      <c r="L215" s="3" t="str">
        <f>IF(ISNUMBER(SEARCH(",Adventure,",","&amp;SUBSTITUTE(TableMain[[#This Row],[Tags]],", ",",")&amp;",")),"Y","N")</f>
        <v>N</v>
      </c>
      <c r="M215" s="3" t="str">
        <f>IF(ISNUMBER(SEARCH(",Simulation,",","&amp;SUBSTITUTE(TableMain[[#This Row],[Tags]],", ",",")&amp;",")),"Y","N")</f>
        <v>N</v>
      </c>
      <c r="N215" s="3" t="str">
        <f>IF(ISNUMBER(SEARCH(",RPG,",","&amp;SUBSTITUTE(TableMain[[#This Row],[Tags]],", ",",")&amp;",")),"Y","N")</f>
        <v>Y</v>
      </c>
      <c r="O215" s="3" t="str">
        <f>IF(ISNUMBER(SEARCH(",Strategy,",","&amp;SUBSTITUTE(TableMain[[#This Row],[Tags]],", ",",")&amp;",")),"Y","N")</f>
        <v>N</v>
      </c>
      <c r="P215" s="3" t="str">
        <f>IF(ISNUMBER(SEARCH(",Free To Play,",","&amp;SUBSTITUTE(TableMain[[#This Row],[Tags]],", ",",")&amp;",")),"Y","N")</f>
        <v>Y</v>
      </c>
    </row>
    <row r="216" spans="1:16" x14ac:dyDescent="0.35">
      <c r="A216">
        <v>2404880</v>
      </c>
      <c r="B216" t="s">
        <v>577</v>
      </c>
      <c r="C216" s="1">
        <v>45806</v>
      </c>
      <c r="D216">
        <v>3296</v>
      </c>
      <c r="E216" t="b">
        <v>0</v>
      </c>
      <c r="F216" t="s">
        <v>416</v>
      </c>
      <c r="G216" t="s">
        <v>164</v>
      </c>
      <c r="H216">
        <v>215</v>
      </c>
      <c r="I216" t="s">
        <v>405</v>
      </c>
      <c r="J216" s="3" t="str">
        <f>IF(ISNUMBER(SEARCH(",Action,",","&amp;SUBSTITUTE(TableMain[[#This Row],[Tags]],", ",",")&amp;",")),"Y","N")</f>
        <v>N</v>
      </c>
      <c r="K216" s="3" t="str">
        <f>IF(ISNUMBER(SEARCH(",Indie,",","&amp;SUBSTITUTE(TableMain[[#This Row],[Tags]],", ",",")&amp;",")),"Y","N")</f>
        <v>Y</v>
      </c>
      <c r="L216" s="3" t="str">
        <f>IF(ISNUMBER(SEARCH(",Adventure,",","&amp;SUBSTITUTE(TableMain[[#This Row],[Tags]],", ",",")&amp;",")),"Y","N")</f>
        <v>N</v>
      </c>
      <c r="M216" s="3" t="str">
        <f>IF(ISNUMBER(SEARCH(",Simulation,",","&amp;SUBSTITUTE(TableMain[[#This Row],[Tags]],", ",",")&amp;",")),"Y","N")</f>
        <v>Y</v>
      </c>
      <c r="N216" s="3" t="str">
        <f>IF(ISNUMBER(SEARCH(",RPG,",","&amp;SUBSTITUTE(TableMain[[#This Row],[Tags]],", ",",")&amp;",")),"Y","N")</f>
        <v>N</v>
      </c>
      <c r="O216" s="3" t="str">
        <f>IF(ISNUMBER(SEARCH(",Strategy,",","&amp;SUBSTITUTE(TableMain[[#This Row],[Tags]],", ",",")&amp;",")),"Y","N")</f>
        <v>N</v>
      </c>
      <c r="P216" s="3" t="str">
        <f>IF(ISNUMBER(SEARCH(",Free To Play,",","&amp;SUBSTITUTE(TableMain[[#This Row],[Tags]],", ",",")&amp;",")),"Y","N")</f>
        <v>N</v>
      </c>
    </row>
    <row r="217" spans="1:16" x14ac:dyDescent="0.35">
      <c r="A217">
        <v>1258080</v>
      </c>
      <c r="B217" t="s">
        <v>578</v>
      </c>
      <c r="C217" s="1">
        <v>43956</v>
      </c>
      <c r="D217">
        <v>3279</v>
      </c>
      <c r="E217" t="b">
        <v>0</v>
      </c>
      <c r="F217" t="s">
        <v>579</v>
      </c>
      <c r="G217" t="s">
        <v>580</v>
      </c>
      <c r="H217">
        <v>216</v>
      </c>
      <c r="I217" t="s">
        <v>14</v>
      </c>
      <c r="J217" s="3" t="str">
        <f>IF(ISNUMBER(SEARCH(",Action,",","&amp;SUBSTITUTE(TableMain[[#This Row],[Tags]],", ",",")&amp;",")),"Y","N")</f>
        <v>N</v>
      </c>
      <c r="K217" s="3" t="str">
        <f>IF(ISNUMBER(SEARCH(",Indie,",","&amp;SUBSTITUTE(TableMain[[#This Row],[Tags]],", ",",")&amp;",")),"Y","N")</f>
        <v>N</v>
      </c>
      <c r="L217" s="3" t="str">
        <f>IF(ISNUMBER(SEARCH(",Adventure,",","&amp;SUBSTITUTE(TableMain[[#This Row],[Tags]],", ",",")&amp;",")),"Y","N")</f>
        <v>Y</v>
      </c>
      <c r="M217" s="3" t="str">
        <f>IF(ISNUMBER(SEARCH(",Simulation,",","&amp;SUBSTITUTE(TableMain[[#This Row],[Tags]],", ",",")&amp;",")),"Y","N")</f>
        <v>Y</v>
      </c>
      <c r="N217" s="3" t="str">
        <f>IF(ISNUMBER(SEARCH(",RPG,",","&amp;SUBSTITUTE(TableMain[[#This Row],[Tags]],", ",",")&amp;",")),"Y","N")</f>
        <v>Y</v>
      </c>
      <c r="O217" s="3" t="str">
        <f>IF(ISNUMBER(SEARCH(",Strategy,",","&amp;SUBSTITUTE(TableMain[[#This Row],[Tags]],", ",",")&amp;",")),"Y","N")</f>
        <v>N</v>
      </c>
      <c r="P217" s="3" t="str">
        <f>IF(ISNUMBER(SEARCH(",Free To Play,",","&amp;SUBSTITUTE(TableMain[[#This Row],[Tags]],", ",",")&amp;",")),"Y","N")</f>
        <v>Y</v>
      </c>
    </row>
    <row r="218" spans="1:16" x14ac:dyDescent="0.35">
      <c r="A218">
        <v>529760</v>
      </c>
      <c r="B218" t="s">
        <v>581</v>
      </c>
      <c r="C218" s="1">
        <v>42779</v>
      </c>
      <c r="D218">
        <v>3278</v>
      </c>
      <c r="E218" t="b">
        <v>0</v>
      </c>
      <c r="F218" t="s">
        <v>582</v>
      </c>
      <c r="G218" t="s">
        <v>46</v>
      </c>
      <c r="H218">
        <v>217</v>
      </c>
      <c r="I218" t="s">
        <v>33</v>
      </c>
      <c r="J218" s="3" t="str">
        <f>IF(ISNUMBER(SEARCH(",Action,",","&amp;SUBSTITUTE(TableMain[[#This Row],[Tags]],", ",",")&amp;",")),"Y","N")</f>
        <v>Y</v>
      </c>
      <c r="K218" s="3" t="str">
        <f>IF(ISNUMBER(SEARCH(",Indie,",","&amp;SUBSTITUTE(TableMain[[#This Row],[Tags]],", ",",")&amp;",")),"Y","N")</f>
        <v>N</v>
      </c>
      <c r="L218" s="3" t="str">
        <f>IF(ISNUMBER(SEARCH(",Adventure,",","&amp;SUBSTITUTE(TableMain[[#This Row],[Tags]],", ",",")&amp;",")),"Y","N")</f>
        <v>Y</v>
      </c>
      <c r="M218" s="3" t="str">
        <f>IF(ISNUMBER(SEARCH(",Simulation,",","&amp;SUBSTITUTE(TableMain[[#This Row],[Tags]],", ",",")&amp;",")),"Y","N")</f>
        <v>N</v>
      </c>
      <c r="N218" s="3" t="str">
        <f>IF(ISNUMBER(SEARCH(",RPG,",","&amp;SUBSTITUTE(TableMain[[#This Row],[Tags]],", ",",")&amp;",")),"Y","N")</f>
        <v>N</v>
      </c>
      <c r="O218" s="3" t="str">
        <f>IF(ISNUMBER(SEARCH(",Strategy,",","&amp;SUBSTITUTE(TableMain[[#This Row],[Tags]],", ",",")&amp;",")),"Y","N")</f>
        <v>N</v>
      </c>
      <c r="P218" s="3" t="str">
        <f>IF(ISNUMBER(SEARCH(",Free To Play,",","&amp;SUBSTITUTE(TableMain[[#This Row],[Tags]],", ",",")&amp;",")),"Y","N")</f>
        <v>N</v>
      </c>
    </row>
    <row r="219" spans="1:16" x14ac:dyDescent="0.35">
      <c r="A219">
        <v>1284210</v>
      </c>
      <c r="B219" t="s">
        <v>583</v>
      </c>
      <c r="C219" s="1">
        <v>44796</v>
      </c>
      <c r="D219">
        <v>3277</v>
      </c>
      <c r="E219" t="b">
        <v>0</v>
      </c>
      <c r="F219" t="s">
        <v>584</v>
      </c>
      <c r="G219" t="s">
        <v>585</v>
      </c>
      <c r="H219">
        <v>218</v>
      </c>
      <c r="I219" t="s">
        <v>2082</v>
      </c>
      <c r="J219" s="3" t="str">
        <f>IF(ISNUMBER(SEARCH(",Action,",","&amp;SUBSTITUTE(TableMain[[#This Row],[Tags]],", ",",")&amp;",")),"Y","N")</f>
        <v>N</v>
      </c>
      <c r="K219" s="3" t="str">
        <f>IF(ISNUMBER(SEARCH(",Indie,",","&amp;SUBSTITUTE(TableMain[[#This Row],[Tags]],", ",",")&amp;",")),"Y","N")</f>
        <v>N</v>
      </c>
      <c r="L219" s="3" t="str">
        <f>IF(ISNUMBER(SEARCH(",Adventure,",","&amp;SUBSTITUTE(TableMain[[#This Row],[Tags]],", ",",")&amp;",")),"Y","N")</f>
        <v>Y</v>
      </c>
      <c r="M219" s="3" t="str">
        <f>IF(ISNUMBER(SEARCH(",Simulation,",","&amp;SUBSTITUTE(TableMain[[#This Row],[Tags]],", ",",")&amp;",")),"Y","N")</f>
        <v>N</v>
      </c>
      <c r="N219" s="3" t="str">
        <f>IF(ISNUMBER(SEARCH(",RPG,",","&amp;SUBSTITUTE(TableMain[[#This Row],[Tags]],", ",",")&amp;",")),"Y","N")</f>
        <v>Y</v>
      </c>
      <c r="O219" s="3" t="str">
        <f>IF(ISNUMBER(SEARCH(",Strategy,",","&amp;SUBSTITUTE(TableMain[[#This Row],[Tags]],", ",",")&amp;",")),"Y","N")</f>
        <v>N</v>
      </c>
      <c r="P219" s="3" t="str">
        <f>IF(ISNUMBER(SEARCH(",Free To Play,",","&amp;SUBSTITUTE(TableMain[[#This Row],[Tags]],", ",",")&amp;",")),"Y","N")</f>
        <v>Y</v>
      </c>
    </row>
    <row r="220" spans="1:16" x14ac:dyDescent="0.35">
      <c r="A220">
        <v>1250410</v>
      </c>
      <c r="B220" t="s">
        <v>586</v>
      </c>
      <c r="C220" s="1">
        <v>44060</v>
      </c>
      <c r="D220">
        <v>3245</v>
      </c>
      <c r="E220" t="b">
        <v>0</v>
      </c>
      <c r="F220" t="s">
        <v>587</v>
      </c>
      <c r="G220" t="s">
        <v>239</v>
      </c>
      <c r="H220">
        <v>219</v>
      </c>
      <c r="I220" t="s">
        <v>33</v>
      </c>
      <c r="J220" s="3" t="str">
        <f>IF(ISNUMBER(SEARCH(",Action,",","&amp;SUBSTITUTE(TableMain[[#This Row],[Tags]],", ",",")&amp;",")),"Y","N")</f>
        <v>N</v>
      </c>
      <c r="K220" s="3" t="str">
        <f>IF(ISNUMBER(SEARCH(",Indie,",","&amp;SUBSTITUTE(TableMain[[#This Row],[Tags]],", ",",")&amp;",")),"Y","N")</f>
        <v>N</v>
      </c>
      <c r="L220" s="3" t="str">
        <f>IF(ISNUMBER(SEARCH(",Adventure,",","&amp;SUBSTITUTE(TableMain[[#This Row],[Tags]],", ",",")&amp;",")),"Y","N")</f>
        <v>N</v>
      </c>
      <c r="M220" s="3" t="str">
        <f>IF(ISNUMBER(SEARCH(",Simulation,",","&amp;SUBSTITUTE(TableMain[[#This Row],[Tags]],", ",",")&amp;",")),"Y","N")</f>
        <v>Y</v>
      </c>
      <c r="N220" s="3" t="str">
        <f>IF(ISNUMBER(SEARCH(",RPG,",","&amp;SUBSTITUTE(TableMain[[#This Row],[Tags]],", ",",")&amp;",")),"Y","N")</f>
        <v>N</v>
      </c>
      <c r="O220" s="3" t="str">
        <f>IF(ISNUMBER(SEARCH(",Strategy,",","&amp;SUBSTITUTE(TableMain[[#This Row],[Tags]],", ",",")&amp;",")),"Y","N")</f>
        <v>N</v>
      </c>
      <c r="P220" s="3" t="str">
        <f>IF(ISNUMBER(SEARCH(",Free To Play,",","&amp;SUBSTITUTE(TableMain[[#This Row],[Tags]],", ",",")&amp;",")),"Y","N")</f>
        <v>N</v>
      </c>
    </row>
    <row r="221" spans="1:16" x14ac:dyDescent="0.35">
      <c r="A221">
        <v>2622000</v>
      </c>
      <c r="B221" t="s">
        <v>588</v>
      </c>
      <c r="C221" s="1">
        <v>45350</v>
      </c>
      <c r="D221">
        <v>3227</v>
      </c>
      <c r="E221" t="b">
        <v>0</v>
      </c>
      <c r="F221" t="s">
        <v>589</v>
      </c>
      <c r="G221" t="s">
        <v>590</v>
      </c>
      <c r="H221">
        <v>220</v>
      </c>
      <c r="I221" t="s">
        <v>175</v>
      </c>
      <c r="J221" s="3" t="str">
        <f>IF(ISNUMBER(SEARCH(",Action,",","&amp;SUBSTITUTE(TableMain[[#This Row],[Tags]],", ",",")&amp;",")),"Y","N")</f>
        <v>N</v>
      </c>
      <c r="K221" s="3" t="str">
        <f>IF(ISNUMBER(SEARCH(",Indie,",","&amp;SUBSTITUTE(TableMain[[#This Row],[Tags]],", ",",")&amp;",")),"Y","N")</f>
        <v>Y</v>
      </c>
      <c r="L221" s="3" t="str">
        <f>IF(ISNUMBER(SEARCH(",Adventure,",","&amp;SUBSTITUTE(TableMain[[#This Row],[Tags]],", ",",")&amp;",")),"Y","N")</f>
        <v>N</v>
      </c>
      <c r="M221" s="3" t="str">
        <f>IF(ISNUMBER(SEARCH(",Simulation,",","&amp;SUBSTITUTE(TableMain[[#This Row],[Tags]],", ",",")&amp;",")),"Y","N")</f>
        <v>N</v>
      </c>
      <c r="N221" s="3" t="str">
        <f>IF(ISNUMBER(SEARCH(",RPG,",","&amp;SUBSTITUTE(TableMain[[#This Row],[Tags]],", ",",")&amp;",")),"Y","N")</f>
        <v>Y</v>
      </c>
      <c r="O221" s="3" t="str">
        <f>IF(ISNUMBER(SEARCH(",Strategy,",","&amp;SUBSTITUTE(TableMain[[#This Row],[Tags]],", ",",")&amp;",")),"Y","N")</f>
        <v>Y</v>
      </c>
      <c r="P221" s="3" t="str">
        <f>IF(ISNUMBER(SEARCH(",Free To Play,",","&amp;SUBSTITUTE(TableMain[[#This Row],[Tags]],", ",",")&amp;",")),"Y","N")</f>
        <v>N</v>
      </c>
    </row>
    <row r="222" spans="1:16" x14ac:dyDescent="0.35">
      <c r="A222">
        <v>397540</v>
      </c>
      <c r="B222" t="s">
        <v>591</v>
      </c>
      <c r="C222" s="1">
        <v>43903</v>
      </c>
      <c r="D222">
        <v>3164</v>
      </c>
      <c r="E222" t="b">
        <v>0</v>
      </c>
      <c r="F222" t="s">
        <v>592</v>
      </c>
      <c r="G222" t="s">
        <v>24</v>
      </c>
      <c r="H222">
        <v>221</v>
      </c>
      <c r="I222" t="s">
        <v>593</v>
      </c>
      <c r="J222" s="3" t="str">
        <f>IF(ISNUMBER(SEARCH(",Action,",","&amp;SUBSTITUTE(TableMain[[#This Row],[Tags]],", ",",")&amp;",")),"Y","N")</f>
        <v>Y</v>
      </c>
      <c r="K222" s="3" t="str">
        <f>IF(ISNUMBER(SEARCH(",Indie,",","&amp;SUBSTITUTE(TableMain[[#This Row],[Tags]],", ",",")&amp;",")),"Y","N")</f>
        <v>N</v>
      </c>
      <c r="L222" s="3" t="str">
        <f>IF(ISNUMBER(SEARCH(",Adventure,",","&amp;SUBSTITUTE(TableMain[[#This Row],[Tags]],", ",",")&amp;",")),"Y","N")</f>
        <v>N</v>
      </c>
      <c r="M222" s="3" t="str">
        <f>IF(ISNUMBER(SEARCH(",Simulation,",","&amp;SUBSTITUTE(TableMain[[#This Row],[Tags]],", ",",")&amp;",")),"Y","N")</f>
        <v>N</v>
      </c>
      <c r="N222" s="3" t="str">
        <f>IF(ISNUMBER(SEARCH(",RPG,",","&amp;SUBSTITUTE(TableMain[[#This Row],[Tags]],", ",",")&amp;",")),"Y","N")</f>
        <v>Y</v>
      </c>
      <c r="O222" s="3" t="str">
        <f>IF(ISNUMBER(SEARCH(",Strategy,",","&amp;SUBSTITUTE(TableMain[[#This Row],[Tags]],", ",",")&amp;",")),"Y","N")</f>
        <v>N</v>
      </c>
      <c r="P222" s="3" t="str">
        <f>IF(ISNUMBER(SEARCH(",Free To Play,",","&amp;SUBSTITUTE(TableMain[[#This Row],[Tags]],", ",",")&amp;",")),"Y","N")</f>
        <v>N</v>
      </c>
    </row>
    <row r="223" spans="1:16" x14ac:dyDescent="0.35">
      <c r="A223">
        <v>1465360</v>
      </c>
      <c r="B223" t="s">
        <v>594</v>
      </c>
      <c r="C223" s="1">
        <v>44333</v>
      </c>
      <c r="D223">
        <v>3132</v>
      </c>
      <c r="E223" t="b">
        <v>1</v>
      </c>
      <c r="F223" t="s">
        <v>595</v>
      </c>
      <c r="G223" t="s">
        <v>327</v>
      </c>
      <c r="H223">
        <v>222</v>
      </c>
      <c r="I223" t="s">
        <v>33</v>
      </c>
      <c r="J223" s="3" t="str">
        <f>IF(ISNUMBER(SEARCH(",Action,",","&amp;SUBSTITUTE(TableMain[[#This Row],[Tags]],", ",",")&amp;",")),"Y","N")</f>
        <v>N</v>
      </c>
      <c r="K223" s="3" t="str">
        <f>IF(ISNUMBER(SEARCH(",Indie,",","&amp;SUBSTITUTE(TableMain[[#This Row],[Tags]],", ",",")&amp;",")),"Y","N")</f>
        <v>N</v>
      </c>
      <c r="L223" s="3" t="str">
        <f>IF(ISNUMBER(SEARCH(",Adventure,",","&amp;SUBSTITUTE(TableMain[[#This Row],[Tags]],", ",",")&amp;",")),"Y","N")</f>
        <v>Y</v>
      </c>
      <c r="M223" s="3" t="str">
        <f>IF(ISNUMBER(SEARCH(",Simulation,",","&amp;SUBSTITUTE(TableMain[[#This Row],[Tags]],", ",",")&amp;",")),"Y","N")</f>
        <v>Y</v>
      </c>
      <c r="N223" s="3" t="str">
        <f>IF(ISNUMBER(SEARCH(",RPG,",","&amp;SUBSTITUTE(TableMain[[#This Row],[Tags]],", ",",")&amp;",")),"Y","N")</f>
        <v>N</v>
      </c>
      <c r="O223" s="3" t="str">
        <f>IF(ISNUMBER(SEARCH(",Strategy,",","&amp;SUBSTITUTE(TableMain[[#This Row],[Tags]],", ",",")&amp;",")),"Y","N")</f>
        <v>N</v>
      </c>
      <c r="P223" s="3" t="str">
        <f>IF(ISNUMBER(SEARCH(",Free To Play,",","&amp;SUBSTITUTE(TableMain[[#This Row],[Tags]],", ",",")&amp;",")),"Y","N")</f>
        <v>N</v>
      </c>
    </row>
    <row r="224" spans="1:16" x14ac:dyDescent="0.35">
      <c r="A224">
        <v>268500</v>
      </c>
      <c r="B224" t="s">
        <v>596</v>
      </c>
      <c r="C224" s="1">
        <v>42404</v>
      </c>
      <c r="D224">
        <v>3123</v>
      </c>
      <c r="E224" t="b">
        <v>1</v>
      </c>
      <c r="F224" t="s">
        <v>597</v>
      </c>
      <c r="G224" t="s">
        <v>124</v>
      </c>
      <c r="H224">
        <v>223</v>
      </c>
      <c r="I224" t="s">
        <v>133</v>
      </c>
      <c r="J224" s="3" t="str">
        <f>IF(ISNUMBER(SEARCH(",Action,",","&amp;SUBSTITUTE(TableMain[[#This Row],[Tags]],", ",",")&amp;",")),"Y","N")</f>
        <v>N</v>
      </c>
      <c r="K224" s="3" t="str">
        <f>IF(ISNUMBER(SEARCH(",Indie,",","&amp;SUBSTITUTE(TableMain[[#This Row],[Tags]],", ",",")&amp;",")),"Y","N")</f>
        <v>N</v>
      </c>
      <c r="L224" s="3" t="str">
        <f>IF(ISNUMBER(SEARCH(",Adventure,",","&amp;SUBSTITUTE(TableMain[[#This Row],[Tags]],", ",",")&amp;",")),"Y","N")</f>
        <v>N</v>
      </c>
      <c r="M224" s="3" t="str">
        <f>IF(ISNUMBER(SEARCH(",Simulation,",","&amp;SUBSTITUTE(TableMain[[#This Row],[Tags]],", ",",")&amp;",")),"Y","N")</f>
        <v>N</v>
      </c>
      <c r="N224" s="3" t="str">
        <f>IF(ISNUMBER(SEARCH(",RPG,",","&amp;SUBSTITUTE(TableMain[[#This Row],[Tags]],", ",",")&amp;",")),"Y","N")</f>
        <v>N</v>
      </c>
      <c r="O224" s="3" t="str">
        <f>IF(ISNUMBER(SEARCH(",Strategy,",","&amp;SUBSTITUTE(TableMain[[#This Row],[Tags]],", ",",")&amp;",")),"Y","N")</f>
        <v>Y</v>
      </c>
      <c r="P224" s="3" t="str">
        <f>IF(ISNUMBER(SEARCH(",Free To Play,",","&amp;SUBSTITUTE(TableMain[[#This Row],[Tags]],", ",",")&amp;",")),"Y","N")</f>
        <v>N</v>
      </c>
    </row>
    <row r="225" spans="1:16" x14ac:dyDescent="0.35">
      <c r="A225">
        <v>1229490</v>
      </c>
      <c r="B225" t="s">
        <v>598</v>
      </c>
      <c r="C225" s="1">
        <v>44077</v>
      </c>
      <c r="D225">
        <v>3122</v>
      </c>
      <c r="E225" t="b">
        <v>0</v>
      </c>
      <c r="F225" t="s">
        <v>42</v>
      </c>
      <c r="G225" t="s">
        <v>288</v>
      </c>
      <c r="H225">
        <v>224</v>
      </c>
      <c r="I225" t="s">
        <v>33</v>
      </c>
      <c r="J225" s="3" t="str">
        <f>IF(ISNUMBER(SEARCH(",Action,",","&amp;SUBSTITUTE(TableMain[[#This Row],[Tags]],", ",",")&amp;",")),"Y","N")</f>
        <v>Y</v>
      </c>
      <c r="K225" s="3" t="str">
        <f>IF(ISNUMBER(SEARCH(",Indie,",","&amp;SUBSTITUTE(TableMain[[#This Row],[Tags]],", ",",")&amp;",")),"Y","N")</f>
        <v>Y</v>
      </c>
      <c r="L225" s="3" t="str">
        <f>IF(ISNUMBER(SEARCH(",Adventure,",","&amp;SUBSTITUTE(TableMain[[#This Row],[Tags]],", ",",")&amp;",")),"Y","N")</f>
        <v>N</v>
      </c>
      <c r="M225" s="3" t="str">
        <f>IF(ISNUMBER(SEARCH(",Simulation,",","&amp;SUBSTITUTE(TableMain[[#This Row],[Tags]],", ",",")&amp;",")),"Y","N")</f>
        <v>N</v>
      </c>
      <c r="N225" s="3" t="str">
        <f>IF(ISNUMBER(SEARCH(",RPG,",","&amp;SUBSTITUTE(TableMain[[#This Row],[Tags]],", ",",")&amp;",")),"Y","N")</f>
        <v>N</v>
      </c>
      <c r="O225" s="3" t="str">
        <f>IF(ISNUMBER(SEARCH(",Strategy,",","&amp;SUBSTITUTE(TableMain[[#This Row],[Tags]],", ",",")&amp;",")),"Y","N")</f>
        <v>N</v>
      </c>
      <c r="P225" s="3" t="str">
        <f>IF(ISNUMBER(SEARCH(",Free To Play,",","&amp;SUBSTITUTE(TableMain[[#This Row],[Tags]],", ",",")&amp;",")),"Y","N")</f>
        <v>N</v>
      </c>
    </row>
    <row r="226" spans="1:16" x14ac:dyDescent="0.35">
      <c r="A226">
        <v>1260320</v>
      </c>
      <c r="B226" t="s">
        <v>599</v>
      </c>
      <c r="C226" s="1">
        <v>45189</v>
      </c>
      <c r="D226">
        <v>3070</v>
      </c>
      <c r="E226" t="b">
        <v>0</v>
      </c>
      <c r="F226" t="s">
        <v>600</v>
      </c>
      <c r="G226" t="s">
        <v>601</v>
      </c>
      <c r="H226">
        <v>225</v>
      </c>
      <c r="I226" t="s">
        <v>53</v>
      </c>
      <c r="J226" s="3" t="str">
        <f>IF(ISNUMBER(SEARCH(",Action,",","&amp;SUBSTITUTE(TableMain[[#This Row],[Tags]],", ",",")&amp;",")),"Y","N")</f>
        <v>Y</v>
      </c>
      <c r="K226" s="3" t="str">
        <f>IF(ISNUMBER(SEARCH(",Indie,",","&amp;SUBSTITUTE(TableMain[[#This Row],[Tags]],", ",",")&amp;",")),"Y","N")</f>
        <v>Y</v>
      </c>
      <c r="L226" s="3" t="str">
        <f>IF(ISNUMBER(SEARCH(",Adventure,",","&amp;SUBSTITUTE(TableMain[[#This Row],[Tags]],", ",",")&amp;",")),"Y","N")</f>
        <v>N</v>
      </c>
      <c r="M226" s="3" t="str">
        <f>IF(ISNUMBER(SEARCH(",Simulation,",","&amp;SUBSTITUTE(TableMain[[#This Row],[Tags]],", ",",")&amp;",")),"Y","N")</f>
        <v>N</v>
      </c>
      <c r="N226" s="3" t="str">
        <f>IF(ISNUMBER(SEARCH(",RPG,",","&amp;SUBSTITUTE(TableMain[[#This Row],[Tags]],", ",",")&amp;",")),"Y","N")</f>
        <v>N</v>
      </c>
      <c r="O226" s="3" t="str">
        <f>IF(ISNUMBER(SEARCH(",Strategy,",","&amp;SUBSTITUTE(TableMain[[#This Row],[Tags]],", ",",")&amp;",")),"Y","N")</f>
        <v>N</v>
      </c>
      <c r="P226" s="3" t="str">
        <f>IF(ISNUMBER(SEARCH(",Free To Play,",","&amp;SUBSTITUTE(TableMain[[#This Row],[Tags]],", ",",")&amp;",")),"Y","N")</f>
        <v>N</v>
      </c>
    </row>
    <row r="227" spans="1:16" x14ac:dyDescent="0.35">
      <c r="A227">
        <v>3400930</v>
      </c>
      <c r="B227" t="s">
        <v>602</v>
      </c>
      <c r="C227" s="1">
        <v>45806</v>
      </c>
      <c r="D227">
        <v>3056</v>
      </c>
      <c r="E227" t="b">
        <v>1</v>
      </c>
      <c r="F227" t="s">
        <v>603</v>
      </c>
      <c r="G227" t="s">
        <v>604</v>
      </c>
      <c r="H227">
        <v>226</v>
      </c>
      <c r="I227" t="s">
        <v>14</v>
      </c>
      <c r="J227" s="3" t="str">
        <f>IF(ISNUMBER(SEARCH(",Action,",","&amp;SUBSTITUTE(TableMain[[#This Row],[Tags]],", ",",")&amp;",")),"Y","N")</f>
        <v>N</v>
      </c>
      <c r="K227" s="3" t="str">
        <f>IF(ISNUMBER(SEARCH(",Indie,",","&amp;SUBSTITUTE(TableMain[[#This Row],[Tags]],", ",",")&amp;",")),"Y","N")</f>
        <v>N</v>
      </c>
      <c r="L227" s="3" t="str">
        <f>IF(ISNUMBER(SEARCH(",Adventure,",","&amp;SUBSTITUTE(TableMain[[#This Row],[Tags]],", ",",")&amp;",")),"Y","N")</f>
        <v>N</v>
      </c>
      <c r="M227" s="3" t="str">
        <f>IF(ISNUMBER(SEARCH(",Simulation,",","&amp;SUBSTITUTE(TableMain[[#This Row],[Tags]],", ",",")&amp;",")),"Y","N")</f>
        <v>Y</v>
      </c>
      <c r="N227" s="3" t="str">
        <f>IF(ISNUMBER(SEARCH(",RPG,",","&amp;SUBSTITUTE(TableMain[[#This Row],[Tags]],", ",",")&amp;",")),"Y","N")</f>
        <v>N</v>
      </c>
      <c r="O227" s="3" t="str">
        <f>IF(ISNUMBER(SEARCH(",Strategy,",","&amp;SUBSTITUTE(TableMain[[#This Row],[Tags]],", ",",")&amp;",")),"Y","N")</f>
        <v>N</v>
      </c>
      <c r="P227" s="3" t="str">
        <f>IF(ISNUMBER(SEARCH(",Free To Play,",","&amp;SUBSTITUTE(TableMain[[#This Row],[Tags]],", ",",")&amp;",")),"Y","N")</f>
        <v>N</v>
      </c>
    </row>
    <row r="228" spans="1:16" x14ac:dyDescent="0.35">
      <c r="A228">
        <v>48700</v>
      </c>
      <c r="B228" t="s">
        <v>605</v>
      </c>
      <c r="C228" s="1">
        <v>40268</v>
      </c>
      <c r="D228">
        <v>3055</v>
      </c>
      <c r="E228" t="b">
        <v>1</v>
      </c>
      <c r="F228" t="s">
        <v>606</v>
      </c>
      <c r="G228" t="s">
        <v>24</v>
      </c>
      <c r="H228">
        <v>227</v>
      </c>
      <c r="I228" t="s">
        <v>2095</v>
      </c>
      <c r="J228" s="3" t="str">
        <f>IF(ISNUMBER(SEARCH(",Action,",","&amp;SUBSTITUTE(TableMain[[#This Row],[Tags]],", ",",")&amp;",")),"Y","N")</f>
        <v>Y</v>
      </c>
      <c r="K228" s="3" t="str">
        <f>IF(ISNUMBER(SEARCH(",Indie,",","&amp;SUBSTITUTE(TableMain[[#This Row],[Tags]],", ",",")&amp;",")),"Y","N")</f>
        <v>N</v>
      </c>
      <c r="L228" s="3" t="str">
        <f>IF(ISNUMBER(SEARCH(",Adventure,",","&amp;SUBSTITUTE(TableMain[[#This Row],[Tags]],", ",",")&amp;",")),"Y","N")</f>
        <v>N</v>
      </c>
      <c r="M228" s="3" t="str">
        <f>IF(ISNUMBER(SEARCH(",Simulation,",","&amp;SUBSTITUTE(TableMain[[#This Row],[Tags]],", ",",")&amp;",")),"Y","N")</f>
        <v>N</v>
      </c>
      <c r="N228" s="3" t="str">
        <f>IF(ISNUMBER(SEARCH(",RPG,",","&amp;SUBSTITUTE(TableMain[[#This Row],[Tags]],", ",",")&amp;",")),"Y","N")</f>
        <v>Y</v>
      </c>
      <c r="O228" s="3" t="str">
        <f>IF(ISNUMBER(SEARCH(",Strategy,",","&amp;SUBSTITUTE(TableMain[[#This Row],[Tags]],", ",",")&amp;",")),"Y","N")</f>
        <v>N</v>
      </c>
      <c r="P228" s="3" t="str">
        <f>IF(ISNUMBER(SEARCH(",Free To Play,",","&amp;SUBSTITUTE(TableMain[[#This Row],[Tags]],", ",",")&amp;",")),"Y","N")</f>
        <v>N</v>
      </c>
    </row>
    <row r="229" spans="1:16" x14ac:dyDescent="0.35">
      <c r="A229">
        <v>977400</v>
      </c>
      <c r="B229" t="s">
        <v>607</v>
      </c>
      <c r="C229" s="1">
        <v>44503</v>
      </c>
      <c r="D229">
        <v>3036</v>
      </c>
      <c r="E229" t="b">
        <v>1</v>
      </c>
      <c r="F229" t="s">
        <v>608</v>
      </c>
      <c r="G229" t="s">
        <v>609</v>
      </c>
      <c r="H229">
        <v>228</v>
      </c>
      <c r="I229" t="s">
        <v>14</v>
      </c>
      <c r="J229" s="3" t="str">
        <f>IF(ISNUMBER(SEARCH(",Action,",","&amp;SUBSTITUTE(TableMain[[#This Row],[Tags]],", ",",")&amp;",")),"Y","N")</f>
        <v>N</v>
      </c>
      <c r="K229" s="3" t="str">
        <f>IF(ISNUMBER(SEARCH(",Indie,",","&amp;SUBSTITUTE(TableMain[[#This Row],[Tags]],", ",",")&amp;",")),"Y","N")</f>
        <v>N</v>
      </c>
      <c r="L229" s="3" t="str">
        <f>IF(ISNUMBER(SEARCH(",Adventure,",","&amp;SUBSTITUTE(TableMain[[#This Row],[Tags]],", ",",")&amp;",")),"Y","N")</f>
        <v>N</v>
      </c>
      <c r="M229" s="3" t="str">
        <f>IF(ISNUMBER(SEARCH(",Simulation,",","&amp;SUBSTITUTE(TableMain[[#This Row],[Tags]],", ",",")&amp;",")),"Y","N")</f>
        <v>Y</v>
      </c>
      <c r="N229" s="3" t="str">
        <f>IF(ISNUMBER(SEARCH(",RPG,",","&amp;SUBSTITUTE(TableMain[[#This Row],[Tags]],", ",",")&amp;",")),"Y","N")</f>
        <v>N</v>
      </c>
      <c r="O229" s="3" t="str">
        <f>IF(ISNUMBER(SEARCH(",Strategy,",","&amp;SUBSTITUTE(TableMain[[#This Row],[Tags]],", ",",")&amp;",")),"Y","N")</f>
        <v>N</v>
      </c>
      <c r="P229" s="3" t="str">
        <f>IF(ISNUMBER(SEARCH(",Free To Play,",","&amp;SUBSTITUTE(TableMain[[#This Row],[Tags]],", ",",")&amp;",")),"Y","N")</f>
        <v>Y</v>
      </c>
    </row>
    <row r="230" spans="1:16" x14ac:dyDescent="0.35">
      <c r="A230">
        <v>627690</v>
      </c>
      <c r="B230" t="s">
        <v>610</v>
      </c>
      <c r="C230" s="1">
        <v>43915</v>
      </c>
      <c r="D230">
        <v>3034</v>
      </c>
      <c r="E230" t="b">
        <v>1</v>
      </c>
      <c r="F230" t="s">
        <v>611</v>
      </c>
      <c r="G230" t="s">
        <v>612</v>
      </c>
      <c r="H230">
        <v>229</v>
      </c>
      <c r="I230" t="s">
        <v>14</v>
      </c>
      <c r="J230" s="3" t="str">
        <f>IF(ISNUMBER(SEARCH(",Action,",","&amp;SUBSTITUTE(TableMain[[#This Row],[Tags]],", ",",")&amp;",")),"Y","N")</f>
        <v>Y</v>
      </c>
      <c r="K230" s="3" t="str">
        <f>IF(ISNUMBER(SEARCH(",Indie,",","&amp;SUBSTITUTE(TableMain[[#This Row],[Tags]],", ",",")&amp;",")),"Y","N")</f>
        <v>Y</v>
      </c>
      <c r="L230" s="3" t="str">
        <f>IF(ISNUMBER(SEARCH(",Adventure,",","&amp;SUBSTITUTE(TableMain[[#This Row],[Tags]],", ",",")&amp;",")),"Y","N")</f>
        <v>Y</v>
      </c>
      <c r="M230" s="3" t="str">
        <f>IF(ISNUMBER(SEARCH(",Simulation,",","&amp;SUBSTITUTE(TableMain[[#This Row],[Tags]],", ",",")&amp;",")),"Y","N")</f>
        <v>N</v>
      </c>
      <c r="N230" s="3" t="str">
        <f>IF(ISNUMBER(SEARCH(",RPG,",","&amp;SUBSTITUTE(TableMain[[#This Row],[Tags]],", ",",")&amp;",")),"Y","N")</f>
        <v>N</v>
      </c>
      <c r="O230" s="3" t="str">
        <f>IF(ISNUMBER(SEARCH(",Strategy,",","&amp;SUBSTITUTE(TableMain[[#This Row],[Tags]],", ",",")&amp;",")),"Y","N")</f>
        <v>Y</v>
      </c>
      <c r="P230" s="3" t="str">
        <f>IF(ISNUMBER(SEARCH(",Free To Play,",","&amp;SUBSTITUTE(TableMain[[#This Row],[Tags]],", ",",")&amp;",")),"Y","N")</f>
        <v>Y</v>
      </c>
    </row>
    <row r="231" spans="1:16" x14ac:dyDescent="0.35">
      <c r="A231">
        <v>933110</v>
      </c>
      <c r="B231" t="s">
        <v>613</v>
      </c>
      <c r="C231" s="1">
        <v>44119</v>
      </c>
      <c r="D231">
        <v>3016</v>
      </c>
      <c r="E231" t="b">
        <v>0</v>
      </c>
      <c r="F231" t="s">
        <v>614</v>
      </c>
      <c r="G231" t="s">
        <v>615</v>
      </c>
      <c r="H231">
        <v>230</v>
      </c>
      <c r="I231" t="s">
        <v>438</v>
      </c>
      <c r="J231" s="3" t="str">
        <f>IF(ISNUMBER(SEARCH(",Action,",","&amp;SUBSTITUTE(TableMain[[#This Row],[Tags]],", ",",")&amp;",")),"Y","N")</f>
        <v>N</v>
      </c>
      <c r="K231" s="3" t="str">
        <f>IF(ISNUMBER(SEARCH(",Indie,",","&amp;SUBSTITUTE(TableMain[[#This Row],[Tags]],", ",",")&amp;",")),"Y","N")</f>
        <v>N</v>
      </c>
      <c r="L231" s="3" t="str">
        <f>IF(ISNUMBER(SEARCH(",Adventure,",","&amp;SUBSTITUTE(TableMain[[#This Row],[Tags]],", ",",")&amp;",")),"Y","N")</f>
        <v>N</v>
      </c>
      <c r="M231" s="3" t="str">
        <f>IF(ISNUMBER(SEARCH(",Simulation,",","&amp;SUBSTITUTE(TableMain[[#This Row],[Tags]],", ",",")&amp;",")),"Y","N")</f>
        <v>N</v>
      </c>
      <c r="N231" s="3" t="str">
        <f>IF(ISNUMBER(SEARCH(",RPG,",","&amp;SUBSTITUTE(TableMain[[#This Row],[Tags]],", ",",")&amp;",")),"Y","N")</f>
        <v>N</v>
      </c>
      <c r="O231" s="3" t="str">
        <f>IF(ISNUMBER(SEARCH(",Strategy,",","&amp;SUBSTITUTE(TableMain[[#This Row],[Tags]],", ",",")&amp;",")),"Y","N")</f>
        <v>Y</v>
      </c>
      <c r="P231" s="3" t="str">
        <f>IF(ISNUMBER(SEARCH(",Free To Play,",","&amp;SUBSTITUTE(TableMain[[#This Row],[Tags]],", ",",")&amp;",")),"Y","N")</f>
        <v>Y</v>
      </c>
    </row>
    <row r="232" spans="1:16" x14ac:dyDescent="0.35">
      <c r="A232">
        <v>1794680</v>
      </c>
      <c r="B232" t="s">
        <v>616</v>
      </c>
      <c r="C232" s="1">
        <v>44854</v>
      </c>
      <c r="D232">
        <v>2966</v>
      </c>
      <c r="E232" t="b">
        <v>1</v>
      </c>
      <c r="F232" t="s">
        <v>617</v>
      </c>
      <c r="G232" t="s">
        <v>374</v>
      </c>
      <c r="H232">
        <v>231</v>
      </c>
      <c r="I232" t="s">
        <v>14</v>
      </c>
      <c r="J232" s="3" t="str">
        <f>IF(ISNUMBER(SEARCH(",Action,",","&amp;SUBSTITUTE(TableMain[[#This Row],[Tags]],", ",",")&amp;",")),"Y","N")</f>
        <v>Y</v>
      </c>
      <c r="K232" s="3" t="str">
        <f>IF(ISNUMBER(SEARCH(",Indie,",","&amp;SUBSTITUTE(TableMain[[#This Row],[Tags]],", ",",")&amp;",")),"Y","N")</f>
        <v>Y</v>
      </c>
      <c r="L232" s="3" t="str">
        <f>IF(ISNUMBER(SEARCH(",Adventure,",","&amp;SUBSTITUTE(TableMain[[#This Row],[Tags]],", ",",")&amp;",")),"Y","N")</f>
        <v>N</v>
      </c>
      <c r="M232" s="3" t="str">
        <f>IF(ISNUMBER(SEARCH(",Simulation,",","&amp;SUBSTITUTE(TableMain[[#This Row],[Tags]],", ",",")&amp;",")),"Y","N")</f>
        <v>N</v>
      </c>
      <c r="N232" s="3" t="str">
        <f>IF(ISNUMBER(SEARCH(",RPG,",","&amp;SUBSTITUTE(TableMain[[#This Row],[Tags]],", ",",")&amp;",")),"Y","N")</f>
        <v>Y</v>
      </c>
      <c r="O232" s="3" t="str">
        <f>IF(ISNUMBER(SEARCH(",Strategy,",","&amp;SUBSTITUTE(TableMain[[#This Row],[Tags]],", ",",")&amp;",")),"Y","N")</f>
        <v>N</v>
      </c>
      <c r="P232" s="3" t="str">
        <f>IF(ISNUMBER(SEARCH(",Free To Play,",","&amp;SUBSTITUTE(TableMain[[#This Row],[Tags]],", ",",")&amp;",")),"Y","N")</f>
        <v>N</v>
      </c>
    </row>
    <row r="233" spans="1:16" x14ac:dyDescent="0.35">
      <c r="A233">
        <v>1677740</v>
      </c>
      <c r="B233" t="s">
        <v>618</v>
      </c>
      <c r="C233" s="1">
        <v>44476</v>
      </c>
      <c r="D233">
        <v>2928</v>
      </c>
      <c r="E233" t="b">
        <v>0</v>
      </c>
      <c r="F233" t="s">
        <v>619</v>
      </c>
      <c r="G233" t="s">
        <v>620</v>
      </c>
      <c r="H233">
        <v>232</v>
      </c>
      <c r="I233" t="s">
        <v>14</v>
      </c>
      <c r="J233" s="3" t="str">
        <f>IF(ISNUMBER(SEARCH(",Action,",","&amp;SUBSTITUTE(TableMain[[#This Row],[Tags]],", ",",")&amp;",")),"Y","N")</f>
        <v>Y</v>
      </c>
      <c r="K233" s="3" t="str">
        <f>IF(ISNUMBER(SEARCH(",Indie,",","&amp;SUBSTITUTE(TableMain[[#This Row],[Tags]],", ",",")&amp;",")),"Y","N")</f>
        <v>Y</v>
      </c>
      <c r="L233" s="3" t="str">
        <f>IF(ISNUMBER(SEARCH(",Adventure,",","&amp;SUBSTITUTE(TableMain[[#This Row],[Tags]],", ",",")&amp;",")),"Y","N")</f>
        <v>N</v>
      </c>
      <c r="M233" s="3" t="str">
        <f>IF(ISNUMBER(SEARCH(",Simulation,",","&amp;SUBSTITUTE(TableMain[[#This Row],[Tags]],", ",",")&amp;",")),"Y","N")</f>
        <v>N</v>
      </c>
      <c r="N233" s="3" t="str">
        <f>IF(ISNUMBER(SEARCH(",RPG,",","&amp;SUBSTITUTE(TableMain[[#This Row],[Tags]],", ",",")&amp;",")),"Y","N")</f>
        <v>N</v>
      </c>
      <c r="O233" s="3" t="str">
        <f>IF(ISNUMBER(SEARCH(",Strategy,",","&amp;SUBSTITUTE(TableMain[[#This Row],[Tags]],", ",",")&amp;",")),"Y","N")</f>
        <v>N</v>
      </c>
      <c r="P233" s="3" t="str">
        <f>IF(ISNUMBER(SEARCH(",Free To Play,",","&amp;SUBSTITUTE(TableMain[[#This Row],[Tags]],", ",",")&amp;",")),"Y","N")</f>
        <v>Y</v>
      </c>
    </row>
    <row r="234" spans="1:16" x14ac:dyDescent="0.35">
      <c r="A234">
        <v>1782210</v>
      </c>
      <c r="B234" t="s">
        <v>621</v>
      </c>
      <c r="C234" s="1">
        <v>44498</v>
      </c>
      <c r="D234">
        <v>2921</v>
      </c>
      <c r="E234" t="b">
        <v>1</v>
      </c>
      <c r="F234" t="s">
        <v>622</v>
      </c>
      <c r="G234" t="s">
        <v>623</v>
      </c>
      <c r="H234">
        <v>233</v>
      </c>
      <c r="I234" t="s">
        <v>110</v>
      </c>
      <c r="J234" s="3" t="str">
        <f>IF(ISNUMBER(SEARCH(",Action,",","&amp;SUBSTITUTE(TableMain[[#This Row],[Tags]],", ",",")&amp;",")),"Y","N")</f>
        <v>Y</v>
      </c>
      <c r="K234" s="3" t="str">
        <f>IF(ISNUMBER(SEARCH(",Indie,",","&amp;SUBSTITUTE(TableMain[[#This Row],[Tags]],", ",",")&amp;",")),"Y","N")</f>
        <v>Y</v>
      </c>
      <c r="L234" s="3" t="str">
        <f>IF(ISNUMBER(SEARCH(",Adventure,",","&amp;SUBSTITUTE(TableMain[[#This Row],[Tags]],", ",",")&amp;",")),"Y","N")</f>
        <v>N</v>
      </c>
      <c r="M234" s="3" t="str">
        <f>IF(ISNUMBER(SEARCH(",Simulation,",","&amp;SUBSTITUTE(TableMain[[#This Row],[Tags]],", ",",")&amp;",")),"Y","N")</f>
        <v>N</v>
      </c>
      <c r="N234" s="3" t="str">
        <f>IF(ISNUMBER(SEARCH(",RPG,",","&amp;SUBSTITUTE(TableMain[[#This Row],[Tags]],", ",",")&amp;",")),"Y","N")</f>
        <v>N</v>
      </c>
      <c r="O234" s="3" t="str">
        <f>IF(ISNUMBER(SEARCH(",Strategy,",","&amp;SUBSTITUTE(TableMain[[#This Row],[Tags]],", ",",")&amp;",")),"Y","N")</f>
        <v>N</v>
      </c>
      <c r="P234" s="3" t="str">
        <f>IF(ISNUMBER(SEARCH(",Free To Play,",","&amp;SUBSTITUTE(TableMain[[#This Row],[Tags]],", ",",")&amp;",")),"Y","N")</f>
        <v>Y</v>
      </c>
    </row>
    <row r="235" spans="1:16" x14ac:dyDescent="0.35">
      <c r="A235">
        <v>242760</v>
      </c>
      <c r="B235" t="s">
        <v>624</v>
      </c>
      <c r="C235" s="1">
        <v>43220</v>
      </c>
      <c r="D235">
        <v>2892</v>
      </c>
      <c r="E235" t="b">
        <v>0</v>
      </c>
      <c r="F235" t="s">
        <v>625</v>
      </c>
      <c r="G235" t="s">
        <v>476</v>
      </c>
      <c r="H235">
        <v>234</v>
      </c>
      <c r="I235" t="s">
        <v>110</v>
      </c>
      <c r="J235" s="3" t="str">
        <f>IF(ISNUMBER(SEARCH(",Action,",","&amp;SUBSTITUTE(TableMain[[#This Row],[Tags]],", ",",")&amp;",")),"Y","N")</f>
        <v>Y</v>
      </c>
      <c r="K235" s="3" t="str">
        <f>IF(ISNUMBER(SEARCH(",Indie,",","&amp;SUBSTITUTE(TableMain[[#This Row],[Tags]],", ",",")&amp;",")),"Y","N")</f>
        <v>Y</v>
      </c>
      <c r="L235" s="3" t="str">
        <f>IF(ISNUMBER(SEARCH(",Adventure,",","&amp;SUBSTITUTE(TableMain[[#This Row],[Tags]],", ",",")&amp;",")),"Y","N")</f>
        <v>Y</v>
      </c>
      <c r="M235" s="3" t="str">
        <f>IF(ISNUMBER(SEARCH(",Simulation,",","&amp;SUBSTITUTE(TableMain[[#This Row],[Tags]],", ",",")&amp;",")),"Y","N")</f>
        <v>Y</v>
      </c>
      <c r="N235" s="3" t="str">
        <f>IF(ISNUMBER(SEARCH(",RPG,",","&amp;SUBSTITUTE(TableMain[[#This Row],[Tags]],", ",",")&amp;",")),"Y","N")</f>
        <v>N</v>
      </c>
      <c r="O235" s="3" t="str">
        <f>IF(ISNUMBER(SEARCH(",Strategy,",","&amp;SUBSTITUTE(TableMain[[#This Row],[Tags]],", ",",")&amp;",")),"Y","N")</f>
        <v>N</v>
      </c>
      <c r="P235" s="3" t="str">
        <f>IF(ISNUMBER(SEARCH(",Free To Play,",","&amp;SUBSTITUTE(TableMain[[#This Row],[Tags]],", ",",")&amp;",")),"Y","N")</f>
        <v>N</v>
      </c>
    </row>
    <row r="236" spans="1:16" x14ac:dyDescent="0.35">
      <c r="A236">
        <v>570940</v>
      </c>
      <c r="B236" t="s">
        <v>626</v>
      </c>
      <c r="C236" s="1">
        <v>43243</v>
      </c>
      <c r="D236">
        <v>2879</v>
      </c>
      <c r="E236" t="b">
        <v>0</v>
      </c>
      <c r="F236" t="s">
        <v>627</v>
      </c>
      <c r="G236" t="s">
        <v>49</v>
      </c>
      <c r="H236">
        <v>235</v>
      </c>
      <c r="I236" t="s">
        <v>40</v>
      </c>
      <c r="J236" s="3" t="str">
        <f>IF(ISNUMBER(SEARCH(",Action,",","&amp;SUBSTITUTE(TableMain[[#This Row],[Tags]],", ",",")&amp;",")),"Y","N")</f>
        <v>Y</v>
      </c>
      <c r="K236" s="3" t="str">
        <f>IF(ISNUMBER(SEARCH(",Indie,",","&amp;SUBSTITUTE(TableMain[[#This Row],[Tags]],", ",",")&amp;",")),"Y","N")</f>
        <v>N</v>
      </c>
      <c r="L236" s="3" t="str">
        <f>IF(ISNUMBER(SEARCH(",Adventure,",","&amp;SUBSTITUTE(TableMain[[#This Row],[Tags]],", ",",")&amp;",")),"Y","N")</f>
        <v>N</v>
      </c>
      <c r="M236" s="3" t="str">
        <f>IF(ISNUMBER(SEARCH(",Simulation,",","&amp;SUBSTITUTE(TableMain[[#This Row],[Tags]],", ",",")&amp;",")),"Y","N")</f>
        <v>N</v>
      </c>
      <c r="N236" s="3" t="str">
        <f>IF(ISNUMBER(SEARCH(",RPG,",","&amp;SUBSTITUTE(TableMain[[#This Row],[Tags]],", ",",")&amp;",")),"Y","N")</f>
        <v>N</v>
      </c>
      <c r="O236" s="3" t="str">
        <f>IF(ISNUMBER(SEARCH(",Strategy,",","&amp;SUBSTITUTE(TableMain[[#This Row],[Tags]],", ",",")&amp;",")),"Y","N")</f>
        <v>N</v>
      </c>
      <c r="P236" s="3" t="str">
        <f>IF(ISNUMBER(SEARCH(",Free To Play,",","&amp;SUBSTITUTE(TableMain[[#This Row],[Tags]],", ",",")&amp;",")),"Y","N")</f>
        <v>N</v>
      </c>
    </row>
    <row r="237" spans="1:16" x14ac:dyDescent="0.35">
      <c r="A237">
        <v>364690</v>
      </c>
      <c r="B237" t="s">
        <v>628</v>
      </c>
      <c r="C237" s="1">
        <v>42207</v>
      </c>
      <c r="D237">
        <v>2861</v>
      </c>
      <c r="E237" t="b">
        <v>0</v>
      </c>
      <c r="F237" t="s">
        <v>629</v>
      </c>
      <c r="G237" t="s">
        <v>446</v>
      </c>
      <c r="H237">
        <v>236</v>
      </c>
      <c r="I237" t="s">
        <v>2087</v>
      </c>
      <c r="J237" s="3" t="str">
        <f>IF(ISNUMBER(SEARCH(",Action,",","&amp;SUBSTITUTE(TableMain[[#This Row],[Tags]],", ",",")&amp;",")),"Y","N")</f>
        <v>Y</v>
      </c>
      <c r="K237" s="3" t="str">
        <f>IF(ISNUMBER(SEARCH(",Indie,",","&amp;SUBSTITUTE(TableMain[[#This Row],[Tags]],", ",",")&amp;",")),"Y","N")</f>
        <v>Y</v>
      </c>
      <c r="L237" s="3" t="str">
        <f>IF(ISNUMBER(SEARCH(",Adventure,",","&amp;SUBSTITUTE(TableMain[[#This Row],[Tags]],", ",",")&amp;",")),"Y","N")</f>
        <v>Y</v>
      </c>
      <c r="M237" s="3" t="str">
        <f>IF(ISNUMBER(SEARCH(",Simulation,",","&amp;SUBSTITUTE(TableMain[[#This Row],[Tags]],", ",",")&amp;",")),"Y","N")</f>
        <v>N</v>
      </c>
      <c r="N237" s="3" t="str">
        <f>IF(ISNUMBER(SEARCH(",RPG,",","&amp;SUBSTITUTE(TableMain[[#This Row],[Tags]],", ",",")&amp;",")),"Y","N")</f>
        <v>N</v>
      </c>
      <c r="O237" s="3" t="str">
        <f>IF(ISNUMBER(SEARCH(",Strategy,",","&amp;SUBSTITUTE(TableMain[[#This Row],[Tags]],", ",",")&amp;",")),"Y","N")</f>
        <v>N</v>
      </c>
      <c r="P237" s="3" t="str">
        <f>IF(ISNUMBER(SEARCH(",Free To Play,",","&amp;SUBSTITUTE(TableMain[[#This Row],[Tags]],", ",",")&amp;",")),"Y","N")</f>
        <v>N</v>
      </c>
    </row>
    <row r="238" spans="1:16" x14ac:dyDescent="0.35">
      <c r="A238">
        <v>505460</v>
      </c>
      <c r="B238" t="s">
        <v>630</v>
      </c>
      <c r="C238" s="1">
        <v>44832</v>
      </c>
      <c r="D238">
        <v>2821</v>
      </c>
      <c r="E238" t="b">
        <v>0</v>
      </c>
      <c r="F238" t="s">
        <v>631</v>
      </c>
      <c r="G238" t="s">
        <v>632</v>
      </c>
      <c r="H238">
        <v>237</v>
      </c>
      <c r="I238" t="s">
        <v>119</v>
      </c>
      <c r="J238" s="3" t="str">
        <f>IF(ISNUMBER(SEARCH(",Action,",","&amp;SUBSTITUTE(TableMain[[#This Row],[Tags]],", ",",")&amp;",")),"Y","N")</f>
        <v>Y</v>
      </c>
      <c r="K238" s="3" t="str">
        <f>IF(ISNUMBER(SEARCH(",Indie,",","&amp;SUBSTITUTE(TableMain[[#This Row],[Tags]],", ",",")&amp;",")),"Y","N")</f>
        <v>Y</v>
      </c>
      <c r="L238" s="3" t="str">
        <f>IF(ISNUMBER(SEARCH(",Adventure,",","&amp;SUBSTITUTE(TableMain[[#This Row],[Tags]],", ",",")&amp;",")),"Y","N")</f>
        <v>N</v>
      </c>
      <c r="M238" s="3" t="str">
        <f>IF(ISNUMBER(SEARCH(",Simulation,",","&amp;SUBSTITUTE(TableMain[[#This Row],[Tags]],", ",",")&amp;",")),"Y","N")</f>
        <v>N</v>
      </c>
      <c r="N238" s="3" t="str">
        <f>IF(ISNUMBER(SEARCH(",RPG,",","&amp;SUBSTITUTE(TableMain[[#This Row],[Tags]],", ",",")&amp;",")),"Y","N")</f>
        <v>Y</v>
      </c>
      <c r="O238" s="3" t="str">
        <f>IF(ISNUMBER(SEARCH(",Strategy,",","&amp;SUBSTITUTE(TableMain[[#This Row],[Tags]],", ",",")&amp;",")),"Y","N")</f>
        <v>Y</v>
      </c>
      <c r="P238" s="3" t="str">
        <f>IF(ISNUMBER(SEARCH(",Free To Play,",","&amp;SUBSTITUTE(TableMain[[#This Row],[Tags]],", ",",")&amp;",")),"Y","N")</f>
        <v>N</v>
      </c>
    </row>
    <row r="239" spans="1:16" x14ac:dyDescent="0.35">
      <c r="A239">
        <v>32470</v>
      </c>
      <c r="B239" t="s">
        <v>633</v>
      </c>
      <c r="C239" s="1">
        <v>40323</v>
      </c>
      <c r="D239">
        <v>2818</v>
      </c>
      <c r="E239" t="b">
        <v>0</v>
      </c>
      <c r="F239" t="s">
        <v>634</v>
      </c>
      <c r="G239" t="s">
        <v>124</v>
      </c>
      <c r="H239">
        <v>238</v>
      </c>
      <c r="I239" t="s">
        <v>2084</v>
      </c>
      <c r="J239" s="3" t="str">
        <f>IF(ISNUMBER(SEARCH(",Action,",","&amp;SUBSTITUTE(TableMain[[#This Row],[Tags]],", ",",")&amp;",")),"Y","N")</f>
        <v>N</v>
      </c>
      <c r="K239" s="3" t="str">
        <f>IF(ISNUMBER(SEARCH(",Indie,",","&amp;SUBSTITUTE(TableMain[[#This Row],[Tags]],", ",",")&amp;",")),"Y","N")</f>
        <v>N</v>
      </c>
      <c r="L239" s="3" t="str">
        <f>IF(ISNUMBER(SEARCH(",Adventure,",","&amp;SUBSTITUTE(TableMain[[#This Row],[Tags]],", ",",")&amp;",")),"Y","N")</f>
        <v>N</v>
      </c>
      <c r="M239" s="3" t="str">
        <f>IF(ISNUMBER(SEARCH(",Simulation,",","&amp;SUBSTITUTE(TableMain[[#This Row],[Tags]],", ",",")&amp;",")),"Y","N")</f>
        <v>N</v>
      </c>
      <c r="N239" s="3" t="str">
        <f>IF(ISNUMBER(SEARCH(",RPG,",","&amp;SUBSTITUTE(TableMain[[#This Row],[Tags]],", ",",")&amp;",")),"Y","N")</f>
        <v>N</v>
      </c>
      <c r="O239" s="3" t="str">
        <f>IF(ISNUMBER(SEARCH(",Strategy,",","&amp;SUBSTITUTE(TableMain[[#This Row],[Tags]],", ",",")&amp;",")),"Y","N")</f>
        <v>Y</v>
      </c>
      <c r="P239" s="3" t="str">
        <f>IF(ISNUMBER(SEARCH(",Free To Play,",","&amp;SUBSTITUTE(TableMain[[#This Row],[Tags]],", ",",")&amp;",")),"Y","N")</f>
        <v>N</v>
      </c>
    </row>
    <row r="240" spans="1:16" x14ac:dyDescent="0.35">
      <c r="A240">
        <v>4700</v>
      </c>
      <c r="B240" t="s">
        <v>635</v>
      </c>
      <c r="C240" s="1">
        <v>39036</v>
      </c>
      <c r="D240">
        <v>2814</v>
      </c>
      <c r="E240" t="b">
        <v>1</v>
      </c>
      <c r="F240" t="s">
        <v>636</v>
      </c>
      <c r="G240" t="s">
        <v>124</v>
      </c>
      <c r="H240">
        <v>239</v>
      </c>
      <c r="I240" t="s">
        <v>2083</v>
      </c>
      <c r="J240" s="3" t="str">
        <f>IF(ISNUMBER(SEARCH(",Action,",","&amp;SUBSTITUTE(TableMain[[#This Row],[Tags]],", ",",")&amp;",")),"Y","N")</f>
        <v>N</v>
      </c>
      <c r="K240" s="3" t="str">
        <f>IF(ISNUMBER(SEARCH(",Indie,",","&amp;SUBSTITUTE(TableMain[[#This Row],[Tags]],", ",",")&amp;",")),"Y","N")</f>
        <v>N</v>
      </c>
      <c r="L240" s="3" t="str">
        <f>IF(ISNUMBER(SEARCH(",Adventure,",","&amp;SUBSTITUTE(TableMain[[#This Row],[Tags]],", ",",")&amp;",")),"Y","N")</f>
        <v>N</v>
      </c>
      <c r="M240" s="3" t="str">
        <f>IF(ISNUMBER(SEARCH(",Simulation,",","&amp;SUBSTITUTE(TableMain[[#This Row],[Tags]],", ",",")&amp;",")),"Y","N")</f>
        <v>N</v>
      </c>
      <c r="N240" s="3" t="str">
        <f>IF(ISNUMBER(SEARCH(",RPG,",","&amp;SUBSTITUTE(TableMain[[#This Row],[Tags]],", ",",")&amp;",")),"Y","N")</f>
        <v>N</v>
      </c>
      <c r="O240" s="3" t="str">
        <f>IF(ISNUMBER(SEARCH(",Strategy,",","&amp;SUBSTITUTE(TableMain[[#This Row],[Tags]],", ",",")&amp;",")),"Y","N")</f>
        <v>Y</v>
      </c>
      <c r="P240" s="3" t="str">
        <f>IF(ISNUMBER(SEARCH(",Free To Play,",","&amp;SUBSTITUTE(TableMain[[#This Row],[Tags]],", ",",")&amp;",")),"Y","N")</f>
        <v>N</v>
      </c>
    </row>
    <row r="241" spans="1:16" x14ac:dyDescent="0.35">
      <c r="A241">
        <v>916440</v>
      </c>
      <c r="B241" t="s">
        <v>637</v>
      </c>
      <c r="C241" s="1">
        <v>43571</v>
      </c>
      <c r="D241">
        <v>2784</v>
      </c>
      <c r="E241" t="b">
        <v>0</v>
      </c>
      <c r="F241" t="s">
        <v>638</v>
      </c>
      <c r="G241" t="s">
        <v>100</v>
      </c>
      <c r="H241">
        <v>240</v>
      </c>
      <c r="I241" t="s">
        <v>293</v>
      </c>
      <c r="J241" s="3" t="str">
        <f>IF(ISNUMBER(SEARCH(",Action,",","&amp;SUBSTITUTE(TableMain[[#This Row],[Tags]],", ",",")&amp;",")),"Y","N")</f>
        <v>N</v>
      </c>
      <c r="K241" s="3" t="str">
        <f>IF(ISNUMBER(SEARCH(",Indie,",","&amp;SUBSTITUTE(TableMain[[#This Row],[Tags]],", ",",")&amp;",")),"Y","N")</f>
        <v>N</v>
      </c>
      <c r="L241" s="3" t="str">
        <f>IF(ISNUMBER(SEARCH(",Adventure,",","&amp;SUBSTITUTE(TableMain[[#This Row],[Tags]],", ",",")&amp;",")),"Y","N")</f>
        <v>N</v>
      </c>
      <c r="M241" s="3" t="str">
        <f>IF(ISNUMBER(SEARCH(",Simulation,",","&amp;SUBSTITUTE(TableMain[[#This Row],[Tags]],", ",",")&amp;",")),"Y","N")</f>
        <v>Y</v>
      </c>
      <c r="N241" s="3" t="str">
        <f>IF(ISNUMBER(SEARCH(",RPG,",","&amp;SUBSTITUTE(TableMain[[#This Row],[Tags]],", ",",")&amp;",")),"Y","N")</f>
        <v>N</v>
      </c>
      <c r="O241" s="3" t="str">
        <f>IF(ISNUMBER(SEARCH(",Strategy,",","&amp;SUBSTITUTE(TableMain[[#This Row],[Tags]],", ",",")&amp;",")),"Y","N")</f>
        <v>Y</v>
      </c>
      <c r="P241" s="3" t="str">
        <f>IF(ISNUMBER(SEARCH(",Free To Play,",","&amp;SUBSTITUTE(TableMain[[#This Row],[Tags]],", ",",")&amp;",")),"Y","N")</f>
        <v>N</v>
      </c>
    </row>
    <row r="242" spans="1:16" x14ac:dyDescent="0.35">
      <c r="A242">
        <v>380600</v>
      </c>
      <c r="B242" t="s">
        <v>639</v>
      </c>
      <c r="C242" s="1">
        <v>42975</v>
      </c>
      <c r="D242">
        <v>2781</v>
      </c>
      <c r="E242" t="b">
        <v>1</v>
      </c>
      <c r="F242" t="s">
        <v>640</v>
      </c>
      <c r="G242" t="s">
        <v>641</v>
      </c>
      <c r="H242">
        <v>241</v>
      </c>
      <c r="I242" t="s">
        <v>642</v>
      </c>
      <c r="J242" s="3" t="str">
        <f>IF(ISNUMBER(SEARCH(",Action,",","&amp;SUBSTITUTE(TableMain[[#This Row],[Tags]],", ",",")&amp;",")),"Y","N")</f>
        <v>N</v>
      </c>
      <c r="K242" s="3" t="str">
        <f>IF(ISNUMBER(SEARCH(",Indie,",","&amp;SUBSTITUTE(TableMain[[#This Row],[Tags]],", ",",")&amp;",")),"Y","N")</f>
        <v>N</v>
      </c>
      <c r="L242" s="3" t="str">
        <f>IF(ISNUMBER(SEARCH(",Adventure,",","&amp;SUBSTITUTE(TableMain[[#This Row],[Tags]],", ",",")&amp;",")),"Y","N")</f>
        <v>N</v>
      </c>
      <c r="M242" s="3" t="str">
        <f>IF(ISNUMBER(SEARCH(",Simulation,",","&amp;SUBSTITUTE(TableMain[[#This Row],[Tags]],", ",",")&amp;",")),"Y","N")</f>
        <v>Y</v>
      </c>
      <c r="N242" s="3" t="str">
        <f>IF(ISNUMBER(SEARCH(",RPG,",","&amp;SUBSTITUTE(TableMain[[#This Row],[Tags]],", ",",")&amp;",")),"Y","N")</f>
        <v>N</v>
      </c>
      <c r="O242" s="3" t="str">
        <f>IF(ISNUMBER(SEARCH(",Strategy,",","&amp;SUBSTITUTE(TableMain[[#This Row],[Tags]],", ",",")&amp;",")),"Y","N")</f>
        <v>N</v>
      </c>
      <c r="P242" s="3" t="str">
        <f>IF(ISNUMBER(SEARCH(",Free To Play,",","&amp;SUBSTITUTE(TableMain[[#This Row],[Tags]],", ",",")&amp;",")),"Y","N")</f>
        <v>Y</v>
      </c>
    </row>
    <row r="243" spans="1:16" x14ac:dyDescent="0.35">
      <c r="A243">
        <v>1517290</v>
      </c>
      <c r="B243" t="s">
        <v>643</v>
      </c>
      <c r="C243" s="1">
        <v>44519</v>
      </c>
      <c r="D243">
        <v>2774</v>
      </c>
      <c r="E243" t="b">
        <v>0</v>
      </c>
      <c r="F243" t="s">
        <v>644</v>
      </c>
      <c r="G243" t="s">
        <v>491</v>
      </c>
      <c r="H243">
        <v>242</v>
      </c>
      <c r="I243" t="s">
        <v>50</v>
      </c>
      <c r="J243" s="3" t="str">
        <f>IF(ISNUMBER(SEARCH(",Action,",","&amp;SUBSTITUTE(TableMain[[#This Row],[Tags]],", ",",")&amp;",")),"Y","N")</f>
        <v>Y</v>
      </c>
      <c r="K243" s="3" t="str">
        <f>IF(ISNUMBER(SEARCH(",Indie,",","&amp;SUBSTITUTE(TableMain[[#This Row],[Tags]],", ",",")&amp;",")),"Y","N")</f>
        <v>N</v>
      </c>
      <c r="L243" s="3" t="str">
        <f>IF(ISNUMBER(SEARCH(",Adventure,",","&amp;SUBSTITUTE(TableMain[[#This Row],[Tags]],", ",",")&amp;",")),"Y","N")</f>
        <v>Y</v>
      </c>
      <c r="M243" s="3" t="str">
        <f>IF(ISNUMBER(SEARCH(",Simulation,",","&amp;SUBSTITUTE(TableMain[[#This Row],[Tags]],", ",",")&amp;",")),"Y","N")</f>
        <v>N</v>
      </c>
      <c r="N243" s="3" t="str">
        <f>IF(ISNUMBER(SEARCH(",RPG,",","&amp;SUBSTITUTE(TableMain[[#This Row],[Tags]],", ",",")&amp;",")),"Y","N")</f>
        <v>N</v>
      </c>
      <c r="O243" s="3" t="str">
        <f>IF(ISNUMBER(SEARCH(",Strategy,",","&amp;SUBSTITUTE(TableMain[[#This Row],[Tags]],", ",",")&amp;",")),"Y","N")</f>
        <v>N</v>
      </c>
      <c r="P243" s="3" t="str">
        <f>IF(ISNUMBER(SEARCH(",Free To Play,",","&amp;SUBSTITUTE(TableMain[[#This Row],[Tags]],", ",",")&amp;",")),"Y","N")</f>
        <v>N</v>
      </c>
    </row>
    <row r="244" spans="1:16" x14ac:dyDescent="0.35">
      <c r="A244">
        <v>2646460</v>
      </c>
      <c r="B244" t="s">
        <v>645</v>
      </c>
      <c r="C244" s="1">
        <v>45442</v>
      </c>
      <c r="D244">
        <v>2760</v>
      </c>
      <c r="E244" t="b">
        <v>0</v>
      </c>
      <c r="F244" t="s">
        <v>646</v>
      </c>
      <c r="G244" t="s">
        <v>647</v>
      </c>
      <c r="H244">
        <v>243</v>
      </c>
      <c r="I244" t="s">
        <v>29</v>
      </c>
      <c r="J244" s="3" t="str">
        <f>IF(ISNUMBER(SEARCH(",Action,",","&amp;SUBSTITUTE(TableMain[[#This Row],[Tags]],", ",",")&amp;",")),"Y","N")</f>
        <v>N</v>
      </c>
      <c r="K244" s="3" t="str">
        <f>IF(ISNUMBER(SEARCH(",Indie,",","&amp;SUBSTITUTE(TableMain[[#This Row],[Tags]],", ",",")&amp;",")),"Y","N")</f>
        <v>Y</v>
      </c>
      <c r="L244" s="3" t="str">
        <f>IF(ISNUMBER(SEARCH(",Adventure,",","&amp;SUBSTITUTE(TableMain[[#This Row],[Tags]],", ",",")&amp;",")),"Y","N")</f>
        <v>Y</v>
      </c>
      <c r="M244" s="3" t="str">
        <f>IF(ISNUMBER(SEARCH(",Simulation,",","&amp;SUBSTITUTE(TableMain[[#This Row],[Tags]],", ",",")&amp;",")),"Y","N")</f>
        <v>Y</v>
      </c>
      <c r="N244" s="3" t="str">
        <f>IF(ISNUMBER(SEARCH(",RPG,",","&amp;SUBSTITUTE(TableMain[[#This Row],[Tags]],", ",",")&amp;",")),"Y","N")</f>
        <v>Y</v>
      </c>
      <c r="O244" s="3" t="str">
        <f>IF(ISNUMBER(SEARCH(",Strategy,",","&amp;SUBSTITUTE(TableMain[[#This Row],[Tags]],", ",",")&amp;",")),"Y","N")</f>
        <v>N</v>
      </c>
      <c r="P244" s="3" t="str">
        <f>IF(ISNUMBER(SEARCH(",Free To Play,",","&amp;SUBSTITUTE(TableMain[[#This Row],[Tags]],", ",",")&amp;",")),"Y","N")</f>
        <v>Y</v>
      </c>
    </row>
    <row r="245" spans="1:16" x14ac:dyDescent="0.35">
      <c r="A245">
        <v>644930</v>
      </c>
      <c r="B245" t="s">
        <v>648</v>
      </c>
      <c r="C245" s="1">
        <v>43634</v>
      </c>
      <c r="D245">
        <v>2751</v>
      </c>
      <c r="E245" t="b">
        <v>0</v>
      </c>
      <c r="F245" t="s">
        <v>649</v>
      </c>
      <c r="G245" t="s">
        <v>124</v>
      </c>
      <c r="H245">
        <v>244</v>
      </c>
      <c r="I245" t="s">
        <v>68</v>
      </c>
      <c r="J245" s="3" t="str">
        <f>IF(ISNUMBER(SEARCH(",Action,",","&amp;SUBSTITUTE(TableMain[[#This Row],[Tags]],", ",",")&amp;",")),"Y","N")</f>
        <v>N</v>
      </c>
      <c r="K245" s="3" t="str">
        <f>IF(ISNUMBER(SEARCH(",Indie,",","&amp;SUBSTITUTE(TableMain[[#This Row],[Tags]],", ",",")&amp;",")),"Y","N")</f>
        <v>N</v>
      </c>
      <c r="L245" s="3" t="str">
        <f>IF(ISNUMBER(SEARCH(",Adventure,",","&amp;SUBSTITUTE(TableMain[[#This Row],[Tags]],", ",",")&amp;",")),"Y","N")</f>
        <v>N</v>
      </c>
      <c r="M245" s="3" t="str">
        <f>IF(ISNUMBER(SEARCH(",Simulation,",","&amp;SUBSTITUTE(TableMain[[#This Row],[Tags]],", ",",")&amp;",")),"Y","N")</f>
        <v>N</v>
      </c>
      <c r="N245" s="3" t="str">
        <f>IF(ISNUMBER(SEARCH(",RPG,",","&amp;SUBSTITUTE(TableMain[[#This Row],[Tags]],", ",",")&amp;",")),"Y","N")</f>
        <v>N</v>
      </c>
      <c r="O245" s="3" t="str">
        <f>IF(ISNUMBER(SEARCH(",Strategy,",","&amp;SUBSTITUTE(TableMain[[#This Row],[Tags]],", ",",")&amp;",")),"Y","N")</f>
        <v>Y</v>
      </c>
      <c r="P245" s="3" t="str">
        <f>IF(ISNUMBER(SEARCH(",Free To Play,",","&amp;SUBSTITUTE(TableMain[[#This Row],[Tags]],", ",",")&amp;",")),"Y","N")</f>
        <v>N</v>
      </c>
    </row>
    <row r="246" spans="1:16" x14ac:dyDescent="0.35">
      <c r="A246">
        <v>264710</v>
      </c>
      <c r="B246" t="s">
        <v>650</v>
      </c>
      <c r="C246" s="1">
        <v>43123</v>
      </c>
      <c r="D246">
        <v>2719</v>
      </c>
      <c r="E246" t="b">
        <v>1</v>
      </c>
      <c r="F246" t="s">
        <v>651</v>
      </c>
      <c r="G246" t="s">
        <v>652</v>
      </c>
      <c r="H246">
        <v>245</v>
      </c>
      <c r="I246" t="s">
        <v>110</v>
      </c>
      <c r="J246" s="3" t="str">
        <f>IF(ISNUMBER(SEARCH(",Action,",","&amp;SUBSTITUTE(TableMain[[#This Row],[Tags]],", ",",")&amp;",")),"Y","N")</f>
        <v>N</v>
      </c>
      <c r="K246" s="3" t="str">
        <f>IF(ISNUMBER(SEARCH(",Indie,",","&amp;SUBSTITUTE(TableMain[[#This Row],[Tags]],", ",",")&amp;",")),"Y","N")</f>
        <v>Y</v>
      </c>
      <c r="L246" s="3" t="str">
        <f>IF(ISNUMBER(SEARCH(",Adventure,",","&amp;SUBSTITUTE(TableMain[[#This Row],[Tags]],", ",",")&amp;",")),"Y","N")</f>
        <v>Y</v>
      </c>
      <c r="M246" s="3" t="str">
        <f>IF(ISNUMBER(SEARCH(",Simulation,",","&amp;SUBSTITUTE(TableMain[[#This Row],[Tags]],", ",",")&amp;",")),"Y","N")</f>
        <v>N</v>
      </c>
      <c r="N246" s="3" t="str">
        <f>IF(ISNUMBER(SEARCH(",RPG,",","&amp;SUBSTITUTE(TableMain[[#This Row],[Tags]],", ",",")&amp;",")),"Y","N")</f>
        <v>N</v>
      </c>
      <c r="O246" s="3" t="str">
        <f>IF(ISNUMBER(SEARCH(",Strategy,",","&amp;SUBSTITUTE(TableMain[[#This Row],[Tags]],", ",",")&amp;",")),"Y","N")</f>
        <v>N</v>
      </c>
      <c r="P246" s="3" t="str">
        <f>IF(ISNUMBER(SEARCH(",Free To Play,",","&amp;SUBSTITUTE(TableMain[[#This Row],[Tags]],", ",",")&amp;",")),"Y","N")</f>
        <v>N</v>
      </c>
    </row>
    <row r="247" spans="1:16" x14ac:dyDescent="0.35">
      <c r="A247">
        <v>1366540</v>
      </c>
      <c r="B247" t="s">
        <v>653</v>
      </c>
      <c r="C247" s="1">
        <v>44216</v>
      </c>
      <c r="D247">
        <v>2703</v>
      </c>
      <c r="E247" t="b">
        <v>0</v>
      </c>
      <c r="F247" t="s">
        <v>654</v>
      </c>
      <c r="G247" t="s">
        <v>483</v>
      </c>
      <c r="H247">
        <v>246</v>
      </c>
      <c r="I247" t="s">
        <v>119</v>
      </c>
      <c r="J247" s="3" t="str">
        <f>IF(ISNUMBER(SEARCH(",Action,",","&amp;SUBSTITUTE(TableMain[[#This Row],[Tags]],", ",",")&amp;",")),"Y","N")</f>
        <v>N</v>
      </c>
      <c r="K247" s="3" t="str">
        <f>IF(ISNUMBER(SEARCH(",Indie,",","&amp;SUBSTITUTE(TableMain[[#This Row],[Tags]],", ",",")&amp;",")),"Y","N")</f>
        <v>Y</v>
      </c>
      <c r="L247" s="3" t="str">
        <f>IF(ISNUMBER(SEARCH(",Adventure,",","&amp;SUBSTITUTE(TableMain[[#This Row],[Tags]],", ",",")&amp;",")),"Y","N")</f>
        <v>N</v>
      </c>
      <c r="M247" s="3" t="str">
        <f>IF(ISNUMBER(SEARCH(",Simulation,",","&amp;SUBSTITUTE(TableMain[[#This Row],[Tags]],", ",",")&amp;",")),"Y","N")</f>
        <v>Y</v>
      </c>
      <c r="N247" s="3" t="str">
        <f>IF(ISNUMBER(SEARCH(",RPG,",","&amp;SUBSTITUTE(TableMain[[#This Row],[Tags]],", ",",")&amp;",")),"Y","N")</f>
        <v>N</v>
      </c>
      <c r="O247" s="3" t="str">
        <f>IF(ISNUMBER(SEARCH(",Strategy,",","&amp;SUBSTITUTE(TableMain[[#This Row],[Tags]],", ",",")&amp;",")),"Y","N")</f>
        <v>Y</v>
      </c>
      <c r="P247" s="3" t="str">
        <f>IF(ISNUMBER(SEARCH(",Free To Play,",","&amp;SUBSTITUTE(TableMain[[#This Row],[Tags]],", ",",")&amp;",")),"Y","N")</f>
        <v>N</v>
      </c>
    </row>
    <row r="248" spans="1:16" x14ac:dyDescent="0.35">
      <c r="A248">
        <v>412220</v>
      </c>
      <c r="B248" t="s">
        <v>655</v>
      </c>
      <c r="C248" s="1">
        <v>44060</v>
      </c>
      <c r="D248">
        <v>2679</v>
      </c>
      <c r="E248" t="b">
        <v>1</v>
      </c>
      <c r="F248" t="s">
        <v>656</v>
      </c>
      <c r="G248" t="s">
        <v>232</v>
      </c>
      <c r="H248">
        <v>247</v>
      </c>
      <c r="I248" t="s">
        <v>14</v>
      </c>
      <c r="J248" s="3" t="str">
        <f>IF(ISNUMBER(SEARCH(",Action,",","&amp;SUBSTITUTE(TableMain[[#This Row],[Tags]],", ",",")&amp;",")),"Y","N")</f>
        <v>Y</v>
      </c>
      <c r="K248" s="3" t="str">
        <f>IF(ISNUMBER(SEARCH(",Indie,",","&amp;SUBSTITUTE(TableMain[[#This Row],[Tags]],", ",",")&amp;",")),"Y","N")</f>
        <v>Y</v>
      </c>
      <c r="L248" s="3" t="str">
        <f>IF(ISNUMBER(SEARCH(",Adventure,",","&amp;SUBSTITUTE(TableMain[[#This Row],[Tags]],", ",",")&amp;",")),"Y","N")</f>
        <v>N</v>
      </c>
      <c r="M248" s="3" t="str">
        <f>IF(ISNUMBER(SEARCH(",Simulation,",","&amp;SUBSTITUTE(TableMain[[#This Row],[Tags]],", ",",")&amp;",")),"Y","N")</f>
        <v>N</v>
      </c>
      <c r="N248" s="3" t="str">
        <f>IF(ISNUMBER(SEARCH(",RPG,",","&amp;SUBSTITUTE(TableMain[[#This Row],[Tags]],", ",",")&amp;",")),"Y","N")</f>
        <v>N</v>
      </c>
      <c r="O248" s="3" t="str">
        <f>IF(ISNUMBER(SEARCH(",Strategy,",","&amp;SUBSTITUTE(TableMain[[#This Row],[Tags]],", ",",")&amp;",")),"Y","N")</f>
        <v>N</v>
      </c>
      <c r="P248" s="3" t="str">
        <f>IF(ISNUMBER(SEARCH(",Free To Play,",","&amp;SUBSTITUTE(TableMain[[#This Row],[Tags]],", ",",")&amp;",")),"Y","N")</f>
        <v>Y</v>
      </c>
    </row>
    <row r="249" spans="1:16" x14ac:dyDescent="0.35">
      <c r="A249">
        <v>3590</v>
      </c>
      <c r="B249" t="s">
        <v>657</v>
      </c>
      <c r="C249" s="1">
        <v>39938</v>
      </c>
      <c r="D249">
        <v>2656</v>
      </c>
      <c r="E249" t="b">
        <v>1</v>
      </c>
      <c r="F249" t="s">
        <v>658</v>
      </c>
      <c r="G249" t="s">
        <v>124</v>
      </c>
      <c r="H249">
        <v>248</v>
      </c>
      <c r="I249" t="s">
        <v>2084</v>
      </c>
      <c r="J249" s="3" t="str">
        <f>IF(ISNUMBER(SEARCH(",Action,",","&amp;SUBSTITUTE(TableMain[[#This Row],[Tags]],", ",",")&amp;",")),"Y","N")</f>
        <v>N</v>
      </c>
      <c r="K249" s="3" t="str">
        <f>IF(ISNUMBER(SEARCH(",Indie,",","&amp;SUBSTITUTE(TableMain[[#This Row],[Tags]],", ",",")&amp;",")),"Y","N")</f>
        <v>N</v>
      </c>
      <c r="L249" s="3" t="str">
        <f>IF(ISNUMBER(SEARCH(",Adventure,",","&amp;SUBSTITUTE(TableMain[[#This Row],[Tags]],", ",",")&amp;",")),"Y","N")</f>
        <v>N</v>
      </c>
      <c r="M249" s="3" t="str">
        <f>IF(ISNUMBER(SEARCH(",Simulation,",","&amp;SUBSTITUTE(TableMain[[#This Row],[Tags]],", ",",")&amp;",")),"Y","N")</f>
        <v>N</v>
      </c>
      <c r="N249" s="3" t="str">
        <f>IF(ISNUMBER(SEARCH(",RPG,",","&amp;SUBSTITUTE(TableMain[[#This Row],[Tags]],", ",",")&amp;",")),"Y","N")</f>
        <v>N</v>
      </c>
      <c r="O249" s="3" t="str">
        <f>IF(ISNUMBER(SEARCH(",Strategy,",","&amp;SUBSTITUTE(TableMain[[#This Row],[Tags]],", ",",")&amp;",")),"Y","N")</f>
        <v>Y</v>
      </c>
      <c r="P249" s="3" t="str">
        <f>IF(ISNUMBER(SEARCH(",Free To Play,",","&amp;SUBSTITUTE(TableMain[[#This Row],[Tags]],", ",",")&amp;",")),"Y","N")</f>
        <v>N</v>
      </c>
    </row>
    <row r="250" spans="1:16" x14ac:dyDescent="0.35">
      <c r="A250">
        <v>1659040</v>
      </c>
      <c r="B250" t="s">
        <v>659</v>
      </c>
      <c r="C250" s="1">
        <v>44581</v>
      </c>
      <c r="D250">
        <v>2637</v>
      </c>
      <c r="E250" t="b">
        <v>0</v>
      </c>
      <c r="F250" t="s">
        <v>660</v>
      </c>
      <c r="G250" t="s">
        <v>46</v>
      </c>
      <c r="H250">
        <v>249</v>
      </c>
      <c r="I250" t="s">
        <v>25</v>
      </c>
      <c r="J250" s="3" t="str">
        <f>IF(ISNUMBER(SEARCH(",Action,",","&amp;SUBSTITUTE(TableMain[[#This Row],[Tags]],", ",",")&amp;",")),"Y","N")</f>
        <v>Y</v>
      </c>
      <c r="K250" s="3" t="str">
        <f>IF(ISNUMBER(SEARCH(",Indie,",","&amp;SUBSTITUTE(TableMain[[#This Row],[Tags]],", ",",")&amp;",")),"Y","N")</f>
        <v>N</v>
      </c>
      <c r="L250" s="3" t="str">
        <f>IF(ISNUMBER(SEARCH(",Adventure,",","&amp;SUBSTITUTE(TableMain[[#This Row],[Tags]],", ",",")&amp;",")),"Y","N")</f>
        <v>Y</v>
      </c>
      <c r="M250" s="3" t="str">
        <f>IF(ISNUMBER(SEARCH(",Simulation,",","&amp;SUBSTITUTE(TableMain[[#This Row],[Tags]],", ",",")&amp;",")),"Y","N")</f>
        <v>N</v>
      </c>
      <c r="N250" s="3" t="str">
        <f>IF(ISNUMBER(SEARCH(",RPG,",","&amp;SUBSTITUTE(TableMain[[#This Row],[Tags]],", ",",")&amp;",")),"Y","N")</f>
        <v>N</v>
      </c>
      <c r="O250" s="3" t="str">
        <f>IF(ISNUMBER(SEARCH(",Strategy,",","&amp;SUBSTITUTE(TableMain[[#This Row],[Tags]],", ",",")&amp;",")),"Y","N")</f>
        <v>N</v>
      </c>
      <c r="P250" s="3" t="str">
        <f>IF(ISNUMBER(SEARCH(",Free To Play,",","&amp;SUBSTITUTE(TableMain[[#This Row],[Tags]],", ",",")&amp;",")),"Y","N")</f>
        <v>N</v>
      </c>
    </row>
    <row r="251" spans="1:16" x14ac:dyDescent="0.35">
      <c r="A251">
        <v>3183280</v>
      </c>
      <c r="B251" t="s">
        <v>661</v>
      </c>
      <c r="C251" s="1">
        <v>45798</v>
      </c>
      <c r="D251">
        <v>2634</v>
      </c>
      <c r="E251" t="b">
        <v>0</v>
      </c>
      <c r="F251" t="s">
        <v>662</v>
      </c>
      <c r="G251" t="s">
        <v>663</v>
      </c>
      <c r="H251">
        <v>250</v>
      </c>
      <c r="I251" t="s">
        <v>119</v>
      </c>
      <c r="J251" s="3" t="str">
        <f>IF(ISNUMBER(SEARCH(",Action,",","&amp;SUBSTITUTE(TableMain[[#This Row],[Tags]],", ",",")&amp;",")),"Y","N")</f>
        <v>Y</v>
      </c>
      <c r="K251" s="3" t="str">
        <f>IF(ISNUMBER(SEARCH(",Indie,",","&amp;SUBSTITUTE(TableMain[[#This Row],[Tags]],", ",",")&amp;",")),"Y","N")</f>
        <v>N</v>
      </c>
      <c r="L251" s="3" t="str">
        <f>IF(ISNUMBER(SEARCH(",Adventure,",","&amp;SUBSTITUTE(TableMain[[#This Row],[Tags]],", ",",")&amp;",")),"Y","N")</f>
        <v>Y</v>
      </c>
      <c r="M251" s="3" t="str">
        <f>IF(ISNUMBER(SEARCH(",Simulation,",","&amp;SUBSTITUTE(TableMain[[#This Row],[Tags]],", ",",")&amp;",")),"Y","N")</f>
        <v>N</v>
      </c>
      <c r="N251" s="3" t="str">
        <f>IF(ISNUMBER(SEARCH(",RPG,",","&amp;SUBSTITUTE(TableMain[[#This Row],[Tags]],", ",",")&amp;",")),"Y","N")</f>
        <v>Y</v>
      </c>
      <c r="O251" s="3" t="str">
        <f>IF(ISNUMBER(SEARCH(",Strategy,",","&amp;SUBSTITUTE(TableMain[[#This Row],[Tags]],", ",",")&amp;",")),"Y","N")</f>
        <v>N</v>
      </c>
      <c r="P251" s="3" t="str">
        <f>IF(ISNUMBER(SEARCH(",Free To Play,",","&amp;SUBSTITUTE(TableMain[[#This Row],[Tags]],", ",",")&amp;",")),"Y","N")</f>
        <v>Y</v>
      </c>
    </row>
    <row r="252" spans="1:16" x14ac:dyDescent="0.35">
      <c r="A252">
        <v>812140</v>
      </c>
      <c r="B252" t="s">
        <v>664</v>
      </c>
      <c r="C252" s="1">
        <v>43378</v>
      </c>
      <c r="D252">
        <v>2629</v>
      </c>
      <c r="E252" t="b">
        <v>0</v>
      </c>
      <c r="F252" t="s">
        <v>665</v>
      </c>
      <c r="G252" t="s">
        <v>208</v>
      </c>
      <c r="H252">
        <v>251</v>
      </c>
      <c r="I252" t="s">
        <v>68</v>
      </c>
      <c r="J252" s="3" t="str">
        <f>IF(ISNUMBER(SEARCH(",Action,",","&amp;SUBSTITUTE(TableMain[[#This Row],[Tags]],", ",",")&amp;",")),"Y","N")</f>
        <v>Y</v>
      </c>
      <c r="K252" s="3" t="str">
        <f>IF(ISNUMBER(SEARCH(",Indie,",","&amp;SUBSTITUTE(TableMain[[#This Row],[Tags]],", ",",")&amp;",")),"Y","N")</f>
        <v>N</v>
      </c>
      <c r="L252" s="3" t="str">
        <f>IF(ISNUMBER(SEARCH(",Adventure,",","&amp;SUBSTITUTE(TableMain[[#This Row],[Tags]],", ",",")&amp;",")),"Y","N")</f>
        <v>Y</v>
      </c>
      <c r="M252" s="3" t="str">
        <f>IF(ISNUMBER(SEARCH(",Simulation,",","&amp;SUBSTITUTE(TableMain[[#This Row],[Tags]],", ",",")&amp;",")),"Y","N")</f>
        <v>N</v>
      </c>
      <c r="N252" s="3" t="str">
        <f>IF(ISNUMBER(SEARCH(",RPG,",","&amp;SUBSTITUTE(TableMain[[#This Row],[Tags]],", ",",")&amp;",")),"Y","N")</f>
        <v>Y</v>
      </c>
      <c r="O252" s="3" t="str">
        <f>IF(ISNUMBER(SEARCH(",Strategy,",","&amp;SUBSTITUTE(TableMain[[#This Row],[Tags]],", ",",")&amp;",")),"Y","N")</f>
        <v>N</v>
      </c>
      <c r="P252" s="3" t="str">
        <f>IF(ISNUMBER(SEARCH(",Free To Play,",","&amp;SUBSTITUTE(TableMain[[#This Row],[Tags]],", ",",")&amp;",")),"Y","N")</f>
        <v>N</v>
      </c>
    </row>
    <row r="253" spans="1:16" x14ac:dyDescent="0.35">
      <c r="A253">
        <v>784150</v>
      </c>
      <c r="B253" t="s">
        <v>666</v>
      </c>
      <c r="C253" s="1">
        <v>45463</v>
      </c>
      <c r="D253">
        <v>2590</v>
      </c>
      <c r="E253" t="b">
        <v>0</v>
      </c>
      <c r="F253" t="s">
        <v>667</v>
      </c>
      <c r="G253" t="s">
        <v>100</v>
      </c>
      <c r="H253">
        <v>252</v>
      </c>
      <c r="I253" t="s">
        <v>304</v>
      </c>
      <c r="J253" s="3" t="str">
        <f>IF(ISNUMBER(SEARCH(",Action,",","&amp;SUBSTITUTE(TableMain[[#This Row],[Tags]],", ",",")&amp;",")),"Y","N")</f>
        <v>N</v>
      </c>
      <c r="K253" s="3" t="str">
        <f>IF(ISNUMBER(SEARCH(",Indie,",","&amp;SUBSTITUTE(TableMain[[#This Row],[Tags]],", ",",")&amp;",")),"Y","N")</f>
        <v>N</v>
      </c>
      <c r="L253" s="3" t="str">
        <f>IF(ISNUMBER(SEARCH(",Adventure,",","&amp;SUBSTITUTE(TableMain[[#This Row],[Tags]],", ",",")&amp;",")),"Y","N")</f>
        <v>N</v>
      </c>
      <c r="M253" s="3" t="str">
        <f>IF(ISNUMBER(SEARCH(",Simulation,",","&amp;SUBSTITUTE(TableMain[[#This Row],[Tags]],", ",",")&amp;",")),"Y","N")</f>
        <v>Y</v>
      </c>
      <c r="N253" s="3" t="str">
        <f>IF(ISNUMBER(SEARCH(",RPG,",","&amp;SUBSTITUTE(TableMain[[#This Row],[Tags]],", ",",")&amp;",")),"Y","N")</f>
        <v>N</v>
      </c>
      <c r="O253" s="3" t="str">
        <f>IF(ISNUMBER(SEARCH(",Strategy,",","&amp;SUBSTITUTE(TableMain[[#This Row],[Tags]],", ",",")&amp;",")),"Y","N")</f>
        <v>Y</v>
      </c>
      <c r="P253" s="3" t="str">
        <f>IF(ISNUMBER(SEARCH(",Free To Play,",","&amp;SUBSTITUTE(TableMain[[#This Row],[Tags]],", ",",")&amp;",")),"Y","N")</f>
        <v>N</v>
      </c>
    </row>
    <row r="254" spans="1:16" x14ac:dyDescent="0.35">
      <c r="A254">
        <v>2071280</v>
      </c>
      <c r="B254" t="s">
        <v>668</v>
      </c>
      <c r="C254" s="1">
        <v>45561</v>
      </c>
      <c r="D254">
        <v>2578</v>
      </c>
      <c r="E254" t="b">
        <v>0</v>
      </c>
      <c r="F254" t="s">
        <v>530</v>
      </c>
      <c r="G254" t="s">
        <v>46</v>
      </c>
      <c r="H254">
        <v>253</v>
      </c>
      <c r="I254" t="s">
        <v>33</v>
      </c>
      <c r="J254" s="3" t="str">
        <f>IF(ISNUMBER(SEARCH(",Action,",","&amp;SUBSTITUTE(TableMain[[#This Row],[Tags]],", ",",")&amp;",")),"Y","N")</f>
        <v>Y</v>
      </c>
      <c r="K254" s="3" t="str">
        <f>IF(ISNUMBER(SEARCH(",Indie,",","&amp;SUBSTITUTE(TableMain[[#This Row],[Tags]],", ",",")&amp;",")),"Y","N")</f>
        <v>N</v>
      </c>
      <c r="L254" s="3" t="str">
        <f>IF(ISNUMBER(SEARCH(",Adventure,",","&amp;SUBSTITUTE(TableMain[[#This Row],[Tags]],", ",",")&amp;",")),"Y","N")</f>
        <v>Y</v>
      </c>
      <c r="M254" s="3" t="str">
        <f>IF(ISNUMBER(SEARCH(",Simulation,",","&amp;SUBSTITUTE(TableMain[[#This Row],[Tags]],", ",",")&amp;",")),"Y","N")</f>
        <v>N</v>
      </c>
      <c r="N254" s="3" t="str">
        <f>IF(ISNUMBER(SEARCH(",RPG,",","&amp;SUBSTITUTE(TableMain[[#This Row],[Tags]],", ",",")&amp;",")),"Y","N")</f>
        <v>N</v>
      </c>
      <c r="O254" s="3" t="str">
        <f>IF(ISNUMBER(SEARCH(",Strategy,",","&amp;SUBSTITUTE(TableMain[[#This Row],[Tags]],", ",",")&amp;",")),"Y","N")</f>
        <v>N</v>
      </c>
      <c r="P254" s="3" t="str">
        <f>IF(ISNUMBER(SEARCH(",Free To Play,",","&amp;SUBSTITUTE(TableMain[[#This Row],[Tags]],", ",",")&amp;",")),"Y","N")</f>
        <v>N</v>
      </c>
    </row>
    <row r="255" spans="1:16" x14ac:dyDescent="0.35">
      <c r="A255">
        <v>305620</v>
      </c>
      <c r="B255" t="s">
        <v>669</v>
      </c>
      <c r="C255" s="1">
        <v>42948</v>
      </c>
      <c r="D255">
        <v>2575</v>
      </c>
      <c r="E255" t="b">
        <v>1</v>
      </c>
      <c r="F255" t="s">
        <v>670</v>
      </c>
      <c r="G255" t="s">
        <v>245</v>
      </c>
      <c r="H255">
        <v>254</v>
      </c>
      <c r="I255" t="s">
        <v>110</v>
      </c>
      <c r="J255" s="3" t="str">
        <f>IF(ISNUMBER(SEARCH(",Action,",","&amp;SUBSTITUTE(TableMain[[#This Row],[Tags]],", ",",")&amp;",")),"Y","N")</f>
        <v>N</v>
      </c>
      <c r="K255" s="3" t="str">
        <f>IF(ISNUMBER(SEARCH(",Indie,",","&amp;SUBSTITUTE(TableMain[[#This Row],[Tags]],", ",",")&amp;",")),"Y","N")</f>
        <v>Y</v>
      </c>
      <c r="L255" s="3" t="str">
        <f>IF(ISNUMBER(SEARCH(",Adventure,",","&amp;SUBSTITUTE(TableMain[[#This Row],[Tags]],", ",",")&amp;",")),"Y","N")</f>
        <v>Y</v>
      </c>
      <c r="M255" s="3" t="str">
        <f>IF(ISNUMBER(SEARCH(",Simulation,",","&amp;SUBSTITUTE(TableMain[[#This Row],[Tags]],", ",",")&amp;",")),"Y","N")</f>
        <v>Y</v>
      </c>
      <c r="N255" s="3" t="str">
        <f>IF(ISNUMBER(SEARCH(",RPG,",","&amp;SUBSTITUTE(TableMain[[#This Row],[Tags]],", ",",")&amp;",")),"Y","N")</f>
        <v>N</v>
      </c>
      <c r="O255" s="3" t="str">
        <f>IF(ISNUMBER(SEARCH(",Strategy,",","&amp;SUBSTITUTE(TableMain[[#This Row],[Tags]],", ",",")&amp;",")),"Y","N")</f>
        <v>Y</v>
      </c>
      <c r="P255" s="3" t="str">
        <f>IF(ISNUMBER(SEARCH(",Free To Play,",","&amp;SUBSTITUTE(TableMain[[#This Row],[Tags]],", ",",")&amp;",")),"Y","N")</f>
        <v>N</v>
      </c>
    </row>
    <row r="256" spans="1:16" x14ac:dyDescent="0.35">
      <c r="A256">
        <v>2051620</v>
      </c>
      <c r="B256" t="s">
        <v>671</v>
      </c>
      <c r="C256" s="1">
        <v>45489</v>
      </c>
      <c r="D256">
        <v>2569</v>
      </c>
      <c r="E256" t="b">
        <v>0</v>
      </c>
      <c r="F256" t="s">
        <v>672</v>
      </c>
      <c r="G256" t="s">
        <v>673</v>
      </c>
      <c r="H256">
        <v>255</v>
      </c>
      <c r="I256" t="s">
        <v>371</v>
      </c>
      <c r="J256" s="3" t="str">
        <f>IF(ISNUMBER(SEARCH(",Action,",","&amp;SUBSTITUTE(TableMain[[#This Row],[Tags]],", ",",")&amp;",")),"Y","N")</f>
        <v>Y</v>
      </c>
      <c r="K256" s="3" t="str">
        <f>IF(ISNUMBER(SEARCH(",Indie,",","&amp;SUBSTITUTE(TableMain[[#This Row],[Tags]],", ",",")&amp;",")),"Y","N")</f>
        <v>N</v>
      </c>
      <c r="L256" s="3" t="str">
        <f>IF(ISNUMBER(SEARCH(",Adventure,",","&amp;SUBSTITUTE(TableMain[[#This Row],[Tags]],", ",",")&amp;",")),"Y","N")</f>
        <v>N</v>
      </c>
      <c r="M256" s="3" t="str">
        <f>IF(ISNUMBER(SEARCH(",Simulation,",","&amp;SUBSTITUTE(TableMain[[#This Row],[Tags]],", ",",")&amp;",")),"Y","N")</f>
        <v>N</v>
      </c>
      <c r="N256" s="3" t="str">
        <f>IF(ISNUMBER(SEARCH(",RPG,",","&amp;SUBSTITUTE(TableMain[[#This Row],[Tags]],", ",",")&amp;",")),"Y","N")</f>
        <v>N</v>
      </c>
      <c r="O256" s="3" t="str">
        <f>IF(ISNUMBER(SEARCH(",Strategy,",","&amp;SUBSTITUTE(TableMain[[#This Row],[Tags]],", ",",")&amp;",")),"Y","N")</f>
        <v>N</v>
      </c>
      <c r="P256" s="3" t="str">
        <f>IF(ISNUMBER(SEARCH(",Free To Play,",","&amp;SUBSTITUTE(TableMain[[#This Row],[Tags]],", ",",")&amp;",")),"Y","N")</f>
        <v>Y</v>
      </c>
    </row>
    <row r="257" spans="1:16" x14ac:dyDescent="0.35">
      <c r="A257">
        <v>588650</v>
      </c>
      <c r="B257" t="s">
        <v>674</v>
      </c>
      <c r="C257" s="1">
        <v>43318</v>
      </c>
      <c r="D257">
        <v>2559</v>
      </c>
      <c r="E257" t="b">
        <v>1</v>
      </c>
      <c r="F257" t="s">
        <v>675</v>
      </c>
      <c r="G257" t="s">
        <v>446</v>
      </c>
      <c r="H257">
        <v>256</v>
      </c>
      <c r="I257" t="s">
        <v>110</v>
      </c>
      <c r="J257" s="3" t="str">
        <f>IF(ISNUMBER(SEARCH(",Action,",","&amp;SUBSTITUTE(TableMain[[#This Row],[Tags]],", ",",")&amp;",")),"Y","N")</f>
        <v>Y</v>
      </c>
      <c r="K257" s="3" t="str">
        <f>IF(ISNUMBER(SEARCH(",Indie,",","&amp;SUBSTITUTE(TableMain[[#This Row],[Tags]],", ",",")&amp;",")),"Y","N")</f>
        <v>Y</v>
      </c>
      <c r="L257" s="3" t="str">
        <f>IF(ISNUMBER(SEARCH(",Adventure,",","&amp;SUBSTITUTE(TableMain[[#This Row],[Tags]],", ",",")&amp;",")),"Y","N")</f>
        <v>Y</v>
      </c>
      <c r="M257" s="3" t="str">
        <f>IF(ISNUMBER(SEARCH(",Simulation,",","&amp;SUBSTITUTE(TableMain[[#This Row],[Tags]],", ",",")&amp;",")),"Y","N")</f>
        <v>N</v>
      </c>
      <c r="N257" s="3" t="str">
        <f>IF(ISNUMBER(SEARCH(",RPG,",","&amp;SUBSTITUTE(TableMain[[#This Row],[Tags]],", ",",")&amp;",")),"Y","N")</f>
        <v>N</v>
      </c>
      <c r="O257" s="3" t="str">
        <f>IF(ISNUMBER(SEARCH(",Strategy,",","&amp;SUBSTITUTE(TableMain[[#This Row],[Tags]],", ",",")&amp;",")),"Y","N")</f>
        <v>N</v>
      </c>
      <c r="P257" s="3" t="str">
        <f>IF(ISNUMBER(SEARCH(",Free To Play,",","&amp;SUBSTITUTE(TableMain[[#This Row],[Tags]],", ",",")&amp;",")),"Y","N")</f>
        <v>N</v>
      </c>
    </row>
    <row r="258" spans="1:16" x14ac:dyDescent="0.35">
      <c r="A258">
        <v>1290000</v>
      </c>
      <c r="B258" t="s">
        <v>676</v>
      </c>
      <c r="C258" s="1">
        <v>44756</v>
      </c>
      <c r="D258">
        <v>2547</v>
      </c>
      <c r="E258" t="b">
        <v>0</v>
      </c>
      <c r="F258" t="s">
        <v>677</v>
      </c>
      <c r="G258" t="s">
        <v>164</v>
      </c>
      <c r="H258">
        <v>257</v>
      </c>
      <c r="I258" t="s">
        <v>304</v>
      </c>
      <c r="J258" s="3" t="str">
        <f>IF(ISNUMBER(SEARCH(",Action,",","&amp;SUBSTITUTE(TableMain[[#This Row],[Tags]],", ",",")&amp;",")),"Y","N")</f>
        <v>N</v>
      </c>
      <c r="K258" s="3" t="str">
        <f>IF(ISNUMBER(SEARCH(",Indie,",","&amp;SUBSTITUTE(TableMain[[#This Row],[Tags]],", ",",")&amp;",")),"Y","N")</f>
        <v>Y</v>
      </c>
      <c r="L258" s="3" t="str">
        <f>IF(ISNUMBER(SEARCH(",Adventure,",","&amp;SUBSTITUTE(TableMain[[#This Row],[Tags]],", ",",")&amp;",")),"Y","N")</f>
        <v>N</v>
      </c>
      <c r="M258" s="3" t="str">
        <f>IF(ISNUMBER(SEARCH(",Simulation,",","&amp;SUBSTITUTE(TableMain[[#This Row],[Tags]],", ",",")&amp;",")),"Y","N")</f>
        <v>Y</v>
      </c>
      <c r="N258" s="3" t="str">
        <f>IF(ISNUMBER(SEARCH(",RPG,",","&amp;SUBSTITUTE(TableMain[[#This Row],[Tags]],", ",",")&amp;",")),"Y","N")</f>
        <v>N</v>
      </c>
      <c r="O258" s="3" t="str">
        <f>IF(ISNUMBER(SEARCH(",Strategy,",","&amp;SUBSTITUTE(TableMain[[#This Row],[Tags]],", ",",")&amp;",")),"Y","N")</f>
        <v>N</v>
      </c>
      <c r="P258" s="3" t="str">
        <f>IF(ISNUMBER(SEARCH(",Free To Play,",","&amp;SUBSTITUTE(TableMain[[#This Row],[Tags]],", ",",")&amp;",")),"Y","N")</f>
        <v>N</v>
      </c>
    </row>
    <row r="259" spans="1:16" x14ac:dyDescent="0.35">
      <c r="A259">
        <v>1190970</v>
      </c>
      <c r="B259" t="s">
        <v>678</v>
      </c>
      <c r="C259" s="1">
        <v>45274</v>
      </c>
      <c r="D259">
        <v>2543</v>
      </c>
      <c r="E259" t="b">
        <v>0</v>
      </c>
      <c r="F259" t="s">
        <v>679</v>
      </c>
      <c r="G259" t="s">
        <v>164</v>
      </c>
      <c r="H259">
        <v>258</v>
      </c>
      <c r="I259" t="s">
        <v>57</v>
      </c>
      <c r="J259" s="3" t="str">
        <f>IF(ISNUMBER(SEARCH(",Action,",","&amp;SUBSTITUTE(TableMain[[#This Row],[Tags]],", ",",")&amp;",")),"Y","N")</f>
        <v>N</v>
      </c>
      <c r="K259" s="3" t="str">
        <f>IF(ISNUMBER(SEARCH(",Indie,",","&amp;SUBSTITUTE(TableMain[[#This Row],[Tags]],", ",",")&amp;",")),"Y","N")</f>
        <v>Y</v>
      </c>
      <c r="L259" s="3" t="str">
        <f>IF(ISNUMBER(SEARCH(",Adventure,",","&amp;SUBSTITUTE(TableMain[[#This Row],[Tags]],", ",",")&amp;",")),"Y","N")</f>
        <v>N</v>
      </c>
      <c r="M259" s="3" t="str">
        <f>IF(ISNUMBER(SEARCH(",Simulation,",","&amp;SUBSTITUTE(TableMain[[#This Row],[Tags]],", ",",")&amp;",")),"Y","N")</f>
        <v>Y</v>
      </c>
      <c r="N259" s="3" t="str">
        <f>IF(ISNUMBER(SEARCH(",RPG,",","&amp;SUBSTITUTE(TableMain[[#This Row],[Tags]],", ",",")&amp;",")),"Y","N")</f>
        <v>N</v>
      </c>
      <c r="O259" s="3" t="str">
        <f>IF(ISNUMBER(SEARCH(",Strategy,",","&amp;SUBSTITUTE(TableMain[[#This Row],[Tags]],", ",",")&amp;",")),"Y","N")</f>
        <v>N</v>
      </c>
      <c r="P259" s="3" t="str">
        <f>IF(ISNUMBER(SEARCH(",Free To Play,",","&amp;SUBSTITUTE(TableMain[[#This Row],[Tags]],", ",",")&amp;",")),"Y","N")</f>
        <v>N</v>
      </c>
    </row>
    <row r="260" spans="1:16" x14ac:dyDescent="0.35">
      <c r="A260">
        <v>3020510</v>
      </c>
      <c r="B260" t="s">
        <v>680</v>
      </c>
      <c r="C260" s="1">
        <v>45741</v>
      </c>
      <c r="D260">
        <v>2538</v>
      </c>
      <c r="E260" t="b">
        <v>0</v>
      </c>
      <c r="F260" t="s">
        <v>681</v>
      </c>
      <c r="G260" t="s">
        <v>682</v>
      </c>
      <c r="H260">
        <v>259</v>
      </c>
      <c r="I260" t="s">
        <v>36</v>
      </c>
      <c r="J260" s="3" t="str">
        <f>IF(ISNUMBER(SEARCH(",Action,",","&amp;SUBSTITUTE(TableMain[[#This Row],[Tags]],", ",",")&amp;",")),"Y","N")</f>
        <v>N</v>
      </c>
      <c r="K260" s="3" t="str">
        <f>IF(ISNUMBER(SEARCH(",Indie,",","&amp;SUBSTITUTE(TableMain[[#This Row],[Tags]],", ",",")&amp;",")),"Y","N")</f>
        <v>Y</v>
      </c>
      <c r="L260" s="3" t="str">
        <f>IF(ISNUMBER(SEARCH(",Adventure,",","&amp;SUBSTITUTE(TableMain[[#This Row],[Tags]],", ",",")&amp;",")),"Y","N")</f>
        <v>N</v>
      </c>
      <c r="M260" s="3" t="str">
        <f>IF(ISNUMBER(SEARCH(",Simulation,",","&amp;SUBSTITUTE(TableMain[[#This Row],[Tags]],", ",",")&amp;",")),"Y","N")</f>
        <v>Y</v>
      </c>
      <c r="N260" s="3" t="str">
        <f>IF(ISNUMBER(SEARCH(",RPG,",","&amp;SUBSTITUTE(TableMain[[#This Row],[Tags]],", ",",")&amp;",")),"Y","N")</f>
        <v>Y</v>
      </c>
      <c r="O260" s="3" t="str">
        <f>IF(ISNUMBER(SEARCH(",Strategy,",","&amp;SUBSTITUTE(TableMain[[#This Row],[Tags]],", ",",")&amp;",")),"Y","N")</f>
        <v>Y</v>
      </c>
      <c r="P260" s="3" t="str">
        <f>IF(ISNUMBER(SEARCH(",Free To Play,",","&amp;SUBSTITUTE(TableMain[[#This Row],[Tags]],", ",",")&amp;",")),"Y","N")</f>
        <v>N</v>
      </c>
    </row>
    <row r="261" spans="1:16" x14ac:dyDescent="0.35">
      <c r="A261">
        <v>2488370</v>
      </c>
      <c r="B261" t="s">
        <v>683</v>
      </c>
      <c r="C261" s="1">
        <v>45785</v>
      </c>
      <c r="D261">
        <v>2538</v>
      </c>
      <c r="E261" t="b">
        <v>0</v>
      </c>
      <c r="F261" t="s">
        <v>684</v>
      </c>
      <c r="G261" t="s">
        <v>164</v>
      </c>
      <c r="H261">
        <v>259</v>
      </c>
      <c r="I261" t="s">
        <v>119</v>
      </c>
      <c r="J261" s="3" t="str">
        <f>IF(ISNUMBER(SEARCH(",Action,",","&amp;SUBSTITUTE(TableMain[[#This Row],[Tags]],", ",",")&amp;",")),"Y","N")</f>
        <v>N</v>
      </c>
      <c r="K261" s="3" t="str">
        <f>IF(ISNUMBER(SEARCH(",Indie,",","&amp;SUBSTITUTE(TableMain[[#This Row],[Tags]],", ",",")&amp;",")),"Y","N")</f>
        <v>Y</v>
      </c>
      <c r="L261" s="3" t="str">
        <f>IF(ISNUMBER(SEARCH(",Adventure,",","&amp;SUBSTITUTE(TableMain[[#This Row],[Tags]],", ",",")&amp;",")),"Y","N")</f>
        <v>N</v>
      </c>
      <c r="M261" s="3" t="str">
        <f>IF(ISNUMBER(SEARCH(",Simulation,",","&amp;SUBSTITUTE(TableMain[[#This Row],[Tags]],", ",",")&amp;",")),"Y","N")</f>
        <v>Y</v>
      </c>
      <c r="N261" s="3" t="str">
        <f>IF(ISNUMBER(SEARCH(",RPG,",","&amp;SUBSTITUTE(TableMain[[#This Row],[Tags]],", ",",")&amp;",")),"Y","N")</f>
        <v>N</v>
      </c>
      <c r="O261" s="3" t="str">
        <f>IF(ISNUMBER(SEARCH(",Strategy,",","&amp;SUBSTITUTE(TableMain[[#This Row],[Tags]],", ",",")&amp;",")),"Y","N")</f>
        <v>N</v>
      </c>
      <c r="P261" s="3" t="str">
        <f>IF(ISNUMBER(SEARCH(",Free To Play,",","&amp;SUBSTITUTE(TableMain[[#This Row],[Tags]],", ",",")&amp;",")),"Y","N")</f>
        <v>N</v>
      </c>
    </row>
    <row r="262" spans="1:16" x14ac:dyDescent="0.35">
      <c r="A262">
        <v>379430</v>
      </c>
      <c r="B262" t="s">
        <v>685</v>
      </c>
      <c r="C262" s="1">
        <v>43144</v>
      </c>
      <c r="D262">
        <v>2520</v>
      </c>
      <c r="E262" t="b">
        <v>0</v>
      </c>
      <c r="F262" t="s">
        <v>670</v>
      </c>
      <c r="G262" t="s">
        <v>208</v>
      </c>
      <c r="H262">
        <v>261</v>
      </c>
      <c r="I262" t="s">
        <v>18</v>
      </c>
      <c r="J262" s="3" t="str">
        <f>IF(ISNUMBER(SEARCH(",Action,",","&amp;SUBSTITUTE(TableMain[[#This Row],[Tags]],", ",",")&amp;",")),"Y","N")</f>
        <v>Y</v>
      </c>
      <c r="K262" s="3" t="str">
        <f>IF(ISNUMBER(SEARCH(",Indie,",","&amp;SUBSTITUTE(TableMain[[#This Row],[Tags]],", ",",")&amp;",")),"Y","N")</f>
        <v>N</v>
      </c>
      <c r="L262" s="3" t="str">
        <f>IF(ISNUMBER(SEARCH(",Adventure,",","&amp;SUBSTITUTE(TableMain[[#This Row],[Tags]],", ",",")&amp;",")),"Y","N")</f>
        <v>Y</v>
      </c>
      <c r="M262" s="3" t="str">
        <f>IF(ISNUMBER(SEARCH(",Simulation,",","&amp;SUBSTITUTE(TableMain[[#This Row],[Tags]],", ",",")&amp;",")),"Y","N")</f>
        <v>N</v>
      </c>
      <c r="N262" s="3" t="str">
        <f>IF(ISNUMBER(SEARCH(",RPG,",","&amp;SUBSTITUTE(TableMain[[#This Row],[Tags]],", ",",")&amp;",")),"Y","N")</f>
        <v>Y</v>
      </c>
      <c r="O262" s="3" t="str">
        <f>IF(ISNUMBER(SEARCH(",Strategy,",","&amp;SUBSTITUTE(TableMain[[#This Row],[Tags]],", ",",")&amp;",")),"Y","N")</f>
        <v>N</v>
      </c>
      <c r="P262" s="3" t="str">
        <f>IF(ISNUMBER(SEARCH(",Free To Play,",","&amp;SUBSTITUTE(TableMain[[#This Row],[Tags]],", ",",")&amp;",")),"Y","N")</f>
        <v>N</v>
      </c>
    </row>
    <row r="263" spans="1:16" x14ac:dyDescent="0.35">
      <c r="A263">
        <v>703080</v>
      </c>
      <c r="B263" t="s">
        <v>686</v>
      </c>
      <c r="C263" s="1">
        <v>43774</v>
      </c>
      <c r="D263">
        <v>2497</v>
      </c>
      <c r="E263" t="b">
        <v>0</v>
      </c>
      <c r="F263" t="s">
        <v>687</v>
      </c>
      <c r="G263" t="s">
        <v>688</v>
      </c>
      <c r="H263">
        <v>262</v>
      </c>
      <c r="I263" t="s">
        <v>25</v>
      </c>
      <c r="J263" s="3" t="str">
        <f>IF(ISNUMBER(SEARCH(",Action,",","&amp;SUBSTITUTE(TableMain[[#This Row],[Tags]],", ",",")&amp;",")),"Y","N")</f>
        <v>N</v>
      </c>
      <c r="K263" s="3" t="str">
        <f>IF(ISNUMBER(SEARCH(",Indie,",","&amp;SUBSTITUTE(TableMain[[#This Row],[Tags]],", ",",")&amp;",")),"Y","N")</f>
        <v>N</v>
      </c>
      <c r="L263" s="3" t="str">
        <f>IF(ISNUMBER(SEARCH(",Adventure,",","&amp;SUBSTITUTE(TableMain[[#This Row],[Tags]],", ",",")&amp;",")),"Y","N")</f>
        <v>N</v>
      </c>
      <c r="M263" s="3" t="str">
        <f>IF(ISNUMBER(SEARCH(",Simulation,",","&amp;SUBSTITUTE(TableMain[[#This Row],[Tags]],", ",",")&amp;",")),"Y","N")</f>
        <v>Y</v>
      </c>
      <c r="N263" s="3" t="str">
        <f>IF(ISNUMBER(SEARCH(",RPG,",","&amp;SUBSTITUTE(TableMain[[#This Row],[Tags]],", ",",")&amp;",")),"Y","N")</f>
        <v>N</v>
      </c>
      <c r="O263" s="3" t="str">
        <f>IF(ISNUMBER(SEARCH(",Strategy,",","&amp;SUBSTITUTE(TableMain[[#This Row],[Tags]],", ",",")&amp;",")),"Y","N")</f>
        <v>Y</v>
      </c>
      <c r="P263" s="3" t="str">
        <f>IF(ISNUMBER(SEARCH(",Free To Play,",","&amp;SUBSTITUTE(TableMain[[#This Row],[Tags]],", ",",")&amp;",")),"Y","N")</f>
        <v>N</v>
      </c>
    </row>
    <row r="264" spans="1:16" x14ac:dyDescent="0.35">
      <c r="A264">
        <v>1343400</v>
      </c>
      <c r="B264" t="s">
        <v>689</v>
      </c>
      <c r="C264" s="1">
        <v>44118</v>
      </c>
      <c r="D264">
        <v>2496</v>
      </c>
      <c r="E264" t="b">
        <v>1</v>
      </c>
      <c r="F264" t="s">
        <v>690</v>
      </c>
      <c r="G264" t="s">
        <v>322</v>
      </c>
      <c r="H264">
        <v>263</v>
      </c>
      <c r="I264" t="s">
        <v>133</v>
      </c>
      <c r="J264" s="3" t="str">
        <f>IF(ISNUMBER(SEARCH(",Action,",","&amp;SUBSTITUTE(TableMain[[#This Row],[Tags]],", ",",")&amp;",")),"Y","N")</f>
        <v>N</v>
      </c>
      <c r="K264" s="3" t="str">
        <f>IF(ISNUMBER(SEARCH(",Indie,",","&amp;SUBSTITUTE(TableMain[[#This Row],[Tags]],", ",",")&amp;",")),"Y","N")</f>
        <v>N</v>
      </c>
      <c r="L264" s="3" t="str">
        <f>IF(ISNUMBER(SEARCH(",Adventure,",","&amp;SUBSTITUTE(TableMain[[#This Row],[Tags]],", ",",")&amp;",")),"Y","N")</f>
        <v>N</v>
      </c>
      <c r="M264" s="3" t="str">
        <f>IF(ISNUMBER(SEARCH(",Simulation,",","&amp;SUBSTITUTE(TableMain[[#This Row],[Tags]],", ",",")&amp;",")),"Y","N")</f>
        <v>N</v>
      </c>
      <c r="N264" s="3" t="str">
        <f>IF(ISNUMBER(SEARCH(",RPG,",","&amp;SUBSTITUTE(TableMain[[#This Row],[Tags]],", ",",")&amp;",")),"Y","N")</f>
        <v>Y</v>
      </c>
      <c r="O264" s="3" t="str">
        <f>IF(ISNUMBER(SEARCH(",Strategy,",","&amp;SUBSTITUTE(TableMain[[#This Row],[Tags]],", ",",")&amp;",")),"Y","N")</f>
        <v>N</v>
      </c>
      <c r="P264" s="3" t="str">
        <f>IF(ISNUMBER(SEARCH(",Free To Play,",","&amp;SUBSTITUTE(TableMain[[#This Row],[Tags]],", ",",")&amp;",")),"Y","N")</f>
        <v>Y</v>
      </c>
    </row>
    <row r="265" spans="1:16" x14ac:dyDescent="0.35">
      <c r="A265">
        <v>2670630</v>
      </c>
      <c r="B265" t="s">
        <v>691</v>
      </c>
      <c r="C265" s="1">
        <v>45827</v>
      </c>
      <c r="D265">
        <v>2464</v>
      </c>
      <c r="E265" t="b">
        <v>1</v>
      </c>
      <c r="F265" t="s">
        <v>238</v>
      </c>
      <c r="G265" t="s">
        <v>164</v>
      </c>
      <c r="H265">
        <v>264</v>
      </c>
      <c r="I265" t="s">
        <v>119</v>
      </c>
      <c r="J265" s="3" t="str">
        <f>IF(ISNUMBER(SEARCH(",Action,",","&amp;SUBSTITUTE(TableMain[[#This Row],[Tags]],", ",",")&amp;",")),"Y","N")</f>
        <v>N</v>
      </c>
      <c r="K265" s="3" t="str">
        <f>IF(ISNUMBER(SEARCH(",Indie,",","&amp;SUBSTITUTE(TableMain[[#This Row],[Tags]],", ",",")&amp;",")),"Y","N")</f>
        <v>Y</v>
      </c>
      <c r="L265" s="3" t="str">
        <f>IF(ISNUMBER(SEARCH(",Adventure,",","&amp;SUBSTITUTE(TableMain[[#This Row],[Tags]],", ",",")&amp;",")),"Y","N")</f>
        <v>N</v>
      </c>
      <c r="M265" s="3" t="str">
        <f>IF(ISNUMBER(SEARCH(",Simulation,",","&amp;SUBSTITUTE(TableMain[[#This Row],[Tags]],", ",",")&amp;",")),"Y","N")</f>
        <v>Y</v>
      </c>
      <c r="N265" s="3" t="str">
        <f>IF(ISNUMBER(SEARCH(",RPG,",","&amp;SUBSTITUTE(TableMain[[#This Row],[Tags]],", ",",")&amp;",")),"Y","N")</f>
        <v>N</v>
      </c>
      <c r="O265" s="3" t="str">
        <f>IF(ISNUMBER(SEARCH(",Strategy,",","&amp;SUBSTITUTE(TableMain[[#This Row],[Tags]],", ",",")&amp;",")),"Y","N")</f>
        <v>N</v>
      </c>
      <c r="P265" s="3" t="str">
        <f>IF(ISNUMBER(SEARCH(",Free To Play,",","&amp;SUBSTITUTE(TableMain[[#This Row],[Tags]],", ",",")&amp;",")),"Y","N")</f>
        <v>N</v>
      </c>
    </row>
    <row r="266" spans="1:16" x14ac:dyDescent="0.35">
      <c r="A266">
        <v>1384160</v>
      </c>
      <c r="B266" t="s">
        <v>692</v>
      </c>
      <c r="C266" s="1">
        <v>44358</v>
      </c>
      <c r="D266">
        <v>2463</v>
      </c>
      <c r="E266" t="b">
        <v>0</v>
      </c>
      <c r="F266" t="s">
        <v>693</v>
      </c>
      <c r="G266" t="s">
        <v>49</v>
      </c>
      <c r="H266">
        <v>265</v>
      </c>
      <c r="I266" t="s">
        <v>40</v>
      </c>
      <c r="J266" s="3" t="str">
        <f>IF(ISNUMBER(SEARCH(",Action,",","&amp;SUBSTITUTE(TableMain[[#This Row],[Tags]],", ",",")&amp;",")),"Y","N")</f>
        <v>Y</v>
      </c>
      <c r="K266" s="3" t="str">
        <f>IF(ISNUMBER(SEARCH(",Indie,",","&amp;SUBSTITUTE(TableMain[[#This Row],[Tags]],", ",",")&amp;",")),"Y","N")</f>
        <v>N</v>
      </c>
      <c r="L266" s="3" t="str">
        <f>IF(ISNUMBER(SEARCH(",Adventure,",","&amp;SUBSTITUTE(TableMain[[#This Row],[Tags]],", ",",")&amp;",")),"Y","N")</f>
        <v>N</v>
      </c>
      <c r="M266" s="3" t="str">
        <f>IF(ISNUMBER(SEARCH(",Simulation,",","&amp;SUBSTITUTE(TableMain[[#This Row],[Tags]],", ",",")&amp;",")),"Y","N")</f>
        <v>N</v>
      </c>
      <c r="N266" s="3" t="str">
        <f>IF(ISNUMBER(SEARCH(",RPG,",","&amp;SUBSTITUTE(TableMain[[#This Row],[Tags]],", ",",")&amp;",")),"Y","N")</f>
        <v>N</v>
      </c>
      <c r="O266" s="3" t="str">
        <f>IF(ISNUMBER(SEARCH(",Strategy,",","&amp;SUBSTITUTE(TableMain[[#This Row],[Tags]],", ",",")&amp;",")),"Y","N")</f>
        <v>N</v>
      </c>
      <c r="P266" s="3" t="str">
        <f>IF(ISNUMBER(SEARCH(",Free To Play,",","&amp;SUBSTITUTE(TableMain[[#This Row],[Tags]],", ",",")&amp;",")),"Y","N")</f>
        <v>N</v>
      </c>
    </row>
    <row r="267" spans="1:16" x14ac:dyDescent="0.35">
      <c r="A267">
        <v>1062520</v>
      </c>
      <c r="B267" t="s">
        <v>694</v>
      </c>
      <c r="C267" s="1">
        <v>45769</v>
      </c>
      <c r="D267">
        <v>2422</v>
      </c>
      <c r="E267" t="b">
        <v>0</v>
      </c>
      <c r="F267" t="s">
        <v>530</v>
      </c>
      <c r="G267" t="s">
        <v>695</v>
      </c>
      <c r="H267">
        <v>266</v>
      </c>
      <c r="I267" t="s">
        <v>29</v>
      </c>
      <c r="J267" s="3" t="str">
        <f>IF(ISNUMBER(SEARCH(",Action,",","&amp;SUBSTITUTE(TableMain[[#This Row],[Tags]],", ",",")&amp;",")),"Y","N")</f>
        <v>N</v>
      </c>
      <c r="K267" s="3" t="str">
        <f>IF(ISNUMBER(SEARCH(",Indie,",","&amp;SUBSTITUTE(TableMain[[#This Row],[Tags]],", ",",")&amp;",")),"Y","N")</f>
        <v>Y</v>
      </c>
      <c r="L267" s="3" t="str">
        <f>IF(ISNUMBER(SEARCH(",Adventure,",","&amp;SUBSTITUTE(TableMain[[#This Row],[Tags]],", ",",")&amp;",")),"Y","N")</f>
        <v>Y</v>
      </c>
      <c r="M267" s="3" t="str">
        <f>IF(ISNUMBER(SEARCH(",Simulation,",","&amp;SUBSTITUTE(TableMain[[#This Row],[Tags]],", ",",")&amp;",")),"Y","N")</f>
        <v>Y</v>
      </c>
      <c r="N267" s="3" t="str">
        <f>IF(ISNUMBER(SEARCH(",RPG,",","&amp;SUBSTITUTE(TableMain[[#This Row],[Tags]],", ",",")&amp;",")),"Y","N")</f>
        <v>Y</v>
      </c>
      <c r="O267" s="3" t="str">
        <f>IF(ISNUMBER(SEARCH(",Strategy,",","&amp;SUBSTITUTE(TableMain[[#This Row],[Tags]],", ",",")&amp;",")),"Y","N")</f>
        <v>N</v>
      </c>
      <c r="P267" s="3" t="str">
        <f>IF(ISNUMBER(SEARCH(",Free To Play,",","&amp;SUBSTITUTE(TableMain[[#This Row],[Tags]],", ",",")&amp;",")),"Y","N")</f>
        <v>N</v>
      </c>
    </row>
    <row r="268" spans="1:16" x14ac:dyDescent="0.35">
      <c r="A268">
        <v>1328670</v>
      </c>
      <c r="B268" t="s">
        <v>696</v>
      </c>
      <c r="C268" s="1">
        <v>44330</v>
      </c>
      <c r="D268">
        <v>2420</v>
      </c>
      <c r="E268" t="b">
        <v>0</v>
      </c>
      <c r="F268" t="s">
        <v>697</v>
      </c>
      <c r="G268" t="s">
        <v>24</v>
      </c>
      <c r="H268">
        <v>267</v>
      </c>
      <c r="I268" t="s">
        <v>25</v>
      </c>
      <c r="J268" s="3" t="str">
        <f>IF(ISNUMBER(SEARCH(",Action,",","&amp;SUBSTITUTE(TableMain[[#This Row],[Tags]],", ",",")&amp;",")),"Y","N")</f>
        <v>Y</v>
      </c>
      <c r="K268" s="3" t="str">
        <f>IF(ISNUMBER(SEARCH(",Indie,",","&amp;SUBSTITUTE(TableMain[[#This Row],[Tags]],", ",",")&amp;",")),"Y","N")</f>
        <v>N</v>
      </c>
      <c r="L268" s="3" t="str">
        <f>IF(ISNUMBER(SEARCH(",Adventure,",","&amp;SUBSTITUTE(TableMain[[#This Row],[Tags]],", ",",")&amp;",")),"Y","N")</f>
        <v>N</v>
      </c>
      <c r="M268" s="3" t="str">
        <f>IF(ISNUMBER(SEARCH(",Simulation,",","&amp;SUBSTITUTE(TableMain[[#This Row],[Tags]],", ",",")&amp;",")),"Y","N")</f>
        <v>N</v>
      </c>
      <c r="N268" s="3" t="str">
        <f>IF(ISNUMBER(SEARCH(",RPG,",","&amp;SUBSTITUTE(TableMain[[#This Row],[Tags]],", ",",")&amp;",")),"Y","N")</f>
        <v>Y</v>
      </c>
      <c r="O268" s="3" t="str">
        <f>IF(ISNUMBER(SEARCH(",Strategy,",","&amp;SUBSTITUTE(TableMain[[#This Row],[Tags]],", ",",")&amp;",")),"Y","N")</f>
        <v>N</v>
      </c>
      <c r="P268" s="3" t="str">
        <f>IF(ISNUMBER(SEARCH(",Free To Play,",","&amp;SUBSTITUTE(TableMain[[#This Row],[Tags]],", ",",")&amp;",")),"Y","N")</f>
        <v>N</v>
      </c>
    </row>
    <row r="269" spans="1:16" x14ac:dyDescent="0.35">
      <c r="A269">
        <v>1643320</v>
      </c>
      <c r="B269" t="s">
        <v>698</v>
      </c>
      <c r="C269" s="1">
        <v>45616</v>
      </c>
      <c r="D269">
        <v>2403</v>
      </c>
      <c r="E269" t="b">
        <v>0</v>
      </c>
      <c r="F269" t="s">
        <v>699</v>
      </c>
      <c r="G269" t="s">
        <v>208</v>
      </c>
      <c r="H269">
        <v>268</v>
      </c>
      <c r="I269" t="s">
        <v>700</v>
      </c>
      <c r="J269" s="3" t="str">
        <f>IF(ISNUMBER(SEARCH(",Action,",","&amp;SUBSTITUTE(TableMain[[#This Row],[Tags]],", ",",")&amp;",")),"Y","N")</f>
        <v>Y</v>
      </c>
      <c r="K269" s="3" t="str">
        <f>IF(ISNUMBER(SEARCH(",Indie,",","&amp;SUBSTITUTE(TableMain[[#This Row],[Tags]],", ",",")&amp;",")),"Y","N")</f>
        <v>N</v>
      </c>
      <c r="L269" s="3" t="str">
        <f>IF(ISNUMBER(SEARCH(",Adventure,",","&amp;SUBSTITUTE(TableMain[[#This Row],[Tags]],", ",",")&amp;",")),"Y","N")</f>
        <v>Y</v>
      </c>
      <c r="M269" s="3" t="str">
        <f>IF(ISNUMBER(SEARCH(",Simulation,",","&amp;SUBSTITUTE(TableMain[[#This Row],[Tags]],", ",",")&amp;",")),"Y","N")</f>
        <v>N</v>
      </c>
      <c r="N269" s="3" t="str">
        <f>IF(ISNUMBER(SEARCH(",RPG,",","&amp;SUBSTITUTE(TableMain[[#This Row],[Tags]],", ",",")&amp;",")),"Y","N")</f>
        <v>Y</v>
      </c>
      <c r="O269" s="3" t="str">
        <f>IF(ISNUMBER(SEARCH(",Strategy,",","&amp;SUBSTITUTE(TableMain[[#This Row],[Tags]],", ",",")&amp;",")),"Y","N")</f>
        <v>N</v>
      </c>
      <c r="P269" s="3" t="str">
        <f>IF(ISNUMBER(SEARCH(",Free To Play,",","&amp;SUBSTITUTE(TableMain[[#This Row],[Tags]],", ",",")&amp;",")),"Y","N")</f>
        <v>N</v>
      </c>
    </row>
    <row r="270" spans="1:16" x14ac:dyDescent="0.35">
      <c r="A270">
        <v>2162800</v>
      </c>
      <c r="B270" t="s">
        <v>701</v>
      </c>
      <c r="C270" s="1">
        <v>45519</v>
      </c>
      <c r="D270">
        <v>2399</v>
      </c>
      <c r="E270" t="b">
        <v>1</v>
      </c>
      <c r="F270" t="s">
        <v>702</v>
      </c>
      <c r="G270" t="s">
        <v>703</v>
      </c>
      <c r="H270">
        <v>269</v>
      </c>
      <c r="I270" t="s">
        <v>36</v>
      </c>
      <c r="J270" s="3" t="str">
        <f>IF(ISNUMBER(SEARCH(",Action,",","&amp;SUBSTITUTE(TableMain[[#This Row],[Tags]],", ",",")&amp;",")),"Y","N")</f>
        <v>N</v>
      </c>
      <c r="K270" s="3" t="str">
        <f>IF(ISNUMBER(SEARCH(",Indie,",","&amp;SUBSTITUTE(TableMain[[#This Row],[Tags]],", ",",")&amp;",")),"Y","N")</f>
        <v>Y</v>
      </c>
      <c r="L270" s="3" t="str">
        <f>IF(ISNUMBER(SEARCH(",Adventure,",","&amp;SUBSTITUTE(TableMain[[#This Row],[Tags]],", ",",")&amp;",")),"Y","N")</f>
        <v>N</v>
      </c>
      <c r="M270" s="3" t="str">
        <f>IF(ISNUMBER(SEARCH(",Simulation,",","&amp;SUBSTITUTE(TableMain[[#This Row],[Tags]],", ",",")&amp;",")),"Y","N")</f>
        <v>Y</v>
      </c>
      <c r="N270" s="3" t="str">
        <f>IF(ISNUMBER(SEARCH(",RPG,",","&amp;SUBSTITUTE(TableMain[[#This Row],[Tags]],", ",",")&amp;",")),"Y","N")</f>
        <v>N</v>
      </c>
      <c r="O270" s="3" t="str">
        <f>IF(ISNUMBER(SEARCH(",Strategy,",","&amp;SUBSTITUTE(TableMain[[#This Row],[Tags]],", ",",")&amp;",")),"Y","N")</f>
        <v>Y</v>
      </c>
      <c r="P270" s="3" t="str">
        <f>IF(ISNUMBER(SEARCH(",Free To Play,",","&amp;SUBSTITUTE(TableMain[[#This Row],[Tags]],", ",",")&amp;",")),"Y","N")</f>
        <v>N</v>
      </c>
    </row>
    <row r="271" spans="1:16" x14ac:dyDescent="0.35">
      <c r="A271">
        <v>962130</v>
      </c>
      <c r="B271" t="s">
        <v>704</v>
      </c>
      <c r="C271" s="1">
        <v>44831</v>
      </c>
      <c r="D271">
        <v>2394</v>
      </c>
      <c r="E271" t="b">
        <v>0</v>
      </c>
      <c r="F271" t="s">
        <v>705</v>
      </c>
      <c r="G271" t="s">
        <v>46</v>
      </c>
      <c r="H271">
        <v>270</v>
      </c>
      <c r="I271" t="s">
        <v>53</v>
      </c>
      <c r="J271" s="3" t="str">
        <f>IF(ISNUMBER(SEARCH(",Action,",","&amp;SUBSTITUTE(TableMain[[#This Row],[Tags]],", ",",")&amp;",")),"Y","N")</f>
        <v>Y</v>
      </c>
      <c r="K271" s="3" t="str">
        <f>IF(ISNUMBER(SEARCH(",Indie,",","&amp;SUBSTITUTE(TableMain[[#This Row],[Tags]],", ",",")&amp;",")),"Y","N")</f>
        <v>N</v>
      </c>
      <c r="L271" s="3" t="str">
        <f>IF(ISNUMBER(SEARCH(",Adventure,",","&amp;SUBSTITUTE(TableMain[[#This Row],[Tags]],", ",",")&amp;",")),"Y","N")</f>
        <v>Y</v>
      </c>
      <c r="M271" s="3" t="str">
        <f>IF(ISNUMBER(SEARCH(",Simulation,",","&amp;SUBSTITUTE(TableMain[[#This Row],[Tags]],", ",",")&amp;",")),"Y","N")</f>
        <v>N</v>
      </c>
      <c r="N271" s="3" t="str">
        <f>IF(ISNUMBER(SEARCH(",RPG,",","&amp;SUBSTITUTE(TableMain[[#This Row],[Tags]],", ",",")&amp;",")),"Y","N")</f>
        <v>N</v>
      </c>
      <c r="O271" s="3" t="str">
        <f>IF(ISNUMBER(SEARCH(",Strategy,",","&amp;SUBSTITUTE(TableMain[[#This Row],[Tags]],", ",",")&amp;",")),"Y","N")</f>
        <v>N</v>
      </c>
      <c r="P271" s="3" t="str">
        <f>IF(ISNUMBER(SEARCH(",Free To Play,",","&amp;SUBSTITUTE(TableMain[[#This Row],[Tags]],", ",",")&amp;",")),"Y","N")</f>
        <v>N</v>
      </c>
    </row>
    <row r="272" spans="1:16" x14ac:dyDescent="0.35">
      <c r="A272">
        <v>1787090</v>
      </c>
      <c r="B272" t="s">
        <v>706</v>
      </c>
      <c r="C272" s="1">
        <v>44525</v>
      </c>
      <c r="D272">
        <v>2384</v>
      </c>
      <c r="E272" t="b">
        <v>0</v>
      </c>
      <c r="F272" t="s">
        <v>707</v>
      </c>
      <c r="G272" t="s">
        <v>571</v>
      </c>
      <c r="H272">
        <v>271</v>
      </c>
      <c r="I272" t="s">
        <v>14</v>
      </c>
      <c r="J272" s="3" t="str">
        <f>IF(ISNUMBER(SEARCH(",Action,",","&amp;SUBSTITUTE(TableMain[[#This Row],[Tags]],", ",",")&amp;",")),"Y","N")</f>
        <v>N</v>
      </c>
      <c r="K272" s="3" t="str">
        <f>IF(ISNUMBER(SEARCH(",Indie,",","&amp;SUBSTITUTE(TableMain[[#This Row],[Tags]],", ",",")&amp;",")),"Y","N")</f>
        <v>N</v>
      </c>
      <c r="L272" s="3" t="str">
        <f>IF(ISNUMBER(SEARCH(",Adventure,",","&amp;SUBSTITUTE(TableMain[[#This Row],[Tags]],", ",",")&amp;",")),"Y","N")</f>
        <v>N</v>
      </c>
      <c r="M272" s="3" t="str">
        <f>IF(ISNUMBER(SEARCH(",Simulation,",","&amp;SUBSTITUTE(TableMain[[#This Row],[Tags]],", ",",")&amp;",")),"Y","N")</f>
        <v>N</v>
      </c>
      <c r="N272" s="3" t="str">
        <f>IF(ISNUMBER(SEARCH(",RPG,",","&amp;SUBSTITUTE(TableMain[[#This Row],[Tags]],", ",",")&amp;",")),"Y","N")</f>
        <v>N</v>
      </c>
      <c r="O272" s="3" t="str">
        <f>IF(ISNUMBER(SEARCH(",Strategy,",","&amp;SUBSTITUTE(TableMain[[#This Row],[Tags]],", ",",")&amp;",")),"Y","N")</f>
        <v>N</v>
      </c>
      <c r="P272" s="3" t="str">
        <f>IF(ISNUMBER(SEARCH(",Free To Play,",","&amp;SUBSTITUTE(TableMain[[#This Row],[Tags]],", ",",")&amp;",")),"Y","N")</f>
        <v>N</v>
      </c>
    </row>
    <row r="273" spans="1:16" x14ac:dyDescent="0.35">
      <c r="A273">
        <v>219990</v>
      </c>
      <c r="B273" t="s">
        <v>708</v>
      </c>
      <c r="C273" s="1">
        <v>42425</v>
      </c>
      <c r="D273">
        <v>2376</v>
      </c>
      <c r="E273" t="b">
        <v>0</v>
      </c>
      <c r="F273" t="s">
        <v>709</v>
      </c>
      <c r="G273" t="s">
        <v>138</v>
      </c>
      <c r="H273">
        <v>272</v>
      </c>
      <c r="I273" t="s">
        <v>2093</v>
      </c>
      <c r="J273" s="3" t="str">
        <f>IF(ISNUMBER(SEARCH(",Action,",","&amp;SUBSTITUTE(TableMain[[#This Row],[Tags]],", ",",")&amp;",")),"Y","N")</f>
        <v>Y</v>
      </c>
      <c r="K273" s="3" t="str">
        <f>IF(ISNUMBER(SEARCH(",Indie,",","&amp;SUBSTITUTE(TableMain[[#This Row],[Tags]],", ",",")&amp;",")),"Y","N")</f>
        <v>Y</v>
      </c>
      <c r="L273" s="3" t="str">
        <f>IF(ISNUMBER(SEARCH(",Adventure,",","&amp;SUBSTITUTE(TableMain[[#This Row],[Tags]],", ",",")&amp;",")),"Y","N")</f>
        <v>Y</v>
      </c>
      <c r="M273" s="3" t="str">
        <f>IF(ISNUMBER(SEARCH(",Simulation,",","&amp;SUBSTITUTE(TableMain[[#This Row],[Tags]],", ",",")&amp;",")),"Y","N")</f>
        <v>N</v>
      </c>
      <c r="N273" s="3" t="str">
        <f>IF(ISNUMBER(SEARCH(",RPG,",","&amp;SUBSTITUTE(TableMain[[#This Row],[Tags]],", ",",")&amp;",")),"Y","N")</f>
        <v>Y</v>
      </c>
      <c r="O273" s="3" t="str">
        <f>IF(ISNUMBER(SEARCH(",Strategy,",","&amp;SUBSTITUTE(TableMain[[#This Row],[Tags]],", ",",")&amp;",")),"Y","N")</f>
        <v>N</v>
      </c>
      <c r="P273" s="3" t="str">
        <f>IF(ISNUMBER(SEARCH(",Free To Play,",","&amp;SUBSTITUTE(TableMain[[#This Row],[Tags]],", ",",")&amp;",")),"Y","N")</f>
        <v>N</v>
      </c>
    </row>
    <row r="274" spans="1:16" x14ac:dyDescent="0.35">
      <c r="A274">
        <v>602960</v>
      </c>
      <c r="B274" t="s">
        <v>710</v>
      </c>
      <c r="C274" s="1">
        <v>44998</v>
      </c>
      <c r="D274">
        <v>2371</v>
      </c>
      <c r="E274" t="b">
        <v>1</v>
      </c>
      <c r="F274" t="s">
        <v>711</v>
      </c>
      <c r="G274" t="s">
        <v>498</v>
      </c>
      <c r="H274">
        <v>273</v>
      </c>
      <c r="I274" t="s">
        <v>304</v>
      </c>
      <c r="J274" s="3" t="str">
        <f>IF(ISNUMBER(SEARCH(",Action,",","&amp;SUBSTITUTE(TableMain[[#This Row],[Tags]],", ",",")&amp;",")),"Y","N")</f>
        <v>Y</v>
      </c>
      <c r="K274" s="3" t="str">
        <f>IF(ISNUMBER(SEARCH(",Indie,",","&amp;SUBSTITUTE(TableMain[[#This Row],[Tags]],", ",",")&amp;",")),"Y","N")</f>
        <v>Y</v>
      </c>
      <c r="L274" s="3" t="str">
        <f>IF(ISNUMBER(SEARCH(",Adventure,",","&amp;SUBSTITUTE(TableMain[[#This Row],[Tags]],", ",",")&amp;",")),"Y","N")</f>
        <v>N</v>
      </c>
      <c r="M274" s="3" t="str">
        <f>IF(ISNUMBER(SEARCH(",Simulation,",","&amp;SUBSTITUTE(TableMain[[#This Row],[Tags]],", ",",")&amp;",")),"Y","N")</f>
        <v>Y</v>
      </c>
      <c r="N274" s="3" t="str">
        <f>IF(ISNUMBER(SEARCH(",RPG,",","&amp;SUBSTITUTE(TableMain[[#This Row],[Tags]],", ",",")&amp;",")),"Y","N")</f>
        <v>N</v>
      </c>
      <c r="O274" s="3" t="str">
        <f>IF(ISNUMBER(SEARCH(",Strategy,",","&amp;SUBSTITUTE(TableMain[[#This Row],[Tags]],", ",",")&amp;",")),"Y","N")</f>
        <v>Y</v>
      </c>
      <c r="P274" s="3" t="str">
        <f>IF(ISNUMBER(SEARCH(",Free To Play,",","&amp;SUBSTITUTE(TableMain[[#This Row],[Tags]],", ",",")&amp;",")),"Y","N")</f>
        <v>N</v>
      </c>
    </row>
    <row r="275" spans="1:16" x14ac:dyDescent="0.35">
      <c r="A275">
        <v>1774580</v>
      </c>
      <c r="B275" t="s">
        <v>712</v>
      </c>
      <c r="C275" s="1">
        <v>45043</v>
      </c>
      <c r="D275">
        <v>2353</v>
      </c>
      <c r="E275" t="b">
        <v>0</v>
      </c>
      <c r="F275" t="s">
        <v>713</v>
      </c>
      <c r="G275" t="s">
        <v>46</v>
      </c>
      <c r="H275">
        <v>274</v>
      </c>
      <c r="I275" t="s">
        <v>119</v>
      </c>
      <c r="J275" s="3" t="str">
        <f>IF(ISNUMBER(SEARCH(",Action,",","&amp;SUBSTITUTE(TableMain[[#This Row],[Tags]],", ",",")&amp;",")),"Y","N")</f>
        <v>Y</v>
      </c>
      <c r="K275" s="3" t="str">
        <f>IF(ISNUMBER(SEARCH(",Indie,",","&amp;SUBSTITUTE(TableMain[[#This Row],[Tags]],", ",",")&amp;",")),"Y","N")</f>
        <v>N</v>
      </c>
      <c r="L275" s="3" t="str">
        <f>IF(ISNUMBER(SEARCH(",Adventure,",","&amp;SUBSTITUTE(TableMain[[#This Row],[Tags]],", ",",")&amp;",")),"Y","N")</f>
        <v>Y</v>
      </c>
      <c r="M275" s="3" t="str">
        <f>IF(ISNUMBER(SEARCH(",Simulation,",","&amp;SUBSTITUTE(TableMain[[#This Row],[Tags]],", ",",")&amp;",")),"Y","N")</f>
        <v>N</v>
      </c>
      <c r="N275" s="3" t="str">
        <f>IF(ISNUMBER(SEARCH(",RPG,",","&amp;SUBSTITUTE(TableMain[[#This Row],[Tags]],", ",",")&amp;",")),"Y","N")</f>
        <v>N</v>
      </c>
      <c r="O275" s="3" t="str">
        <f>IF(ISNUMBER(SEARCH(",Strategy,",","&amp;SUBSTITUTE(TableMain[[#This Row],[Tags]],", ",",")&amp;",")),"Y","N")</f>
        <v>N</v>
      </c>
      <c r="P275" s="3" t="str">
        <f>IF(ISNUMBER(SEARCH(",Free To Play,",","&amp;SUBSTITUTE(TableMain[[#This Row],[Tags]],", ",",")&amp;",")),"Y","N")</f>
        <v>N</v>
      </c>
    </row>
    <row r="276" spans="1:16" x14ac:dyDescent="0.35">
      <c r="A276">
        <v>1222140</v>
      </c>
      <c r="B276" t="s">
        <v>714</v>
      </c>
      <c r="C276" s="1">
        <v>44000</v>
      </c>
      <c r="D276">
        <v>2344</v>
      </c>
      <c r="E276" t="b">
        <v>0</v>
      </c>
      <c r="F276" t="s">
        <v>715</v>
      </c>
      <c r="G276" t="s">
        <v>46</v>
      </c>
      <c r="H276">
        <v>275</v>
      </c>
      <c r="I276" t="s">
        <v>18</v>
      </c>
      <c r="J276" s="3" t="str">
        <f>IF(ISNUMBER(SEARCH(",Action,",","&amp;SUBSTITUTE(TableMain[[#This Row],[Tags]],", ",",")&amp;",")),"Y","N")</f>
        <v>Y</v>
      </c>
      <c r="K276" s="3" t="str">
        <f>IF(ISNUMBER(SEARCH(",Indie,",","&amp;SUBSTITUTE(TableMain[[#This Row],[Tags]],", ",",")&amp;",")),"Y","N")</f>
        <v>N</v>
      </c>
      <c r="L276" s="3" t="str">
        <f>IF(ISNUMBER(SEARCH(",Adventure,",","&amp;SUBSTITUTE(TableMain[[#This Row],[Tags]],", ",",")&amp;",")),"Y","N")</f>
        <v>Y</v>
      </c>
      <c r="M276" s="3" t="str">
        <f>IF(ISNUMBER(SEARCH(",Simulation,",","&amp;SUBSTITUTE(TableMain[[#This Row],[Tags]],", ",",")&amp;",")),"Y","N")</f>
        <v>N</v>
      </c>
      <c r="N276" s="3" t="str">
        <f>IF(ISNUMBER(SEARCH(",RPG,",","&amp;SUBSTITUTE(TableMain[[#This Row],[Tags]],", ",",")&amp;",")),"Y","N")</f>
        <v>N</v>
      </c>
      <c r="O276" s="3" t="str">
        <f>IF(ISNUMBER(SEARCH(",Strategy,",","&amp;SUBSTITUTE(TableMain[[#This Row],[Tags]],", ",",")&amp;",")),"Y","N")</f>
        <v>N</v>
      </c>
      <c r="P276" s="3" t="str">
        <f>IF(ISNUMBER(SEARCH(",Free To Play,",","&amp;SUBSTITUTE(TableMain[[#This Row],[Tags]],", ",",")&amp;",")),"Y","N")</f>
        <v>N</v>
      </c>
    </row>
    <row r="277" spans="1:16" x14ac:dyDescent="0.35">
      <c r="A277">
        <v>231430</v>
      </c>
      <c r="B277" t="s">
        <v>716</v>
      </c>
      <c r="C277" s="1">
        <v>41450</v>
      </c>
      <c r="D277">
        <v>2330</v>
      </c>
      <c r="E277" t="b">
        <v>1</v>
      </c>
      <c r="F277" t="s">
        <v>717</v>
      </c>
      <c r="G277" t="s">
        <v>124</v>
      </c>
      <c r="H277">
        <v>276</v>
      </c>
      <c r="I277" t="s">
        <v>2089</v>
      </c>
      <c r="J277" s="3" t="str">
        <f>IF(ISNUMBER(SEARCH(",Action,",","&amp;SUBSTITUTE(TableMain[[#This Row],[Tags]],", ",",")&amp;",")),"Y","N")</f>
        <v>N</v>
      </c>
      <c r="K277" s="3" t="str">
        <f>IF(ISNUMBER(SEARCH(",Indie,",","&amp;SUBSTITUTE(TableMain[[#This Row],[Tags]],", ",",")&amp;",")),"Y","N")</f>
        <v>N</v>
      </c>
      <c r="L277" s="3" t="str">
        <f>IF(ISNUMBER(SEARCH(",Adventure,",","&amp;SUBSTITUTE(TableMain[[#This Row],[Tags]],", ",",")&amp;",")),"Y","N")</f>
        <v>N</v>
      </c>
      <c r="M277" s="3" t="str">
        <f>IF(ISNUMBER(SEARCH(",Simulation,",","&amp;SUBSTITUTE(TableMain[[#This Row],[Tags]],", ",",")&amp;",")),"Y","N")</f>
        <v>N</v>
      </c>
      <c r="N277" s="3" t="str">
        <f>IF(ISNUMBER(SEARCH(",RPG,",","&amp;SUBSTITUTE(TableMain[[#This Row],[Tags]],", ",",")&amp;",")),"Y","N")</f>
        <v>N</v>
      </c>
      <c r="O277" s="3" t="str">
        <f>IF(ISNUMBER(SEARCH(",Strategy,",","&amp;SUBSTITUTE(TableMain[[#This Row],[Tags]],", ",",")&amp;",")),"Y","N")</f>
        <v>Y</v>
      </c>
      <c r="P277" s="3" t="str">
        <f>IF(ISNUMBER(SEARCH(",Free To Play,",","&amp;SUBSTITUTE(TableMain[[#This Row],[Tags]],", ",",")&amp;",")),"Y","N")</f>
        <v>N</v>
      </c>
    </row>
    <row r="278" spans="1:16" x14ac:dyDescent="0.35">
      <c r="A278">
        <v>1608450</v>
      </c>
      <c r="B278" t="s">
        <v>718</v>
      </c>
      <c r="C278" s="1">
        <v>44707</v>
      </c>
      <c r="D278">
        <v>2313</v>
      </c>
      <c r="E278" t="b">
        <v>0</v>
      </c>
      <c r="F278" t="s">
        <v>719</v>
      </c>
      <c r="G278" t="s">
        <v>720</v>
      </c>
      <c r="H278">
        <v>277</v>
      </c>
      <c r="I278" t="s">
        <v>304</v>
      </c>
      <c r="J278" s="3" t="str">
        <f>IF(ISNUMBER(SEARCH(",Action,",","&amp;SUBSTITUTE(TableMain[[#This Row],[Tags]],", ",",")&amp;",")),"Y","N")</f>
        <v>N</v>
      </c>
      <c r="K278" s="3" t="str">
        <f>IF(ISNUMBER(SEARCH(",Indie,",","&amp;SUBSTITUTE(TableMain[[#This Row],[Tags]],", ",",")&amp;",")),"Y","N")</f>
        <v>Y</v>
      </c>
      <c r="L278" s="3" t="str">
        <f>IF(ISNUMBER(SEARCH(",Adventure,",","&amp;SUBSTITUTE(TableMain[[#This Row],[Tags]],", ",",")&amp;",")),"Y","N")</f>
        <v>Y</v>
      </c>
      <c r="M278" s="3" t="str">
        <f>IF(ISNUMBER(SEARCH(",Simulation,",","&amp;SUBSTITUTE(TableMain[[#This Row],[Tags]],", ",",")&amp;",")),"Y","N")</f>
        <v>N</v>
      </c>
      <c r="N278" s="3" t="str">
        <f>IF(ISNUMBER(SEARCH(",RPG,",","&amp;SUBSTITUTE(TableMain[[#This Row],[Tags]],", ",",")&amp;",")),"Y","N")</f>
        <v>Y</v>
      </c>
      <c r="O278" s="3" t="str">
        <f>IF(ISNUMBER(SEARCH(",Strategy,",","&amp;SUBSTITUTE(TableMain[[#This Row],[Tags]],", ",",")&amp;",")),"Y","N")</f>
        <v>Y</v>
      </c>
      <c r="P278" s="3" t="str">
        <f>IF(ISNUMBER(SEARCH(",Free To Play,",","&amp;SUBSTITUTE(TableMain[[#This Row],[Tags]],", ",",")&amp;",")),"Y","N")</f>
        <v>N</v>
      </c>
    </row>
    <row r="279" spans="1:16" x14ac:dyDescent="0.35">
      <c r="A279">
        <v>221380</v>
      </c>
      <c r="B279" t="s">
        <v>721</v>
      </c>
      <c r="C279" s="1">
        <v>41373</v>
      </c>
      <c r="D279">
        <v>2278</v>
      </c>
      <c r="E279" t="b">
        <v>0</v>
      </c>
      <c r="F279" t="s">
        <v>722</v>
      </c>
      <c r="G279" t="s">
        <v>124</v>
      </c>
      <c r="H279">
        <v>278</v>
      </c>
      <c r="I279" t="s">
        <v>2084</v>
      </c>
      <c r="J279" s="3" t="str">
        <f>IF(ISNUMBER(SEARCH(",Action,",","&amp;SUBSTITUTE(TableMain[[#This Row],[Tags]],", ",",")&amp;",")),"Y","N")</f>
        <v>N</v>
      </c>
      <c r="K279" s="3" t="str">
        <f>IF(ISNUMBER(SEARCH(",Indie,",","&amp;SUBSTITUTE(TableMain[[#This Row],[Tags]],", ",",")&amp;",")),"Y","N")</f>
        <v>N</v>
      </c>
      <c r="L279" s="3" t="str">
        <f>IF(ISNUMBER(SEARCH(",Adventure,",","&amp;SUBSTITUTE(TableMain[[#This Row],[Tags]],", ",",")&amp;",")),"Y","N")</f>
        <v>N</v>
      </c>
      <c r="M279" s="3" t="str">
        <f>IF(ISNUMBER(SEARCH(",Simulation,",","&amp;SUBSTITUTE(TableMain[[#This Row],[Tags]],", ",",")&amp;",")),"Y","N")</f>
        <v>N</v>
      </c>
      <c r="N279" s="3" t="str">
        <f>IF(ISNUMBER(SEARCH(",RPG,",","&amp;SUBSTITUTE(TableMain[[#This Row],[Tags]],", ",",")&amp;",")),"Y","N")</f>
        <v>N</v>
      </c>
      <c r="O279" s="3" t="str">
        <f>IF(ISNUMBER(SEARCH(",Strategy,",","&amp;SUBSTITUTE(TableMain[[#This Row],[Tags]],", ",",")&amp;",")),"Y","N")</f>
        <v>Y</v>
      </c>
      <c r="P279" s="3" t="str">
        <f>IF(ISNUMBER(SEARCH(",Free To Play,",","&amp;SUBSTITUTE(TableMain[[#This Row],[Tags]],", ",",")&amp;",")),"Y","N")</f>
        <v>N</v>
      </c>
    </row>
    <row r="280" spans="1:16" x14ac:dyDescent="0.35">
      <c r="A280">
        <v>1240440</v>
      </c>
      <c r="B280" t="s">
        <v>723</v>
      </c>
      <c r="C280" s="1">
        <v>44515</v>
      </c>
      <c r="D280">
        <v>2275</v>
      </c>
      <c r="E280" t="b">
        <v>0</v>
      </c>
      <c r="F280" t="s">
        <v>724</v>
      </c>
      <c r="G280" t="s">
        <v>10</v>
      </c>
      <c r="H280">
        <v>279</v>
      </c>
      <c r="I280" t="s">
        <v>57</v>
      </c>
      <c r="J280" s="3" t="str">
        <f>IF(ISNUMBER(SEARCH(",Action,",","&amp;SUBSTITUTE(TableMain[[#This Row],[Tags]],", ",",")&amp;",")),"Y","N")</f>
        <v>Y</v>
      </c>
      <c r="K280" s="3" t="str">
        <f>IF(ISNUMBER(SEARCH(",Indie,",","&amp;SUBSTITUTE(TableMain[[#This Row],[Tags]],", ",",")&amp;",")),"Y","N")</f>
        <v>N</v>
      </c>
      <c r="L280" s="3" t="str">
        <f>IF(ISNUMBER(SEARCH(",Adventure,",","&amp;SUBSTITUTE(TableMain[[#This Row],[Tags]],", ",",")&amp;",")),"Y","N")</f>
        <v>N</v>
      </c>
      <c r="M280" s="3" t="str">
        <f>IF(ISNUMBER(SEARCH(",Simulation,",","&amp;SUBSTITUTE(TableMain[[#This Row],[Tags]],", ",",")&amp;",")),"Y","N")</f>
        <v>N</v>
      </c>
      <c r="N280" s="3" t="str">
        <f>IF(ISNUMBER(SEARCH(",RPG,",","&amp;SUBSTITUTE(TableMain[[#This Row],[Tags]],", ",",")&amp;",")),"Y","N")</f>
        <v>N</v>
      </c>
      <c r="O280" s="3" t="str">
        <f>IF(ISNUMBER(SEARCH(",Strategy,",","&amp;SUBSTITUTE(TableMain[[#This Row],[Tags]],", ",",")&amp;",")),"Y","N")</f>
        <v>N</v>
      </c>
      <c r="P280" s="3" t="str">
        <f>IF(ISNUMBER(SEARCH(",Free To Play,",","&amp;SUBSTITUTE(TableMain[[#This Row],[Tags]],", ",",")&amp;",")),"Y","N")</f>
        <v>Y</v>
      </c>
    </row>
    <row r="281" spans="1:16" x14ac:dyDescent="0.35">
      <c r="A281">
        <v>2436940</v>
      </c>
      <c r="B281" t="s">
        <v>725</v>
      </c>
      <c r="C281" s="1">
        <v>45750</v>
      </c>
      <c r="D281">
        <v>2268</v>
      </c>
      <c r="E281" t="b">
        <v>1</v>
      </c>
      <c r="F281" t="s">
        <v>456</v>
      </c>
      <c r="G281" t="s">
        <v>97</v>
      </c>
      <c r="H281">
        <v>280</v>
      </c>
      <c r="I281" t="s">
        <v>304</v>
      </c>
      <c r="J281" s="3" t="str">
        <f>IF(ISNUMBER(SEARCH(",Action,",","&amp;SUBSTITUTE(TableMain[[#This Row],[Tags]],", ",",")&amp;",")),"Y","N")</f>
        <v>Y</v>
      </c>
      <c r="K281" s="3" t="str">
        <f>IF(ISNUMBER(SEARCH(",Indie,",","&amp;SUBSTITUTE(TableMain[[#This Row],[Tags]],", ",",")&amp;",")),"Y","N")</f>
        <v>N</v>
      </c>
      <c r="L281" s="3" t="str">
        <f>IF(ISNUMBER(SEARCH(",Adventure,",","&amp;SUBSTITUTE(TableMain[[#This Row],[Tags]],", ",",")&amp;",")),"Y","N")</f>
        <v>N</v>
      </c>
      <c r="M281" s="3" t="str">
        <f>IF(ISNUMBER(SEARCH(",Simulation,",","&amp;SUBSTITUTE(TableMain[[#This Row],[Tags]],", ",",")&amp;",")),"Y","N")</f>
        <v>N</v>
      </c>
      <c r="N281" s="3" t="str">
        <f>IF(ISNUMBER(SEARCH(",RPG,",","&amp;SUBSTITUTE(TableMain[[#This Row],[Tags]],", ",",")&amp;",")),"Y","N")</f>
        <v>N</v>
      </c>
      <c r="O281" s="3" t="str">
        <f>IF(ISNUMBER(SEARCH(",Strategy,",","&amp;SUBSTITUTE(TableMain[[#This Row],[Tags]],", ",",")&amp;",")),"Y","N")</f>
        <v>N</v>
      </c>
      <c r="P281" s="3" t="str">
        <f>IF(ISNUMBER(SEARCH(",Free To Play,",","&amp;SUBSTITUTE(TableMain[[#This Row],[Tags]],", ",",")&amp;",")),"Y","N")</f>
        <v>N</v>
      </c>
    </row>
    <row r="282" spans="1:16" x14ac:dyDescent="0.35">
      <c r="A282">
        <v>782330</v>
      </c>
      <c r="B282" t="s">
        <v>726</v>
      </c>
      <c r="C282" s="1">
        <v>43909</v>
      </c>
      <c r="D282">
        <v>2262</v>
      </c>
      <c r="E282" t="b">
        <v>0</v>
      </c>
      <c r="F282" t="s">
        <v>727</v>
      </c>
      <c r="G282" t="s">
        <v>49</v>
      </c>
      <c r="H282">
        <v>281</v>
      </c>
      <c r="I282" t="s">
        <v>53</v>
      </c>
      <c r="J282" s="3" t="str">
        <f>IF(ISNUMBER(SEARCH(",Action,",","&amp;SUBSTITUTE(TableMain[[#This Row],[Tags]],", ",",")&amp;",")),"Y","N")</f>
        <v>Y</v>
      </c>
      <c r="K282" s="3" t="str">
        <f>IF(ISNUMBER(SEARCH(",Indie,",","&amp;SUBSTITUTE(TableMain[[#This Row],[Tags]],", ",",")&amp;",")),"Y","N")</f>
        <v>N</v>
      </c>
      <c r="L282" s="3" t="str">
        <f>IF(ISNUMBER(SEARCH(",Adventure,",","&amp;SUBSTITUTE(TableMain[[#This Row],[Tags]],", ",",")&amp;",")),"Y","N")</f>
        <v>N</v>
      </c>
      <c r="M282" s="3" t="str">
        <f>IF(ISNUMBER(SEARCH(",Simulation,",","&amp;SUBSTITUTE(TableMain[[#This Row],[Tags]],", ",",")&amp;",")),"Y","N")</f>
        <v>N</v>
      </c>
      <c r="N282" s="3" t="str">
        <f>IF(ISNUMBER(SEARCH(",RPG,",","&amp;SUBSTITUTE(TableMain[[#This Row],[Tags]],", ",",")&amp;",")),"Y","N")</f>
        <v>N</v>
      </c>
      <c r="O282" s="3" t="str">
        <f>IF(ISNUMBER(SEARCH(",Strategy,",","&amp;SUBSTITUTE(TableMain[[#This Row],[Tags]],", ",",")&amp;",")),"Y","N")</f>
        <v>N</v>
      </c>
      <c r="P282" s="3" t="str">
        <f>IF(ISNUMBER(SEARCH(",Free To Play,",","&amp;SUBSTITUTE(TableMain[[#This Row],[Tags]],", ",",")&amp;",")),"Y","N")</f>
        <v>N</v>
      </c>
    </row>
    <row r="283" spans="1:16" x14ac:dyDescent="0.35">
      <c r="A283">
        <v>3167550</v>
      </c>
      <c r="B283" t="s">
        <v>728</v>
      </c>
      <c r="C283" s="1">
        <v>45705</v>
      </c>
      <c r="D283">
        <v>2256</v>
      </c>
      <c r="E283" t="b">
        <v>1</v>
      </c>
      <c r="F283" t="s">
        <v>681</v>
      </c>
      <c r="G283" t="s">
        <v>164</v>
      </c>
      <c r="H283">
        <v>282</v>
      </c>
      <c r="I283" t="s">
        <v>53</v>
      </c>
      <c r="J283" s="3" t="str">
        <f>IF(ISNUMBER(SEARCH(",Action,",","&amp;SUBSTITUTE(TableMain[[#This Row],[Tags]],", ",",")&amp;",")),"Y","N")</f>
        <v>N</v>
      </c>
      <c r="K283" s="3" t="str">
        <f>IF(ISNUMBER(SEARCH(",Indie,",","&amp;SUBSTITUTE(TableMain[[#This Row],[Tags]],", ",",")&amp;",")),"Y","N")</f>
        <v>Y</v>
      </c>
      <c r="L283" s="3" t="str">
        <f>IF(ISNUMBER(SEARCH(",Adventure,",","&amp;SUBSTITUTE(TableMain[[#This Row],[Tags]],", ",",")&amp;",")),"Y","N")</f>
        <v>N</v>
      </c>
      <c r="M283" s="3" t="str">
        <f>IF(ISNUMBER(SEARCH(",Simulation,",","&amp;SUBSTITUTE(TableMain[[#This Row],[Tags]],", ",",")&amp;",")),"Y","N")</f>
        <v>Y</v>
      </c>
      <c r="N283" s="3" t="str">
        <f>IF(ISNUMBER(SEARCH(",RPG,",","&amp;SUBSTITUTE(TableMain[[#This Row],[Tags]],", ",",")&amp;",")),"Y","N")</f>
        <v>N</v>
      </c>
      <c r="O283" s="3" t="str">
        <f>IF(ISNUMBER(SEARCH(",Strategy,",","&amp;SUBSTITUTE(TableMain[[#This Row],[Tags]],", ",",")&amp;",")),"Y","N")</f>
        <v>N</v>
      </c>
      <c r="P283" s="3" t="str">
        <f>IF(ISNUMBER(SEARCH(",Free To Play,",","&amp;SUBSTITUTE(TableMain[[#This Row],[Tags]],", ",",")&amp;",")),"Y","N")</f>
        <v>N</v>
      </c>
    </row>
    <row r="284" spans="1:16" x14ac:dyDescent="0.35">
      <c r="A284">
        <v>1145360</v>
      </c>
      <c r="B284" t="s">
        <v>729</v>
      </c>
      <c r="C284" s="1">
        <v>44091</v>
      </c>
      <c r="D284">
        <v>2253</v>
      </c>
      <c r="E284" t="b">
        <v>1</v>
      </c>
      <c r="F284" t="s">
        <v>730</v>
      </c>
      <c r="G284" t="s">
        <v>731</v>
      </c>
      <c r="H284">
        <v>283</v>
      </c>
      <c r="I284" t="s">
        <v>304</v>
      </c>
      <c r="J284" s="3" t="str">
        <f>IF(ISNUMBER(SEARCH(",Action,",","&amp;SUBSTITUTE(TableMain[[#This Row],[Tags]],", ",",")&amp;",")),"Y","N")</f>
        <v>Y</v>
      </c>
      <c r="K284" s="3" t="str">
        <f>IF(ISNUMBER(SEARCH(",Indie,",","&amp;SUBSTITUTE(TableMain[[#This Row],[Tags]],", ",",")&amp;",")),"Y","N")</f>
        <v>Y</v>
      </c>
      <c r="L284" s="3" t="str">
        <f>IF(ISNUMBER(SEARCH(",Adventure,",","&amp;SUBSTITUTE(TableMain[[#This Row],[Tags]],", ",",")&amp;",")),"Y","N")</f>
        <v>N</v>
      </c>
      <c r="M284" s="3" t="str">
        <f>IF(ISNUMBER(SEARCH(",Simulation,",","&amp;SUBSTITUTE(TableMain[[#This Row],[Tags]],", ",",")&amp;",")),"Y","N")</f>
        <v>N</v>
      </c>
      <c r="N284" s="3" t="str">
        <f>IF(ISNUMBER(SEARCH(",RPG,",","&amp;SUBSTITUTE(TableMain[[#This Row],[Tags]],", ",",")&amp;",")),"Y","N")</f>
        <v>Y</v>
      </c>
      <c r="O284" s="3" t="str">
        <f>IF(ISNUMBER(SEARCH(",Strategy,",","&amp;SUBSTITUTE(TableMain[[#This Row],[Tags]],", ",",")&amp;",")),"Y","N")</f>
        <v>N</v>
      </c>
      <c r="P284" s="3" t="str">
        <f>IF(ISNUMBER(SEARCH(",Free To Play,",","&amp;SUBSTITUTE(TableMain[[#This Row],[Tags]],", ",",")&amp;",")),"Y","N")</f>
        <v>N</v>
      </c>
    </row>
    <row r="285" spans="1:16" x14ac:dyDescent="0.35">
      <c r="A285">
        <v>601150</v>
      </c>
      <c r="B285" t="s">
        <v>732</v>
      </c>
      <c r="C285" s="1">
        <v>43531</v>
      </c>
      <c r="D285">
        <v>2248</v>
      </c>
      <c r="E285" t="b">
        <v>0</v>
      </c>
      <c r="F285" t="s">
        <v>733</v>
      </c>
      <c r="G285" t="s">
        <v>49</v>
      </c>
      <c r="H285">
        <v>284</v>
      </c>
      <c r="I285" t="s">
        <v>53</v>
      </c>
      <c r="J285" s="3" t="str">
        <f>IF(ISNUMBER(SEARCH(",Action,",","&amp;SUBSTITUTE(TableMain[[#This Row],[Tags]],", ",",")&amp;",")),"Y","N")</f>
        <v>Y</v>
      </c>
      <c r="K285" s="3" t="str">
        <f>IF(ISNUMBER(SEARCH(",Indie,",","&amp;SUBSTITUTE(TableMain[[#This Row],[Tags]],", ",",")&amp;",")),"Y","N")</f>
        <v>N</v>
      </c>
      <c r="L285" s="3" t="str">
        <f>IF(ISNUMBER(SEARCH(",Adventure,",","&amp;SUBSTITUTE(TableMain[[#This Row],[Tags]],", ",",")&amp;",")),"Y","N")</f>
        <v>N</v>
      </c>
      <c r="M285" s="3" t="str">
        <f>IF(ISNUMBER(SEARCH(",Simulation,",","&amp;SUBSTITUTE(TableMain[[#This Row],[Tags]],", ",",")&amp;",")),"Y","N")</f>
        <v>N</v>
      </c>
      <c r="N285" s="3" t="str">
        <f>IF(ISNUMBER(SEARCH(",RPG,",","&amp;SUBSTITUTE(TableMain[[#This Row],[Tags]],", ",",")&amp;",")),"Y","N")</f>
        <v>N</v>
      </c>
      <c r="O285" s="3" t="str">
        <f>IF(ISNUMBER(SEARCH(",Strategy,",","&amp;SUBSTITUTE(TableMain[[#This Row],[Tags]],", ",",")&amp;",")),"Y","N")</f>
        <v>N</v>
      </c>
      <c r="P285" s="3" t="str">
        <f>IF(ISNUMBER(SEARCH(",Free To Play,",","&amp;SUBSTITUTE(TableMain[[#This Row],[Tags]],", ",",")&amp;",")),"Y","N")</f>
        <v>N</v>
      </c>
    </row>
    <row r="286" spans="1:16" x14ac:dyDescent="0.35">
      <c r="A286">
        <v>386180</v>
      </c>
      <c r="B286" t="s">
        <v>734</v>
      </c>
      <c r="C286" s="1">
        <v>42942</v>
      </c>
      <c r="D286">
        <v>2231</v>
      </c>
      <c r="E286" t="b">
        <v>0</v>
      </c>
      <c r="F286" t="s">
        <v>735</v>
      </c>
      <c r="G286" t="s">
        <v>736</v>
      </c>
      <c r="H286">
        <v>285</v>
      </c>
      <c r="I286" t="s">
        <v>33</v>
      </c>
      <c r="J286" s="3" t="str">
        <f>IF(ISNUMBER(SEARCH(",Action,",","&amp;SUBSTITUTE(TableMain[[#This Row],[Tags]],", ",",")&amp;",")),"Y","N")</f>
        <v>Y</v>
      </c>
      <c r="K286" s="3" t="str">
        <f>IF(ISNUMBER(SEARCH(",Indie,",","&amp;SUBSTITUTE(TableMain[[#This Row],[Tags]],", ",",")&amp;",")),"Y","N")</f>
        <v>N</v>
      </c>
      <c r="L286" s="3" t="str">
        <f>IF(ISNUMBER(SEARCH(",Adventure,",","&amp;SUBSTITUTE(TableMain[[#This Row],[Tags]],", ",",")&amp;",")),"Y","N")</f>
        <v>Y</v>
      </c>
      <c r="M286" s="3" t="str">
        <f>IF(ISNUMBER(SEARCH(",Simulation,",","&amp;SUBSTITUTE(TableMain[[#This Row],[Tags]],", ",",")&amp;",")),"Y","N")</f>
        <v>N</v>
      </c>
      <c r="N286" s="3" t="str">
        <f>IF(ISNUMBER(SEARCH(",RPG,",","&amp;SUBSTITUTE(TableMain[[#This Row],[Tags]],", ",",")&amp;",")),"Y","N")</f>
        <v>N</v>
      </c>
      <c r="O286" s="3" t="str">
        <f>IF(ISNUMBER(SEARCH(",Strategy,",","&amp;SUBSTITUTE(TableMain[[#This Row],[Tags]],", ",",")&amp;",")),"Y","N")</f>
        <v>N</v>
      </c>
      <c r="P286" s="3" t="str">
        <f>IF(ISNUMBER(SEARCH(",Free To Play,",","&amp;SUBSTITUTE(TableMain[[#This Row],[Tags]],", ",",")&amp;",")),"Y","N")</f>
        <v>Y</v>
      </c>
    </row>
    <row r="287" spans="1:16" x14ac:dyDescent="0.35">
      <c r="A287">
        <v>400750</v>
      </c>
      <c r="B287" t="s">
        <v>737</v>
      </c>
      <c r="C287" s="1">
        <v>44358</v>
      </c>
      <c r="D287">
        <v>2216</v>
      </c>
      <c r="E287" t="b">
        <v>0</v>
      </c>
      <c r="F287" t="s">
        <v>738</v>
      </c>
      <c r="G287" t="s">
        <v>265</v>
      </c>
      <c r="H287">
        <v>286</v>
      </c>
      <c r="I287" t="s">
        <v>119</v>
      </c>
      <c r="J287" s="3" t="str">
        <f>IF(ISNUMBER(SEARCH(",Action,",","&amp;SUBSTITUTE(TableMain[[#This Row],[Tags]],", ",",")&amp;",")),"Y","N")</f>
        <v>Y</v>
      </c>
      <c r="K287" s="3" t="str">
        <f>IF(ISNUMBER(SEARCH(",Indie,",","&amp;SUBSTITUTE(TableMain[[#This Row],[Tags]],", ",",")&amp;",")),"Y","N")</f>
        <v>N</v>
      </c>
      <c r="L287" s="3" t="str">
        <f>IF(ISNUMBER(SEARCH(",Adventure,",","&amp;SUBSTITUTE(TableMain[[#This Row],[Tags]],", ",",")&amp;",")),"Y","N")</f>
        <v>N</v>
      </c>
      <c r="M287" s="3" t="str">
        <f>IF(ISNUMBER(SEARCH(",Simulation,",","&amp;SUBSTITUTE(TableMain[[#This Row],[Tags]],", ",",")&amp;",")),"Y","N")</f>
        <v>Y</v>
      </c>
      <c r="N287" s="3" t="str">
        <f>IF(ISNUMBER(SEARCH(",RPG,",","&amp;SUBSTITUTE(TableMain[[#This Row],[Tags]],", ",",")&amp;",")),"Y","N")</f>
        <v>N</v>
      </c>
      <c r="O287" s="3" t="str">
        <f>IF(ISNUMBER(SEARCH(",Strategy,",","&amp;SUBSTITUTE(TableMain[[#This Row],[Tags]],", ",",")&amp;",")),"Y","N")</f>
        <v>Y</v>
      </c>
      <c r="P287" s="3" t="str">
        <f>IF(ISNUMBER(SEARCH(",Free To Play,",","&amp;SUBSTITUTE(TableMain[[#This Row],[Tags]],", ",",")&amp;",")),"Y","N")</f>
        <v>N</v>
      </c>
    </row>
    <row r="288" spans="1:16" x14ac:dyDescent="0.35">
      <c r="A288">
        <v>518790</v>
      </c>
      <c r="B288" t="s">
        <v>739</v>
      </c>
      <c r="C288" s="1">
        <v>42782</v>
      </c>
      <c r="D288">
        <v>2207</v>
      </c>
      <c r="E288" t="b">
        <v>0</v>
      </c>
      <c r="F288" t="s">
        <v>740</v>
      </c>
      <c r="G288" t="s">
        <v>741</v>
      </c>
      <c r="H288">
        <v>287</v>
      </c>
      <c r="I288" t="s">
        <v>304</v>
      </c>
      <c r="J288" s="3" t="str">
        <f>IF(ISNUMBER(SEARCH(",Action,",","&amp;SUBSTITUTE(TableMain[[#This Row],[Tags]],", ",",")&amp;",")),"Y","N")</f>
        <v>N</v>
      </c>
      <c r="K288" s="3" t="str">
        <f>IF(ISNUMBER(SEARCH(",Indie,",","&amp;SUBSTITUTE(TableMain[[#This Row],[Tags]],", ",",")&amp;",")),"Y","N")</f>
        <v>N</v>
      </c>
      <c r="L288" s="3" t="str">
        <f>IF(ISNUMBER(SEARCH(",Adventure,",","&amp;SUBSTITUTE(TableMain[[#This Row],[Tags]],", ",",")&amp;",")),"Y","N")</f>
        <v>Y</v>
      </c>
      <c r="M288" s="3" t="str">
        <f>IF(ISNUMBER(SEARCH(",Simulation,",","&amp;SUBSTITUTE(TableMain[[#This Row],[Tags]],", ",",")&amp;",")),"Y","N")</f>
        <v>Y</v>
      </c>
      <c r="N288" s="3" t="str">
        <f>IF(ISNUMBER(SEARCH(",RPG,",","&amp;SUBSTITUTE(TableMain[[#This Row],[Tags]],", ",",")&amp;",")),"Y","N")</f>
        <v>N</v>
      </c>
      <c r="O288" s="3" t="str">
        <f>IF(ISNUMBER(SEARCH(",Strategy,",","&amp;SUBSTITUTE(TableMain[[#This Row],[Tags]],", ",",")&amp;",")),"Y","N")</f>
        <v>N</v>
      </c>
      <c r="P288" s="3" t="str">
        <f>IF(ISNUMBER(SEARCH(",Free To Play,",","&amp;SUBSTITUTE(TableMain[[#This Row],[Tags]],", ",",")&amp;",")),"Y","N")</f>
        <v>N</v>
      </c>
    </row>
    <row r="289" spans="1:16" x14ac:dyDescent="0.35">
      <c r="A289">
        <v>1404210</v>
      </c>
      <c r="B289" t="s">
        <v>742</v>
      </c>
      <c r="C289" s="1">
        <v>44166</v>
      </c>
      <c r="D289">
        <v>2207</v>
      </c>
      <c r="E289" t="b">
        <v>0</v>
      </c>
      <c r="F289" t="s">
        <v>743</v>
      </c>
      <c r="G289" t="s">
        <v>46</v>
      </c>
      <c r="H289">
        <v>287</v>
      </c>
      <c r="I289" t="s">
        <v>53</v>
      </c>
      <c r="J289" s="3" t="str">
        <f>IF(ISNUMBER(SEARCH(",Action,",","&amp;SUBSTITUTE(TableMain[[#This Row],[Tags]],", ",",")&amp;",")),"Y","N")</f>
        <v>Y</v>
      </c>
      <c r="K289" s="3" t="str">
        <f>IF(ISNUMBER(SEARCH(",Indie,",","&amp;SUBSTITUTE(TableMain[[#This Row],[Tags]],", ",",")&amp;",")),"Y","N")</f>
        <v>N</v>
      </c>
      <c r="L289" s="3" t="str">
        <f>IF(ISNUMBER(SEARCH(",Adventure,",","&amp;SUBSTITUTE(TableMain[[#This Row],[Tags]],", ",",")&amp;",")),"Y","N")</f>
        <v>Y</v>
      </c>
      <c r="M289" s="3" t="str">
        <f>IF(ISNUMBER(SEARCH(",Simulation,",","&amp;SUBSTITUTE(TableMain[[#This Row],[Tags]],", ",",")&amp;",")),"Y","N")</f>
        <v>N</v>
      </c>
      <c r="N289" s="3" t="str">
        <f>IF(ISNUMBER(SEARCH(",RPG,",","&amp;SUBSTITUTE(TableMain[[#This Row],[Tags]],", ",",")&amp;",")),"Y","N")</f>
        <v>N</v>
      </c>
      <c r="O289" s="3" t="str">
        <f>IF(ISNUMBER(SEARCH(",Strategy,",","&amp;SUBSTITUTE(TableMain[[#This Row],[Tags]],", ",",")&amp;",")),"Y","N")</f>
        <v>N</v>
      </c>
      <c r="P289" s="3" t="str">
        <f>IF(ISNUMBER(SEARCH(",Free To Play,",","&amp;SUBSTITUTE(TableMain[[#This Row],[Tags]],", ",",")&amp;",")),"Y","N")</f>
        <v>N</v>
      </c>
    </row>
    <row r="290" spans="1:16" x14ac:dyDescent="0.35">
      <c r="A290">
        <v>1677280</v>
      </c>
      <c r="B290" t="s">
        <v>744</v>
      </c>
      <c r="C290" s="1">
        <v>44980</v>
      </c>
      <c r="D290">
        <v>2183</v>
      </c>
      <c r="E290" t="b">
        <v>0</v>
      </c>
      <c r="F290" t="s">
        <v>745</v>
      </c>
      <c r="G290" t="s">
        <v>183</v>
      </c>
      <c r="H290">
        <v>289</v>
      </c>
      <c r="I290" t="s">
        <v>175</v>
      </c>
      <c r="J290" s="3" t="str">
        <f>IF(ISNUMBER(SEARCH(",Action,",","&amp;SUBSTITUTE(TableMain[[#This Row],[Tags]],", ",",")&amp;",")),"Y","N")</f>
        <v>Y</v>
      </c>
      <c r="K290" s="3" t="str">
        <f>IF(ISNUMBER(SEARCH(",Indie,",","&amp;SUBSTITUTE(TableMain[[#This Row],[Tags]],", ",",")&amp;",")),"Y","N")</f>
        <v>N</v>
      </c>
      <c r="L290" s="3" t="str">
        <f>IF(ISNUMBER(SEARCH(",Adventure,",","&amp;SUBSTITUTE(TableMain[[#This Row],[Tags]],", ",",")&amp;",")),"Y","N")</f>
        <v>N</v>
      </c>
      <c r="M290" s="3" t="str">
        <f>IF(ISNUMBER(SEARCH(",Simulation,",","&amp;SUBSTITUTE(TableMain[[#This Row],[Tags]],", ",",")&amp;",")),"Y","N")</f>
        <v>N</v>
      </c>
      <c r="N290" s="3" t="str">
        <f>IF(ISNUMBER(SEARCH(",RPG,",","&amp;SUBSTITUTE(TableMain[[#This Row],[Tags]],", ",",")&amp;",")),"Y","N")</f>
        <v>N</v>
      </c>
      <c r="O290" s="3" t="str">
        <f>IF(ISNUMBER(SEARCH(",Strategy,",","&amp;SUBSTITUTE(TableMain[[#This Row],[Tags]],", ",",")&amp;",")),"Y","N")</f>
        <v>Y</v>
      </c>
      <c r="P290" s="3" t="str">
        <f>IF(ISNUMBER(SEARCH(",Free To Play,",","&amp;SUBSTITUTE(TableMain[[#This Row],[Tags]],", ",",")&amp;",")),"Y","N")</f>
        <v>N</v>
      </c>
    </row>
    <row r="291" spans="1:16" x14ac:dyDescent="0.35">
      <c r="A291">
        <v>1068820</v>
      </c>
      <c r="B291" t="s">
        <v>746</v>
      </c>
      <c r="C291" s="1">
        <v>43644</v>
      </c>
      <c r="D291">
        <v>2180</v>
      </c>
      <c r="E291" t="b">
        <v>0</v>
      </c>
      <c r="F291" t="s">
        <v>747</v>
      </c>
      <c r="G291" t="s">
        <v>571</v>
      </c>
      <c r="H291">
        <v>290</v>
      </c>
      <c r="I291" t="s">
        <v>371</v>
      </c>
      <c r="J291" s="3" t="str">
        <f>IF(ISNUMBER(SEARCH(",Action,",","&amp;SUBSTITUTE(TableMain[[#This Row],[Tags]],", ",",")&amp;",")),"Y","N")</f>
        <v>N</v>
      </c>
      <c r="K291" s="3" t="str">
        <f>IF(ISNUMBER(SEARCH(",Indie,",","&amp;SUBSTITUTE(TableMain[[#This Row],[Tags]],", ",",")&amp;",")),"Y","N")</f>
        <v>N</v>
      </c>
      <c r="L291" s="3" t="str">
        <f>IF(ISNUMBER(SEARCH(",Adventure,",","&amp;SUBSTITUTE(TableMain[[#This Row],[Tags]],", ",",")&amp;",")),"Y","N")</f>
        <v>N</v>
      </c>
      <c r="M291" s="3" t="str">
        <f>IF(ISNUMBER(SEARCH(",Simulation,",","&amp;SUBSTITUTE(TableMain[[#This Row],[Tags]],", ",",")&amp;",")),"Y","N")</f>
        <v>N</v>
      </c>
      <c r="N291" s="3" t="str">
        <f>IF(ISNUMBER(SEARCH(",RPG,",","&amp;SUBSTITUTE(TableMain[[#This Row],[Tags]],", ",",")&amp;",")),"Y","N")</f>
        <v>N</v>
      </c>
      <c r="O291" s="3" t="str">
        <f>IF(ISNUMBER(SEARCH(",Strategy,",","&amp;SUBSTITUTE(TableMain[[#This Row],[Tags]],", ",",")&amp;",")),"Y","N")</f>
        <v>N</v>
      </c>
      <c r="P291" s="3" t="str">
        <f>IF(ISNUMBER(SEARCH(",Free To Play,",","&amp;SUBSTITUTE(TableMain[[#This Row],[Tags]],", ",",")&amp;",")),"Y","N")</f>
        <v>N</v>
      </c>
    </row>
    <row r="292" spans="1:16" x14ac:dyDescent="0.35">
      <c r="A292">
        <v>1128810</v>
      </c>
      <c r="B292" t="s">
        <v>748</v>
      </c>
      <c r="C292" s="1">
        <v>43880</v>
      </c>
      <c r="D292">
        <v>2153</v>
      </c>
      <c r="E292" t="b">
        <v>1</v>
      </c>
      <c r="F292" t="s">
        <v>749</v>
      </c>
      <c r="G292" t="s">
        <v>750</v>
      </c>
      <c r="H292">
        <v>291</v>
      </c>
      <c r="I292" t="s">
        <v>14</v>
      </c>
      <c r="J292" s="3" t="str">
        <f>IF(ISNUMBER(SEARCH(",Action,",","&amp;SUBSTITUTE(TableMain[[#This Row],[Tags]],", ",",")&amp;",")),"Y","N")</f>
        <v>N</v>
      </c>
      <c r="K292" s="3" t="str">
        <f>IF(ISNUMBER(SEARCH(",Indie,",","&amp;SUBSTITUTE(TableMain[[#This Row],[Tags]],", ",",")&amp;",")),"Y","N")</f>
        <v>N</v>
      </c>
      <c r="L292" s="3" t="str">
        <f>IF(ISNUMBER(SEARCH(",Adventure,",","&amp;SUBSTITUTE(TableMain[[#This Row],[Tags]],", ",",")&amp;",")),"Y","N")</f>
        <v>N</v>
      </c>
      <c r="M292" s="3" t="str">
        <f>IF(ISNUMBER(SEARCH(",Simulation,",","&amp;SUBSTITUTE(TableMain[[#This Row],[Tags]],", ",",")&amp;",")),"Y","N")</f>
        <v>N</v>
      </c>
      <c r="N292" s="3" t="str">
        <f>IF(ISNUMBER(SEARCH(",RPG,",","&amp;SUBSTITUTE(TableMain[[#This Row],[Tags]],", ",",")&amp;",")),"Y","N")</f>
        <v>N</v>
      </c>
      <c r="O292" s="3" t="str">
        <f>IF(ISNUMBER(SEARCH(",Strategy,",","&amp;SUBSTITUTE(TableMain[[#This Row],[Tags]],", ",",")&amp;",")),"Y","N")</f>
        <v>Y</v>
      </c>
      <c r="P292" s="3" t="str">
        <f>IF(ISNUMBER(SEARCH(",Free To Play,",","&amp;SUBSTITUTE(TableMain[[#This Row],[Tags]],", ",",")&amp;",")),"Y","N")</f>
        <v>Y</v>
      </c>
    </row>
    <row r="293" spans="1:16" x14ac:dyDescent="0.35">
      <c r="A293">
        <v>304390</v>
      </c>
      <c r="B293" t="s">
        <v>751</v>
      </c>
      <c r="C293" s="1">
        <v>42779</v>
      </c>
      <c r="D293">
        <v>2146</v>
      </c>
      <c r="E293" t="b">
        <v>0</v>
      </c>
      <c r="F293" t="s">
        <v>752</v>
      </c>
      <c r="G293" t="s">
        <v>49</v>
      </c>
      <c r="H293">
        <v>292</v>
      </c>
      <c r="I293" t="s">
        <v>53</v>
      </c>
      <c r="J293" s="3" t="str">
        <f>IF(ISNUMBER(SEARCH(",Action,",","&amp;SUBSTITUTE(TableMain[[#This Row],[Tags]],", ",",")&amp;",")),"Y","N")</f>
        <v>Y</v>
      </c>
      <c r="K293" s="3" t="str">
        <f>IF(ISNUMBER(SEARCH(",Indie,",","&amp;SUBSTITUTE(TableMain[[#This Row],[Tags]],", ",",")&amp;",")),"Y","N")</f>
        <v>N</v>
      </c>
      <c r="L293" s="3" t="str">
        <f>IF(ISNUMBER(SEARCH(",Adventure,",","&amp;SUBSTITUTE(TableMain[[#This Row],[Tags]],", ",",")&amp;",")),"Y","N")</f>
        <v>N</v>
      </c>
      <c r="M293" s="3" t="str">
        <f>IF(ISNUMBER(SEARCH(",Simulation,",","&amp;SUBSTITUTE(TableMain[[#This Row],[Tags]],", ",",")&amp;",")),"Y","N")</f>
        <v>N</v>
      </c>
      <c r="N293" s="3" t="str">
        <f>IF(ISNUMBER(SEARCH(",RPG,",","&amp;SUBSTITUTE(TableMain[[#This Row],[Tags]],", ",",")&amp;",")),"Y","N")</f>
        <v>N</v>
      </c>
      <c r="O293" s="3" t="str">
        <f>IF(ISNUMBER(SEARCH(",Strategy,",","&amp;SUBSTITUTE(TableMain[[#This Row],[Tags]],", ",",")&amp;",")),"Y","N")</f>
        <v>N</v>
      </c>
      <c r="P293" s="3" t="str">
        <f>IF(ISNUMBER(SEARCH(",Free To Play,",","&amp;SUBSTITUTE(TableMain[[#This Row],[Tags]],", ",",")&amp;",")),"Y","N")</f>
        <v>N</v>
      </c>
    </row>
    <row r="294" spans="1:16" x14ac:dyDescent="0.35">
      <c r="A294">
        <v>392160</v>
      </c>
      <c r="B294" t="s">
        <v>753</v>
      </c>
      <c r="C294" s="1">
        <v>43434</v>
      </c>
      <c r="D294">
        <v>2141</v>
      </c>
      <c r="E294" t="b">
        <v>0</v>
      </c>
      <c r="F294" t="s">
        <v>754</v>
      </c>
      <c r="G294" t="s">
        <v>265</v>
      </c>
      <c r="H294">
        <v>293</v>
      </c>
      <c r="I294" t="s">
        <v>29</v>
      </c>
      <c r="J294" s="3" t="str">
        <f>IF(ISNUMBER(SEARCH(",Action,",","&amp;SUBSTITUTE(TableMain[[#This Row],[Tags]],", ",",")&amp;",")),"Y","N")</f>
        <v>Y</v>
      </c>
      <c r="K294" s="3" t="str">
        <f>IF(ISNUMBER(SEARCH(",Indie,",","&amp;SUBSTITUTE(TableMain[[#This Row],[Tags]],", ",",")&amp;",")),"Y","N")</f>
        <v>N</v>
      </c>
      <c r="L294" s="3" t="str">
        <f>IF(ISNUMBER(SEARCH(",Adventure,",","&amp;SUBSTITUTE(TableMain[[#This Row],[Tags]],", ",",")&amp;",")),"Y","N")</f>
        <v>N</v>
      </c>
      <c r="M294" s="3" t="str">
        <f>IF(ISNUMBER(SEARCH(",Simulation,",","&amp;SUBSTITUTE(TableMain[[#This Row],[Tags]],", ",",")&amp;",")),"Y","N")</f>
        <v>Y</v>
      </c>
      <c r="N294" s="3" t="str">
        <f>IF(ISNUMBER(SEARCH(",RPG,",","&amp;SUBSTITUTE(TableMain[[#This Row],[Tags]],", ",",")&amp;",")),"Y","N")</f>
        <v>N</v>
      </c>
      <c r="O294" s="3" t="str">
        <f>IF(ISNUMBER(SEARCH(",Strategy,",","&amp;SUBSTITUTE(TableMain[[#This Row],[Tags]],", ",",")&amp;",")),"Y","N")</f>
        <v>Y</v>
      </c>
      <c r="P294" s="3" t="str">
        <f>IF(ISNUMBER(SEARCH(",Free To Play,",","&amp;SUBSTITUTE(TableMain[[#This Row],[Tags]],", ",",")&amp;",")),"Y","N")</f>
        <v>N</v>
      </c>
    </row>
    <row r="295" spans="1:16" x14ac:dyDescent="0.35">
      <c r="A295">
        <v>552500</v>
      </c>
      <c r="B295" t="s">
        <v>755</v>
      </c>
      <c r="C295" s="1">
        <v>43167</v>
      </c>
      <c r="D295">
        <v>2124</v>
      </c>
      <c r="E295" t="b">
        <v>0</v>
      </c>
      <c r="F295" t="s">
        <v>756</v>
      </c>
      <c r="G295" t="s">
        <v>731</v>
      </c>
      <c r="H295">
        <v>294</v>
      </c>
      <c r="I295" t="s">
        <v>33</v>
      </c>
      <c r="J295" s="3" t="str">
        <f>IF(ISNUMBER(SEARCH(",Action,",","&amp;SUBSTITUTE(TableMain[[#This Row],[Tags]],", ",",")&amp;",")),"Y","N")</f>
        <v>Y</v>
      </c>
      <c r="K295" s="3" t="str">
        <f>IF(ISNUMBER(SEARCH(",Indie,",","&amp;SUBSTITUTE(TableMain[[#This Row],[Tags]],", ",",")&amp;",")),"Y","N")</f>
        <v>Y</v>
      </c>
      <c r="L295" s="3" t="str">
        <f>IF(ISNUMBER(SEARCH(",Adventure,",","&amp;SUBSTITUTE(TableMain[[#This Row],[Tags]],", ",",")&amp;",")),"Y","N")</f>
        <v>N</v>
      </c>
      <c r="M295" s="3" t="str">
        <f>IF(ISNUMBER(SEARCH(",Simulation,",","&amp;SUBSTITUTE(TableMain[[#This Row],[Tags]],", ",",")&amp;",")),"Y","N")</f>
        <v>N</v>
      </c>
      <c r="N295" s="3" t="str">
        <f>IF(ISNUMBER(SEARCH(",RPG,",","&amp;SUBSTITUTE(TableMain[[#This Row],[Tags]],", ",",")&amp;",")),"Y","N")</f>
        <v>Y</v>
      </c>
      <c r="O295" s="3" t="str">
        <f>IF(ISNUMBER(SEARCH(",Strategy,",","&amp;SUBSTITUTE(TableMain[[#This Row],[Tags]],", ",",")&amp;",")),"Y","N")</f>
        <v>N</v>
      </c>
      <c r="P295" s="3" t="str">
        <f>IF(ISNUMBER(SEARCH(",Free To Play,",","&amp;SUBSTITUTE(TableMain[[#This Row],[Tags]],", ",",")&amp;",")),"Y","N")</f>
        <v>N</v>
      </c>
    </row>
    <row r="296" spans="1:16" x14ac:dyDescent="0.35">
      <c r="A296">
        <v>12210</v>
      </c>
      <c r="B296" t="s">
        <v>757</v>
      </c>
      <c r="C296" s="1">
        <v>43914</v>
      </c>
      <c r="D296">
        <v>2122</v>
      </c>
      <c r="E296" t="b">
        <v>0</v>
      </c>
      <c r="F296" t="s">
        <v>758</v>
      </c>
      <c r="G296" t="s">
        <v>46</v>
      </c>
      <c r="H296">
        <v>295</v>
      </c>
      <c r="I296" t="s">
        <v>2082</v>
      </c>
      <c r="J296" s="3" t="str">
        <f>IF(ISNUMBER(SEARCH(",Action,",","&amp;SUBSTITUTE(TableMain[[#This Row],[Tags]],", ",",")&amp;",")),"Y","N")</f>
        <v>Y</v>
      </c>
      <c r="K296" s="3" t="str">
        <f>IF(ISNUMBER(SEARCH(",Indie,",","&amp;SUBSTITUTE(TableMain[[#This Row],[Tags]],", ",",")&amp;",")),"Y","N")</f>
        <v>N</v>
      </c>
      <c r="L296" s="3" t="str">
        <f>IF(ISNUMBER(SEARCH(",Adventure,",","&amp;SUBSTITUTE(TableMain[[#This Row],[Tags]],", ",",")&amp;",")),"Y","N")</f>
        <v>Y</v>
      </c>
      <c r="M296" s="3" t="str">
        <f>IF(ISNUMBER(SEARCH(",Simulation,",","&amp;SUBSTITUTE(TableMain[[#This Row],[Tags]],", ",",")&amp;",")),"Y","N")</f>
        <v>N</v>
      </c>
      <c r="N296" s="3" t="str">
        <f>IF(ISNUMBER(SEARCH(",RPG,",","&amp;SUBSTITUTE(TableMain[[#This Row],[Tags]],", ",",")&amp;",")),"Y","N")</f>
        <v>N</v>
      </c>
      <c r="O296" s="3" t="str">
        <f>IF(ISNUMBER(SEARCH(",Strategy,",","&amp;SUBSTITUTE(TableMain[[#This Row],[Tags]],", ",",")&amp;",")),"Y","N")</f>
        <v>N</v>
      </c>
      <c r="P296" s="3" t="str">
        <f>IF(ISNUMBER(SEARCH(",Free To Play,",","&amp;SUBSTITUTE(TableMain[[#This Row],[Tags]],", ",",")&amp;",")),"Y","N")</f>
        <v>N</v>
      </c>
    </row>
    <row r="297" spans="1:16" x14ac:dyDescent="0.35">
      <c r="A297">
        <v>728880</v>
      </c>
      <c r="B297" t="s">
        <v>759</v>
      </c>
      <c r="C297" s="1">
        <v>43319</v>
      </c>
      <c r="D297">
        <v>2107</v>
      </c>
      <c r="E297" t="b">
        <v>1</v>
      </c>
      <c r="F297" t="s">
        <v>760</v>
      </c>
      <c r="G297" t="s">
        <v>601</v>
      </c>
      <c r="H297">
        <v>296</v>
      </c>
      <c r="I297" t="s">
        <v>110</v>
      </c>
      <c r="J297" s="3" t="str">
        <f>IF(ISNUMBER(SEARCH(",Action,",","&amp;SUBSTITUTE(TableMain[[#This Row],[Tags]],", ",",")&amp;",")),"Y","N")</f>
        <v>Y</v>
      </c>
      <c r="K297" s="3" t="str">
        <f>IF(ISNUMBER(SEARCH(",Indie,",","&amp;SUBSTITUTE(TableMain[[#This Row],[Tags]],", ",",")&amp;",")),"Y","N")</f>
        <v>Y</v>
      </c>
      <c r="L297" s="3" t="str">
        <f>IF(ISNUMBER(SEARCH(",Adventure,",","&amp;SUBSTITUTE(TableMain[[#This Row],[Tags]],", ",",")&amp;",")),"Y","N")</f>
        <v>N</v>
      </c>
      <c r="M297" s="3" t="str">
        <f>IF(ISNUMBER(SEARCH(",Simulation,",","&amp;SUBSTITUTE(TableMain[[#This Row],[Tags]],", ",",")&amp;",")),"Y","N")</f>
        <v>N</v>
      </c>
      <c r="N297" s="3" t="str">
        <f>IF(ISNUMBER(SEARCH(",RPG,",","&amp;SUBSTITUTE(TableMain[[#This Row],[Tags]],", ",",")&amp;",")),"Y","N")</f>
        <v>N</v>
      </c>
      <c r="O297" s="3" t="str">
        <f>IF(ISNUMBER(SEARCH(",Strategy,",","&amp;SUBSTITUTE(TableMain[[#This Row],[Tags]],", ",",")&amp;",")),"Y","N")</f>
        <v>N</v>
      </c>
      <c r="P297" s="3" t="str">
        <f>IF(ISNUMBER(SEARCH(",Free To Play,",","&amp;SUBSTITUTE(TableMain[[#This Row],[Tags]],", ",",")&amp;",")),"Y","N")</f>
        <v>N</v>
      </c>
    </row>
    <row r="298" spans="1:16" x14ac:dyDescent="0.35">
      <c r="A298">
        <v>268910</v>
      </c>
      <c r="B298" t="s">
        <v>761</v>
      </c>
      <c r="C298" s="1">
        <v>43007</v>
      </c>
      <c r="D298">
        <v>2080</v>
      </c>
      <c r="E298" t="b">
        <v>1</v>
      </c>
      <c r="F298" t="s">
        <v>762</v>
      </c>
      <c r="G298" t="s">
        <v>116</v>
      </c>
      <c r="H298">
        <v>297</v>
      </c>
      <c r="I298" t="s">
        <v>110</v>
      </c>
      <c r="J298" s="3" t="str">
        <f>IF(ISNUMBER(SEARCH(",Action,",","&amp;SUBSTITUTE(TableMain[[#This Row],[Tags]],", ",",")&amp;",")),"Y","N")</f>
        <v>Y</v>
      </c>
      <c r="K298" s="3" t="str">
        <f>IF(ISNUMBER(SEARCH(",Indie,",","&amp;SUBSTITUTE(TableMain[[#This Row],[Tags]],", ",",")&amp;",")),"Y","N")</f>
        <v>Y</v>
      </c>
      <c r="L298" s="3" t="str">
        <f>IF(ISNUMBER(SEARCH(",Adventure,",","&amp;SUBSTITUTE(TableMain[[#This Row],[Tags]],", ",",")&amp;",")),"Y","N")</f>
        <v>N</v>
      </c>
      <c r="M298" s="3" t="str">
        <f>IF(ISNUMBER(SEARCH(",Simulation,",","&amp;SUBSTITUTE(TableMain[[#This Row],[Tags]],", ",",")&amp;",")),"Y","N")</f>
        <v>N</v>
      </c>
      <c r="N298" s="3" t="str">
        <f>IF(ISNUMBER(SEARCH(",RPG,",","&amp;SUBSTITUTE(TableMain[[#This Row],[Tags]],", ",",")&amp;",")),"Y","N")</f>
        <v>N</v>
      </c>
      <c r="O298" s="3" t="str">
        <f>IF(ISNUMBER(SEARCH(",Strategy,",","&amp;SUBSTITUTE(TableMain[[#This Row],[Tags]],", ",",")&amp;",")),"Y","N")</f>
        <v>N</v>
      </c>
      <c r="P298" s="3" t="str">
        <f>IF(ISNUMBER(SEARCH(",Free To Play,",","&amp;SUBSTITUTE(TableMain[[#This Row],[Tags]],", ",",")&amp;",")),"Y","N")</f>
        <v>N</v>
      </c>
    </row>
    <row r="299" spans="1:16" x14ac:dyDescent="0.35">
      <c r="A299">
        <v>2488620</v>
      </c>
      <c r="B299" t="s">
        <v>763</v>
      </c>
      <c r="C299" s="1">
        <v>45443</v>
      </c>
      <c r="D299">
        <v>2067</v>
      </c>
      <c r="E299" t="b">
        <v>0</v>
      </c>
      <c r="F299" t="s">
        <v>764</v>
      </c>
      <c r="G299" t="s">
        <v>765</v>
      </c>
      <c r="H299">
        <v>298</v>
      </c>
      <c r="I299" t="s">
        <v>119</v>
      </c>
      <c r="J299" s="3" t="str">
        <f>IF(ISNUMBER(SEARCH(",Action,",","&amp;SUBSTITUTE(TableMain[[#This Row],[Tags]],", ",",")&amp;",")),"Y","N")</f>
        <v>N</v>
      </c>
      <c r="K299" s="3" t="str">
        <f>IF(ISNUMBER(SEARCH(",Indie,",","&amp;SUBSTITUTE(TableMain[[#This Row],[Tags]],", ",",")&amp;",")),"Y","N")</f>
        <v>N</v>
      </c>
      <c r="L299" s="3" t="str">
        <f>IF(ISNUMBER(SEARCH(",Adventure,",","&amp;SUBSTITUTE(TableMain[[#This Row],[Tags]],", ",",")&amp;",")),"Y","N")</f>
        <v>N</v>
      </c>
      <c r="M299" s="3" t="str">
        <f>IF(ISNUMBER(SEARCH(",Simulation,",","&amp;SUBSTITUTE(TableMain[[#This Row],[Tags]],", ",",")&amp;",")),"Y","N")</f>
        <v>N</v>
      </c>
      <c r="N299" s="3" t="str">
        <f>IF(ISNUMBER(SEARCH(",RPG,",","&amp;SUBSTITUTE(TableMain[[#This Row],[Tags]],", ",",")&amp;",")),"Y","N")</f>
        <v>N</v>
      </c>
      <c r="O299" s="3" t="str">
        <f>IF(ISNUMBER(SEARCH(",Strategy,",","&amp;SUBSTITUTE(TableMain[[#This Row],[Tags]],", ",",")&amp;",")),"Y","N")</f>
        <v>N</v>
      </c>
      <c r="P299" s="3" t="str">
        <f>IF(ISNUMBER(SEARCH(",Free To Play,",","&amp;SUBSTITUTE(TableMain[[#This Row],[Tags]],", ",",")&amp;",")),"Y","N")</f>
        <v>N</v>
      </c>
    </row>
    <row r="300" spans="1:16" x14ac:dyDescent="0.35">
      <c r="A300">
        <v>1371580</v>
      </c>
      <c r="B300" t="s">
        <v>766</v>
      </c>
      <c r="C300" s="1">
        <v>45343</v>
      </c>
      <c r="D300">
        <v>2060</v>
      </c>
      <c r="E300" t="b">
        <v>0</v>
      </c>
      <c r="F300" t="s">
        <v>767</v>
      </c>
      <c r="G300" t="s">
        <v>28</v>
      </c>
      <c r="H300">
        <v>299</v>
      </c>
      <c r="I300" t="s">
        <v>18</v>
      </c>
      <c r="J300" s="3" t="str">
        <f>IF(ISNUMBER(SEARCH(",Action,",","&amp;SUBSTITUTE(TableMain[[#This Row],[Tags]],", ",",")&amp;",")),"Y","N")</f>
        <v>Y</v>
      </c>
      <c r="K300" s="3" t="str">
        <f>IF(ISNUMBER(SEARCH(",Indie,",","&amp;SUBSTITUTE(TableMain[[#This Row],[Tags]],", ",",")&amp;",")),"Y","N")</f>
        <v>Y</v>
      </c>
      <c r="L300" s="3" t="str">
        <f>IF(ISNUMBER(SEARCH(",Adventure,",","&amp;SUBSTITUTE(TableMain[[#This Row],[Tags]],", ",",")&amp;",")),"Y","N")</f>
        <v>Y</v>
      </c>
      <c r="M300" s="3" t="str">
        <f>IF(ISNUMBER(SEARCH(",Simulation,",","&amp;SUBSTITUTE(TableMain[[#This Row],[Tags]],", ",",")&amp;",")),"Y","N")</f>
        <v>N</v>
      </c>
      <c r="N300" s="3" t="str">
        <f>IF(ISNUMBER(SEARCH(",RPG,",","&amp;SUBSTITUTE(TableMain[[#This Row],[Tags]],", ",",")&amp;",")),"Y","N")</f>
        <v>Y</v>
      </c>
      <c r="O300" s="3" t="str">
        <f>IF(ISNUMBER(SEARCH(",Strategy,",","&amp;SUBSTITUTE(TableMain[[#This Row],[Tags]],", ",",")&amp;",")),"Y","N")</f>
        <v>N</v>
      </c>
      <c r="P300" s="3" t="str">
        <f>IF(ISNUMBER(SEARCH(",Free To Play,",","&amp;SUBSTITUTE(TableMain[[#This Row],[Tags]],", ",",")&amp;",")),"Y","N")</f>
        <v>N</v>
      </c>
    </row>
    <row r="301" spans="1:16" x14ac:dyDescent="0.35">
      <c r="A301">
        <v>1104280</v>
      </c>
      <c r="B301" t="s">
        <v>768</v>
      </c>
      <c r="C301" s="1">
        <v>45790</v>
      </c>
      <c r="D301">
        <v>2052</v>
      </c>
      <c r="E301" t="b">
        <v>0</v>
      </c>
      <c r="F301" t="s">
        <v>324</v>
      </c>
      <c r="G301" t="s">
        <v>138</v>
      </c>
      <c r="H301">
        <v>300</v>
      </c>
      <c r="I301" s="2" t="s">
        <v>2082</v>
      </c>
      <c r="J301" s="4" t="str">
        <f>IF(ISNUMBER(SEARCH(",Action,",","&amp;SUBSTITUTE(TableMain[[#This Row],[Tags]],", ",",")&amp;",")),"Y","N")</f>
        <v>Y</v>
      </c>
      <c r="K301" s="4" t="str">
        <f>IF(ISNUMBER(SEARCH(",Indie,",","&amp;SUBSTITUTE(TableMain[[#This Row],[Tags]],", ",",")&amp;",")),"Y","N")</f>
        <v>Y</v>
      </c>
      <c r="L301" s="4" t="str">
        <f>IF(ISNUMBER(SEARCH(",Adventure,",","&amp;SUBSTITUTE(TableMain[[#This Row],[Tags]],", ",",")&amp;",")),"Y","N")</f>
        <v>Y</v>
      </c>
      <c r="M301" s="4" t="str">
        <f>IF(ISNUMBER(SEARCH(",Simulation,",","&amp;SUBSTITUTE(TableMain[[#This Row],[Tags]],", ",",")&amp;",")),"Y","N")</f>
        <v>N</v>
      </c>
      <c r="N301" s="4" t="str">
        <f>IF(ISNUMBER(SEARCH(",RPG,",","&amp;SUBSTITUTE(TableMain[[#This Row],[Tags]],", ",",")&amp;",")),"Y","N")</f>
        <v>Y</v>
      </c>
      <c r="O301" s="4" t="str">
        <f>IF(ISNUMBER(SEARCH(",Strategy,",","&amp;SUBSTITUTE(TableMain[[#This Row],[Tags]],", ",",")&amp;",")),"Y","N")</f>
        <v>N</v>
      </c>
      <c r="P301" s="4" t="str">
        <f>IF(ISNUMBER(SEARCH(",Free To Play,",","&amp;SUBSTITUTE(TableMain[[#This Row],[Tags]],", ",",")&amp;",")),"Y","N")</f>
        <v>N</v>
      </c>
    </row>
    <row r="302" spans="1:16" x14ac:dyDescent="0.35">
      <c r="A302">
        <v>10500</v>
      </c>
      <c r="B302" t="s">
        <v>769</v>
      </c>
      <c r="C302" s="1">
        <v>39876</v>
      </c>
      <c r="D302">
        <v>2028</v>
      </c>
      <c r="E302" t="b">
        <v>1</v>
      </c>
      <c r="F302" t="s">
        <v>770</v>
      </c>
      <c r="G302" t="s">
        <v>124</v>
      </c>
      <c r="H302">
        <v>301</v>
      </c>
      <c r="I302" t="s">
        <v>2084</v>
      </c>
      <c r="J302" s="3" t="str">
        <f>IF(ISNUMBER(SEARCH(",Action,",","&amp;SUBSTITUTE(TableMain[[#This Row],[Tags]],", ",",")&amp;",")),"Y","N")</f>
        <v>N</v>
      </c>
      <c r="K302" s="3" t="str">
        <f>IF(ISNUMBER(SEARCH(",Indie,",","&amp;SUBSTITUTE(TableMain[[#This Row],[Tags]],", ",",")&amp;",")),"Y","N")</f>
        <v>N</v>
      </c>
      <c r="L302" s="3" t="str">
        <f>IF(ISNUMBER(SEARCH(",Adventure,",","&amp;SUBSTITUTE(TableMain[[#This Row],[Tags]],", ",",")&amp;",")),"Y","N")</f>
        <v>N</v>
      </c>
      <c r="M302" s="3" t="str">
        <f>IF(ISNUMBER(SEARCH(",Simulation,",","&amp;SUBSTITUTE(TableMain[[#This Row],[Tags]],", ",",")&amp;",")),"Y","N")</f>
        <v>N</v>
      </c>
      <c r="N302" s="3" t="str">
        <f>IF(ISNUMBER(SEARCH(",RPG,",","&amp;SUBSTITUTE(TableMain[[#This Row],[Tags]],", ",",")&amp;",")),"Y","N")</f>
        <v>N</v>
      </c>
      <c r="O302" s="3" t="str">
        <f>IF(ISNUMBER(SEARCH(",Strategy,",","&amp;SUBSTITUTE(TableMain[[#This Row],[Tags]],", ",",")&amp;",")),"Y","N")</f>
        <v>Y</v>
      </c>
      <c r="P302" s="3" t="str">
        <f>IF(ISNUMBER(SEARCH(",Free To Play,",","&amp;SUBSTITUTE(TableMain[[#This Row],[Tags]],", ",",")&amp;",")),"Y","N")</f>
        <v>N</v>
      </c>
    </row>
    <row r="303" spans="1:16" x14ac:dyDescent="0.35">
      <c r="A303">
        <v>2215430</v>
      </c>
      <c r="B303" t="s">
        <v>771</v>
      </c>
      <c r="C303" s="1">
        <v>45428</v>
      </c>
      <c r="D303">
        <v>2025</v>
      </c>
      <c r="E303" t="b">
        <v>0</v>
      </c>
      <c r="F303" t="s">
        <v>772</v>
      </c>
      <c r="G303" t="s">
        <v>46</v>
      </c>
      <c r="H303">
        <v>302</v>
      </c>
      <c r="I303" t="s">
        <v>36</v>
      </c>
      <c r="J303" s="3" t="str">
        <f>IF(ISNUMBER(SEARCH(",Action,",","&amp;SUBSTITUTE(TableMain[[#This Row],[Tags]],", ",",")&amp;",")),"Y","N")</f>
        <v>Y</v>
      </c>
      <c r="K303" s="3" t="str">
        <f>IF(ISNUMBER(SEARCH(",Indie,",","&amp;SUBSTITUTE(TableMain[[#This Row],[Tags]],", ",",")&amp;",")),"Y","N")</f>
        <v>N</v>
      </c>
      <c r="L303" s="3" t="str">
        <f>IF(ISNUMBER(SEARCH(",Adventure,",","&amp;SUBSTITUTE(TableMain[[#This Row],[Tags]],", ",",")&amp;",")),"Y","N")</f>
        <v>Y</v>
      </c>
      <c r="M303" s="3" t="str">
        <f>IF(ISNUMBER(SEARCH(",Simulation,",","&amp;SUBSTITUTE(TableMain[[#This Row],[Tags]],", ",",")&amp;",")),"Y","N")</f>
        <v>N</v>
      </c>
      <c r="N303" s="3" t="str">
        <f>IF(ISNUMBER(SEARCH(",RPG,",","&amp;SUBSTITUTE(TableMain[[#This Row],[Tags]],", ",",")&amp;",")),"Y","N")</f>
        <v>N</v>
      </c>
      <c r="O303" s="3" t="str">
        <f>IF(ISNUMBER(SEARCH(",Strategy,",","&amp;SUBSTITUTE(TableMain[[#This Row],[Tags]],", ",",")&amp;",")),"Y","N")</f>
        <v>N</v>
      </c>
      <c r="P303" s="3" t="str">
        <f>IF(ISNUMBER(SEARCH(",Free To Play,",","&amp;SUBSTITUTE(TableMain[[#This Row],[Tags]],", ",",")&amp;",")),"Y","N")</f>
        <v>N</v>
      </c>
    </row>
    <row r="304" spans="1:16" x14ac:dyDescent="0.35">
      <c r="A304">
        <v>363970</v>
      </c>
      <c r="B304" t="s">
        <v>773</v>
      </c>
      <c r="C304" s="1">
        <v>42137</v>
      </c>
      <c r="D304">
        <v>2019</v>
      </c>
      <c r="E304" t="b">
        <v>1</v>
      </c>
      <c r="F304" t="s">
        <v>774</v>
      </c>
      <c r="G304" t="s">
        <v>775</v>
      </c>
      <c r="H304">
        <v>303</v>
      </c>
      <c r="I304" t="s">
        <v>2084</v>
      </c>
      <c r="J304" s="3" t="str">
        <f>IF(ISNUMBER(SEARCH(",Action,",","&amp;SUBSTITUTE(TableMain[[#This Row],[Tags]],", ",",")&amp;",")),"Y","N")</f>
        <v>N</v>
      </c>
      <c r="K304" s="3" t="str">
        <f>IF(ISNUMBER(SEARCH(",Indie,",","&amp;SUBSTITUTE(TableMain[[#This Row],[Tags]],", ",",")&amp;",")),"Y","N")</f>
        <v>Y</v>
      </c>
      <c r="L304" s="3" t="str">
        <f>IF(ISNUMBER(SEARCH(",Adventure,",","&amp;SUBSTITUTE(TableMain[[#This Row],[Tags]],", ",",")&amp;",")),"Y","N")</f>
        <v>Y</v>
      </c>
      <c r="M304" s="3" t="str">
        <f>IF(ISNUMBER(SEARCH(",Simulation,",","&amp;SUBSTITUTE(TableMain[[#This Row],[Tags]],", ",",")&amp;",")),"Y","N")</f>
        <v>Y</v>
      </c>
      <c r="N304" s="3" t="str">
        <f>IF(ISNUMBER(SEARCH(",RPG,",","&amp;SUBSTITUTE(TableMain[[#This Row],[Tags]],", ",",")&amp;",")),"Y","N")</f>
        <v>Y</v>
      </c>
      <c r="O304" s="3" t="str">
        <f>IF(ISNUMBER(SEARCH(",Strategy,",","&amp;SUBSTITUTE(TableMain[[#This Row],[Tags]],", ",",")&amp;",")),"Y","N")</f>
        <v>Y</v>
      </c>
      <c r="P304" s="3" t="str">
        <f>IF(ISNUMBER(SEARCH(",Free To Play,",","&amp;SUBSTITUTE(TableMain[[#This Row],[Tags]],", ",",")&amp;",")),"Y","N")</f>
        <v>Y</v>
      </c>
    </row>
    <row r="305" spans="1:16" x14ac:dyDescent="0.35">
      <c r="A305">
        <v>881100</v>
      </c>
      <c r="B305" t="s">
        <v>776</v>
      </c>
      <c r="C305" s="1">
        <v>44119</v>
      </c>
      <c r="D305">
        <v>2019</v>
      </c>
      <c r="E305" t="b">
        <v>0</v>
      </c>
      <c r="F305" t="s">
        <v>777</v>
      </c>
      <c r="G305" t="s">
        <v>504</v>
      </c>
      <c r="H305">
        <v>303</v>
      </c>
      <c r="I305" t="s">
        <v>14</v>
      </c>
      <c r="J305" s="3" t="str">
        <f>IF(ISNUMBER(SEARCH(",Action,",","&amp;SUBSTITUTE(TableMain[[#This Row],[Tags]],", ",",")&amp;",")),"Y","N")</f>
        <v>Y</v>
      </c>
      <c r="K305" s="3" t="str">
        <f>IF(ISNUMBER(SEARCH(",Indie,",","&amp;SUBSTITUTE(TableMain[[#This Row],[Tags]],", ",",")&amp;",")),"Y","N")</f>
        <v>Y</v>
      </c>
      <c r="L305" s="3" t="str">
        <f>IF(ISNUMBER(SEARCH(",Adventure,",","&amp;SUBSTITUTE(TableMain[[#This Row],[Tags]],", ",",")&amp;",")),"Y","N")</f>
        <v>Y</v>
      </c>
      <c r="M305" s="3" t="str">
        <f>IF(ISNUMBER(SEARCH(",Simulation,",","&amp;SUBSTITUTE(TableMain[[#This Row],[Tags]],", ",",")&amp;",")),"Y","N")</f>
        <v>Y</v>
      </c>
      <c r="N305" s="3" t="str">
        <f>IF(ISNUMBER(SEARCH(",RPG,",","&amp;SUBSTITUTE(TableMain[[#This Row],[Tags]],", ",",")&amp;",")),"Y","N")</f>
        <v>Y</v>
      </c>
      <c r="O305" s="3" t="str">
        <f>IF(ISNUMBER(SEARCH(",Strategy,",","&amp;SUBSTITUTE(TableMain[[#This Row],[Tags]],", ",",")&amp;",")),"Y","N")</f>
        <v>N</v>
      </c>
      <c r="P305" s="3" t="str">
        <f>IF(ISNUMBER(SEARCH(",Free To Play,",","&amp;SUBSTITUTE(TableMain[[#This Row],[Tags]],", ",",")&amp;",")),"Y","N")</f>
        <v>N</v>
      </c>
    </row>
    <row r="306" spans="1:16" x14ac:dyDescent="0.35">
      <c r="A306">
        <v>329110</v>
      </c>
      <c r="B306" t="s">
        <v>778</v>
      </c>
      <c r="C306" s="1">
        <v>41963</v>
      </c>
      <c r="D306">
        <v>2002</v>
      </c>
      <c r="E306" t="b">
        <v>0</v>
      </c>
      <c r="F306" t="s">
        <v>779</v>
      </c>
      <c r="G306" t="s">
        <v>780</v>
      </c>
      <c r="H306">
        <v>305</v>
      </c>
      <c r="I306" t="s">
        <v>110</v>
      </c>
      <c r="J306" s="3" t="str">
        <f>IF(ISNUMBER(SEARCH(",Action,",","&amp;SUBSTITUTE(TableMain[[#This Row],[Tags]],", ",",")&amp;",")),"Y","N")</f>
        <v>Y</v>
      </c>
      <c r="K306" s="3" t="str">
        <f>IF(ISNUMBER(SEARCH(",Indie,",","&amp;SUBSTITUTE(TableMain[[#This Row],[Tags]],", ",",")&amp;",")),"Y","N")</f>
        <v>N</v>
      </c>
      <c r="L306" s="3" t="str">
        <f>IF(ISNUMBER(SEARCH(",Adventure,",","&amp;SUBSTITUTE(TableMain[[#This Row],[Tags]],", ",",")&amp;",")),"Y","N")</f>
        <v>Y</v>
      </c>
      <c r="M306" s="3" t="str">
        <f>IF(ISNUMBER(SEARCH(",Simulation,",","&amp;SUBSTITUTE(TableMain[[#This Row],[Tags]],", ",",")&amp;",")),"Y","N")</f>
        <v>N</v>
      </c>
      <c r="N306" s="3" t="str">
        <f>IF(ISNUMBER(SEARCH(",RPG,",","&amp;SUBSTITUTE(TableMain[[#This Row],[Tags]],", ",",")&amp;",")),"Y","N")</f>
        <v>Y</v>
      </c>
      <c r="O306" s="3" t="str">
        <f>IF(ISNUMBER(SEARCH(",Strategy,",","&amp;SUBSTITUTE(TableMain[[#This Row],[Tags]],", ",",")&amp;",")),"Y","N")</f>
        <v>Y</v>
      </c>
      <c r="P306" s="3" t="str">
        <f>IF(ISNUMBER(SEARCH(",Free To Play,",","&amp;SUBSTITUTE(TableMain[[#This Row],[Tags]],", ",",")&amp;",")),"Y","N")</f>
        <v>Y</v>
      </c>
    </row>
    <row r="307" spans="1:16" x14ac:dyDescent="0.35">
      <c r="A307">
        <v>1167630</v>
      </c>
      <c r="B307" t="s">
        <v>781</v>
      </c>
      <c r="C307" s="1">
        <v>44672</v>
      </c>
      <c r="D307">
        <v>1984</v>
      </c>
      <c r="E307" t="b">
        <v>0</v>
      </c>
      <c r="F307" t="s">
        <v>782</v>
      </c>
      <c r="G307" t="s">
        <v>498</v>
      </c>
      <c r="H307">
        <v>306</v>
      </c>
      <c r="I307" t="s">
        <v>371</v>
      </c>
      <c r="J307" s="3" t="str">
        <f>IF(ISNUMBER(SEARCH(",Action,",","&amp;SUBSTITUTE(TableMain[[#This Row],[Tags]],", ",",")&amp;",")),"Y","N")</f>
        <v>Y</v>
      </c>
      <c r="K307" s="3" t="str">
        <f>IF(ISNUMBER(SEARCH(",Indie,",","&amp;SUBSTITUTE(TableMain[[#This Row],[Tags]],", ",",")&amp;",")),"Y","N")</f>
        <v>Y</v>
      </c>
      <c r="L307" s="3" t="str">
        <f>IF(ISNUMBER(SEARCH(",Adventure,",","&amp;SUBSTITUTE(TableMain[[#This Row],[Tags]],", ",",")&amp;",")),"Y","N")</f>
        <v>N</v>
      </c>
      <c r="M307" s="3" t="str">
        <f>IF(ISNUMBER(SEARCH(",Simulation,",","&amp;SUBSTITUTE(TableMain[[#This Row],[Tags]],", ",",")&amp;",")),"Y","N")</f>
        <v>Y</v>
      </c>
      <c r="N307" s="3" t="str">
        <f>IF(ISNUMBER(SEARCH(",RPG,",","&amp;SUBSTITUTE(TableMain[[#This Row],[Tags]],", ",",")&amp;",")),"Y","N")</f>
        <v>N</v>
      </c>
      <c r="O307" s="3" t="str">
        <f>IF(ISNUMBER(SEARCH(",Strategy,",","&amp;SUBSTITUTE(TableMain[[#This Row],[Tags]],", ",",")&amp;",")),"Y","N")</f>
        <v>Y</v>
      </c>
      <c r="P307" s="3" t="str">
        <f>IF(ISNUMBER(SEARCH(",Free To Play,",","&amp;SUBSTITUTE(TableMain[[#This Row],[Tags]],", ",",")&amp;",")),"Y","N")</f>
        <v>N</v>
      </c>
    </row>
    <row r="308" spans="1:16" x14ac:dyDescent="0.35">
      <c r="A308">
        <v>1363080</v>
      </c>
      <c r="B308" t="s">
        <v>783</v>
      </c>
      <c r="C308" s="1">
        <v>45408</v>
      </c>
      <c r="D308">
        <v>1977</v>
      </c>
      <c r="E308" t="b">
        <v>0</v>
      </c>
      <c r="F308" t="s">
        <v>784</v>
      </c>
      <c r="G308" t="s">
        <v>785</v>
      </c>
      <c r="H308">
        <v>307</v>
      </c>
      <c r="I308" t="s">
        <v>53</v>
      </c>
      <c r="J308" s="3" t="str">
        <f>IF(ISNUMBER(SEARCH(",Action,",","&amp;SUBSTITUTE(TableMain[[#This Row],[Tags]],", ",",")&amp;",")),"Y","N")</f>
        <v>N</v>
      </c>
      <c r="K308" s="3" t="str">
        <f>IF(ISNUMBER(SEARCH(",Indie,",","&amp;SUBSTITUTE(TableMain[[#This Row],[Tags]],", ",",")&amp;",")),"Y","N")</f>
        <v>N</v>
      </c>
      <c r="L308" s="3" t="str">
        <f>IF(ISNUMBER(SEARCH(",Adventure,",","&amp;SUBSTITUTE(TableMain[[#This Row],[Tags]],", ",",")&amp;",")),"Y","N")</f>
        <v>N</v>
      </c>
      <c r="M308" s="3" t="str">
        <f>IF(ISNUMBER(SEARCH(",Simulation,",","&amp;SUBSTITUTE(TableMain[[#This Row],[Tags]],", ",",")&amp;",")),"Y","N")</f>
        <v>Y</v>
      </c>
      <c r="N308" s="3" t="str">
        <f>IF(ISNUMBER(SEARCH(",RPG,",","&amp;SUBSTITUTE(TableMain[[#This Row],[Tags]],", ",",")&amp;",")),"Y","N")</f>
        <v>N</v>
      </c>
      <c r="O308" s="3" t="str">
        <f>IF(ISNUMBER(SEARCH(",Strategy,",","&amp;SUBSTITUTE(TableMain[[#This Row],[Tags]],", ",",")&amp;",")),"Y","N")</f>
        <v>Y</v>
      </c>
      <c r="P308" s="3" t="str">
        <f>IF(ISNUMBER(SEARCH(",Free To Play,",","&amp;SUBSTITUTE(TableMain[[#This Row],[Tags]],", ",",")&amp;",")),"Y","N")</f>
        <v>N</v>
      </c>
    </row>
    <row r="309" spans="1:16" x14ac:dyDescent="0.35">
      <c r="A309">
        <v>620</v>
      </c>
      <c r="B309" t="s">
        <v>786</v>
      </c>
      <c r="C309" s="1">
        <v>40651</v>
      </c>
      <c r="D309">
        <v>1959</v>
      </c>
      <c r="E309" t="b">
        <v>0</v>
      </c>
      <c r="F309" t="s">
        <v>787</v>
      </c>
      <c r="G309" t="s">
        <v>46</v>
      </c>
      <c r="H309">
        <v>308</v>
      </c>
      <c r="I309" t="s">
        <v>2082</v>
      </c>
      <c r="J309" s="3" t="str">
        <f>IF(ISNUMBER(SEARCH(",Action,",","&amp;SUBSTITUTE(TableMain[[#This Row],[Tags]],", ",",")&amp;",")),"Y","N")</f>
        <v>Y</v>
      </c>
      <c r="K309" s="3" t="str">
        <f>IF(ISNUMBER(SEARCH(",Indie,",","&amp;SUBSTITUTE(TableMain[[#This Row],[Tags]],", ",",")&amp;",")),"Y","N")</f>
        <v>N</v>
      </c>
      <c r="L309" s="3" t="str">
        <f>IF(ISNUMBER(SEARCH(",Adventure,",","&amp;SUBSTITUTE(TableMain[[#This Row],[Tags]],", ",",")&amp;",")),"Y","N")</f>
        <v>Y</v>
      </c>
      <c r="M309" s="3" t="str">
        <f>IF(ISNUMBER(SEARCH(",Simulation,",","&amp;SUBSTITUTE(TableMain[[#This Row],[Tags]],", ",",")&amp;",")),"Y","N")</f>
        <v>N</v>
      </c>
      <c r="N309" s="3" t="str">
        <f>IF(ISNUMBER(SEARCH(",RPG,",","&amp;SUBSTITUTE(TableMain[[#This Row],[Tags]],", ",",")&amp;",")),"Y","N")</f>
        <v>N</v>
      </c>
      <c r="O309" s="3" t="str">
        <f>IF(ISNUMBER(SEARCH(",Strategy,",","&amp;SUBSTITUTE(TableMain[[#This Row],[Tags]],", ",",")&amp;",")),"Y","N")</f>
        <v>N</v>
      </c>
      <c r="P309" s="3" t="str">
        <f>IF(ISNUMBER(SEARCH(",Free To Play,",","&amp;SUBSTITUTE(TableMain[[#This Row],[Tags]],", ",",")&amp;",")),"Y","N")</f>
        <v>N</v>
      </c>
    </row>
    <row r="310" spans="1:16" x14ac:dyDescent="0.35">
      <c r="A310">
        <v>1184370</v>
      </c>
      <c r="B310" t="s">
        <v>788</v>
      </c>
      <c r="C310" s="1">
        <v>44441</v>
      </c>
      <c r="D310">
        <v>1874</v>
      </c>
      <c r="E310" t="b">
        <v>1</v>
      </c>
      <c r="F310" t="s">
        <v>789</v>
      </c>
      <c r="G310" t="s">
        <v>544</v>
      </c>
      <c r="H310">
        <v>309</v>
      </c>
      <c r="I310" t="s">
        <v>133</v>
      </c>
      <c r="J310" s="3" t="str">
        <f>IF(ISNUMBER(SEARCH(",Action,",","&amp;SUBSTITUTE(TableMain[[#This Row],[Tags]],", ",",")&amp;",")),"Y","N")</f>
        <v>Y</v>
      </c>
      <c r="K310" s="3" t="str">
        <f>IF(ISNUMBER(SEARCH(",Indie,",","&amp;SUBSTITUTE(TableMain[[#This Row],[Tags]],", ",",")&amp;",")),"Y","N")</f>
        <v>Y</v>
      </c>
      <c r="L310" s="3" t="str">
        <f>IF(ISNUMBER(SEARCH(",Adventure,",","&amp;SUBSTITUTE(TableMain[[#This Row],[Tags]],", ",",")&amp;",")),"Y","N")</f>
        <v>Y</v>
      </c>
      <c r="M310" s="3" t="str">
        <f>IF(ISNUMBER(SEARCH(",Simulation,",","&amp;SUBSTITUTE(TableMain[[#This Row],[Tags]],", ",",")&amp;",")),"Y","N")</f>
        <v>N</v>
      </c>
      <c r="N310" s="3" t="str">
        <f>IF(ISNUMBER(SEARCH(",RPG,",","&amp;SUBSTITUTE(TableMain[[#This Row],[Tags]],", ",",")&amp;",")),"Y","N")</f>
        <v>Y</v>
      </c>
      <c r="O310" s="3" t="str">
        <f>IF(ISNUMBER(SEARCH(",Strategy,",","&amp;SUBSTITUTE(TableMain[[#This Row],[Tags]],", ",",")&amp;",")),"Y","N")</f>
        <v>Y</v>
      </c>
      <c r="P310" s="3" t="str">
        <f>IF(ISNUMBER(SEARCH(",Free To Play,",","&amp;SUBSTITUTE(TableMain[[#This Row],[Tags]],", ",",")&amp;",")),"Y","N")</f>
        <v>N</v>
      </c>
    </row>
    <row r="311" spans="1:16" x14ac:dyDescent="0.35">
      <c r="A311">
        <v>977950</v>
      </c>
      <c r="B311" t="s">
        <v>790</v>
      </c>
      <c r="C311" s="1">
        <v>43489</v>
      </c>
      <c r="D311">
        <v>1870</v>
      </c>
      <c r="E311" t="b">
        <v>1</v>
      </c>
      <c r="F311" t="s">
        <v>791</v>
      </c>
      <c r="G311" t="s">
        <v>792</v>
      </c>
      <c r="H311">
        <v>310</v>
      </c>
      <c r="I311" t="s">
        <v>2082</v>
      </c>
      <c r="J311" s="3" t="str">
        <f>IF(ISNUMBER(SEARCH(",Action,",","&amp;SUBSTITUTE(TableMain[[#This Row],[Tags]],", ",",")&amp;",")),"Y","N")</f>
        <v>N</v>
      </c>
      <c r="K311" s="3" t="str">
        <f>IF(ISNUMBER(SEARCH(",Indie,",","&amp;SUBSTITUTE(TableMain[[#This Row],[Tags]],", ",",")&amp;",")),"Y","N")</f>
        <v>Y</v>
      </c>
      <c r="L311" s="3" t="str">
        <f>IF(ISNUMBER(SEARCH(",Adventure,",","&amp;SUBSTITUTE(TableMain[[#This Row],[Tags]],", ",",")&amp;",")),"Y","N")</f>
        <v>N</v>
      </c>
      <c r="M311" s="3" t="str">
        <f>IF(ISNUMBER(SEARCH(",Simulation,",","&amp;SUBSTITUTE(TableMain[[#This Row],[Tags]],", ",",")&amp;",")),"Y","N")</f>
        <v>N</v>
      </c>
      <c r="N311" s="3" t="str">
        <f>IF(ISNUMBER(SEARCH(",RPG,",","&amp;SUBSTITUTE(TableMain[[#This Row],[Tags]],", ",",")&amp;",")),"Y","N")</f>
        <v>N</v>
      </c>
      <c r="O311" s="3" t="str">
        <f>IF(ISNUMBER(SEARCH(",Strategy,",","&amp;SUBSTITUTE(TableMain[[#This Row],[Tags]],", ",",")&amp;",")),"Y","N")</f>
        <v>N</v>
      </c>
      <c r="P311" s="3" t="str">
        <f>IF(ISNUMBER(SEARCH(",Free To Play,",","&amp;SUBSTITUTE(TableMain[[#This Row],[Tags]],", ",",")&amp;",")),"Y","N")</f>
        <v>N</v>
      </c>
    </row>
    <row r="312" spans="1:16" x14ac:dyDescent="0.35">
      <c r="A312">
        <v>1645820</v>
      </c>
      <c r="B312" t="s">
        <v>793</v>
      </c>
      <c r="C312" s="1">
        <v>44736</v>
      </c>
      <c r="D312">
        <v>1870</v>
      </c>
      <c r="E312" t="b">
        <v>0</v>
      </c>
      <c r="F312" t="s">
        <v>794</v>
      </c>
      <c r="G312" t="s">
        <v>167</v>
      </c>
      <c r="H312">
        <v>310</v>
      </c>
      <c r="I312" t="s">
        <v>53</v>
      </c>
      <c r="J312" s="3" t="str">
        <f>IF(ISNUMBER(SEARCH(",Action,",","&amp;SUBSTITUTE(TableMain[[#This Row],[Tags]],", ",",")&amp;",")),"Y","N")</f>
        <v>Y</v>
      </c>
      <c r="K312" s="3" t="str">
        <f>IF(ISNUMBER(SEARCH(",Indie,",","&amp;SUBSTITUTE(TableMain[[#This Row],[Tags]],", ",",")&amp;",")),"Y","N")</f>
        <v>Y</v>
      </c>
      <c r="L312" s="3" t="str">
        <f>IF(ISNUMBER(SEARCH(",Adventure,",","&amp;SUBSTITUTE(TableMain[[#This Row],[Tags]],", ",",")&amp;",")),"Y","N")</f>
        <v>Y</v>
      </c>
      <c r="M312" s="3" t="str">
        <f>IF(ISNUMBER(SEARCH(",Simulation,",","&amp;SUBSTITUTE(TableMain[[#This Row],[Tags]],", ",",")&amp;",")),"Y","N")</f>
        <v>N</v>
      </c>
      <c r="N312" s="3" t="str">
        <f>IF(ISNUMBER(SEARCH(",RPG,",","&amp;SUBSTITUTE(TableMain[[#This Row],[Tags]],", ",",")&amp;",")),"Y","N")</f>
        <v>Y</v>
      </c>
      <c r="O312" s="3" t="str">
        <f>IF(ISNUMBER(SEARCH(",Strategy,",","&amp;SUBSTITUTE(TableMain[[#This Row],[Tags]],", ",",")&amp;",")),"Y","N")</f>
        <v>N</v>
      </c>
      <c r="P312" s="3" t="str">
        <f>IF(ISNUMBER(SEARCH(",Free To Play,",","&amp;SUBSTITUTE(TableMain[[#This Row],[Tags]],", ",",")&amp;",")),"Y","N")</f>
        <v>N</v>
      </c>
    </row>
    <row r="313" spans="1:16" x14ac:dyDescent="0.35">
      <c r="A313">
        <v>601510</v>
      </c>
      <c r="B313" t="s">
        <v>795</v>
      </c>
      <c r="C313" s="1">
        <v>43055</v>
      </c>
      <c r="D313">
        <v>1856</v>
      </c>
      <c r="E313" t="b">
        <v>0</v>
      </c>
      <c r="F313" t="s">
        <v>796</v>
      </c>
      <c r="G313" t="s">
        <v>615</v>
      </c>
      <c r="H313">
        <v>312</v>
      </c>
      <c r="I313" t="s">
        <v>68</v>
      </c>
      <c r="J313" s="3" t="str">
        <f>IF(ISNUMBER(SEARCH(",Action,",","&amp;SUBSTITUTE(TableMain[[#This Row],[Tags]],", ",",")&amp;",")),"Y","N")</f>
        <v>N</v>
      </c>
      <c r="K313" s="3" t="str">
        <f>IF(ISNUMBER(SEARCH(",Indie,",","&amp;SUBSTITUTE(TableMain[[#This Row],[Tags]],", ",",")&amp;",")),"Y","N")</f>
        <v>N</v>
      </c>
      <c r="L313" s="3" t="str">
        <f>IF(ISNUMBER(SEARCH(",Adventure,",","&amp;SUBSTITUTE(TableMain[[#This Row],[Tags]],", ",",")&amp;",")),"Y","N")</f>
        <v>N</v>
      </c>
      <c r="M313" s="3" t="str">
        <f>IF(ISNUMBER(SEARCH(",Simulation,",","&amp;SUBSTITUTE(TableMain[[#This Row],[Tags]],", ",",")&amp;",")),"Y","N")</f>
        <v>N</v>
      </c>
      <c r="N313" s="3" t="str">
        <f>IF(ISNUMBER(SEARCH(",RPG,",","&amp;SUBSTITUTE(TableMain[[#This Row],[Tags]],", ",",")&amp;",")),"Y","N")</f>
        <v>N</v>
      </c>
      <c r="O313" s="3" t="str">
        <f>IF(ISNUMBER(SEARCH(",Strategy,",","&amp;SUBSTITUTE(TableMain[[#This Row],[Tags]],", ",",")&amp;",")),"Y","N")</f>
        <v>Y</v>
      </c>
      <c r="P313" s="3" t="str">
        <f>IF(ISNUMBER(SEARCH(",Free To Play,",","&amp;SUBSTITUTE(TableMain[[#This Row],[Tags]],", ",",")&amp;",")),"Y","N")</f>
        <v>Y</v>
      </c>
    </row>
    <row r="314" spans="1:16" x14ac:dyDescent="0.35">
      <c r="A314">
        <v>200210</v>
      </c>
      <c r="B314" t="s">
        <v>797</v>
      </c>
      <c r="C314" s="1">
        <v>40959</v>
      </c>
      <c r="D314">
        <v>1853</v>
      </c>
      <c r="E314" t="b">
        <v>1</v>
      </c>
      <c r="F314" t="s">
        <v>798</v>
      </c>
      <c r="G314" t="s">
        <v>463</v>
      </c>
      <c r="H314">
        <v>313</v>
      </c>
      <c r="I314" t="s">
        <v>2084</v>
      </c>
      <c r="J314" s="3" t="str">
        <f>IF(ISNUMBER(SEARCH(",Action,",","&amp;SUBSTITUTE(TableMain[[#This Row],[Tags]],", ",",")&amp;",")),"Y","N")</f>
        <v>Y</v>
      </c>
      <c r="K314" s="3" t="str">
        <f>IF(ISNUMBER(SEARCH(",Indie,",","&amp;SUBSTITUTE(TableMain[[#This Row],[Tags]],", ",",")&amp;",")),"Y","N")</f>
        <v>Y</v>
      </c>
      <c r="L314" s="3" t="str">
        <f>IF(ISNUMBER(SEARCH(",Adventure,",","&amp;SUBSTITUTE(TableMain[[#This Row],[Tags]],", ",",")&amp;",")),"Y","N")</f>
        <v>Y</v>
      </c>
      <c r="M314" s="3" t="str">
        <f>IF(ISNUMBER(SEARCH(",Simulation,",","&amp;SUBSTITUTE(TableMain[[#This Row],[Tags]],", ",",")&amp;",")),"Y","N")</f>
        <v>N</v>
      </c>
      <c r="N314" s="3" t="str">
        <f>IF(ISNUMBER(SEARCH(",RPG,",","&amp;SUBSTITUTE(TableMain[[#This Row],[Tags]],", ",",")&amp;",")),"Y","N")</f>
        <v>Y</v>
      </c>
      <c r="O314" s="3" t="str">
        <f>IF(ISNUMBER(SEARCH(",Strategy,",","&amp;SUBSTITUTE(TableMain[[#This Row],[Tags]],", ",",")&amp;",")),"Y","N")</f>
        <v>N</v>
      </c>
      <c r="P314" s="3" t="str">
        <f>IF(ISNUMBER(SEARCH(",Free To Play,",","&amp;SUBSTITUTE(TableMain[[#This Row],[Tags]],", ",",")&amp;",")),"Y","N")</f>
        <v>Y</v>
      </c>
    </row>
    <row r="315" spans="1:16" x14ac:dyDescent="0.35">
      <c r="A315">
        <v>386360</v>
      </c>
      <c r="B315" t="s">
        <v>799</v>
      </c>
      <c r="C315" s="1">
        <v>42255</v>
      </c>
      <c r="D315">
        <v>1853</v>
      </c>
      <c r="E315" t="b">
        <v>0</v>
      </c>
      <c r="F315" t="s">
        <v>800</v>
      </c>
      <c r="G315" t="s">
        <v>801</v>
      </c>
      <c r="H315">
        <v>313</v>
      </c>
      <c r="I315" t="s">
        <v>2091</v>
      </c>
      <c r="J315" s="3" t="str">
        <f>IF(ISNUMBER(SEARCH(",Action,",","&amp;SUBSTITUTE(TableMain[[#This Row],[Tags]],", ",",")&amp;",")),"Y","N")</f>
        <v>Y</v>
      </c>
      <c r="K315" s="3" t="str">
        <f>IF(ISNUMBER(SEARCH(",Indie,",","&amp;SUBSTITUTE(TableMain[[#This Row],[Tags]],", ",",")&amp;",")),"Y","N")</f>
        <v>Y</v>
      </c>
      <c r="L315" s="3" t="str">
        <f>IF(ISNUMBER(SEARCH(",Adventure,",","&amp;SUBSTITUTE(TableMain[[#This Row],[Tags]],", ",",")&amp;",")),"Y","N")</f>
        <v>Y</v>
      </c>
      <c r="M315" s="3" t="str">
        <f>IF(ISNUMBER(SEARCH(",Simulation,",","&amp;SUBSTITUTE(TableMain[[#This Row],[Tags]],", ",",")&amp;",")),"Y","N")</f>
        <v>Y</v>
      </c>
      <c r="N315" s="3" t="str">
        <f>IF(ISNUMBER(SEARCH(",RPG,",","&amp;SUBSTITUTE(TableMain[[#This Row],[Tags]],", ",",")&amp;",")),"Y","N")</f>
        <v>Y</v>
      </c>
      <c r="O315" s="3" t="str">
        <f>IF(ISNUMBER(SEARCH(",Strategy,",","&amp;SUBSTITUTE(TableMain[[#This Row],[Tags]],", ",",")&amp;",")),"Y","N")</f>
        <v>Y</v>
      </c>
      <c r="P315" s="3" t="str">
        <f>IF(ISNUMBER(SEARCH(",Free To Play,",","&amp;SUBSTITUTE(TableMain[[#This Row],[Tags]],", ",",")&amp;",")),"Y","N")</f>
        <v>Y</v>
      </c>
    </row>
    <row r="316" spans="1:16" x14ac:dyDescent="0.35">
      <c r="A316">
        <v>220200</v>
      </c>
      <c r="B316" t="s">
        <v>802</v>
      </c>
      <c r="C316" s="1">
        <v>42121</v>
      </c>
      <c r="D316">
        <v>1844</v>
      </c>
      <c r="E316" t="b">
        <v>1</v>
      </c>
      <c r="F316" t="s">
        <v>803</v>
      </c>
      <c r="G316" t="s">
        <v>174</v>
      </c>
      <c r="H316">
        <v>315</v>
      </c>
      <c r="I316" t="s">
        <v>2084</v>
      </c>
      <c r="J316" s="3" t="str">
        <f>IF(ISNUMBER(SEARCH(",Action,",","&amp;SUBSTITUTE(TableMain[[#This Row],[Tags]],", ",",")&amp;",")),"Y","N")</f>
        <v>N</v>
      </c>
      <c r="K316" s="3" t="str">
        <f>IF(ISNUMBER(SEARCH(",Indie,",","&amp;SUBSTITUTE(TableMain[[#This Row],[Tags]],", ",",")&amp;",")),"Y","N")</f>
        <v>Y</v>
      </c>
      <c r="L316" s="3" t="str">
        <f>IF(ISNUMBER(SEARCH(",Adventure,",","&amp;SUBSTITUTE(TableMain[[#This Row],[Tags]],", ",",")&amp;",")),"Y","N")</f>
        <v>N</v>
      </c>
      <c r="M316" s="3" t="str">
        <f>IF(ISNUMBER(SEARCH(",Simulation,",","&amp;SUBSTITUTE(TableMain[[#This Row],[Tags]],", ",",")&amp;",")),"Y","N")</f>
        <v>Y</v>
      </c>
      <c r="N316" s="3" t="str">
        <f>IF(ISNUMBER(SEARCH(",RPG,",","&amp;SUBSTITUTE(TableMain[[#This Row],[Tags]],", ",",")&amp;",")),"Y","N")</f>
        <v>N</v>
      </c>
      <c r="O316" s="3" t="str">
        <f>IF(ISNUMBER(SEARCH(",Strategy,",","&amp;SUBSTITUTE(TableMain[[#This Row],[Tags]],", ",",")&amp;",")),"Y","N")</f>
        <v>N</v>
      </c>
      <c r="P316" s="3" t="str">
        <f>IF(ISNUMBER(SEARCH(",Free To Play,",","&amp;SUBSTITUTE(TableMain[[#This Row],[Tags]],", ",",")&amp;",")),"Y","N")</f>
        <v>N</v>
      </c>
    </row>
    <row r="317" spans="1:16" x14ac:dyDescent="0.35">
      <c r="A317">
        <v>1145350</v>
      </c>
      <c r="B317" t="s">
        <v>804</v>
      </c>
      <c r="C317" s="1">
        <v>45925</v>
      </c>
      <c r="D317">
        <v>1838</v>
      </c>
      <c r="E317" t="b">
        <v>1</v>
      </c>
      <c r="F317" t="s">
        <v>805</v>
      </c>
      <c r="G317" t="s">
        <v>731</v>
      </c>
      <c r="H317">
        <v>316</v>
      </c>
      <c r="I317" t="s">
        <v>36</v>
      </c>
      <c r="J317" s="3" t="str">
        <f>IF(ISNUMBER(SEARCH(",Action,",","&amp;SUBSTITUTE(TableMain[[#This Row],[Tags]],", ",",")&amp;",")),"Y","N")</f>
        <v>Y</v>
      </c>
      <c r="K317" s="3" t="str">
        <f>IF(ISNUMBER(SEARCH(",Indie,",","&amp;SUBSTITUTE(TableMain[[#This Row],[Tags]],", ",",")&amp;",")),"Y","N")</f>
        <v>Y</v>
      </c>
      <c r="L317" s="3" t="str">
        <f>IF(ISNUMBER(SEARCH(",Adventure,",","&amp;SUBSTITUTE(TableMain[[#This Row],[Tags]],", ",",")&amp;",")),"Y","N")</f>
        <v>N</v>
      </c>
      <c r="M317" s="3" t="str">
        <f>IF(ISNUMBER(SEARCH(",Simulation,",","&amp;SUBSTITUTE(TableMain[[#This Row],[Tags]],", ",",")&amp;",")),"Y","N")</f>
        <v>N</v>
      </c>
      <c r="N317" s="3" t="str">
        <f>IF(ISNUMBER(SEARCH(",RPG,",","&amp;SUBSTITUTE(TableMain[[#This Row],[Tags]],", ",",")&amp;",")),"Y","N")</f>
        <v>Y</v>
      </c>
      <c r="O317" s="3" t="str">
        <f>IF(ISNUMBER(SEARCH(",Strategy,",","&amp;SUBSTITUTE(TableMain[[#This Row],[Tags]],", ",",")&amp;",")),"Y","N")</f>
        <v>N</v>
      </c>
      <c r="P317" s="3" t="str">
        <f>IF(ISNUMBER(SEARCH(",Free To Play,",","&amp;SUBSTITUTE(TableMain[[#This Row],[Tags]],", ",",")&amp;",")),"Y","N")</f>
        <v>N</v>
      </c>
    </row>
    <row r="318" spans="1:16" x14ac:dyDescent="0.35">
      <c r="A318">
        <v>3218710</v>
      </c>
      <c r="B318" t="s">
        <v>806</v>
      </c>
      <c r="C318" s="1">
        <v>45785</v>
      </c>
      <c r="D318">
        <v>1838</v>
      </c>
      <c r="E318" t="b">
        <v>1</v>
      </c>
      <c r="F318" t="s">
        <v>807</v>
      </c>
      <c r="G318" t="s">
        <v>808</v>
      </c>
      <c r="H318">
        <v>316</v>
      </c>
      <c r="I318" t="s">
        <v>304</v>
      </c>
      <c r="J318" s="3" t="str">
        <f>IF(ISNUMBER(SEARCH(",Action,",","&amp;SUBSTITUTE(TableMain[[#This Row],[Tags]],", ",",")&amp;",")),"Y","N")</f>
        <v>Y</v>
      </c>
      <c r="K318" s="3" t="str">
        <f>IF(ISNUMBER(SEARCH(",Indie,",","&amp;SUBSTITUTE(TableMain[[#This Row],[Tags]],", ",",")&amp;",")),"Y","N")</f>
        <v>N</v>
      </c>
      <c r="L318" s="3" t="str">
        <f>IF(ISNUMBER(SEARCH(",Adventure,",","&amp;SUBSTITUTE(TableMain[[#This Row],[Tags]],", ",",")&amp;",")),"Y","N")</f>
        <v>Y</v>
      </c>
      <c r="M318" s="3" t="str">
        <f>IF(ISNUMBER(SEARCH(",Simulation,",","&amp;SUBSTITUTE(TableMain[[#This Row],[Tags]],", ",",")&amp;",")),"Y","N")</f>
        <v>N</v>
      </c>
      <c r="N318" s="3" t="str">
        <f>IF(ISNUMBER(SEARCH(",RPG,",","&amp;SUBSTITUTE(TableMain[[#This Row],[Tags]],", ",",")&amp;",")),"Y","N")</f>
        <v>Y</v>
      </c>
      <c r="O318" s="3" t="str">
        <f>IF(ISNUMBER(SEARCH(",Strategy,",","&amp;SUBSTITUTE(TableMain[[#This Row],[Tags]],", ",",")&amp;",")),"Y","N")</f>
        <v>Y</v>
      </c>
      <c r="P318" s="3" t="str">
        <f>IF(ISNUMBER(SEARCH(",Free To Play,",","&amp;SUBSTITUTE(TableMain[[#This Row],[Tags]],", ",",")&amp;",")),"Y","N")</f>
        <v>Y</v>
      </c>
    </row>
    <row r="319" spans="1:16" x14ac:dyDescent="0.35">
      <c r="A319">
        <v>872410</v>
      </c>
      <c r="B319" t="s">
        <v>809</v>
      </c>
      <c r="C319" s="1">
        <v>43845</v>
      </c>
      <c r="D319">
        <v>1827</v>
      </c>
      <c r="E319" t="b">
        <v>0</v>
      </c>
      <c r="F319" t="s">
        <v>810</v>
      </c>
      <c r="G319" t="s">
        <v>239</v>
      </c>
      <c r="H319">
        <v>318</v>
      </c>
      <c r="I319" t="s">
        <v>53</v>
      </c>
      <c r="J319" s="3" t="str">
        <f>IF(ISNUMBER(SEARCH(",Action,",","&amp;SUBSTITUTE(TableMain[[#This Row],[Tags]],", ",",")&amp;",")),"Y","N")</f>
        <v>N</v>
      </c>
      <c r="K319" s="3" t="str">
        <f>IF(ISNUMBER(SEARCH(",Indie,",","&amp;SUBSTITUTE(TableMain[[#This Row],[Tags]],", ",",")&amp;",")),"Y","N")</f>
        <v>N</v>
      </c>
      <c r="L319" s="3" t="str">
        <f>IF(ISNUMBER(SEARCH(",Adventure,",","&amp;SUBSTITUTE(TableMain[[#This Row],[Tags]],", ",",")&amp;",")),"Y","N")</f>
        <v>N</v>
      </c>
      <c r="M319" s="3" t="str">
        <f>IF(ISNUMBER(SEARCH(",Simulation,",","&amp;SUBSTITUTE(TableMain[[#This Row],[Tags]],", ",",")&amp;",")),"Y","N")</f>
        <v>Y</v>
      </c>
      <c r="N319" s="3" t="str">
        <f>IF(ISNUMBER(SEARCH(",RPG,",","&amp;SUBSTITUTE(TableMain[[#This Row],[Tags]],", ",",")&amp;",")),"Y","N")</f>
        <v>N</v>
      </c>
      <c r="O319" s="3" t="str">
        <f>IF(ISNUMBER(SEARCH(",Strategy,",","&amp;SUBSTITUTE(TableMain[[#This Row],[Tags]],", ",",")&amp;",")),"Y","N")</f>
        <v>N</v>
      </c>
      <c r="P319" s="3" t="str">
        <f>IF(ISNUMBER(SEARCH(",Free To Play,",","&amp;SUBSTITUTE(TableMain[[#This Row],[Tags]],", ",",")&amp;",")),"Y","N")</f>
        <v>N</v>
      </c>
    </row>
    <row r="320" spans="1:16" x14ac:dyDescent="0.35">
      <c r="A320">
        <v>581320</v>
      </c>
      <c r="B320" t="s">
        <v>811</v>
      </c>
      <c r="C320" s="1">
        <v>43446</v>
      </c>
      <c r="D320">
        <v>1826</v>
      </c>
      <c r="E320" t="b">
        <v>0</v>
      </c>
      <c r="F320" t="s">
        <v>812</v>
      </c>
      <c r="G320" t="s">
        <v>49</v>
      </c>
      <c r="H320">
        <v>319</v>
      </c>
      <c r="I320" t="s">
        <v>438</v>
      </c>
      <c r="J320" s="3" t="str">
        <f>IF(ISNUMBER(SEARCH(",Action,",","&amp;SUBSTITUTE(TableMain[[#This Row],[Tags]],", ",",")&amp;",")),"Y","N")</f>
        <v>Y</v>
      </c>
      <c r="K320" s="3" t="str">
        <f>IF(ISNUMBER(SEARCH(",Indie,",","&amp;SUBSTITUTE(TableMain[[#This Row],[Tags]],", ",",")&amp;",")),"Y","N")</f>
        <v>N</v>
      </c>
      <c r="L320" s="3" t="str">
        <f>IF(ISNUMBER(SEARCH(",Adventure,",","&amp;SUBSTITUTE(TableMain[[#This Row],[Tags]],", ",",")&amp;",")),"Y","N")</f>
        <v>N</v>
      </c>
      <c r="M320" s="3" t="str">
        <f>IF(ISNUMBER(SEARCH(",Simulation,",","&amp;SUBSTITUTE(TableMain[[#This Row],[Tags]],", ",",")&amp;",")),"Y","N")</f>
        <v>N</v>
      </c>
      <c r="N320" s="3" t="str">
        <f>IF(ISNUMBER(SEARCH(",RPG,",","&amp;SUBSTITUTE(TableMain[[#This Row],[Tags]],", ",",")&amp;",")),"Y","N")</f>
        <v>N</v>
      </c>
      <c r="O320" s="3" t="str">
        <f>IF(ISNUMBER(SEARCH(",Strategy,",","&amp;SUBSTITUTE(TableMain[[#This Row],[Tags]],", ",",")&amp;",")),"Y","N")</f>
        <v>N</v>
      </c>
      <c r="P320" s="3" t="str">
        <f>IF(ISNUMBER(SEARCH(",Free To Play,",","&amp;SUBSTITUTE(TableMain[[#This Row],[Tags]],", ",",")&amp;",")),"Y","N")</f>
        <v>N</v>
      </c>
    </row>
    <row r="321" spans="1:16" x14ac:dyDescent="0.35">
      <c r="A321">
        <v>2582560</v>
      </c>
      <c r="B321" t="s">
        <v>813</v>
      </c>
      <c r="C321" s="1">
        <v>45519</v>
      </c>
      <c r="D321">
        <v>1823</v>
      </c>
      <c r="E321" t="b">
        <v>0</v>
      </c>
      <c r="F321" t="s">
        <v>814</v>
      </c>
      <c r="G321" t="s">
        <v>71</v>
      </c>
      <c r="H321">
        <v>320</v>
      </c>
      <c r="I321" t="s">
        <v>29</v>
      </c>
      <c r="J321" s="3" t="str">
        <f>IF(ISNUMBER(SEARCH(",Action,",","&amp;SUBSTITUTE(TableMain[[#This Row],[Tags]],", ",",")&amp;",")),"Y","N")</f>
        <v>N</v>
      </c>
      <c r="K321" s="3" t="str">
        <f>IF(ISNUMBER(SEARCH(",Indie,",","&amp;SUBSTITUTE(TableMain[[#This Row],[Tags]],", ",",")&amp;",")),"Y","N")</f>
        <v>N</v>
      </c>
      <c r="L321" s="3" t="str">
        <f>IF(ISNUMBER(SEARCH(",Adventure,",","&amp;SUBSTITUTE(TableMain[[#This Row],[Tags]],", ",",")&amp;",")),"Y","N")</f>
        <v>N</v>
      </c>
      <c r="M321" s="3" t="str">
        <f>IF(ISNUMBER(SEARCH(",Simulation,",","&amp;SUBSTITUTE(TableMain[[#This Row],[Tags]],", ",",")&amp;",")),"Y","N")</f>
        <v>Y</v>
      </c>
      <c r="N321" s="3" t="str">
        <f>IF(ISNUMBER(SEARCH(",RPG,",","&amp;SUBSTITUTE(TableMain[[#This Row],[Tags]],", ",",")&amp;",")),"Y","N")</f>
        <v>N</v>
      </c>
      <c r="O321" s="3" t="str">
        <f>IF(ISNUMBER(SEARCH(",Strategy,",","&amp;SUBSTITUTE(TableMain[[#This Row],[Tags]],", ",",")&amp;",")),"Y","N")</f>
        <v>Y</v>
      </c>
      <c r="P321" s="3" t="str">
        <f>IF(ISNUMBER(SEARCH(",Free To Play,",","&amp;SUBSTITUTE(TableMain[[#This Row],[Tags]],", ",",")&amp;",")),"Y","N")</f>
        <v>N</v>
      </c>
    </row>
    <row r="322" spans="1:16" x14ac:dyDescent="0.35">
      <c r="A322">
        <v>2909400</v>
      </c>
      <c r="B322" t="s">
        <v>815</v>
      </c>
      <c r="C322" s="1">
        <v>45680</v>
      </c>
      <c r="D322">
        <v>1818</v>
      </c>
      <c r="E322" t="b">
        <v>0</v>
      </c>
      <c r="F322" t="s">
        <v>521</v>
      </c>
      <c r="G322" t="s">
        <v>208</v>
      </c>
      <c r="H322">
        <v>321</v>
      </c>
      <c r="I322" t="s">
        <v>816</v>
      </c>
      <c r="J322" s="3" t="str">
        <f>IF(ISNUMBER(SEARCH(",Action,",","&amp;SUBSTITUTE(TableMain[[#This Row],[Tags]],", ",",")&amp;",")),"Y","N")</f>
        <v>Y</v>
      </c>
      <c r="K322" s="3" t="str">
        <f>IF(ISNUMBER(SEARCH(",Indie,",","&amp;SUBSTITUTE(TableMain[[#This Row],[Tags]],", ",",")&amp;",")),"Y","N")</f>
        <v>N</v>
      </c>
      <c r="L322" s="3" t="str">
        <f>IF(ISNUMBER(SEARCH(",Adventure,",","&amp;SUBSTITUTE(TableMain[[#This Row],[Tags]],", ",",")&amp;",")),"Y","N")</f>
        <v>Y</v>
      </c>
      <c r="M322" s="3" t="str">
        <f>IF(ISNUMBER(SEARCH(",Simulation,",","&amp;SUBSTITUTE(TableMain[[#This Row],[Tags]],", ",",")&amp;",")),"Y","N")</f>
        <v>N</v>
      </c>
      <c r="N322" s="3" t="str">
        <f>IF(ISNUMBER(SEARCH(",RPG,",","&amp;SUBSTITUTE(TableMain[[#This Row],[Tags]],", ",",")&amp;",")),"Y","N")</f>
        <v>Y</v>
      </c>
      <c r="O322" s="3" t="str">
        <f>IF(ISNUMBER(SEARCH(",Strategy,",","&amp;SUBSTITUTE(TableMain[[#This Row],[Tags]],", ",",")&amp;",")),"Y","N")</f>
        <v>N</v>
      </c>
      <c r="P322" s="3" t="str">
        <f>IF(ISNUMBER(SEARCH(",Free To Play,",","&amp;SUBSTITUTE(TableMain[[#This Row],[Tags]],", ",",")&amp;",")),"Y","N")</f>
        <v>N</v>
      </c>
    </row>
    <row r="323" spans="1:16" x14ac:dyDescent="0.35">
      <c r="A323">
        <v>961200</v>
      </c>
      <c r="B323" t="s">
        <v>817</v>
      </c>
      <c r="C323" s="1">
        <v>45524</v>
      </c>
      <c r="D323">
        <v>1816</v>
      </c>
      <c r="E323" t="b">
        <v>0</v>
      </c>
      <c r="F323" t="s">
        <v>818</v>
      </c>
      <c r="G323" t="s">
        <v>13</v>
      </c>
      <c r="H323">
        <v>322</v>
      </c>
      <c r="I323" t="s">
        <v>184</v>
      </c>
      <c r="J323" s="3" t="str">
        <f>IF(ISNUMBER(SEARCH(",Action,",","&amp;SUBSTITUTE(TableMain[[#This Row],[Tags]],", ",",")&amp;",")),"Y","N")</f>
        <v>Y</v>
      </c>
      <c r="K323" s="3" t="str">
        <f>IF(ISNUMBER(SEARCH(",Indie,",","&amp;SUBSTITUTE(TableMain[[#This Row],[Tags]],", ",",")&amp;",")),"Y","N")</f>
        <v>N</v>
      </c>
      <c r="L323" s="3" t="str">
        <f>IF(ISNUMBER(SEARCH(",Adventure,",","&amp;SUBSTITUTE(TableMain[[#This Row],[Tags]],", ",",")&amp;",")),"Y","N")</f>
        <v>N</v>
      </c>
      <c r="M323" s="3" t="str">
        <f>IF(ISNUMBER(SEARCH(",Simulation,",","&amp;SUBSTITUTE(TableMain[[#This Row],[Tags]],", ",",")&amp;",")),"Y","N")</f>
        <v>N</v>
      </c>
      <c r="N323" s="3" t="str">
        <f>IF(ISNUMBER(SEARCH(",RPG,",","&amp;SUBSTITUTE(TableMain[[#This Row],[Tags]],", ",",")&amp;",")),"Y","N")</f>
        <v>N</v>
      </c>
      <c r="O323" s="3" t="str">
        <f>IF(ISNUMBER(SEARCH(",Strategy,",","&amp;SUBSTITUTE(TableMain[[#This Row],[Tags]],", ",",")&amp;",")),"Y","N")</f>
        <v>Y</v>
      </c>
      <c r="P323" s="3" t="str">
        <f>IF(ISNUMBER(SEARCH(",Free To Play,",","&amp;SUBSTITUTE(TableMain[[#This Row],[Tags]],", ",",")&amp;",")),"Y","N")</f>
        <v>Y</v>
      </c>
    </row>
    <row r="324" spans="1:16" x14ac:dyDescent="0.35">
      <c r="A324">
        <v>2427700</v>
      </c>
      <c r="B324" t="s">
        <v>819</v>
      </c>
      <c r="C324" s="1">
        <v>45821</v>
      </c>
      <c r="D324">
        <v>1806</v>
      </c>
      <c r="E324" t="b">
        <v>0</v>
      </c>
      <c r="F324" t="s">
        <v>820</v>
      </c>
      <c r="G324" t="s">
        <v>124</v>
      </c>
      <c r="H324">
        <v>324</v>
      </c>
      <c r="I324" t="s">
        <v>53</v>
      </c>
      <c r="J324" s="3" t="str">
        <f>IF(ISNUMBER(SEARCH(",Action,",","&amp;SUBSTITUTE(TableMain[[#This Row],[Tags]],", ",",")&amp;",")),"Y","N")</f>
        <v>N</v>
      </c>
      <c r="K324" s="3" t="str">
        <f>IF(ISNUMBER(SEARCH(",Indie,",","&amp;SUBSTITUTE(TableMain[[#This Row],[Tags]],", ",",")&amp;",")),"Y","N")</f>
        <v>N</v>
      </c>
      <c r="L324" s="3" t="str">
        <f>IF(ISNUMBER(SEARCH(",Adventure,",","&amp;SUBSTITUTE(TableMain[[#This Row],[Tags]],", ",",")&amp;",")),"Y","N")</f>
        <v>N</v>
      </c>
      <c r="M324" s="3" t="str">
        <f>IF(ISNUMBER(SEARCH(",Simulation,",","&amp;SUBSTITUTE(TableMain[[#This Row],[Tags]],", ",",")&amp;",")),"Y","N")</f>
        <v>N</v>
      </c>
      <c r="N324" s="3" t="str">
        <f>IF(ISNUMBER(SEARCH(",RPG,",","&amp;SUBSTITUTE(TableMain[[#This Row],[Tags]],", ",",")&amp;",")),"Y","N")</f>
        <v>N</v>
      </c>
      <c r="O324" s="3" t="str">
        <f>IF(ISNUMBER(SEARCH(",Strategy,",","&amp;SUBSTITUTE(TableMain[[#This Row],[Tags]],", ",",")&amp;",")),"Y","N")</f>
        <v>Y</v>
      </c>
      <c r="P324" s="3" t="str">
        <f>IF(ISNUMBER(SEARCH(",Free To Play,",","&amp;SUBSTITUTE(TableMain[[#This Row],[Tags]],", ",",")&amp;",")),"Y","N")</f>
        <v>N</v>
      </c>
    </row>
    <row r="325" spans="1:16" x14ac:dyDescent="0.35">
      <c r="A325">
        <v>2385530</v>
      </c>
      <c r="B325" t="s">
        <v>821</v>
      </c>
      <c r="C325" s="1">
        <v>45715</v>
      </c>
      <c r="D325">
        <v>1789</v>
      </c>
      <c r="E325" t="b">
        <v>0</v>
      </c>
      <c r="F325" t="s">
        <v>822</v>
      </c>
      <c r="G325" t="s">
        <v>823</v>
      </c>
      <c r="H325">
        <v>325</v>
      </c>
      <c r="I325" t="s">
        <v>147</v>
      </c>
      <c r="J325" s="3" t="str">
        <f>IF(ISNUMBER(SEARCH(",Action,",","&amp;SUBSTITUTE(TableMain[[#This Row],[Tags]],", ",",")&amp;",")),"Y","N")</f>
        <v>N</v>
      </c>
      <c r="K325" s="3" t="str">
        <f>IF(ISNUMBER(SEARCH(",Indie,",","&amp;SUBSTITUTE(TableMain[[#This Row],[Tags]],", ",",")&amp;",")),"Y","N")</f>
        <v>N</v>
      </c>
      <c r="L325" s="3" t="str">
        <f>IF(ISNUMBER(SEARCH(",Adventure,",","&amp;SUBSTITUTE(TableMain[[#This Row],[Tags]],", ",",")&amp;",")),"Y","N")</f>
        <v>N</v>
      </c>
      <c r="M325" s="3" t="str">
        <f>IF(ISNUMBER(SEARCH(",Simulation,",","&amp;SUBSTITUTE(TableMain[[#This Row],[Tags]],", ",",")&amp;",")),"Y","N")</f>
        <v>Y</v>
      </c>
      <c r="N325" s="3" t="str">
        <f>IF(ISNUMBER(SEARCH(",RPG,",","&amp;SUBSTITUTE(TableMain[[#This Row],[Tags]],", ",",")&amp;",")),"Y","N")</f>
        <v>Y</v>
      </c>
      <c r="O325" s="3" t="str">
        <f>IF(ISNUMBER(SEARCH(",Strategy,",","&amp;SUBSTITUTE(TableMain[[#This Row],[Tags]],", ",",")&amp;",")),"Y","N")</f>
        <v>N</v>
      </c>
      <c r="P325" s="3" t="str">
        <f>IF(ISNUMBER(SEARCH(",Free To Play,",","&amp;SUBSTITUTE(TableMain[[#This Row],[Tags]],", ",",")&amp;",")),"Y","N")</f>
        <v>N</v>
      </c>
    </row>
    <row r="326" spans="1:16" x14ac:dyDescent="0.35">
      <c r="A326">
        <v>1013320</v>
      </c>
      <c r="B326" t="s">
        <v>824</v>
      </c>
      <c r="C326" s="1">
        <v>45383</v>
      </c>
      <c r="D326">
        <v>1785</v>
      </c>
      <c r="E326" t="b">
        <v>1</v>
      </c>
      <c r="F326" t="s">
        <v>825</v>
      </c>
      <c r="G326" t="s">
        <v>826</v>
      </c>
      <c r="H326">
        <v>326</v>
      </c>
      <c r="I326" t="s">
        <v>14</v>
      </c>
      <c r="J326" s="3" t="str">
        <f>IF(ISNUMBER(SEARCH(",Action,",","&amp;SUBSTITUTE(TableMain[[#This Row],[Tags]],", ",",")&amp;",")),"Y","N")</f>
        <v>N</v>
      </c>
      <c r="K326" s="3" t="str">
        <f>IF(ISNUMBER(SEARCH(",Indie,",","&amp;SUBSTITUTE(TableMain[[#This Row],[Tags]],", ",",")&amp;",")),"Y","N")</f>
        <v>Y</v>
      </c>
      <c r="L326" s="3" t="str">
        <f>IF(ISNUMBER(SEARCH(",Adventure,",","&amp;SUBSTITUTE(TableMain[[#This Row],[Tags]],", ",",")&amp;",")),"Y","N")</f>
        <v>N</v>
      </c>
      <c r="M326" s="3" t="str">
        <f>IF(ISNUMBER(SEARCH(",Simulation,",","&amp;SUBSTITUTE(TableMain[[#This Row],[Tags]],", ",",")&amp;",")),"Y","N")</f>
        <v>N</v>
      </c>
      <c r="N326" s="3" t="str">
        <f>IF(ISNUMBER(SEARCH(",RPG,",","&amp;SUBSTITUTE(TableMain[[#This Row],[Tags]],", ",",")&amp;",")),"Y","N")</f>
        <v>Y</v>
      </c>
      <c r="O326" s="3" t="str">
        <f>IF(ISNUMBER(SEARCH(",Strategy,",","&amp;SUBSTITUTE(TableMain[[#This Row],[Tags]],", ",",")&amp;",")),"Y","N")</f>
        <v>N</v>
      </c>
      <c r="P326" s="3" t="str">
        <f>IF(ISNUMBER(SEARCH(",Free To Play,",","&amp;SUBSTITUTE(TableMain[[#This Row],[Tags]],", ",",")&amp;",")),"Y","N")</f>
        <v>Y</v>
      </c>
    </row>
    <row r="327" spans="1:16" x14ac:dyDescent="0.35">
      <c r="A327">
        <v>1943950</v>
      </c>
      <c r="B327" t="s">
        <v>827</v>
      </c>
      <c r="C327" s="1">
        <v>45953</v>
      </c>
      <c r="D327">
        <v>1756</v>
      </c>
      <c r="E327" t="b">
        <v>0</v>
      </c>
      <c r="F327" t="s">
        <v>828</v>
      </c>
      <c r="G327" t="s">
        <v>116</v>
      </c>
      <c r="H327">
        <v>327</v>
      </c>
      <c r="I327" t="s">
        <v>36</v>
      </c>
      <c r="J327" s="3" t="str">
        <f>IF(ISNUMBER(SEARCH(",Action,",","&amp;SUBSTITUTE(TableMain[[#This Row],[Tags]],", ",",")&amp;",")),"Y","N")</f>
        <v>Y</v>
      </c>
      <c r="K327" s="3" t="str">
        <f>IF(ISNUMBER(SEARCH(",Indie,",","&amp;SUBSTITUTE(TableMain[[#This Row],[Tags]],", ",",")&amp;",")),"Y","N")</f>
        <v>Y</v>
      </c>
      <c r="L327" s="3" t="str">
        <f>IF(ISNUMBER(SEARCH(",Adventure,",","&amp;SUBSTITUTE(TableMain[[#This Row],[Tags]],", ",",")&amp;",")),"Y","N")</f>
        <v>N</v>
      </c>
      <c r="M327" s="3" t="str">
        <f>IF(ISNUMBER(SEARCH(",Simulation,",","&amp;SUBSTITUTE(TableMain[[#This Row],[Tags]],", ",",")&amp;",")),"Y","N")</f>
        <v>N</v>
      </c>
      <c r="N327" s="3" t="str">
        <f>IF(ISNUMBER(SEARCH(",RPG,",","&amp;SUBSTITUTE(TableMain[[#This Row],[Tags]],", ",",")&amp;",")),"Y","N")</f>
        <v>N</v>
      </c>
      <c r="O327" s="3" t="str">
        <f>IF(ISNUMBER(SEARCH(",Strategy,",","&amp;SUBSTITUTE(TableMain[[#This Row],[Tags]],", ",",")&amp;",")),"Y","N")</f>
        <v>N</v>
      </c>
      <c r="P327" s="3" t="str">
        <f>IF(ISNUMBER(SEARCH(",Free To Play,",","&amp;SUBSTITUTE(TableMain[[#This Row],[Tags]],", ",",")&amp;",")),"Y","N")</f>
        <v>N</v>
      </c>
    </row>
    <row r="328" spans="1:16" x14ac:dyDescent="0.35">
      <c r="A328">
        <v>2679460</v>
      </c>
      <c r="B328" t="s">
        <v>829</v>
      </c>
      <c r="C328" s="1">
        <v>45575</v>
      </c>
      <c r="D328">
        <v>1753</v>
      </c>
      <c r="E328" t="b">
        <v>0</v>
      </c>
      <c r="F328" t="s">
        <v>830</v>
      </c>
      <c r="G328" t="s">
        <v>208</v>
      </c>
      <c r="H328">
        <v>328</v>
      </c>
      <c r="I328" t="s">
        <v>33</v>
      </c>
      <c r="J328" s="3" t="str">
        <f>IF(ISNUMBER(SEARCH(",Action,",","&amp;SUBSTITUTE(TableMain[[#This Row],[Tags]],", ",",")&amp;",")),"Y","N")</f>
        <v>Y</v>
      </c>
      <c r="K328" s="3" t="str">
        <f>IF(ISNUMBER(SEARCH(",Indie,",","&amp;SUBSTITUTE(TableMain[[#This Row],[Tags]],", ",",")&amp;",")),"Y","N")</f>
        <v>N</v>
      </c>
      <c r="L328" s="3" t="str">
        <f>IF(ISNUMBER(SEARCH(",Adventure,",","&amp;SUBSTITUTE(TableMain[[#This Row],[Tags]],", ",",")&amp;",")),"Y","N")</f>
        <v>Y</v>
      </c>
      <c r="M328" s="3" t="str">
        <f>IF(ISNUMBER(SEARCH(",Simulation,",","&amp;SUBSTITUTE(TableMain[[#This Row],[Tags]],", ",",")&amp;",")),"Y","N")</f>
        <v>N</v>
      </c>
      <c r="N328" s="3" t="str">
        <f>IF(ISNUMBER(SEARCH(",RPG,",","&amp;SUBSTITUTE(TableMain[[#This Row],[Tags]],", ",",")&amp;",")),"Y","N")</f>
        <v>Y</v>
      </c>
      <c r="O328" s="3" t="str">
        <f>IF(ISNUMBER(SEARCH(",Strategy,",","&amp;SUBSTITUTE(TableMain[[#This Row],[Tags]],", ",",")&amp;",")),"Y","N")</f>
        <v>N</v>
      </c>
      <c r="P328" s="3" t="str">
        <f>IF(ISNUMBER(SEARCH(",Free To Play,",","&amp;SUBSTITUTE(TableMain[[#This Row],[Tags]],", ",",")&amp;",")),"Y","N")</f>
        <v>N</v>
      </c>
    </row>
    <row r="329" spans="1:16" x14ac:dyDescent="0.35">
      <c r="A329">
        <v>669330</v>
      </c>
      <c r="B329" t="s">
        <v>831</v>
      </c>
      <c r="C329" s="1">
        <v>45561</v>
      </c>
      <c r="D329">
        <v>1748</v>
      </c>
      <c r="E329" t="b">
        <v>0</v>
      </c>
      <c r="F329" t="s">
        <v>832</v>
      </c>
      <c r="G329" t="s">
        <v>561</v>
      </c>
      <c r="H329">
        <v>329</v>
      </c>
      <c r="I329" t="s">
        <v>833</v>
      </c>
      <c r="J329" s="3" t="str">
        <f>IF(ISNUMBER(SEARCH(",Action,",","&amp;SUBSTITUTE(TableMain[[#This Row],[Tags]],", ",",")&amp;",")),"Y","N")</f>
        <v>Y</v>
      </c>
      <c r="K329" s="3" t="str">
        <f>IF(ISNUMBER(SEARCH(",Indie,",","&amp;SUBSTITUTE(TableMain[[#This Row],[Tags]],", ",",")&amp;",")),"Y","N")</f>
        <v>Y</v>
      </c>
      <c r="L329" s="3" t="str">
        <f>IF(ISNUMBER(SEARCH(",Adventure,",","&amp;SUBSTITUTE(TableMain[[#This Row],[Tags]],", ",",")&amp;",")),"Y","N")</f>
        <v>N</v>
      </c>
      <c r="M329" s="3" t="str">
        <f>IF(ISNUMBER(SEARCH(",Simulation,",","&amp;SUBSTITUTE(TableMain[[#This Row],[Tags]],", ",",")&amp;",")),"Y","N")</f>
        <v>Y</v>
      </c>
      <c r="N329" s="3" t="str">
        <f>IF(ISNUMBER(SEARCH(",RPG,",","&amp;SUBSTITUTE(TableMain[[#This Row],[Tags]],", ",",")&amp;",")),"Y","N")</f>
        <v>N</v>
      </c>
      <c r="O329" s="3" t="str">
        <f>IF(ISNUMBER(SEARCH(",Strategy,",","&amp;SUBSTITUTE(TableMain[[#This Row],[Tags]],", ",",")&amp;",")),"Y","N")</f>
        <v>Y</v>
      </c>
      <c r="P329" s="3" t="str">
        <f>IF(ISNUMBER(SEARCH(",Free To Play,",","&amp;SUBSTITUTE(TableMain[[#This Row],[Tags]],", ",",")&amp;",")),"Y","N")</f>
        <v>N</v>
      </c>
    </row>
    <row r="330" spans="1:16" x14ac:dyDescent="0.35">
      <c r="A330">
        <v>2113850</v>
      </c>
      <c r="B330" t="s">
        <v>834</v>
      </c>
      <c r="C330" s="1">
        <v>45390</v>
      </c>
      <c r="D330">
        <v>1742</v>
      </c>
      <c r="E330" t="b">
        <v>1</v>
      </c>
      <c r="F330" t="s">
        <v>835</v>
      </c>
      <c r="G330" t="s">
        <v>164</v>
      </c>
      <c r="H330">
        <v>330</v>
      </c>
      <c r="I330" t="s">
        <v>53</v>
      </c>
      <c r="J330" s="3" t="str">
        <f>IF(ISNUMBER(SEARCH(",Action,",","&amp;SUBSTITUTE(TableMain[[#This Row],[Tags]],", ",",")&amp;",")),"Y","N")</f>
        <v>N</v>
      </c>
      <c r="K330" s="3" t="str">
        <f>IF(ISNUMBER(SEARCH(",Indie,",","&amp;SUBSTITUTE(TableMain[[#This Row],[Tags]],", ",",")&amp;",")),"Y","N")</f>
        <v>Y</v>
      </c>
      <c r="L330" s="3" t="str">
        <f>IF(ISNUMBER(SEARCH(",Adventure,",","&amp;SUBSTITUTE(TableMain[[#This Row],[Tags]],", ",",")&amp;",")),"Y","N")</f>
        <v>N</v>
      </c>
      <c r="M330" s="3" t="str">
        <f>IF(ISNUMBER(SEARCH(",Simulation,",","&amp;SUBSTITUTE(TableMain[[#This Row],[Tags]],", ",",")&amp;",")),"Y","N")</f>
        <v>Y</v>
      </c>
      <c r="N330" s="3" t="str">
        <f>IF(ISNUMBER(SEARCH(",RPG,",","&amp;SUBSTITUTE(TableMain[[#This Row],[Tags]],", ",",")&amp;",")),"Y","N")</f>
        <v>N</v>
      </c>
      <c r="O330" s="3" t="str">
        <f>IF(ISNUMBER(SEARCH(",Strategy,",","&amp;SUBSTITUTE(TableMain[[#This Row],[Tags]],", ",",")&amp;",")),"Y","N")</f>
        <v>N</v>
      </c>
      <c r="P330" s="3" t="str">
        <f>IF(ISNUMBER(SEARCH(",Free To Play,",","&amp;SUBSTITUTE(TableMain[[#This Row],[Tags]],", ",",")&amp;",")),"Y","N")</f>
        <v>N</v>
      </c>
    </row>
    <row r="331" spans="1:16" x14ac:dyDescent="0.35">
      <c r="A331">
        <v>1569040</v>
      </c>
      <c r="B331" t="s">
        <v>836</v>
      </c>
      <c r="C331" s="1">
        <v>44509</v>
      </c>
      <c r="D331">
        <v>1742</v>
      </c>
      <c r="E331" t="b">
        <v>1</v>
      </c>
      <c r="F331" t="s">
        <v>70</v>
      </c>
      <c r="G331" t="s">
        <v>78</v>
      </c>
      <c r="H331">
        <v>330</v>
      </c>
      <c r="I331" t="s">
        <v>161</v>
      </c>
      <c r="J331" s="3" t="str">
        <f>IF(ISNUMBER(SEARCH(",Action,",","&amp;SUBSTITUTE(TableMain[[#This Row],[Tags]],", ",",")&amp;",")),"Y","N")</f>
        <v>N</v>
      </c>
      <c r="K331" s="3" t="str">
        <f>IF(ISNUMBER(SEARCH(",Indie,",","&amp;SUBSTITUTE(TableMain[[#This Row],[Tags]],", ",",")&amp;",")),"Y","N")</f>
        <v>N</v>
      </c>
      <c r="L331" s="3" t="str">
        <f>IF(ISNUMBER(SEARCH(",Adventure,",","&amp;SUBSTITUTE(TableMain[[#This Row],[Tags]],", ",",")&amp;",")),"Y","N")</f>
        <v>N</v>
      </c>
      <c r="M331" s="3" t="str">
        <f>IF(ISNUMBER(SEARCH(",Simulation,",","&amp;SUBSTITUTE(TableMain[[#This Row],[Tags]],", ",",")&amp;",")),"Y","N")</f>
        <v>Y</v>
      </c>
      <c r="N331" s="3" t="str">
        <f>IF(ISNUMBER(SEARCH(",RPG,",","&amp;SUBSTITUTE(TableMain[[#This Row],[Tags]],", ",",")&amp;",")),"Y","N")</f>
        <v>N</v>
      </c>
      <c r="O331" s="3" t="str">
        <f>IF(ISNUMBER(SEARCH(",Strategy,",","&amp;SUBSTITUTE(TableMain[[#This Row],[Tags]],", ",",")&amp;",")),"Y","N")</f>
        <v>N</v>
      </c>
      <c r="P331" s="3" t="str">
        <f>IF(ISNUMBER(SEARCH(",Free To Play,",","&amp;SUBSTITUTE(TableMain[[#This Row],[Tags]],", ",",")&amp;",")),"Y","N")</f>
        <v>N</v>
      </c>
    </row>
    <row r="332" spans="1:16" x14ac:dyDescent="0.35">
      <c r="A332">
        <v>2157560</v>
      </c>
      <c r="B332" t="s">
        <v>837</v>
      </c>
      <c r="C332" s="1">
        <v>45273</v>
      </c>
      <c r="D332">
        <v>1736</v>
      </c>
      <c r="E332" t="b">
        <v>0</v>
      </c>
      <c r="F332" t="s">
        <v>838</v>
      </c>
      <c r="G332" t="s">
        <v>49</v>
      </c>
      <c r="H332">
        <v>332</v>
      </c>
      <c r="I332" t="s">
        <v>133</v>
      </c>
      <c r="J332" s="3" t="str">
        <f>IF(ISNUMBER(SEARCH(",Action,",","&amp;SUBSTITUTE(TableMain[[#This Row],[Tags]],", ",",")&amp;",")),"Y","N")</f>
        <v>Y</v>
      </c>
      <c r="K332" s="3" t="str">
        <f>IF(ISNUMBER(SEARCH(",Indie,",","&amp;SUBSTITUTE(TableMain[[#This Row],[Tags]],", ",",")&amp;",")),"Y","N")</f>
        <v>N</v>
      </c>
      <c r="L332" s="3" t="str">
        <f>IF(ISNUMBER(SEARCH(",Adventure,",","&amp;SUBSTITUTE(TableMain[[#This Row],[Tags]],", ",",")&amp;",")),"Y","N")</f>
        <v>N</v>
      </c>
      <c r="M332" s="3" t="str">
        <f>IF(ISNUMBER(SEARCH(",Simulation,",","&amp;SUBSTITUTE(TableMain[[#This Row],[Tags]],", ",",")&amp;",")),"Y","N")</f>
        <v>N</v>
      </c>
      <c r="N332" s="3" t="str">
        <f>IF(ISNUMBER(SEARCH(",RPG,",","&amp;SUBSTITUTE(TableMain[[#This Row],[Tags]],", ",",")&amp;",")),"Y","N")</f>
        <v>N</v>
      </c>
      <c r="O332" s="3" t="str">
        <f>IF(ISNUMBER(SEARCH(",Strategy,",","&amp;SUBSTITUTE(TableMain[[#This Row],[Tags]],", ",",")&amp;",")),"Y","N")</f>
        <v>N</v>
      </c>
      <c r="P332" s="3" t="str">
        <f>IF(ISNUMBER(SEARCH(",Free To Play,",","&amp;SUBSTITUTE(TableMain[[#This Row],[Tags]],", ",",")&amp;",")),"Y","N")</f>
        <v>N</v>
      </c>
    </row>
    <row r="333" spans="1:16" x14ac:dyDescent="0.35">
      <c r="A333">
        <v>824270</v>
      </c>
      <c r="B333" t="s">
        <v>839</v>
      </c>
      <c r="C333" s="1">
        <v>43193</v>
      </c>
      <c r="D333">
        <v>1719</v>
      </c>
      <c r="E333" t="b">
        <v>0</v>
      </c>
      <c r="F333" t="s">
        <v>840</v>
      </c>
      <c r="G333" t="s">
        <v>841</v>
      </c>
      <c r="H333">
        <v>333</v>
      </c>
      <c r="I333" t="s">
        <v>40</v>
      </c>
      <c r="J333" s="3" t="str">
        <f>IF(ISNUMBER(SEARCH(",Action,",","&amp;SUBSTITUTE(TableMain[[#This Row],[Tags]],", ",",")&amp;",")),"Y","N")</f>
        <v>Y</v>
      </c>
      <c r="K333" s="3" t="str">
        <f>IF(ISNUMBER(SEARCH(",Indie,",","&amp;SUBSTITUTE(TableMain[[#This Row],[Tags]],", ",",")&amp;",")),"Y","N")</f>
        <v>Y</v>
      </c>
      <c r="L333" s="3" t="str">
        <f>IF(ISNUMBER(SEARCH(",Adventure,",","&amp;SUBSTITUTE(TableMain[[#This Row],[Tags]],", ",",")&amp;",")),"Y","N")</f>
        <v>N</v>
      </c>
      <c r="M333" s="3" t="str">
        <f>IF(ISNUMBER(SEARCH(",Simulation,",","&amp;SUBSTITUTE(TableMain[[#This Row],[Tags]],", ",",")&amp;",")),"Y","N")</f>
        <v>Y</v>
      </c>
      <c r="N333" s="3" t="str">
        <f>IF(ISNUMBER(SEARCH(",RPG,",","&amp;SUBSTITUTE(TableMain[[#This Row],[Tags]],", ",",")&amp;",")),"Y","N")</f>
        <v>N</v>
      </c>
      <c r="O333" s="3" t="str">
        <f>IF(ISNUMBER(SEARCH(",Strategy,",","&amp;SUBSTITUTE(TableMain[[#This Row],[Tags]],", ",",")&amp;",")),"Y","N")</f>
        <v>N</v>
      </c>
      <c r="P333" s="3" t="str">
        <f>IF(ISNUMBER(SEARCH(",Free To Play,",","&amp;SUBSTITUTE(TableMain[[#This Row],[Tags]],", ",",")&amp;",")),"Y","N")</f>
        <v>N</v>
      </c>
    </row>
    <row r="334" spans="1:16" x14ac:dyDescent="0.35">
      <c r="A334">
        <v>1669000</v>
      </c>
      <c r="B334" t="s">
        <v>842</v>
      </c>
      <c r="C334" s="1">
        <v>45048</v>
      </c>
      <c r="D334">
        <v>1707</v>
      </c>
      <c r="E334" t="b">
        <v>0</v>
      </c>
      <c r="F334" t="s">
        <v>843</v>
      </c>
      <c r="G334" t="s">
        <v>844</v>
      </c>
      <c r="H334">
        <v>334</v>
      </c>
      <c r="I334" t="s">
        <v>266</v>
      </c>
      <c r="J334" s="3" t="str">
        <f>IF(ISNUMBER(SEARCH(",Action,",","&amp;SUBSTITUTE(TableMain[[#This Row],[Tags]],", ",",")&amp;",")),"Y","N")</f>
        <v>N</v>
      </c>
      <c r="K334" s="3" t="str">
        <f>IF(ISNUMBER(SEARCH(",Indie,",","&amp;SUBSTITUTE(TableMain[[#This Row],[Tags]],", ",",")&amp;",")),"Y","N")</f>
        <v>N</v>
      </c>
      <c r="L334" s="3" t="str">
        <f>IF(ISNUMBER(SEARCH(",Adventure,",","&amp;SUBSTITUTE(TableMain[[#This Row],[Tags]],", ",",")&amp;",")),"Y","N")</f>
        <v>N</v>
      </c>
      <c r="M334" s="3" t="str">
        <f>IF(ISNUMBER(SEARCH(",Simulation,",","&amp;SUBSTITUTE(TableMain[[#This Row],[Tags]],", ",",")&amp;",")),"Y","N")</f>
        <v>N</v>
      </c>
      <c r="N334" s="3" t="str">
        <f>IF(ISNUMBER(SEARCH(",RPG,",","&amp;SUBSTITUTE(TableMain[[#This Row],[Tags]],", ",",")&amp;",")),"Y","N")</f>
        <v>Y</v>
      </c>
      <c r="O334" s="3" t="str">
        <f>IF(ISNUMBER(SEARCH(",Strategy,",","&amp;SUBSTITUTE(TableMain[[#This Row],[Tags]],", ",",")&amp;",")),"Y","N")</f>
        <v>Y</v>
      </c>
      <c r="P334" s="3" t="str">
        <f>IF(ISNUMBER(SEARCH(",Free To Play,",","&amp;SUBSTITUTE(TableMain[[#This Row],[Tags]],", ",",")&amp;",")),"Y","N")</f>
        <v>N</v>
      </c>
    </row>
    <row r="335" spans="1:16" x14ac:dyDescent="0.35">
      <c r="A335">
        <v>323190</v>
      </c>
      <c r="B335" t="s">
        <v>845</v>
      </c>
      <c r="C335" s="1">
        <v>43214</v>
      </c>
      <c r="D335">
        <v>1699</v>
      </c>
      <c r="E335" t="b">
        <v>1</v>
      </c>
      <c r="F335" t="s">
        <v>846</v>
      </c>
      <c r="G335" t="s">
        <v>100</v>
      </c>
      <c r="H335">
        <v>335</v>
      </c>
      <c r="I335" t="s">
        <v>18</v>
      </c>
      <c r="J335" s="3" t="str">
        <f>IF(ISNUMBER(SEARCH(",Action,",","&amp;SUBSTITUTE(TableMain[[#This Row],[Tags]],", ",",")&amp;",")),"Y","N")</f>
        <v>N</v>
      </c>
      <c r="K335" s="3" t="str">
        <f>IF(ISNUMBER(SEARCH(",Indie,",","&amp;SUBSTITUTE(TableMain[[#This Row],[Tags]],", ",",")&amp;",")),"Y","N")</f>
        <v>N</v>
      </c>
      <c r="L335" s="3" t="str">
        <f>IF(ISNUMBER(SEARCH(",Adventure,",","&amp;SUBSTITUTE(TableMain[[#This Row],[Tags]],", ",",")&amp;",")),"Y","N")</f>
        <v>N</v>
      </c>
      <c r="M335" s="3" t="str">
        <f>IF(ISNUMBER(SEARCH(",Simulation,",","&amp;SUBSTITUTE(TableMain[[#This Row],[Tags]],", ",",")&amp;",")),"Y","N")</f>
        <v>Y</v>
      </c>
      <c r="N335" s="3" t="str">
        <f>IF(ISNUMBER(SEARCH(",RPG,",","&amp;SUBSTITUTE(TableMain[[#This Row],[Tags]],", ",",")&amp;",")),"Y","N")</f>
        <v>N</v>
      </c>
      <c r="O335" s="3" t="str">
        <f>IF(ISNUMBER(SEARCH(",Strategy,",","&amp;SUBSTITUTE(TableMain[[#This Row],[Tags]],", ",",")&amp;",")),"Y","N")</f>
        <v>Y</v>
      </c>
      <c r="P335" s="3" t="str">
        <f>IF(ISNUMBER(SEARCH(",Free To Play,",","&amp;SUBSTITUTE(TableMain[[#This Row],[Tags]],", ",",")&amp;",")),"Y","N")</f>
        <v>N</v>
      </c>
    </row>
    <row r="336" spans="1:16" x14ac:dyDescent="0.35">
      <c r="A336">
        <v>2161700</v>
      </c>
      <c r="B336" t="s">
        <v>847</v>
      </c>
      <c r="C336" s="1">
        <v>45323</v>
      </c>
      <c r="D336">
        <v>1683</v>
      </c>
      <c r="E336" t="b">
        <v>0</v>
      </c>
      <c r="F336" t="s">
        <v>848</v>
      </c>
      <c r="G336" t="s">
        <v>56</v>
      </c>
      <c r="H336">
        <v>336</v>
      </c>
      <c r="I336" t="s">
        <v>513</v>
      </c>
      <c r="J336" s="3" t="str">
        <f>IF(ISNUMBER(SEARCH(",Action,",","&amp;SUBSTITUTE(TableMain[[#This Row],[Tags]],", ",",")&amp;",")),"Y","N")</f>
        <v>N</v>
      </c>
      <c r="K336" s="3" t="str">
        <f>IF(ISNUMBER(SEARCH(",Indie,",","&amp;SUBSTITUTE(TableMain[[#This Row],[Tags]],", ",",")&amp;",")),"Y","N")</f>
        <v>N</v>
      </c>
      <c r="L336" s="3" t="str">
        <f>IF(ISNUMBER(SEARCH(",Adventure,",","&amp;SUBSTITUTE(TableMain[[#This Row],[Tags]],", ",",")&amp;",")),"Y","N")</f>
        <v>Y</v>
      </c>
      <c r="M336" s="3" t="str">
        <f>IF(ISNUMBER(SEARCH(",Simulation,",","&amp;SUBSTITUTE(TableMain[[#This Row],[Tags]],", ",",")&amp;",")),"Y","N")</f>
        <v>N</v>
      </c>
      <c r="N336" s="3" t="str">
        <f>IF(ISNUMBER(SEARCH(",RPG,",","&amp;SUBSTITUTE(TableMain[[#This Row],[Tags]],", ",",")&amp;",")),"Y","N")</f>
        <v>Y</v>
      </c>
      <c r="O336" s="3" t="str">
        <f>IF(ISNUMBER(SEARCH(",Strategy,",","&amp;SUBSTITUTE(TableMain[[#This Row],[Tags]],", ",",")&amp;",")),"Y","N")</f>
        <v>Y</v>
      </c>
      <c r="P336" s="3" t="str">
        <f>IF(ISNUMBER(SEARCH(",Free To Play,",","&amp;SUBSTITUTE(TableMain[[#This Row],[Tags]],", ",",")&amp;",")),"Y","N")</f>
        <v>N</v>
      </c>
    </row>
    <row r="337" spans="1:16" x14ac:dyDescent="0.35">
      <c r="A337">
        <v>2619650</v>
      </c>
      <c r="B337" t="s">
        <v>849</v>
      </c>
      <c r="C337" s="1">
        <v>45798</v>
      </c>
      <c r="D337">
        <v>1682</v>
      </c>
      <c r="E337" t="b">
        <v>0</v>
      </c>
      <c r="F337" t="s">
        <v>850</v>
      </c>
      <c r="G337" t="s">
        <v>851</v>
      </c>
      <c r="H337">
        <v>337</v>
      </c>
      <c r="I337" t="s">
        <v>14</v>
      </c>
      <c r="J337" s="3" t="str">
        <f>IF(ISNUMBER(SEARCH(",Action,",","&amp;SUBSTITUTE(TableMain[[#This Row],[Tags]],", ",",")&amp;",")),"Y","N")</f>
        <v>N</v>
      </c>
      <c r="K337" s="3" t="str">
        <f>IF(ISNUMBER(SEARCH(",Indie,",","&amp;SUBSTITUTE(TableMain[[#This Row],[Tags]],", ",",")&amp;",")),"Y","N")</f>
        <v>Y</v>
      </c>
      <c r="L337" s="3" t="str">
        <f>IF(ISNUMBER(SEARCH(",Adventure,",","&amp;SUBSTITUTE(TableMain[[#This Row],[Tags]],", ",",")&amp;",")),"Y","N")</f>
        <v>Y</v>
      </c>
      <c r="M337" s="3" t="str">
        <f>IF(ISNUMBER(SEARCH(",Simulation,",","&amp;SUBSTITUTE(TableMain[[#This Row],[Tags]],", ",",")&amp;",")),"Y","N")</f>
        <v>Y</v>
      </c>
      <c r="N337" s="3" t="str">
        <f>IF(ISNUMBER(SEARCH(",RPG,",","&amp;SUBSTITUTE(TableMain[[#This Row],[Tags]],", ",",")&amp;",")),"Y","N")</f>
        <v>Y</v>
      </c>
      <c r="O337" s="3" t="str">
        <f>IF(ISNUMBER(SEARCH(",Strategy,",","&amp;SUBSTITUTE(TableMain[[#This Row],[Tags]],", ",",")&amp;",")),"Y","N")</f>
        <v>Y</v>
      </c>
      <c r="P337" s="3" t="str">
        <f>IF(ISNUMBER(SEARCH(",Free To Play,",","&amp;SUBSTITUTE(TableMain[[#This Row],[Tags]],", ",",")&amp;",")),"Y","N")</f>
        <v>N</v>
      </c>
    </row>
    <row r="338" spans="1:16" x14ac:dyDescent="0.35">
      <c r="A338">
        <v>1876890</v>
      </c>
      <c r="B338" t="s">
        <v>852</v>
      </c>
      <c r="C338" s="1">
        <v>45183</v>
      </c>
      <c r="D338">
        <v>1679</v>
      </c>
      <c r="E338" t="b">
        <v>0</v>
      </c>
      <c r="F338" t="s">
        <v>853</v>
      </c>
      <c r="G338" t="s">
        <v>720</v>
      </c>
      <c r="H338">
        <v>338</v>
      </c>
      <c r="I338" t="s">
        <v>18</v>
      </c>
      <c r="J338" s="3" t="str">
        <f>IF(ISNUMBER(SEARCH(",Action,",","&amp;SUBSTITUTE(TableMain[[#This Row],[Tags]],", ",",")&amp;",")),"Y","N")</f>
        <v>N</v>
      </c>
      <c r="K338" s="3" t="str">
        <f>IF(ISNUMBER(SEARCH(",Indie,",","&amp;SUBSTITUTE(TableMain[[#This Row],[Tags]],", ",",")&amp;",")),"Y","N")</f>
        <v>Y</v>
      </c>
      <c r="L338" s="3" t="str">
        <f>IF(ISNUMBER(SEARCH(",Adventure,",","&amp;SUBSTITUTE(TableMain[[#This Row],[Tags]],", ",",")&amp;",")),"Y","N")</f>
        <v>Y</v>
      </c>
      <c r="M338" s="3" t="str">
        <f>IF(ISNUMBER(SEARCH(",Simulation,",","&amp;SUBSTITUTE(TableMain[[#This Row],[Tags]],", ",",")&amp;",")),"Y","N")</f>
        <v>N</v>
      </c>
      <c r="N338" s="3" t="str">
        <f>IF(ISNUMBER(SEARCH(",RPG,",","&amp;SUBSTITUTE(TableMain[[#This Row],[Tags]],", ",",")&amp;",")),"Y","N")</f>
        <v>Y</v>
      </c>
      <c r="O338" s="3" t="str">
        <f>IF(ISNUMBER(SEARCH(",Strategy,",","&amp;SUBSTITUTE(TableMain[[#This Row],[Tags]],", ",",")&amp;",")),"Y","N")</f>
        <v>Y</v>
      </c>
      <c r="P338" s="3" t="str">
        <f>IF(ISNUMBER(SEARCH(",Free To Play,",","&amp;SUBSTITUTE(TableMain[[#This Row],[Tags]],", ",",")&amp;",")),"Y","N")</f>
        <v>N</v>
      </c>
    </row>
    <row r="339" spans="1:16" x14ac:dyDescent="0.35">
      <c r="A339">
        <v>699130</v>
      </c>
      <c r="B339" t="s">
        <v>854</v>
      </c>
      <c r="C339" s="1">
        <v>44460</v>
      </c>
      <c r="D339">
        <v>1663</v>
      </c>
      <c r="E339" t="b">
        <v>0</v>
      </c>
      <c r="F339" t="s">
        <v>855</v>
      </c>
      <c r="G339" t="s">
        <v>49</v>
      </c>
      <c r="H339">
        <v>339</v>
      </c>
      <c r="I339" t="s">
        <v>133</v>
      </c>
      <c r="J339" s="3" t="str">
        <f>IF(ISNUMBER(SEARCH(",Action,",","&amp;SUBSTITUTE(TableMain[[#This Row],[Tags]],", ",",")&amp;",")),"Y","N")</f>
        <v>Y</v>
      </c>
      <c r="K339" s="3" t="str">
        <f>IF(ISNUMBER(SEARCH(",Indie,",","&amp;SUBSTITUTE(TableMain[[#This Row],[Tags]],", ",",")&amp;",")),"Y","N")</f>
        <v>N</v>
      </c>
      <c r="L339" s="3" t="str">
        <f>IF(ISNUMBER(SEARCH(",Adventure,",","&amp;SUBSTITUTE(TableMain[[#This Row],[Tags]],", ",",")&amp;",")),"Y","N")</f>
        <v>N</v>
      </c>
      <c r="M339" s="3" t="str">
        <f>IF(ISNUMBER(SEARCH(",Simulation,",","&amp;SUBSTITUTE(TableMain[[#This Row],[Tags]],", ",",")&amp;",")),"Y","N")</f>
        <v>N</v>
      </c>
      <c r="N339" s="3" t="str">
        <f>IF(ISNUMBER(SEARCH(",RPG,",","&amp;SUBSTITUTE(TableMain[[#This Row],[Tags]],", ",",")&amp;",")),"Y","N")</f>
        <v>N</v>
      </c>
      <c r="O339" s="3" t="str">
        <f>IF(ISNUMBER(SEARCH(",Strategy,",","&amp;SUBSTITUTE(TableMain[[#This Row],[Tags]],", ",",")&amp;",")),"Y","N")</f>
        <v>N</v>
      </c>
      <c r="P339" s="3" t="str">
        <f>IF(ISNUMBER(SEARCH(",Free To Play,",","&amp;SUBSTITUTE(TableMain[[#This Row],[Tags]],", ",",")&amp;",")),"Y","N")</f>
        <v>N</v>
      </c>
    </row>
    <row r="340" spans="1:16" x14ac:dyDescent="0.35">
      <c r="A340">
        <v>3070070</v>
      </c>
      <c r="B340" t="s">
        <v>856</v>
      </c>
      <c r="C340" s="1">
        <v>45550</v>
      </c>
      <c r="D340">
        <v>1661</v>
      </c>
      <c r="E340" t="b">
        <v>0</v>
      </c>
      <c r="F340" t="s">
        <v>857</v>
      </c>
      <c r="G340" t="s">
        <v>858</v>
      </c>
      <c r="H340">
        <v>340</v>
      </c>
      <c r="I340" t="s">
        <v>25</v>
      </c>
      <c r="J340" s="3" t="str">
        <f>IF(ISNUMBER(SEARCH(",Action,",","&amp;SUBSTITUTE(TableMain[[#This Row],[Tags]],", ",",")&amp;",")),"Y","N")</f>
        <v>N</v>
      </c>
      <c r="K340" s="3" t="str">
        <f>IF(ISNUMBER(SEARCH(",Indie,",","&amp;SUBSTITUTE(TableMain[[#This Row],[Tags]],", ",",")&amp;",")),"Y","N")</f>
        <v>N</v>
      </c>
      <c r="L340" s="3" t="str">
        <f>IF(ISNUMBER(SEARCH(",Adventure,",","&amp;SUBSTITUTE(TableMain[[#This Row],[Tags]],", ",",")&amp;",")),"Y","N")</f>
        <v>N</v>
      </c>
      <c r="M340" s="3" t="str">
        <f>IF(ISNUMBER(SEARCH(",Simulation,",","&amp;SUBSTITUTE(TableMain[[#This Row],[Tags]],", ",",")&amp;",")),"Y","N")</f>
        <v>Y</v>
      </c>
      <c r="N340" s="3" t="str">
        <f>IF(ISNUMBER(SEARCH(",RPG,",","&amp;SUBSTITUTE(TableMain[[#This Row],[Tags]],", ",",")&amp;",")),"Y","N")</f>
        <v>N</v>
      </c>
      <c r="O340" s="3" t="str">
        <f>IF(ISNUMBER(SEARCH(",Strategy,",","&amp;SUBSTITUTE(TableMain[[#This Row],[Tags]],", ",",")&amp;",")),"Y","N")</f>
        <v>N</v>
      </c>
      <c r="P340" s="3" t="str">
        <f>IF(ISNUMBER(SEARCH(",Free To Play,",","&amp;SUBSTITUTE(TableMain[[#This Row],[Tags]],", ",",")&amp;",")),"Y","N")</f>
        <v>N</v>
      </c>
    </row>
    <row r="341" spans="1:16" x14ac:dyDescent="0.35">
      <c r="A341">
        <v>635260</v>
      </c>
      <c r="B341" t="s">
        <v>859</v>
      </c>
      <c r="C341" s="1">
        <v>43056</v>
      </c>
      <c r="D341">
        <v>1658</v>
      </c>
      <c r="E341" t="b">
        <v>0</v>
      </c>
      <c r="F341" t="s">
        <v>860</v>
      </c>
      <c r="G341" t="s">
        <v>861</v>
      </c>
      <c r="H341">
        <v>341</v>
      </c>
      <c r="I341" t="s">
        <v>53</v>
      </c>
      <c r="J341" s="3" t="str">
        <f>IF(ISNUMBER(SEARCH(",Action,",","&amp;SUBSTITUTE(TableMain[[#This Row],[Tags]],", ",",")&amp;",")),"Y","N")</f>
        <v>N</v>
      </c>
      <c r="K341" s="3" t="str">
        <f>IF(ISNUMBER(SEARCH(",Indie,",","&amp;SUBSTITUTE(TableMain[[#This Row],[Tags]],", ",",")&amp;",")),"Y","N")</f>
        <v>N</v>
      </c>
      <c r="L341" s="3" t="str">
        <f>IF(ISNUMBER(SEARCH(",Adventure,",","&amp;SUBSTITUTE(TableMain[[#This Row],[Tags]],", ",",")&amp;",")),"Y","N")</f>
        <v>N</v>
      </c>
      <c r="M341" s="3" t="str">
        <f>IF(ISNUMBER(SEARCH(",Simulation,",","&amp;SUBSTITUTE(TableMain[[#This Row],[Tags]],", ",",")&amp;",")),"Y","N")</f>
        <v>Y</v>
      </c>
      <c r="N341" s="3" t="str">
        <f>IF(ISNUMBER(SEARCH(",RPG,",","&amp;SUBSTITUTE(TableMain[[#This Row],[Tags]],", ",",")&amp;",")),"Y","N")</f>
        <v>N</v>
      </c>
      <c r="O341" s="3" t="str">
        <f>IF(ISNUMBER(SEARCH(",Strategy,",","&amp;SUBSTITUTE(TableMain[[#This Row],[Tags]],", ",",")&amp;",")),"Y","N")</f>
        <v>N</v>
      </c>
      <c r="P341" s="3" t="str">
        <f>IF(ISNUMBER(SEARCH(",Free To Play,",","&amp;SUBSTITUTE(TableMain[[#This Row],[Tags]],", ",",")&amp;",")),"Y","N")</f>
        <v>N</v>
      </c>
    </row>
    <row r="342" spans="1:16" x14ac:dyDescent="0.35">
      <c r="A342">
        <v>815370</v>
      </c>
      <c r="B342" t="s">
        <v>862</v>
      </c>
      <c r="C342" s="1">
        <v>43713</v>
      </c>
      <c r="D342">
        <v>1656</v>
      </c>
      <c r="E342" t="b">
        <v>0</v>
      </c>
      <c r="F342" t="s">
        <v>863</v>
      </c>
      <c r="G342" t="s">
        <v>476</v>
      </c>
      <c r="H342">
        <v>342</v>
      </c>
      <c r="I342" t="s">
        <v>18</v>
      </c>
      <c r="J342" s="3" t="str">
        <f>IF(ISNUMBER(SEARCH(",Action,",","&amp;SUBSTITUTE(TableMain[[#This Row],[Tags]],", ",",")&amp;",")),"Y","N")</f>
        <v>Y</v>
      </c>
      <c r="K342" s="3" t="str">
        <f>IF(ISNUMBER(SEARCH(",Indie,",","&amp;SUBSTITUTE(TableMain[[#This Row],[Tags]],", ",",")&amp;",")),"Y","N")</f>
        <v>Y</v>
      </c>
      <c r="L342" s="3" t="str">
        <f>IF(ISNUMBER(SEARCH(",Adventure,",","&amp;SUBSTITUTE(TableMain[[#This Row],[Tags]],", ",",")&amp;",")),"Y","N")</f>
        <v>Y</v>
      </c>
      <c r="M342" s="3" t="str">
        <f>IF(ISNUMBER(SEARCH(",Simulation,",","&amp;SUBSTITUTE(TableMain[[#This Row],[Tags]],", ",",")&amp;",")),"Y","N")</f>
        <v>Y</v>
      </c>
      <c r="N342" s="3" t="str">
        <f>IF(ISNUMBER(SEARCH(",RPG,",","&amp;SUBSTITUTE(TableMain[[#This Row],[Tags]],", ",",")&amp;",")),"Y","N")</f>
        <v>N</v>
      </c>
      <c r="O342" s="3" t="str">
        <f>IF(ISNUMBER(SEARCH(",Strategy,",","&amp;SUBSTITUTE(TableMain[[#This Row],[Tags]],", ",",")&amp;",")),"Y","N")</f>
        <v>N</v>
      </c>
      <c r="P342" s="3" t="str">
        <f>IF(ISNUMBER(SEARCH(",Free To Play,",","&amp;SUBSTITUTE(TableMain[[#This Row],[Tags]],", ",",")&amp;",")),"Y","N")</f>
        <v>N</v>
      </c>
    </row>
    <row r="343" spans="1:16" x14ac:dyDescent="0.35">
      <c r="A343">
        <v>2503770</v>
      </c>
      <c r="B343" t="s">
        <v>864</v>
      </c>
      <c r="C343" s="1">
        <v>45791</v>
      </c>
      <c r="D343">
        <v>1635</v>
      </c>
      <c r="E343" t="b">
        <v>0</v>
      </c>
      <c r="F343" t="s">
        <v>681</v>
      </c>
      <c r="G343" t="s">
        <v>865</v>
      </c>
      <c r="H343">
        <v>343</v>
      </c>
      <c r="I343" t="s">
        <v>36</v>
      </c>
      <c r="J343" s="3" t="str">
        <f>IF(ISNUMBER(SEARCH(",Action,",","&amp;SUBSTITUTE(TableMain[[#This Row],[Tags]],", ",",")&amp;",")),"Y","N")</f>
        <v>N</v>
      </c>
      <c r="K343" s="3" t="str">
        <f>IF(ISNUMBER(SEARCH(",Indie,",","&amp;SUBSTITUTE(TableMain[[#This Row],[Tags]],", ",",")&amp;",")),"Y","N")</f>
        <v>N</v>
      </c>
      <c r="L343" s="3" t="str">
        <f>IF(ISNUMBER(SEARCH(",Adventure,",","&amp;SUBSTITUTE(TableMain[[#This Row],[Tags]],", ",",")&amp;",")),"Y","N")</f>
        <v>Y</v>
      </c>
      <c r="M343" s="3" t="str">
        <f>IF(ISNUMBER(SEARCH(",Simulation,",","&amp;SUBSTITUTE(TableMain[[#This Row],[Tags]],", ",",")&amp;",")),"Y","N")</f>
        <v>Y</v>
      </c>
      <c r="N343" s="3" t="str">
        <f>IF(ISNUMBER(SEARCH(",RPG,",","&amp;SUBSTITUTE(TableMain[[#This Row],[Tags]],", ",",")&amp;",")),"Y","N")</f>
        <v>Y</v>
      </c>
      <c r="O343" s="3" t="str">
        <f>IF(ISNUMBER(SEARCH(",Strategy,",","&amp;SUBSTITUTE(TableMain[[#This Row],[Tags]],", ",",")&amp;",")),"Y","N")</f>
        <v>Y</v>
      </c>
      <c r="P343" s="3" t="str">
        <f>IF(ISNUMBER(SEARCH(",Free To Play,",","&amp;SUBSTITUTE(TableMain[[#This Row],[Tags]],", ",",")&amp;",")),"Y","N")</f>
        <v>N</v>
      </c>
    </row>
    <row r="344" spans="1:16" x14ac:dyDescent="0.35">
      <c r="A344">
        <v>1527950</v>
      </c>
      <c r="B344" t="s">
        <v>866</v>
      </c>
      <c r="C344" s="1">
        <v>45028</v>
      </c>
      <c r="D344">
        <v>1632</v>
      </c>
      <c r="E344" t="b">
        <v>0</v>
      </c>
      <c r="F344" t="s">
        <v>238</v>
      </c>
      <c r="G344" t="s">
        <v>720</v>
      </c>
      <c r="H344">
        <v>344</v>
      </c>
      <c r="I344" t="s">
        <v>371</v>
      </c>
      <c r="J344" s="3" t="str">
        <f>IF(ISNUMBER(SEARCH(",Action,",","&amp;SUBSTITUTE(TableMain[[#This Row],[Tags]],", ",",")&amp;",")),"Y","N")</f>
        <v>N</v>
      </c>
      <c r="K344" s="3" t="str">
        <f>IF(ISNUMBER(SEARCH(",Indie,",","&amp;SUBSTITUTE(TableMain[[#This Row],[Tags]],", ",",")&amp;",")),"Y","N")</f>
        <v>Y</v>
      </c>
      <c r="L344" s="3" t="str">
        <f>IF(ISNUMBER(SEARCH(",Adventure,",","&amp;SUBSTITUTE(TableMain[[#This Row],[Tags]],", ",",")&amp;",")),"Y","N")</f>
        <v>Y</v>
      </c>
      <c r="M344" s="3" t="str">
        <f>IF(ISNUMBER(SEARCH(",Simulation,",","&amp;SUBSTITUTE(TableMain[[#This Row],[Tags]],", ",",")&amp;",")),"Y","N")</f>
        <v>N</v>
      </c>
      <c r="N344" s="3" t="str">
        <f>IF(ISNUMBER(SEARCH(",RPG,",","&amp;SUBSTITUTE(TableMain[[#This Row],[Tags]],", ",",")&amp;",")),"Y","N")</f>
        <v>Y</v>
      </c>
      <c r="O344" s="3" t="str">
        <f>IF(ISNUMBER(SEARCH(",Strategy,",","&amp;SUBSTITUTE(TableMain[[#This Row],[Tags]],", ",",")&amp;",")),"Y","N")</f>
        <v>Y</v>
      </c>
      <c r="P344" s="3" t="str">
        <f>IF(ISNUMBER(SEARCH(",Free To Play,",","&amp;SUBSTITUTE(TableMain[[#This Row],[Tags]],", ",",")&amp;",")),"Y","N")</f>
        <v>N</v>
      </c>
    </row>
    <row r="345" spans="1:16" x14ac:dyDescent="0.35">
      <c r="A345">
        <v>2537590</v>
      </c>
      <c r="B345" t="s">
        <v>867</v>
      </c>
      <c r="C345" s="1">
        <v>45615</v>
      </c>
      <c r="D345">
        <v>1622</v>
      </c>
      <c r="E345" t="b">
        <v>0</v>
      </c>
      <c r="F345" t="s">
        <v>868</v>
      </c>
      <c r="G345" t="s">
        <v>239</v>
      </c>
      <c r="H345">
        <v>345</v>
      </c>
      <c r="I345" t="s">
        <v>57</v>
      </c>
      <c r="J345" s="3" t="str">
        <f>IF(ISNUMBER(SEARCH(",Action,",","&amp;SUBSTITUTE(TableMain[[#This Row],[Tags]],", ",",")&amp;",")),"Y","N")</f>
        <v>N</v>
      </c>
      <c r="K345" s="3" t="str">
        <f>IF(ISNUMBER(SEARCH(",Indie,",","&amp;SUBSTITUTE(TableMain[[#This Row],[Tags]],", ",",")&amp;",")),"Y","N")</f>
        <v>N</v>
      </c>
      <c r="L345" s="3" t="str">
        <f>IF(ISNUMBER(SEARCH(",Adventure,",","&amp;SUBSTITUTE(TableMain[[#This Row],[Tags]],", ",",")&amp;",")),"Y","N")</f>
        <v>N</v>
      </c>
      <c r="M345" s="3" t="str">
        <f>IF(ISNUMBER(SEARCH(",Simulation,",","&amp;SUBSTITUTE(TableMain[[#This Row],[Tags]],", ",",")&amp;",")),"Y","N")</f>
        <v>Y</v>
      </c>
      <c r="N345" s="3" t="str">
        <f>IF(ISNUMBER(SEARCH(",RPG,",","&amp;SUBSTITUTE(TableMain[[#This Row],[Tags]],", ",",")&amp;",")),"Y","N")</f>
        <v>N</v>
      </c>
      <c r="O345" s="3" t="str">
        <f>IF(ISNUMBER(SEARCH(",Strategy,",","&amp;SUBSTITUTE(TableMain[[#This Row],[Tags]],", ",",")&amp;",")),"Y","N")</f>
        <v>N</v>
      </c>
      <c r="P345" s="3" t="str">
        <f>IF(ISNUMBER(SEARCH(",Free To Play,",","&amp;SUBSTITUTE(TableMain[[#This Row],[Tags]],", ",",")&amp;",")),"Y","N")</f>
        <v>N</v>
      </c>
    </row>
    <row r="346" spans="1:16" x14ac:dyDescent="0.35">
      <c r="A346">
        <v>1468260</v>
      </c>
      <c r="B346" t="s">
        <v>869</v>
      </c>
      <c r="C346" s="1">
        <v>44169</v>
      </c>
      <c r="D346">
        <v>1621</v>
      </c>
      <c r="E346" t="b">
        <v>0</v>
      </c>
      <c r="F346" t="s">
        <v>870</v>
      </c>
      <c r="G346" t="s">
        <v>871</v>
      </c>
      <c r="H346">
        <v>346</v>
      </c>
      <c r="I346" t="s">
        <v>14</v>
      </c>
      <c r="J346" s="3" t="str">
        <f>IF(ISNUMBER(SEARCH(",Action,",","&amp;SUBSTITUTE(TableMain[[#This Row],[Tags]],", ",",")&amp;",")),"Y","N")</f>
        <v>N</v>
      </c>
      <c r="K346" s="3" t="str">
        <f>IF(ISNUMBER(SEARCH(",Indie,",","&amp;SUBSTITUTE(TableMain[[#This Row],[Tags]],", ",",")&amp;",")),"Y","N")</f>
        <v>Y</v>
      </c>
      <c r="L346" s="3" t="str">
        <f>IF(ISNUMBER(SEARCH(",Adventure,",","&amp;SUBSTITUTE(TableMain[[#This Row],[Tags]],", ",",")&amp;",")),"Y","N")</f>
        <v>N</v>
      </c>
      <c r="M346" s="3" t="str">
        <f>IF(ISNUMBER(SEARCH(",Simulation,",","&amp;SUBSTITUTE(TableMain[[#This Row],[Tags]],", ",",")&amp;",")),"Y","N")</f>
        <v>N</v>
      </c>
      <c r="N346" s="3" t="str">
        <f>IF(ISNUMBER(SEARCH(",RPG,",","&amp;SUBSTITUTE(TableMain[[#This Row],[Tags]],", ",",")&amp;",")),"Y","N")</f>
        <v>N</v>
      </c>
      <c r="O346" s="3" t="str">
        <f>IF(ISNUMBER(SEARCH(",Strategy,",","&amp;SUBSTITUTE(TableMain[[#This Row],[Tags]],", ",",")&amp;",")),"Y","N")</f>
        <v>N</v>
      </c>
      <c r="P346" s="3" t="str">
        <f>IF(ISNUMBER(SEARCH(",Free To Play,",","&amp;SUBSTITUTE(TableMain[[#This Row],[Tags]],", ",",")&amp;",")),"Y","N")</f>
        <v>Y</v>
      </c>
    </row>
    <row r="347" spans="1:16" x14ac:dyDescent="0.35">
      <c r="A347">
        <v>2142790</v>
      </c>
      <c r="B347" t="s">
        <v>872</v>
      </c>
      <c r="C347" s="1">
        <v>45509</v>
      </c>
      <c r="D347">
        <v>1616</v>
      </c>
      <c r="E347" t="b">
        <v>0</v>
      </c>
      <c r="F347" t="s">
        <v>873</v>
      </c>
      <c r="G347" t="s">
        <v>141</v>
      </c>
      <c r="H347">
        <v>347</v>
      </c>
      <c r="I347" t="s">
        <v>293</v>
      </c>
      <c r="J347" s="3" t="str">
        <f>IF(ISNUMBER(SEARCH(",Action,",","&amp;SUBSTITUTE(TableMain[[#This Row],[Tags]],", ",",")&amp;",")),"Y","N")</f>
        <v>N</v>
      </c>
      <c r="K347" s="3" t="str">
        <f>IF(ISNUMBER(SEARCH(",Indie,",","&amp;SUBSTITUTE(TableMain[[#This Row],[Tags]],", ",",")&amp;",")),"Y","N")</f>
        <v>Y</v>
      </c>
      <c r="L347" s="3" t="str">
        <f>IF(ISNUMBER(SEARCH(",Adventure,",","&amp;SUBSTITUTE(TableMain[[#This Row],[Tags]],", ",",")&amp;",")),"Y","N")</f>
        <v>N</v>
      </c>
      <c r="M347" s="3" t="str">
        <f>IF(ISNUMBER(SEARCH(",Simulation,",","&amp;SUBSTITUTE(TableMain[[#This Row],[Tags]],", ",",")&amp;",")),"Y","N")</f>
        <v>Y</v>
      </c>
      <c r="N347" s="3" t="str">
        <f>IF(ISNUMBER(SEARCH(",RPG,",","&amp;SUBSTITUTE(TableMain[[#This Row],[Tags]],", ",",")&amp;",")),"Y","N")</f>
        <v>Y</v>
      </c>
      <c r="O347" s="3" t="str">
        <f>IF(ISNUMBER(SEARCH(",Strategy,",","&amp;SUBSTITUTE(TableMain[[#This Row],[Tags]],", ",",")&amp;",")),"Y","N")</f>
        <v>N</v>
      </c>
      <c r="P347" s="3" t="str">
        <f>IF(ISNUMBER(SEARCH(",Free To Play,",","&amp;SUBSTITUTE(TableMain[[#This Row],[Tags]],", ",",")&amp;",")),"Y","N")</f>
        <v>N</v>
      </c>
    </row>
    <row r="348" spans="1:16" x14ac:dyDescent="0.35">
      <c r="A348">
        <v>335300</v>
      </c>
      <c r="B348" t="s">
        <v>874</v>
      </c>
      <c r="C348" s="1">
        <v>42095</v>
      </c>
      <c r="D348">
        <v>1612</v>
      </c>
      <c r="E348" t="b">
        <v>0</v>
      </c>
      <c r="F348" t="s">
        <v>875</v>
      </c>
      <c r="G348" t="s">
        <v>24</v>
      </c>
      <c r="H348">
        <v>348</v>
      </c>
      <c r="I348" t="s">
        <v>2091</v>
      </c>
      <c r="J348" s="3" t="str">
        <f>IF(ISNUMBER(SEARCH(",Action,",","&amp;SUBSTITUTE(TableMain[[#This Row],[Tags]],", ",",")&amp;",")),"Y","N")</f>
        <v>Y</v>
      </c>
      <c r="K348" s="3" t="str">
        <f>IF(ISNUMBER(SEARCH(",Indie,",","&amp;SUBSTITUTE(TableMain[[#This Row],[Tags]],", ",",")&amp;",")),"Y","N")</f>
        <v>N</v>
      </c>
      <c r="L348" s="3" t="str">
        <f>IF(ISNUMBER(SEARCH(",Adventure,",","&amp;SUBSTITUTE(TableMain[[#This Row],[Tags]],", ",",")&amp;",")),"Y","N")</f>
        <v>N</v>
      </c>
      <c r="M348" s="3" t="str">
        <f>IF(ISNUMBER(SEARCH(",Simulation,",","&amp;SUBSTITUTE(TableMain[[#This Row],[Tags]],", ",",")&amp;",")),"Y","N")</f>
        <v>N</v>
      </c>
      <c r="N348" s="3" t="str">
        <f>IF(ISNUMBER(SEARCH(",RPG,",","&amp;SUBSTITUTE(TableMain[[#This Row],[Tags]],", ",",")&amp;",")),"Y","N")</f>
        <v>Y</v>
      </c>
      <c r="O348" s="3" t="str">
        <f>IF(ISNUMBER(SEARCH(",Strategy,",","&amp;SUBSTITUTE(TableMain[[#This Row],[Tags]],", ",",")&amp;",")),"Y","N")</f>
        <v>N</v>
      </c>
      <c r="P348" s="3" t="str">
        <f>IF(ISNUMBER(SEARCH(",Free To Play,",","&amp;SUBSTITUTE(TableMain[[#This Row],[Tags]],", ",",")&amp;",")),"Y","N")</f>
        <v>N</v>
      </c>
    </row>
    <row r="349" spans="1:16" x14ac:dyDescent="0.35">
      <c r="A349">
        <v>786520</v>
      </c>
      <c r="B349" t="s">
        <v>876</v>
      </c>
      <c r="C349" s="1">
        <v>43173</v>
      </c>
      <c r="D349">
        <v>1608</v>
      </c>
      <c r="E349" t="b">
        <v>0</v>
      </c>
      <c r="F349" t="s">
        <v>877</v>
      </c>
      <c r="G349" t="s">
        <v>878</v>
      </c>
      <c r="H349">
        <v>349</v>
      </c>
      <c r="I349" t="s">
        <v>14</v>
      </c>
      <c r="J349" s="3" t="str">
        <f>IF(ISNUMBER(SEARCH(",Action,",","&amp;SUBSTITUTE(TableMain[[#This Row],[Tags]],", ",",")&amp;",")),"Y","N")</f>
        <v>N</v>
      </c>
      <c r="K349" s="3" t="str">
        <f>IF(ISNUMBER(SEARCH(",Indie,",","&amp;SUBSTITUTE(TableMain[[#This Row],[Tags]],", ",",")&amp;",")),"Y","N")</f>
        <v>N</v>
      </c>
      <c r="L349" s="3" t="str">
        <f>IF(ISNUMBER(SEARCH(",Adventure,",","&amp;SUBSTITUTE(TableMain[[#This Row],[Tags]],", ",",")&amp;",")),"Y","N")</f>
        <v>N</v>
      </c>
      <c r="M349" s="3" t="str">
        <f>IF(ISNUMBER(SEARCH(",Simulation,",","&amp;SUBSTITUTE(TableMain[[#This Row],[Tags]],", ",",")&amp;",")),"Y","N")</f>
        <v>N</v>
      </c>
      <c r="N349" s="3" t="str">
        <f>IF(ISNUMBER(SEARCH(",RPG,",","&amp;SUBSTITUTE(TableMain[[#This Row],[Tags]],", ",",")&amp;",")),"Y","N")</f>
        <v>N</v>
      </c>
      <c r="O349" s="3" t="str">
        <f>IF(ISNUMBER(SEARCH(",Strategy,",","&amp;SUBSTITUTE(TableMain[[#This Row],[Tags]],", ",",")&amp;",")),"Y","N")</f>
        <v>N</v>
      </c>
      <c r="P349" s="3" t="str">
        <f>IF(ISNUMBER(SEARCH(",Free To Play,",","&amp;SUBSTITUTE(TableMain[[#This Row],[Tags]],", ",",")&amp;",")),"Y","N")</f>
        <v>N</v>
      </c>
    </row>
    <row r="350" spans="1:16" x14ac:dyDescent="0.35">
      <c r="A350">
        <v>1850570</v>
      </c>
      <c r="B350" t="s">
        <v>879</v>
      </c>
      <c r="C350" s="1">
        <v>44650</v>
      </c>
      <c r="D350">
        <v>1604</v>
      </c>
      <c r="E350" t="b">
        <v>0</v>
      </c>
      <c r="F350" t="s">
        <v>880</v>
      </c>
      <c r="G350" t="s">
        <v>46</v>
      </c>
      <c r="H350">
        <v>350</v>
      </c>
      <c r="I350" t="s">
        <v>53</v>
      </c>
      <c r="J350" s="3" t="str">
        <f>IF(ISNUMBER(SEARCH(",Action,",","&amp;SUBSTITUTE(TableMain[[#This Row],[Tags]],", ",",")&amp;",")),"Y","N")</f>
        <v>Y</v>
      </c>
      <c r="K350" s="3" t="str">
        <f>IF(ISNUMBER(SEARCH(",Indie,",","&amp;SUBSTITUTE(TableMain[[#This Row],[Tags]],", ",",")&amp;",")),"Y","N")</f>
        <v>N</v>
      </c>
      <c r="L350" s="3" t="str">
        <f>IF(ISNUMBER(SEARCH(",Adventure,",","&amp;SUBSTITUTE(TableMain[[#This Row],[Tags]],", ",",")&amp;",")),"Y","N")</f>
        <v>Y</v>
      </c>
      <c r="M350" s="3" t="str">
        <f>IF(ISNUMBER(SEARCH(",Simulation,",","&amp;SUBSTITUTE(TableMain[[#This Row],[Tags]],", ",",")&amp;",")),"Y","N")</f>
        <v>N</v>
      </c>
      <c r="N350" s="3" t="str">
        <f>IF(ISNUMBER(SEARCH(",RPG,",","&amp;SUBSTITUTE(TableMain[[#This Row],[Tags]],", ",",")&amp;",")),"Y","N")</f>
        <v>N</v>
      </c>
      <c r="O350" s="3" t="str">
        <f>IF(ISNUMBER(SEARCH(",Strategy,",","&amp;SUBSTITUTE(TableMain[[#This Row],[Tags]],", ",",")&amp;",")),"Y","N")</f>
        <v>N</v>
      </c>
      <c r="P350" s="3" t="str">
        <f>IF(ISNUMBER(SEARCH(",Free To Play,",","&amp;SUBSTITUTE(TableMain[[#This Row],[Tags]],", ",",")&amp;",")),"Y","N")</f>
        <v>N</v>
      </c>
    </row>
    <row r="351" spans="1:16" x14ac:dyDescent="0.35">
      <c r="A351">
        <v>582160</v>
      </c>
      <c r="B351" t="s">
        <v>881</v>
      </c>
      <c r="C351" s="1">
        <v>43034</v>
      </c>
      <c r="D351">
        <v>1604</v>
      </c>
      <c r="E351" t="b">
        <v>0</v>
      </c>
      <c r="F351" t="s">
        <v>882</v>
      </c>
      <c r="G351" t="s">
        <v>208</v>
      </c>
      <c r="H351">
        <v>350</v>
      </c>
      <c r="I351" t="s">
        <v>304</v>
      </c>
      <c r="J351" s="3" t="str">
        <f>IF(ISNUMBER(SEARCH(",Action,",","&amp;SUBSTITUTE(TableMain[[#This Row],[Tags]],", ",",")&amp;",")),"Y","N")</f>
        <v>Y</v>
      </c>
      <c r="K351" s="3" t="str">
        <f>IF(ISNUMBER(SEARCH(",Indie,",","&amp;SUBSTITUTE(TableMain[[#This Row],[Tags]],", ",",")&amp;",")),"Y","N")</f>
        <v>N</v>
      </c>
      <c r="L351" s="3" t="str">
        <f>IF(ISNUMBER(SEARCH(",Adventure,",","&amp;SUBSTITUTE(TableMain[[#This Row],[Tags]],", ",",")&amp;",")),"Y","N")</f>
        <v>Y</v>
      </c>
      <c r="M351" s="3" t="str">
        <f>IF(ISNUMBER(SEARCH(",Simulation,",","&amp;SUBSTITUTE(TableMain[[#This Row],[Tags]],", ",",")&amp;",")),"Y","N")</f>
        <v>N</v>
      </c>
      <c r="N351" s="3" t="str">
        <f>IF(ISNUMBER(SEARCH(",RPG,",","&amp;SUBSTITUTE(TableMain[[#This Row],[Tags]],", ",",")&amp;",")),"Y","N")</f>
        <v>Y</v>
      </c>
      <c r="O351" s="3" t="str">
        <f>IF(ISNUMBER(SEARCH(",Strategy,",","&amp;SUBSTITUTE(TableMain[[#This Row],[Tags]],", ",",")&amp;",")),"Y","N")</f>
        <v>N</v>
      </c>
      <c r="P351" s="3" t="str">
        <f>IF(ISNUMBER(SEARCH(",Free To Play,",","&amp;SUBSTITUTE(TableMain[[#This Row],[Tags]],", ",",")&amp;",")),"Y","N")</f>
        <v>N</v>
      </c>
    </row>
    <row r="352" spans="1:16" x14ac:dyDescent="0.35">
      <c r="A352">
        <v>1259420</v>
      </c>
      <c r="B352" t="s">
        <v>883</v>
      </c>
      <c r="C352" s="1">
        <v>44333</v>
      </c>
      <c r="D352">
        <v>1600</v>
      </c>
      <c r="E352" t="b">
        <v>0</v>
      </c>
      <c r="F352" t="s">
        <v>884</v>
      </c>
      <c r="G352" t="s">
        <v>46</v>
      </c>
      <c r="H352">
        <v>352</v>
      </c>
      <c r="I352" t="s">
        <v>18</v>
      </c>
      <c r="J352" s="3" t="str">
        <f>IF(ISNUMBER(SEARCH(",Action,",","&amp;SUBSTITUTE(TableMain[[#This Row],[Tags]],", ",",")&amp;",")),"Y","N")</f>
        <v>Y</v>
      </c>
      <c r="K352" s="3" t="str">
        <f>IF(ISNUMBER(SEARCH(",Indie,",","&amp;SUBSTITUTE(TableMain[[#This Row],[Tags]],", ",",")&amp;",")),"Y","N")</f>
        <v>N</v>
      </c>
      <c r="L352" s="3" t="str">
        <f>IF(ISNUMBER(SEARCH(",Adventure,",","&amp;SUBSTITUTE(TableMain[[#This Row],[Tags]],", ",",")&amp;",")),"Y","N")</f>
        <v>Y</v>
      </c>
      <c r="M352" s="3" t="str">
        <f>IF(ISNUMBER(SEARCH(",Simulation,",","&amp;SUBSTITUTE(TableMain[[#This Row],[Tags]],", ",",")&amp;",")),"Y","N")</f>
        <v>N</v>
      </c>
      <c r="N352" s="3" t="str">
        <f>IF(ISNUMBER(SEARCH(",RPG,",","&amp;SUBSTITUTE(TableMain[[#This Row],[Tags]],", ",",")&amp;",")),"Y","N")</f>
        <v>N</v>
      </c>
      <c r="O352" s="3" t="str">
        <f>IF(ISNUMBER(SEARCH(",Strategy,",","&amp;SUBSTITUTE(TableMain[[#This Row],[Tags]],", ",",")&amp;",")),"Y","N")</f>
        <v>N</v>
      </c>
      <c r="P352" s="3" t="str">
        <f>IF(ISNUMBER(SEARCH(",Free To Play,",","&amp;SUBSTITUTE(TableMain[[#This Row],[Tags]],", ",",")&amp;",")),"Y","N")</f>
        <v>N</v>
      </c>
    </row>
    <row r="353" spans="1:16" x14ac:dyDescent="0.35">
      <c r="A353">
        <v>2322010</v>
      </c>
      <c r="B353" t="s">
        <v>885</v>
      </c>
      <c r="C353" s="1">
        <v>45554</v>
      </c>
      <c r="D353">
        <v>1591</v>
      </c>
      <c r="E353" t="b">
        <v>0</v>
      </c>
      <c r="F353" t="s">
        <v>886</v>
      </c>
      <c r="G353" t="s">
        <v>208</v>
      </c>
      <c r="H353">
        <v>353</v>
      </c>
      <c r="I353" t="s">
        <v>147</v>
      </c>
      <c r="J353" s="3" t="str">
        <f>IF(ISNUMBER(SEARCH(",Action,",","&amp;SUBSTITUTE(TableMain[[#This Row],[Tags]],", ",",")&amp;",")),"Y","N")</f>
        <v>Y</v>
      </c>
      <c r="K353" s="3" t="str">
        <f>IF(ISNUMBER(SEARCH(",Indie,",","&amp;SUBSTITUTE(TableMain[[#This Row],[Tags]],", ",",")&amp;",")),"Y","N")</f>
        <v>N</v>
      </c>
      <c r="L353" s="3" t="str">
        <f>IF(ISNUMBER(SEARCH(",Adventure,",","&amp;SUBSTITUTE(TableMain[[#This Row],[Tags]],", ",",")&amp;",")),"Y","N")</f>
        <v>Y</v>
      </c>
      <c r="M353" s="3" t="str">
        <f>IF(ISNUMBER(SEARCH(",Simulation,",","&amp;SUBSTITUTE(TableMain[[#This Row],[Tags]],", ",",")&amp;",")),"Y","N")</f>
        <v>N</v>
      </c>
      <c r="N353" s="3" t="str">
        <f>IF(ISNUMBER(SEARCH(",RPG,",","&amp;SUBSTITUTE(TableMain[[#This Row],[Tags]],", ",",")&amp;",")),"Y","N")</f>
        <v>Y</v>
      </c>
      <c r="O353" s="3" t="str">
        <f>IF(ISNUMBER(SEARCH(",Strategy,",","&amp;SUBSTITUTE(TableMain[[#This Row],[Tags]],", ",",")&amp;",")),"Y","N")</f>
        <v>N</v>
      </c>
      <c r="P353" s="3" t="str">
        <f>IF(ISNUMBER(SEARCH(",Free To Play,",","&amp;SUBSTITUTE(TableMain[[#This Row],[Tags]],", ",",")&amp;",")),"Y","N")</f>
        <v>N</v>
      </c>
    </row>
    <row r="354" spans="1:16" x14ac:dyDescent="0.35">
      <c r="A354">
        <v>379720</v>
      </c>
      <c r="B354" t="s">
        <v>887</v>
      </c>
      <c r="C354" s="1">
        <v>42502</v>
      </c>
      <c r="D354">
        <v>1590</v>
      </c>
      <c r="E354" t="b">
        <v>0</v>
      </c>
      <c r="F354" t="s">
        <v>888</v>
      </c>
      <c r="G354" t="s">
        <v>49</v>
      </c>
      <c r="H354">
        <v>354</v>
      </c>
      <c r="I354" t="s">
        <v>33</v>
      </c>
      <c r="J354" s="3" t="str">
        <f>IF(ISNUMBER(SEARCH(",Action,",","&amp;SUBSTITUTE(TableMain[[#This Row],[Tags]],", ",",")&amp;",")),"Y","N")</f>
        <v>Y</v>
      </c>
      <c r="K354" s="3" t="str">
        <f>IF(ISNUMBER(SEARCH(",Indie,",","&amp;SUBSTITUTE(TableMain[[#This Row],[Tags]],", ",",")&amp;",")),"Y","N")</f>
        <v>N</v>
      </c>
      <c r="L354" s="3" t="str">
        <f>IF(ISNUMBER(SEARCH(",Adventure,",","&amp;SUBSTITUTE(TableMain[[#This Row],[Tags]],", ",",")&amp;",")),"Y","N")</f>
        <v>N</v>
      </c>
      <c r="M354" s="3" t="str">
        <f>IF(ISNUMBER(SEARCH(",Simulation,",","&amp;SUBSTITUTE(TableMain[[#This Row],[Tags]],", ",",")&amp;",")),"Y","N")</f>
        <v>N</v>
      </c>
      <c r="N354" s="3" t="str">
        <f>IF(ISNUMBER(SEARCH(",RPG,",","&amp;SUBSTITUTE(TableMain[[#This Row],[Tags]],", ",",")&amp;",")),"Y","N")</f>
        <v>N</v>
      </c>
      <c r="O354" s="3" t="str">
        <f>IF(ISNUMBER(SEARCH(",Strategy,",","&amp;SUBSTITUTE(TableMain[[#This Row],[Tags]],", ",",")&amp;",")),"Y","N")</f>
        <v>N</v>
      </c>
      <c r="P354" s="3" t="str">
        <f>IF(ISNUMBER(SEARCH(",Free To Play,",","&amp;SUBSTITUTE(TableMain[[#This Row],[Tags]],", ",",")&amp;",")),"Y","N")</f>
        <v>N</v>
      </c>
    </row>
    <row r="355" spans="1:16" x14ac:dyDescent="0.35">
      <c r="A355">
        <v>1206560</v>
      </c>
      <c r="B355" t="s">
        <v>889</v>
      </c>
      <c r="C355" s="1">
        <v>44532</v>
      </c>
      <c r="D355">
        <v>1589</v>
      </c>
      <c r="E355" t="b">
        <v>1</v>
      </c>
      <c r="F355" t="s">
        <v>890</v>
      </c>
      <c r="G355" t="s">
        <v>891</v>
      </c>
      <c r="H355">
        <v>355</v>
      </c>
      <c r="I355" t="s">
        <v>14</v>
      </c>
      <c r="J355" s="3" t="str">
        <f>IF(ISNUMBER(SEARCH(",Action,",","&amp;SUBSTITUTE(TableMain[[#This Row],[Tags]],", ",",")&amp;",")),"Y","N")</f>
        <v>N</v>
      </c>
      <c r="K355" s="3" t="str">
        <f>IF(ISNUMBER(SEARCH(",Indie,",","&amp;SUBSTITUTE(TableMain[[#This Row],[Tags]],", ",",")&amp;",")),"Y","N")</f>
        <v>Y</v>
      </c>
      <c r="L355" s="3" t="str">
        <f>IF(ISNUMBER(SEARCH(",Adventure,",","&amp;SUBSTITUTE(TableMain[[#This Row],[Tags]],", ",",")&amp;",")),"Y","N")</f>
        <v>N</v>
      </c>
      <c r="M355" s="3" t="str">
        <f>IF(ISNUMBER(SEARCH(",Simulation,",","&amp;SUBSTITUTE(TableMain[[#This Row],[Tags]],", ",",")&amp;",")),"Y","N")</f>
        <v>Y</v>
      </c>
      <c r="N355" s="3" t="str">
        <f>IF(ISNUMBER(SEARCH(",RPG,",","&amp;SUBSTITUTE(TableMain[[#This Row],[Tags]],", ",",")&amp;",")),"Y","N")</f>
        <v>N</v>
      </c>
      <c r="O355" s="3" t="str">
        <f>IF(ISNUMBER(SEARCH(",Strategy,",","&amp;SUBSTITUTE(TableMain[[#This Row],[Tags]],", ",",")&amp;",")),"Y","N")</f>
        <v>N</v>
      </c>
      <c r="P355" s="3" t="str">
        <f>IF(ISNUMBER(SEARCH(",Free To Play,",","&amp;SUBSTITUTE(TableMain[[#This Row],[Tags]],", ",",")&amp;",")),"Y","N")</f>
        <v>N</v>
      </c>
    </row>
    <row r="356" spans="1:16" x14ac:dyDescent="0.35">
      <c r="A356">
        <v>208650</v>
      </c>
      <c r="B356" t="s">
        <v>892</v>
      </c>
      <c r="C356" s="1">
        <v>42178</v>
      </c>
      <c r="D356">
        <v>1587</v>
      </c>
      <c r="E356" t="b">
        <v>0</v>
      </c>
      <c r="F356" t="s">
        <v>893</v>
      </c>
      <c r="G356" t="s">
        <v>46</v>
      </c>
      <c r="H356">
        <v>356</v>
      </c>
      <c r="I356" t="s">
        <v>2087</v>
      </c>
      <c r="J356" s="3" t="str">
        <f>IF(ISNUMBER(SEARCH(",Action,",","&amp;SUBSTITUTE(TableMain[[#This Row],[Tags]],", ",",")&amp;",")),"Y","N")</f>
        <v>Y</v>
      </c>
      <c r="K356" s="3" t="str">
        <f>IF(ISNUMBER(SEARCH(",Indie,",","&amp;SUBSTITUTE(TableMain[[#This Row],[Tags]],", ",",")&amp;",")),"Y","N")</f>
        <v>N</v>
      </c>
      <c r="L356" s="3" t="str">
        <f>IF(ISNUMBER(SEARCH(",Adventure,",","&amp;SUBSTITUTE(TableMain[[#This Row],[Tags]],", ",",")&amp;",")),"Y","N")</f>
        <v>Y</v>
      </c>
      <c r="M356" s="3" t="str">
        <f>IF(ISNUMBER(SEARCH(",Simulation,",","&amp;SUBSTITUTE(TableMain[[#This Row],[Tags]],", ",",")&amp;",")),"Y","N")</f>
        <v>N</v>
      </c>
      <c r="N356" s="3" t="str">
        <f>IF(ISNUMBER(SEARCH(",RPG,",","&amp;SUBSTITUTE(TableMain[[#This Row],[Tags]],", ",",")&amp;",")),"Y","N")</f>
        <v>N</v>
      </c>
      <c r="O356" s="3" t="str">
        <f>IF(ISNUMBER(SEARCH(",Strategy,",","&amp;SUBSTITUTE(TableMain[[#This Row],[Tags]],", ",",")&amp;",")),"Y","N")</f>
        <v>N</v>
      </c>
      <c r="P356" s="3" t="str">
        <f>IF(ISNUMBER(SEARCH(",Free To Play,",","&amp;SUBSTITUTE(TableMain[[#This Row],[Tags]],", ",",")&amp;",")),"Y","N")</f>
        <v>N</v>
      </c>
    </row>
    <row r="357" spans="1:16" x14ac:dyDescent="0.35">
      <c r="A357">
        <v>1227890</v>
      </c>
      <c r="B357" t="s">
        <v>894</v>
      </c>
      <c r="C357" s="1">
        <v>43996</v>
      </c>
      <c r="D357">
        <v>1585</v>
      </c>
      <c r="E357" t="b">
        <v>0</v>
      </c>
      <c r="F357" t="s">
        <v>895</v>
      </c>
      <c r="G357" t="s">
        <v>896</v>
      </c>
      <c r="H357">
        <v>357</v>
      </c>
      <c r="I357" t="s">
        <v>110</v>
      </c>
      <c r="J357" s="3" t="str">
        <f>IF(ISNUMBER(SEARCH(",Action,",","&amp;SUBSTITUTE(TableMain[[#This Row],[Tags]],", ",",")&amp;",")),"Y","N")</f>
        <v>N</v>
      </c>
      <c r="K357" s="3" t="str">
        <f>IF(ISNUMBER(SEARCH(",Indie,",","&amp;SUBSTITUTE(TableMain[[#This Row],[Tags]],", ",",")&amp;",")),"Y","N")</f>
        <v>N</v>
      </c>
      <c r="L357" s="3" t="str">
        <f>IF(ISNUMBER(SEARCH(",Adventure,",","&amp;SUBSTITUTE(TableMain[[#This Row],[Tags]],", ",",")&amp;",")),"Y","N")</f>
        <v>Y</v>
      </c>
      <c r="M357" s="3" t="str">
        <f>IF(ISNUMBER(SEARCH(",Simulation,",","&amp;SUBSTITUTE(TableMain[[#This Row],[Tags]],", ",",")&amp;",")),"Y","N")</f>
        <v>N</v>
      </c>
      <c r="N357" s="3" t="str">
        <f>IF(ISNUMBER(SEARCH(",RPG,",","&amp;SUBSTITUTE(TableMain[[#This Row],[Tags]],", ",",")&amp;",")),"Y","N")</f>
        <v>Y</v>
      </c>
      <c r="O357" s="3" t="str">
        <f>IF(ISNUMBER(SEARCH(",Strategy,",","&amp;SUBSTITUTE(TableMain[[#This Row],[Tags]],", ",",")&amp;",")),"Y","N")</f>
        <v>N</v>
      </c>
      <c r="P357" s="3" t="str">
        <f>IF(ISNUMBER(SEARCH(",Free To Play,",","&amp;SUBSTITUTE(TableMain[[#This Row],[Tags]],", ",",")&amp;",")),"Y","N")</f>
        <v>N</v>
      </c>
    </row>
    <row r="358" spans="1:16" x14ac:dyDescent="0.35">
      <c r="A358">
        <v>1282100</v>
      </c>
      <c r="B358" t="s">
        <v>897</v>
      </c>
      <c r="C358" s="1">
        <v>45132</v>
      </c>
      <c r="D358">
        <v>1573</v>
      </c>
      <c r="E358" t="b">
        <v>0</v>
      </c>
      <c r="F358" t="s">
        <v>238</v>
      </c>
      <c r="G358" t="s">
        <v>208</v>
      </c>
      <c r="H358">
        <v>358</v>
      </c>
      <c r="I358" t="s">
        <v>36</v>
      </c>
      <c r="J358" s="3" t="str">
        <f>IF(ISNUMBER(SEARCH(",Action,",","&amp;SUBSTITUTE(TableMain[[#This Row],[Tags]],", ",",")&amp;",")),"Y","N")</f>
        <v>Y</v>
      </c>
      <c r="K358" s="3" t="str">
        <f>IF(ISNUMBER(SEARCH(",Indie,",","&amp;SUBSTITUTE(TableMain[[#This Row],[Tags]],", ",",")&amp;",")),"Y","N")</f>
        <v>N</v>
      </c>
      <c r="L358" s="3" t="str">
        <f>IF(ISNUMBER(SEARCH(",Adventure,",","&amp;SUBSTITUTE(TableMain[[#This Row],[Tags]],", ",",")&amp;",")),"Y","N")</f>
        <v>Y</v>
      </c>
      <c r="M358" s="3" t="str">
        <f>IF(ISNUMBER(SEARCH(",Simulation,",","&amp;SUBSTITUTE(TableMain[[#This Row],[Tags]],", ",",")&amp;",")),"Y","N")</f>
        <v>N</v>
      </c>
      <c r="N358" s="3" t="str">
        <f>IF(ISNUMBER(SEARCH(",RPG,",","&amp;SUBSTITUTE(TableMain[[#This Row],[Tags]],", ",",")&amp;",")),"Y","N")</f>
        <v>Y</v>
      </c>
      <c r="O358" s="3" t="str">
        <f>IF(ISNUMBER(SEARCH(",Strategy,",","&amp;SUBSTITUTE(TableMain[[#This Row],[Tags]],", ",",")&amp;",")),"Y","N")</f>
        <v>N</v>
      </c>
      <c r="P358" s="3" t="str">
        <f>IF(ISNUMBER(SEARCH(",Free To Play,",","&amp;SUBSTITUTE(TableMain[[#This Row],[Tags]],", ",",")&amp;",")),"Y","N")</f>
        <v>N</v>
      </c>
    </row>
    <row r="359" spans="1:16" x14ac:dyDescent="0.35">
      <c r="A359">
        <v>2853590</v>
      </c>
      <c r="B359" t="s">
        <v>898</v>
      </c>
      <c r="C359" s="1">
        <v>45810</v>
      </c>
      <c r="D359">
        <v>1571</v>
      </c>
      <c r="E359" t="b">
        <v>0</v>
      </c>
      <c r="F359" t="s">
        <v>654</v>
      </c>
      <c r="G359" t="s">
        <v>335</v>
      </c>
      <c r="H359">
        <v>359</v>
      </c>
      <c r="I359" t="s">
        <v>14</v>
      </c>
      <c r="J359" s="3" t="str">
        <f>IF(ISNUMBER(SEARCH(",Action,",","&amp;SUBSTITUTE(TableMain[[#This Row],[Tags]],", ",",")&amp;",")),"Y","N")</f>
        <v>N</v>
      </c>
      <c r="K359" s="3" t="str">
        <f>IF(ISNUMBER(SEARCH(",Indie,",","&amp;SUBSTITUTE(TableMain[[#This Row],[Tags]],", ",",")&amp;",")),"Y","N")</f>
        <v>Y</v>
      </c>
      <c r="L359" s="3" t="str">
        <f>IF(ISNUMBER(SEARCH(",Adventure,",","&amp;SUBSTITUTE(TableMain[[#This Row],[Tags]],", ",",")&amp;",")),"Y","N")</f>
        <v>Y</v>
      </c>
      <c r="M359" s="3" t="str">
        <f>IF(ISNUMBER(SEARCH(",Simulation,",","&amp;SUBSTITUTE(TableMain[[#This Row],[Tags]],", ",",")&amp;",")),"Y","N")</f>
        <v>Y</v>
      </c>
      <c r="N359" s="3" t="str">
        <f>IF(ISNUMBER(SEARCH(",RPG,",","&amp;SUBSTITUTE(TableMain[[#This Row],[Tags]],", ",",")&amp;",")),"Y","N")</f>
        <v>Y</v>
      </c>
      <c r="O359" s="3" t="str">
        <f>IF(ISNUMBER(SEARCH(",Strategy,",","&amp;SUBSTITUTE(TableMain[[#This Row],[Tags]],", ",",")&amp;",")),"Y","N")</f>
        <v>Y</v>
      </c>
      <c r="P359" s="3" t="str">
        <f>IF(ISNUMBER(SEARCH(",Free To Play,",","&amp;SUBSTITUTE(TableMain[[#This Row],[Tags]],", ",",")&amp;",")),"Y","N")</f>
        <v>N</v>
      </c>
    </row>
    <row r="360" spans="1:16" x14ac:dyDescent="0.35">
      <c r="A360">
        <v>212680</v>
      </c>
      <c r="B360" t="s">
        <v>899</v>
      </c>
      <c r="C360" s="1">
        <v>41166</v>
      </c>
      <c r="D360">
        <v>1566</v>
      </c>
      <c r="E360" t="b">
        <v>1</v>
      </c>
      <c r="F360" t="s">
        <v>900</v>
      </c>
      <c r="G360" t="s">
        <v>160</v>
      </c>
      <c r="H360">
        <v>360</v>
      </c>
      <c r="I360" t="s">
        <v>2084</v>
      </c>
      <c r="J360" s="3" t="str">
        <f>IF(ISNUMBER(SEARCH(",Action,",","&amp;SUBSTITUTE(TableMain[[#This Row],[Tags]],", ",",")&amp;",")),"Y","N")</f>
        <v>N</v>
      </c>
      <c r="K360" s="3" t="str">
        <f>IF(ISNUMBER(SEARCH(",Indie,",","&amp;SUBSTITUTE(TableMain[[#This Row],[Tags]],", ",",")&amp;",")),"Y","N")</f>
        <v>Y</v>
      </c>
      <c r="L360" s="3" t="str">
        <f>IF(ISNUMBER(SEARCH(",Adventure,",","&amp;SUBSTITUTE(TableMain[[#This Row],[Tags]],", ",",")&amp;",")),"Y","N")</f>
        <v>N</v>
      </c>
      <c r="M360" s="3" t="str">
        <f>IF(ISNUMBER(SEARCH(",Simulation,",","&amp;SUBSTITUTE(TableMain[[#This Row],[Tags]],", ",",")&amp;",")),"Y","N")</f>
        <v>Y</v>
      </c>
      <c r="N360" s="3" t="str">
        <f>IF(ISNUMBER(SEARCH(",RPG,",","&amp;SUBSTITUTE(TableMain[[#This Row],[Tags]],", ",",")&amp;",")),"Y","N")</f>
        <v>N</v>
      </c>
      <c r="O360" s="3" t="str">
        <f>IF(ISNUMBER(SEARCH(",Strategy,",","&amp;SUBSTITUTE(TableMain[[#This Row],[Tags]],", ",",")&amp;",")),"Y","N")</f>
        <v>Y</v>
      </c>
      <c r="P360" s="3" t="str">
        <f>IF(ISNUMBER(SEARCH(",Free To Play,",","&amp;SUBSTITUTE(TableMain[[#This Row],[Tags]],", ",",")&amp;",")),"Y","N")</f>
        <v>N</v>
      </c>
    </row>
    <row r="361" spans="1:16" x14ac:dyDescent="0.35">
      <c r="A361">
        <v>1824220</v>
      </c>
      <c r="B361" t="s">
        <v>901</v>
      </c>
      <c r="C361" s="1">
        <v>44724</v>
      </c>
      <c r="D361">
        <v>1565</v>
      </c>
      <c r="E361" t="b">
        <v>0</v>
      </c>
      <c r="F361" t="s">
        <v>902</v>
      </c>
      <c r="G361" t="s">
        <v>378</v>
      </c>
      <c r="H361">
        <v>361</v>
      </c>
      <c r="I361" t="s">
        <v>25</v>
      </c>
      <c r="J361" s="3" t="str">
        <f>IF(ISNUMBER(SEARCH(",Action,",","&amp;SUBSTITUTE(TableMain[[#This Row],[Tags]],", ",",")&amp;",")),"Y","N")</f>
        <v>Y</v>
      </c>
      <c r="K361" s="3" t="str">
        <f>IF(ISNUMBER(SEARCH(",Indie,",","&amp;SUBSTITUTE(TableMain[[#This Row],[Tags]],", ",",")&amp;",")),"Y","N")</f>
        <v>N</v>
      </c>
      <c r="L361" s="3" t="str">
        <f>IF(ISNUMBER(SEARCH(",Adventure,",","&amp;SUBSTITUTE(TableMain[[#This Row],[Tags]],", ",",")&amp;",")),"Y","N")</f>
        <v>N</v>
      </c>
      <c r="M361" s="3" t="str">
        <f>IF(ISNUMBER(SEARCH(",Simulation,",","&amp;SUBSTITUTE(TableMain[[#This Row],[Tags]],", ",",")&amp;",")),"Y","N")</f>
        <v>N</v>
      </c>
      <c r="N361" s="3" t="str">
        <f>IF(ISNUMBER(SEARCH(",RPG,",","&amp;SUBSTITUTE(TableMain[[#This Row],[Tags]],", ",",")&amp;",")),"Y","N")</f>
        <v>N</v>
      </c>
      <c r="O361" s="3" t="str">
        <f>IF(ISNUMBER(SEARCH(",Strategy,",","&amp;SUBSTITUTE(TableMain[[#This Row],[Tags]],", ",",")&amp;",")),"Y","N")</f>
        <v>N</v>
      </c>
      <c r="P361" s="3" t="str">
        <f>IF(ISNUMBER(SEARCH(",Free To Play,",","&amp;SUBSTITUTE(TableMain[[#This Row],[Tags]],", ",",")&amp;",")),"Y","N")</f>
        <v>N</v>
      </c>
    </row>
    <row r="362" spans="1:16" x14ac:dyDescent="0.35">
      <c r="A362">
        <v>1934680</v>
      </c>
      <c r="B362" t="s">
        <v>903</v>
      </c>
      <c r="C362" s="1">
        <v>45539</v>
      </c>
      <c r="D362">
        <v>1559</v>
      </c>
      <c r="E362" t="b">
        <v>0</v>
      </c>
      <c r="F362" t="s">
        <v>904</v>
      </c>
      <c r="G362" t="s">
        <v>124</v>
      </c>
      <c r="H362">
        <v>362</v>
      </c>
      <c r="I362" t="s">
        <v>33</v>
      </c>
      <c r="J362" s="3" t="str">
        <f>IF(ISNUMBER(SEARCH(",Action,",","&amp;SUBSTITUTE(TableMain[[#This Row],[Tags]],", ",",")&amp;",")),"Y","N")</f>
        <v>N</v>
      </c>
      <c r="K362" s="3" t="str">
        <f>IF(ISNUMBER(SEARCH(",Indie,",","&amp;SUBSTITUTE(TableMain[[#This Row],[Tags]],", ",",")&amp;",")),"Y","N")</f>
        <v>N</v>
      </c>
      <c r="L362" s="3" t="str">
        <f>IF(ISNUMBER(SEARCH(",Adventure,",","&amp;SUBSTITUTE(TableMain[[#This Row],[Tags]],", ",",")&amp;",")),"Y","N")</f>
        <v>N</v>
      </c>
      <c r="M362" s="3" t="str">
        <f>IF(ISNUMBER(SEARCH(",Simulation,",","&amp;SUBSTITUTE(TableMain[[#This Row],[Tags]],", ",",")&amp;",")),"Y","N")</f>
        <v>N</v>
      </c>
      <c r="N362" s="3" t="str">
        <f>IF(ISNUMBER(SEARCH(",RPG,",","&amp;SUBSTITUTE(TableMain[[#This Row],[Tags]],", ",",")&amp;",")),"Y","N")</f>
        <v>N</v>
      </c>
      <c r="O362" s="3" t="str">
        <f>IF(ISNUMBER(SEARCH(",Strategy,",","&amp;SUBSTITUTE(TableMain[[#This Row],[Tags]],", ",",")&amp;",")),"Y","N")</f>
        <v>Y</v>
      </c>
      <c r="P362" s="3" t="str">
        <f>IF(ISNUMBER(SEARCH(",Free To Play,",","&amp;SUBSTITUTE(TableMain[[#This Row],[Tags]],", ",",")&amp;",")),"Y","N")</f>
        <v>N</v>
      </c>
    </row>
    <row r="363" spans="1:16" x14ac:dyDescent="0.35">
      <c r="A363">
        <v>220</v>
      </c>
      <c r="B363" t="s">
        <v>905</v>
      </c>
      <c r="C363" s="1">
        <v>38307</v>
      </c>
      <c r="D363">
        <v>1555</v>
      </c>
      <c r="E363" t="b">
        <v>0</v>
      </c>
      <c r="F363" t="s">
        <v>906</v>
      </c>
      <c r="G363" t="s">
        <v>49</v>
      </c>
      <c r="H363">
        <v>363</v>
      </c>
      <c r="I363" t="s">
        <v>2083</v>
      </c>
      <c r="J363" s="3" t="str">
        <f>IF(ISNUMBER(SEARCH(",Action,",","&amp;SUBSTITUTE(TableMain[[#This Row],[Tags]],", ",",")&amp;",")),"Y","N")</f>
        <v>Y</v>
      </c>
      <c r="K363" s="3" t="str">
        <f>IF(ISNUMBER(SEARCH(",Indie,",","&amp;SUBSTITUTE(TableMain[[#This Row],[Tags]],", ",",")&amp;",")),"Y","N")</f>
        <v>N</v>
      </c>
      <c r="L363" s="3" t="str">
        <f>IF(ISNUMBER(SEARCH(",Adventure,",","&amp;SUBSTITUTE(TableMain[[#This Row],[Tags]],", ",",")&amp;",")),"Y","N")</f>
        <v>N</v>
      </c>
      <c r="M363" s="3" t="str">
        <f>IF(ISNUMBER(SEARCH(",Simulation,",","&amp;SUBSTITUTE(TableMain[[#This Row],[Tags]],", ",",")&amp;",")),"Y","N")</f>
        <v>N</v>
      </c>
      <c r="N363" s="3" t="str">
        <f>IF(ISNUMBER(SEARCH(",RPG,",","&amp;SUBSTITUTE(TableMain[[#This Row],[Tags]],", ",",")&amp;",")),"Y","N")</f>
        <v>N</v>
      </c>
      <c r="O363" s="3" t="str">
        <f>IF(ISNUMBER(SEARCH(",Strategy,",","&amp;SUBSTITUTE(TableMain[[#This Row],[Tags]],", ",",")&amp;",")),"Y","N")</f>
        <v>N</v>
      </c>
      <c r="P363" s="3" t="str">
        <f>IF(ISNUMBER(SEARCH(",Free To Play,",","&amp;SUBSTITUTE(TableMain[[#This Row],[Tags]],", ",",")&amp;",")),"Y","N")</f>
        <v>N</v>
      </c>
    </row>
    <row r="364" spans="1:16" x14ac:dyDescent="0.35">
      <c r="A364">
        <v>2617700</v>
      </c>
      <c r="B364" t="s">
        <v>907</v>
      </c>
      <c r="C364" s="1">
        <v>45800</v>
      </c>
      <c r="D364">
        <v>1543</v>
      </c>
      <c r="E364" t="b">
        <v>0</v>
      </c>
      <c r="F364" t="s">
        <v>546</v>
      </c>
      <c r="G364" t="s">
        <v>908</v>
      </c>
      <c r="H364">
        <v>364</v>
      </c>
      <c r="I364" t="s">
        <v>33</v>
      </c>
      <c r="J364" s="3" t="str">
        <f>IF(ISNUMBER(SEARCH(",Action,",","&amp;SUBSTITUTE(TableMain[[#This Row],[Tags]],", ",",")&amp;",")),"Y","N")</f>
        <v>Y</v>
      </c>
      <c r="K364" s="3" t="str">
        <f>IF(ISNUMBER(SEARCH(",Indie,",","&amp;SUBSTITUTE(TableMain[[#This Row],[Tags]],", ",",")&amp;",")),"Y","N")</f>
        <v>Y</v>
      </c>
      <c r="L364" s="3" t="str">
        <f>IF(ISNUMBER(SEARCH(",Adventure,",","&amp;SUBSTITUTE(TableMain[[#This Row],[Tags]],", ",",")&amp;",")),"Y","N")</f>
        <v>Y</v>
      </c>
      <c r="M364" s="3" t="str">
        <f>IF(ISNUMBER(SEARCH(",Simulation,",","&amp;SUBSTITUTE(TableMain[[#This Row],[Tags]],", ",",")&amp;",")),"Y","N")</f>
        <v>Y</v>
      </c>
      <c r="N364" s="3" t="str">
        <f>IF(ISNUMBER(SEARCH(",RPG,",","&amp;SUBSTITUTE(TableMain[[#This Row],[Tags]],", ",",")&amp;",")),"Y","N")</f>
        <v>Y</v>
      </c>
      <c r="O364" s="3" t="str">
        <f>IF(ISNUMBER(SEARCH(",Strategy,",","&amp;SUBSTITUTE(TableMain[[#This Row],[Tags]],", ",",")&amp;",")),"Y","N")</f>
        <v>Y</v>
      </c>
      <c r="P364" s="3" t="str">
        <f>IF(ISNUMBER(SEARCH(",Free To Play,",","&amp;SUBSTITUTE(TableMain[[#This Row],[Tags]],", ",",")&amp;",")),"Y","N")</f>
        <v>N</v>
      </c>
    </row>
    <row r="365" spans="1:16" x14ac:dyDescent="0.35">
      <c r="A365">
        <v>1029690</v>
      </c>
      <c r="B365" t="s">
        <v>909</v>
      </c>
      <c r="C365" s="1">
        <v>44706</v>
      </c>
      <c r="D365">
        <v>1538</v>
      </c>
      <c r="E365" t="b">
        <v>0</v>
      </c>
      <c r="F365" t="s">
        <v>910</v>
      </c>
      <c r="G365" t="s">
        <v>46</v>
      </c>
      <c r="H365">
        <v>365</v>
      </c>
      <c r="I365" t="s">
        <v>36</v>
      </c>
      <c r="J365" s="3" t="str">
        <f>IF(ISNUMBER(SEARCH(",Action,",","&amp;SUBSTITUTE(TableMain[[#This Row],[Tags]],", ",",")&amp;",")),"Y","N")</f>
        <v>Y</v>
      </c>
      <c r="K365" s="3" t="str">
        <f>IF(ISNUMBER(SEARCH(",Indie,",","&amp;SUBSTITUTE(TableMain[[#This Row],[Tags]],", ",",")&amp;",")),"Y","N")</f>
        <v>N</v>
      </c>
      <c r="L365" s="3" t="str">
        <f>IF(ISNUMBER(SEARCH(",Adventure,",","&amp;SUBSTITUTE(TableMain[[#This Row],[Tags]],", ",",")&amp;",")),"Y","N")</f>
        <v>Y</v>
      </c>
      <c r="M365" s="3" t="str">
        <f>IF(ISNUMBER(SEARCH(",Simulation,",","&amp;SUBSTITUTE(TableMain[[#This Row],[Tags]],", ",",")&amp;",")),"Y","N")</f>
        <v>N</v>
      </c>
      <c r="N365" s="3" t="str">
        <f>IF(ISNUMBER(SEARCH(",RPG,",","&amp;SUBSTITUTE(TableMain[[#This Row],[Tags]],", ",",")&amp;",")),"Y","N")</f>
        <v>N</v>
      </c>
      <c r="O365" s="3" t="str">
        <f>IF(ISNUMBER(SEARCH(",Strategy,",","&amp;SUBSTITUTE(TableMain[[#This Row],[Tags]],", ",",")&amp;",")),"Y","N")</f>
        <v>N</v>
      </c>
      <c r="P365" s="3" t="str">
        <f>IF(ISNUMBER(SEARCH(",Free To Play,",","&amp;SUBSTITUTE(TableMain[[#This Row],[Tags]],", ",",")&amp;",")),"Y","N")</f>
        <v>N</v>
      </c>
    </row>
    <row r="366" spans="1:16" x14ac:dyDescent="0.35">
      <c r="A366">
        <v>1313140</v>
      </c>
      <c r="B366" t="s">
        <v>911</v>
      </c>
      <c r="C366" s="1">
        <v>44784</v>
      </c>
      <c r="D366">
        <v>1535</v>
      </c>
      <c r="E366" t="b">
        <v>1</v>
      </c>
      <c r="F366" t="s">
        <v>912</v>
      </c>
      <c r="G366" t="s">
        <v>913</v>
      </c>
      <c r="H366">
        <v>366</v>
      </c>
      <c r="I366" t="s">
        <v>304</v>
      </c>
      <c r="J366" s="3" t="str">
        <f>IF(ISNUMBER(SEARCH(",Action,",","&amp;SUBSTITUTE(TableMain[[#This Row],[Tags]],", ",",")&amp;",")),"Y","N")</f>
        <v>Y</v>
      </c>
      <c r="K366" s="3" t="str">
        <f>IF(ISNUMBER(SEARCH(",Indie,",","&amp;SUBSTITUTE(TableMain[[#This Row],[Tags]],", ",",")&amp;",")),"Y","N")</f>
        <v>Y</v>
      </c>
      <c r="L366" s="3" t="str">
        <f>IF(ISNUMBER(SEARCH(",Adventure,",","&amp;SUBSTITUTE(TableMain[[#This Row],[Tags]],", ",",")&amp;",")),"Y","N")</f>
        <v>Y</v>
      </c>
      <c r="M366" s="3" t="str">
        <f>IF(ISNUMBER(SEARCH(",Simulation,",","&amp;SUBSTITUTE(TableMain[[#This Row],[Tags]],", ",",")&amp;",")),"Y","N")</f>
        <v>N</v>
      </c>
      <c r="N366" s="3" t="str">
        <f>IF(ISNUMBER(SEARCH(",RPG,",","&amp;SUBSTITUTE(TableMain[[#This Row],[Tags]],", ",",")&amp;",")),"Y","N")</f>
        <v>N</v>
      </c>
      <c r="O366" s="3" t="str">
        <f>IF(ISNUMBER(SEARCH(",Strategy,",","&amp;SUBSTITUTE(TableMain[[#This Row],[Tags]],", ",",")&amp;",")),"Y","N")</f>
        <v>Y</v>
      </c>
      <c r="P366" s="3" t="str">
        <f>IF(ISNUMBER(SEARCH(",Free To Play,",","&amp;SUBSTITUTE(TableMain[[#This Row],[Tags]],", ",",")&amp;",")),"Y","N")</f>
        <v>N</v>
      </c>
    </row>
    <row r="367" spans="1:16" x14ac:dyDescent="0.35">
      <c r="A367">
        <v>568220</v>
      </c>
      <c r="B367" t="s">
        <v>914</v>
      </c>
      <c r="C367" s="1">
        <v>43199</v>
      </c>
      <c r="D367">
        <v>1524</v>
      </c>
      <c r="E367" t="b">
        <v>0</v>
      </c>
      <c r="F367" t="s">
        <v>915</v>
      </c>
      <c r="G367" t="s">
        <v>174</v>
      </c>
      <c r="H367">
        <v>367</v>
      </c>
      <c r="I367" t="s">
        <v>14</v>
      </c>
      <c r="J367" s="3" t="str">
        <f>IF(ISNUMBER(SEARCH(",Action,",","&amp;SUBSTITUTE(TableMain[[#This Row],[Tags]],", ",",")&amp;",")),"Y","N")</f>
        <v>N</v>
      </c>
      <c r="K367" s="3" t="str">
        <f>IF(ISNUMBER(SEARCH(",Indie,",","&amp;SUBSTITUTE(TableMain[[#This Row],[Tags]],", ",",")&amp;",")),"Y","N")</f>
        <v>Y</v>
      </c>
      <c r="L367" s="3" t="str">
        <f>IF(ISNUMBER(SEARCH(",Adventure,",","&amp;SUBSTITUTE(TableMain[[#This Row],[Tags]],", ",",")&amp;",")),"Y","N")</f>
        <v>N</v>
      </c>
      <c r="M367" s="3" t="str">
        <f>IF(ISNUMBER(SEARCH(",Simulation,",","&amp;SUBSTITUTE(TableMain[[#This Row],[Tags]],", ",",")&amp;",")),"Y","N")</f>
        <v>Y</v>
      </c>
      <c r="N367" s="3" t="str">
        <f>IF(ISNUMBER(SEARCH(",RPG,",","&amp;SUBSTITUTE(TableMain[[#This Row],[Tags]],", ",",")&amp;",")),"Y","N")</f>
        <v>N</v>
      </c>
      <c r="O367" s="3" t="str">
        <f>IF(ISNUMBER(SEARCH(",Strategy,",","&amp;SUBSTITUTE(TableMain[[#This Row],[Tags]],", ",",")&amp;",")),"Y","N")</f>
        <v>N</v>
      </c>
      <c r="P367" s="3" t="str">
        <f>IF(ISNUMBER(SEARCH(",Free To Play,",","&amp;SUBSTITUTE(TableMain[[#This Row],[Tags]],", ",",")&amp;",")),"Y","N")</f>
        <v>N</v>
      </c>
    </row>
    <row r="368" spans="1:16" x14ac:dyDescent="0.35">
      <c r="A368">
        <v>3014080</v>
      </c>
      <c r="B368" t="s">
        <v>917</v>
      </c>
      <c r="C368" s="1">
        <v>45770</v>
      </c>
      <c r="D368">
        <v>1518</v>
      </c>
      <c r="E368" t="b">
        <v>0</v>
      </c>
      <c r="F368" t="s">
        <v>324</v>
      </c>
      <c r="G368" t="s">
        <v>327</v>
      </c>
      <c r="H368">
        <v>369</v>
      </c>
      <c r="I368" t="s">
        <v>304</v>
      </c>
      <c r="J368" s="3" t="str">
        <f>IF(ISNUMBER(SEARCH(",Action,",","&amp;SUBSTITUTE(TableMain[[#This Row],[Tags]],", ",",")&amp;",")),"Y","N")</f>
        <v>N</v>
      </c>
      <c r="K368" s="3" t="str">
        <f>IF(ISNUMBER(SEARCH(",Indie,",","&amp;SUBSTITUTE(TableMain[[#This Row],[Tags]],", ",",")&amp;",")),"Y","N")</f>
        <v>N</v>
      </c>
      <c r="L368" s="3" t="str">
        <f>IF(ISNUMBER(SEARCH(",Adventure,",","&amp;SUBSTITUTE(TableMain[[#This Row],[Tags]],", ",",")&amp;",")),"Y","N")</f>
        <v>Y</v>
      </c>
      <c r="M368" s="3" t="str">
        <f>IF(ISNUMBER(SEARCH(",Simulation,",","&amp;SUBSTITUTE(TableMain[[#This Row],[Tags]],", ",",")&amp;",")),"Y","N")</f>
        <v>Y</v>
      </c>
      <c r="N368" s="3" t="str">
        <f>IF(ISNUMBER(SEARCH(",RPG,",","&amp;SUBSTITUTE(TableMain[[#This Row],[Tags]],", ",",")&amp;",")),"Y","N")</f>
        <v>N</v>
      </c>
      <c r="O368" s="3" t="str">
        <f>IF(ISNUMBER(SEARCH(",Strategy,",","&amp;SUBSTITUTE(TableMain[[#This Row],[Tags]],", ",",")&amp;",")),"Y","N")</f>
        <v>N</v>
      </c>
      <c r="P368" s="3" t="str">
        <f>IF(ISNUMBER(SEARCH(",Free To Play,",","&amp;SUBSTITUTE(TableMain[[#This Row],[Tags]],", ",",")&amp;",")),"Y","N")</f>
        <v>N</v>
      </c>
    </row>
    <row r="369" spans="1:16" x14ac:dyDescent="0.35">
      <c r="A369">
        <v>471710</v>
      </c>
      <c r="B369" t="s">
        <v>918</v>
      </c>
      <c r="C369" s="1">
        <v>44441</v>
      </c>
      <c r="D369">
        <v>1510</v>
      </c>
      <c r="E369" t="b">
        <v>0</v>
      </c>
      <c r="F369" t="s">
        <v>919</v>
      </c>
      <c r="G369" t="s">
        <v>920</v>
      </c>
      <c r="H369">
        <v>370</v>
      </c>
      <c r="I369" t="s">
        <v>438</v>
      </c>
      <c r="J369" s="3" t="str">
        <f>IF(ISNUMBER(SEARCH(",Action,",","&amp;SUBSTITUTE(TableMain[[#This Row],[Tags]],", ",",")&amp;",")),"Y","N")</f>
        <v>N</v>
      </c>
      <c r="K369" s="3" t="str">
        <f>IF(ISNUMBER(SEARCH(",Indie,",","&amp;SUBSTITUTE(TableMain[[#This Row],[Tags]],", ",",")&amp;",")),"Y","N")</f>
        <v>N</v>
      </c>
      <c r="L369" s="3" t="str">
        <f>IF(ISNUMBER(SEARCH(",Adventure,",","&amp;SUBSTITUTE(TableMain[[#This Row],[Tags]],", ",",")&amp;",")),"Y","N")</f>
        <v>Y</v>
      </c>
      <c r="M369" s="3" t="str">
        <f>IF(ISNUMBER(SEARCH(",Simulation,",","&amp;SUBSTITUTE(TableMain[[#This Row],[Tags]],", ",",")&amp;",")),"Y","N")</f>
        <v>N</v>
      </c>
      <c r="N369" s="3" t="str">
        <f>IF(ISNUMBER(SEARCH(",RPG,",","&amp;SUBSTITUTE(TableMain[[#This Row],[Tags]],", ",",")&amp;",")),"Y","N")</f>
        <v>N</v>
      </c>
      <c r="O369" s="3" t="str">
        <f>IF(ISNUMBER(SEARCH(",Strategy,",","&amp;SUBSTITUTE(TableMain[[#This Row],[Tags]],", ",",")&amp;",")),"Y","N")</f>
        <v>N</v>
      </c>
      <c r="P369" s="3" t="str">
        <f>IF(ISNUMBER(SEARCH(",Free To Play,",","&amp;SUBSTITUTE(TableMain[[#This Row],[Tags]],", ",",")&amp;",")),"Y","N")</f>
        <v>Y</v>
      </c>
    </row>
    <row r="370" spans="1:16" x14ac:dyDescent="0.35">
      <c r="A370">
        <v>1084600</v>
      </c>
      <c r="B370" t="s">
        <v>921</v>
      </c>
      <c r="C370" s="1">
        <v>45232</v>
      </c>
      <c r="D370">
        <v>1501</v>
      </c>
      <c r="E370" t="b">
        <v>0</v>
      </c>
      <c r="F370" t="s">
        <v>238</v>
      </c>
      <c r="G370" t="s">
        <v>695</v>
      </c>
      <c r="H370">
        <v>371</v>
      </c>
      <c r="I370" t="s">
        <v>53</v>
      </c>
      <c r="J370" s="3" t="str">
        <f>IF(ISNUMBER(SEARCH(",Action,",","&amp;SUBSTITUTE(TableMain[[#This Row],[Tags]],", ",",")&amp;",")),"Y","N")</f>
        <v>N</v>
      </c>
      <c r="K370" s="3" t="str">
        <f>IF(ISNUMBER(SEARCH(",Indie,",","&amp;SUBSTITUTE(TableMain[[#This Row],[Tags]],", ",",")&amp;",")),"Y","N")</f>
        <v>Y</v>
      </c>
      <c r="L370" s="3" t="str">
        <f>IF(ISNUMBER(SEARCH(",Adventure,",","&amp;SUBSTITUTE(TableMain[[#This Row],[Tags]],", ",",")&amp;",")),"Y","N")</f>
        <v>Y</v>
      </c>
      <c r="M370" s="3" t="str">
        <f>IF(ISNUMBER(SEARCH(",Simulation,",","&amp;SUBSTITUTE(TableMain[[#This Row],[Tags]],", ",",")&amp;",")),"Y","N")</f>
        <v>Y</v>
      </c>
      <c r="N370" s="3" t="str">
        <f>IF(ISNUMBER(SEARCH(",RPG,",","&amp;SUBSTITUTE(TableMain[[#This Row],[Tags]],", ",",")&amp;",")),"Y","N")</f>
        <v>Y</v>
      </c>
      <c r="O370" s="3" t="str">
        <f>IF(ISNUMBER(SEARCH(",Strategy,",","&amp;SUBSTITUTE(TableMain[[#This Row],[Tags]],", ",",")&amp;",")),"Y","N")</f>
        <v>N</v>
      </c>
      <c r="P370" s="3" t="str">
        <f>IF(ISNUMBER(SEARCH(",Free To Play,",","&amp;SUBSTITUTE(TableMain[[#This Row],[Tags]],", ",",")&amp;",")),"Y","N")</f>
        <v>N</v>
      </c>
    </row>
    <row r="371" spans="1:16" x14ac:dyDescent="0.35">
      <c r="A371">
        <v>246620</v>
      </c>
      <c r="B371" t="s">
        <v>922</v>
      </c>
      <c r="C371" s="1">
        <v>42418</v>
      </c>
      <c r="D371">
        <v>1494</v>
      </c>
      <c r="E371" t="b">
        <v>1</v>
      </c>
      <c r="F371" t="s">
        <v>923</v>
      </c>
      <c r="G371" t="s">
        <v>190</v>
      </c>
      <c r="H371">
        <v>372</v>
      </c>
      <c r="I371" t="s">
        <v>110</v>
      </c>
      <c r="J371" s="3" t="str">
        <f>IF(ISNUMBER(SEARCH(",Action,",","&amp;SUBSTITUTE(TableMain[[#This Row],[Tags]],", ",",")&amp;",")),"Y","N")</f>
        <v>N</v>
      </c>
      <c r="K371" s="3" t="str">
        <f>IF(ISNUMBER(SEARCH(",Indie,",","&amp;SUBSTITUTE(TableMain[[#This Row],[Tags]],", ",",")&amp;",")),"Y","N")</f>
        <v>Y</v>
      </c>
      <c r="L371" s="3" t="str">
        <f>IF(ISNUMBER(SEARCH(",Adventure,",","&amp;SUBSTITUTE(TableMain[[#This Row],[Tags]],", ",",")&amp;",")),"Y","N")</f>
        <v>N</v>
      </c>
      <c r="M371" s="3" t="str">
        <f>IF(ISNUMBER(SEARCH(",Simulation,",","&amp;SUBSTITUTE(TableMain[[#This Row],[Tags]],", ",",")&amp;",")),"Y","N")</f>
        <v>Y</v>
      </c>
      <c r="N371" s="3" t="str">
        <f>IF(ISNUMBER(SEARCH(",RPG,",","&amp;SUBSTITUTE(TableMain[[#This Row],[Tags]],", ",",")&amp;",")),"Y","N")</f>
        <v>N</v>
      </c>
      <c r="O371" s="3" t="str">
        <f>IF(ISNUMBER(SEARCH(",Strategy,",","&amp;SUBSTITUTE(TableMain[[#This Row],[Tags]],", ",",")&amp;",")),"Y","N")</f>
        <v>Y</v>
      </c>
      <c r="P371" s="3" t="str">
        <f>IF(ISNUMBER(SEARCH(",Free To Play,",","&amp;SUBSTITUTE(TableMain[[#This Row],[Tags]],", ",",")&amp;",")),"Y","N")</f>
        <v>N</v>
      </c>
    </row>
    <row r="372" spans="1:16" x14ac:dyDescent="0.35">
      <c r="A372">
        <v>1149460</v>
      </c>
      <c r="B372" t="s">
        <v>924</v>
      </c>
      <c r="C372" s="1">
        <v>44533</v>
      </c>
      <c r="D372">
        <v>1492</v>
      </c>
      <c r="E372" t="b">
        <v>0</v>
      </c>
      <c r="F372" t="s">
        <v>925</v>
      </c>
      <c r="G372" t="s">
        <v>926</v>
      </c>
      <c r="H372">
        <v>373</v>
      </c>
      <c r="I372" t="s">
        <v>113</v>
      </c>
      <c r="J372" s="3" t="str">
        <f>IF(ISNUMBER(SEARCH(",Action,",","&amp;SUBSTITUTE(TableMain[[#This Row],[Tags]],", ",",")&amp;",")),"Y","N")</f>
        <v>Y</v>
      </c>
      <c r="K372" s="3" t="str">
        <f>IF(ISNUMBER(SEARCH(",Indie,",","&amp;SUBSTITUTE(TableMain[[#This Row],[Tags]],", ",",")&amp;",")),"Y","N")</f>
        <v>N</v>
      </c>
      <c r="L372" s="3" t="str">
        <f>IF(ISNUMBER(SEARCH(",Adventure,",","&amp;SUBSTITUTE(TableMain[[#This Row],[Tags]],", ",",")&amp;",")),"Y","N")</f>
        <v>Y</v>
      </c>
      <c r="M372" s="3" t="str">
        <f>IF(ISNUMBER(SEARCH(",Simulation,",","&amp;SUBSTITUTE(TableMain[[#This Row],[Tags]],", ",",")&amp;",")),"Y","N")</f>
        <v>Y</v>
      </c>
      <c r="N372" s="3" t="str">
        <f>IF(ISNUMBER(SEARCH(",RPG,",","&amp;SUBSTITUTE(TableMain[[#This Row],[Tags]],", ",",")&amp;",")),"Y","N")</f>
        <v>N</v>
      </c>
      <c r="O372" s="3" t="str">
        <f>IF(ISNUMBER(SEARCH(",Strategy,",","&amp;SUBSTITUTE(TableMain[[#This Row],[Tags]],", ",",")&amp;",")),"Y","N")</f>
        <v>N</v>
      </c>
      <c r="P372" s="3" t="str">
        <f>IF(ISNUMBER(SEARCH(",Free To Play,",","&amp;SUBSTITUTE(TableMain[[#This Row],[Tags]],", ",",")&amp;",")),"Y","N")</f>
        <v>N</v>
      </c>
    </row>
    <row r="373" spans="1:16" x14ac:dyDescent="0.35">
      <c r="A373">
        <v>2776450</v>
      </c>
      <c r="B373" t="s">
        <v>927</v>
      </c>
      <c r="C373" s="1">
        <v>45884</v>
      </c>
      <c r="D373">
        <v>1492</v>
      </c>
      <c r="E373" t="b">
        <v>0</v>
      </c>
      <c r="F373" t="s">
        <v>681</v>
      </c>
      <c r="G373" t="s">
        <v>851</v>
      </c>
      <c r="H373">
        <v>373</v>
      </c>
      <c r="I373" t="s">
        <v>14</v>
      </c>
      <c r="J373" s="3" t="str">
        <f>IF(ISNUMBER(SEARCH(",Action,",","&amp;SUBSTITUTE(TableMain[[#This Row],[Tags]],", ",",")&amp;",")),"Y","N")</f>
        <v>N</v>
      </c>
      <c r="K373" s="3" t="str">
        <f>IF(ISNUMBER(SEARCH(",Indie,",","&amp;SUBSTITUTE(TableMain[[#This Row],[Tags]],", ",",")&amp;",")),"Y","N")</f>
        <v>Y</v>
      </c>
      <c r="L373" s="3" t="str">
        <f>IF(ISNUMBER(SEARCH(",Adventure,",","&amp;SUBSTITUTE(TableMain[[#This Row],[Tags]],", ",",")&amp;",")),"Y","N")</f>
        <v>Y</v>
      </c>
      <c r="M373" s="3" t="str">
        <f>IF(ISNUMBER(SEARCH(",Simulation,",","&amp;SUBSTITUTE(TableMain[[#This Row],[Tags]],", ",",")&amp;",")),"Y","N")</f>
        <v>Y</v>
      </c>
      <c r="N373" s="3" t="str">
        <f>IF(ISNUMBER(SEARCH(",RPG,",","&amp;SUBSTITUTE(TableMain[[#This Row],[Tags]],", ",",")&amp;",")),"Y","N")</f>
        <v>Y</v>
      </c>
      <c r="O373" s="3" t="str">
        <f>IF(ISNUMBER(SEARCH(",Strategy,",","&amp;SUBSTITUTE(TableMain[[#This Row],[Tags]],", ",",")&amp;",")),"Y","N")</f>
        <v>Y</v>
      </c>
      <c r="P373" s="3" t="str">
        <f>IF(ISNUMBER(SEARCH(",Free To Play,",","&amp;SUBSTITUTE(TableMain[[#This Row],[Tags]],", ",",")&amp;",")),"Y","N")</f>
        <v>N</v>
      </c>
    </row>
    <row r="374" spans="1:16" x14ac:dyDescent="0.35">
      <c r="A374">
        <v>1119730</v>
      </c>
      <c r="B374" t="s">
        <v>928</v>
      </c>
      <c r="C374" s="1">
        <v>45233</v>
      </c>
      <c r="D374">
        <v>1488</v>
      </c>
      <c r="E374" t="b">
        <v>0</v>
      </c>
      <c r="F374" t="s">
        <v>929</v>
      </c>
      <c r="G374" t="s">
        <v>239</v>
      </c>
      <c r="H374">
        <v>375</v>
      </c>
      <c r="I374" t="s">
        <v>18</v>
      </c>
      <c r="J374" s="3" t="str">
        <f>IF(ISNUMBER(SEARCH(",Action,",","&amp;SUBSTITUTE(TableMain[[#This Row],[Tags]],", ",",")&amp;",")),"Y","N")</f>
        <v>N</v>
      </c>
      <c r="K374" s="3" t="str">
        <f>IF(ISNUMBER(SEARCH(",Indie,",","&amp;SUBSTITUTE(TableMain[[#This Row],[Tags]],", ",",")&amp;",")),"Y","N")</f>
        <v>N</v>
      </c>
      <c r="L374" s="3" t="str">
        <f>IF(ISNUMBER(SEARCH(",Adventure,",","&amp;SUBSTITUTE(TableMain[[#This Row],[Tags]],", ",",")&amp;",")),"Y","N")</f>
        <v>N</v>
      </c>
      <c r="M374" s="3" t="str">
        <f>IF(ISNUMBER(SEARCH(",Simulation,",","&amp;SUBSTITUTE(TableMain[[#This Row],[Tags]],", ",",")&amp;",")),"Y","N")</f>
        <v>Y</v>
      </c>
      <c r="N374" s="3" t="str">
        <f>IF(ISNUMBER(SEARCH(",RPG,",","&amp;SUBSTITUTE(TableMain[[#This Row],[Tags]],", ",",")&amp;",")),"Y","N")</f>
        <v>N</v>
      </c>
      <c r="O374" s="3" t="str">
        <f>IF(ISNUMBER(SEARCH(",Strategy,",","&amp;SUBSTITUTE(TableMain[[#This Row],[Tags]],", ",",")&amp;",")),"Y","N")</f>
        <v>N</v>
      </c>
      <c r="P374" s="3" t="str">
        <f>IF(ISNUMBER(SEARCH(",Free To Play,",","&amp;SUBSTITUTE(TableMain[[#This Row],[Tags]],", ",",")&amp;",")),"Y","N")</f>
        <v>N</v>
      </c>
    </row>
    <row r="375" spans="1:16" x14ac:dyDescent="0.35">
      <c r="A375">
        <v>573090</v>
      </c>
      <c r="B375" t="s">
        <v>930</v>
      </c>
      <c r="C375" s="1">
        <v>44091</v>
      </c>
      <c r="D375">
        <v>1488</v>
      </c>
      <c r="E375" t="b">
        <v>1</v>
      </c>
      <c r="F375" t="s">
        <v>931</v>
      </c>
      <c r="G375" t="s">
        <v>239</v>
      </c>
      <c r="H375">
        <v>375</v>
      </c>
      <c r="I375" t="s">
        <v>932</v>
      </c>
      <c r="J375" s="3" t="str">
        <f>IF(ISNUMBER(SEARCH(",Action,",","&amp;SUBSTITUTE(TableMain[[#This Row],[Tags]],", ",",")&amp;",")),"Y","N")</f>
        <v>N</v>
      </c>
      <c r="K375" s="3" t="str">
        <f>IF(ISNUMBER(SEARCH(",Indie,",","&amp;SUBSTITUTE(TableMain[[#This Row],[Tags]],", ",",")&amp;",")),"Y","N")</f>
        <v>N</v>
      </c>
      <c r="L375" s="3" t="str">
        <f>IF(ISNUMBER(SEARCH(",Adventure,",","&amp;SUBSTITUTE(TableMain[[#This Row],[Tags]],", ",",")&amp;",")),"Y","N")</f>
        <v>N</v>
      </c>
      <c r="M375" s="3" t="str">
        <f>IF(ISNUMBER(SEARCH(",Simulation,",","&amp;SUBSTITUTE(TableMain[[#This Row],[Tags]],", ",",")&amp;",")),"Y","N")</f>
        <v>Y</v>
      </c>
      <c r="N375" s="3" t="str">
        <f>IF(ISNUMBER(SEARCH(",RPG,",","&amp;SUBSTITUTE(TableMain[[#This Row],[Tags]],", ",",")&amp;",")),"Y","N")</f>
        <v>N</v>
      </c>
      <c r="O375" s="3" t="str">
        <f>IF(ISNUMBER(SEARCH(",Strategy,",","&amp;SUBSTITUTE(TableMain[[#This Row],[Tags]],", ",",")&amp;",")),"Y","N")</f>
        <v>N</v>
      </c>
      <c r="P375" s="3" t="str">
        <f>IF(ISNUMBER(SEARCH(",Free To Play,",","&amp;SUBSTITUTE(TableMain[[#This Row],[Tags]],", ",",")&amp;",")),"Y","N")</f>
        <v>N</v>
      </c>
    </row>
    <row r="376" spans="1:16" x14ac:dyDescent="0.35">
      <c r="A376">
        <v>805550</v>
      </c>
      <c r="B376" t="s">
        <v>933</v>
      </c>
      <c r="C376" s="1">
        <v>43614</v>
      </c>
      <c r="D376">
        <v>1479</v>
      </c>
      <c r="E376" t="b">
        <v>0</v>
      </c>
      <c r="F376" t="s">
        <v>934</v>
      </c>
      <c r="G376" t="s">
        <v>420</v>
      </c>
      <c r="H376">
        <v>377</v>
      </c>
      <c r="I376" t="s">
        <v>25</v>
      </c>
      <c r="J376" s="3" t="str">
        <f>IF(ISNUMBER(SEARCH(",Action,",","&amp;SUBSTITUTE(TableMain[[#This Row],[Tags]],", ",",")&amp;",")),"Y","N")</f>
        <v>N</v>
      </c>
      <c r="K376" s="3" t="str">
        <f>IF(ISNUMBER(SEARCH(",Indie,",","&amp;SUBSTITUTE(TableMain[[#This Row],[Tags]],", ",",")&amp;",")),"Y","N")</f>
        <v>N</v>
      </c>
      <c r="L376" s="3" t="str">
        <f>IF(ISNUMBER(SEARCH(",Adventure,",","&amp;SUBSTITUTE(TableMain[[#This Row],[Tags]],", ",",")&amp;",")),"Y","N")</f>
        <v>N</v>
      </c>
      <c r="M376" s="3" t="str">
        <f>IF(ISNUMBER(SEARCH(",Simulation,",","&amp;SUBSTITUTE(TableMain[[#This Row],[Tags]],", ",",")&amp;",")),"Y","N")</f>
        <v>Y</v>
      </c>
      <c r="N376" s="3" t="str">
        <f>IF(ISNUMBER(SEARCH(",RPG,",","&amp;SUBSTITUTE(TableMain[[#This Row],[Tags]],", ",",")&amp;",")),"Y","N")</f>
        <v>N</v>
      </c>
      <c r="O376" s="3" t="str">
        <f>IF(ISNUMBER(SEARCH(",Strategy,",","&amp;SUBSTITUTE(TableMain[[#This Row],[Tags]],", ",",")&amp;",")),"Y","N")</f>
        <v>N</v>
      </c>
      <c r="P376" s="3" t="str">
        <f>IF(ISNUMBER(SEARCH(",Free To Play,",","&amp;SUBSTITUTE(TableMain[[#This Row],[Tags]],", ",",")&amp;",")),"Y","N")</f>
        <v>N</v>
      </c>
    </row>
    <row r="377" spans="1:16" x14ac:dyDescent="0.35">
      <c r="A377">
        <v>219740</v>
      </c>
      <c r="B377" t="s">
        <v>935</v>
      </c>
      <c r="C377" s="1">
        <v>41387</v>
      </c>
      <c r="D377">
        <v>1472</v>
      </c>
      <c r="E377" t="b">
        <v>1</v>
      </c>
      <c r="F377" t="s">
        <v>936</v>
      </c>
      <c r="G377" t="s">
        <v>457</v>
      </c>
      <c r="H377">
        <v>378</v>
      </c>
      <c r="I377" t="s">
        <v>2084</v>
      </c>
      <c r="J377" s="3" t="str">
        <f>IF(ISNUMBER(SEARCH(",Action,",","&amp;SUBSTITUTE(TableMain[[#This Row],[Tags]],", ",",")&amp;",")),"Y","N")</f>
        <v>N</v>
      </c>
      <c r="K377" s="3" t="str">
        <f>IF(ISNUMBER(SEARCH(",Indie,",","&amp;SUBSTITUTE(TableMain[[#This Row],[Tags]],", ",",")&amp;",")),"Y","N")</f>
        <v>Y</v>
      </c>
      <c r="L377" s="3" t="str">
        <f>IF(ISNUMBER(SEARCH(",Adventure,",","&amp;SUBSTITUTE(TableMain[[#This Row],[Tags]],", ",",")&amp;",")),"Y","N")</f>
        <v>Y</v>
      </c>
      <c r="M377" s="3" t="str">
        <f>IF(ISNUMBER(SEARCH(",Simulation,",","&amp;SUBSTITUTE(TableMain[[#This Row],[Tags]],", ",",")&amp;",")),"Y","N")</f>
        <v>Y</v>
      </c>
      <c r="N377" s="3" t="str">
        <f>IF(ISNUMBER(SEARCH(",RPG,",","&amp;SUBSTITUTE(TableMain[[#This Row],[Tags]],", ",",")&amp;",")),"Y","N")</f>
        <v>N</v>
      </c>
      <c r="O377" s="3" t="str">
        <f>IF(ISNUMBER(SEARCH(",Strategy,",","&amp;SUBSTITUTE(TableMain[[#This Row],[Tags]],", ",",")&amp;",")),"Y","N")</f>
        <v>N</v>
      </c>
      <c r="P377" s="3" t="str">
        <f>IF(ISNUMBER(SEARCH(",Free To Play,",","&amp;SUBSTITUTE(TableMain[[#This Row],[Tags]],", ",",")&amp;",")),"Y","N")</f>
        <v>N</v>
      </c>
    </row>
    <row r="378" spans="1:16" x14ac:dyDescent="0.35">
      <c r="A378">
        <v>2918150</v>
      </c>
      <c r="B378" t="s">
        <v>937</v>
      </c>
      <c r="C378" s="1">
        <v>45558</v>
      </c>
      <c r="D378">
        <v>1469</v>
      </c>
      <c r="E378" t="b">
        <v>0</v>
      </c>
      <c r="F378" t="s">
        <v>938</v>
      </c>
      <c r="G378" t="s">
        <v>10</v>
      </c>
      <c r="H378">
        <v>379</v>
      </c>
      <c r="I378" t="s">
        <v>304</v>
      </c>
      <c r="J378" s="3" t="str">
        <f>IF(ISNUMBER(SEARCH(",Action,",","&amp;SUBSTITUTE(TableMain[[#This Row],[Tags]],", ",",")&amp;",")),"Y","N")</f>
        <v>Y</v>
      </c>
      <c r="K378" s="3" t="str">
        <f>IF(ISNUMBER(SEARCH(",Indie,",","&amp;SUBSTITUTE(TableMain[[#This Row],[Tags]],", ",",")&amp;",")),"Y","N")</f>
        <v>N</v>
      </c>
      <c r="L378" s="3" t="str">
        <f>IF(ISNUMBER(SEARCH(",Adventure,",","&amp;SUBSTITUTE(TableMain[[#This Row],[Tags]],", ",",")&amp;",")),"Y","N")</f>
        <v>N</v>
      </c>
      <c r="M378" s="3" t="str">
        <f>IF(ISNUMBER(SEARCH(",Simulation,",","&amp;SUBSTITUTE(TableMain[[#This Row],[Tags]],", ",",")&amp;",")),"Y","N")</f>
        <v>N</v>
      </c>
      <c r="N378" s="3" t="str">
        <f>IF(ISNUMBER(SEARCH(",RPG,",","&amp;SUBSTITUTE(TableMain[[#This Row],[Tags]],", ",",")&amp;",")),"Y","N")</f>
        <v>N</v>
      </c>
      <c r="O378" s="3" t="str">
        <f>IF(ISNUMBER(SEARCH(",Strategy,",","&amp;SUBSTITUTE(TableMain[[#This Row],[Tags]],", ",",")&amp;",")),"Y","N")</f>
        <v>N</v>
      </c>
      <c r="P378" s="3" t="str">
        <f>IF(ISNUMBER(SEARCH(",Free To Play,",","&amp;SUBSTITUTE(TableMain[[#This Row],[Tags]],", ",",")&amp;",")),"Y","N")</f>
        <v>Y</v>
      </c>
    </row>
    <row r="379" spans="1:16" x14ac:dyDescent="0.35">
      <c r="A379">
        <v>594570</v>
      </c>
      <c r="B379" t="s">
        <v>939</v>
      </c>
      <c r="C379" s="1">
        <v>43006</v>
      </c>
      <c r="D379">
        <v>1464</v>
      </c>
      <c r="E379" t="b">
        <v>1</v>
      </c>
      <c r="F379" t="s">
        <v>940</v>
      </c>
      <c r="G379" t="s">
        <v>183</v>
      </c>
      <c r="H379">
        <v>380</v>
      </c>
      <c r="I379" t="s">
        <v>133</v>
      </c>
      <c r="J379" s="3" t="str">
        <f>IF(ISNUMBER(SEARCH(",Action,",","&amp;SUBSTITUTE(TableMain[[#This Row],[Tags]],", ",",")&amp;",")),"Y","N")</f>
        <v>Y</v>
      </c>
      <c r="K379" s="3" t="str">
        <f>IF(ISNUMBER(SEARCH(",Indie,",","&amp;SUBSTITUTE(TableMain[[#This Row],[Tags]],", ",",")&amp;",")),"Y","N")</f>
        <v>N</v>
      </c>
      <c r="L379" s="3" t="str">
        <f>IF(ISNUMBER(SEARCH(",Adventure,",","&amp;SUBSTITUTE(TableMain[[#This Row],[Tags]],", ",",")&amp;",")),"Y","N")</f>
        <v>N</v>
      </c>
      <c r="M379" s="3" t="str">
        <f>IF(ISNUMBER(SEARCH(",Simulation,",","&amp;SUBSTITUTE(TableMain[[#This Row],[Tags]],", ",",")&amp;",")),"Y","N")</f>
        <v>N</v>
      </c>
      <c r="N379" s="3" t="str">
        <f>IF(ISNUMBER(SEARCH(",RPG,",","&amp;SUBSTITUTE(TableMain[[#This Row],[Tags]],", ",",")&amp;",")),"Y","N")</f>
        <v>N</v>
      </c>
      <c r="O379" s="3" t="str">
        <f>IF(ISNUMBER(SEARCH(",Strategy,",","&amp;SUBSTITUTE(TableMain[[#This Row],[Tags]],", ",",")&amp;",")),"Y","N")</f>
        <v>Y</v>
      </c>
      <c r="P379" s="3" t="str">
        <f>IF(ISNUMBER(SEARCH(",Free To Play,",","&amp;SUBSTITUTE(TableMain[[#This Row],[Tags]],", ",",")&amp;",")),"Y","N")</f>
        <v>N</v>
      </c>
    </row>
    <row r="380" spans="1:16" x14ac:dyDescent="0.35">
      <c r="A380">
        <v>72850</v>
      </c>
      <c r="B380" t="s">
        <v>941</v>
      </c>
      <c r="C380" s="1">
        <v>40857</v>
      </c>
      <c r="D380">
        <v>1463</v>
      </c>
      <c r="E380" t="b">
        <v>0</v>
      </c>
      <c r="F380" t="s">
        <v>942</v>
      </c>
      <c r="G380" t="s">
        <v>132</v>
      </c>
      <c r="H380">
        <v>381</v>
      </c>
      <c r="I380" t="s">
        <v>2082</v>
      </c>
      <c r="J380" s="3" t="str">
        <f>IF(ISNUMBER(SEARCH(",Action,",","&amp;SUBSTITUTE(TableMain[[#This Row],[Tags]],", ",",")&amp;",")),"Y","N")</f>
        <v>N</v>
      </c>
      <c r="K380" s="3" t="str">
        <f>IF(ISNUMBER(SEARCH(",Indie,",","&amp;SUBSTITUTE(TableMain[[#This Row],[Tags]],", ",",")&amp;",")),"Y","N")</f>
        <v>N</v>
      </c>
      <c r="L380" s="3" t="str">
        <f>IF(ISNUMBER(SEARCH(",Adventure,",","&amp;SUBSTITUTE(TableMain[[#This Row],[Tags]],", ",",")&amp;",")),"Y","N")</f>
        <v>N</v>
      </c>
      <c r="M380" s="3" t="str">
        <f>IF(ISNUMBER(SEARCH(",Simulation,",","&amp;SUBSTITUTE(TableMain[[#This Row],[Tags]],", ",",")&amp;",")),"Y","N")</f>
        <v>N</v>
      </c>
      <c r="N380" s="3" t="str">
        <f>IF(ISNUMBER(SEARCH(",RPG,",","&amp;SUBSTITUTE(TableMain[[#This Row],[Tags]],", ",",")&amp;",")),"Y","N")</f>
        <v>Y</v>
      </c>
      <c r="O380" s="3" t="str">
        <f>IF(ISNUMBER(SEARCH(",Strategy,",","&amp;SUBSTITUTE(TableMain[[#This Row],[Tags]],", ",",")&amp;",")),"Y","N")</f>
        <v>N</v>
      </c>
      <c r="P380" s="3" t="str">
        <f>IF(ISNUMBER(SEARCH(",Free To Play,",","&amp;SUBSTITUTE(TableMain[[#This Row],[Tags]],", ",",")&amp;",")),"Y","N")</f>
        <v>N</v>
      </c>
    </row>
    <row r="381" spans="1:16" x14ac:dyDescent="0.35">
      <c r="A381">
        <v>427410</v>
      </c>
      <c r="B381" t="s">
        <v>943</v>
      </c>
      <c r="C381" s="1">
        <v>45860</v>
      </c>
      <c r="D381">
        <v>1458</v>
      </c>
      <c r="E381" t="b">
        <v>0</v>
      </c>
      <c r="F381" t="s">
        <v>944</v>
      </c>
      <c r="G381" t="s">
        <v>945</v>
      </c>
      <c r="H381">
        <v>382</v>
      </c>
      <c r="I381" t="s">
        <v>405</v>
      </c>
      <c r="J381" s="3" t="str">
        <f>IF(ISNUMBER(SEARCH(",Action,",","&amp;SUBSTITUTE(TableMain[[#This Row],[Tags]],", ",",")&amp;",")),"Y","N")</f>
        <v>Y</v>
      </c>
      <c r="K381" s="3" t="str">
        <f>IF(ISNUMBER(SEARCH(",Indie,",","&amp;SUBSTITUTE(TableMain[[#This Row],[Tags]],", ",",")&amp;",")),"Y","N")</f>
        <v>N</v>
      </c>
      <c r="L381" s="3" t="str">
        <f>IF(ISNUMBER(SEARCH(",Adventure,",","&amp;SUBSTITUTE(TableMain[[#This Row],[Tags]],", ",",")&amp;",")),"Y","N")</f>
        <v>Y</v>
      </c>
      <c r="M381" s="3" t="str">
        <f>IF(ISNUMBER(SEARCH(",Simulation,",","&amp;SUBSTITUTE(TableMain[[#This Row],[Tags]],", ",",")&amp;",")),"Y","N")</f>
        <v>Y</v>
      </c>
      <c r="N381" s="3" t="str">
        <f>IF(ISNUMBER(SEARCH(",RPG,",","&amp;SUBSTITUTE(TableMain[[#This Row],[Tags]],", ",",")&amp;",")),"Y","N")</f>
        <v>Y</v>
      </c>
      <c r="O381" s="3" t="str">
        <f>IF(ISNUMBER(SEARCH(",Strategy,",","&amp;SUBSTITUTE(TableMain[[#This Row],[Tags]],", ",",")&amp;",")),"Y","N")</f>
        <v>N</v>
      </c>
      <c r="P381" s="3" t="str">
        <f>IF(ISNUMBER(SEARCH(",Free To Play,",","&amp;SUBSTITUTE(TableMain[[#This Row],[Tags]],", ",",")&amp;",")),"Y","N")</f>
        <v>N</v>
      </c>
    </row>
    <row r="382" spans="1:16" x14ac:dyDescent="0.35">
      <c r="A382">
        <v>637090</v>
      </c>
      <c r="B382" t="s">
        <v>946</v>
      </c>
      <c r="C382" s="1">
        <v>43214</v>
      </c>
      <c r="D382">
        <v>1446</v>
      </c>
      <c r="E382" t="b">
        <v>1</v>
      </c>
      <c r="F382" t="s">
        <v>947</v>
      </c>
      <c r="G382" t="s">
        <v>948</v>
      </c>
      <c r="H382">
        <v>383</v>
      </c>
      <c r="I382" t="s">
        <v>133</v>
      </c>
      <c r="J382" s="3" t="str">
        <f>IF(ISNUMBER(SEARCH(",Action,",","&amp;SUBSTITUTE(TableMain[[#This Row],[Tags]],", ",",")&amp;",")),"Y","N")</f>
        <v>Y</v>
      </c>
      <c r="K382" s="3" t="str">
        <f>IF(ISNUMBER(SEARCH(",Indie,",","&amp;SUBSTITUTE(TableMain[[#This Row],[Tags]],", ",",")&amp;",")),"Y","N")</f>
        <v>N</v>
      </c>
      <c r="L382" s="3" t="str">
        <f>IF(ISNUMBER(SEARCH(",Adventure,",","&amp;SUBSTITUTE(TableMain[[#This Row],[Tags]],", ",",")&amp;",")),"Y","N")</f>
        <v>Y</v>
      </c>
      <c r="M382" s="3" t="str">
        <f>IF(ISNUMBER(SEARCH(",Simulation,",","&amp;SUBSTITUTE(TableMain[[#This Row],[Tags]],", ",",")&amp;",")),"Y","N")</f>
        <v>N</v>
      </c>
      <c r="N382" s="3" t="str">
        <f>IF(ISNUMBER(SEARCH(",RPG,",","&amp;SUBSTITUTE(TableMain[[#This Row],[Tags]],", ",",")&amp;",")),"Y","N")</f>
        <v>N</v>
      </c>
      <c r="O382" s="3" t="str">
        <f>IF(ISNUMBER(SEARCH(",Strategy,",","&amp;SUBSTITUTE(TableMain[[#This Row],[Tags]],", ",",")&amp;",")),"Y","N")</f>
        <v>Y</v>
      </c>
      <c r="P382" s="3" t="str">
        <f>IF(ISNUMBER(SEARCH(",Free To Play,",","&amp;SUBSTITUTE(TableMain[[#This Row],[Tags]],", ",",")&amp;",")),"Y","N")</f>
        <v>N</v>
      </c>
    </row>
    <row r="383" spans="1:16" x14ac:dyDescent="0.35">
      <c r="A383">
        <v>460930</v>
      </c>
      <c r="B383" t="s">
        <v>949</v>
      </c>
      <c r="C383" s="1">
        <v>42800</v>
      </c>
      <c r="D383">
        <v>1441</v>
      </c>
      <c r="E383" t="b">
        <v>0</v>
      </c>
      <c r="F383" t="s">
        <v>950</v>
      </c>
      <c r="G383" t="s">
        <v>46</v>
      </c>
      <c r="H383">
        <v>384</v>
      </c>
      <c r="I383" t="s">
        <v>33</v>
      </c>
      <c r="J383" s="3" t="str">
        <f>IF(ISNUMBER(SEARCH(",Action,",","&amp;SUBSTITUTE(TableMain[[#This Row],[Tags]],", ",",")&amp;",")),"Y","N")</f>
        <v>Y</v>
      </c>
      <c r="K383" s="3" t="str">
        <f>IF(ISNUMBER(SEARCH(",Indie,",","&amp;SUBSTITUTE(TableMain[[#This Row],[Tags]],", ",",")&amp;",")),"Y","N")</f>
        <v>N</v>
      </c>
      <c r="L383" s="3" t="str">
        <f>IF(ISNUMBER(SEARCH(",Adventure,",","&amp;SUBSTITUTE(TableMain[[#This Row],[Tags]],", ",",")&amp;",")),"Y","N")</f>
        <v>Y</v>
      </c>
      <c r="M383" s="3" t="str">
        <f>IF(ISNUMBER(SEARCH(",Simulation,",","&amp;SUBSTITUTE(TableMain[[#This Row],[Tags]],", ",",")&amp;",")),"Y","N")</f>
        <v>N</v>
      </c>
      <c r="N383" s="3" t="str">
        <f>IF(ISNUMBER(SEARCH(",RPG,",","&amp;SUBSTITUTE(TableMain[[#This Row],[Tags]],", ",",")&amp;",")),"Y","N")</f>
        <v>N</v>
      </c>
      <c r="O383" s="3" t="str">
        <f>IF(ISNUMBER(SEARCH(",Strategy,",","&amp;SUBSTITUTE(TableMain[[#This Row],[Tags]],", ",",")&amp;",")),"Y","N")</f>
        <v>N</v>
      </c>
      <c r="P383" s="3" t="str">
        <f>IF(ISNUMBER(SEARCH(",Free To Play,",","&amp;SUBSTITUTE(TableMain[[#This Row],[Tags]],", ",",")&amp;",")),"Y","N")</f>
        <v>N</v>
      </c>
    </row>
    <row r="384" spans="1:16" x14ac:dyDescent="0.35">
      <c r="A384">
        <v>1325200</v>
      </c>
      <c r="B384" t="s">
        <v>951</v>
      </c>
      <c r="C384" s="1">
        <v>44232</v>
      </c>
      <c r="D384">
        <v>1441</v>
      </c>
      <c r="E384" t="b">
        <v>0</v>
      </c>
      <c r="F384" t="s">
        <v>952</v>
      </c>
      <c r="G384" t="s">
        <v>24</v>
      </c>
      <c r="H384">
        <v>384</v>
      </c>
      <c r="I384" t="s">
        <v>171</v>
      </c>
      <c r="J384" s="3" t="str">
        <f>IF(ISNUMBER(SEARCH(",Action,",","&amp;SUBSTITUTE(TableMain[[#This Row],[Tags]],", ",",")&amp;",")),"Y","N")</f>
        <v>Y</v>
      </c>
      <c r="K384" s="3" t="str">
        <f>IF(ISNUMBER(SEARCH(",Indie,",","&amp;SUBSTITUTE(TableMain[[#This Row],[Tags]],", ",",")&amp;",")),"Y","N")</f>
        <v>N</v>
      </c>
      <c r="L384" s="3" t="str">
        <f>IF(ISNUMBER(SEARCH(",Adventure,",","&amp;SUBSTITUTE(TableMain[[#This Row],[Tags]],", ",",")&amp;",")),"Y","N")</f>
        <v>N</v>
      </c>
      <c r="M384" s="3" t="str">
        <f>IF(ISNUMBER(SEARCH(",Simulation,",","&amp;SUBSTITUTE(TableMain[[#This Row],[Tags]],", ",",")&amp;",")),"Y","N")</f>
        <v>N</v>
      </c>
      <c r="N384" s="3" t="str">
        <f>IF(ISNUMBER(SEARCH(",RPG,",","&amp;SUBSTITUTE(TableMain[[#This Row],[Tags]],", ",",")&amp;",")),"Y","N")</f>
        <v>Y</v>
      </c>
      <c r="O384" s="3" t="str">
        <f>IF(ISNUMBER(SEARCH(",Strategy,",","&amp;SUBSTITUTE(TableMain[[#This Row],[Tags]],", ",",")&amp;",")),"Y","N")</f>
        <v>N</v>
      </c>
      <c r="P384" s="3" t="str">
        <f>IF(ISNUMBER(SEARCH(",Free To Play,",","&amp;SUBSTITUTE(TableMain[[#This Row],[Tags]],", ",",")&amp;",")),"Y","N")</f>
        <v>N</v>
      </c>
    </row>
    <row r="385" spans="1:16" x14ac:dyDescent="0.35">
      <c r="A385">
        <v>2231380</v>
      </c>
      <c r="B385" t="s">
        <v>953</v>
      </c>
      <c r="C385" s="1">
        <v>44949</v>
      </c>
      <c r="D385">
        <v>1430</v>
      </c>
      <c r="E385" t="b">
        <v>0</v>
      </c>
      <c r="F385" t="s">
        <v>954</v>
      </c>
      <c r="G385" t="s">
        <v>46</v>
      </c>
      <c r="H385">
        <v>386</v>
      </c>
      <c r="I385" t="s">
        <v>293</v>
      </c>
      <c r="J385" s="3" t="str">
        <f>IF(ISNUMBER(SEARCH(",Action,",","&amp;SUBSTITUTE(TableMain[[#This Row],[Tags]],", ",",")&amp;",")),"Y","N")</f>
        <v>Y</v>
      </c>
      <c r="K385" s="3" t="str">
        <f>IF(ISNUMBER(SEARCH(",Indie,",","&amp;SUBSTITUTE(TableMain[[#This Row],[Tags]],", ",",")&amp;",")),"Y","N")</f>
        <v>N</v>
      </c>
      <c r="L385" s="3" t="str">
        <f>IF(ISNUMBER(SEARCH(",Adventure,",","&amp;SUBSTITUTE(TableMain[[#This Row],[Tags]],", ",",")&amp;",")),"Y","N")</f>
        <v>Y</v>
      </c>
      <c r="M385" s="3" t="str">
        <f>IF(ISNUMBER(SEARCH(",Simulation,",","&amp;SUBSTITUTE(TableMain[[#This Row],[Tags]],", ",",")&amp;",")),"Y","N")</f>
        <v>N</v>
      </c>
      <c r="N385" s="3" t="str">
        <f>IF(ISNUMBER(SEARCH(",RPG,",","&amp;SUBSTITUTE(TableMain[[#This Row],[Tags]],", ",",")&amp;",")),"Y","N")</f>
        <v>N</v>
      </c>
      <c r="O385" s="3" t="str">
        <f>IF(ISNUMBER(SEARCH(",Strategy,",","&amp;SUBSTITUTE(TableMain[[#This Row],[Tags]],", ",",")&amp;",")),"Y","N")</f>
        <v>N</v>
      </c>
      <c r="P385" s="3" t="str">
        <f>IF(ISNUMBER(SEARCH(",Free To Play,",","&amp;SUBSTITUTE(TableMain[[#This Row],[Tags]],", ",",")&amp;",")),"Y","N")</f>
        <v>N</v>
      </c>
    </row>
    <row r="386" spans="1:16" x14ac:dyDescent="0.35">
      <c r="A386">
        <v>1217060</v>
      </c>
      <c r="B386" t="s">
        <v>955</v>
      </c>
      <c r="C386" s="1">
        <v>44517</v>
      </c>
      <c r="D386">
        <v>1428</v>
      </c>
      <c r="E386" t="b">
        <v>0</v>
      </c>
      <c r="F386" t="s">
        <v>956</v>
      </c>
      <c r="G386" t="s">
        <v>138</v>
      </c>
      <c r="H386">
        <v>387</v>
      </c>
      <c r="I386" t="s">
        <v>53</v>
      </c>
      <c r="J386" s="3" t="str">
        <f>IF(ISNUMBER(SEARCH(",Action,",","&amp;SUBSTITUTE(TableMain[[#This Row],[Tags]],", ",",")&amp;",")),"Y","N")</f>
        <v>Y</v>
      </c>
      <c r="K386" s="3" t="str">
        <f>IF(ISNUMBER(SEARCH(",Indie,",","&amp;SUBSTITUTE(TableMain[[#This Row],[Tags]],", ",",")&amp;",")),"Y","N")</f>
        <v>Y</v>
      </c>
      <c r="L386" s="3" t="str">
        <f>IF(ISNUMBER(SEARCH(",Adventure,",","&amp;SUBSTITUTE(TableMain[[#This Row],[Tags]],", ",",")&amp;",")),"Y","N")</f>
        <v>Y</v>
      </c>
      <c r="M386" s="3" t="str">
        <f>IF(ISNUMBER(SEARCH(",Simulation,",","&amp;SUBSTITUTE(TableMain[[#This Row],[Tags]],", ",",")&amp;",")),"Y","N")</f>
        <v>N</v>
      </c>
      <c r="N386" s="3" t="str">
        <f>IF(ISNUMBER(SEARCH(",RPG,",","&amp;SUBSTITUTE(TableMain[[#This Row],[Tags]],", ",",")&amp;",")),"Y","N")</f>
        <v>Y</v>
      </c>
      <c r="O386" s="3" t="str">
        <f>IF(ISNUMBER(SEARCH(",Strategy,",","&amp;SUBSTITUTE(TableMain[[#This Row],[Tags]],", ",",")&amp;",")),"Y","N")</f>
        <v>N</v>
      </c>
      <c r="P386" s="3" t="str">
        <f>IF(ISNUMBER(SEARCH(",Free To Play,",","&amp;SUBSTITUTE(TableMain[[#This Row],[Tags]],", ",",")&amp;",")),"Y","N")</f>
        <v>N</v>
      </c>
    </row>
    <row r="387" spans="1:16" x14ac:dyDescent="0.35">
      <c r="A387">
        <v>3226530</v>
      </c>
      <c r="B387" t="s">
        <v>957</v>
      </c>
      <c r="C387" s="1">
        <v>45784</v>
      </c>
      <c r="D387">
        <v>1427</v>
      </c>
      <c r="E387" t="b">
        <v>0</v>
      </c>
      <c r="F387" t="s">
        <v>681</v>
      </c>
      <c r="G387" t="s">
        <v>124</v>
      </c>
      <c r="H387">
        <v>388</v>
      </c>
      <c r="I387" t="s">
        <v>958</v>
      </c>
      <c r="J387" s="3" t="str">
        <f>IF(ISNUMBER(SEARCH(",Action,",","&amp;SUBSTITUTE(TableMain[[#This Row],[Tags]],", ",",")&amp;",")),"Y","N")</f>
        <v>N</v>
      </c>
      <c r="K387" s="3" t="str">
        <f>IF(ISNUMBER(SEARCH(",Indie,",","&amp;SUBSTITUTE(TableMain[[#This Row],[Tags]],", ",",")&amp;",")),"Y","N")</f>
        <v>N</v>
      </c>
      <c r="L387" s="3" t="str">
        <f>IF(ISNUMBER(SEARCH(",Adventure,",","&amp;SUBSTITUTE(TableMain[[#This Row],[Tags]],", ",",")&amp;",")),"Y","N")</f>
        <v>N</v>
      </c>
      <c r="M387" s="3" t="str">
        <f>IF(ISNUMBER(SEARCH(",Simulation,",","&amp;SUBSTITUTE(TableMain[[#This Row],[Tags]],", ",",")&amp;",")),"Y","N")</f>
        <v>N</v>
      </c>
      <c r="N387" s="3" t="str">
        <f>IF(ISNUMBER(SEARCH(",RPG,",","&amp;SUBSTITUTE(TableMain[[#This Row],[Tags]],", ",",")&amp;",")),"Y","N")</f>
        <v>N</v>
      </c>
      <c r="O387" s="3" t="str">
        <f>IF(ISNUMBER(SEARCH(",Strategy,",","&amp;SUBSTITUTE(TableMain[[#This Row],[Tags]],", ",",")&amp;",")),"Y","N")</f>
        <v>Y</v>
      </c>
      <c r="P387" s="3" t="str">
        <f>IF(ISNUMBER(SEARCH(",Free To Play,",","&amp;SUBSTITUTE(TableMain[[#This Row],[Tags]],", ",",")&amp;",")),"Y","N")</f>
        <v>N</v>
      </c>
    </row>
    <row r="388" spans="1:16" x14ac:dyDescent="0.35">
      <c r="A388">
        <v>325610</v>
      </c>
      <c r="B388" t="s">
        <v>959</v>
      </c>
      <c r="C388" s="1">
        <v>42052</v>
      </c>
      <c r="D388">
        <v>1422</v>
      </c>
      <c r="E388" t="b">
        <v>0</v>
      </c>
      <c r="F388" t="s">
        <v>960</v>
      </c>
      <c r="G388" t="s">
        <v>124</v>
      </c>
      <c r="H388">
        <v>389</v>
      </c>
      <c r="I388" t="s">
        <v>2091</v>
      </c>
      <c r="J388" s="3" t="str">
        <f>IF(ISNUMBER(SEARCH(",Action,",","&amp;SUBSTITUTE(TableMain[[#This Row],[Tags]],", ",",")&amp;",")),"Y","N")</f>
        <v>N</v>
      </c>
      <c r="K388" s="3" t="str">
        <f>IF(ISNUMBER(SEARCH(",Indie,",","&amp;SUBSTITUTE(TableMain[[#This Row],[Tags]],", ",",")&amp;",")),"Y","N")</f>
        <v>N</v>
      </c>
      <c r="L388" s="3" t="str">
        <f>IF(ISNUMBER(SEARCH(",Adventure,",","&amp;SUBSTITUTE(TableMain[[#This Row],[Tags]],", ",",")&amp;",")),"Y","N")</f>
        <v>N</v>
      </c>
      <c r="M388" s="3" t="str">
        <f>IF(ISNUMBER(SEARCH(",Simulation,",","&amp;SUBSTITUTE(TableMain[[#This Row],[Tags]],", ",",")&amp;",")),"Y","N")</f>
        <v>N</v>
      </c>
      <c r="N388" s="3" t="str">
        <f>IF(ISNUMBER(SEARCH(",RPG,",","&amp;SUBSTITUTE(TableMain[[#This Row],[Tags]],", ",",")&amp;",")),"Y","N")</f>
        <v>N</v>
      </c>
      <c r="O388" s="3" t="str">
        <f>IF(ISNUMBER(SEARCH(",Strategy,",","&amp;SUBSTITUTE(TableMain[[#This Row],[Tags]],", ",",")&amp;",")),"Y","N")</f>
        <v>Y</v>
      </c>
      <c r="P388" s="3" t="str">
        <f>IF(ISNUMBER(SEARCH(",Free To Play,",","&amp;SUBSTITUTE(TableMain[[#This Row],[Tags]],", ",",")&amp;",")),"Y","N")</f>
        <v>N</v>
      </c>
    </row>
    <row r="389" spans="1:16" x14ac:dyDescent="0.35">
      <c r="A389">
        <v>389430</v>
      </c>
      <c r="B389" t="s">
        <v>961</v>
      </c>
      <c r="C389" s="1">
        <v>42394</v>
      </c>
      <c r="D389">
        <v>1421</v>
      </c>
      <c r="E389" t="b">
        <v>0</v>
      </c>
      <c r="F389" t="s">
        <v>962</v>
      </c>
      <c r="G389" t="s">
        <v>963</v>
      </c>
      <c r="H389">
        <v>390</v>
      </c>
      <c r="I389" t="s">
        <v>110</v>
      </c>
      <c r="J389" s="3" t="str">
        <f>IF(ISNUMBER(SEARCH(",Action,",","&amp;SUBSTITUTE(TableMain[[#This Row],[Tags]],", ",",")&amp;",")),"Y","N")</f>
        <v>Y</v>
      </c>
      <c r="K389" s="3" t="str">
        <f>IF(ISNUMBER(SEARCH(",Indie,",","&amp;SUBSTITUTE(TableMain[[#This Row],[Tags]],", ",",")&amp;",")),"Y","N")</f>
        <v>N</v>
      </c>
      <c r="L389" s="3" t="str">
        <f>IF(ISNUMBER(SEARCH(",Adventure,",","&amp;SUBSTITUTE(TableMain[[#This Row],[Tags]],", ",",")&amp;",")),"Y","N")</f>
        <v>Y</v>
      </c>
      <c r="M389" s="3" t="str">
        <f>IF(ISNUMBER(SEARCH(",Simulation,",","&amp;SUBSTITUTE(TableMain[[#This Row],[Tags]],", ",",")&amp;",")),"Y","N")</f>
        <v>N</v>
      </c>
      <c r="N389" s="3" t="str">
        <f>IF(ISNUMBER(SEARCH(",RPG,",","&amp;SUBSTITUTE(TableMain[[#This Row],[Tags]],", ",",")&amp;",")),"Y","N")</f>
        <v>Y</v>
      </c>
      <c r="O389" s="3" t="str">
        <f>IF(ISNUMBER(SEARCH(",Strategy,",","&amp;SUBSTITUTE(TableMain[[#This Row],[Tags]],", ",",")&amp;",")),"Y","N")</f>
        <v>N</v>
      </c>
      <c r="P389" s="3" t="str">
        <f>IF(ISNUMBER(SEARCH(",Free To Play,",","&amp;SUBSTITUTE(TableMain[[#This Row],[Tags]],", ",",")&amp;",")),"Y","N")</f>
        <v>Y</v>
      </c>
    </row>
    <row r="390" spans="1:16" x14ac:dyDescent="0.35">
      <c r="A390">
        <v>1881610</v>
      </c>
      <c r="B390" t="s">
        <v>964</v>
      </c>
      <c r="C390" s="1">
        <v>45535</v>
      </c>
      <c r="D390">
        <v>1416</v>
      </c>
      <c r="E390" t="b">
        <v>0</v>
      </c>
      <c r="F390" t="s">
        <v>965</v>
      </c>
      <c r="G390" t="s">
        <v>966</v>
      </c>
      <c r="H390">
        <v>391</v>
      </c>
      <c r="I390" t="s">
        <v>967</v>
      </c>
      <c r="J390" s="3" t="str">
        <f>IF(ISNUMBER(SEARCH(",Action,",","&amp;SUBSTITUTE(TableMain[[#This Row],[Tags]],", ",",")&amp;",")),"Y","N")</f>
        <v>Y</v>
      </c>
      <c r="K390" s="3" t="str">
        <f>IF(ISNUMBER(SEARCH(",Indie,",","&amp;SUBSTITUTE(TableMain[[#This Row],[Tags]],", ",",")&amp;",")),"Y","N")</f>
        <v>Y</v>
      </c>
      <c r="L390" s="3" t="str">
        <f>IF(ISNUMBER(SEARCH(",Adventure,",","&amp;SUBSTITUTE(TableMain[[#This Row],[Tags]],", ",",")&amp;",")),"Y","N")</f>
        <v>Y</v>
      </c>
      <c r="M390" s="3" t="str">
        <f>IF(ISNUMBER(SEARCH(",Simulation,",","&amp;SUBSTITUTE(TableMain[[#This Row],[Tags]],", ",",")&amp;",")),"Y","N")</f>
        <v>N</v>
      </c>
      <c r="N390" s="3" t="str">
        <f>IF(ISNUMBER(SEARCH(",RPG,",","&amp;SUBSTITUTE(TableMain[[#This Row],[Tags]],", ",",")&amp;",")),"Y","N")</f>
        <v>N</v>
      </c>
      <c r="O390" s="3" t="str">
        <f>IF(ISNUMBER(SEARCH(",Strategy,",","&amp;SUBSTITUTE(TableMain[[#This Row],[Tags]],", ",",")&amp;",")),"Y","N")</f>
        <v>N</v>
      </c>
      <c r="P390" s="3" t="str">
        <f>IF(ISNUMBER(SEARCH(",Free To Play,",","&amp;SUBSTITUTE(TableMain[[#This Row],[Tags]],", ",",")&amp;",")),"Y","N")</f>
        <v>Y</v>
      </c>
    </row>
    <row r="391" spans="1:16" x14ac:dyDescent="0.35">
      <c r="A391">
        <v>1244460</v>
      </c>
      <c r="B391" t="s">
        <v>968</v>
      </c>
      <c r="C391" s="1">
        <v>44509</v>
      </c>
      <c r="D391">
        <v>1413</v>
      </c>
      <c r="E391" t="b">
        <v>0</v>
      </c>
      <c r="F391" t="s">
        <v>969</v>
      </c>
      <c r="G391" t="s">
        <v>100</v>
      </c>
      <c r="H391">
        <v>392</v>
      </c>
      <c r="I391" t="s">
        <v>25</v>
      </c>
      <c r="J391" s="3" t="str">
        <f>IF(ISNUMBER(SEARCH(",Action,",","&amp;SUBSTITUTE(TableMain[[#This Row],[Tags]],", ",",")&amp;",")),"Y","N")</f>
        <v>N</v>
      </c>
      <c r="K391" s="3" t="str">
        <f>IF(ISNUMBER(SEARCH(",Indie,",","&amp;SUBSTITUTE(TableMain[[#This Row],[Tags]],", ",",")&amp;",")),"Y","N")</f>
        <v>N</v>
      </c>
      <c r="L391" s="3" t="str">
        <f>IF(ISNUMBER(SEARCH(",Adventure,",","&amp;SUBSTITUTE(TableMain[[#This Row],[Tags]],", ",",")&amp;",")),"Y","N")</f>
        <v>N</v>
      </c>
      <c r="M391" s="3" t="str">
        <f>IF(ISNUMBER(SEARCH(",Simulation,",","&amp;SUBSTITUTE(TableMain[[#This Row],[Tags]],", ",",")&amp;",")),"Y","N")</f>
        <v>Y</v>
      </c>
      <c r="N391" s="3" t="str">
        <f>IF(ISNUMBER(SEARCH(",RPG,",","&amp;SUBSTITUTE(TableMain[[#This Row],[Tags]],", ",",")&amp;",")),"Y","N")</f>
        <v>N</v>
      </c>
      <c r="O391" s="3" t="str">
        <f>IF(ISNUMBER(SEARCH(",Strategy,",","&amp;SUBSTITUTE(TableMain[[#This Row],[Tags]],", ",",")&amp;",")),"Y","N")</f>
        <v>Y</v>
      </c>
      <c r="P391" s="3" t="str">
        <f>IF(ISNUMBER(SEARCH(",Free To Play,",","&amp;SUBSTITUTE(TableMain[[#This Row],[Tags]],", ",",")&amp;",")),"Y","N")</f>
        <v>N</v>
      </c>
    </row>
    <row r="392" spans="1:16" x14ac:dyDescent="0.35">
      <c r="A392">
        <v>356190</v>
      </c>
      <c r="B392" t="s">
        <v>970</v>
      </c>
      <c r="C392" s="1">
        <v>43017</v>
      </c>
      <c r="D392">
        <v>1405</v>
      </c>
      <c r="E392" t="b">
        <v>0</v>
      </c>
      <c r="F392" t="s">
        <v>971</v>
      </c>
      <c r="G392" t="s">
        <v>208</v>
      </c>
      <c r="H392">
        <v>393</v>
      </c>
      <c r="I392" t="s">
        <v>293</v>
      </c>
      <c r="J392" s="3" t="str">
        <f>IF(ISNUMBER(SEARCH(",Action,",","&amp;SUBSTITUTE(TableMain[[#This Row],[Tags]],", ",",")&amp;",")),"Y","N")</f>
        <v>Y</v>
      </c>
      <c r="K392" s="3" t="str">
        <f>IF(ISNUMBER(SEARCH(",Indie,",","&amp;SUBSTITUTE(TableMain[[#This Row],[Tags]],", ",",")&amp;",")),"Y","N")</f>
        <v>N</v>
      </c>
      <c r="L392" s="3" t="str">
        <f>IF(ISNUMBER(SEARCH(",Adventure,",","&amp;SUBSTITUTE(TableMain[[#This Row],[Tags]],", ",",")&amp;",")),"Y","N")</f>
        <v>Y</v>
      </c>
      <c r="M392" s="3" t="str">
        <f>IF(ISNUMBER(SEARCH(",Simulation,",","&amp;SUBSTITUTE(TableMain[[#This Row],[Tags]],", ",",")&amp;",")),"Y","N")</f>
        <v>N</v>
      </c>
      <c r="N392" s="3" t="str">
        <f>IF(ISNUMBER(SEARCH(",RPG,",","&amp;SUBSTITUTE(TableMain[[#This Row],[Tags]],", ",",")&amp;",")),"Y","N")</f>
        <v>Y</v>
      </c>
      <c r="O392" s="3" t="str">
        <f>IF(ISNUMBER(SEARCH(",Strategy,",","&amp;SUBSTITUTE(TableMain[[#This Row],[Tags]],", ",",")&amp;",")),"Y","N")</f>
        <v>N</v>
      </c>
      <c r="P392" s="3" t="str">
        <f>IF(ISNUMBER(SEARCH(",Free To Play,",","&amp;SUBSTITUTE(TableMain[[#This Row],[Tags]],", ",",")&amp;",")),"Y","N")</f>
        <v>N</v>
      </c>
    </row>
    <row r="393" spans="1:16" x14ac:dyDescent="0.35">
      <c r="A393">
        <v>1056640</v>
      </c>
      <c r="B393" t="s">
        <v>972</v>
      </c>
      <c r="C393" s="1">
        <v>44048</v>
      </c>
      <c r="D393">
        <v>1400</v>
      </c>
      <c r="E393" t="b">
        <v>0</v>
      </c>
      <c r="F393" t="s">
        <v>973</v>
      </c>
      <c r="G393" t="s">
        <v>974</v>
      </c>
      <c r="H393">
        <v>394</v>
      </c>
      <c r="I393" t="s">
        <v>276</v>
      </c>
      <c r="J393" s="3" t="str">
        <f>IF(ISNUMBER(SEARCH(",Action,",","&amp;SUBSTITUTE(TableMain[[#This Row],[Tags]],", ",",")&amp;",")),"Y","N")</f>
        <v>Y</v>
      </c>
      <c r="K393" s="3" t="str">
        <f>IF(ISNUMBER(SEARCH(",Indie,",","&amp;SUBSTITUTE(TableMain[[#This Row],[Tags]],", ",",")&amp;",")),"Y","N")</f>
        <v>N</v>
      </c>
      <c r="L393" s="3" t="str">
        <f>IF(ISNUMBER(SEARCH(",Adventure,",","&amp;SUBSTITUTE(TableMain[[#This Row],[Tags]],", ",",")&amp;",")),"Y","N")</f>
        <v>N</v>
      </c>
      <c r="M393" s="3" t="str">
        <f>IF(ISNUMBER(SEARCH(",Simulation,",","&amp;SUBSTITUTE(TableMain[[#This Row],[Tags]],", ",",")&amp;",")),"Y","N")</f>
        <v>N</v>
      </c>
      <c r="N393" s="3" t="str">
        <f>IF(ISNUMBER(SEARCH(",RPG,",","&amp;SUBSTITUTE(TableMain[[#This Row],[Tags]],", ",",")&amp;",")),"Y","N")</f>
        <v>Y</v>
      </c>
      <c r="O393" s="3" t="str">
        <f>IF(ISNUMBER(SEARCH(",Strategy,",","&amp;SUBSTITUTE(TableMain[[#This Row],[Tags]],", ",",")&amp;",")),"Y","N")</f>
        <v>N</v>
      </c>
      <c r="P393" s="3" t="str">
        <f>IF(ISNUMBER(SEARCH(",Free To Play,",","&amp;SUBSTITUTE(TableMain[[#This Row],[Tags]],", ",",")&amp;",")),"Y","N")</f>
        <v>Y</v>
      </c>
    </row>
    <row r="394" spans="1:16" x14ac:dyDescent="0.35">
      <c r="A394">
        <v>8800</v>
      </c>
      <c r="B394" t="s">
        <v>975</v>
      </c>
      <c r="C394" s="1">
        <v>39287</v>
      </c>
      <c r="D394">
        <v>1395</v>
      </c>
      <c r="E394" t="b">
        <v>1</v>
      </c>
      <c r="F394" t="s">
        <v>915</v>
      </c>
      <c r="G394" t="s">
        <v>124</v>
      </c>
      <c r="H394">
        <v>395</v>
      </c>
      <c r="I394" t="s">
        <v>2084</v>
      </c>
      <c r="J394" s="3" t="str">
        <f>IF(ISNUMBER(SEARCH(",Action,",","&amp;SUBSTITUTE(TableMain[[#This Row],[Tags]],", ",",")&amp;",")),"Y","N")</f>
        <v>N</v>
      </c>
      <c r="K394" s="3" t="str">
        <f>IF(ISNUMBER(SEARCH(",Indie,",","&amp;SUBSTITUTE(TableMain[[#This Row],[Tags]],", ",",")&amp;",")),"Y","N")</f>
        <v>N</v>
      </c>
      <c r="L394" s="3" t="str">
        <f>IF(ISNUMBER(SEARCH(",Adventure,",","&amp;SUBSTITUTE(TableMain[[#This Row],[Tags]],", ",",")&amp;",")),"Y","N")</f>
        <v>N</v>
      </c>
      <c r="M394" s="3" t="str">
        <f>IF(ISNUMBER(SEARCH(",Simulation,",","&amp;SUBSTITUTE(TableMain[[#This Row],[Tags]],", ",",")&amp;",")),"Y","N")</f>
        <v>N</v>
      </c>
      <c r="N394" s="3" t="str">
        <f>IF(ISNUMBER(SEARCH(",RPG,",","&amp;SUBSTITUTE(TableMain[[#This Row],[Tags]],", ",",")&amp;",")),"Y","N")</f>
        <v>N</v>
      </c>
      <c r="O394" s="3" t="str">
        <f>IF(ISNUMBER(SEARCH(",Strategy,",","&amp;SUBSTITUTE(TableMain[[#This Row],[Tags]],", ",",")&amp;",")),"Y","N")</f>
        <v>Y</v>
      </c>
      <c r="P394" s="3" t="str">
        <f>IF(ISNUMBER(SEARCH(",Free To Play,",","&amp;SUBSTITUTE(TableMain[[#This Row],[Tags]],", ",",")&amp;",")),"Y","N")</f>
        <v>N</v>
      </c>
    </row>
    <row r="395" spans="1:16" x14ac:dyDescent="0.35">
      <c r="A395">
        <v>1449560</v>
      </c>
      <c r="B395" t="s">
        <v>976</v>
      </c>
      <c r="C395" s="1">
        <v>43875</v>
      </c>
      <c r="D395">
        <v>1391</v>
      </c>
      <c r="E395" t="b">
        <v>1</v>
      </c>
      <c r="F395" t="s">
        <v>445</v>
      </c>
      <c r="G395" t="s">
        <v>49</v>
      </c>
      <c r="H395">
        <v>396</v>
      </c>
      <c r="I395" t="s">
        <v>25</v>
      </c>
      <c r="J395" s="3" t="str">
        <f>IF(ISNUMBER(SEARCH(",Action,",","&amp;SUBSTITUTE(TableMain[[#This Row],[Tags]],", ",",")&amp;",")),"Y","N")</f>
        <v>Y</v>
      </c>
      <c r="K395" s="3" t="str">
        <f>IF(ISNUMBER(SEARCH(",Indie,",","&amp;SUBSTITUTE(TableMain[[#This Row],[Tags]],", ",",")&amp;",")),"Y","N")</f>
        <v>N</v>
      </c>
      <c r="L395" s="3" t="str">
        <f>IF(ISNUMBER(SEARCH(",Adventure,",","&amp;SUBSTITUTE(TableMain[[#This Row],[Tags]],", ",",")&amp;",")),"Y","N")</f>
        <v>N</v>
      </c>
      <c r="M395" s="3" t="str">
        <f>IF(ISNUMBER(SEARCH(",Simulation,",","&amp;SUBSTITUTE(TableMain[[#This Row],[Tags]],", ",",")&amp;",")),"Y","N")</f>
        <v>N</v>
      </c>
      <c r="N395" s="3" t="str">
        <f>IF(ISNUMBER(SEARCH(",RPG,",","&amp;SUBSTITUTE(TableMain[[#This Row],[Tags]],", ",",")&amp;",")),"Y","N")</f>
        <v>N</v>
      </c>
      <c r="O395" s="3" t="str">
        <f>IF(ISNUMBER(SEARCH(",Strategy,",","&amp;SUBSTITUTE(TableMain[[#This Row],[Tags]],", ",",")&amp;",")),"Y","N")</f>
        <v>N</v>
      </c>
      <c r="P395" s="3" t="str">
        <f>IF(ISNUMBER(SEARCH(",Free To Play,",","&amp;SUBSTITUTE(TableMain[[#This Row],[Tags]],", ",",")&amp;",")),"Y","N")</f>
        <v>N</v>
      </c>
    </row>
    <row r="396" spans="1:16" x14ac:dyDescent="0.35">
      <c r="A396">
        <v>438040</v>
      </c>
      <c r="B396" t="s">
        <v>977</v>
      </c>
      <c r="C396" s="1">
        <v>42424</v>
      </c>
      <c r="D396">
        <v>1389</v>
      </c>
      <c r="E396" t="b">
        <v>1</v>
      </c>
      <c r="F396" t="s">
        <v>978</v>
      </c>
      <c r="G396" t="s">
        <v>979</v>
      </c>
      <c r="H396">
        <v>397</v>
      </c>
      <c r="I396" t="s">
        <v>110</v>
      </c>
      <c r="J396" s="3" t="str">
        <f>IF(ISNUMBER(SEARCH(",Action,",","&amp;SUBSTITUTE(TableMain[[#This Row],[Tags]],", ",",")&amp;",")),"Y","N")</f>
        <v>N</v>
      </c>
      <c r="K396" s="3" t="str">
        <f>IF(ISNUMBER(SEARCH(",Indie,",","&amp;SUBSTITUTE(TableMain[[#This Row],[Tags]],", ",",")&amp;",")),"Y","N")</f>
        <v>Y</v>
      </c>
      <c r="L396" s="3" t="str">
        <f>IF(ISNUMBER(SEARCH(",Adventure,",","&amp;SUBSTITUTE(TableMain[[#This Row],[Tags]],", ",",")&amp;",")),"Y","N")</f>
        <v>Y</v>
      </c>
      <c r="M396" s="3" t="str">
        <f>IF(ISNUMBER(SEARCH(",Simulation,",","&amp;SUBSTITUTE(TableMain[[#This Row],[Tags]],", ",",")&amp;",")),"Y","N")</f>
        <v>N</v>
      </c>
      <c r="N396" s="3" t="str">
        <f>IF(ISNUMBER(SEARCH(",RPG,",","&amp;SUBSTITUTE(TableMain[[#This Row],[Tags]],", ",",")&amp;",")),"Y","N")</f>
        <v>Y</v>
      </c>
      <c r="O396" s="3" t="str">
        <f>IF(ISNUMBER(SEARCH(",Strategy,",","&amp;SUBSTITUTE(TableMain[[#This Row],[Tags]],", ",",")&amp;",")),"Y","N")</f>
        <v>Y</v>
      </c>
      <c r="P396" s="3" t="str">
        <f>IF(ISNUMBER(SEARCH(",Free To Play,",","&amp;SUBSTITUTE(TableMain[[#This Row],[Tags]],", ",",")&amp;",")),"Y","N")</f>
        <v>Y</v>
      </c>
    </row>
    <row r="397" spans="1:16" x14ac:dyDescent="0.35">
      <c r="A397">
        <v>1222680</v>
      </c>
      <c r="B397" t="s">
        <v>980</v>
      </c>
      <c r="C397" s="1">
        <v>43986</v>
      </c>
      <c r="D397">
        <v>1385</v>
      </c>
      <c r="E397" t="b">
        <v>0</v>
      </c>
      <c r="F397" t="s">
        <v>981</v>
      </c>
      <c r="G397" t="s">
        <v>982</v>
      </c>
      <c r="H397">
        <v>398</v>
      </c>
      <c r="I397" t="s">
        <v>293</v>
      </c>
      <c r="J397" s="3" t="str">
        <f>IF(ISNUMBER(SEARCH(",Action,",","&amp;SUBSTITUTE(TableMain[[#This Row],[Tags]],", ",",")&amp;",")),"Y","N")</f>
        <v>Y</v>
      </c>
      <c r="K397" s="3" t="str">
        <f>IF(ISNUMBER(SEARCH(",Indie,",","&amp;SUBSTITUTE(TableMain[[#This Row],[Tags]],", ",",")&amp;",")),"Y","N")</f>
        <v>N</v>
      </c>
      <c r="L397" s="3" t="str">
        <f>IF(ISNUMBER(SEARCH(",Adventure,",","&amp;SUBSTITUTE(TableMain[[#This Row],[Tags]],", ",",")&amp;",")),"Y","N")</f>
        <v>Y</v>
      </c>
      <c r="M397" s="3" t="str">
        <f>IF(ISNUMBER(SEARCH(",Simulation,",","&amp;SUBSTITUTE(TableMain[[#This Row],[Tags]],", ",",")&amp;",")),"Y","N")</f>
        <v>N</v>
      </c>
      <c r="N397" s="3" t="str">
        <f>IF(ISNUMBER(SEARCH(",RPG,",","&amp;SUBSTITUTE(TableMain[[#This Row],[Tags]],", ",",")&amp;",")),"Y","N")</f>
        <v>N</v>
      </c>
      <c r="O397" s="3" t="str">
        <f>IF(ISNUMBER(SEARCH(",Strategy,",","&amp;SUBSTITUTE(TableMain[[#This Row],[Tags]],", ",",")&amp;",")),"Y","N")</f>
        <v>N</v>
      </c>
      <c r="P397" s="3" t="str">
        <f>IF(ISNUMBER(SEARCH(",Free To Play,",","&amp;SUBSTITUTE(TableMain[[#This Row],[Tags]],", ",",")&amp;",")),"Y","N")</f>
        <v>N</v>
      </c>
    </row>
    <row r="398" spans="1:16" x14ac:dyDescent="0.35">
      <c r="A398">
        <v>3910</v>
      </c>
      <c r="B398" t="s">
        <v>983</v>
      </c>
      <c r="C398" s="1">
        <v>39015</v>
      </c>
      <c r="D398">
        <v>1383</v>
      </c>
      <c r="E398" t="b">
        <v>0</v>
      </c>
      <c r="F398" t="s">
        <v>984</v>
      </c>
      <c r="G398" t="s">
        <v>124</v>
      </c>
      <c r="H398">
        <v>399</v>
      </c>
      <c r="I398" t="s">
        <v>2083</v>
      </c>
      <c r="J398" s="3" t="str">
        <f>IF(ISNUMBER(SEARCH(",Action,",","&amp;SUBSTITUTE(TableMain[[#This Row],[Tags]],", ",",")&amp;",")),"Y","N")</f>
        <v>N</v>
      </c>
      <c r="K398" s="3" t="str">
        <f>IF(ISNUMBER(SEARCH(",Indie,",","&amp;SUBSTITUTE(TableMain[[#This Row],[Tags]],", ",",")&amp;",")),"Y","N")</f>
        <v>N</v>
      </c>
      <c r="L398" s="3" t="str">
        <f>IF(ISNUMBER(SEARCH(",Adventure,",","&amp;SUBSTITUTE(TableMain[[#This Row],[Tags]],", ",",")&amp;",")),"Y","N")</f>
        <v>N</v>
      </c>
      <c r="M398" s="3" t="str">
        <f>IF(ISNUMBER(SEARCH(",Simulation,",","&amp;SUBSTITUTE(TableMain[[#This Row],[Tags]],", ",",")&amp;",")),"Y","N")</f>
        <v>N</v>
      </c>
      <c r="N398" s="3" t="str">
        <f>IF(ISNUMBER(SEARCH(",RPG,",","&amp;SUBSTITUTE(TableMain[[#This Row],[Tags]],", ",",")&amp;",")),"Y","N")</f>
        <v>N</v>
      </c>
      <c r="O398" s="3" t="str">
        <f>IF(ISNUMBER(SEARCH(",Strategy,",","&amp;SUBSTITUTE(TableMain[[#This Row],[Tags]],", ",",")&amp;",")),"Y","N")</f>
        <v>Y</v>
      </c>
      <c r="P398" s="3" t="str">
        <f>IF(ISNUMBER(SEARCH(",Free To Play,",","&amp;SUBSTITUTE(TableMain[[#This Row],[Tags]],", ",",")&amp;",")),"Y","N")</f>
        <v>N</v>
      </c>
    </row>
    <row r="399" spans="1:16" x14ac:dyDescent="0.35">
      <c r="A399">
        <v>1593500</v>
      </c>
      <c r="B399" t="s">
        <v>985</v>
      </c>
      <c r="C399" s="1">
        <v>44575</v>
      </c>
      <c r="D399">
        <v>1380</v>
      </c>
      <c r="E399" t="b">
        <v>0</v>
      </c>
      <c r="F399" t="s">
        <v>986</v>
      </c>
      <c r="G399" t="s">
        <v>208</v>
      </c>
      <c r="H399">
        <v>400</v>
      </c>
      <c r="I399" t="s">
        <v>53</v>
      </c>
      <c r="J399" s="3" t="str">
        <f>IF(ISNUMBER(SEARCH(",Action,",","&amp;SUBSTITUTE(TableMain[[#This Row],[Tags]],", ",",")&amp;",")),"Y","N")</f>
        <v>Y</v>
      </c>
      <c r="K399" s="3" t="str">
        <f>IF(ISNUMBER(SEARCH(",Indie,",","&amp;SUBSTITUTE(TableMain[[#This Row],[Tags]],", ",",")&amp;",")),"Y","N")</f>
        <v>N</v>
      </c>
      <c r="L399" s="3" t="str">
        <f>IF(ISNUMBER(SEARCH(",Adventure,",","&amp;SUBSTITUTE(TableMain[[#This Row],[Tags]],", ",",")&amp;",")),"Y","N")</f>
        <v>Y</v>
      </c>
      <c r="M399" s="3" t="str">
        <f>IF(ISNUMBER(SEARCH(",Simulation,",","&amp;SUBSTITUTE(TableMain[[#This Row],[Tags]],", ",",")&amp;",")),"Y","N")</f>
        <v>N</v>
      </c>
      <c r="N399" s="3" t="str">
        <f>IF(ISNUMBER(SEARCH(",RPG,",","&amp;SUBSTITUTE(TableMain[[#This Row],[Tags]],", ",",")&amp;",")),"Y","N")</f>
        <v>Y</v>
      </c>
      <c r="O399" s="3" t="str">
        <f>IF(ISNUMBER(SEARCH(",Strategy,",","&amp;SUBSTITUTE(TableMain[[#This Row],[Tags]],", ",",")&amp;",")),"Y","N")</f>
        <v>N</v>
      </c>
      <c r="P399" s="3" t="str">
        <f>IF(ISNUMBER(SEARCH(",Free To Play,",","&amp;SUBSTITUTE(TableMain[[#This Row],[Tags]],", ",",")&amp;",")),"Y","N")</f>
        <v>N</v>
      </c>
    </row>
    <row r="400" spans="1:16" x14ac:dyDescent="0.35">
      <c r="A400">
        <v>2208920</v>
      </c>
      <c r="B400" t="s">
        <v>987</v>
      </c>
      <c r="C400" s="1">
        <v>44901</v>
      </c>
      <c r="D400">
        <v>1379</v>
      </c>
      <c r="E400" t="b">
        <v>0</v>
      </c>
      <c r="F400" t="s">
        <v>988</v>
      </c>
      <c r="G400" t="s">
        <v>208</v>
      </c>
      <c r="H400">
        <v>401</v>
      </c>
      <c r="I400" t="s">
        <v>133</v>
      </c>
      <c r="J400" s="3" t="str">
        <f>IF(ISNUMBER(SEARCH(",Action,",","&amp;SUBSTITUTE(TableMain[[#This Row],[Tags]],", ",",")&amp;",")),"Y","N")</f>
        <v>Y</v>
      </c>
      <c r="K400" s="3" t="str">
        <f>IF(ISNUMBER(SEARCH(",Indie,",","&amp;SUBSTITUTE(TableMain[[#This Row],[Tags]],", ",",")&amp;",")),"Y","N")</f>
        <v>N</v>
      </c>
      <c r="L400" s="3" t="str">
        <f>IF(ISNUMBER(SEARCH(",Adventure,",","&amp;SUBSTITUTE(TableMain[[#This Row],[Tags]],", ",",")&amp;",")),"Y","N")</f>
        <v>Y</v>
      </c>
      <c r="M400" s="3" t="str">
        <f>IF(ISNUMBER(SEARCH(",Simulation,",","&amp;SUBSTITUTE(TableMain[[#This Row],[Tags]],", ",",")&amp;",")),"Y","N")</f>
        <v>N</v>
      </c>
      <c r="N400" s="3" t="str">
        <f>IF(ISNUMBER(SEARCH(",RPG,",","&amp;SUBSTITUTE(TableMain[[#This Row],[Tags]],", ",",")&amp;",")),"Y","N")</f>
        <v>Y</v>
      </c>
      <c r="O400" s="3" t="str">
        <f>IF(ISNUMBER(SEARCH(",Strategy,",","&amp;SUBSTITUTE(TableMain[[#This Row],[Tags]],", ",",")&amp;",")),"Y","N")</f>
        <v>N</v>
      </c>
      <c r="P400" s="3" t="str">
        <f>IF(ISNUMBER(SEARCH(",Free To Play,",","&amp;SUBSTITUTE(TableMain[[#This Row],[Tags]],", ",",")&amp;",")),"Y","N")</f>
        <v>N</v>
      </c>
    </row>
    <row r="401" spans="1:16" x14ac:dyDescent="0.35">
      <c r="A401">
        <v>203770</v>
      </c>
      <c r="B401" t="s">
        <v>989</v>
      </c>
      <c r="C401" s="1">
        <v>40953</v>
      </c>
      <c r="D401">
        <v>1373</v>
      </c>
      <c r="E401" t="b">
        <v>1</v>
      </c>
      <c r="F401" t="s">
        <v>990</v>
      </c>
      <c r="G401" t="s">
        <v>991</v>
      </c>
      <c r="H401">
        <v>402</v>
      </c>
      <c r="I401" t="s">
        <v>2084</v>
      </c>
      <c r="J401" s="3" t="str">
        <f>IF(ISNUMBER(SEARCH(",Action,",","&amp;SUBSTITUTE(TableMain[[#This Row],[Tags]],", ",",")&amp;",")),"Y","N")</f>
        <v>N</v>
      </c>
      <c r="K401" s="3" t="str">
        <f>IF(ISNUMBER(SEARCH(",Indie,",","&amp;SUBSTITUTE(TableMain[[#This Row],[Tags]],", ",",")&amp;",")),"Y","N")</f>
        <v>N</v>
      </c>
      <c r="L401" s="3" t="str">
        <f>IF(ISNUMBER(SEARCH(",Adventure,",","&amp;SUBSTITUTE(TableMain[[#This Row],[Tags]],", ",",")&amp;",")),"Y","N")</f>
        <v>N</v>
      </c>
      <c r="M401" s="3" t="str">
        <f>IF(ISNUMBER(SEARCH(",Simulation,",","&amp;SUBSTITUTE(TableMain[[#This Row],[Tags]],", ",",")&amp;",")),"Y","N")</f>
        <v>Y</v>
      </c>
      <c r="N401" s="3" t="str">
        <f>IF(ISNUMBER(SEARCH(",RPG,",","&amp;SUBSTITUTE(TableMain[[#This Row],[Tags]],", ",",")&amp;",")),"Y","N")</f>
        <v>Y</v>
      </c>
      <c r="O401" s="3" t="str">
        <f>IF(ISNUMBER(SEARCH(",Strategy,",","&amp;SUBSTITUTE(TableMain[[#This Row],[Tags]],", ",",")&amp;",")),"Y","N")</f>
        <v>Y</v>
      </c>
      <c r="P401" s="3" t="str">
        <f>IF(ISNUMBER(SEARCH(",Free To Play,",","&amp;SUBSTITUTE(TableMain[[#This Row],[Tags]],", ",",")&amp;",")),"Y","N")</f>
        <v>Y</v>
      </c>
    </row>
    <row r="402" spans="1:16" x14ac:dyDescent="0.35">
      <c r="A402">
        <v>1129580</v>
      </c>
      <c r="B402" t="s">
        <v>992</v>
      </c>
      <c r="C402" s="1">
        <v>44462</v>
      </c>
      <c r="D402">
        <v>1366</v>
      </c>
      <c r="E402" t="b">
        <v>0</v>
      </c>
      <c r="F402" t="s">
        <v>993</v>
      </c>
      <c r="G402" t="s">
        <v>504</v>
      </c>
      <c r="H402">
        <v>403</v>
      </c>
      <c r="I402" t="s">
        <v>175</v>
      </c>
      <c r="J402" s="3" t="str">
        <f>IF(ISNUMBER(SEARCH(",Action,",","&amp;SUBSTITUTE(TableMain[[#This Row],[Tags]],", ",",")&amp;",")),"Y","N")</f>
        <v>Y</v>
      </c>
      <c r="K402" s="3" t="str">
        <f>IF(ISNUMBER(SEARCH(",Indie,",","&amp;SUBSTITUTE(TableMain[[#This Row],[Tags]],", ",",")&amp;",")),"Y","N")</f>
        <v>Y</v>
      </c>
      <c r="L402" s="3" t="str">
        <f>IF(ISNUMBER(SEARCH(",Adventure,",","&amp;SUBSTITUTE(TableMain[[#This Row],[Tags]],", ",",")&amp;",")),"Y","N")</f>
        <v>Y</v>
      </c>
      <c r="M402" s="3" t="str">
        <f>IF(ISNUMBER(SEARCH(",Simulation,",","&amp;SUBSTITUTE(TableMain[[#This Row],[Tags]],", ",",")&amp;",")),"Y","N")</f>
        <v>Y</v>
      </c>
      <c r="N402" s="3" t="str">
        <f>IF(ISNUMBER(SEARCH(",RPG,",","&amp;SUBSTITUTE(TableMain[[#This Row],[Tags]],", ",",")&amp;",")),"Y","N")</f>
        <v>Y</v>
      </c>
      <c r="O402" s="3" t="str">
        <f>IF(ISNUMBER(SEARCH(",Strategy,",","&amp;SUBSTITUTE(TableMain[[#This Row],[Tags]],", ",",")&amp;",")),"Y","N")</f>
        <v>N</v>
      </c>
      <c r="P402" s="3" t="str">
        <f>IF(ISNUMBER(SEARCH(",Free To Play,",","&amp;SUBSTITUTE(TableMain[[#This Row],[Tags]],", ",",")&amp;",")),"Y","N")</f>
        <v>N</v>
      </c>
    </row>
    <row r="403" spans="1:16" x14ac:dyDescent="0.35">
      <c r="A403">
        <v>1627720</v>
      </c>
      <c r="B403" t="s">
        <v>994</v>
      </c>
      <c r="C403" s="1">
        <v>45187</v>
      </c>
      <c r="D403">
        <v>1363</v>
      </c>
      <c r="E403" t="b">
        <v>1</v>
      </c>
      <c r="F403" t="s">
        <v>995</v>
      </c>
      <c r="G403" t="s">
        <v>208</v>
      </c>
      <c r="H403">
        <v>404</v>
      </c>
      <c r="I403" t="s">
        <v>996</v>
      </c>
      <c r="J403" s="3" t="str">
        <f>IF(ISNUMBER(SEARCH(",Action,",","&amp;SUBSTITUTE(TableMain[[#This Row],[Tags]],", ",",")&amp;",")),"Y","N")</f>
        <v>Y</v>
      </c>
      <c r="K403" s="3" t="str">
        <f>IF(ISNUMBER(SEARCH(",Indie,",","&amp;SUBSTITUTE(TableMain[[#This Row],[Tags]],", ",",")&amp;",")),"Y","N")</f>
        <v>N</v>
      </c>
      <c r="L403" s="3" t="str">
        <f>IF(ISNUMBER(SEARCH(",Adventure,",","&amp;SUBSTITUTE(TableMain[[#This Row],[Tags]],", ",",")&amp;",")),"Y","N")</f>
        <v>Y</v>
      </c>
      <c r="M403" s="3" t="str">
        <f>IF(ISNUMBER(SEARCH(",Simulation,",","&amp;SUBSTITUTE(TableMain[[#This Row],[Tags]],", ",",")&amp;",")),"Y","N")</f>
        <v>N</v>
      </c>
      <c r="N403" s="3" t="str">
        <f>IF(ISNUMBER(SEARCH(",RPG,",","&amp;SUBSTITUTE(TableMain[[#This Row],[Tags]],", ",",")&amp;",")),"Y","N")</f>
        <v>Y</v>
      </c>
      <c r="O403" s="3" t="str">
        <f>IF(ISNUMBER(SEARCH(",Strategy,",","&amp;SUBSTITUTE(TableMain[[#This Row],[Tags]],", ",",")&amp;",")),"Y","N")</f>
        <v>N</v>
      </c>
      <c r="P403" s="3" t="str">
        <f>IF(ISNUMBER(SEARCH(",Free To Play,",","&amp;SUBSTITUTE(TableMain[[#This Row],[Tags]],", ",",")&amp;",")),"Y","N")</f>
        <v>N</v>
      </c>
    </row>
    <row r="404" spans="1:16" x14ac:dyDescent="0.35">
      <c r="A404">
        <v>1172380</v>
      </c>
      <c r="B404" t="s">
        <v>997</v>
      </c>
      <c r="C404" s="1">
        <v>43783</v>
      </c>
      <c r="D404">
        <v>1354</v>
      </c>
      <c r="E404" t="b">
        <v>0</v>
      </c>
      <c r="F404" t="s">
        <v>998</v>
      </c>
      <c r="G404" t="s">
        <v>46</v>
      </c>
      <c r="H404">
        <v>405</v>
      </c>
      <c r="I404" t="s">
        <v>25</v>
      </c>
      <c r="J404" s="3" t="str">
        <f>IF(ISNUMBER(SEARCH(",Action,",","&amp;SUBSTITUTE(TableMain[[#This Row],[Tags]],", ",",")&amp;",")),"Y","N")</f>
        <v>Y</v>
      </c>
      <c r="K404" s="3" t="str">
        <f>IF(ISNUMBER(SEARCH(",Indie,",","&amp;SUBSTITUTE(TableMain[[#This Row],[Tags]],", ",",")&amp;",")),"Y","N")</f>
        <v>N</v>
      </c>
      <c r="L404" s="3" t="str">
        <f>IF(ISNUMBER(SEARCH(",Adventure,",","&amp;SUBSTITUTE(TableMain[[#This Row],[Tags]],", ",",")&amp;",")),"Y","N")</f>
        <v>Y</v>
      </c>
      <c r="M404" s="3" t="str">
        <f>IF(ISNUMBER(SEARCH(",Simulation,",","&amp;SUBSTITUTE(TableMain[[#This Row],[Tags]],", ",",")&amp;",")),"Y","N")</f>
        <v>N</v>
      </c>
      <c r="N404" s="3" t="str">
        <f>IF(ISNUMBER(SEARCH(",RPG,",","&amp;SUBSTITUTE(TableMain[[#This Row],[Tags]],", ",",")&amp;",")),"Y","N")</f>
        <v>N</v>
      </c>
      <c r="O404" s="3" t="str">
        <f>IF(ISNUMBER(SEARCH(",Strategy,",","&amp;SUBSTITUTE(TableMain[[#This Row],[Tags]],", ",",")&amp;",")),"Y","N")</f>
        <v>N</v>
      </c>
      <c r="P404" s="3" t="str">
        <f>IF(ISNUMBER(SEARCH(",Free To Play,",","&amp;SUBSTITUTE(TableMain[[#This Row],[Tags]],", ",",")&amp;",")),"Y","N")</f>
        <v>N</v>
      </c>
    </row>
    <row r="405" spans="1:16" x14ac:dyDescent="0.35">
      <c r="A405">
        <v>1201240</v>
      </c>
      <c r="B405" t="s">
        <v>999</v>
      </c>
      <c r="C405" s="1">
        <v>44060</v>
      </c>
      <c r="D405">
        <v>1349</v>
      </c>
      <c r="E405" t="b">
        <v>0</v>
      </c>
      <c r="F405" t="s">
        <v>1000</v>
      </c>
      <c r="G405" t="s">
        <v>1001</v>
      </c>
      <c r="H405">
        <v>406</v>
      </c>
      <c r="I405" t="s">
        <v>40</v>
      </c>
      <c r="J405" s="3" t="str">
        <f>IF(ISNUMBER(SEARCH(",Action,",","&amp;SUBSTITUTE(TableMain[[#This Row],[Tags]],", ",",")&amp;",")),"Y","N")</f>
        <v>Y</v>
      </c>
      <c r="K405" s="3" t="str">
        <f>IF(ISNUMBER(SEARCH(",Indie,",","&amp;SUBSTITUTE(TableMain[[#This Row],[Tags]],", ",",")&amp;",")),"Y","N")</f>
        <v>N</v>
      </c>
      <c r="L405" s="3" t="str">
        <f>IF(ISNUMBER(SEARCH(",Adventure,",","&amp;SUBSTITUTE(TableMain[[#This Row],[Tags]],", ",",")&amp;",")),"Y","N")</f>
        <v>N</v>
      </c>
      <c r="M405" s="3" t="str">
        <f>IF(ISNUMBER(SEARCH(",Simulation,",","&amp;SUBSTITUTE(TableMain[[#This Row],[Tags]],", ",",")&amp;",")),"Y","N")</f>
        <v>N</v>
      </c>
      <c r="N405" s="3" t="str">
        <f>IF(ISNUMBER(SEARCH(",RPG,",","&amp;SUBSTITUTE(TableMain[[#This Row],[Tags]],", ",",")&amp;",")),"Y","N")</f>
        <v>Y</v>
      </c>
      <c r="O405" s="3" t="str">
        <f>IF(ISNUMBER(SEARCH(",Strategy,",","&amp;SUBSTITUTE(TableMain[[#This Row],[Tags]],", ",",")&amp;",")),"Y","N")</f>
        <v>N</v>
      </c>
      <c r="P405" s="3" t="str">
        <f>IF(ISNUMBER(SEARCH(",Free To Play,",","&amp;SUBSTITUTE(TableMain[[#This Row],[Tags]],", ",",")&amp;",")),"Y","N")</f>
        <v>Y</v>
      </c>
    </row>
    <row r="406" spans="1:16" x14ac:dyDescent="0.35">
      <c r="A406">
        <v>2651280</v>
      </c>
      <c r="B406" t="s">
        <v>1002</v>
      </c>
      <c r="C406" s="1">
        <v>45687</v>
      </c>
      <c r="D406">
        <v>1348</v>
      </c>
      <c r="E406" t="b">
        <v>0</v>
      </c>
      <c r="F406" t="s">
        <v>886</v>
      </c>
      <c r="G406" t="s">
        <v>46</v>
      </c>
      <c r="H406">
        <v>407</v>
      </c>
      <c r="I406" t="s">
        <v>29</v>
      </c>
      <c r="J406" s="3" t="str">
        <f>IF(ISNUMBER(SEARCH(",Action,",","&amp;SUBSTITUTE(TableMain[[#This Row],[Tags]],", ",",")&amp;",")),"Y","N")</f>
        <v>Y</v>
      </c>
      <c r="K406" s="3" t="str">
        <f>IF(ISNUMBER(SEARCH(",Indie,",","&amp;SUBSTITUTE(TableMain[[#This Row],[Tags]],", ",",")&amp;",")),"Y","N")</f>
        <v>N</v>
      </c>
      <c r="L406" s="3" t="str">
        <f>IF(ISNUMBER(SEARCH(",Adventure,",","&amp;SUBSTITUTE(TableMain[[#This Row],[Tags]],", ",",")&amp;",")),"Y","N")</f>
        <v>Y</v>
      </c>
      <c r="M406" s="3" t="str">
        <f>IF(ISNUMBER(SEARCH(",Simulation,",","&amp;SUBSTITUTE(TableMain[[#This Row],[Tags]],", ",",")&amp;",")),"Y","N")</f>
        <v>N</v>
      </c>
      <c r="N406" s="3" t="str">
        <f>IF(ISNUMBER(SEARCH(",RPG,",","&amp;SUBSTITUTE(TableMain[[#This Row],[Tags]],", ",",")&amp;",")),"Y","N")</f>
        <v>N</v>
      </c>
      <c r="O406" s="3" t="str">
        <f>IF(ISNUMBER(SEARCH(",Strategy,",","&amp;SUBSTITUTE(TableMain[[#This Row],[Tags]],", ",",")&amp;",")),"Y","N")</f>
        <v>N</v>
      </c>
      <c r="P406" s="3" t="str">
        <f>IF(ISNUMBER(SEARCH(",Free To Play,",","&amp;SUBSTITUTE(TableMain[[#This Row],[Tags]],", ",",")&amp;",")),"Y","N")</f>
        <v>N</v>
      </c>
    </row>
    <row r="407" spans="1:16" x14ac:dyDescent="0.35">
      <c r="A407">
        <v>1190000</v>
      </c>
      <c r="B407" t="s">
        <v>1003</v>
      </c>
      <c r="C407" s="1">
        <v>44419</v>
      </c>
      <c r="D407">
        <v>1343</v>
      </c>
      <c r="E407" t="b">
        <v>0</v>
      </c>
      <c r="F407" t="s">
        <v>1004</v>
      </c>
      <c r="G407" t="s">
        <v>1005</v>
      </c>
      <c r="H407">
        <v>408</v>
      </c>
      <c r="I407" t="s">
        <v>25</v>
      </c>
      <c r="J407" s="3" t="str">
        <f>IF(ISNUMBER(SEARCH(",Action,",","&amp;SUBSTITUTE(TableMain[[#This Row],[Tags]],", ",",")&amp;",")),"Y","N")</f>
        <v>N</v>
      </c>
      <c r="K407" s="3" t="str">
        <f>IF(ISNUMBER(SEARCH(",Indie,",","&amp;SUBSTITUTE(TableMain[[#This Row],[Tags]],", ",",")&amp;",")),"Y","N")</f>
        <v>N</v>
      </c>
      <c r="L407" s="3" t="str">
        <f>IF(ISNUMBER(SEARCH(",Adventure,",","&amp;SUBSTITUTE(TableMain[[#This Row],[Tags]],", ",",")&amp;",")),"Y","N")</f>
        <v>N</v>
      </c>
      <c r="M407" s="3" t="str">
        <f>IF(ISNUMBER(SEARCH(",Simulation,",","&amp;SUBSTITUTE(TableMain[[#This Row],[Tags]],", ",",")&amp;",")),"Y","N")</f>
        <v>Y</v>
      </c>
      <c r="N407" s="3" t="str">
        <f>IF(ISNUMBER(SEARCH(",RPG,",","&amp;SUBSTITUTE(TableMain[[#This Row],[Tags]],", ",",")&amp;",")),"Y","N")</f>
        <v>N</v>
      </c>
      <c r="O407" s="3" t="str">
        <f>IF(ISNUMBER(SEARCH(",Strategy,",","&amp;SUBSTITUTE(TableMain[[#This Row],[Tags]],", ",",")&amp;",")),"Y","N")</f>
        <v>N</v>
      </c>
      <c r="P407" s="3" t="str">
        <f>IF(ISNUMBER(SEARCH(",Free To Play,",","&amp;SUBSTITUTE(TableMain[[#This Row],[Tags]],", ",",")&amp;",")),"Y","N")</f>
        <v>N</v>
      </c>
    </row>
    <row r="408" spans="1:16" x14ac:dyDescent="0.35">
      <c r="A408">
        <v>287700</v>
      </c>
      <c r="B408" t="s">
        <v>1006</v>
      </c>
      <c r="C408" s="1">
        <v>42248</v>
      </c>
      <c r="D408">
        <v>1333</v>
      </c>
      <c r="E408" t="b">
        <v>0</v>
      </c>
      <c r="F408" t="s">
        <v>1007</v>
      </c>
      <c r="G408" t="s">
        <v>46</v>
      </c>
      <c r="H408">
        <v>409</v>
      </c>
      <c r="I408" t="s">
        <v>2087</v>
      </c>
      <c r="J408" s="3" t="str">
        <f>IF(ISNUMBER(SEARCH(",Action,",","&amp;SUBSTITUTE(TableMain[[#This Row],[Tags]],", ",",")&amp;",")),"Y","N")</f>
        <v>Y</v>
      </c>
      <c r="K408" s="3" t="str">
        <f>IF(ISNUMBER(SEARCH(",Indie,",","&amp;SUBSTITUTE(TableMain[[#This Row],[Tags]],", ",",")&amp;",")),"Y","N")</f>
        <v>N</v>
      </c>
      <c r="L408" s="3" t="str">
        <f>IF(ISNUMBER(SEARCH(",Adventure,",","&amp;SUBSTITUTE(TableMain[[#This Row],[Tags]],", ",",")&amp;",")),"Y","N")</f>
        <v>Y</v>
      </c>
      <c r="M408" s="3" t="str">
        <f>IF(ISNUMBER(SEARCH(",Simulation,",","&amp;SUBSTITUTE(TableMain[[#This Row],[Tags]],", ",",")&amp;",")),"Y","N")</f>
        <v>N</v>
      </c>
      <c r="N408" s="3" t="str">
        <f>IF(ISNUMBER(SEARCH(",RPG,",","&amp;SUBSTITUTE(TableMain[[#This Row],[Tags]],", ",",")&amp;",")),"Y","N")</f>
        <v>N</v>
      </c>
      <c r="O408" s="3" t="str">
        <f>IF(ISNUMBER(SEARCH(",Strategy,",","&amp;SUBSTITUTE(TableMain[[#This Row],[Tags]],", ",",")&amp;",")),"Y","N")</f>
        <v>N</v>
      </c>
      <c r="P408" s="3" t="str">
        <f>IF(ISNUMBER(SEARCH(",Free To Play,",","&amp;SUBSTITUTE(TableMain[[#This Row],[Tags]],", ",",")&amp;",")),"Y","N")</f>
        <v>N</v>
      </c>
    </row>
    <row r="409" spans="1:16" x14ac:dyDescent="0.35">
      <c r="A409">
        <v>1158160</v>
      </c>
      <c r="B409" t="s">
        <v>1008</v>
      </c>
      <c r="C409" s="1">
        <v>45244</v>
      </c>
      <c r="D409">
        <v>1328</v>
      </c>
      <c r="E409" t="b">
        <v>0</v>
      </c>
      <c r="F409" t="s">
        <v>1009</v>
      </c>
      <c r="G409" t="s">
        <v>851</v>
      </c>
      <c r="H409">
        <v>410</v>
      </c>
      <c r="I409" t="s">
        <v>133</v>
      </c>
      <c r="J409" s="3" t="str">
        <f>IF(ISNUMBER(SEARCH(",Action,",","&amp;SUBSTITUTE(TableMain[[#This Row],[Tags]],", ",",")&amp;",")),"Y","N")</f>
        <v>N</v>
      </c>
      <c r="K409" s="3" t="str">
        <f>IF(ISNUMBER(SEARCH(",Indie,",","&amp;SUBSTITUTE(TableMain[[#This Row],[Tags]],", ",",")&amp;",")),"Y","N")</f>
        <v>Y</v>
      </c>
      <c r="L409" s="3" t="str">
        <f>IF(ISNUMBER(SEARCH(",Adventure,",","&amp;SUBSTITUTE(TableMain[[#This Row],[Tags]],", ",",")&amp;",")),"Y","N")</f>
        <v>Y</v>
      </c>
      <c r="M409" s="3" t="str">
        <f>IF(ISNUMBER(SEARCH(",Simulation,",","&amp;SUBSTITUTE(TableMain[[#This Row],[Tags]],", ",",")&amp;",")),"Y","N")</f>
        <v>Y</v>
      </c>
      <c r="N409" s="3" t="str">
        <f>IF(ISNUMBER(SEARCH(",RPG,",","&amp;SUBSTITUTE(TableMain[[#This Row],[Tags]],", ",",")&amp;",")),"Y","N")</f>
        <v>Y</v>
      </c>
      <c r="O409" s="3" t="str">
        <f>IF(ISNUMBER(SEARCH(",Strategy,",","&amp;SUBSTITUTE(TableMain[[#This Row],[Tags]],", ",",")&amp;",")),"Y","N")</f>
        <v>Y</v>
      </c>
      <c r="P409" s="3" t="str">
        <f>IF(ISNUMBER(SEARCH(",Free To Play,",","&amp;SUBSTITUTE(TableMain[[#This Row],[Tags]],", ",",")&amp;",")),"Y","N")</f>
        <v>N</v>
      </c>
    </row>
    <row r="410" spans="1:16" x14ac:dyDescent="0.35">
      <c r="A410">
        <v>489630</v>
      </c>
      <c r="B410" t="s">
        <v>1010</v>
      </c>
      <c r="C410" s="1">
        <v>43293</v>
      </c>
      <c r="D410">
        <v>1326</v>
      </c>
      <c r="E410" t="b">
        <v>0</v>
      </c>
      <c r="F410" t="s">
        <v>1011</v>
      </c>
      <c r="G410" t="s">
        <v>124</v>
      </c>
      <c r="H410">
        <v>411</v>
      </c>
      <c r="I410" t="s">
        <v>293</v>
      </c>
      <c r="J410" s="3" t="str">
        <f>IF(ISNUMBER(SEARCH(",Action,",","&amp;SUBSTITUTE(TableMain[[#This Row],[Tags]],", ",",")&amp;",")),"Y","N")</f>
        <v>N</v>
      </c>
      <c r="K410" s="3" t="str">
        <f>IF(ISNUMBER(SEARCH(",Indie,",","&amp;SUBSTITUTE(TableMain[[#This Row],[Tags]],", ",",")&amp;",")),"Y","N")</f>
        <v>N</v>
      </c>
      <c r="L410" s="3" t="str">
        <f>IF(ISNUMBER(SEARCH(",Adventure,",","&amp;SUBSTITUTE(TableMain[[#This Row],[Tags]],", ",",")&amp;",")),"Y","N")</f>
        <v>N</v>
      </c>
      <c r="M410" s="3" t="str">
        <f>IF(ISNUMBER(SEARCH(",Simulation,",","&amp;SUBSTITUTE(TableMain[[#This Row],[Tags]],", ",",")&amp;",")),"Y","N")</f>
        <v>N</v>
      </c>
      <c r="N410" s="3" t="str">
        <f>IF(ISNUMBER(SEARCH(",RPG,",","&amp;SUBSTITUTE(TableMain[[#This Row],[Tags]],", ",",")&amp;",")),"Y","N")</f>
        <v>N</v>
      </c>
      <c r="O410" s="3" t="str">
        <f>IF(ISNUMBER(SEARCH(",Strategy,",","&amp;SUBSTITUTE(TableMain[[#This Row],[Tags]],", ",",")&amp;",")),"Y","N")</f>
        <v>Y</v>
      </c>
      <c r="P410" s="3" t="str">
        <f>IF(ISNUMBER(SEARCH(",Free To Play,",","&amp;SUBSTITUTE(TableMain[[#This Row],[Tags]],", ",",")&amp;",")),"Y","N")</f>
        <v>N</v>
      </c>
    </row>
    <row r="411" spans="1:16" x14ac:dyDescent="0.35">
      <c r="A411">
        <v>1506830</v>
      </c>
      <c r="B411" t="s">
        <v>1012</v>
      </c>
      <c r="C411" s="1">
        <v>44470</v>
      </c>
      <c r="D411">
        <v>1319</v>
      </c>
      <c r="E411" t="b">
        <v>0</v>
      </c>
      <c r="F411" t="s">
        <v>1013</v>
      </c>
      <c r="G411" t="s">
        <v>78</v>
      </c>
      <c r="H411">
        <v>412</v>
      </c>
      <c r="I411" t="s">
        <v>133</v>
      </c>
      <c r="J411" s="3" t="str">
        <f>IF(ISNUMBER(SEARCH(",Action,",","&amp;SUBSTITUTE(TableMain[[#This Row],[Tags]],", ",",")&amp;",")),"Y","N")</f>
        <v>N</v>
      </c>
      <c r="K411" s="3" t="str">
        <f>IF(ISNUMBER(SEARCH(",Indie,",","&amp;SUBSTITUTE(TableMain[[#This Row],[Tags]],", ",",")&amp;",")),"Y","N")</f>
        <v>N</v>
      </c>
      <c r="L411" s="3" t="str">
        <f>IF(ISNUMBER(SEARCH(",Adventure,",","&amp;SUBSTITUTE(TableMain[[#This Row],[Tags]],", ",",")&amp;",")),"Y","N")</f>
        <v>N</v>
      </c>
      <c r="M411" s="3" t="str">
        <f>IF(ISNUMBER(SEARCH(",Simulation,",","&amp;SUBSTITUTE(TableMain[[#This Row],[Tags]],", ",",")&amp;",")),"Y","N")</f>
        <v>Y</v>
      </c>
      <c r="N411" s="3" t="str">
        <f>IF(ISNUMBER(SEARCH(",RPG,",","&amp;SUBSTITUTE(TableMain[[#This Row],[Tags]],", ",",")&amp;",")),"Y","N")</f>
        <v>N</v>
      </c>
      <c r="O411" s="3" t="str">
        <f>IF(ISNUMBER(SEARCH(",Strategy,",","&amp;SUBSTITUTE(TableMain[[#This Row],[Tags]],", ",",")&amp;",")),"Y","N")</f>
        <v>N</v>
      </c>
      <c r="P411" s="3" t="str">
        <f>IF(ISNUMBER(SEARCH(",Free To Play,",","&amp;SUBSTITUTE(TableMain[[#This Row],[Tags]],", ",",")&amp;",")),"Y","N")</f>
        <v>N</v>
      </c>
    </row>
    <row r="412" spans="1:16" x14ac:dyDescent="0.35">
      <c r="A412">
        <v>2384580</v>
      </c>
      <c r="B412" t="s">
        <v>1014</v>
      </c>
      <c r="C412" s="1">
        <v>45673</v>
      </c>
      <c r="D412">
        <v>1314</v>
      </c>
      <c r="E412" t="b">
        <v>0</v>
      </c>
      <c r="F412" t="s">
        <v>1015</v>
      </c>
      <c r="G412" t="s">
        <v>1016</v>
      </c>
      <c r="H412">
        <v>413</v>
      </c>
      <c r="I412" t="s">
        <v>119</v>
      </c>
      <c r="J412" s="3" t="str">
        <f>IF(ISNUMBER(SEARCH(",Action,",","&amp;SUBSTITUTE(TableMain[[#This Row],[Tags]],", ",",")&amp;",")),"Y","N")</f>
        <v>Y</v>
      </c>
      <c r="K412" s="3" t="str">
        <f>IF(ISNUMBER(SEARCH(",Indie,",","&amp;SUBSTITUTE(TableMain[[#This Row],[Tags]],", ",",")&amp;",")),"Y","N")</f>
        <v>N</v>
      </c>
      <c r="L412" s="3" t="str">
        <f>IF(ISNUMBER(SEARCH(",Adventure,",","&amp;SUBSTITUTE(TableMain[[#This Row],[Tags]],", ",",")&amp;",")),"Y","N")</f>
        <v>N</v>
      </c>
      <c r="M412" s="3" t="str">
        <f>IF(ISNUMBER(SEARCH(",Simulation,",","&amp;SUBSTITUTE(TableMain[[#This Row],[Tags]],", ",",")&amp;",")),"Y","N")</f>
        <v>N</v>
      </c>
      <c r="N412" s="3" t="str">
        <f>IF(ISNUMBER(SEARCH(",RPG,",","&amp;SUBSTITUTE(TableMain[[#This Row],[Tags]],", ",",")&amp;",")),"Y","N")</f>
        <v>Y</v>
      </c>
      <c r="O412" s="3" t="str">
        <f>IF(ISNUMBER(SEARCH(",Strategy,",","&amp;SUBSTITUTE(TableMain[[#This Row],[Tags]],", ",",")&amp;",")),"Y","N")</f>
        <v>Y</v>
      </c>
      <c r="P412" s="3" t="str">
        <f>IF(ISNUMBER(SEARCH(",Free To Play,",","&amp;SUBSTITUTE(TableMain[[#This Row],[Tags]],", ",",")&amp;",")),"Y","N")</f>
        <v>N</v>
      </c>
    </row>
    <row r="413" spans="1:16" x14ac:dyDescent="0.35">
      <c r="A413">
        <v>663090</v>
      </c>
      <c r="B413" t="s">
        <v>1017</v>
      </c>
      <c r="C413" s="1">
        <v>43023</v>
      </c>
      <c r="D413">
        <v>1313</v>
      </c>
      <c r="E413" t="b">
        <v>0</v>
      </c>
      <c r="F413" t="s">
        <v>1018</v>
      </c>
      <c r="G413" t="s">
        <v>322</v>
      </c>
      <c r="H413">
        <v>414</v>
      </c>
      <c r="I413" t="s">
        <v>110</v>
      </c>
      <c r="J413" s="3" t="str">
        <f>IF(ISNUMBER(SEARCH(",Action,",","&amp;SUBSTITUTE(TableMain[[#This Row],[Tags]],", ",",")&amp;",")),"Y","N")</f>
        <v>N</v>
      </c>
      <c r="K413" s="3" t="str">
        <f>IF(ISNUMBER(SEARCH(",Indie,",","&amp;SUBSTITUTE(TableMain[[#This Row],[Tags]],", ",",")&amp;",")),"Y","N")</f>
        <v>N</v>
      </c>
      <c r="L413" s="3" t="str">
        <f>IF(ISNUMBER(SEARCH(",Adventure,",","&amp;SUBSTITUTE(TableMain[[#This Row],[Tags]],", ",",")&amp;",")),"Y","N")</f>
        <v>N</v>
      </c>
      <c r="M413" s="3" t="str">
        <f>IF(ISNUMBER(SEARCH(",Simulation,",","&amp;SUBSTITUTE(TableMain[[#This Row],[Tags]],", ",",")&amp;",")),"Y","N")</f>
        <v>N</v>
      </c>
      <c r="N413" s="3" t="str">
        <f>IF(ISNUMBER(SEARCH(",RPG,",","&amp;SUBSTITUTE(TableMain[[#This Row],[Tags]],", ",",")&amp;",")),"Y","N")</f>
        <v>Y</v>
      </c>
      <c r="O413" s="3" t="str">
        <f>IF(ISNUMBER(SEARCH(",Strategy,",","&amp;SUBSTITUTE(TableMain[[#This Row],[Tags]],", ",",")&amp;",")),"Y","N")</f>
        <v>N</v>
      </c>
      <c r="P413" s="3" t="str">
        <f>IF(ISNUMBER(SEARCH(",Free To Play,",","&amp;SUBSTITUTE(TableMain[[#This Row],[Tags]],", ",",")&amp;",")),"Y","N")</f>
        <v>Y</v>
      </c>
    </row>
    <row r="414" spans="1:16" x14ac:dyDescent="0.35">
      <c r="A414">
        <v>613100</v>
      </c>
      <c r="B414" t="s">
        <v>1019</v>
      </c>
      <c r="C414" s="1">
        <v>43237</v>
      </c>
      <c r="D414">
        <v>1311</v>
      </c>
      <c r="E414" t="b">
        <v>1</v>
      </c>
      <c r="F414" t="s">
        <v>1020</v>
      </c>
      <c r="G414" t="s">
        <v>174</v>
      </c>
      <c r="H414">
        <v>415</v>
      </c>
      <c r="I414" t="s">
        <v>33</v>
      </c>
      <c r="J414" s="3" t="str">
        <f>IF(ISNUMBER(SEARCH(",Action,",","&amp;SUBSTITUTE(TableMain[[#This Row],[Tags]],", ",",")&amp;",")),"Y","N")</f>
        <v>N</v>
      </c>
      <c r="K414" s="3" t="str">
        <f>IF(ISNUMBER(SEARCH(",Indie,",","&amp;SUBSTITUTE(TableMain[[#This Row],[Tags]],", ",",")&amp;",")),"Y","N")</f>
        <v>Y</v>
      </c>
      <c r="L414" s="3" t="str">
        <f>IF(ISNUMBER(SEARCH(",Adventure,",","&amp;SUBSTITUTE(TableMain[[#This Row],[Tags]],", ",",")&amp;",")),"Y","N")</f>
        <v>N</v>
      </c>
      <c r="M414" s="3" t="str">
        <f>IF(ISNUMBER(SEARCH(",Simulation,",","&amp;SUBSTITUTE(TableMain[[#This Row],[Tags]],", ",",")&amp;",")),"Y","N")</f>
        <v>Y</v>
      </c>
      <c r="N414" s="3" t="str">
        <f>IF(ISNUMBER(SEARCH(",RPG,",","&amp;SUBSTITUTE(TableMain[[#This Row],[Tags]],", ",",")&amp;",")),"Y","N")</f>
        <v>N</v>
      </c>
      <c r="O414" s="3" t="str">
        <f>IF(ISNUMBER(SEARCH(",Strategy,",","&amp;SUBSTITUTE(TableMain[[#This Row],[Tags]],", ",",")&amp;",")),"Y","N")</f>
        <v>N</v>
      </c>
      <c r="P414" s="3" t="str">
        <f>IF(ISNUMBER(SEARCH(",Free To Play,",","&amp;SUBSTITUTE(TableMain[[#This Row],[Tags]],", ",",")&amp;",")),"Y","N")</f>
        <v>N</v>
      </c>
    </row>
    <row r="415" spans="1:16" x14ac:dyDescent="0.35">
      <c r="A415">
        <v>701160</v>
      </c>
      <c r="B415" t="s">
        <v>1021</v>
      </c>
      <c r="C415" s="1">
        <v>43445</v>
      </c>
      <c r="D415">
        <v>1305</v>
      </c>
      <c r="E415" t="b">
        <v>1</v>
      </c>
      <c r="F415" t="s">
        <v>1022</v>
      </c>
      <c r="G415" t="s">
        <v>245</v>
      </c>
      <c r="H415">
        <v>416</v>
      </c>
      <c r="I415" t="s">
        <v>2082</v>
      </c>
      <c r="J415" s="3" t="str">
        <f>IF(ISNUMBER(SEARCH(",Action,",","&amp;SUBSTITUTE(TableMain[[#This Row],[Tags]],", ",",")&amp;",")),"Y","N")</f>
        <v>N</v>
      </c>
      <c r="K415" s="3" t="str">
        <f>IF(ISNUMBER(SEARCH(",Indie,",","&amp;SUBSTITUTE(TableMain[[#This Row],[Tags]],", ",",")&amp;",")),"Y","N")</f>
        <v>Y</v>
      </c>
      <c r="L415" s="3" t="str">
        <f>IF(ISNUMBER(SEARCH(",Adventure,",","&amp;SUBSTITUTE(TableMain[[#This Row],[Tags]],", ",",")&amp;",")),"Y","N")</f>
        <v>Y</v>
      </c>
      <c r="M415" s="3" t="str">
        <f>IF(ISNUMBER(SEARCH(",Simulation,",","&amp;SUBSTITUTE(TableMain[[#This Row],[Tags]],", ",",")&amp;",")),"Y","N")</f>
        <v>Y</v>
      </c>
      <c r="N415" s="3" t="str">
        <f>IF(ISNUMBER(SEARCH(",RPG,",","&amp;SUBSTITUTE(TableMain[[#This Row],[Tags]],", ",",")&amp;",")),"Y","N")</f>
        <v>N</v>
      </c>
      <c r="O415" s="3" t="str">
        <f>IF(ISNUMBER(SEARCH(",Strategy,",","&amp;SUBSTITUTE(TableMain[[#This Row],[Tags]],", ",",")&amp;",")),"Y","N")</f>
        <v>Y</v>
      </c>
      <c r="P415" s="3" t="str">
        <f>IF(ISNUMBER(SEARCH(",Free To Play,",","&amp;SUBSTITUTE(TableMain[[#This Row],[Tags]],", ",",")&amp;",")),"Y","N")</f>
        <v>N</v>
      </c>
    </row>
    <row r="416" spans="1:16" x14ac:dyDescent="0.35">
      <c r="A416">
        <v>1092790</v>
      </c>
      <c r="B416" t="s">
        <v>1023</v>
      </c>
      <c r="C416" s="1">
        <v>44488</v>
      </c>
      <c r="D416">
        <v>1301</v>
      </c>
      <c r="E416" t="b">
        <v>1</v>
      </c>
      <c r="F416" t="s">
        <v>810</v>
      </c>
      <c r="G416" t="s">
        <v>485</v>
      </c>
      <c r="H416">
        <v>417</v>
      </c>
      <c r="I416" t="s">
        <v>304</v>
      </c>
      <c r="J416" s="3" t="str">
        <f>IF(ISNUMBER(SEARCH(",Action,",","&amp;SUBSTITUTE(TableMain[[#This Row],[Tags]],", ",",")&amp;",")),"Y","N")</f>
        <v>N</v>
      </c>
      <c r="K416" s="3" t="str">
        <f>IF(ISNUMBER(SEARCH(",Indie,",","&amp;SUBSTITUTE(TableMain[[#This Row],[Tags]],", ",",")&amp;",")),"Y","N")</f>
        <v>Y</v>
      </c>
      <c r="L416" s="3" t="str">
        <f>IF(ISNUMBER(SEARCH(",Adventure,",","&amp;SUBSTITUTE(TableMain[[#This Row],[Tags]],", ",",")&amp;",")),"Y","N")</f>
        <v>Y</v>
      </c>
      <c r="M416" s="3" t="str">
        <f>IF(ISNUMBER(SEARCH(",Simulation,",","&amp;SUBSTITUTE(TableMain[[#This Row],[Tags]],", ",",")&amp;",")),"Y","N")</f>
        <v>N</v>
      </c>
      <c r="N416" s="3" t="str">
        <f>IF(ISNUMBER(SEARCH(",RPG,",","&amp;SUBSTITUTE(TableMain[[#This Row],[Tags]],", ",",")&amp;",")),"Y","N")</f>
        <v>N</v>
      </c>
      <c r="O416" s="3" t="str">
        <f>IF(ISNUMBER(SEARCH(",Strategy,",","&amp;SUBSTITUTE(TableMain[[#This Row],[Tags]],", ",",")&amp;",")),"Y","N")</f>
        <v>Y</v>
      </c>
      <c r="P416" s="3" t="str">
        <f>IF(ISNUMBER(SEARCH(",Free To Play,",","&amp;SUBSTITUTE(TableMain[[#This Row],[Tags]],", ",",")&amp;",")),"Y","N")</f>
        <v>N</v>
      </c>
    </row>
    <row r="417" spans="1:16" x14ac:dyDescent="0.35">
      <c r="A417">
        <v>1353300</v>
      </c>
      <c r="B417" t="s">
        <v>1024</v>
      </c>
      <c r="C417" s="1">
        <v>44186</v>
      </c>
      <c r="D417">
        <v>1300</v>
      </c>
      <c r="E417" t="b">
        <v>0</v>
      </c>
      <c r="F417" t="s">
        <v>1025</v>
      </c>
      <c r="G417" t="s">
        <v>451</v>
      </c>
      <c r="H417">
        <v>418</v>
      </c>
      <c r="I417" t="s">
        <v>14</v>
      </c>
      <c r="J417" s="3" t="str">
        <f>IF(ISNUMBER(SEARCH(",Action,",","&amp;SUBSTITUTE(TableMain[[#This Row],[Tags]],", ",",")&amp;",")),"Y","N")</f>
        <v>N</v>
      </c>
      <c r="K417" s="3" t="str">
        <f>IF(ISNUMBER(SEARCH(",Indie,",","&amp;SUBSTITUTE(TableMain[[#This Row],[Tags]],", ",",")&amp;",")),"Y","N")</f>
        <v>Y</v>
      </c>
      <c r="L417" s="3" t="str">
        <f>IF(ISNUMBER(SEARCH(",Adventure,",","&amp;SUBSTITUTE(TableMain[[#This Row],[Tags]],", ",",")&amp;",")),"Y","N")</f>
        <v>N</v>
      </c>
      <c r="M417" s="3" t="str">
        <f>IF(ISNUMBER(SEARCH(",Simulation,",","&amp;SUBSTITUTE(TableMain[[#This Row],[Tags]],", ",",")&amp;",")),"Y","N")</f>
        <v>N</v>
      </c>
      <c r="N417" s="3" t="str">
        <f>IF(ISNUMBER(SEARCH(",RPG,",","&amp;SUBSTITUTE(TableMain[[#This Row],[Tags]],", ",",")&amp;",")),"Y","N")</f>
        <v>N</v>
      </c>
      <c r="O417" s="3" t="str">
        <f>IF(ISNUMBER(SEARCH(",Strategy,",","&amp;SUBSTITUTE(TableMain[[#This Row],[Tags]],", ",",")&amp;",")),"Y","N")</f>
        <v>Y</v>
      </c>
      <c r="P417" s="3" t="str">
        <f>IF(ISNUMBER(SEARCH(",Free To Play,",","&amp;SUBSTITUTE(TableMain[[#This Row],[Tags]],", ",",")&amp;",")),"Y","N")</f>
        <v>Y</v>
      </c>
    </row>
    <row r="418" spans="1:16" x14ac:dyDescent="0.35">
      <c r="A418">
        <v>2321470</v>
      </c>
      <c r="B418" t="s">
        <v>1026</v>
      </c>
      <c r="C418" s="1">
        <v>45917</v>
      </c>
      <c r="D418">
        <v>1300</v>
      </c>
      <c r="E418" t="b">
        <v>0</v>
      </c>
      <c r="F418" t="s">
        <v>1027</v>
      </c>
      <c r="G418" t="s">
        <v>49</v>
      </c>
      <c r="H418">
        <v>418</v>
      </c>
      <c r="I418" t="s">
        <v>304</v>
      </c>
      <c r="J418" s="3" t="str">
        <f>IF(ISNUMBER(SEARCH(",Action,",","&amp;SUBSTITUTE(TableMain[[#This Row],[Tags]],", ",",")&amp;",")),"Y","N")</f>
        <v>Y</v>
      </c>
      <c r="K418" s="3" t="str">
        <f>IF(ISNUMBER(SEARCH(",Indie,",","&amp;SUBSTITUTE(TableMain[[#This Row],[Tags]],", ",",")&amp;",")),"Y","N")</f>
        <v>N</v>
      </c>
      <c r="L418" s="3" t="str">
        <f>IF(ISNUMBER(SEARCH(",Adventure,",","&amp;SUBSTITUTE(TableMain[[#This Row],[Tags]],", ",",")&amp;",")),"Y","N")</f>
        <v>N</v>
      </c>
      <c r="M418" s="3" t="str">
        <f>IF(ISNUMBER(SEARCH(",Simulation,",","&amp;SUBSTITUTE(TableMain[[#This Row],[Tags]],", ",",")&amp;",")),"Y","N")</f>
        <v>N</v>
      </c>
      <c r="N418" s="3" t="str">
        <f>IF(ISNUMBER(SEARCH(",RPG,",","&amp;SUBSTITUTE(TableMain[[#This Row],[Tags]],", ",",")&amp;",")),"Y","N")</f>
        <v>N</v>
      </c>
      <c r="O418" s="3" t="str">
        <f>IF(ISNUMBER(SEARCH(",Strategy,",","&amp;SUBSTITUTE(TableMain[[#This Row],[Tags]],", ",",")&amp;",")),"Y","N")</f>
        <v>N</v>
      </c>
      <c r="P418" s="3" t="str">
        <f>IF(ISNUMBER(SEARCH(",Free To Play,",","&amp;SUBSTITUTE(TableMain[[#This Row],[Tags]],", ",",")&amp;",")),"Y","N")</f>
        <v>N</v>
      </c>
    </row>
    <row r="419" spans="1:16" x14ac:dyDescent="0.35">
      <c r="A419">
        <v>508440</v>
      </c>
      <c r="B419" t="s">
        <v>1028</v>
      </c>
      <c r="C419" s="1">
        <v>44287</v>
      </c>
      <c r="D419">
        <v>1299</v>
      </c>
      <c r="E419" t="b">
        <v>1</v>
      </c>
      <c r="F419" t="s">
        <v>1029</v>
      </c>
      <c r="G419" t="s">
        <v>160</v>
      </c>
      <c r="H419">
        <v>420</v>
      </c>
      <c r="I419" t="s">
        <v>33</v>
      </c>
      <c r="J419" s="3" t="str">
        <f>IF(ISNUMBER(SEARCH(",Action,",","&amp;SUBSTITUTE(TableMain[[#This Row],[Tags]],", ",",")&amp;",")),"Y","N")</f>
        <v>N</v>
      </c>
      <c r="K419" s="3" t="str">
        <f>IF(ISNUMBER(SEARCH(",Indie,",","&amp;SUBSTITUTE(TableMain[[#This Row],[Tags]],", ",",")&amp;",")),"Y","N")</f>
        <v>Y</v>
      </c>
      <c r="L419" s="3" t="str">
        <f>IF(ISNUMBER(SEARCH(",Adventure,",","&amp;SUBSTITUTE(TableMain[[#This Row],[Tags]],", ",",")&amp;",")),"Y","N")</f>
        <v>N</v>
      </c>
      <c r="M419" s="3" t="str">
        <f>IF(ISNUMBER(SEARCH(",Simulation,",","&amp;SUBSTITUTE(TableMain[[#This Row],[Tags]],", ",",")&amp;",")),"Y","N")</f>
        <v>Y</v>
      </c>
      <c r="N419" s="3" t="str">
        <f>IF(ISNUMBER(SEARCH(",RPG,",","&amp;SUBSTITUTE(TableMain[[#This Row],[Tags]],", ",",")&amp;",")),"Y","N")</f>
        <v>N</v>
      </c>
      <c r="O419" s="3" t="str">
        <f>IF(ISNUMBER(SEARCH(",Strategy,",","&amp;SUBSTITUTE(TableMain[[#This Row],[Tags]],", ",",")&amp;",")),"Y","N")</f>
        <v>Y</v>
      </c>
      <c r="P419" s="3" t="str">
        <f>IF(ISNUMBER(SEARCH(",Free To Play,",","&amp;SUBSTITUTE(TableMain[[#This Row],[Tags]],", ",",")&amp;",")),"Y","N")</f>
        <v>N</v>
      </c>
    </row>
    <row r="420" spans="1:16" x14ac:dyDescent="0.35">
      <c r="A420">
        <v>1256670</v>
      </c>
      <c r="B420" t="s">
        <v>1030</v>
      </c>
      <c r="C420" s="1">
        <v>44418</v>
      </c>
      <c r="D420">
        <v>1299</v>
      </c>
      <c r="E420" t="b">
        <v>0</v>
      </c>
      <c r="F420" t="s">
        <v>1031</v>
      </c>
      <c r="G420" t="s">
        <v>516</v>
      </c>
      <c r="H420">
        <v>420</v>
      </c>
      <c r="I420" t="s">
        <v>2082</v>
      </c>
      <c r="J420" s="3" t="str">
        <f>IF(ISNUMBER(SEARCH(",Action,",","&amp;SUBSTITUTE(TableMain[[#This Row],[Tags]],", ",",")&amp;",")),"Y","N")</f>
        <v>N</v>
      </c>
      <c r="K420" s="3" t="str">
        <f>IF(ISNUMBER(SEARCH(",Indie,",","&amp;SUBSTITUTE(TableMain[[#This Row],[Tags]],", ",",")&amp;",")),"Y","N")</f>
        <v>Y</v>
      </c>
      <c r="L420" s="3" t="str">
        <f>IF(ISNUMBER(SEARCH(",Adventure,",","&amp;SUBSTITUTE(TableMain[[#This Row],[Tags]],", ",",")&amp;",")),"Y","N")</f>
        <v>N</v>
      </c>
      <c r="M420" s="3" t="str">
        <f>IF(ISNUMBER(SEARCH(",Simulation,",","&amp;SUBSTITUTE(TableMain[[#This Row],[Tags]],", ",",")&amp;",")),"Y","N")</f>
        <v>N</v>
      </c>
      <c r="N420" s="3" t="str">
        <f>IF(ISNUMBER(SEARCH(",RPG,",","&amp;SUBSTITUTE(TableMain[[#This Row],[Tags]],", ",",")&amp;",")),"Y","N")</f>
        <v>Y</v>
      </c>
      <c r="O420" s="3" t="str">
        <f>IF(ISNUMBER(SEARCH(",Strategy,",","&amp;SUBSTITUTE(TableMain[[#This Row],[Tags]],", ",",")&amp;",")),"Y","N")</f>
        <v>Y</v>
      </c>
      <c r="P420" s="3" t="str">
        <f>IF(ISNUMBER(SEARCH(",Free To Play,",","&amp;SUBSTITUTE(TableMain[[#This Row],[Tags]],", ",",")&amp;",")),"Y","N")</f>
        <v>N</v>
      </c>
    </row>
    <row r="421" spans="1:16" x14ac:dyDescent="0.35">
      <c r="A421">
        <v>552520</v>
      </c>
      <c r="B421" t="s">
        <v>1032</v>
      </c>
      <c r="C421" s="1">
        <v>43185</v>
      </c>
      <c r="D421">
        <v>1297</v>
      </c>
      <c r="E421" t="b">
        <v>0</v>
      </c>
      <c r="F421" t="s">
        <v>1033</v>
      </c>
      <c r="G421" t="s">
        <v>46</v>
      </c>
      <c r="H421">
        <v>422</v>
      </c>
      <c r="I421" t="s">
        <v>33</v>
      </c>
      <c r="J421" s="3" t="str">
        <f>IF(ISNUMBER(SEARCH(",Action,",","&amp;SUBSTITUTE(TableMain[[#This Row],[Tags]],", ",",")&amp;",")),"Y","N")</f>
        <v>Y</v>
      </c>
      <c r="K421" s="3" t="str">
        <f>IF(ISNUMBER(SEARCH(",Indie,",","&amp;SUBSTITUTE(TableMain[[#This Row],[Tags]],", ",",")&amp;",")),"Y","N")</f>
        <v>N</v>
      </c>
      <c r="L421" s="3" t="str">
        <f>IF(ISNUMBER(SEARCH(",Adventure,",","&amp;SUBSTITUTE(TableMain[[#This Row],[Tags]],", ",",")&amp;",")),"Y","N")</f>
        <v>Y</v>
      </c>
      <c r="M421" s="3" t="str">
        <f>IF(ISNUMBER(SEARCH(",Simulation,",","&amp;SUBSTITUTE(TableMain[[#This Row],[Tags]],", ",",")&amp;",")),"Y","N")</f>
        <v>N</v>
      </c>
      <c r="N421" s="3" t="str">
        <f>IF(ISNUMBER(SEARCH(",RPG,",","&amp;SUBSTITUTE(TableMain[[#This Row],[Tags]],", ",",")&amp;",")),"Y","N")</f>
        <v>N</v>
      </c>
      <c r="O421" s="3" t="str">
        <f>IF(ISNUMBER(SEARCH(",Strategy,",","&amp;SUBSTITUTE(TableMain[[#This Row],[Tags]],", ",",")&amp;",")),"Y","N")</f>
        <v>N</v>
      </c>
      <c r="P421" s="3" t="str">
        <f>IF(ISNUMBER(SEARCH(",Free To Play,",","&amp;SUBSTITUTE(TableMain[[#This Row],[Tags]],", ",",")&amp;",")),"Y","N")</f>
        <v>N</v>
      </c>
    </row>
    <row r="422" spans="1:16" x14ac:dyDescent="0.35">
      <c r="A422">
        <v>924970</v>
      </c>
      <c r="B422" t="s">
        <v>1034</v>
      </c>
      <c r="C422" s="1">
        <v>44481</v>
      </c>
      <c r="D422">
        <v>1288</v>
      </c>
      <c r="E422" t="b">
        <v>0</v>
      </c>
      <c r="F422" t="s">
        <v>1035</v>
      </c>
      <c r="G422" t="s">
        <v>49</v>
      </c>
      <c r="H422">
        <v>423</v>
      </c>
      <c r="I422" t="s">
        <v>33</v>
      </c>
      <c r="J422" s="3" t="str">
        <f>IF(ISNUMBER(SEARCH(",Action,",","&amp;SUBSTITUTE(TableMain[[#This Row],[Tags]],", ",",")&amp;",")),"Y","N")</f>
        <v>Y</v>
      </c>
      <c r="K422" s="3" t="str">
        <f>IF(ISNUMBER(SEARCH(",Indie,",","&amp;SUBSTITUTE(TableMain[[#This Row],[Tags]],", ",",")&amp;",")),"Y","N")</f>
        <v>N</v>
      </c>
      <c r="L422" s="3" t="str">
        <f>IF(ISNUMBER(SEARCH(",Adventure,",","&amp;SUBSTITUTE(TableMain[[#This Row],[Tags]],", ",",")&amp;",")),"Y","N")</f>
        <v>N</v>
      </c>
      <c r="M422" s="3" t="str">
        <f>IF(ISNUMBER(SEARCH(",Simulation,",","&amp;SUBSTITUTE(TableMain[[#This Row],[Tags]],", ",",")&amp;",")),"Y","N")</f>
        <v>N</v>
      </c>
      <c r="N422" s="3" t="str">
        <f>IF(ISNUMBER(SEARCH(",RPG,",","&amp;SUBSTITUTE(TableMain[[#This Row],[Tags]],", ",",")&amp;",")),"Y","N")</f>
        <v>N</v>
      </c>
      <c r="O422" s="3" t="str">
        <f>IF(ISNUMBER(SEARCH(",Strategy,",","&amp;SUBSTITUTE(TableMain[[#This Row],[Tags]],", ",",")&amp;",")),"Y","N")</f>
        <v>N</v>
      </c>
      <c r="P422" s="3" t="str">
        <f>IF(ISNUMBER(SEARCH(",Free To Play,",","&amp;SUBSTITUTE(TableMain[[#This Row],[Tags]],", ",",")&amp;",")),"Y","N")</f>
        <v>N</v>
      </c>
    </row>
    <row r="423" spans="1:16" x14ac:dyDescent="0.35">
      <c r="A423">
        <v>1196590</v>
      </c>
      <c r="B423" t="s">
        <v>1036</v>
      </c>
      <c r="C423" s="1">
        <v>44322</v>
      </c>
      <c r="D423">
        <v>1284</v>
      </c>
      <c r="E423" t="b">
        <v>0</v>
      </c>
      <c r="F423" t="s">
        <v>521</v>
      </c>
      <c r="G423" t="s">
        <v>49</v>
      </c>
      <c r="H423">
        <v>424</v>
      </c>
      <c r="I423" t="s">
        <v>486</v>
      </c>
      <c r="J423" s="3" t="str">
        <f>IF(ISNUMBER(SEARCH(",Action,",","&amp;SUBSTITUTE(TableMain[[#This Row],[Tags]],", ",",")&amp;",")),"Y","N")</f>
        <v>Y</v>
      </c>
      <c r="K423" s="3" t="str">
        <f>IF(ISNUMBER(SEARCH(",Indie,",","&amp;SUBSTITUTE(TableMain[[#This Row],[Tags]],", ",",")&amp;",")),"Y","N")</f>
        <v>N</v>
      </c>
      <c r="L423" s="3" t="str">
        <f>IF(ISNUMBER(SEARCH(",Adventure,",","&amp;SUBSTITUTE(TableMain[[#This Row],[Tags]],", ",",")&amp;",")),"Y","N")</f>
        <v>N</v>
      </c>
      <c r="M423" s="3" t="str">
        <f>IF(ISNUMBER(SEARCH(",Simulation,",","&amp;SUBSTITUTE(TableMain[[#This Row],[Tags]],", ",",")&amp;",")),"Y","N")</f>
        <v>N</v>
      </c>
      <c r="N423" s="3" t="str">
        <f>IF(ISNUMBER(SEARCH(",RPG,",","&amp;SUBSTITUTE(TableMain[[#This Row],[Tags]],", ",",")&amp;",")),"Y","N")</f>
        <v>N</v>
      </c>
      <c r="O423" s="3" t="str">
        <f>IF(ISNUMBER(SEARCH(",Strategy,",","&amp;SUBSTITUTE(TableMain[[#This Row],[Tags]],", ",",")&amp;",")),"Y","N")</f>
        <v>N</v>
      </c>
      <c r="P423" s="3" t="str">
        <f>IF(ISNUMBER(SEARCH(",Free To Play,",","&amp;SUBSTITUTE(TableMain[[#This Row],[Tags]],", ",",")&amp;",")),"Y","N")</f>
        <v>N</v>
      </c>
    </row>
    <row r="424" spans="1:16" x14ac:dyDescent="0.35">
      <c r="A424">
        <v>335240</v>
      </c>
      <c r="B424" t="s">
        <v>1037</v>
      </c>
      <c r="C424" s="1">
        <v>42034</v>
      </c>
      <c r="D424">
        <v>1284</v>
      </c>
      <c r="E424" t="b">
        <v>1</v>
      </c>
      <c r="F424" t="s">
        <v>1038</v>
      </c>
      <c r="G424" t="s">
        <v>1039</v>
      </c>
      <c r="H424">
        <v>424</v>
      </c>
      <c r="I424" t="s">
        <v>2084</v>
      </c>
      <c r="J424" s="3" t="str">
        <f>IF(ISNUMBER(SEARCH(",Action,",","&amp;SUBSTITUTE(TableMain[[#This Row],[Tags]],", ",",")&amp;",")),"Y","N")</f>
        <v>N</v>
      </c>
      <c r="K424" s="3" t="str">
        <f>IF(ISNUMBER(SEARCH(",Indie,",","&amp;SUBSTITUTE(TableMain[[#This Row],[Tags]],", ",",")&amp;",")),"Y","N")</f>
        <v>Y</v>
      </c>
      <c r="L424" s="3" t="str">
        <f>IF(ISNUMBER(SEARCH(",Adventure,",","&amp;SUBSTITUTE(TableMain[[#This Row],[Tags]],", ",",")&amp;",")),"Y","N")</f>
        <v>N</v>
      </c>
      <c r="M424" s="3" t="str">
        <f>IF(ISNUMBER(SEARCH(",Simulation,",","&amp;SUBSTITUTE(TableMain[[#This Row],[Tags]],", ",",")&amp;",")),"Y","N")</f>
        <v>N</v>
      </c>
      <c r="N424" s="3" t="str">
        <f>IF(ISNUMBER(SEARCH(",RPG,",","&amp;SUBSTITUTE(TableMain[[#This Row],[Tags]],", ",",")&amp;",")),"Y","N")</f>
        <v>N</v>
      </c>
      <c r="O424" s="3" t="str">
        <f>IF(ISNUMBER(SEARCH(",Strategy,",","&amp;SUBSTITUTE(TableMain[[#This Row],[Tags]],", ",",")&amp;",")),"Y","N")</f>
        <v>N</v>
      </c>
      <c r="P424" s="3" t="str">
        <f>IF(ISNUMBER(SEARCH(",Free To Play,",","&amp;SUBSTITUTE(TableMain[[#This Row],[Tags]],", ",",")&amp;",")),"Y","N")</f>
        <v>Y</v>
      </c>
    </row>
    <row r="425" spans="1:16" x14ac:dyDescent="0.35">
      <c r="A425">
        <v>963330</v>
      </c>
      <c r="B425" t="s">
        <v>1040</v>
      </c>
      <c r="C425" s="1">
        <v>43442</v>
      </c>
      <c r="D425">
        <v>1281</v>
      </c>
      <c r="E425" t="b">
        <v>0</v>
      </c>
      <c r="F425" t="s">
        <v>467</v>
      </c>
      <c r="G425" t="s">
        <v>1041</v>
      </c>
      <c r="H425">
        <v>426</v>
      </c>
      <c r="I425" t="s">
        <v>304</v>
      </c>
      <c r="J425" s="3" t="str">
        <f>IF(ISNUMBER(SEARCH(",Action,",","&amp;SUBSTITUTE(TableMain[[#This Row],[Tags]],", ",",")&amp;",")),"Y","N")</f>
        <v>N</v>
      </c>
      <c r="K425" s="3" t="str">
        <f>IF(ISNUMBER(SEARCH(",Indie,",","&amp;SUBSTITUTE(TableMain[[#This Row],[Tags]],", ",",")&amp;",")),"Y","N")</f>
        <v>Y</v>
      </c>
      <c r="L425" s="3" t="str">
        <f>IF(ISNUMBER(SEARCH(",Adventure,",","&amp;SUBSTITUTE(TableMain[[#This Row],[Tags]],", ",",")&amp;",")),"Y","N")</f>
        <v>N</v>
      </c>
      <c r="M425" s="3" t="str">
        <f>IF(ISNUMBER(SEARCH(",Simulation,",","&amp;SUBSTITUTE(TableMain[[#This Row],[Tags]],", ",",")&amp;",")),"Y","N")</f>
        <v>N</v>
      </c>
      <c r="N425" s="3" t="str">
        <f>IF(ISNUMBER(SEARCH(",RPG,",","&amp;SUBSTITUTE(TableMain[[#This Row],[Tags]],", ",",")&amp;",")),"Y","N")</f>
        <v>N</v>
      </c>
      <c r="O425" s="3" t="str">
        <f>IF(ISNUMBER(SEARCH(",Strategy,",","&amp;SUBSTITUTE(TableMain[[#This Row],[Tags]],", ",",")&amp;",")),"Y","N")</f>
        <v>N</v>
      </c>
      <c r="P425" s="3" t="str">
        <f>IF(ISNUMBER(SEARCH(",Free To Play,",","&amp;SUBSTITUTE(TableMain[[#This Row],[Tags]],", ",",")&amp;",")),"Y","N")</f>
        <v>N</v>
      </c>
    </row>
    <row r="426" spans="1:16" x14ac:dyDescent="0.35">
      <c r="A426">
        <v>495420</v>
      </c>
      <c r="B426" t="s">
        <v>1042</v>
      </c>
      <c r="C426" s="1">
        <v>43903</v>
      </c>
      <c r="D426">
        <v>1281</v>
      </c>
      <c r="E426" t="b">
        <v>0</v>
      </c>
      <c r="F426" t="s">
        <v>1043</v>
      </c>
      <c r="G426" t="s">
        <v>1044</v>
      </c>
      <c r="H426">
        <v>426</v>
      </c>
      <c r="I426" t="s">
        <v>513</v>
      </c>
      <c r="J426" s="3" t="str">
        <f>IF(ISNUMBER(SEARCH(",Action,",","&amp;SUBSTITUTE(TableMain[[#This Row],[Tags]],", ",",")&amp;",")),"Y","N")</f>
        <v>Y</v>
      </c>
      <c r="K426" s="3" t="str">
        <f>IF(ISNUMBER(SEARCH(",Indie,",","&amp;SUBSTITUTE(TableMain[[#This Row],[Tags]],", ",",")&amp;",")),"Y","N")</f>
        <v>N</v>
      </c>
      <c r="L426" s="3" t="str">
        <f>IF(ISNUMBER(SEARCH(",Adventure,",","&amp;SUBSTITUTE(TableMain[[#This Row],[Tags]],", ",",")&amp;",")),"Y","N")</f>
        <v>N</v>
      </c>
      <c r="M426" s="3" t="str">
        <f>IF(ISNUMBER(SEARCH(",Simulation,",","&amp;SUBSTITUTE(TableMain[[#This Row],[Tags]],", ",",")&amp;",")),"Y","N")</f>
        <v>Y</v>
      </c>
      <c r="N426" s="3" t="str">
        <f>IF(ISNUMBER(SEARCH(",RPG,",","&amp;SUBSTITUTE(TableMain[[#This Row],[Tags]],", ",",")&amp;",")),"Y","N")</f>
        <v>Y</v>
      </c>
      <c r="O426" s="3" t="str">
        <f>IF(ISNUMBER(SEARCH(",Strategy,",","&amp;SUBSTITUTE(TableMain[[#This Row],[Tags]],", ",",")&amp;",")),"Y","N")</f>
        <v>N</v>
      </c>
      <c r="P426" s="3" t="str">
        <f>IF(ISNUMBER(SEARCH(",Free To Play,",","&amp;SUBSTITUTE(TableMain[[#This Row],[Tags]],", ",",")&amp;",")),"Y","N")</f>
        <v>N</v>
      </c>
    </row>
    <row r="427" spans="1:16" x14ac:dyDescent="0.35">
      <c r="A427">
        <v>767560</v>
      </c>
      <c r="B427" t="s">
        <v>1045</v>
      </c>
      <c r="C427" s="1">
        <v>43194</v>
      </c>
      <c r="D427">
        <v>1280</v>
      </c>
      <c r="E427" t="b">
        <v>0</v>
      </c>
      <c r="F427" t="s">
        <v>1046</v>
      </c>
      <c r="G427" t="s">
        <v>10</v>
      </c>
      <c r="H427">
        <v>428</v>
      </c>
      <c r="I427" t="s">
        <v>133</v>
      </c>
      <c r="J427" s="3" t="str">
        <f>IF(ISNUMBER(SEARCH(",Action,",","&amp;SUBSTITUTE(TableMain[[#This Row],[Tags]],", ",",")&amp;",")),"Y","N")</f>
        <v>Y</v>
      </c>
      <c r="K427" s="3" t="str">
        <f>IF(ISNUMBER(SEARCH(",Indie,",","&amp;SUBSTITUTE(TableMain[[#This Row],[Tags]],", ",",")&amp;",")),"Y","N")</f>
        <v>N</v>
      </c>
      <c r="L427" s="3" t="str">
        <f>IF(ISNUMBER(SEARCH(",Adventure,",","&amp;SUBSTITUTE(TableMain[[#This Row],[Tags]],", ",",")&amp;",")),"Y","N")</f>
        <v>N</v>
      </c>
      <c r="M427" s="3" t="str">
        <f>IF(ISNUMBER(SEARCH(",Simulation,",","&amp;SUBSTITUTE(TableMain[[#This Row],[Tags]],", ",",")&amp;",")),"Y","N")</f>
        <v>N</v>
      </c>
      <c r="N427" s="3" t="str">
        <f>IF(ISNUMBER(SEARCH(",RPG,",","&amp;SUBSTITUTE(TableMain[[#This Row],[Tags]],", ",",")&amp;",")),"Y","N")</f>
        <v>N</v>
      </c>
      <c r="O427" s="3" t="str">
        <f>IF(ISNUMBER(SEARCH(",Strategy,",","&amp;SUBSTITUTE(TableMain[[#This Row],[Tags]],", ",",")&amp;",")),"Y","N")</f>
        <v>N</v>
      </c>
      <c r="P427" s="3" t="str">
        <f>IF(ISNUMBER(SEARCH(",Free To Play,",","&amp;SUBSTITUTE(TableMain[[#This Row],[Tags]],", ",",")&amp;",")),"Y","N")</f>
        <v>Y</v>
      </c>
    </row>
    <row r="428" spans="1:16" x14ac:dyDescent="0.35">
      <c r="A428">
        <v>1811260</v>
      </c>
      <c r="B428" t="s">
        <v>1047</v>
      </c>
      <c r="C428" s="1">
        <v>44834</v>
      </c>
      <c r="D428">
        <v>1280</v>
      </c>
      <c r="E428" t="b">
        <v>0</v>
      </c>
      <c r="F428" t="s">
        <v>1048</v>
      </c>
      <c r="G428" t="s">
        <v>78</v>
      </c>
      <c r="H428">
        <v>428</v>
      </c>
      <c r="I428" t="s">
        <v>175</v>
      </c>
      <c r="J428" s="3" t="str">
        <f>IF(ISNUMBER(SEARCH(",Action,",","&amp;SUBSTITUTE(TableMain[[#This Row],[Tags]],", ",",")&amp;",")),"Y","N")</f>
        <v>N</v>
      </c>
      <c r="K428" s="3" t="str">
        <f>IF(ISNUMBER(SEARCH(",Indie,",","&amp;SUBSTITUTE(TableMain[[#This Row],[Tags]],", ",",")&amp;",")),"Y","N")</f>
        <v>N</v>
      </c>
      <c r="L428" s="3" t="str">
        <f>IF(ISNUMBER(SEARCH(",Adventure,",","&amp;SUBSTITUTE(TableMain[[#This Row],[Tags]],", ",",")&amp;",")),"Y","N")</f>
        <v>N</v>
      </c>
      <c r="M428" s="3" t="str">
        <f>IF(ISNUMBER(SEARCH(",Simulation,",","&amp;SUBSTITUTE(TableMain[[#This Row],[Tags]],", ",",")&amp;",")),"Y","N")</f>
        <v>Y</v>
      </c>
      <c r="N428" s="3" t="str">
        <f>IF(ISNUMBER(SEARCH(",RPG,",","&amp;SUBSTITUTE(TableMain[[#This Row],[Tags]],", ",",")&amp;",")),"Y","N")</f>
        <v>N</v>
      </c>
      <c r="O428" s="3" t="str">
        <f>IF(ISNUMBER(SEARCH(",Strategy,",","&amp;SUBSTITUTE(TableMain[[#This Row],[Tags]],", ",",")&amp;",")),"Y","N")</f>
        <v>N</v>
      </c>
      <c r="P428" s="3" t="str">
        <f>IF(ISNUMBER(SEARCH(",Free To Play,",","&amp;SUBSTITUTE(TableMain[[#This Row],[Tags]],", ",",")&amp;",")),"Y","N")</f>
        <v>N</v>
      </c>
    </row>
    <row r="429" spans="1:16" x14ac:dyDescent="0.35">
      <c r="A429">
        <v>2135150</v>
      </c>
      <c r="B429" t="s">
        <v>1049</v>
      </c>
      <c r="C429" s="1">
        <v>45597</v>
      </c>
      <c r="D429">
        <v>1277</v>
      </c>
      <c r="E429" t="b">
        <v>0</v>
      </c>
      <c r="F429" t="s">
        <v>1050</v>
      </c>
      <c r="G429" t="s">
        <v>682</v>
      </c>
      <c r="H429">
        <v>430</v>
      </c>
      <c r="I429" t="s">
        <v>161</v>
      </c>
      <c r="J429" s="3" t="str">
        <f>IF(ISNUMBER(SEARCH(",Action,",","&amp;SUBSTITUTE(TableMain[[#This Row],[Tags]],", ",",")&amp;",")),"Y","N")</f>
        <v>N</v>
      </c>
      <c r="K429" s="3" t="str">
        <f>IF(ISNUMBER(SEARCH(",Indie,",","&amp;SUBSTITUTE(TableMain[[#This Row],[Tags]],", ",",")&amp;",")),"Y","N")</f>
        <v>Y</v>
      </c>
      <c r="L429" s="3" t="str">
        <f>IF(ISNUMBER(SEARCH(",Adventure,",","&amp;SUBSTITUTE(TableMain[[#This Row],[Tags]],", ",",")&amp;",")),"Y","N")</f>
        <v>N</v>
      </c>
      <c r="M429" s="3" t="str">
        <f>IF(ISNUMBER(SEARCH(",Simulation,",","&amp;SUBSTITUTE(TableMain[[#This Row],[Tags]],", ",",")&amp;",")),"Y","N")</f>
        <v>Y</v>
      </c>
      <c r="N429" s="3" t="str">
        <f>IF(ISNUMBER(SEARCH(",RPG,",","&amp;SUBSTITUTE(TableMain[[#This Row],[Tags]],", ",",")&amp;",")),"Y","N")</f>
        <v>Y</v>
      </c>
      <c r="O429" s="3" t="str">
        <f>IF(ISNUMBER(SEARCH(",Strategy,",","&amp;SUBSTITUTE(TableMain[[#This Row],[Tags]],", ",",")&amp;",")),"Y","N")</f>
        <v>Y</v>
      </c>
      <c r="P429" s="3" t="str">
        <f>IF(ISNUMBER(SEARCH(",Free To Play,",","&amp;SUBSTITUTE(TableMain[[#This Row],[Tags]],", ",",")&amp;",")),"Y","N")</f>
        <v>N</v>
      </c>
    </row>
    <row r="430" spans="1:16" x14ac:dyDescent="0.35">
      <c r="A430">
        <v>47890</v>
      </c>
      <c r="B430" t="s">
        <v>1051</v>
      </c>
      <c r="C430" s="1">
        <v>40570</v>
      </c>
      <c r="D430">
        <v>1264</v>
      </c>
      <c r="E430" t="b">
        <v>0</v>
      </c>
      <c r="F430" t="s">
        <v>915</v>
      </c>
      <c r="G430" t="s">
        <v>239</v>
      </c>
      <c r="H430">
        <v>431</v>
      </c>
      <c r="I430" t="s">
        <v>2084</v>
      </c>
      <c r="J430" s="3" t="str">
        <f>IF(ISNUMBER(SEARCH(",Action,",","&amp;SUBSTITUTE(TableMain[[#This Row],[Tags]],", ",",")&amp;",")),"Y","N")</f>
        <v>N</v>
      </c>
      <c r="K430" s="3" t="str">
        <f>IF(ISNUMBER(SEARCH(",Indie,",","&amp;SUBSTITUTE(TableMain[[#This Row],[Tags]],", ",",")&amp;",")),"Y","N")</f>
        <v>N</v>
      </c>
      <c r="L430" s="3" t="str">
        <f>IF(ISNUMBER(SEARCH(",Adventure,",","&amp;SUBSTITUTE(TableMain[[#This Row],[Tags]],", ",",")&amp;",")),"Y","N")</f>
        <v>N</v>
      </c>
      <c r="M430" s="3" t="str">
        <f>IF(ISNUMBER(SEARCH(",Simulation,",","&amp;SUBSTITUTE(TableMain[[#This Row],[Tags]],", ",",")&amp;",")),"Y","N")</f>
        <v>Y</v>
      </c>
      <c r="N430" s="3" t="str">
        <f>IF(ISNUMBER(SEARCH(",RPG,",","&amp;SUBSTITUTE(TableMain[[#This Row],[Tags]],", ",",")&amp;",")),"Y","N")</f>
        <v>N</v>
      </c>
      <c r="O430" s="3" t="str">
        <f>IF(ISNUMBER(SEARCH(",Strategy,",","&amp;SUBSTITUTE(TableMain[[#This Row],[Tags]],", ",",")&amp;",")),"Y","N")</f>
        <v>N</v>
      </c>
      <c r="P430" s="3" t="str">
        <f>IF(ISNUMBER(SEARCH(",Free To Play,",","&amp;SUBSTITUTE(TableMain[[#This Row],[Tags]],", ",",")&amp;",")),"Y","N")</f>
        <v>N</v>
      </c>
    </row>
    <row r="431" spans="1:16" x14ac:dyDescent="0.35">
      <c r="A431">
        <v>2591280</v>
      </c>
      <c r="B431" t="s">
        <v>1052</v>
      </c>
      <c r="C431" s="1">
        <v>45496</v>
      </c>
      <c r="D431">
        <v>1262</v>
      </c>
      <c r="E431" t="b">
        <v>0</v>
      </c>
      <c r="F431" t="s">
        <v>1053</v>
      </c>
      <c r="G431" t="s">
        <v>100</v>
      </c>
      <c r="H431">
        <v>432</v>
      </c>
      <c r="I431" t="s">
        <v>371</v>
      </c>
      <c r="J431" s="3" t="str">
        <f>IF(ISNUMBER(SEARCH(",Action,",","&amp;SUBSTITUTE(TableMain[[#This Row],[Tags]],", ",",")&amp;",")),"Y","N")</f>
        <v>N</v>
      </c>
      <c r="K431" s="3" t="str">
        <f>IF(ISNUMBER(SEARCH(",Indie,",","&amp;SUBSTITUTE(TableMain[[#This Row],[Tags]],", ",",")&amp;",")),"Y","N")</f>
        <v>N</v>
      </c>
      <c r="L431" s="3" t="str">
        <f>IF(ISNUMBER(SEARCH(",Adventure,",","&amp;SUBSTITUTE(TableMain[[#This Row],[Tags]],", ",",")&amp;",")),"Y","N")</f>
        <v>N</v>
      </c>
      <c r="M431" s="3" t="str">
        <f>IF(ISNUMBER(SEARCH(",Simulation,",","&amp;SUBSTITUTE(TableMain[[#This Row],[Tags]],", ",",")&amp;",")),"Y","N")</f>
        <v>Y</v>
      </c>
      <c r="N431" s="3" t="str">
        <f>IF(ISNUMBER(SEARCH(",RPG,",","&amp;SUBSTITUTE(TableMain[[#This Row],[Tags]],", ",",")&amp;",")),"Y","N")</f>
        <v>N</v>
      </c>
      <c r="O431" s="3" t="str">
        <f>IF(ISNUMBER(SEARCH(",Strategy,",","&amp;SUBSTITUTE(TableMain[[#This Row],[Tags]],", ",",")&amp;",")),"Y","N")</f>
        <v>Y</v>
      </c>
      <c r="P431" s="3" t="str">
        <f>IF(ISNUMBER(SEARCH(",Free To Play,",","&amp;SUBSTITUTE(TableMain[[#This Row],[Tags]],", ",",")&amp;",")),"Y","N")</f>
        <v>N</v>
      </c>
    </row>
    <row r="432" spans="1:16" x14ac:dyDescent="0.35">
      <c r="A432">
        <v>3228590</v>
      </c>
      <c r="B432" t="s">
        <v>1054</v>
      </c>
      <c r="C432" s="1">
        <v>45880</v>
      </c>
      <c r="D432">
        <v>1261</v>
      </c>
      <c r="E432" t="b">
        <v>0</v>
      </c>
      <c r="F432" t="s">
        <v>1055</v>
      </c>
      <c r="G432" t="s">
        <v>49</v>
      </c>
      <c r="H432">
        <v>433</v>
      </c>
      <c r="I432" t="s">
        <v>833</v>
      </c>
      <c r="J432" s="3" t="str">
        <f>IF(ISNUMBER(SEARCH(",Action,",","&amp;SUBSTITUTE(TableMain[[#This Row],[Tags]],", ",",")&amp;",")),"Y","N")</f>
        <v>Y</v>
      </c>
      <c r="K432" s="3" t="str">
        <f>IF(ISNUMBER(SEARCH(",Indie,",","&amp;SUBSTITUTE(TableMain[[#This Row],[Tags]],", ",",")&amp;",")),"Y","N")</f>
        <v>N</v>
      </c>
      <c r="L432" s="3" t="str">
        <f>IF(ISNUMBER(SEARCH(",Adventure,",","&amp;SUBSTITUTE(TableMain[[#This Row],[Tags]],", ",",")&amp;",")),"Y","N")</f>
        <v>N</v>
      </c>
      <c r="M432" s="3" t="str">
        <f>IF(ISNUMBER(SEARCH(",Simulation,",","&amp;SUBSTITUTE(TableMain[[#This Row],[Tags]],", ",",")&amp;",")),"Y","N")</f>
        <v>N</v>
      </c>
      <c r="N432" s="3" t="str">
        <f>IF(ISNUMBER(SEARCH(",RPG,",","&amp;SUBSTITUTE(TableMain[[#This Row],[Tags]],", ",",")&amp;",")),"Y","N")</f>
        <v>N</v>
      </c>
      <c r="O432" s="3" t="str">
        <f>IF(ISNUMBER(SEARCH(",Strategy,",","&amp;SUBSTITUTE(TableMain[[#This Row],[Tags]],", ",",")&amp;",")),"Y","N")</f>
        <v>N</v>
      </c>
      <c r="P432" s="3" t="str">
        <f>IF(ISNUMBER(SEARCH(",Free To Play,",","&amp;SUBSTITUTE(TableMain[[#This Row],[Tags]],", ",",")&amp;",")),"Y","N")</f>
        <v>N</v>
      </c>
    </row>
    <row r="433" spans="1:16" x14ac:dyDescent="0.35">
      <c r="A433">
        <v>3150440</v>
      </c>
      <c r="B433" t="s">
        <v>1056</v>
      </c>
      <c r="C433" s="1">
        <v>45635</v>
      </c>
      <c r="D433">
        <v>1256</v>
      </c>
      <c r="E433" t="b">
        <v>0</v>
      </c>
      <c r="F433" t="s">
        <v>853</v>
      </c>
      <c r="G433" t="s">
        <v>174</v>
      </c>
      <c r="H433">
        <v>434</v>
      </c>
      <c r="I433" t="s">
        <v>133</v>
      </c>
      <c r="J433" s="3" t="str">
        <f>IF(ISNUMBER(SEARCH(",Action,",","&amp;SUBSTITUTE(TableMain[[#This Row],[Tags]],", ",",")&amp;",")),"Y","N")</f>
        <v>N</v>
      </c>
      <c r="K433" s="3" t="str">
        <f>IF(ISNUMBER(SEARCH(",Indie,",","&amp;SUBSTITUTE(TableMain[[#This Row],[Tags]],", ",",")&amp;",")),"Y","N")</f>
        <v>Y</v>
      </c>
      <c r="L433" s="3" t="str">
        <f>IF(ISNUMBER(SEARCH(",Adventure,",","&amp;SUBSTITUTE(TableMain[[#This Row],[Tags]],", ",",")&amp;",")),"Y","N")</f>
        <v>N</v>
      </c>
      <c r="M433" s="3" t="str">
        <f>IF(ISNUMBER(SEARCH(",Simulation,",","&amp;SUBSTITUTE(TableMain[[#This Row],[Tags]],", ",",")&amp;",")),"Y","N")</f>
        <v>Y</v>
      </c>
      <c r="N433" s="3" t="str">
        <f>IF(ISNUMBER(SEARCH(",RPG,",","&amp;SUBSTITUTE(TableMain[[#This Row],[Tags]],", ",",")&amp;",")),"Y","N")</f>
        <v>N</v>
      </c>
      <c r="O433" s="3" t="str">
        <f>IF(ISNUMBER(SEARCH(",Strategy,",","&amp;SUBSTITUTE(TableMain[[#This Row],[Tags]],", ",",")&amp;",")),"Y","N")</f>
        <v>N</v>
      </c>
      <c r="P433" s="3" t="str">
        <f>IF(ISNUMBER(SEARCH(",Free To Play,",","&amp;SUBSTITUTE(TableMain[[#This Row],[Tags]],", ",",")&amp;",")),"Y","N")</f>
        <v>N</v>
      </c>
    </row>
    <row r="434" spans="1:16" x14ac:dyDescent="0.35">
      <c r="A434">
        <v>2680010</v>
      </c>
      <c r="B434" t="s">
        <v>1057</v>
      </c>
      <c r="C434" s="1">
        <v>45743</v>
      </c>
      <c r="D434">
        <v>1253</v>
      </c>
      <c r="E434" t="b">
        <v>0</v>
      </c>
      <c r="F434" t="s">
        <v>416</v>
      </c>
      <c r="G434" t="s">
        <v>208</v>
      </c>
      <c r="H434">
        <v>435</v>
      </c>
      <c r="I434" t="s">
        <v>119</v>
      </c>
      <c r="J434" s="3" t="str">
        <f>IF(ISNUMBER(SEARCH(",Action,",","&amp;SUBSTITUTE(TableMain[[#This Row],[Tags]],", ",",")&amp;",")),"Y","N")</f>
        <v>Y</v>
      </c>
      <c r="K434" s="3" t="str">
        <f>IF(ISNUMBER(SEARCH(",Indie,",","&amp;SUBSTITUTE(TableMain[[#This Row],[Tags]],", ",",")&amp;",")),"Y","N")</f>
        <v>N</v>
      </c>
      <c r="L434" s="3" t="str">
        <f>IF(ISNUMBER(SEARCH(",Adventure,",","&amp;SUBSTITUTE(TableMain[[#This Row],[Tags]],", ",",")&amp;",")),"Y","N")</f>
        <v>Y</v>
      </c>
      <c r="M434" s="3" t="str">
        <f>IF(ISNUMBER(SEARCH(",Simulation,",","&amp;SUBSTITUTE(TableMain[[#This Row],[Tags]],", ",",")&amp;",")),"Y","N")</f>
        <v>N</v>
      </c>
      <c r="N434" s="3" t="str">
        <f>IF(ISNUMBER(SEARCH(",RPG,",","&amp;SUBSTITUTE(TableMain[[#This Row],[Tags]],", ",",")&amp;",")),"Y","N")</f>
        <v>Y</v>
      </c>
      <c r="O434" s="3" t="str">
        <f>IF(ISNUMBER(SEARCH(",Strategy,",","&amp;SUBSTITUTE(TableMain[[#This Row],[Tags]],", ",",")&amp;",")),"Y","N")</f>
        <v>N</v>
      </c>
      <c r="P434" s="3" t="str">
        <f>IF(ISNUMBER(SEARCH(",Free To Play,",","&amp;SUBSTITUTE(TableMain[[#This Row],[Tags]],", ",",")&amp;",")),"Y","N")</f>
        <v>N</v>
      </c>
    </row>
    <row r="435" spans="1:16" x14ac:dyDescent="0.35">
      <c r="A435">
        <v>1812450</v>
      </c>
      <c r="B435" t="s">
        <v>1058</v>
      </c>
      <c r="C435" s="1">
        <v>45405</v>
      </c>
      <c r="D435">
        <v>1252</v>
      </c>
      <c r="E435" t="b">
        <v>0</v>
      </c>
      <c r="F435" t="s">
        <v>1059</v>
      </c>
      <c r="G435" t="s">
        <v>1060</v>
      </c>
      <c r="H435">
        <v>436</v>
      </c>
      <c r="I435" t="s">
        <v>29</v>
      </c>
      <c r="J435" s="3" t="str">
        <f>IF(ISNUMBER(SEARCH(",Action,",","&amp;SUBSTITUTE(TableMain[[#This Row],[Tags]],", ",",")&amp;",")),"Y","N")</f>
        <v>Y</v>
      </c>
      <c r="K435" s="3" t="str">
        <f>IF(ISNUMBER(SEARCH(",Indie,",","&amp;SUBSTITUTE(TableMain[[#This Row],[Tags]],", ",",")&amp;",")),"Y","N")</f>
        <v>N</v>
      </c>
      <c r="L435" s="3" t="str">
        <f>IF(ISNUMBER(SEARCH(",Adventure,",","&amp;SUBSTITUTE(TableMain[[#This Row],[Tags]],", ",",")&amp;",")),"Y","N")</f>
        <v>N</v>
      </c>
      <c r="M435" s="3" t="str">
        <f>IF(ISNUMBER(SEARCH(",Simulation,",","&amp;SUBSTITUTE(TableMain[[#This Row],[Tags]],", ",",")&amp;",")),"Y","N")</f>
        <v>Y</v>
      </c>
      <c r="N435" s="3" t="str">
        <f>IF(ISNUMBER(SEARCH(",RPG,",","&amp;SUBSTITUTE(TableMain[[#This Row],[Tags]],", ",",")&amp;",")),"Y","N")</f>
        <v>Y</v>
      </c>
      <c r="O435" s="3" t="str">
        <f>IF(ISNUMBER(SEARCH(",Strategy,",","&amp;SUBSTITUTE(TableMain[[#This Row],[Tags]],", ",",")&amp;",")),"Y","N")</f>
        <v>Y</v>
      </c>
      <c r="P435" s="3" t="str">
        <f>IF(ISNUMBER(SEARCH(",Free To Play,",","&amp;SUBSTITUTE(TableMain[[#This Row],[Tags]],", ",",")&amp;",")),"Y","N")</f>
        <v>N</v>
      </c>
    </row>
    <row r="436" spans="1:16" x14ac:dyDescent="0.35">
      <c r="A436">
        <v>665300</v>
      </c>
      <c r="B436" t="s">
        <v>1061</v>
      </c>
      <c r="C436" s="1">
        <v>42942</v>
      </c>
      <c r="D436">
        <v>1214</v>
      </c>
      <c r="E436" t="b">
        <v>1</v>
      </c>
      <c r="F436" t="s">
        <v>1062</v>
      </c>
      <c r="G436" t="s">
        <v>1063</v>
      </c>
      <c r="H436">
        <v>437</v>
      </c>
      <c r="I436" t="s">
        <v>133</v>
      </c>
      <c r="J436" s="3" t="str">
        <f>IF(ISNUMBER(SEARCH(",Action,",","&amp;SUBSTITUTE(TableMain[[#This Row],[Tags]],", ",",")&amp;",")),"Y","N")</f>
        <v>N</v>
      </c>
      <c r="K436" s="3" t="str">
        <f>IF(ISNUMBER(SEARCH(",Indie,",","&amp;SUBSTITUTE(TableMain[[#This Row],[Tags]],", ",",")&amp;",")),"Y","N")</f>
        <v>N</v>
      </c>
      <c r="L436" s="3" t="str">
        <f>IF(ISNUMBER(SEARCH(",Adventure,",","&amp;SUBSTITUTE(TableMain[[#This Row],[Tags]],", ",",")&amp;",")),"Y","N")</f>
        <v>N</v>
      </c>
      <c r="M436" s="3" t="str">
        <f>IF(ISNUMBER(SEARCH(",Simulation,",","&amp;SUBSTITUTE(TableMain[[#This Row],[Tags]],", ",",")&amp;",")),"Y","N")</f>
        <v>N</v>
      </c>
      <c r="N436" s="3" t="str">
        <f>IF(ISNUMBER(SEARCH(",RPG,",","&amp;SUBSTITUTE(TableMain[[#This Row],[Tags]],", ",",")&amp;",")),"Y","N")</f>
        <v>N</v>
      </c>
      <c r="O436" s="3" t="str">
        <f>IF(ISNUMBER(SEARCH(",Strategy,",","&amp;SUBSTITUTE(TableMain[[#This Row],[Tags]],", ",",")&amp;",")),"Y","N")</f>
        <v>N</v>
      </c>
      <c r="P436" s="3" t="str">
        <f>IF(ISNUMBER(SEARCH(",Free To Play,",","&amp;SUBSTITUTE(TableMain[[#This Row],[Tags]],", ",",")&amp;",")),"Y","N")</f>
        <v>N</v>
      </c>
    </row>
    <row r="437" spans="1:16" x14ac:dyDescent="0.35">
      <c r="A437">
        <v>2688950</v>
      </c>
      <c r="B437" t="s">
        <v>1064</v>
      </c>
      <c r="C437" s="1">
        <v>45602</v>
      </c>
      <c r="D437">
        <v>1213</v>
      </c>
      <c r="E437" t="b">
        <v>0</v>
      </c>
      <c r="F437" t="s">
        <v>1065</v>
      </c>
      <c r="G437" t="s">
        <v>100</v>
      </c>
      <c r="H437">
        <v>438</v>
      </c>
      <c r="I437" t="s">
        <v>276</v>
      </c>
      <c r="J437" s="3" t="str">
        <f>IF(ISNUMBER(SEARCH(",Action,",","&amp;SUBSTITUTE(TableMain[[#This Row],[Tags]],", ",",")&amp;",")),"Y","N")</f>
        <v>N</v>
      </c>
      <c r="K437" s="3" t="str">
        <f>IF(ISNUMBER(SEARCH(",Indie,",","&amp;SUBSTITUTE(TableMain[[#This Row],[Tags]],", ",",")&amp;",")),"Y","N")</f>
        <v>N</v>
      </c>
      <c r="L437" s="3" t="str">
        <f>IF(ISNUMBER(SEARCH(",Adventure,",","&amp;SUBSTITUTE(TableMain[[#This Row],[Tags]],", ",",")&amp;",")),"Y","N")</f>
        <v>N</v>
      </c>
      <c r="M437" s="3" t="str">
        <f>IF(ISNUMBER(SEARCH(",Simulation,",","&amp;SUBSTITUTE(TableMain[[#This Row],[Tags]],", ",",")&amp;",")),"Y","N")</f>
        <v>Y</v>
      </c>
      <c r="N437" s="3" t="str">
        <f>IF(ISNUMBER(SEARCH(",RPG,",","&amp;SUBSTITUTE(TableMain[[#This Row],[Tags]],", ",",")&amp;",")),"Y","N")</f>
        <v>N</v>
      </c>
      <c r="O437" s="3" t="str">
        <f>IF(ISNUMBER(SEARCH(",Strategy,",","&amp;SUBSTITUTE(TableMain[[#This Row],[Tags]],", ",",")&amp;",")),"Y","N")</f>
        <v>Y</v>
      </c>
      <c r="P437" s="3" t="str">
        <f>IF(ISNUMBER(SEARCH(",Free To Play,",","&amp;SUBSTITUTE(TableMain[[#This Row],[Tags]],", ",",")&amp;",")),"Y","N")</f>
        <v>N</v>
      </c>
    </row>
    <row r="438" spans="1:16" x14ac:dyDescent="0.35">
      <c r="A438">
        <v>297000</v>
      </c>
      <c r="B438" t="s">
        <v>1066</v>
      </c>
      <c r="C438" s="1">
        <v>42032</v>
      </c>
      <c r="D438">
        <v>1213</v>
      </c>
      <c r="E438" t="b">
        <v>0</v>
      </c>
      <c r="F438" t="s">
        <v>1067</v>
      </c>
      <c r="G438" t="s">
        <v>844</v>
      </c>
      <c r="H438">
        <v>438</v>
      </c>
      <c r="I438" t="s">
        <v>2084</v>
      </c>
      <c r="J438" s="3" t="str">
        <f>IF(ISNUMBER(SEARCH(",Action,",","&amp;SUBSTITUTE(TableMain[[#This Row],[Tags]],", ",",")&amp;",")),"Y","N")</f>
        <v>N</v>
      </c>
      <c r="K438" s="3" t="str">
        <f>IF(ISNUMBER(SEARCH(",Indie,",","&amp;SUBSTITUTE(TableMain[[#This Row],[Tags]],", ",",")&amp;",")),"Y","N")</f>
        <v>N</v>
      </c>
      <c r="L438" s="3" t="str">
        <f>IF(ISNUMBER(SEARCH(",Adventure,",","&amp;SUBSTITUTE(TableMain[[#This Row],[Tags]],", ",",")&amp;",")),"Y","N")</f>
        <v>N</v>
      </c>
      <c r="M438" s="3" t="str">
        <f>IF(ISNUMBER(SEARCH(",Simulation,",","&amp;SUBSTITUTE(TableMain[[#This Row],[Tags]],", ",",")&amp;",")),"Y","N")</f>
        <v>N</v>
      </c>
      <c r="N438" s="3" t="str">
        <f>IF(ISNUMBER(SEARCH(",RPG,",","&amp;SUBSTITUTE(TableMain[[#This Row],[Tags]],", ",",")&amp;",")),"Y","N")</f>
        <v>Y</v>
      </c>
      <c r="O438" s="3" t="str">
        <f>IF(ISNUMBER(SEARCH(",Strategy,",","&amp;SUBSTITUTE(TableMain[[#This Row],[Tags]],", ",",")&amp;",")),"Y","N")</f>
        <v>Y</v>
      </c>
      <c r="P438" s="3" t="str">
        <f>IF(ISNUMBER(SEARCH(",Free To Play,",","&amp;SUBSTITUTE(TableMain[[#This Row],[Tags]],", ",",")&amp;",")),"Y","N")</f>
        <v>N</v>
      </c>
    </row>
    <row r="439" spans="1:16" x14ac:dyDescent="0.35">
      <c r="A439">
        <v>286690</v>
      </c>
      <c r="B439" t="s">
        <v>1068</v>
      </c>
      <c r="C439" s="1">
        <v>41876</v>
      </c>
      <c r="D439">
        <v>1208</v>
      </c>
      <c r="E439" t="b">
        <v>1</v>
      </c>
      <c r="F439" t="s">
        <v>324</v>
      </c>
      <c r="G439" t="s">
        <v>49</v>
      </c>
      <c r="H439">
        <v>440</v>
      </c>
      <c r="I439" t="s">
        <v>967</v>
      </c>
      <c r="J439" s="3" t="str">
        <f>IF(ISNUMBER(SEARCH(",Action,",","&amp;SUBSTITUTE(TableMain[[#This Row],[Tags]],", ",",")&amp;",")),"Y","N")</f>
        <v>Y</v>
      </c>
      <c r="K439" s="3" t="str">
        <f>IF(ISNUMBER(SEARCH(",Indie,",","&amp;SUBSTITUTE(TableMain[[#This Row],[Tags]],", ",",")&amp;",")),"Y","N")</f>
        <v>N</v>
      </c>
      <c r="L439" s="3" t="str">
        <f>IF(ISNUMBER(SEARCH(",Adventure,",","&amp;SUBSTITUTE(TableMain[[#This Row],[Tags]],", ",",")&amp;",")),"Y","N")</f>
        <v>N</v>
      </c>
      <c r="M439" s="3" t="str">
        <f>IF(ISNUMBER(SEARCH(",Simulation,",","&amp;SUBSTITUTE(TableMain[[#This Row],[Tags]],", ",",")&amp;",")),"Y","N")</f>
        <v>N</v>
      </c>
      <c r="N439" s="3" t="str">
        <f>IF(ISNUMBER(SEARCH(",RPG,",","&amp;SUBSTITUTE(TableMain[[#This Row],[Tags]],", ",",")&amp;",")),"Y","N")</f>
        <v>N</v>
      </c>
      <c r="O439" s="3" t="str">
        <f>IF(ISNUMBER(SEARCH(",Strategy,",","&amp;SUBSTITUTE(TableMain[[#This Row],[Tags]],", ",",")&amp;",")),"Y","N")</f>
        <v>N</v>
      </c>
      <c r="P439" s="3" t="str">
        <f>IF(ISNUMBER(SEARCH(",Free To Play,",","&amp;SUBSTITUTE(TableMain[[#This Row],[Tags]],", ",",")&amp;",")),"Y","N")</f>
        <v>N</v>
      </c>
    </row>
    <row r="440" spans="1:16" x14ac:dyDescent="0.35">
      <c r="A440">
        <v>1147560</v>
      </c>
      <c r="B440" t="s">
        <v>1069</v>
      </c>
      <c r="C440" s="1">
        <v>44216</v>
      </c>
      <c r="D440">
        <v>1205</v>
      </c>
      <c r="E440" t="b">
        <v>1</v>
      </c>
      <c r="F440" t="s">
        <v>1070</v>
      </c>
      <c r="G440" t="s">
        <v>116</v>
      </c>
      <c r="H440">
        <v>441</v>
      </c>
      <c r="I440" t="s">
        <v>110</v>
      </c>
      <c r="J440" s="3" t="str">
        <f>IF(ISNUMBER(SEARCH(",Action,",","&amp;SUBSTITUTE(TableMain[[#This Row],[Tags]],", ",",")&amp;",")),"Y","N")</f>
        <v>Y</v>
      </c>
      <c r="K440" s="3" t="str">
        <f>IF(ISNUMBER(SEARCH(",Indie,",","&amp;SUBSTITUTE(TableMain[[#This Row],[Tags]],", ",",")&amp;",")),"Y","N")</f>
        <v>Y</v>
      </c>
      <c r="L440" s="3" t="str">
        <f>IF(ISNUMBER(SEARCH(",Adventure,",","&amp;SUBSTITUTE(TableMain[[#This Row],[Tags]],", ",",")&amp;",")),"Y","N")</f>
        <v>N</v>
      </c>
      <c r="M440" s="3" t="str">
        <f>IF(ISNUMBER(SEARCH(",Simulation,",","&amp;SUBSTITUTE(TableMain[[#This Row],[Tags]],", ",",")&amp;",")),"Y","N")</f>
        <v>N</v>
      </c>
      <c r="N440" s="3" t="str">
        <f>IF(ISNUMBER(SEARCH(",RPG,",","&amp;SUBSTITUTE(TableMain[[#This Row],[Tags]],", ",",")&amp;",")),"Y","N")</f>
        <v>N</v>
      </c>
      <c r="O440" s="3" t="str">
        <f>IF(ISNUMBER(SEARCH(",Strategy,",","&amp;SUBSTITUTE(TableMain[[#This Row],[Tags]],", ",",")&amp;",")),"Y","N")</f>
        <v>N</v>
      </c>
      <c r="P440" s="3" t="str">
        <f>IF(ISNUMBER(SEARCH(",Free To Play,",","&amp;SUBSTITUTE(TableMain[[#This Row],[Tags]],", ",",")&amp;",")),"Y","N")</f>
        <v>N</v>
      </c>
    </row>
    <row r="441" spans="1:16" x14ac:dyDescent="0.35">
      <c r="A441">
        <v>1817070</v>
      </c>
      <c r="B441" t="s">
        <v>1071</v>
      </c>
      <c r="C441" s="1">
        <v>44785</v>
      </c>
      <c r="D441">
        <v>1190</v>
      </c>
      <c r="E441" t="b">
        <v>0</v>
      </c>
      <c r="F441" t="s">
        <v>1072</v>
      </c>
      <c r="G441" t="s">
        <v>491</v>
      </c>
      <c r="H441">
        <v>442</v>
      </c>
      <c r="I441" t="s">
        <v>18</v>
      </c>
      <c r="J441" s="3" t="str">
        <f>IF(ISNUMBER(SEARCH(",Action,",","&amp;SUBSTITUTE(TableMain[[#This Row],[Tags]],", ",",")&amp;",")),"Y","N")</f>
        <v>Y</v>
      </c>
      <c r="K441" s="3" t="str">
        <f>IF(ISNUMBER(SEARCH(",Indie,",","&amp;SUBSTITUTE(TableMain[[#This Row],[Tags]],", ",",")&amp;",")),"Y","N")</f>
        <v>N</v>
      </c>
      <c r="L441" s="3" t="str">
        <f>IF(ISNUMBER(SEARCH(",Adventure,",","&amp;SUBSTITUTE(TableMain[[#This Row],[Tags]],", ",",")&amp;",")),"Y","N")</f>
        <v>Y</v>
      </c>
      <c r="M441" s="3" t="str">
        <f>IF(ISNUMBER(SEARCH(",Simulation,",","&amp;SUBSTITUTE(TableMain[[#This Row],[Tags]],", ",",")&amp;",")),"Y","N")</f>
        <v>N</v>
      </c>
      <c r="N441" s="3" t="str">
        <f>IF(ISNUMBER(SEARCH(",RPG,",","&amp;SUBSTITUTE(TableMain[[#This Row],[Tags]],", ",",")&amp;",")),"Y","N")</f>
        <v>N</v>
      </c>
      <c r="O441" s="3" t="str">
        <f>IF(ISNUMBER(SEARCH(",Strategy,",","&amp;SUBSTITUTE(TableMain[[#This Row],[Tags]],", ",",")&amp;",")),"Y","N")</f>
        <v>N</v>
      </c>
      <c r="P441" s="3" t="str">
        <f>IF(ISNUMBER(SEARCH(",Free To Play,",","&amp;SUBSTITUTE(TableMain[[#This Row],[Tags]],", ",",")&amp;",")),"Y","N")</f>
        <v>N</v>
      </c>
    </row>
    <row r="442" spans="1:16" x14ac:dyDescent="0.35">
      <c r="A442">
        <v>2666510</v>
      </c>
      <c r="B442" t="s">
        <v>1073</v>
      </c>
      <c r="C442" s="1">
        <v>45408</v>
      </c>
      <c r="D442">
        <v>1185</v>
      </c>
      <c r="E442" t="b">
        <v>1</v>
      </c>
      <c r="F442" t="s">
        <v>1074</v>
      </c>
      <c r="G442" t="s">
        <v>190</v>
      </c>
      <c r="H442">
        <v>443</v>
      </c>
      <c r="I442" t="s">
        <v>14</v>
      </c>
      <c r="J442" s="3" t="str">
        <f>IF(ISNUMBER(SEARCH(",Action,",","&amp;SUBSTITUTE(TableMain[[#This Row],[Tags]],", ",",")&amp;",")),"Y","N")</f>
        <v>N</v>
      </c>
      <c r="K442" s="3" t="str">
        <f>IF(ISNUMBER(SEARCH(",Indie,",","&amp;SUBSTITUTE(TableMain[[#This Row],[Tags]],", ",",")&amp;",")),"Y","N")</f>
        <v>Y</v>
      </c>
      <c r="L442" s="3" t="str">
        <f>IF(ISNUMBER(SEARCH(",Adventure,",","&amp;SUBSTITUTE(TableMain[[#This Row],[Tags]],", ",",")&amp;",")),"Y","N")</f>
        <v>N</v>
      </c>
      <c r="M442" s="3" t="str">
        <f>IF(ISNUMBER(SEARCH(",Simulation,",","&amp;SUBSTITUTE(TableMain[[#This Row],[Tags]],", ",",")&amp;",")),"Y","N")</f>
        <v>Y</v>
      </c>
      <c r="N442" s="3" t="str">
        <f>IF(ISNUMBER(SEARCH(",RPG,",","&amp;SUBSTITUTE(TableMain[[#This Row],[Tags]],", ",",")&amp;",")),"Y","N")</f>
        <v>N</v>
      </c>
      <c r="O442" s="3" t="str">
        <f>IF(ISNUMBER(SEARCH(",Strategy,",","&amp;SUBSTITUTE(TableMain[[#This Row],[Tags]],", ",",")&amp;",")),"Y","N")</f>
        <v>Y</v>
      </c>
      <c r="P442" s="3" t="str">
        <f>IF(ISNUMBER(SEARCH(",Free To Play,",","&amp;SUBSTITUTE(TableMain[[#This Row],[Tags]],", ",",")&amp;",")),"Y","N")</f>
        <v>N</v>
      </c>
    </row>
    <row r="443" spans="1:16" x14ac:dyDescent="0.35">
      <c r="A443">
        <v>504230</v>
      </c>
      <c r="B443" t="s">
        <v>1075</v>
      </c>
      <c r="C443" s="1">
        <v>43125</v>
      </c>
      <c r="D443">
        <v>1174</v>
      </c>
      <c r="E443" t="b">
        <v>1</v>
      </c>
      <c r="F443" t="s">
        <v>445</v>
      </c>
      <c r="G443" t="s">
        <v>446</v>
      </c>
      <c r="H443">
        <v>444</v>
      </c>
      <c r="I443" t="s">
        <v>161</v>
      </c>
      <c r="J443" s="3" t="str">
        <f>IF(ISNUMBER(SEARCH(",Action,",","&amp;SUBSTITUTE(TableMain[[#This Row],[Tags]],", ",",")&amp;",")),"Y","N")</f>
        <v>Y</v>
      </c>
      <c r="K443" s="3" t="str">
        <f>IF(ISNUMBER(SEARCH(",Indie,",","&amp;SUBSTITUTE(TableMain[[#This Row],[Tags]],", ",",")&amp;",")),"Y","N")</f>
        <v>Y</v>
      </c>
      <c r="L443" s="3" t="str">
        <f>IF(ISNUMBER(SEARCH(",Adventure,",","&amp;SUBSTITUTE(TableMain[[#This Row],[Tags]],", ",",")&amp;",")),"Y","N")</f>
        <v>Y</v>
      </c>
      <c r="M443" s="3" t="str">
        <f>IF(ISNUMBER(SEARCH(",Simulation,",","&amp;SUBSTITUTE(TableMain[[#This Row],[Tags]],", ",",")&amp;",")),"Y","N")</f>
        <v>N</v>
      </c>
      <c r="N443" s="3" t="str">
        <f>IF(ISNUMBER(SEARCH(",RPG,",","&amp;SUBSTITUTE(TableMain[[#This Row],[Tags]],", ",",")&amp;",")),"Y","N")</f>
        <v>N</v>
      </c>
      <c r="O443" s="3" t="str">
        <f>IF(ISNUMBER(SEARCH(",Strategy,",","&amp;SUBSTITUTE(TableMain[[#This Row],[Tags]],", ",",")&amp;",")),"Y","N")</f>
        <v>N</v>
      </c>
      <c r="P443" s="3" t="str">
        <f>IF(ISNUMBER(SEARCH(",Free To Play,",","&amp;SUBSTITUTE(TableMain[[#This Row],[Tags]],", ",",")&amp;",")),"Y","N")</f>
        <v>N</v>
      </c>
    </row>
    <row r="444" spans="1:16" x14ac:dyDescent="0.35">
      <c r="A444">
        <v>1237970</v>
      </c>
      <c r="B444" t="s">
        <v>1076</v>
      </c>
      <c r="C444" s="1">
        <v>44000</v>
      </c>
      <c r="D444">
        <v>1173</v>
      </c>
      <c r="E444" t="b">
        <v>0</v>
      </c>
      <c r="F444" t="s">
        <v>1077</v>
      </c>
      <c r="G444" t="s">
        <v>49</v>
      </c>
      <c r="H444">
        <v>445</v>
      </c>
      <c r="I444" t="s">
        <v>53</v>
      </c>
      <c r="J444" s="3" t="str">
        <f>IF(ISNUMBER(SEARCH(",Action,",","&amp;SUBSTITUTE(TableMain[[#This Row],[Tags]],", ",",")&amp;",")),"Y","N")</f>
        <v>Y</v>
      </c>
      <c r="K444" s="3" t="str">
        <f>IF(ISNUMBER(SEARCH(",Indie,",","&amp;SUBSTITUTE(TableMain[[#This Row],[Tags]],", ",",")&amp;",")),"Y","N")</f>
        <v>N</v>
      </c>
      <c r="L444" s="3" t="str">
        <f>IF(ISNUMBER(SEARCH(",Adventure,",","&amp;SUBSTITUTE(TableMain[[#This Row],[Tags]],", ",",")&amp;",")),"Y","N")</f>
        <v>N</v>
      </c>
      <c r="M444" s="3" t="str">
        <f>IF(ISNUMBER(SEARCH(",Simulation,",","&amp;SUBSTITUTE(TableMain[[#This Row],[Tags]],", ",",")&amp;",")),"Y","N")</f>
        <v>N</v>
      </c>
      <c r="N444" s="3" t="str">
        <f>IF(ISNUMBER(SEARCH(",RPG,",","&amp;SUBSTITUTE(TableMain[[#This Row],[Tags]],", ",",")&amp;",")),"Y","N")</f>
        <v>N</v>
      </c>
      <c r="O444" s="3" t="str">
        <f>IF(ISNUMBER(SEARCH(",Strategy,",","&amp;SUBSTITUTE(TableMain[[#This Row],[Tags]],", ",",")&amp;",")),"Y","N")</f>
        <v>N</v>
      </c>
      <c r="P444" s="3" t="str">
        <f>IF(ISNUMBER(SEARCH(",Free To Play,",","&amp;SUBSTITUTE(TableMain[[#This Row],[Tags]],", ",",")&amp;",")),"Y","N")</f>
        <v>N</v>
      </c>
    </row>
    <row r="445" spans="1:16" x14ac:dyDescent="0.35">
      <c r="A445">
        <v>311690</v>
      </c>
      <c r="B445" t="s">
        <v>1078</v>
      </c>
      <c r="C445" s="1">
        <v>42465</v>
      </c>
      <c r="D445">
        <v>1165</v>
      </c>
      <c r="E445" t="b">
        <v>0</v>
      </c>
      <c r="F445" t="s">
        <v>1079</v>
      </c>
      <c r="G445" t="s">
        <v>446</v>
      </c>
      <c r="H445">
        <v>446</v>
      </c>
      <c r="I445" t="s">
        <v>2084</v>
      </c>
      <c r="J445" s="3" t="str">
        <f>IF(ISNUMBER(SEARCH(",Action,",","&amp;SUBSTITUTE(TableMain[[#This Row],[Tags]],", ",",")&amp;",")),"Y","N")</f>
        <v>Y</v>
      </c>
      <c r="K445" s="3" t="str">
        <f>IF(ISNUMBER(SEARCH(",Indie,",","&amp;SUBSTITUTE(TableMain[[#This Row],[Tags]],", ",",")&amp;",")),"Y","N")</f>
        <v>Y</v>
      </c>
      <c r="L445" s="3" t="str">
        <f>IF(ISNUMBER(SEARCH(",Adventure,",","&amp;SUBSTITUTE(TableMain[[#This Row],[Tags]],", ",",")&amp;",")),"Y","N")</f>
        <v>Y</v>
      </c>
      <c r="M445" s="3" t="str">
        <f>IF(ISNUMBER(SEARCH(",Simulation,",","&amp;SUBSTITUTE(TableMain[[#This Row],[Tags]],", ",",")&amp;",")),"Y","N")</f>
        <v>N</v>
      </c>
      <c r="N445" s="3" t="str">
        <f>IF(ISNUMBER(SEARCH(",RPG,",","&amp;SUBSTITUTE(TableMain[[#This Row],[Tags]],", ",",")&amp;",")),"Y","N")</f>
        <v>N</v>
      </c>
      <c r="O445" s="3" t="str">
        <f>IF(ISNUMBER(SEARCH(",Strategy,",","&amp;SUBSTITUTE(TableMain[[#This Row],[Tags]],", ",",")&amp;",")),"Y","N")</f>
        <v>N</v>
      </c>
      <c r="P445" s="3" t="str">
        <f>IF(ISNUMBER(SEARCH(",Free To Play,",","&amp;SUBSTITUTE(TableMain[[#This Row],[Tags]],", ",",")&amp;",")),"Y","N")</f>
        <v>N</v>
      </c>
    </row>
    <row r="446" spans="1:16" x14ac:dyDescent="0.35">
      <c r="A446">
        <v>466560</v>
      </c>
      <c r="B446" t="s">
        <v>1080</v>
      </c>
      <c r="C446" s="1">
        <v>43166</v>
      </c>
      <c r="D446">
        <v>1164</v>
      </c>
      <c r="E446" t="b">
        <v>1</v>
      </c>
      <c r="F446" t="s">
        <v>1081</v>
      </c>
      <c r="G446" t="s">
        <v>245</v>
      </c>
      <c r="H446">
        <v>447</v>
      </c>
      <c r="I446" t="s">
        <v>40</v>
      </c>
      <c r="J446" s="3" t="str">
        <f>IF(ISNUMBER(SEARCH(",Action,",","&amp;SUBSTITUTE(TableMain[[#This Row],[Tags]],", ",",")&amp;",")),"Y","N")</f>
        <v>N</v>
      </c>
      <c r="K446" s="3" t="str">
        <f>IF(ISNUMBER(SEARCH(",Indie,",","&amp;SUBSTITUTE(TableMain[[#This Row],[Tags]],", ",",")&amp;",")),"Y","N")</f>
        <v>Y</v>
      </c>
      <c r="L446" s="3" t="str">
        <f>IF(ISNUMBER(SEARCH(",Adventure,",","&amp;SUBSTITUTE(TableMain[[#This Row],[Tags]],", ",",")&amp;",")),"Y","N")</f>
        <v>Y</v>
      </c>
      <c r="M446" s="3" t="str">
        <f>IF(ISNUMBER(SEARCH(",Simulation,",","&amp;SUBSTITUTE(TableMain[[#This Row],[Tags]],", ",",")&amp;",")),"Y","N")</f>
        <v>Y</v>
      </c>
      <c r="N446" s="3" t="str">
        <f>IF(ISNUMBER(SEARCH(",RPG,",","&amp;SUBSTITUTE(TableMain[[#This Row],[Tags]],", ",",")&amp;",")),"Y","N")</f>
        <v>N</v>
      </c>
      <c r="O446" s="3" t="str">
        <f>IF(ISNUMBER(SEARCH(",Strategy,",","&amp;SUBSTITUTE(TableMain[[#This Row],[Tags]],", ",",")&amp;",")),"Y","N")</f>
        <v>Y</v>
      </c>
      <c r="P446" s="3" t="str">
        <f>IF(ISNUMBER(SEARCH(",Free To Play,",","&amp;SUBSTITUTE(TableMain[[#This Row],[Tags]],", ",",")&amp;",")),"Y","N")</f>
        <v>N</v>
      </c>
    </row>
    <row r="447" spans="1:16" x14ac:dyDescent="0.35">
      <c r="A447">
        <v>2276930</v>
      </c>
      <c r="B447" t="s">
        <v>1082</v>
      </c>
      <c r="C447" s="1">
        <v>45175</v>
      </c>
      <c r="D447">
        <v>1163</v>
      </c>
      <c r="E447" t="b">
        <v>1</v>
      </c>
      <c r="F447" t="s">
        <v>1083</v>
      </c>
      <c r="G447" t="s">
        <v>604</v>
      </c>
      <c r="H447">
        <v>448</v>
      </c>
      <c r="I447" t="s">
        <v>14</v>
      </c>
      <c r="J447" s="3" t="str">
        <f>IF(ISNUMBER(SEARCH(",Action,",","&amp;SUBSTITUTE(TableMain[[#This Row],[Tags]],", ",",")&amp;",")),"Y","N")</f>
        <v>N</v>
      </c>
      <c r="K447" s="3" t="str">
        <f>IF(ISNUMBER(SEARCH(",Indie,",","&amp;SUBSTITUTE(TableMain[[#This Row],[Tags]],", ",",")&amp;",")),"Y","N")</f>
        <v>N</v>
      </c>
      <c r="L447" s="3" t="str">
        <f>IF(ISNUMBER(SEARCH(",Adventure,",","&amp;SUBSTITUTE(TableMain[[#This Row],[Tags]],", ",",")&amp;",")),"Y","N")</f>
        <v>N</v>
      </c>
      <c r="M447" s="3" t="str">
        <f>IF(ISNUMBER(SEARCH(",Simulation,",","&amp;SUBSTITUTE(TableMain[[#This Row],[Tags]],", ",",")&amp;",")),"Y","N")</f>
        <v>Y</v>
      </c>
      <c r="N447" s="3" t="str">
        <f>IF(ISNUMBER(SEARCH(",RPG,",","&amp;SUBSTITUTE(TableMain[[#This Row],[Tags]],", ",",")&amp;",")),"Y","N")</f>
        <v>N</v>
      </c>
      <c r="O447" s="3" t="str">
        <f>IF(ISNUMBER(SEARCH(",Strategy,",","&amp;SUBSTITUTE(TableMain[[#This Row],[Tags]],", ",",")&amp;",")),"Y","N")</f>
        <v>N</v>
      </c>
      <c r="P447" s="3" t="str">
        <f>IF(ISNUMBER(SEARCH(",Free To Play,",","&amp;SUBSTITUTE(TableMain[[#This Row],[Tags]],", ",",")&amp;",")),"Y","N")</f>
        <v>N</v>
      </c>
    </row>
    <row r="448" spans="1:16" x14ac:dyDescent="0.35">
      <c r="A448">
        <v>2336220</v>
      </c>
      <c r="B448" t="s">
        <v>1084</v>
      </c>
      <c r="C448" s="1">
        <v>45342</v>
      </c>
      <c r="D448">
        <v>1161</v>
      </c>
      <c r="E448" t="b">
        <v>1</v>
      </c>
      <c r="F448" t="s">
        <v>1085</v>
      </c>
      <c r="G448" t="s">
        <v>1086</v>
      </c>
      <c r="H448">
        <v>449</v>
      </c>
      <c r="I448" t="s">
        <v>14</v>
      </c>
      <c r="J448" s="3" t="str">
        <f>IF(ISNUMBER(SEARCH(",Action,",","&amp;SUBSTITUTE(TableMain[[#This Row],[Tags]],", ",",")&amp;",")),"Y","N")</f>
        <v>N</v>
      </c>
      <c r="K448" s="3" t="str">
        <f>IF(ISNUMBER(SEARCH(",Indie,",","&amp;SUBSTITUTE(TableMain[[#This Row],[Tags]],", ",",")&amp;",")),"Y","N")</f>
        <v>Y</v>
      </c>
      <c r="L448" s="3" t="str">
        <f>IF(ISNUMBER(SEARCH(",Adventure,",","&amp;SUBSTITUTE(TableMain[[#This Row],[Tags]],", ",",")&amp;",")),"Y","N")</f>
        <v>N</v>
      </c>
      <c r="M448" s="3" t="str">
        <f>IF(ISNUMBER(SEARCH(",Simulation,",","&amp;SUBSTITUTE(TableMain[[#This Row],[Tags]],", ",",")&amp;",")),"Y","N")</f>
        <v>Y</v>
      </c>
      <c r="N448" s="3" t="str">
        <f>IF(ISNUMBER(SEARCH(",RPG,",","&amp;SUBSTITUTE(TableMain[[#This Row],[Tags]],", ",",")&amp;",")),"Y","N")</f>
        <v>N</v>
      </c>
      <c r="O448" s="3" t="str">
        <f>IF(ISNUMBER(SEARCH(",Strategy,",","&amp;SUBSTITUTE(TableMain[[#This Row],[Tags]],", ",",")&amp;",")),"Y","N")</f>
        <v>N</v>
      </c>
      <c r="P448" s="3" t="str">
        <f>IF(ISNUMBER(SEARCH(",Free To Play,",","&amp;SUBSTITUTE(TableMain[[#This Row],[Tags]],", ",",")&amp;",")),"Y","N")</f>
        <v>N</v>
      </c>
    </row>
    <row r="449" spans="1:16" x14ac:dyDescent="0.35">
      <c r="A449">
        <v>466170</v>
      </c>
      <c r="B449" t="s">
        <v>1087</v>
      </c>
      <c r="C449" s="1">
        <v>42517</v>
      </c>
      <c r="D449">
        <v>1157</v>
      </c>
      <c r="E449" t="b">
        <v>1</v>
      </c>
      <c r="F449" t="s">
        <v>1088</v>
      </c>
      <c r="G449" t="s">
        <v>1089</v>
      </c>
      <c r="H449">
        <v>450</v>
      </c>
      <c r="I449" t="s">
        <v>2084</v>
      </c>
      <c r="J449" s="3" t="str">
        <f>IF(ISNUMBER(SEARCH(",Action,",","&amp;SUBSTITUTE(TableMain[[#This Row],[Tags]],", ",",")&amp;",")),"Y","N")</f>
        <v>N</v>
      </c>
      <c r="K449" s="3" t="str">
        <f>IF(ISNUMBER(SEARCH(",Indie,",","&amp;SUBSTITUTE(TableMain[[#This Row],[Tags]],", ",",")&amp;",")),"Y","N")</f>
        <v>Y</v>
      </c>
      <c r="L449" s="3" t="str">
        <f>IF(ISNUMBER(SEARCH(",Adventure,",","&amp;SUBSTITUTE(TableMain[[#This Row],[Tags]],", ",",")&amp;",")),"Y","N")</f>
        <v>N</v>
      </c>
      <c r="M449" s="3" t="str">
        <f>IF(ISNUMBER(SEARCH(",Simulation,",","&amp;SUBSTITUTE(TableMain[[#This Row],[Tags]],", ",",")&amp;",")),"Y","N")</f>
        <v>Y</v>
      </c>
      <c r="N449" s="3" t="str">
        <f>IF(ISNUMBER(SEARCH(",RPG,",","&amp;SUBSTITUTE(TableMain[[#This Row],[Tags]],", ",",")&amp;",")),"Y","N")</f>
        <v>N</v>
      </c>
      <c r="O449" s="3" t="str">
        <f>IF(ISNUMBER(SEARCH(",Strategy,",","&amp;SUBSTITUTE(TableMain[[#This Row],[Tags]],", ",",")&amp;",")),"Y","N")</f>
        <v>Y</v>
      </c>
      <c r="P449" s="3" t="str">
        <f>IF(ISNUMBER(SEARCH(",Free To Play,",","&amp;SUBSTITUTE(TableMain[[#This Row],[Tags]],", ",",")&amp;",")),"Y","N")</f>
        <v>Y</v>
      </c>
    </row>
    <row r="450" spans="1:16" x14ac:dyDescent="0.35">
      <c r="A450">
        <v>22330</v>
      </c>
      <c r="B450" t="s">
        <v>1090</v>
      </c>
      <c r="C450" s="1">
        <v>39980</v>
      </c>
      <c r="D450">
        <v>1156</v>
      </c>
      <c r="E450" t="b">
        <v>0</v>
      </c>
      <c r="F450" t="s">
        <v>1091</v>
      </c>
      <c r="G450" t="s">
        <v>132</v>
      </c>
      <c r="H450">
        <v>451</v>
      </c>
      <c r="I450" t="s">
        <v>2084</v>
      </c>
      <c r="J450" s="3" t="str">
        <f>IF(ISNUMBER(SEARCH(",Action,",","&amp;SUBSTITUTE(TableMain[[#This Row],[Tags]],", ",",")&amp;",")),"Y","N")</f>
        <v>N</v>
      </c>
      <c r="K450" s="3" t="str">
        <f>IF(ISNUMBER(SEARCH(",Indie,",","&amp;SUBSTITUTE(TableMain[[#This Row],[Tags]],", ",",")&amp;",")),"Y","N")</f>
        <v>N</v>
      </c>
      <c r="L450" s="3" t="str">
        <f>IF(ISNUMBER(SEARCH(",Adventure,",","&amp;SUBSTITUTE(TableMain[[#This Row],[Tags]],", ",",")&amp;",")),"Y","N")</f>
        <v>N</v>
      </c>
      <c r="M450" s="3" t="str">
        <f>IF(ISNUMBER(SEARCH(",Simulation,",","&amp;SUBSTITUTE(TableMain[[#This Row],[Tags]],", ",",")&amp;",")),"Y","N")</f>
        <v>N</v>
      </c>
      <c r="N450" s="3" t="str">
        <f>IF(ISNUMBER(SEARCH(",RPG,",","&amp;SUBSTITUTE(TableMain[[#This Row],[Tags]],", ",",")&amp;",")),"Y","N")</f>
        <v>Y</v>
      </c>
      <c r="O450" s="3" t="str">
        <f>IF(ISNUMBER(SEARCH(",Strategy,",","&amp;SUBSTITUTE(TableMain[[#This Row],[Tags]],", ",",")&amp;",")),"Y","N")</f>
        <v>N</v>
      </c>
      <c r="P450" s="3" t="str">
        <f>IF(ISNUMBER(SEARCH(",Free To Play,",","&amp;SUBSTITUTE(TableMain[[#This Row],[Tags]],", ",",")&amp;",")),"Y","N")</f>
        <v>N</v>
      </c>
    </row>
    <row r="451" spans="1:16" x14ac:dyDescent="0.35">
      <c r="A451">
        <v>2567870</v>
      </c>
      <c r="B451" t="s">
        <v>1092</v>
      </c>
      <c r="C451" s="1">
        <v>45462</v>
      </c>
      <c r="D451">
        <v>1154</v>
      </c>
      <c r="E451" t="b">
        <v>0</v>
      </c>
      <c r="F451" t="s">
        <v>1093</v>
      </c>
      <c r="G451" t="s">
        <v>1094</v>
      </c>
      <c r="H451">
        <v>452</v>
      </c>
      <c r="I451" t="s">
        <v>29</v>
      </c>
      <c r="J451" s="3" t="str">
        <f>IF(ISNUMBER(SEARCH(",Action,",","&amp;SUBSTITUTE(TableMain[[#This Row],[Tags]],", ",",")&amp;",")),"Y","N")</f>
        <v>N</v>
      </c>
      <c r="K451" s="3" t="str">
        <f>IF(ISNUMBER(SEARCH(",Indie,",","&amp;SUBSTITUTE(TableMain[[#This Row],[Tags]],", ",",")&amp;",")),"Y","N")</f>
        <v>Y</v>
      </c>
      <c r="L451" s="3" t="str">
        <f>IF(ISNUMBER(SEARCH(",Adventure,",","&amp;SUBSTITUTE(TableMain[[#This Row],[Tags]],", ",",")&amp;",")),"Y","N")</f>
        <v>Y</v>
      </c>
      <c r="M451" s="3" t="str">
        <f>IF(ISNUMBER(SEARCH(",Simulation,",","&amp;SUBSTITUTE(TableMain[[#This Row],[Tags]],", ",",")&amp;",")),"Y","N")</f>
        <v>Y</v>
      </c>
      <c r="N451" s="3" t="str">
        <f>IF(ISNUMBER(SEARCH(",RPG,",","&amp;SUBSTITUTE(TableMain[[#This Row],[Tags]],", ",",")&amp;",")),"Y","N")</f>
        <v>N</v>
      </c>
      <c r="O451" s="3" t="str">
        <f>IF(ISNUMBER(SEARCH(",Strategy,",","&amp;SUBSTITUTE(TableMain[[#This Row],[Tags]],", ",",")&amp;",")),"Y","N")</f>
        <v>N</v>
      </c>
      <c r="P451" s="3" t="str">
        <f>IF(ISNUMBER(SEARCH(",Free To Play,",","&amp;SUBSTITUTE(TableMain[[#This Row],[Tags]],", ",",")&amp;",")),"Y","N")</f>
        <v>N</v>
      </c>
    </row>
    <row r="452" spans="1:16" x14ac:dyDescent="0.35">
      <c r="A452">
        <v>1238860</v>
      </c>
      <c r="B452" t="s">
        <v>1095</v>
      </c>
      <c r="C452" s="1">
        <v>43993</v>
      </c>
      <c r="D452">
        <v>1153</v>
      </c>
      <c r="E452" t="b">
        <v>0</v>
      </c>
      <c r="F452" t="s">
        <v>376</v>
      </c>
      <c r="G452" t="s">
        <v>49</v>
      </c>
      <c r="H452">
        <v>453</v>
      </c>
      <c r="I452" t="s">
        <v>40</v>
      </c>
      <c r="J452" s="3" t="str">
        <f>IF(ISNUMBER(SEARCH(",Action,",","&amp;SUBSTITUTE(TableMain[[#This Row],[Tags]],", ",",")&amp;",")),"Y","N")</f>
        <v>Y</v>
      </c>
      <c r="K452" s="3" t="str">
        <f>IF(ISNUMBER(SEARCH(",Indie,",","&amp;SUBSTITUTE(TableMain[[#This Row],[Tags]],", ",",")&amp;",")),"Y","N")</f>
        <v>N</v>
      </c>
      <c r="L452" s="3" t="str">
        <f>IF(ISNUMBER(SEARCH(",Adventure,",","&amp;SUBSTITUTE(TableMain[[#This Row],[Tags]],", ",",")&amp;",")),"Y","N")</f>
        <v>N</v>
      </c>
      <c r="M452" s="3" t="str">
        <f>IF(ISNUMBER(SEARCH(",Simulation,",","&amp;SUBSTITUTE(TableMain[[#This Row],[Tags]],", ",",")&amp;",")),"Y","N")</f>
        <v>N</v>
      </c>
      <c r="N452" s="3" t="str">
        <f>IF(ISNUMBER(SEARCH(",RPG,",","&amp;SUBSTITUTE(TableMain[[#This Row],[Tags]],", ",",")&amp;",")),"Y","N")</f>
        <v>N</v>
      </c>
      <c r="O452" s="3" t="str">
        <f>IF(ISNUMBER(SEARCH(",Strategy,",","&amp;SUBSTITUTE(TableMain[[#This Row],[Tags]],", ",",")&amp;",")),"Y","N")</f>
        <v>N</v>
      </c>
      <c r="P452" s="3" t="str">
        <f>IF(ISNUMBER(SEARCH(",Free To Play,",","&amp;SUBSTITUTE(TableMain[[#This Row],[Tags]],", ",",")&amp;",")),"Y","N")</f>
        <v>N</v>
      </c>
    </row>
    <row r="453" spans="1:16" x14ac:dyDescent="0.35">
      <c r="A453">
        <v>1971870</v>
      </c>
      <c r="B453" t="s">
        <v>1096</v>
      </c>
      <c r="C453" s="1">
        <v>45188</v>
      </c>
      <c r="D453">
        <v>1149</v>
      </c>
      <c r="E453" t="b">
        <v>0</v>
      </c>
      <c r="F453" t="s">
        <v>1097</v>
      </c>
      <c r="G453" t="s">
        <v>49</v>
      </c>
      <c r="H453">
        <v>454</v>
      </c>
      <c r="I453" t="s">
        <v>341</v>
      </c>
      <c r="J453" s="3" t="str">
        <f>IF(ISNUMBER(SEARCH(",Action,",","&amp;SUBSTITUTE(TableMain[[#This Row],[Tags]],", ",",")&amp;",")),"Y","N")</f>
        <v>Y</v>
      </c>
      <c r="K453" s="3" t="str">
        <f>IF(ISNUMBER(SEARCH(",Indie,",","&amp;SUBSTITUTE(TableMain[[#This Row],[Tags]],", ",",")&amp;",")),"Y","N")</f>
        <v>N</v>
      </c>
      <c r="L453" s="3" t="str">
        <f>IF(ISNUMBER(SEARCH(",Adventure,",","&amp;SUBSTITUTE(TableMain[[#This Row],[Tags]],", ",",")&amp;",")),"Y","N")</f>
        <v>N</v>
      </c>
      <c r="M453" s="3" t="str">
        <f>IF(ISNUMBER(SEARCH(",Simulation,",","&amp;SUBSTITUTE(TableMain[[#This Row],[Tags]],", ",",")&amp;",")),"Y","N")</f>
        <v>N</v>
      </c>
      <c r="N453" s="3" t="str">
        <f>IF(ISNUMBER(SEARCH(",RPG,",","&amp;SUBSTITUTE(TableMain[[#This Row],[Tags]],", ",",")&amp;",")),"Y","N")</f>
        <v>N</v>
      </c>
      <c r="O453" s="3" t="str">
        <f>IF(ISNUMBER(SEARCH(",Strategy,",","&amp;SUBSTITUTE(TableMain[[#This Row],[Tags]],", ",",")&amp;",")),"Y","N")</f>
        <v>N</v>
      </c>
      <c r="P453" s="3" t="str">
        <f>IF(ISNUMBER(SEARCH(",Free To Play,",","&amp;SUBSTITUTE(TableMain[[#This Row],[Tags]],", ",",")&amp;",")),"Y","N")</f>
        <v>N</v>
      </c>
    </row>
    <row r="454" spans="1:16" x14ac:dyDescent="0.35">
      <c r="A454">
        <v>719890</v>
      </c>
      <c r="B454" t="s">
        <v>1098</v>
      </c>
      <c r="C454" s="1">
        <v>43455</v>
      </c>
      <c r="D454">
        <v>1143</v>
      </c>
      <c r="E454" t="b">
        <v>0</v>
      </c>
      <c r="F454" t="s">
        <v>1099</v>
      </c>
      <c r="G454" t="s">
        <v>1100</v>
      </c>
      <c r="H454">
        <v>455</v>
      </c>
      <c r="I454" t="s">
        <v>1101</v>
      </c>
      <c r="J454" s="3" t="str">
        <f>IF(ISNUMBER(SEARCH(",Action,",","&amp;SUBSTITUTE(TableMain[[#This Row],[Tags]],", ",",")&amp;",")),"Y","N")</f>
        <v>N</v>
      </c>
      <c r="K454" s="3" t="str">
        <f>IF(ISNUMBER(SEARCH(",Indie,",","&amp;SUBSTITUTE(TableMain[[#This Row],[Tags]],", ",",")&amp;",")),"Y","N")</f>
        <v>Y</v>
      </c>
      <c r="L454" s="3" t="str">
        <f>IF(ISNUMBER(SEARCH(",Adventure,",","&amp;SUBSTITUTE(TableMain[[#This Row],[Tags]],", ",",")&amp;",")),"Y","N")</f>
        <v>Y</v>
      </c>
      <c r="M454" s="3" t="str">
        <f>IF(ISNUMBER(SEARCH(",Simulation,",","&amp;SUBSTITUTE(TableMain[[#This Row],[Tags]],", ",",")&amp;",")),"Y","N")</f>
        <v>Y</v>
      </c>
      <c r="N454" s="3" t="str">
        <f>IF(ISNUMBER(SEARCH(",RPG,",","&amp;SUBSTITUTE(TableMain[[#This Row],[Tags]],", ",",")&amp;",")),"Y","N")</f>
        <v>N</v>
      </c>
      <c r="O454" s="3" t="str">
        <f>IF(ISNUMBER(SEARCH(",Strategy,",","&amp;SUBSTITUTE(TableMain[[#This Row],[Tags]],", ",",")&amp;",")),"Y","N")</f>
        <v>N</v>
      </c>
      <c r="P454" s="3" t="str">
        <f>IF(ISNUMBER(SEARCH(",Free To Play,",","&amp;SUBSTITUTE(TableMain[[#This Row],[Tags]],", ",",")&amp;",")),"Y","N")</f>
        <v>N</v>
      </c>
    </row>
    <row r="455" spans="1:16" x14ac:dyDescent="0.35">
      <c r="A455">
        <v>628070</v>
      </c>
      <c r="B455" t="s">
        <v>1102</v>
      </c>
      <c r="C455" s="1">
        <v>43116</v>
      </c>
      <c r="D455">
        <v>1130</v>
      </c>
      <c r="E455" t="b">
        <v>0</v>
      </c>
      <c r="F455" t="s">
        <v>1091</v>
      </c>
      <c r="G455" t="s">
        <v>124</v>
      </c>
      <c r="H455">
        <v>456</v>
      </c>
      <c r="I455" t="s">
        <v>14</v>
      </c>
      <c r="J455" s="3" t="str">
        <f>IF(ISNUMBER(SEARCH(",Action,",","&amp;SUBSTITUTE(TableMain[[#This Row],[Tags]],", ",",")&amp;",")),"Y","N")</f>
        <v>N</v>
      </c>
      <c r="K455" s="3" t="str">
        <f>IF(ISNUMBER(SEARCH(",Indie,",","&amp;SUBSTITUTE(TableMain[[#This Row],[Tags]],", ",",")&amp;",")),"Y","N")</f>
        <v>N</v>
      </c>
      <c r="L455" s="3" t="str">
        <f>IF(ISNUMBER(SEARCH(",Adventure,",","&amp;SUBSTITUTE(TableMain[[#This Row],[Tags]],", ",",")&amp;",")),"Y","N")</f>
        <v>N</v>
      </c>
      <c r="M455" s="3" t="str">
        <f>IF(ISNUMBER(SEARCH(",Simulation,",","&amp;SUBSTITUTE(TableMain[[#This Row],[Tags]],", ",",")&amp;",")),"Y","N")</f>
        <v>N</v>
      </c>
      <c r="N455" s="3" t="str">
        <f>IF(ISNUMBER(SEARCH(",RPG,",","&amp;SUBSTITUTE(TableMain[[#This Row],[Tags]],", ",",")&amp;",")),"Y","N")</f>
        <v>N</v>
      </c>
      <c r="O455" s="3" t="str">
        <f>IF(ISNUMBER(SEARCH(",Strategy,",","&amp;SUBSTITUTE(TableMain[[#This Row],[Tags]],", ",",")&amp;",")),"Y","N")</f>
        <v>Y</v>
      </c>
      <c r="P455" s="3" t="str">
        <f>IF(ISNUMBER(SEARCH(",Free To Play,",","&amp;SUBSTITUTE(TableMain[[#This Row],[Tags]],", ",",")&amp;",")),"Y","N")</f>
        <v>N</v>
      </c>
    </row>
    <row r="456" spans="1:16" x14ac:dyDescent="0.35">
      <c r="A456">
        <v>2495100</v>
      </c>
      <c r="B456" t="s">
        <v>1103</v>
      </c>
      <c r="C456" s="1">
        <v>45687</v>
      </c>
      <c r="D456">
        <v>1129</v>
      </c>
      <c r="E456" t="b">
        <v>0</v>
      </c>
      <c r="F456" t="s">
        <v>238</v>
      </c>
      <c r="G456" t="s">
        <v>1104</v>
      </c>
      <c r="H456">
        <v>457</v>
      </c>
      <c r="I456" t="s">
        <v>133</v>
      </c>
      <c r="J456" s="3" t="str">
        <f>IF(ISNUMBER(SEARCH(",Action,",","&amp;SUBSTITUTE(TableMain[[#This Row],[Tags]],", ",",")&amp;",")),"Y","N")</f>
        <v>Y</v>
      </c>
      <c r="K456" s="3" t="str">
        <f>IF(ISNUMBER(SEARCH(",Indie,",","&amp;SUBSTITUTE(TableMain[[#This Row],[Tags]],", ",",")&amp;",")),"Y","N")</f>
        <v>Y</v>
      </c>
      <c r="L456" s="3" t="str">
        <f>IF(ISNUMBER(SEARCH(",Adventure,",","&amp;SUBSTITUTE(TableMain[[#This Row],[Tags]],", ",",")&amp;",")),"Y","N")</f>
        <v>Y</v>
      </c>
      <c r="M456" s="3" t="str">
        <f>IF(ISNUMBER(SEARCH(",Simulation,",","&amp;SUBSTITUTE(TableMain[[#This Row],[Tags]],", ",",")&amp;",")),"Y","N")</f>
        <v>Y</v>
      </c>
      <c r="N456" s="3" t="str">
        <f>IF(ISNUMBER(SEARCH(",RPG,",","&amp;SUBSTITUTE(TableMain[[#This Row],[Tags]],", ",",")&amp;",")),"Y","N")</f>
        <v>Y</v>
      </c>
      <c r="O456" s="3" t="str">
        <f>IF(ISNUMBER(SEARCH(",Strategy,",","&amp;SUBSTITUTE(TableMain[[#This Row],[Tags]],", ",",")&amp;",")),"Y","N")</f>
        <v>N</v>
      </c>
      <c r="P456" s="3" t="str">
        <f>IF(ISNUMBER(SEARCH(",Free To Play,",","&amp;SUBSTITUTE(TableMain[[#This Row],[Tags]],", ",",")&amp;",")),"Y","N")</f>
        <v>N</v>
      </c>
    </row>
    <row r="457" spans="1:16" x14ac:dyDescent="0.35">
      <c r="A457">
        <v>883710</v>
      </c>
      <c r="B457" t="s">
        <v>1105</v>
      </c>
      <c r="C457" s="1">
        <v>43489</v>
      </c>
      <c r="D457">
        <v>1123</v>
      </c>
      <c r="E457" t="b">
        <v>0</v>
      </c>
      <c r="F457" t="s">
        <v>1106</v>
      </c>
      <c r="G457" t="s">
        <v>49</v>
      </c>
      <c r="H457">
        <v>458</v>
      </c>
      <c r="I457" t="s">
        <v>53</v>
      </c>
      <c r="J457" s="3" t="str">
        <f>IF(ISNUMBER(SEARCH(",Action,",","&amp;SUBSTITUTE(TableMain[[#This Row],[Tags]],", ",",")&amp;",")),"Y","N")</f>
        <v>Y</v>
      </c>
      <c r="K457" s="3" t="str">
        <f>IF(ISNUMBER(SEARCH(",Indie,",","&amp;SUBSTITUTE(TableMain[[#This Row],[Tags]],", ",",")&amp;",")),"Y","N")</f>
        <v>N</v>
      </c>
      <c r="L457" s="3" t="str">
        <f>IF(ISNUMBER(SEARCH(",Adventure,",","&amp;SUBSTITUTE(TableMain[[#This Row],[Tags]],", ",",")&amp;",")),"Y","N")</f>
        <v>N</v>
      </c>
      <c r="M457" s="3" t="str">
        <f>IF(ISNUMBER(SEARCH(",Simulation,",","&amp;SUBSTITUTE(TableMain[[#This Row],[Tags]],", ",",")&amp;",")),"Y","N")</f>
        <v>N</v>
      </c>
      <c r="N457" s="3" t="str">
        <f>IF(ISNUMBER(SEARCH(",RPG,",","&amp;SUBSTITUTE(TableMain[[#This Row],[Tags]],", ",",")&amp;",")),"Y","N")</f>
        <v>N</v>
      </c>
      <c r="O457" s="3" t="str">
        <f>IF(ISNUMBER(SEARCH(",Strategy,",","&amp;SUBSTITUTE(TableMain[[#This Row],[Tags]],", ",",")&amp;",")),"Y","N")</f>
        <v>N</v>
      </c>
      <c r="P457" s="3" t="str">
        <f>IF(ISNUMBER(SEARCH(",Free To Play,",","&amp;SUBSTITUTE(TableMain[[#This Row],[Tags]],", ",",")&amp;",")),"Y","N")</f>
        <v>N</v>
      </c>
    </row>
    <row r="458" spans="1:16" x14ac:dyDescent="0.35">
      <c r="A458">
        <v>1263850</v>
      </c>
      <c r="B458" t="s">
        <v>1107</v>
      </c>
      <c r="C458" s="1">
        <v>44159</v>
      </c>
      <c r="D458">
        <v>1122</v>
      </c>
      <c r="E458" t="b">
        <v>1</v>
      </c>
      <c r="F458" t="s">
        <v>70</v>
      </c>
      <c r="G458" t="s">
        <v>78</v>
      </c>
      <c r="H458">
        <v>459</v>
      </c>
      <c r="I458" t="s">
        <v>110</v>
      </c>
      <c r="J458" s="3" t="str">
        <f>IF(ISNUMBER(SEARCH(",Action,",","&amp;SUBSTITUTE(TableMain[[#This Row],[Tags]],", ",",")&amp;",")),"Y","N")</f>
        <v>N</v>
      </c>
      <c r="K458" s="3" t="str">
        <f>IF(ISNUMBER(SEARCH(",Indie,",","&amp;SUBSTITUTE(TableMain[[#This Row],[Tags]],", ",",")&amp;",")),"Y","N")</f>
        <v>N</v>
      </c>
      <c r="L458" s="3" t="str">
        <f>IF(ISNUMBER(SEARCH(",Adventure,",","&amp;SUBSTITUTE(TableMain[[#This Row],[Tags]],", ",",")&amp;",")),"Y","N")</f>
        <v>N</v>
      </c>
      <c r="M458" s="3" t="str">
        <f>IF(ISNUMBER(SEARCH(",Simulation,",","&amp;SUBSTITUTE(TableMain[[#This Row],[Tags]],", ",",")&amp;",")),"Y","N")</f>
        <v>Y</v>
      </c>
      <c r="N458" s="3" t="str">
        <f>IF(ISNUMBER(SEARCH(",RPG,",","&amp;SUBSTITUTE(TableMain[[#This Row],[Tags]],", ",",")&amp;",")),"Y","N")</f>
        <v>N</v>
      </c>
      <c r="O458" s="3" t="str">
        <f>IF(ISNUMBER(SEARCH(",Strategy,",","&amp;SUBSTITUTE(TableMain[[#This Row],[Tags]],", ",",")&amp;",")),"Y","N")</f>
        <v>N</v>
      </c>
      <c r="P458" s="3" t="str">
        <f>IF(ISNUMBER(SEARCH(",Free To Play,",","&amp;SUBSTITUTE(TableMain[[#This Row],[Tags]],", ",",")&amp;",")),"Y","N")</f>
        <v>N</v>
      </c>
    </row>
    <row r="459" spans="1:16" x14ac:dyDescent="0.35">
      <c r="A459">
        <v>453480</v>
      </c>
      <c r="B459" t="s">
        <v>1108</v>
      </c>
      <c r="C459" s="1">
        <v>42670</v>
      </c>
      <c r="D459">
        <v>1122</v>
      </c>
      <c r="E459" t="b">
        <v>1</v>
      </c>
      <c r="F459" t="s">
        <v>1109</v>
      </c>
      <c r="G459" t="s">
        <v>615</v>
      </c>
      <c r="H459">
        <v>459</v>
      </c>
      <c r="I459" t="s">
        <v>2093</v>
      </c>
      <c r="J459" s="3" t="str">
        <f>IF(ISNUMBER(SEARCH(",Action,",","&amp;SUBSTITUTE(TableMain[[#This Row],[Tags]],", ",",")&amp;",")),"Y","N")</f>
        <v>N</v>
      </c>
      <c r="K459" s="3" t="str">
        <f>IF(ISNUMBER(SEARCH(",Indie,",","&amp;SUBSTITUTE(TableMain[[#This Row],[Tags]],", ",",")&amp;",")),"Y","N")</f>
        <v>N</v>
      </c>
      <c r="L459" s="3" t="str">
        <f>IF(ISNUMBER(SEARCH(",Adventure,",","&amp;SUBSTITUTE(TableMain[[#This Row],[Tags]],", ",",")&amp;",")),"Y","N")</f>
        <v>N</v>
      </c>
      <c r="M459" s="3" t="str">
        <f>IF(ISNUMBER(SEARCH(",Simulation,",","&amp;SUBSTITUTE(TableMain[[#This Row],[Tags]],", ",",")&amp;",")),"Y","N")</f>
        <v>N</v>
      </c>
      <c r="N459" s="3" t="str">
        <f>IF(ISNUMBER(SEARCH(",RPG,",","&amp;SUBSTITUTE(TableMain[[#This Row],[Tags]],", ",",")&amp;",")),"Y","N")</f>
        <v>N</v>
      </c>
      <c r="O459" s="3" t="str">
        <f>IF(ISNUMBER(SEARCH(",Strategy,",","&amp;SUBSTITUTE(TableMain[[#This Row],[Tags]],", ",",")&amp;",")),"Y","N")</f>
        <v>Y</v>
      </c>
      <c r="P459" s="3" t="str">
        <f>IF(ISNUMBER(SEARCH(",Free To Play,",","&amp;SUBSTITUTE(TableMain[[#This Row],[Tags]],", ",",")&amp;",")),"Y","N")</f>
        <v>Y</v>
      </c>
    </row>
    <row r="460" spans="1:16" x14ac:dyDescent="0.35">
      <c r="A460">
        <v>2445690</v>
      </c>
      <c r="B460" t="s">
        <v>1110</v>
      </c>
      <c r="C460" s="1">
        <v>45497</v>
      </c>
      <c r="D460">
        <v>1121</v>
      </c>
      <c r="E460" t="b">
        <v>0</v>
      </c>
      <c r="F460" t="s">
        <v>1111</v>
      </c>
      <c r="G460" t="s">
        <v>167</v>
      </c>
      <c r="H460">
        <v>461</v>
      </c>
      <c r="I460" t="s">
        <v>110</v>
      </c>
      <c r="J460" s="3" t="str">
        <f>IF(ISNUMBER(SEARCH(",Action,",","&amp;SUBSTITUTE(TableMain[[#This Row],[Tags]],", ",",")&amp;",")),"Y","N")</f>
        <v>Y</v>
      </c>
      <c r="K460" s="3" t="str">
        <f>IF(ISNUMBER(SEARCH(",Indie,",","&amp;SUBSTITUTE(TableMain[[#This Row],[Tags]],", ",",")&amp;",")),"Y","N")</f>
        <v>Y</v>
      </c>
      <c r="L460" s="3" t="str">
        <f>IF(ISNUMBER(SEARCH(",Adventure,",","&amp;SUBSTITUTE(TableMain[[#This Row],[Tags]],", ",",")&amp;",")),"Y","N")</f>
        <v>Y</v>
      </c>
      <c r="M460" s="3" t="str">
        <f>IF(ISNUMBER(SEARCH(",Simulation,",","&amp;SUBSTITUTE(TableMain[[#This Row],[Tags]],", ",",")&amp;",")),"Y","N")</f>
        <v>N</v>
      </c>
      <c r="N460" s="3" t="str">
        <f>IF(ISNUMBER(SEARCH(",RPG,",","&amp;SUBSTITUTE(TableMain[[#This Row],[Tags]],", ",",")&amp;",")),"Y","N")</f>
        <v>Y</v>
      </c>
      <c r="O460" s="3" t="str">
        <f>IF(ISNUMBER(SEARCH(",Strategy,",","&amp;SUBSTITUTE(TableMain[[#This Row],[Tags]],", ",",")&amp;",")),"Y","N")</f>
        <v>N</v>
      </c>
      <c r="P460" s="3" t="str">
        <f>IF(ISNUMBER(SEARCH(",Free To Play,",","&amp;SUBSTITUTE(TableMain[[#This Row],[Tags]],", ",",")&amp;",")),"Y","N")</f>
        <v>N</v>
      </c>
    </row>
    <row r="461" spans="1:16" x14ac:dyDescent="0.35">
      <c r="A461">
        <v>1477830</v>
      </c>
      <c r="B461" t="s">
        <v>1112</v>
      </c>
      <c r="C461" s="1">
        <v>44201</v>
      </c>
      <c r="D461">
        <v>1120</v>
      </c>
      <c r="E461" t="b">
        <v>0</v>
      </c>
      <c r="F461" t="s">
        <v>1113</v>
      </c>
      <c r="G461" t="s">
        <v>1114</v>
      </c>
      <c r="H461">
        <v>462</v>
      </c>
      <c r="I461" t="s">
        <v>14</v>
      </c>
      <c r="J461" s="3" t="str">
        <f>IF(ISNUMBER(SEARCH(",Action,",","&amp;SUBSTITUTE(TableMain[[#This Row],[Tags]],", ",",")&amp;",")),"Y","N")</f>
        <v>Y</v>
      </c>
      <c r="K461" s="3" t="str">
        <f>IF(ISNUMBER(SEARCH(",Indie,",","&amp;SUBSTITUTE(TableMain[[#This Row],[Tags]],", ",",")&amp;",")),"Y","N")</f>
        <v>N</v>
      </c>
      <c r="L461" s="3" t="str">
        <f>IF(ISNUMBER(SEARCH(",Adventure,",","&amp;SUBSTITUTE(TableMain[[#This Row],[Tags]],", ",",")&amp;",")),"Y","N")</f>
        <v>N</v>
      </c>
      <c r="M461" s="3" t="str">
        <f>IF(ISNUMBER(SEARCH(",Simulation,",","&amp;SUBSTITUTE(TableMain[[#This Row],[Tags]],", ",",")&amp;",")),"Y","N")</f>
        <v>N</v>
      </c>
      <c r="N461" s="3" t="str">
        <f>IF(ISNUMBER(SEARCH(",RPG,",","&amp;SUBSTITUTE(TableMain[[#This Row],[Tags]],", ",",")&amp;",")),"Y","N")</f>
        <v>N</v>
      </c>
      <c r="O461" s="3" t="str">
        <f>IF(ISNUMBER(SEARCH(",Strategy,",","&amp;SUBSTITUTE(TableMain[[#This Row],[Tags]],", ",",")&amp;",")),"Y","N")</f>
        <v>N</v>
      </c>
      <c r="P461" s="3" t="str">
        <f>IF(ISNUMBER(SEARCH(",Free To Play,",","&amp;SUBSTITUTE(TableMain[[#This Row],[Tags]],", ",",")&amp;",")),"Y","N")</f>
        <v>N</v>
      </c>
    </row>
    <row r="462" spans="1:16" x14ac:dyDescent="0.35">
      <c r="A462">
        <v>346900</v>
      </c>
      <c r="B462" t="s">
        <v>1115</v>
      </c>
      <c r="C462" s="1">
        <v>42093</v>
      </c>
      <c r="D462">
        <v>1109</v>
      </c>
      <c r="E462" t="b">
        <v>1</v>
      </c>
      <c r="F462" t="s">
        <v>1116</v>
      </c>
      <c r="G462" t="s">
        <v>871</v>
      </c>
      <c r="H462">
        <v>463</v>
      </c>
      <c r="I462" t="s">
        <v>2084</v>
      </c>
      <c r="J462" s="3" t="str">
        <f>IF(ISNUMBER(SEARCH(",Action,",","&amp;SUBSTITUTE(TableMain[[#This Row],[Tags]],", ",",")&amp;",")),"Y","N")</f>
        <v>N</v>
      </c>
      <c r="K462" s="3" t="str">
        <f>IF(ISNUMBER(SEARCH(",Indie,",","&amp;SUBSTITUTE(TableMain[[#This Row],[Tags]],", ",",")&amp;",")),"Y","N")</f>
        <v>Y</v>
      </c>
      <c r="L462" s="3" t="str">
        <f>IF(ISNUMBER(SEARCH(",Adventure,",","&amp;SUBSTITUTE(TableMain[[#This Row],[Tags]],", ",",")&amp;",")),"Y","N")</f>
        <v>N</v>
      </c>
      <c r="M462" s="3" t="str">
        <f>IF(ISNUMBER(SEARCH(",Simulation,",","&amp;SUBSTITUTE(TableMain[[#This Row],[Tags]],", ",",")&amp;",")),"Y","N")</f>
        <v>N</v>
      </c>
      <c r="N462" s="3" t="str">
        <f>IF(ISNUMBER(SEARCH(",RPG,",","&amp;SUBSTITUTE(TableMain[[#This Row],[Tags]],", ",",")&amp;",")),"Y","N")</f>
        <v>N</v>
      </c>
      <c r="O462" s="3" t="str">
        <f>IF(ISNUMBER(SEARCH(",Strategy,",","&amp;SUBSTITUTE(TableMain[[#This Row],[Tags]],", ",",")&amp;",")),"Y","N")</f>
        <v>N</v>
      </c>
      <c r="P462" s="3" t="str">
        <f>IF(ISNUMBER(SEARCH(",Free To Play,",","&amp;SUBSTITUTE(TableMain[[#This Row],[Tags]],", ",",")&amp;",")),"Y","N")</f>
        <v>Y</v>
      </c>
    </row>
    <row r="463" spans="1:16" x14ac:dyDescent="0.35">
      <c r="A463">
        <v>3454590</v>
      </c>
      <c r="B463" t="s">
        <v>1117</v>
      </c>
      <c r="C463" s="1">
        <v>45768</v>
      </c>
      <c r="D463">
        <v>1100</v>
      </c>
      <c r="E463" t="b">
        <v>0</v>
      </c>
      <c r="F463" t="s">
        <v>681</v>
      </c>
      <c r="G463" t="s">
        <v>164</v>
      </c>
      <c r="H463">
        <v>464</v>
      </c>
      <c r="I463" t="s">
        <v>14</v>
      </c>
      <c r="J463" s="3" t="str">
        <f>IF(ISNUMBER(SEARCH(",Action,",","&amp;SUBSTITUTE(TableMain[[#This Row],[Tags]],", ",",")&amp;",")),"Y","N")</f>
        <v>N</v>
      </c>
      <c r="K463" s="3" t="str">
        <f>IF(ISNUMBER(SEARCH(",Indie,",","&amp;SUBSTITUTE(TableMain[[#This Row],[Tags]],", ",",")&amp;",")),"Y","N")</f>
        <v>Y</v>
      </c>
      <c r="L463" s="3" t="str">
        <f>IF(ISNUMBER(SEARCH(",Adventure,",","&amp;SUBSTITUTE(TableMain[[#This Row],[Tags]],", ",",")&amp;",")),"Y","N")</f>
        <v>N</v>
      </c>
      <c r="M463" s="3" t="str">
        <f>IF(ISNUMBER(SEARCH(",Simulation,",","&amp;SUBSTITUTE(TableMain[[#This Row],[Tags]],", ",",")&amp;",")),"Y","N")</f>
        <v>Y</v>
      </c>
      <c r="N463" s="3" t="str">
        <f>IF(ISNUMBER(SEARCH(",RPG,",","&amp;SUBSTITUTE(TableMain[[#This Row],[Tags]],", ",",")&amp;",")),"Y","N")</f>
        <v>N</v>
      </c>
      <c r="O463" s="3" t="str">
        <f>IF(ISNUMBER(SEARCH(",Strategy,",","&amp;SUBSTITUTE(TableMain[[#This Row],[Tags]],", ",",")&amp;",")),"Y","N")</f>
        <v>N</v>
      </c>
      <c r="P463" s="3" t="str">
        <f>IF(ISNUMBER(SEARCH(",Free To Play,",","&amp;SUBSTITUTE(TableMain[[#This Row],[Tags]],", ",",")&amp;",")),"Y","N")</f>
        <v>N</v>
      </c>
    </row>
    <row r="464" spans="1:16" x14ac:dyDescent="0.35">
      <c r="A464">
        <v>2273430</v>
      </c>
      <c r="B464" t="s">
        <v>1118</v>
      </c>
      <c r="C464" s="1">
        <v>45336</v>
      </c>
      <c r="D464">
        <v>1099</v>
      </c>
      <c r="E464" t="b">
        <v>1</v>
      </c>
      <c r="F464" t="s">
        <v>1119</v>
      </c>
      <c r="G464" t="s">
        <v>446</v>
      </c>
      <c r="H464">
        <v>465</v>
      </c>
      <c r="I464" t="s">
        <v>53</v>
      </c>
      <c r="J464" s="3" t="str">
        <f>IF(ISNUMBER(SEARCH(",Action,",","&amp;SUBSTITUTE(TableMain[[#This Row],[Tags]],", ",",")&amp;",")),"Y","N")</f>
        <v>Y</v>
      </c>
      <c r="K464" s="3" t="str">
        <f>IF(ISNUMBER(SEARCH(",Indie,",","&amp;SUBSTITUTE(TableMain[[#This Row],[Tags]],", ",",")&amp;",")),"Y","N")</f>
        <v>Y</v>
      </c>
      <c r="L464" s="3" t="str">
        <f>IF(ISNUMBER(SEARCH(",Adventure,",","&amp;SUBSTITUTE(TableMain[[#This Row],[Tags]],", ",",")&amp;",")),"Y","N")</f>
        <v>Y</v>
      </c>
      <c r="M464" s="3" t="str">
        <f>IF(ISNUMBER(SEARCH(",Simulation,",","&amp;SUBSTITUTE(TableMain[[#This Row],[Tags]],", ",",")&amp;",")),"Y","N")</f>
        <v>N</v>
      </c>
      <c r="N464" s="3" t="str">
        <f>IF(ISNUMBER(SEARCH(",RPG,",","&amp;SUBSTITUTE(TableMain[[#This Row],[Tags]],", ",",")&amp;",")),"Y","N")</f>
        <v>N</v>
      </c>
      <c r="O464" s="3" t="str">
        <f>IF(ISNUMBER(SEARCH(",Strategy,",","&amp;SUBSTITUTE(TableMain[[#This Row],[Tags]],", ",",")&amp;",")),"Y","N")</f>
        <v>N</v>
      </c>
      <c r="P464" s="3" t="str">
        <f>IF(ISNUMBER(SEARCH(",Free To Play,",","&amp;SUBSTITUTE(TableMain[[#This Row],[Tags]],", ",",")&amp;",")),"Y","N")</f>
        <v>N</v>
      </c>
    </row>
    <row r="465" spans="1:16" x14ac:dyDescent="0.35">
      <c r="A465">
        <v>880940</v>
      </c>
      <c r="B465" t="s">
        <v>1120</v>
      </c>
      <c r="C465" s="1">
        <v>43363</v>
      </c>
      <c r="D465">
        <v>1096</v>
      </c>
      <c r="E465" t="b">
        <v>0</v>
      </c>
      <c r="F465" t="s">
        <v>1121</v>
      </c>
      <c r="G465" t="s">
        <v>601</v>
      </c>
      <c r="H465">
        <v>466</v>
      </c>
      <c r="I465" t="s">
        <v>14</v>
      </c>
      <c r="J465" s="3" t="str">
        <f>IF(ISNUMBER(SEARCH(",Action,",","&amp;SUBSTITUTE(TableMain[[#This Row],[Tags]],", ",",")&amp;",")),"Y","N")</f>
        <v>Y</v>
      </c>
      <c r="K465" s="3" t="str">
        <f>IF(ISNUMBER(SEARCH(",Indie,",","&amp;SUBSTITUTE(TableMain[[#This Row],[Tags]],", ",",")&amp;",")),"Y","N")</f>
        <v>Y</v>
      </c>
      <c r="L465" s="3" t="str">
        <f>IF(ISNUMBER(SEARCH(",Adventure,",","&amp;SUBSTITUTE(TableMain[[#This Row],[Tags]],", ",",")&amp;",")),"Y","N")</f>
        <v>N</v>
      </c>
      <c r="M465" s="3" t="str">
        <f>IF(ISNUMBER(SEARCH(",Simulation,",","&amp;SUBSTITUTE(TableMain[[#This Row],[Tags]],", ",",")&amp;",")),"Y","N")</f>
        <v>N</v>
      </c>
      <c r="N465" s="3" t="str">
        <f>IF(ISNUMBER(SEARCH(",RPG,",","&amp;SUBSTITUTE(TableMain[[#This Row],[Tags]],", ",",")&amp;",")),"Y","N")</f>
        <v>N</v>
      </c>
      <c r="O465" s="3" t="str">
        <f>IF(ISNUMBER(SEARCH(",Strategy,",","&amp;SUBSTITUTE(TableMain[[#This Row],[Tags]],", ",",")&amp;",")),"Y","N")</f>
        <v>N</v>
      </c>
      <c r="P465" s="3" t="str">
        <f>IF(ISNUMBER(SEARCH(",Free To Play,",","&amp;SUBSTITUTE(TableMain[[#This Row],[Tags]],", ",",")&amp;",")),"Y","N")</f>
        <v>N</v>
      </c>
    </row>
    <row r="466" spans="1:16" x14ac:dyDescent="0.35">
      <c r="A466">
        <v>365360</v>
      </c>
      <c r="B466" t="s">
        <v>1122</v>
      </c>
      <c r="C466" s="1">
        <v>42818</v>
      </c>
      <c r="D466">
        <v>1091</v>
      </c>
      <c r="E466" t="b">
        <v>0</v>
      </c>
      <c r="F466" t="s">
        <v>1123</v>
      </c>
      <c r="G466" t="s">
        <v>229</v>
      </c>
      <c r="H466">
        <v>467</v>
      </c>
      <c r="I466" t="s">
        <v>932</v>
      </c>
      <c r="J466" s="3" t="str">
        <f>IF(ISNUMBER(SEARCH(",Action,",","&amp;SUBSTITUTE(TableMain[[#This Row],[Tags]],", ",",")&amp;",")),"Y","N")</f>
        <v>N</v>
      </c>
      <c r="K466" s="3" t="str">
        <f>IF(ISNUMBER(SEARCH(",Indie,",","&amp;SUBSTITUTE(TableMain[[#This Row],[Tags]],", ",",")&amp;",")),"Y","N")</f>
        <v>N</v>
      </c>
      <c r="L466" s="3" t="str">
        <f>IF(ISNUMBER(SEARCH(",Adventure,",","&amp;SUBSTITUTE(TableMain[[#This Row],[Tags]],", ",",")&amp;",")),"Y","N")</f>
        <v>N</v>
      </c>
      <c r="M466" s="3" t="str">
        <f>IF(ISNUMBER(SEARCH(",Simulation,",","&amp;SUBSTITUTE(TableMain[[#This Row],[Tags]],", ",",")&amp;",")),"Y","N")</f>
        <v>Y</v>
      </c>
      <c r="N466" s="3" t="str">
        <f>IF(ISNUMBER(SEARCH(",RPG,",","&amp;SUBSTITUTE(TableMain[[#This Row],[Tags]],", ",",")&amp;",")),"Y","N")</f>
        <v>Y</v>
      </c>
      <c r="O466" s="3" t="str">
        <f>IF(ISNUMBER(SEARCH(",Strategy,",","&amp;SUBSTITUTE(TableMain[[#This Row],[Tags]],", ",",")&amp;",")),"Y","N")</f>
        <v>Y</v>
      </c>
      <c r="P466" s="3" t="str">
        <f>IF(ISNUMBER(SEARCH(",Free To Play,",","&amp;SUBSTITUTE(TableMain[[#This Row],[Tags]],", ",",")&amp;",")),"Y","N")</f>
        <v>N</v>
      </c>
    </row>
    <row r="467" spans="1:16" x14ac:dyDescent="0.35">
      <c r="A467">
        <v>2418520</v>
      </c>
      <c r="B467" t="s">
        <v>1124</v>
      </c>
      <c r="C467" s="1">
        <v>45807</v>
      </c>
      <c r="D467">
        <v>1080</v>
      </c>
      <c r="E467" t="b">
        <v>1</v>
      </c>
      <c r="F467" t="s">
        <v>1125</v>
      </c>
      <c r="G467" t="s">
        <v>164</v>
      </c>
      <c r="H467">
        <v>468</v>
      </c>
      <c r="I467" t="s">
        <v>53</v>
      </c>
      <c r="J467" s="3" t="str">
        <f>IF(ISNUMBER(SEARCH(",Action,",","&amp;SUBSTITUTE(TableMain[[#This Row],[Tags]],", ",",")&amp;",")),"Y","N")</f>
        <v>N</v>
      </c>
      <c r="K467" s="3" t="str">
        <f>IF(ISNUMBER(SEARCH(",Indie,",","&amp;SUBSTITUTE(TableMain[[#This Row],[Tags]],", ",",")&amp;",")),"Y","N")</f>
        <v>Y</v>
      </c>
      <c r="L467" s="3" t="str">
        <f>IF(ISNUMBER(SEARCH(",Adventure,",","&amp;SUBSTITUTE(TableMain[[#This Row],[Tags]],", ",",")&amp;",")),"Y","N")</f>
        <v>N</v>
      </c>
      <c r="M467" s="3" t="str">
        <f>IF(ISNUMBER(SEARCH(",Simulation,",","&amp;SUBSTITUTE(TableMain[[#This Row],[Tags]],", ",",")&amp;",")),"Y","N")</f>
        <v>Y</v>
      </c>
      <c r="N467" s="3" t="str">
        <f>IF(ISNUMBER(SEARCH(",RPG,",","&amp;SUBSTITUTE(TableMain[[#This Row],[Tags]],", ",",")&amp;",")),"Y","N")</f>
        <v>N</v>
      </c>
      <c r="O467" s="3" t="str">
        <f>IF(ISNUMBER(SEARCH(",Strategy,",","&amp;SUBSTITUTE(TableMain[[#This Row],[Tags]],", ",",")&amp;",")),"Y","N")</f>
        <v>N</v>
      </c>
      <c r="P467" s="3" t="str">
        <f>IF(ISNUMBER(SEARCH(",Free To Play,",","&amp;SUBSTITUTE(TableMain[[#This Row],[Tags]],", ",",")&amp;",")),"Y","N")</f>
        <v>N</v>
      </c>
    </row>
    <row r="468" spans="1:16" x14ac:dyDescent="0.35">
      <c r="A468">
        <v>1041320</v>
      </c>
      <c r="B468" t="s">
        <v>1126</v>
      </c>
      <c r="C468" s="1">
        <v>43618</v>
      </c>
      <c r="D468">
        <v>1080</v>
      </c>
      <c r="E468" t="b">
        <v>0</v>
      </c>
      <c r="F468" t="s">
        <v>1127</v>
      </c>
      <c r="G468" t="s">
        <v>1128</v>
      </c>
      <c r="H468">
        <v>468</v>
      </c>
      <c r="I468" t="s">
        <v>14</v>
      </c>
      <c r="J468" s="3" t="str">
        <f>IF(ISNUMBER(SEARCH(",Action,",","&amp;SUBSTITUTE(TableMain[[#This Row],[Tags]],", ",",")&amp;",")),"Y","N")</f>
        <v>N</v>
      </c>
      <c r="K468" s="3" t="str">
        <f>IF(ISNUMBER(SEARCH(",Indie,",","&amp;SUBSTITUTE(TableMain[[#This Row],[Tags]],", ",",")&amp;",")),"Y","N")</f>
        <v>N</v>
      </c>
      <c r="L468" s="3" t="str">
        <f>IF(ISNUMBER(SEARCH(",Adventure,",","&amp;SUBSTITUTE(TableMain[[#This Row],[Tags]],", ",",")&amp;",")),"Y","N")</f>
        <v>N</v>
      </c>
      <c r="M468" s="3" t="str">
        <f>IF(ISNUMBER(SEARCH(",Simulation,",","&amp;SUBSTITUTE(TableMain[[#This Row],[Tags]],", ",",")&amp;",")),"Y","N")</f>
        <v>N</v>
      </c>
      <c r="N468" s="3" t="str">
        <f>IF(ISNUMBER(SEARCH(",RPG,",","&amp;SUBSTITUTE(TableMain[[#This Row],[Tags]],", ",",")&amp;",")),"Y","N")</f>
        <v>Y</v>
      </c>
      <c r="O468" s="3" t="str">
        <f>IF(ISNUMBER(SEARCH(",Strategy,",","&amp;SUBSTITUTE(TableMain[[#This Row],[Tags]],", ",",")&amp;",")),"Y","N")</f>
        <v>Y</v>
      </c>
      <c r="P468" s="3" t="str">
        <f>IF(ISNUMBER(SEARCH(",Free To Play,",","&amp;SUBSTITUTE(TableMain[[#This Row],[Tags]],", ",",")&amp;",")),"Y","N")</f>
        <v>Y</v>
      </c>
    </row>
    <row r="469" spans="1:16" x14ac:dyDescent="0.35">
      <c r="A469">
        <v>9900</v>
      </c>
      <c r="B469" t="s">
        <v>1129</v>
      </c>
      <c r="C469" s="1">
        <v>40939</v>
      </c>
      <c r="D469">
        <v>1057</v>
      </c>
      <c r="E469" t="b">
        <v>0</v>
      </c>
      <c r="F469" t="s">
        <v>1130</v>
      </c>
      <c r="G469" t="s">
        <v>322</v>
      </c>
      <c r="H469">
        <v>470</v>
      </c>
      <c r="I469" t="s">
        <v>2084</v>
      </c>
      <c r="J469" s="3" t="str">
        <f>IF(ISNUMBER(SEARCH(",Action,",","&amp;SUBSTITUTE(TableMain[[#This Row],[Tags]],", ",",")&amp;",")),"Y","N")</f>
        <v>N</v>
      </c>
      <c r="K469" s="3" t="str">
        <f>IF(ISNUMBER(SEARCH(",Indie,",","&amp;SUBSTITUTE(TableMain[[#This Row],[Tags]],", ",",")&amp;",")),"Y","N")</f>
        <v>N</v>
      </c>
      <c r="L469" s="3" t="str">
        <f>IF(ISNUMBER(SEARCH(",Adventure,",","&amp;SUBSTITUTE(TableMain[[#This Row],[Tags]],", ",",")&amp;",")),"Y","N")</f>
        <v>N</v>
      </c>
      <c r="M469" s="3" t="str">
        <f>IF(ISNUMBER(SEARCH(",Simulation,",","&amp;SUBSTITUTE(TableMain[[#This Row],[Tags]],", ",",")&amp;",")),"Y","N")</f>
        <v>N</v>
      </c>
      <c r="N469" s="3" t="str">
        <f>IF(ISNUMBER(SEARCH(",RPG,",","&amp;SUBSTITUTE(TableMain[[#This Row],[Tags]],", ",",")&amp;",")),"Y","N")</f>
        <v>Y</v>
      </c>
      <c r="O469" s="3" t="str">
        <f>IF(ISNUMBER(SEARCH(",Strategy,",","&amp;SUBSTITUTE(TableMain[[#This Row],[Tags]],", ",",")&amp;",")),"Y","N")</f>
        <v>N</v>
      </c>
      <c r="P469" s="3" t="str">
        <f>IF(ISNUMBER(SEARCH(",Free To Play,",","&amp;SUBSTITUTE(TableMain[[#This Row],[Tags]],", ",",")&amp;",")),"Y","N")</f>
        <v>Y</v>
      </c>
    </row>
    <row r="470" spans="1:16" x14ac:dyDescent="0.35">
      <c r="A470">
        <v>1940340</v>
      </c>
      <c r="B470" t="s">
        <v>1131</v>
      </c>
      <c r="C470" s="1">
        <v>45054</v>
      </c>
      <c r="D470">
        <v>1054</v>
      </c>
      <c r="E470" t="b">
        <v>1</v>
      </c>
      <c r="F470" t="s">
        <v>334</v>
      </c>
      <c r="G470" t="s">
        <v>516</v>
      </c>
      <c r="H470">
        <v>471</v>
      </c>
      <c r="I470" t="s">
        <v>304</v>
      </c>
      <c r="J470" s="3" t="str">
        <f>IF(ISNUMBER(SEARCH(",Action,",","&amp;SUBSTITUTE(TableMain[[#This Row],[Tags]],", ",",")&amp;",")),"Y","N")</f>
        <v>N</v>
      </c>
      <c r="K470" s="3" t="str">
        <f>IF(ISNUMBER(SEARCH(",Indie,",","&amp;SUBSTITUTE(TableMain[[#This Row],[Tags]],", ",",")&amp;",")),"Y","N")</f>
        <v>Y</v>
      </c>
      <c r="L470" s="3" t="str">
        <f>IF(ISNUMBER(SEARCH(",Adventure,",","&amp;SUBSTITUTE(TableMain[[#This Row],[Tags]],", ",",")&amp;",")),"Y","N")</f>
        <v>N</v>
      </c>
      <c r="M470" s="3" t="str">
        <f>IF(ISNUMBER(SEARCH(",Simulation,",","&amp;SUBSTITUTE(TableMain[[#This Row],[Tags]],", ",",")&amp;",")),"Y","N")</f>
        <v>N</v>
      </c>
      <c r="N470" s="3" t="str">
        <f>IF(ISNUMBER(SEARCH(",RPG,",","&amp;SUBSTITUTE(TableMain[[#This Row],[Tags]],", ",",")&amp;",")),"Y","N")</f>
        <v>Y</v>
      </c>
      <c r="O470" s="3" t="str">
        <f>IF(ISNUMBER(SEARCH(",Strategy,",","&amp;SUBSTITUTE(TableMain[[#This Row],[Tags]],", ",",")&amp;",")),"Y","N")</f>
        <v>Y</v>
      </c>
      <c r="P470" s="3" t="str">
        <f>IF(ISNUMBER(SEARCH(",Free To Play,",","&amp;SUBSTITUTE(TableMain[[#This Row],[Tags]],", ",",")&amp;",")),"Y","N")</f>
        <v>N</v>
      </c>
    </row>
    <row r="471" spans="1:16" x14ac:dyDescent="0.35">
      <c r="A471">
        <v>1343370</v>
      </c>
      <c r="B471" t="s">
        <v>1132</v>
      </c>
      <c r="C471" s="1">
        <v>44251</v>
      </c>
      <c r="D471">
        <v>1050</v>
      </c>
      <c r="E471" t="b">
        <v>1</v>
      </c>
      <c r="F471" t="s">
        <v>1133</v>
      </c>
      <c r="G471" t="s">
        <v>585</v>
      </c>
      <c r="H471">
        <v>472</v>
      </c>
      <c r="I471" t="s">
        <v>133</v>
      </c>
      <c r="J471" s="3" t="str">
        <f>IF(ISNUMBER(SEARCH(",Action,",","&amp;SUBSTITUTE(TableMain[[#This Row],[Tags]],", ",",")&amp;",")),"Y","N")</f>
        <v>N</v>
      </c>
      <c r="K471" s="3" t="str">
        <f>IF(ISNUMBER(SEARCH(",Indie,",","&amp;SUBSTITUTE(TableMain[[#This Row],[Tags]],", ",",")&amp;",")),"Y","N")</f>
        <v>N</v>
      </c>
      <c r="L471" s="3" t="str">
        <f>IF(ISNUMBER(SEARCH(",Adventure,",","&amp;SUBSTITUTE(TableMain[[#This Row],[Tags]],", ",",")&amp;",")),"Y","N")</f>
        <v>Y</v>
      </c>
      <c r="M471" s="3" t="str">
        <f>IF(ISNUMBER(SEARCH(",Simulation,",","&amp;SUBSTITUTE(TableMain[[#This Row],[Tags]],", ",",")&amp;",")),"Y","N")</f>
        <v>N</v>
      </c>
      <c r="N471" s="3" t="str">
        <f>IF(ISNUMBER(SEARCH(",RPG,",","&amp;SUBSTITUTE(TableMain[[#This Row],[Tags]],", ",",")&amp;",")),"Y","N")</f>
        <v>Y</v>
      </c>
      <c r="O471" s="3" t="str">
        <f>IF(ISNUMBER(SEARCH(",Strategy,",","&amp;SUBSTITUTE(TableMain[[#This Row],[Tags]],", ",",")&amp;",")),"Y","N")</f>
        <v>N</v>
      </c>
      <c r="P471" s="3" t="str">
        <f>IF(ISNUMBER(SEARCH(",Free To Play,",","&amp;SUBSTITUTE(TableMain[[#This Row],[Tags]],", ",",")&amp;",")),"Y","N")</f>
        <v>Y</v>
      </c>
    </row>
    <row r="472" spans="1:16" x14ac:dyDescent="0.35">
      <c r="A472">
        <v>1840</v>
      </c>
      <c r="B472" t="s">
        <v>1134</v>
      </c>
      <c r="C472" s="1">
        <v>41100</v>
      </c>
      <c r="D472">
        <v>1047</v>
      </c>
      <c r="E472" t="b">
        <v>0</v>
      </c>
      <c r="F472" t="s">
        <v>1135</v>
      </c>
      <c r="G472" t="s">
        <v>1136</v>
      </c>
      <c r="H472">
        <v>473</v>
      </c>
      <c r="I472" t="s">
        <v>2084</v>
      </c>
      <c r="J472" s="3" t="str">
        <f>IF(ISNUMBER(SEARCH(",Action,",","&amp;SUBSTITUTE(TableMain[[#This Row],[Tags]],", ",",")&amp;",")),"Y","N")</f>
        <v>N</v>
      </c>
      <c r="K472" s="3" t="str">
        <f>IF(ISNUMBER(SEARCH(",Indie,",","&amp;SUBSTITUTE(TableMain[[#This Row],[Tags]],", ",",")&amp;",")),"Y","N")</f>
        <v>N</v>
      </c>
      <c r="L472" s="3" t="str">
        <f>IF(ISNUMBER(SEARCH(",Adventure,",","&amp;SUBSTITUTE(TableMain[[#This Row],[Tags]],", ",",")&amp;",")),"Y","N")</f>
        <v>N</v>
      </c>
      <c r="M472" s="3" t="str">
        <f>IF(ISNUMBER(SEARCH(",Simulation,",","&amp;SUBSTITUTE(TableMain[[#This Row],[Tags]],", ",",")&amp;",")),"Y","N")</f>
        <v>N</v>
      </c>
      <c r="N472" s="3" t="str">
        <f>IF(ISNUMBER(SEARCH(",RPG,",","&amp;SUBSTITUTE(TableMain[[#This Row],[Tags]],", ",",")&amp;",")),"Y","N")</f>
        <v>N</v>
      </c>
      <c r="O472" s="3" t="str">
        <f>IF(ISNUMBER(SEARCH(",Strategy,",","&amp;SUBSTITUTE(TableMain[[#This Row],[Tags]],", ",",")&amp;",")),"Y","N")</f>
        <v>N</v>
      </c>
      <c r="P472" s="3" t="str">
        <f>IF(ISNUMBER(SEARCH(",Free To Play,",","&amp;SUBSTITUTE(TableMain[[#This Row],[Tags]],", ",",")&amp;",")),"Y","N")</f>
        <v>N</v>
      </c>
    </row>
    <row r="473" spans="1:16" x14ac:dyDescent="0.35">
      <c r="A473">
        <v>3116890</v>
      </c>
      <c r="B473" t="s">
        <v>1137</v>
      </c>
      <c r="C473" s="1">
        <v>45730</v>
      </c>
      <c r="D473">
        <v>1044</v>
      </c>
      <c r="E473" t="b">
        <v>1</v>
      </c>
      <c r="F473" t="s">
        <v>1138</v>
      </c>
      <c r="G473" t="s">
        <v>1139</v>
      </c>
      <c r="H473">
        <v>474</v>
      </c>
      <c r="I473" t="s">
        <v>14</v>
      </c>
      <c r="J473" s="3" t="str">
        <f>IF(ISNUMBER(SEARCH(",Action,",","&amp;SUBSTITUTE(TableMain[[#This Row],[Tags]],", ",",")&amp;",")),"Y","N")</f>
        <v>N</v>
      </c>
      <c r="K473" s="3" t="str">
        <f>IF(ISNUMBER(SEARCH(",Indie,",","&amp;SUBSTITUTE(TableMain[[#This Row],[Tags]],", ",",")&amp;",")),"Y","N")</f>
        <v>Y</v>
      </c>
      <c r="L473" s="3" t="str">
        <f>IF(ISNUMBER(SEARCH(",Adventure,",","&amp;SUBSTITUTE(TableMain[[#This Row],[Tags]],", ",",")&amp;",")),"Y","N")</f>
        <v>N</v>
      </c>
      <c r="M473" s="3" t="str">
        <f>IF(ISNUMBER(SEARCH(",Simulation,",","&amp;SUBSTITUTE(TableMain[[#This Row],[Tags]],", ",",")&amp;",")),"Y","N")</f>
        <v>Y</v>
      </c>
      <c r="N473" s="3" t="str">
        <f>IF(ISNUMBER(SEARCH(",RPG,",","&amp;SUBSTITUTE(TableMain[[#This Row],[Tags]],", ",",")&amp;",")),"Y","N")</f>
        <v>N</v>
      </c>
      <c r="O473" s="3" t="str">
        <f>IF(ISNUMBER(SEARCH(",Strategy,",","&amp;SUBSTITUTE(TableMain[[#This Row],[Tags]],", ",",")&amp;",")),"Y","N")</f>
        <v>Y</v>
      </c>
      <c r="P473" s="3" t="str">
        <f>IF(ISNUMBER(SEARCH(",Free To Play,",","&amp;SUBSTITUTE(TableMain[[#This Row],[Tags]],", ",",")&amp;",")),"Y","N")</f>
        <v>N</v>
      </c>
    </row>
    <row r="474" spans="1:16" x14ac:dyDescent="0.35">
      <c r="A474">
        <v>516750</v>
      </c>
      <c r="B474" t="s">
        <v>1140</v>
      </c>
      <c r="C474" s="1">
        <v>45665</v>
      </c>
      <c r="D474">
        <v>1044</v>
      </c>
      <c r="E474" t="b">
        <v>0</v>
      </c>
      <c r="F474" t="s">
        <v>1053</v>
      </c>
      <c r="G474" t="s">
        <v>1141</v>
      </c>
      <c r="H474">
        <v>474</v>
      </c>
      <c r="I474" t="s">
        <v>25</v>
      </c>
      <c r="J474" s="3" t="str">
        <f>IF(ISNUMBER(SEARCH(",Action,",","&amp;SUBSTITUTE(TableMain[[#This Row],[Tags]],", ",",")&amp;",")),"Y","N")</f>
        <v>N</v>
      </c>
      <c r="K474" s="3" t="str">
        <f>IF(ISNUMBER(SEARCH(",Indie,",","&amp;SUBSTITUTE(TableMain[[#This Row],[Tags]],", ",",")&amp;",")),"Y","N")</f>
        <v>Y</v>
      </c>
      <c r="L474" s="3" t="str">
        <f>IF(ISNUMBER(SEARCH(",Adventure,",","&amp;SUBSTITUTE(TableMain[[#This Row],[Tags]],", ",",")&amp;",")),"Y","N")</f>
        <v>N</v>
      </c>
      <c r="M474" s="3" t="str">
        <f>IF(ISNUMBER(SEARCH(",Simulation,",","&amp;SUBSTITUTE(TableMain[[#This Row],[Tags]],", ",",")&amp;",")),"Y","N")</f>
        <v>Y</v>
      </c>
      <c r="N474" s="3" t="str">
        <f>IF(ISNUMBER(SEARCH(",RPG,",","&amp;SUBSTITUTE(TableMain[[#This Row],[Tags]],", ",",")&amp;",")),"Y","N")</f>
        <v>N</v>
      </c>
      <c r="O474" s="3" t="str">
        <f>IF(ISNUMBER(SEARCH(",Strategy,",","&amp;SUBSTITUTE(TableMain[[#This Row],[Tags]],", ",",")&amp;",")),"Y","N")</f>
        <v>N</v>
      </c>
      <c r="P474" s="3" t="str">
        <f>IF(ISNUMBER(SEARCH(",Free To Play,",","&amp;SUBSTITUTE(TableMain[[#This Row],[Tags]],", ",",")&amp;",")),"Y","N")</f>
        <v>N</v>
      </c>
    </row>
    <row r="475" spans="1:16" x14ac:dyDescent="0.35">
      <c r="A475">
        <v>2456740</v>
      </c>
      <c r="B475" t="s">
        <v>1142</v>
      </c>
      <c r="C475" s="1">
        <v>45743</v>
      </c>
      <c r="D475">
        <v>1039</v>
      </c>
      <c r="E475" t="b">
        <v>1</v>
      </c>
      <c r="F475" t="s">
        <v>1143</v>
      </c>
      <c r="G475" t="s">
        <v>1144</v>
      </c>
      <c r="H475">
        <v>476</v>
      </c>
      <c r="I475" t="s">
        <v>405</v>
      </c>
      <c r="J475" s="3" t="str">
        <f>IF(ISNUMBER(SEARCH(",Action,",","&amp;SUBSTITUTE(TableMain[[#This Row],[Tags]],", ",",")&amp;",")),"Y","N")</f>
        <v>N</v>
      </c>
      <c r="K475" s="3" t="str">
        <f>IF(ISNUMBER(SEARCH(",Indie,",","&amp;SUBSTITUTE(TableMain[[#This Row],[Tags]],", ",",")&amp;",")),"Y","N")</f>
        <v>N</v>
      </c>
      <c r="L475" s="3" t="str">
        <f>IF(ISNUMBER(SEARCH(",Adventure,",","&amp;SUBSTITUTE(TableMain[[#This Row],[Tags]],", ",",")&amp;",")),"Y","N")</f>
        <v>Y</v>
      </c>
      <c r="M475" s="3" t="str">
        <f>IF(ISNUMBER(SEARCH(",Simulation,",","&amp;SUBSTITUTE(TableMain[[#This Row],[Tags]],", ",",")&amp;",")),"Y","N")</f>
        <v>Y</v>
      </c>
      <c r="N475" s="3" t="str">
        <f>IF(ISNUMBER(SEARCH(",RPG,",","&amp;SUBSTITUTE(TableMain[[#This Row],[Tags]],", ",",")&amp;",")),"Y","N")</f>
        <v>N</v>
      </c>
      <c r="O475" s="3" t="str">
        <f>IF(ISNUMBER(SEARCH(",Strategy,",","&amp;SUBSTITUTE(TableMain[[#This Row],[Tags]],", ",",")&amp;",")),"Y","N")</f>
        <v>N</v>
      </c>
      <c r="P475" s="3" t="str">
        <f>IF(ISNUMBER(SEARCH(",Free To Play,",","&amp;SUBSTITUTE(TableMain[[#This Row],[Tags]],", ",",")&amp;",")),"Y","N")</f>
        <v>N</v>
      </c>
    </row>
    <row r="476" spans="1:16" x14ac:dyDescent="0.35">
      <c r="A476">
        <v>444090</v>
      </c>
      <c r="B476" t="s">
        <v>1145</v>
      </c>
      <c r="C476" s="1">
        <v>43228</v>
      </c>
      <c r="D476">
        <v>1028</v>
      </c>
      <c r="E476" t="b">
        <v>0</v>
      </c>
      <c r="F476" t="s">
        <v>1146</v>
      </c>
      <c r="G476" t="s">
        <v>1147</v>
      </c>
      <c r="H476">
        <v>477</v>
      </c>
      <c r="I476" t="s">
        <v>40</v>
      </c>
      <c r="J476" s="3" t="str">
        <f>IF(ISNUMBER(SEARCH(",Action,",","&amp;SUBSTITUTE(TableMain[[#This Row],[Tags]],", ",",")&amp;",")),"Y","N")</f>
        <v>Y</v>
      </c>
      <c r="K476" s="3" t="str">
        <f>IF(ISNUMBER(SEARCH(",Indie,",","&amp;SUBSTITUTE(TableMain[[#This Row],[Tags]],", ",",")&amp;",")),"Y","N")</f>
        <v>N</v>
      </c>
      <c r="L476" s="3" t="str">
        <f>IF(ISNUMBER(SEARCH(",Adventure,",","&amp;SUBSTITUTE(TableMain[[#This Row],[Tags]],", ",",")&amp;",")),"Y","N")</f>
        <v>Y</v>
      </c>
      <c r="M476" s="3" t="str">
        <f>IF(ISNUMBER(SEARCH(",Simulation,",","&amp;SUBSTITUTE(TableMain[[#This Row],[Tags]],", ",",")&amp;",")),"Y","N")</f>
        <v>N</v>
      </c>
      <c r="N476" s="3" t="str">
        <f>IF(ISNUMBER(SEARCH(",RPG,",","&amp;SUBSTITUTE(TableMain[[#This Row],[Tags]],", ",",")&amp;",")),"Y","N")</f>
        <v>N</v>
      </c>
      <c r="O476" s="3" t="str">
        <f>IF(ISNUMBER(SEARCH(",Strategy,",","&amp;SUBSTITUTE(TableMain[[#This Row],[Tags]],", ",",")&amp;",")),"Y","N")</f>
        <v>Y</v>
      </c>
      <c r="P476" s="3" t="str">
        <f>IF(ISNUMBER(SEARCH(",Free To Play,",","&amp;SUBSTITUTE(TableMain[[#This Row],[Tags]],", ",",")&amp;",")),"Y","N")</f>
        <v>Y</v>
      </c>
    </row>
    <row r="477" spans="1:16" x14ac:dyDescent="0.35">
      <c r="A477">
        <v>976310</v>
      </c>
      <c r="B477" t="s">
        <v>1148</v>
      </c>
      <c r="C477" s="1">
        <v>43578</v>
      </c>
      <c r="D477">
        <v>1026</v>
      </c>
      <c r="E477" t="b">
        <v>0</v>
      </c>
      <c r="F477" t="s">
        <v>1149</v>
      </c>
      <c r="G477" t="s">
        <v>49</v>
      </c>
      <c r="H477">
        <v>478</v>
      </c>
      <c r="I477" t="s">
        <v>133</v>
      </c>
      <c r="J477" s="3" t="str">
        <f>IF(ISNUMBER(SEARCH(",Action,",","&amp;SUBSTITUTE(TableMain[[#This Row],[Tags]],", ",",")&amp;",")),"Y","N")</f>
        <v>Y</v>
      </c>
      <c r="K477" s="3" t="str">
        <f>IF(ISNUMBER(SEARCH(",Indie,",","&amp;SUBSTITUTE(TableMain[[#This Row],[Tags]],", ",",")&amp;",")),"Y","N")</f>
        <v>N</v>
      </c>
      <c r="L477" s="3" t="str">
        <f>IF(ISNUMBER(SEARCH(",Adventure,",","&amp;SUBSTITUTE(TableMain[[#This Row],[Tags]],", ",",")&amp;",")),"Y","N")</f>
        <v>N</v>
      </c>
      <c r="M477" s="3" t="str">
        <f>IF(ISNUMBER(SEARCH(",Simulation,",","&amp;SUBSTITUTE(TableMain[[#This Row],[Tags]],", ",",")&amp;",")),"Y","N")</f>
        <v>N</v>
      </c>
      <c r="N477" s="3" t="str">
        <f>IF(ISNUMBER(SEARCH(",RPG,",","&amp;SUBSTITUTE(TableMain[[#This Row],[Tags]],", ",",")&amp;",")),"Y","N")</f>
        <v>N</v>
      </c>
      <c r="O477" s="3" t="str">
        <f>IF(ISNUMBER(SEARCH(",Strategy,",","&amp;SUBSTITUTE(TableMain[[#This Row],[Tags]],", ",",")&amp;",")),"Y","N")</f>
        <v>N</v>
      </c>
      <c r="P477" s="3" t="str">
        <f>IF(ISNUMBER(SEARCH(",Free To Play,",","&amp;SUBSTITUTE(TableMain[[#This Row],[Tags]],", ",",")&amp;",")),"Y","N")</f>
        <v>N</v>
      </c>
    </row>
    <row r="478" spans="1:16" x14ac:dyDescent="0.35">
      <c r="A478">
        <v>404790</v>
      </c>
      <c r="B478" t="s">
        <v>1150</v>
      </c>
      <c r="C478" s="1">
        <v>42423</v>
      </c>
      <c r="D478">
        <v>1024</v>
      </c>
      <c r="E478" t="b">
        <v>1</v>
      </c>
      <c r="F478" t="s">
        <v>1151</v>
      </c>
      <c r="G478" t="s">
        <v>1152</v>
      </c>
      <c r="H478">
        <v>479</v>
      </c>
      <c r="I478" t="s">
        <v>2087</v>
      </c>
      <c r="J478" s="3" t="str">
        <f>IF(ISNUMBER(SEARCH(",Action,",","&amp;SUBSTITUTE(TableMain[[#This Row],[Tags]],", ",",")&amp;",")),"Y","N")</f>
        <v>N</v>
      </c>
      <c r="K478" s="3" t="str">
        <f>IF(ISNUMBER(SEARCH(",Indie,",","&amp;SUBSTITUTE(TableMain[[#This Row],[Tags]],", ",",")&amp;",")),"Y","N")</f>
        <v>N</v>
      </c>
      <c r="L478" s="3" t="str">
        <f>IF(ISNUMBER(SEARCH(",Adventure,",","&amp;SUBSTITUTE(TableMain[[#This Row],[Tags]],", ",",")&amp;",")),"Y","N")</f>
        <v>N</v>
      </c>
      <c r="M478" s="3" t="str">
        <f>IF(ISNUMBER(SEARCH(",Simulation,",","&amp;SUBSTITUTE(TableMain[[#This Row],[Tags]],", ",",")&amp;",")),"Y","N")</f>
        <v>N</v>
      </c>
      <c r="N478" s="3" t="str">
        <f>IF(ISNUMBER(SEARCH(",RPG,",","&amp;SUBSTITUTE(TableMain[[#This Row],[Tags]],", ",",")&amp;",")),"Y","N")</f>
        <v>N</v>
      </c>
      <c r="O478" s="3" t="str">
        <f>IF(ISNUMBER(SEARCH(",Strategy,",","&amp;SUBSTITUTE(TableMain[[#This Row],[Tags]],", ",",")&amp;",")),"Y","N")</f>
        <v>N</v>
      </c>
      <c r="P478" s="3" t="str">
        <f>IF(ISNUMBER(SEARCH(",Free To Play,",","&amp;SUBSTITUTE(TableMain[[#This Row],[Tags]],", ",",")&amp;",")),"Y","N")</f>
        <v>N</v>
      </c>
    </row>
    <row r="479" spans="1:16" x14ac:dyDescent="0.35">
      <c r="A479">
        <v>934700</v>
      </c>
      <c r="B479" t="s">
        <v>1153</v>
      </c>
      <c r="C479" s="1">
        <v>45404</v>
      </c>
      <c r="D479">
        <v>1023</v>
      </c>
      <c r="E479" t="b">
        <v>1</v>
      </c>
      <c r="F479" t="s">
        <v>1154</v>
      </c>
      <c r="G479" t="s">
        <v>46</v>
      </c>
      <c r="H479">
        <v>480</v>
      </c>
      <c r="I479" t="s">
        <v>223</v>
      </c>
      <c r="J479" s="3" t="str">
        <f>IF(ISNUMBER(SEARCH(",Action,",","&amp;SUBSTITUTE(TableMain[[#This Row],[Tags]],", ",",")&amp;",")),"Y","N")</f>
        <v>Y</v>
      </c>
      <c r="K479" s="3" t="str">
        <f>IF(ISNUMBER(SEARCH(",Indie,",","&amp;SUBSTITUTE(TableMain[[#This Row],[Tags]],", ",",")&amp;",")),"Y","N")</f>
        <v>N</v>
      </c>
      <c r="L479" s="3" t="str">
        <f>IF(ISNUMBER(SEARCH(",Adventure,",","&amp;SUBSTITUTE(TableMain[[#This Row],[Tags]],", ",",")&amp;",")),"Y","N")</f>
        <v>Y</v>
      </c>
      <c r="M479" s="3" t="str">
        <f>IF(ISNUMBER(SEARCH(",Simulation,",","&amp;SUBSTITUTE(TableMain[[#This Row],[Tags]],", ",",")&amp;",")),"Y","N")</f>
        <v>N</v>
      </c>
      <c r="N479" s="3" t="str">
        <f>IF(ISNUMBER(SEARCH(",RPG,",","&amp;SUBSTITUTE(TableMain[[#This Row],[Tags]],", ",",")&amp;",")),"Y","N")</f>
        <v>N</v>
      </c>
      <c r="O479" s="3" t="str">
        <f>IF(ISNUMBER(SEARCH(",Strategy,",","&amp;SUBSTITUTE(TableMain[[#This Row],[Tags]],", ",",")&amp;",")),"Y","N")</f>
        <v>N</v>
      </c>
      <c r="P479" s="3" t="str">
        <f>IF(ISNUMBER(SEARCH(",Free To Play,",","&amp;SUBSTITUTE(TableMain[[#This Row],[Tags]],", ",",")&amp;",")),"Y","N")</f>
        <v>N</v>
      </c>
    </row>
    <row r="480" spans="1:16" x14ac:dyDescent="0.35">
      <c r="A480">
        <v>1100600</v>
      </c>
      <c r="B480" t="s">
        <v>1155</v>
      </c>
      <c r="C480" s="1">
        <v>43788</v>
      </c>
      <c r="D480">
        <v>1012</v>
      </c>
      <c r="E480" t="b">
        <v>1</v>
      </c>
      <c r="F480" t="s">
        <v>1156</v>
      </c>
      <c r="G480" t="s">
        <v>78</v>
      </c>
      <c r="H480">
        <v>481</v>
      </c>
      <c r="I480" t="s">
        <v>110</v>
      </c>
      <c r="J480" s="3" t="str">
        <f>IF(ISNUMBER(SEARCH(",Action,",","&amp;SUBSTITUTE(TableMain[[#This Row],[Tags]],", ",",")&amp;",")),"Y","N")</f>
        <v>N</v>
      </c>
      <c r="K480" s="3" t="str">
        <f>IF(ISNUMBER(SEARCH(",Indie,",","&amp;SUBSTITUTE(TableMain[[#This Row],[Tags]],", ",",")&amp;",")),"Y","N")</f>
        <v>N</v>
      </c>
      <c r="L480" s="3" t="str">
        <f>IF(ISNUMBER(SEARCH(",Adventure,",","&amp;SUBSTITUTE(TableMain[[#This Row],[Tags]],", ",",")&amp;",")),"Y","N")</f>
        <v>N</v>
      </c>
      <c r="M480" s="3" t="str">
        <f>IF(ISNUMBER(SEARCH(",Simulation,",","&amp;SUBSTITUTE(TableMain[[#This Row],[Tags]],", ",",")&amp;",")),"Y","N")</f>
        <v>Y</v>
      </c>
      <c r="N480" s="3" t="str">
        <f>IF(ISNUMBER(SEARCH(",RPG,",","&amp;SUBSTITUTE(TableMain[[#This Row],[Tags]],", ",",")&amp;",")),"Y","N")</f>
        <v>N</v>
      </c>
      <c r="O480" s="3" t="str">
        <f>IF(ISNUMBER(SEARCH(",Strategy,",","&amp;SUBSTITUTE(TableMain[[#This Row],[Tags]],", ",",")&amp;",")),"Y","N")</f>
        <v>N</v>
      </c>
      <c r="P480" s="3" t="str">
        <f>IF(ISNUMBER(SEARCH(",Free To Play,",","&amp;SUBSTITUTE(TableMain[[#This Row],[Tags]],", ",",")&amp;",")),"Y","N")</f>
        <v>N</v>
      </c>
    </row>
    <row r="481" spans="1:16" x14ac:dyDescent="0.35">
      <c r="A481">
        <v>1888160</v>
      </c>
      <c r="B481" t="s">
        <v>1157</v>
      </c>
      <c r="C481" s="1">
        <v>45162</v>
      </c>
      <c r="D481">
        <v>1011</v>
      </c>
      <c r="E481" t="b">
        <v>0</v>
      </c>
      <c r="F481" t="s">
        <v>1158</v>
      </c>
      <c r="G481" t="s">
        <v>49</v>
      </c>
      <c r="H481">
        <v>482</v>
      </c>
      <c r="I481" t="s">
        <v>53</v>
      </c>
      <c r="J481" s="3" t="str">
        <f>IF(ISNUMBER(SEARCH(",Action,",","&amp;SUBSTITUTE(TableMain[[#This Row],[Tags]],", ",",")&amp;",")),"Y","N")</f>
        <v>Y</v>
      </c>
      <c r="K481" s="3" t="str">
        <f>IF(ISNUMBER(SEARCH(",Indie,",","&amp;SUBSTITUTE(TableMain[[#This Row],[Tags]],", ",",")&amp;",")),"Y","N")</f>
        <v>N</v>
      </c>
      <c r="L481" s="3" t="str">
        <f>IF(ISNUMBER(SEARCH(",Adventure,",","&amp;SUBSTITUTE(TableMain[[#This Row],[Tags]],", ",",")&amp;",")),"Y","N")</f>
        <v>N</v>
      </c>
      <c r="M481" s="3" t="str">
        <f>IF(ISNUMBER(SEARCH(",Simulation,",","&amp;SUBSTITUTE(TableMain[[#This Row],[Tags]],", ",",")&amp;",")),"Y","N")</f>
        <v>N</v>
      </c>
      <c r="N481" s="3" t="str">
        <f>IF(ISNUMBER(SEARCH(",RPG,",","&amp;SUBSTITUTE(TableMain[[#This Row],[Tags]],", ",",")&amp;",")),"Y","N")</f>
        <v>N</v>
      </c>
      <c r="O481" s="3" t="str">
        <f>IF(ISNUMBER(SEARCH(",Strategy,",","&amp;SUBSTITUTE(TableMain[[#This Row],[Tags]],", ",",")&amp;",")),"Y","N")</f>
        <v>N</v>
      </c>
      <c r="P481" s="3" t="str">
        <f>IF(ISNUMBER(SEARCH(",Free To Play,",","&amp;SUBSTITUTE(TableMain[[#This Row],[Tags]],", ",",")&amp;",")),"Y","N")</f>
        <v>N</v>
      </c>
    </row>
    <row r="482" spans="1:16" x14ac:dyDescent="0.35">
      <c r="A482">
        <v>433850</v>
      </c>
      <c r="B482" t="s">
        <v>1159</v>
      </c>
      <c r="C482" s="1">
        <v>43159</v>
      </c>
      <c r="D482">
        <v>1010</v>
      </c>
      <c r="E482" t="b">
        <v>0</v>
      </c>
      <c r="F482" t="s">
        <v>1160</v>
      </c>
      <c r="G482" t="s">
        <v>1161</v>
      </c>
      <c r="H482">
        <v>483</v>
      </c>
      <c r="I482" t="s">
        <v>133</v>
      </c>
      <c r="J482" s="3" t="str">
        <f>IF(ISNUMBER(SEARCH(",Action,",","&amp;SUBSTITUTE(TableMain[[#This Row],[Tags]],", ",",")&amp;",")),"Y","N")</f>
        <v>Y</v>
      </c>
      <c r="K482" s="3" t="str">
        <f>IF(ISNUMBER(SEARCH(",Indie,",","&amp;SUBSTITUTE(TableMain[[#This Row],[Tags]],", ",",")&amp;",")),"Y","N")</f>
        <v>N</v>
      </c>
      <c r="L482" s="3" t="str">
        <f>IF(ISNUMBER(SEARCH(",Adventure,",","&amp;SUBSTITUTE(TableMain[[#This Row],[Tags]],", ",",")&amp;",")),"Y","N")</f>
        <v>Y</v>
      </c>
      <c r="M482" s="3" t="str">
        <f>IF(ISNUMBER(SEARCH(",Simulation,",","&amp;SUBSTITUTE(TableMain[[#This Row],[Tags]],", ",",")&amp;",")),"Y","N")</f>
        <v>N</v>
      </c>
      <c r="N482" s="3" t="str">
        <f>IF(ISNUMBER(SEARCH(",RPG,",","&amp;SUBSTITUTE(TableMain[[#This Row],[Tags]],", ",",")&amp;",")),"Y","N")</f>
        <v>N</v>
      </c>
      <c r="O482" s="3" t="str">
        <f>IF(ISNUMBER(SEARCH(",Strategy,",","&amp;SUBSTITUTE(TableMain[[#This Row],[Tags]],", ",",")&amp;",")),"Y","N")</f>
        <v>N</v>
      </c>
      <c r="P482" s="3" t="str">
        <f>IF(ISNUMBER(SEARCH(",Free To Play,",","&amp;SUBSTITUTE(TableMain[[#This Row],[Tags]],", ",",")&amp;",")),"Y","N")</f>
        <v>Y</v>
      </c>
    </row>
    <row r="483" spans="1:16" x14ac:dyDescent="0.35">
      <c r="A483">
        <v>1046930</v>
      </c>
      <c r="B483" t="s">
        <v>1162</v>
      </c>
      <c r="C483" s="1">
        <v>43636</v>
      </c>
      <c r="D483">
        <v>1008</v>
      </c>
      <c r="E483" t="b">
        <v>1</v>
      </c>
      <c r="F483" t="s">
        <v>1163</v>
      </c>
      <c r="G483" t="s">
        <v>750</v>
      </c>
      <c r="H483">
        <v>484</v>
      </c>
      <c r="I483" t="s">
        <v>161</v>
      </c>
      <c r="J483" s="3" t="str">
        <f>IF(ISNUMBER(SEARCH(",Action,",","&amp;SUBSTITUTE(TableMain[[#This Row],[Tags]],", ",",")&amp;",")),"Y","N")</f>
        <v>N</v>
      </c>
      <c r="K483" s="3" t="str">
        <f>IF(ISNUMBER(SEARCH(",Indie,",","&amp;SUBSTITUTE(TableMain[[#This Row],[Tags]],", ",",")&amp;",")),"Y","N")</f>
        <v>N</v>
      </c>
      <c r="L483" s="3" t="str">
        <f>IF(ISNUMBER(SEARCH(",Adventure,",","&amp;SUBSTITUTE(TableMain[[#This Row],[Tags]],", ",",")&amp;",")),"Y","N")</f>
        <v>N</v>
      </c>
      <c r="M483" s="3" t="str">
        <f>IF(ISNUMBER(SEARCH(",Simulation,",","&amp;SUBSTITUTE(TableMain[[#This Row],[Tags]],", ",",")&amp;",")),"Y","N")</f>
        <v>N</v>
      </c>
      <c r="N483" s="3" t="str">
        <f>IF(ISNUMBER(SEARCH(",RPG,",","&amp;SUBSTITUTE(TableMain[[#This Row],[Tags]],", ",",")&amp;",")),"Y","N")</f>
        <v>N</v>
      </c>
      <c r="O483" s="3" t="str">
        <f>IF(ISNUMBER(SEARCH(",Strategy,",","&amp;SUBSTITUTE(TableMain[[#This Row],[Tags]],", ",",")&amp;",")),"Y","N")</f>
        <v>Y</v>
      </c>
      <c r="P483" s="3" t="str">
        <f>IF(ISNUMBER(SEARCH(",Free To Play,",","&amp;SUBSTITUTE(TableMain[[#This Row],[Tags]],", ",",")&amp;",")),"Y","N")</f>
        <v>Y</v>
      </c>
    </row>
    <row r="484" spans="1:16" x14ac:dyDescent="0.35">
      <c r="A484">
        <v>2420110</v>
      </c>
      <c r="B484" t="s">
        <v>1164</v>
      </c>
      <c r="C484" s="1">
        <v>45372</v>
      </c>
      <c r="D484">
        <v>1005</v>
      </c>
      <c r="E484" t="b">
        <v>0</v>
      </c>
      <c r="F484" t="s">
        <v>1165</v>
      </c>
      <c r="G484" t="s">
        <v>24</v>
      </c>
      <c r="H484">
        <v>485</v>
      </c>
      <c r="I484" t="s">
        <v>29</v>
      </c>
      <c r="J484" s="3" t="str">
        <f>IF(ISNUMBER(SEARCH(",Action,",","&amp;SUBSTITUTE(TableMain[[#This Row],[Tags]],", ",",")&amp;",")),"Y","N")</f>
        <v>Y</v>
      </c>
      <c r="K484" s="3" t="str">
        <f>IF(ISNUMBER(SEARCH(",Indie,",","&amp;SUBSTITUTE(TableMain[[#This Row],[Tags]],", ",",")&amp;",")),"Y","N")</f>
        <v>N</v>
      </c>
      <c r="L484" s="3" t="str">
        <f>IF(ISNUMBER(SEARCH(",Adventure,",","&amp;SUBSTITUTE(TableMain[[#This Row],[Tags]],", ",",")&amp;",")),"Y","N")</f>
        <v>N</v>
      </c>
      <c r="M484" s="3" t="str">
        <f>IF(ISNUMBER(SEARCH(",Simulation,",","&amp;SUBSTITUTE(TableMain[[#This Row],[Tags]],", ",",")&amp;",")),"Y","N")</f>
        <v>N</v>
      </c>
      <c r="N484" s="3" t="str">
        <f>IF(ISNUMBER(SEARCH(",RPG,",","&amp;SUBSTITUTE(TableMain[[#This Row],[Tags]],", ",",")&amp;",")),"Y","N")</f>
        <v>Y</v>
      </c>
      <c r="O484" s="3" t="str">
        <f>IF(ISNUMBER(SEARCH(",Strategy,",","&amp;SUBSTITUTE(TableMain[[#This Row],[Tags]],", ",",")&amp;",")),"Y","N")</f>
        <v>N</v>
      </c>
      <c r="P484" s="3" t="str">
        <f>IF(ISNUMBER(SEARCH(",Free To Play,",","&amp;SUBSTITUTE(TableMain[[#This Row],[Tags]],", ",",")&amp;",")),"Y","N")</f>
        <v>N</v>
      </c>
    </row>
    <row r="485" spans="1:16" x14ac:dyDescent="0.35">
      <c r="A485">
        <v>588430</v>
      </c>
      <c r="B485" t="s">
        <v>1166</v>
      </c>
      <c r="C485" s="1">
        <v>42823</v>
      </c>
      <c r="D485">
        <v>1001</v>
      </c>
      <c r="E485" t="b">
        <v>0</v>
      </c>
      <c r="F485" t="s">
        <v>1167</v>
      </c>
      <c r="G485" t="s">
        <v>1168</v>
      </c>
      <c r="H485">
        <v>486</v>
      </c>
      <c r="I485" t="s">
        <v>40</v>
      </c>
      <c r="J485" s="3" t="str">
        <f>IF(ISNUMBER(SEARCH(",Action,",","&amp;SUBSTITUTE(TableMain[[#This Row],[Tags]],", ",",")&amp;",")),"Y","N")</f>
        <v>N</v>
      </c>
      <c r="K485" s="3" t="str">
        <f>IF(ISNUMBER(SEARCH(",Indie,",","&amp;SUBSTITUTE(TableMain[[#This Row],[Tags]],", ",",")&amp;",")),"Y","N")</f>
        <v>N</v>
      </c>
      <c r="L485" s="3" t="str">
        <f>IF(ISNUMBER(SEARCH(",Adventure,",","&amp;SUBSTITUTE(TableMain[[#This Row],[Tags]],", ",",")&amp;",")),"Y","N")</f>
        <v>N</v>
      </c>
      <c r="M485" s="3" t="str">
        <f>IF(ISNUMBER(SEARCH(",Simulation,",","&amp;SUBSTITUTE(TableMain[[#This Row],[Tags]],", ",",")&amp;",")),"Y","N")</f>
        <v>Y</v>
      </c>
      <c r="N485" s="3" t="str">
        <f>IF(ISNUMBER(SEARCH(",RPG,",","&amp;SUBSTITUTE(TableMain[[#This Row],[Tags]],", ",",")&amp;",")),"Y","N")</f>
        <v>Y</v>
      </c>
      <c r="O485" s="3" t="str">
        <f>IF(ISNUMBER(SEARCH(",Strategy,",","&amp;SUBSTITUTE(TableMain[[#This Row],[Tags]],", ",",")&amp;",")),"Y","N")</f>
        <v>N</v>
      </c>
      <c r="P485" s="3" t="str">
        <f>IF(ISNUMBER(SEARCH(",Free To Play,",","&amp;SUBSTITUTE(TableMain[[#This Row],[Tags]],", ",",")&amp;",")),"Y","N")</f>
        <v>Y</v>
      </c>
    </row>
    <row r="486" spans="1:16" x14ac:dyDescent="0.35">
      <c r="A486">
        <v>3036010</v>
      </c>
      <c r="B486" t="s">
        <v>1169</v>
      </c>
      <c r="C486" s="1">
        <v>45799</v>
      </c>
      <c r="D486">
        <v>999</v>
      </c>
      <c r="E486" t="b">
        <v>0</v>
      </c>
      <c r="F486" t="s">
        <v>1170</v>
      </c>
      <c r="G486" t="s">
        <v>590</v>
      </c>
      <c r="H486">
        <v>487</v>
      </c>
      <c r="I486" t="s">
        <v>53</v>
      </c>
      <c r="J486" s="3" t="str">
        <f>IF(ISNUMBER(SEARCH(",Action,",","&amp;SUBSTITUTE(TableMain[[#This Row],[Tags]],", ",",")&amp;",")),"Y","N")</f>
        <v>N</v>
      </c>
      <c r="K486" s="3" t="str">
        <f>IF(ISNUMBER(SEARCH(",Indie,",","&amp;SUBSTITUTE(TableMain[[#This Row],[Tags]],", ",",")&amp;",")),"Y","N")</f>
        <v>Y</v>
      </c>
      <c r="L486" s="3" t="str">
        <f>IF(ISNUMBER(SEARCH(",Adventure,",","&amp;SUBSTITUTE(TableMain[[#This Row],[Tags]],", ",",")&amp;",")),"Y","N")</f>
        <v>N</v>
      </c>
      <c r="M486" s="3" t="str">
        <f>IF(ISNUMBER(SEARCH(",Simulation,",","&amp;SUBSTITUTE(TableMain[[#This Row],[Tags]],", ",",")&amp;",")),"Y","N")</f>
        <v>N</v>
      </c>
      <c r="N486" s="3" t="str">
        <f>IF(ISNUMBER(SEARCH(",RPG,",","&amp;SUBSTITUTE(TableMain[[#This Row],[Tags]],", ",",")&amp;",")),"Y","N")</f>
        <v>Y</v>
      </c>
      <c r="O486" s="3" t="str">
        <f>IF(ISNUMBER(SEARCH(",Strategy,",","&amp;SUBSTITUTE(TableMain[[#This Row],[Tags]],", ",",")&amp;",")),"Y","N")</f>
        <v>Y</v>
      </c>
      <c r="P486" s="3" t="str">
        <f>IF(ISNUMBER(SEARCH(",Free To Play,",","&amp;SUBSTITUTE(TableMain[[#This Row],[Tags]],", ",",")&amp;",")),"Y","N")</f>
        <v>N</v>
      </c>
    </row>
    <row r="487" spans="1:16" x14ac:dyDescent="0.35">
      <c r="A487">
        <v>881020</v>
      </c>
      <c r="B487" t="s">
        <v>1171</v>
      </c>
      <c r="C487" s="1">
        <v>45322</v>
      </c>
      <c r="D487">
        <v>996</v>
      </c>
      <c r="E487" t="b">
        <v>0</v>
      </c>
      <c r="F487" t="s">
        <v>546</v>
      </c>
      <c r="G487" t="s">
        <v>208</v>
      </c>
      <c r="H487">
        <v>488</v>
      </c>
      <c r="I487" t="s">
        <v>816</v>
      </c>
      <c r="J487" s="3" t="str">
        <f>IF(ISNUMBER(SEARCH(",Action,",","&amp;SUBSTITUTE(TableMain[[#This Row],[Tags]],", ",",")&amp;",")),"Y","N")</f>
        <v>Y</v>
      </c>
      <c r="K487" s="3" t="str">
        <f>IF(ISNUMBER(SEARCH(",Indie,",","&amp;SUBSTITUTE(TableMain[[#This Row],[Tags]],", ",",")&amp;",")),"Y","N")</f>
        <v>N</v>
      </c>
      <c r="L487" s="3" t="str">
        <f>IF(ISNUMBER(SEARCH(",Adventure,",","&amp;SUBSTITUTE(TableMain[[#This Row],[Tags]],", ",",")&amp;",")),"Y","N")</f>
        <v>Y</v>
      </c>
      <c r="M487" s="3" t="str">
        <f>IF(ISNUMBER(SEARCH(",Simulation,",","&amp;SUBSTITUTE(TableMain[[#This Row],[Tags]],", ",",")&amp;",")),"Y","N")</f>
        <v>N</v>
      </c>
      <c r="N487" s="3" t="str">
        <f>IF(ISNUMBER(SEARCH(",RPG,",","&amp;SUBSTITUTE(TableMain[[#This Row],[Tags]],", ",",")&amp;",")),"Y","N")</f>
        <v>Y</v>
      </c>
      <c r="O487" s="3" t="str">
        <f>IF(ISNUMBER(SEARCH(",Strategy,",","&amp;SUBSTITUTE(TableMain[[#This Row],[Tags]],", ",",")&amp;",")),"Y","N")</f>
        <v>N</v>
      </c>
      <c r="P487" s="3" t="str">
        <f>IF(ISNUMBER(SEARCH(",Free To Play,",","&amp;SUBSTITUTE(TableMain[[#This Row],[Tags]],", ",",")&amp;",")),"Y","N")</f>
        <v>N</v>
      </c>
    </row>
    <row r="488" spans="1:16" x14ac:dyDescent="0.35">
      <c r="A488">
        <v>1044720</v>
      </c>
      <c r="B488" t="s">
        <v>1172</v>
      </c>
      <c r="C488" s="1">
        <v>45953</v>
      </c>
      <c r="D488">
        <v>995</v>
      </c>
      <c r="E488" t="b">
        <v>0</v>
      </c>
      <c r="F488" t="s">
        <v>1173</v>
      </c>
      <c r="G488" t="s">
        <v>160</v>
      </c>
      <c r="H488">
        <v>489</v>
      </c>
      <c r="I488" t="s">
        <v>438</v>
      </c>
      <c r="J488" s="3" t="str">
        <f>IF(ISNUMBER(SEARCH(",Action,",","&amp;SUBSTITUTE(TableMain[[#This Row],[Tags]],", ",",")&amp;",")),"Y","N")</f>
        <v>N</v>
      </c>
      <c r="K488" s="3" t="str">
        <f>IF(ISNUMBER(SEARCH(",Indie,",","&amp;SUBSTITUTE(TableMain[[#This Row],[Tags]],", ",",")&amp;",")),"Y","N")</f>
        <v>Y</v>
      </c>
      <c r="L488" s="3" t="str">
        <f>IF(ISNUMBER(SEARCH(",Adventure,",","&amp;SUBSTITUTE(TableMain[[#This Row],[Tags]],", ",",")&amp;",")),"Y","N")</f>
        <v>N</v>
      </c>
      <c r="M488" s="3" t="str">
        <f>IF(ISNUMBER(SEARCH(",Simulation,",","&amp;SUBSTITUTE(TableMain[[#This Row],[Tags]],", ",",")&amp;",")),"Y","N")</f>
        <v>Y</v>
      </c>
      <c r="N488" s="3" t="str">
        <f>IF(ISNUMBER(SEARCH(",RPG,",","&amp;SUBSTITUTE(TableMain[[#This Row],[Tags]],", ",",")&amp;",")),"Y","N")</f>
        <v>N</v>
      </c>
      <c r="O488" s="3" t="str">
        <f>IF(ISNUMBER(SEARCH(",Strategy,",","&amp;SUBSTITUTE(TableMain[[#This Row],[Tags]],", ",",")&amp;",")),"Y","N")</f>
        <v>Y</v>
      </c>
      <c r="P488" s="3" t="str">
        <f>IF(ISNUMBER(SEARCH(",Free To Play,",","&amp;SUBSTITUTE(TableMain[[#This Row],[Tags]],", ",",")&amp;",")),"Y","N")</f>
        <v>N</v>
      </c>
    </row>
    <row r="489" spans="1:16" x14ac:dyDescent="0.35">
      <c r="A489">
        <v>1180380</v>
      </c>
      <c r="B489" t="s">
        <v>1174</v>
      </c>
      <c r="C489" s="1">
        <v>43796</v>
      </c>
      <c r="D489">
        <v>995</v>
      </c>
      <c r="E489" t="b">
        <v>0</v>
      </c>
      <c r="F489" t="s">
        <v>1175</v>
      </c>
      <c r="G489" t="s">
        <v>1176</v>
      </c>
      <c r="H489">
        <v>489</v>
      </c>
      <c r="I489" t="s">
        <v>68</v>
      </c>
      <c r="J489" s="3" t="str">
        <f>IF(ISNUMBER(SEARCH(",Action,",","&amp;SUBSTITUTE(TableMain[[#This Row],[Tags]],", ",",")&amp;",")),"Y","N")</f>
        <v>Y</v>
      </c>
      <c r="K489" s="3" t="str">
        <f>IF(ISNUMBER(SEARCH(",Indie,",","&amp;SUBSTITUTE(TableMain[[#This Row],[Tags]],", ",",")&amp;",")),"Y","N")</f>
        <v>Y</v>
      </c>
      <c r="L489" s="3" t="str">
        <f>IF(ISNUMBER(SEARCH(",Adventure,",","&amp;SUBSTITUTE(TableMain[[#This Row],[Tags]],", ",",")&amp;",")),"Y","N")</f>
        <v>N</v>
      </c>
      <c r="M489" s="3" t="str">
        <f>IF(ISNUMBER(SEARCH(",Simulation,",","&amp;SUBSTITUTE(TableMain[[#This Row],[Tags]],", ",",")&amp;",")),"Y","N")</f>
        <v>N</v>
      </c>
      <c r="N489" s="3" t="str">
        <f>IF(ISNUMBER(SEARCH(",RPG,",","&amp;SUBSTITUTE(TableMain[[#This Row],[Tags]],", ",",")&amp;",")),"Y","N")</f>
        <v>Y</v>
      </c>
      <c r="O489" s="3" t="str">
        <f>IF(ISNUMBER(SEARCH(",Strategy,",","&amp;SUBSTITUTE(TableMain[[#This Row],[Tags]],", ",",")&amp;",")),"Y","N")</f>
        <v>N</v>
      </c>
      <c r="P489" s="3" t="str">
        <f>IF(ISNUMBER(SEARCH(",Free To Play,",","&amp;SUBSTITUTE(TableMain[[#This Row],[Tags]],", ",",")&amp;",")),"Y","N")</f>
        <v>Y</v>
      </c>
    </row>
    <row r="490" spans="1:16" x14ac:dyDescent="0.35">
      <c r="A490">
        <v>1335200</v>
      </c>
      <c r="B490" t="s">
        <v>1177</v>
      </c>
      <c r="C490" s="1">
        <v>44109</v>
      </c>
      <c r="D490">
        <v>993</v>
      </c>
      <c r="E490" t="b">
        <v>0</v>
      </c>
      <c r="F490" t="s">
        <v>1178</v>
      </c>
      <c r="G490" t="s">
        <v>663</v>
      </c>
      <c r="H490">
        <v>491</v>
      </c>
      <c r="I490" t="s">
        <v>304</v>
      </c>
      <c r="J490" s="3" t="str">
        <f>IF(ISNUMBER(SEARCH(",Action,",","&amp;SUBSTITUTE(TableMain[[#This Row],[Tags]],", ",",")&amp;",")),"Y","N")</f>
        <v>Y</v>
      </c>
      <c r="K490" s="3" t="str">
        <f>IF(ISNUMBER(SEARCH(",Indie,",","&amp;SUBSTITUTE(TableMain[[#This Row],[Tags]],", ",",")&amp;",")),"Y","N")</f>
        <v>N</v>
      </c>
      <c r="L490" s="3" t="str">
        <f>IF(ISNUMBER(SEARCH(",Adventure,",","&amp;SUBSTITUTE(TableMain[[#This Row],[Tags]],", ",",")&amp;",")),"Y","N")</f>
        <v>Y</v>
      </c>
      <c r="M490" s="3" t="str">
        <f>IF(ISNUMBER(SEARCH(",Simulation,",","&amp;SUBSTITUTE(TableMain[[#This Row],[Tags]],", ",",")&amp;",")),"Y","N")</f>
        <v>N</v>
      </c>
      <c r="N490" s="3" t="str">
        <f>IF(ISNUMBER(SEARCH(",RPG,",","&amp;SUBSTITUTE(TableMain[[#This Row],[Tags]],", ",",")&amp;",")),"Y","N")</f>
        <v>Y</v>
      </c>
      <c r="O490" s="3" t="str">
        <f>IF(ISNUMBER(SEARCH(",Strategy,",","&amp;SUBSTITUTE(TableMain[[#This Row],[Tags]],", ",",")&amp;",")),"Y","N")</f>
        <v>N</v>
      </c>
      <c r="P490" s="3" t="str">
        <f>IF(ISNUMBER(SEARCH(",Free To Play,",","&amp;SUBSTITUTE(TableMain[[#This Row],[Tags]],", ",",")&amp;",")),"Y","N")</f>
        <v>Y</v>
      </c>
    </row>
    <row r="491" spans="1:16" x14ac:dyDescent="0.35">
      <c r="A491">
        <v>383120</v>
      </c>
      <c r="B491" t="s">
        <v>1179</v>
      </c>
      <c r="C491" s="1">
        <v>44048</v>
      </c>
      <c r="D491">
        <v>990</v>
      </c>
      <c r="E491" t="b">
        <v>0</v>
      </c>
      <c r="F491" t="s">
        <v>1180</v>
      </c>
      <c r="G491" t="s">
        <v>245</v>
      </c>
      <c r="H491">
        <v>492</v>
      </c>
      <c r="I491" t="s">
        <v>184</v>
      </c>
      <c r="J491" s="3" t="str">
        <f>IF(ISNUMBER(SEARCH(",Action,",","&amp;SUBSTITUTE(TableMain[[#This Row],[Tags]],", ",",")&amp;",")),"Y","N")</f>
        <v>N</v>
      </c>
      <c r="K491" s="3" t="str">
        <f>IF(ISNUMBER(SEARCH(",Indie,",","&amp;SUBSTITUTE(TableMain[[#This Row],[Tags]],", ",",")&amp;",")),"Y","N")</f>
        <v>Y</v>
      </c>
      <c r="L491" s="3" t="str">
        <f>IF(ISNUMBER(SEARCH(",Adventure,",","&amp;SUBSTITUTE(TableMain[[#This Row],[Tags]],", ",",")&amp;",")),"Y","N")</f>
        <v>Y</v>
      </c>
      <c r="M491" s="3" t="str">
        <f>IF(ISNUMBER(SEARCH(",Simulation,",","&amp;SUBSTITUTE(TableMain[[#This Row],[Tags]],", ",",")&amp;",")),"Y","N")</f>
        <v>Y</v>
      </c>
      <c r="N491" s="3" t="str">
        <f>IF(ISNUMBER(SEARCH(",RPG,",","&amp;SUBSTITUTE(TableMain[[#This Row],[Tags]],", ",",")&amp;",")),"Y","N")</f>
        <v>N</v>
      </c>
      <c r="O491" s="3" t="str">
        <f>IF(ISNUMBER(SEARCH(",Strategy,",","&amp;SUBSTITUTE(TableMain[[#This Row],[Tags]],", ",",")&amp;",")),"Y","N")</f>
        <v>Y</v>
      </c>
      <c r="P491" s="3" t="str">
        <f>IF(ISNUMBER(SEARCH(",Free To Play,",","&amp;SUBSTITUTE(TableMain[[#This Row],[Tags]],", ",",")&amp;",")),"Y","N")</f>
        <v>N</v>
      </c>
    </row>
    <row r="492" spans="1:16" x14ac:dyDescent="0.35">
      <c r="A492">
        <v>1139980</v>
      </c>
      <c r="B492" t="s">
        <v>1181</v>
      </c>
      <c r="C492" s="1">
        <v>44040</v>
      </c>
      <c r="D492">
        <v>990</v>
      </c>
      <c r="E492" t="b">
        <v>0</v>
      </c>
      <c r="F492" t="s">
        <v>1085</v>
      </c>
      <c r="G492" t="s">
        <v>1182</v>
      </c>
      <c r="H492">
        <v>492</v>
      </c>
      <c r="I492" t="s">
        <v>14</v>
      </c>
      <c r="J492" s="3" t="str">
        <f>IF(ISNUMBER(SEARCH(",Action,",","&amp;SUBSTITUTE(TableMain[[#This Row],[Tags]],", ",",")&amp;",")),"Y","N")</f>
        <v>N</v>
      </c>
      <c r="K492" s="3" t="str">
        <f>IF(ISNUMBER(SEARCH(",Indie,",","&amp;SUBSTITUTE(TableMain[[#This Row],[Tags]],", ",",")&amp;",")),"Y","N")</f>
        <v>Y</v>
      </c>
      <c r="L492" s="3" t="str">
        <f>IF(ISNUMBER(SEARCH(",Adventure,",","&amp;SUBSTITUTE(TableMain[[#This Row],[Tags]],", ",",")&amp;",")),"Y","N")</f>
        <v>Y</v>
      </c>
      <c r="M492" s="3" t="str">
        <f>IF(ISNUMBER(SEARCH(",Simulation,",","&amp;SUBSTITUTE(TableMain[[#This Row],[Tags]],", ",",")&amp;",")),"Y","N")</f>
        <v>Y</v>
      </c>
      <c r="N492" s="3" t="str">
        <f>IF(ISNUMBER(SEARCH(",RPG,",","&amp;SUBSTITUTE(TableMain[[#This Row],[Tags]],", ",",")&amp;",")),"Y","N")</f>
        <v>Y</v>
      </c>
      <c r="O492" s="3" t="str">
        <f>IF(ISNUMBER(SEARCH(",Strategy,",","&amp;SUBSTITUTE(TableMain[[#This Row],[Tags]],", ",",")&amp;",")),"Y","N")</f>
        <v>N</v>
      </c>
      <c r="P492" s="3" t="str">
        <f>IF(ISNUMBER(SEARCH(",Free To Play,",","&amp;SUBSTITUTE(TableMain[[#This Row],[Tags]],", ",",")&amp;",")),"Y","N")</f>
        <v>N</v>
      </c>
    </row>
    <row r="493" spans="1:16" x14ac:dyDescent="0.35">
      <c r="A493">
        <v>838350</v>
      </c>
      <c r="B493" t="s">
        <v>1183</v>
      </c>
      <c r="C493" s="1">
        <v>43363</v>
      </c>
      <c r="D493">
        <v>989</v>
      </c>
      <c r="E493" t="b">
        <v>0</v>
      </c>
      <c r="F493" t="s">
        <v>1184</v>
      </c>
      <c r="G493" t="s">
        <v>1185</v>
      </c>
      <c r="H493">
        <v>494</v>
      </c>
      <c r="I493" t="s">
        <v>133</v>
      </c>
      <c r="J493" s="3" t="str">
        <f>IF(ISNUMBER(SEARCH(",Action,",","&amp;SUBSTITUTE(TableMain[[#This Row],[Tags]],", ",",")&amp;",")),"Y","N")</f>
        <v>N</v>
      </c>
      <c r="K493" s="3" t="str">
        <f>IF(ISNUMBER(SEARCH(",Indie,",","&amp;SUBSTITUTE(TableMain[[#This Row],[Tags]],", ",",")&amp;",")),"Y","N")</f>
        <v>Y</v>
      </c>
      <c r="L493" s="3" t="str">
        <f>IF(ISNUMBER(SEARCH(",Adventure,",","&amp;SUBSTITUTE(TableMain[[#This Row],[Tags]],", ",",")&amp;",")),"Y","N")</f>
        <v>Y</v>
      </c>
      <c r="M493" s="3" t="str">
        <f>IF(ISNUMBER(SEARCH(",Simulation,",","&amp;SUBSTITUTE(TableMain[[#This Row],[Tags]],", ",",")&amp;",")),"Y","N")</f>
        <v>N</v>
      </c>
      <c r="N493" s="3" t="str">
        <f>IF(ISNUMBER(SEARCH(",RPG,",","&amp;SUBSTITUTE(TableMain[[#This Row],[Tags]],", ",",")&amp;",")),"Y","N")</f>
        <v>Y</v>
      </c>
      <c r="O493" s="3" t="str">
        <f>IF(ISNUMBER(SEARCH(",Strategy,",","&amp;SUBSTITUTE(TableMain[[#This Row],[Tags]],", ",",")&amp;",")),"Y","N")</f>
        <v>Y</v>
      </c>
      <c r="P493" s="3" t="str">
        <f>IF(ISNUMBER(SEARCH(",Free To Play,",","&amp;SUBSTITUTE(TableMain[[#This Row],[Tags]],", ",",")&amp;",")),"Y","N")</f>
        <v>N</v>
      </c>
    </row>
    <row r="494" spans="1:16" x14ac:dyDescent="0.35">
      <c r="A494">
        <v>361420</v>
      </c>
      <c r="B494" t="s">
        <v>1186</v>
      </c>
      <c r="C494" s="1">
        <v>43501</v>
      </c>
      <c r="D494">
        <v>988</v>
      </c>
      <c r="E494" t="b">
        <v>0</v>
      </c>
      <c r="F494" t="s">
        <v>1187</v>
      </c>
      <c r="G494" t="s">
        <v>652</v>
      </c>
      <c r="H494">
        <v>495</v>
      </c>
      <c r="I494" t="s">
        <v>33</v>
      </c>
      <c r="J494" s="3" t="str">
        <f>IF(ISNUMBER(SEARCH(",Action,",","&amp;SUBSTITUTE(TableMain[[#This Row],[Tags]],", ",",")&amp;",")),"Y","N")</f>
        <v>N</v>
      </c>
      <c r="K494" s="3" t="str">
        <f>IF(ISNUMBER(SEARCH(",Indie,",","&amp;SUBSTITUTE(TableMain[[#This Row],[Tags]],", ",",")&amp;",")),"Y","N")</f>
        <v>Y</v>
      </c>
      <c r="L494" s="3" t="str">
        <f>IF(ISNUMBER(SEARCH(",Adventure,",","&amp;SUBSTITUTE(TableMain[[#This Row],[Tags]],", ",",")&amp;",")),"Y","N")</f>
        <v>Y</v>
      </c>
      <c r="M494" s="3" t="str">
        <f>IF(ISNUMBER(SEARCH(",Simulation,",","&amp;SUBSTITUTE(TableMain[[#This Row],[Tags]],", ",",")&amp;",")),"Y","N")</f>
        <v>N</v>
      </c>
      <c r="N494" s="3" t="str">
        <f>IF(ISNUMBER(SEARCH(",RPG,",","&amp;SUBSTITUTE(TableMain[[#This Row],[Tags]],", ",",")&amp;",")),"Y","N")</f>
        <v>N</v>
      </c>
      <c r="O494" s="3" t="str">
        <f>IF(ISNUMBER(SEARCH(",Strategy,",","&amp;SUBSTITUTE(TableMain[[#This Row],[Tags]],", ",",")&amp;",")),"Y","N")</f>
        <v>N</v>
      </c>
      <c r="P494" s="3" t="str">
        <f>IF(ISNUMBER(SEARCH(",Free To Play,",","&amp;SUBSTITUTE(TableMain[[#This Row],[Tags]],", ",",")&amp;",")),"Y","N")</f>
        <v>N</v>
      </c>
    </row>
    <row r="495" spans="1:16" x14ac:dyDescent="0.35">
      <c r="A495">
        <v>2399420</v>
      </c>
      <c r="B495" t="s">
        <v>1188</v>
      </c>
      <c r="C495" s="1">
        <v>45860</v>
      </c>
      <c r="D495">
        <v>984</v>
      </c>
      <c r="E495" t="b">
        <v>0</v>
      </c>
      <c r="F495" t="s">
        <v>1189</v>
      </c>
      <c r="G495" t="s">
        <v>420</v>
      </c>
      <c r="H495">
        <v>496</v>
      </c>
      <c r="I495" t="s">
        <v>119</v>
      </c>
      <c r="J495" s="3" t="str">
        <f>IF(ISNUMBER(SEARCH(",Action,",","&amp;SUBSTITUTE(TableMain[[#This Row],[Tags]],", ",",")&amp;",")),"Y","N")</f>
        <v>N</v>
      </c>
      <c r="K495" s="3" t="str">
        <f>IF(ISNUMBER(SEARCH(",Indie,",","&amp;SUBSTITUTE(TableMain[[#This Row],[Tags]],", ",",")&amp;",")),"Y","N")</f>
        <v>N</v>
      </c>
      <c r="L495" s="3" t="str">
        <f>IF(ISNUMBER(SEARCH(",Adventure,",","&amp;SUBSTITUTE(TableMain[[#This Row],[Tags]],", ",",")&amp;",")),"Y","N")</f>
        <v>N</v>
      </c>
      <c r="M495" s="3" t="str">
        <f>IF(ISNUMBER(SEARCH(",Simulation,",","&amp;SUBSTITUTE(TableMain[[#This Row],[Tags]],", ",",")&amp;",")),"Y","N")</f>
        <v>Y</v>
      </c>
      <c r="N495" s="3" t="str">
        <f>IF(ISNUMBER(SEARCH(",RPG,",","&amp;SUBSTITUTE(TableMain[[#This Row],[Tags]],", ",",")&amp;",")),"Y","N")</f>
        <v>N</v>
      </c>
      <c r="O495" s="3" t="str">
        <f>IF(ISNUMBER(SEARCH(",Strategy,",","&amp;SUBSTITUTE(TableMain[[#This Row],[Tags]],", ",",")&amp;",")),"Y","N")</f>
        <v>N</v>
      </c>
      <c r="P495" s="3" t="str">
        <f>IF(ISNUMBER(SEARCH(",Free To Play,",","&amp;SUBSTITUTE(TableMain[[#This Row],[Tags]],", ",",")&amp;",")),"Y","N")</f>
        <v>N</v>
      </c>
    </row>
    <row r="496" spans="1:16" x14ac:dyDescent="0.35">
      <c r="A496">
        <v>787860</v>
      </c>
      <c r="B496" t="s">
        <v>1190</v>
      </c>
      <c r="C496" s="1">
        <v>43423</v>
      </c>
      <c r="D496">
        <v>983</v>
      </c>
      <c r="E496" t="b">
        <v>1</v>
      </c>
      <c r="F496" t="s">
        <v>1191</v>
      </c>
      <c r="G496" t="s">
        <v>239</v>
      </c>
      <c r="H496">
        <v>497</v>
      </c>
      <c r="I496" t="s">
        <v>110</v>
      </c>
      <c r="J496" s="3" t="str">
        <f>IF(ISNUMBER(SEARCH(",Action,",","&amp;SUBSTITUTE(TableMain[[#This Row],[Tags]],", ",",")&amp;",")),"Y","N")</f>
        <v>N</v>
      </c>
      <c r="K496" s="3" t="str">
        <f>IF(ISNUMBER(SEARCH(",Indie,",","&amp;SUBSTITUTE(TableMain[[#This Row],[Tags]],", ",",")&amp;",")),"Y","N")</f>
        <v>N</v>
      </c>
      <c r="L496" s="3" t="str">
        <f>IF(ISNUMBER(SEARCH(",Adventure,",","&amp;SUBSTITUTE(TableMain[[#This Row],[Tags]],", ",",")&amp;",")),"Y","N")</f>
        <v>N</v>
      </c>
      <c r="M496" s="3" t="str">
        <f>IF(ISNUMBER(SEARCH(",Simulation,",","&amp;SUBSTITUTE(TableMain[[#This Row],[Tags]],", ",",")&amp;",")),"Y","N")</f>
        <v>Y</v>
      </c>
      <c r="N496" s="3" t="str">
        <f>IF(ISNUMBER(SEARCH(",RPG,",","&amp;SUBSTITUTE(TableMain[[#This Row],[Tags]],", ",",")&amp;",")),"Y","N")</f>
        <v>N</v>
      </c>
      <c r="O496" s="3" t="str">
        <f>IF(ISNUMBER(SEARCH(",Strategy,",","&amp;SUBSTITUTE(TableMain[[#This Row],[Tags]],", ",",")&amp;",")),"Y","N")</f>
        <v>N</v>
      </c>
      <c r="P496" s="3" t="str">
        <f>IF(ISNUMBER(SEARCH(",Free To Play,",","&amp;SUBSTITUTE(TableMain[[#This Row],[Tags]],", ",",")&amp;",")),"Y","N")</f>
        <v>N</v>
      </c>
    </row>
    <row r="497" spans="1:16" x14ac:dyDescent="0.35">
      <c r="A497">
        <v>552100</v>
      </c>
      <c r="B497" t="s">
        <v>1192</v>
      </c>
      <c r="C497" s="1">
        <v>45121</v>
      </c>
      <c r="D497">
        <v>983</v>
      </c>
      <c r="E497" t="b">
        <v>0</v>
      </c>
      <c r="F497" t="s">
        <v>1193</v>
      </c>
      <c r="G497" t="s">
        <v>239</v>
      </c>
      <c r="H497">
        <v>497</v>
      </c>
      <c r="I497" t="s">
        <v>133</v>
      </c>
      <c r="J497" s="3" t="str">
        <f>IF(ISNUMBER(SEARCH(",Action,",","&amp;SUBSTITUTE(TableMain[[#This Row],[Tags]],", ",",")&amp;",")),"Y","N")</f>
        <v>N</v>
      </c>
      <c r="K497" s="3" t="str">
        <f>IF(ISNUMBER(SEARCH(",Indie,",","&amp;SUBSTITUTE(TableMain[[#This Row],[Tags]],", ",",")&amp;",")),"Y","N")</f>
        <v>N</v>
      </c>
      <c r="L497" s="3" t="str">
        <f>IF(ISNUMBER(SEARCH(",Adventure,",","&amp;SUBSTITUTE(TableMain[[#This Row],[Tags]],", ",",")&amp;",")),"Y","N")</f>
        <v>N</v>
      </c>
      <c r="M497" s="3" t="str">
        <f>IF(ISNUMBER(SEARCH(",Simulation,",","&amp;SUBSTITUTE(TableMain[[#This Row],[Tags]],", ",",")&amp;",")),"Y","N")</f>
        <v>Y</v>
      </c>
      <c r="N497" s="3" t="str">
        <f>IF(ISNUMBER(SEARCH(",RPG,",","&amp;SUBSTITUTE(TableMain[[#This Row],[Tags]],", ",",")&amp;",")),"Y","N")</f>
        <v>N</v>
      </c>
      <c r="O497" s="3" t="str">
        <f>IF(ISNUMBER(SEARCH(",Strategy,",","&amp;SUBSTITUTE(TableMain[[#This Row],[Tags]],", ",",")&amp;",")),"Y","N")</f>
        <v>N</v>
      </c>
      <c r="P497" s="3" t="str">
        <f>IF(ISNUMBER(SEARCH(",Free To Play,",","&amp;SUBSTITUTE(TableMain[[#This Row],[Tags]],", ",",")&amp;",")),"Y","N")</f>
        <v>N</v>
      </c>
    </row>
    <row r="498" spans="1:16" x14ac:dyDescent="0.35">
      <c r="A498">
        <v>431240</v>
      </c>
      <c r="B498" t="s">
        <v>1194</v>
      </c>
      <c r="C498" s="1">
        <v>43970</v>
      </c>
      <c r="D498">
        <v>979</v>
      </c>
      <c r="E498" t="b">
        <v>1</v>
      </c>
      <c r="F498" t="s">
        <v>1195</v>
      </c>
      <c r="G498" t="s">
        <v>1196</v>
      </c>
      <c r="H498">
        <v>499</v>
      </c>
      <c r="I498" t="s">
        <v>133</v>
      </c>
      <c r="J498" s="3" t="str">
        <f>IF(ISNUMBER(SEARCH(",Action,",","&amp;SUBSTITUTE(TableMain[[#This Row],[Tags]],", ",",")&amp;",")),"Y","N")</f>
        <v>N</v>
      </c>
      <c r="K498" s="3" t="str">
        <f>IF(ISNUMBER(SEARCH(",Indie,",","&amp;SUBSTITUTE(TableMain[[#This Row],[Tags]],", ",",")&amp;",")),"Y","N")</f>
        <v>Y</v>
      </c>
      <c r="L498" s="3" t="str">
        <f>IF(ISNUMBER(SEARCH(",Adventure,",","&amp;SUBSTITUTE(TableMain[[#This Row],[Tags]],", ",",")&amp;",")),"Y","N")</f>
        <v>N</v>
      </c>
      <c r="M498" s="3" t="str">
        <f>IF(ISNUMBER(SEARCH(",Simulation,",","&amp;SUBSTITUTE(TableMain[[#This Row],[Tags]],", ",",")&amp;",")),"Y","N")</f>
        <v>N</v>
      </c>
      <c r="N498" s="3" t="str">
        <f>IF(ISNUMBER(SEARCH(",RPG,",","&amp;SUBSTITUTE(TableMain[[#This Row],[Tags]],", ",",")&amp;",")),"Y","N")</f>
        <v>N</v>
      </c>
      <c r="O498" s="3" t="str">
        <f>IF(ISNUMBER(SEARCH(",Strategy,",","&amp;SUBSTITUTE(TableMain[[#This Row],[Tags]],", ",",")&amp;",")),"Y","N")</f>
        <v>N</v>
      </c>
      <c r="P498" s="3" t="str">
        <f>IF(ISNUMBER(SEARCH(",Free To Play,",","&amp;SUBSTITUTE(TableMain[[#This Row],[Tags]],", ",",")&amp;",")),"Y","N")</f>
        <v>N</v>
      </c>
    </row>
    <row r="499" spans="1:16" x14ac:dyDescent="0.35">
      <c r="A499">
        <v>1336980</v>
      </c>
      <c r="B499" t="s">
        <v>1197</v>
      </c>
      <c r="C499" s="1">
        <v>44762</v>
      </c>
      <c r="D499">
        <v>977</v>
      </c>
      <c r="E499" t="b">
        <v>0</v>
      </c>
      <c r="F499" t="s">
        <v>1198</v>
      </c>
      <c r="G499" t="s">
        <v>239</v>
      </c>
      <c r="H499">
        <v>500</v>
      </c>
      <c r="I499" t="s">
        <v>53</v>
      </c>
      <c r="J499" s="3" t="str">
        <f>IF(ISNUMBER(SEARCH(",Action,",","&amp;SUBSTITUTE(TableMain[[#This Row],[Tags]],", ",",")&amp;",")),"Y","N")</f>
        <v>N</v>
      </c>
      <c r="K499" s="3" t="str">
        <f>IF(ISNUMBER(SEARCH(",Indie,",","&amp;SUBSTITUTE(TableMain[[#This Row],[Tags]],", ",",")&amp;",")),"Y","N")</f>
        <v>N</v>
      </c>
      <c r="L499" s="3" t="str">
        <f>IF(ISNUMBER(SEARCH(",Adventure,",","&amp;SUBSTITUTE(TableMain[[#This Row],[Tags]],", ",",")&amp;",")),"Y","N")</f>
        <v>N</v>
      </c>
      <c r="M499" s="3" t="str">
        <f>IF(ISNUMBER(SEARCH(",Simulation,",","&amp;SUBSTITUTE(TableMain[[#This Row],[Tags]],", ",",")&amp;",")),"Y","N")</f>
        <v>Y</v>
      </c>
      <c r="N499" s="3" t="str">
        <f>IF(ISNUMBER(SEARCH(",RPG,",","&amp;SUBSTITUTE(TableMain[[#This Row],[Tags]],", ",",")&amp;",")),"Y","N")</f>
        <v>N</v>
      </c>
      <c r="O499" s="3" t="str">
        <f>IF(ISNUMBER(SEARCH(",Strategy,",","&amp;SUBSTITUTE(TableMain[[#This Row],[Tags]],", ",",")&amp;",")),"Y","N")</f>
        <v>N</v>
      </c>
      <c r="P499" s="3" t="str">
        <f>IF(ISNUMBER(SEARCH(",Free To Play,",","&amp;SUBSTITUTE(TableMain[[#This Row],[Tags]],", ",",")&amp;",")),"Y","N")</f>
        <v>N</v>
      </c>
    </row>
    <row r="500" spans="1:16" x14ac:dyDescent="0.35">
      <c r="A500">
        <v>1173510</v>
      </c>
      <c r="B500" t="s">
        <v>1199</v>
      </c>
      <c r="C500" s="1">
        <v>43893</v>
      </c>
      <c r="D500">
        <v>975</v>
      </c>
      <c r="E500" t="b">
        <v>0</v>
      </c>
      <c r="F500" t="s">
        <v>1200</v>
      </c>
      <c r="G500" t="s">
        <v>878</v>
      </c>
      <c r="H500">
        <v>501</v>
      </c>
      <c r="I500" t="s">
        <v>33</v>
      </c>
      <c r="J500" s="3" t="str">
        <f>IF(ISNUMBER(SEARCH(",Action,",","&amp;SUBSTITUTE(TableMain[[#This Row],[Tags]],", ",",")&amp;",")),"Y","N")</f>
        <v>N</v>
      </c>
      <c r="K500" s="3" t="str">
        <f>IF(ISNUMBER(SEARCH(",Indie,",","&amp;SUBSTITUTE(TableMain[[#This Row],[Tags]],", ",",")&amp;",")),"Y","N")</f>
        <v>N</v>
      </c>
      <c r="L500" s="3" t="str">
        <f>IF(ISNUMBER(SEARCH(",Adventure,",","&amp;SUBSTITUTE(TableMain[[#This Row],[Tags]],", ",",")&amp;",")),"Y","N")</f>
        <v>N</v>
      </c>
      <c r="M500" s="3" t="str">
        <f>IF(ISNUMBER(SEARCH(",Simulation,",","&amp;SUBSTITUTE(TableMain[[#This Row],[Tags]],", ",",")&amp;",")),"Y","N")</f>
        <v>N</v>
      </c>
      <c r="N500" s="3" t="str">
        <f>IF(ISNUMBER(SEARCH(",RPG,",","&amp;SUBSTITUTE(TableMain[[#This Row],[Tags]],", ",",")&amp;",")),"Y","N")</f>
        <v>N</v>
      </c>
      <c r="O500" s="3" t="str">
        <f>IF(ISNUMBER(SEARCH(",Strategy,",","&amp;SUBSTITUTE(TableMain[[#This Row],[Tags]],", ",",")&amp;",")),"Y","N")</f>
        <v>N</v>
      </c>
      <c r="P500" s="3" t="str">
        <f>IF(ISNUMBER(SEARCH(",Free To Play,",","&amp;SUBSTITUTE(TableMain[[#This Row],[Tags]],", ",",")&amp;",")),"Y","N")</f>
        <v>N</v>
      </c>
    </row>
    <row r="501" spans="1:16" x14ac:dyDescent="0.35">
      <c r="A501">
        <v>1042550</v>
      </c>
      <c r="B501" t="s">
        <v>1201</v>
      </c>
      <c r="C501" s="1">
        <v>43755</v>
      </c>
      <c r="D501">
        <v>968</v>
      </c>
      <c r="E501" t="b">
        <v>0</v>
      </c>
      <c r="F501" t="s">
        <v>1202</v>
      </c>
      <c r="G501" t="s">
        <v>132</v>
      </c>
      <c r="H501">
        <v>502</v>
      </c>
      <c r="I501" t="s">
        <v>40</v>
      </c>
      <c r="J501" s="3" t="str">
        <f>IF(ISNUMBER(SEARCH(",Action,",","&amp;SUBSTITUTE(TableMain[[#This Row],[Tags]],", ",",")&amp;",")),"Y","N")</f>
        <v>N</v>
      </c>
      <c r="K501" s="3" t="str">
        <f>IF(ISNUMBER(SEARCH(",Indie,",","&amp;SUBSTITUTE(TableMain[[#This Row],[Tags]],", ",",")&amp;",")),"Y","N")</f>
        <v>N</v>
      </c>
      <c r="L501" s="3" t="str">
        <f>IF(ISNUMBER(SEARCH(",Adventure,",","&amp;SUBSTITUTE(TableMain[[#This Row],[Tags]],", ",",")&amp;",")),"Y","N")</f>
        <v>N</v>
      </c>
      <c r="M501" s="3" t="str">
        <f>IF(ISNUMBER(SEARCH(",Simulation,",","&amp;SUBSTITUTE(TableMain[[#This Row],[Tags]],", ",",")&amp;",")),"Y","N")</f>
        <v>N</v>
      </c>
      <c r="N501" s="3" t="str">
        <f>IF(ISNUMBER(SEARCH(",RPG,",","&amp;SUBSTITUTE(TableMain[[#This Row],[Tags]],", ",",")&amp;",")),"Y","N")</f>
        <v>Y</v>
      </c>
      <c r="O501" s="3" t="str">
        <f>IF(ISNUMBER(SEARCH(",Strategy,",","&amp;SUBSTITUTE(TableMain[[#This Row],[Tags]],", ",",")&amp;",")),"Y","N")</f>
        <v>N</v>
      </c>
      <c r="P501" s="3" t="str">
        <f>IF(ISNUMBER(SEARCH(",Free To Play,",","&amp;SUBSTITUTE(TableMain[[#This Row],[Tags]],", ",",")&amp;",")),"Y","N")</f>
        <v>N</v>
      </c>
    </row>
    <row r="502" spans="1:16" x14ac:dyDescent="0.35">
      <c r="A502">
        <v>2878960</v>
      </c>
      <c r="B502" t="s">
        <v>1203</v>
      </c>
      <c r="C502" s="1">
        <v>45729</v>
      </c>
      <c r="D502">
        <v>965</v>
      </c>
      <c r="E502" t="b">
        <v>0</v>
      </c>
      <c r="F502" t="s">
        <v>1204</v>
      </c>
      <c r="G502" t="s">
        <v>78</v>
      </c>
      <c r="H502">
        <v>503</v>
      </c>
      <c r="I502" t="s">
        <v>25</v>
      </c>
      <c r="J502" s="3" t="str">
        <f>IF(ISNUMBER(SEARCH(",Action,",","&amp;SUBSTITUTE(TableMain[[#This Row],[Tags]],", ",",")&amp;",")),"Y","N")</f>
        <v>N</v>
      </c>
      <c r="K502" s="3" t="str">
        <f>IF(ISNUMBER(SEARCH(",Indie,",","&amp;SUBSTITUTE(TableMain[[#This Row],[Tags]],", ",",")&amp;",")),"Y","N")</f>
        <v>N</v>
      </c>
      <c r="L502" s="3" t="str">
        <f>IF(ISNUMBER(SEARCH(",Adventure,",","&amp;SUBSTITUTE(TableMain[[#This Row],[Tags]],", ",",")&amp;",")),"Y","N")</f>
        <v>N</v>
      </c>
      <c r="M502" s="3" t="str">
        <f>IF(ISNUMBER(SEARCH(",Simulation,",","&amp;SUBSTITUTE(TableMain[[#This Row],[Tags]],", ",",")&amp;",")),"Y","N")</f>
        <v>Y</v>
      </c>
      <c r="N502" s="3" t="str">
        <f>IF(ISNUMBER(SEARCH(",RPG,",","&amp;SUBSTITUTE(TableMain[[#This Row],[Tags]],", ",",")&amp;",")),"Y","N")</f>
        <v>N</v>
      </c>
      <c r="O502" s="3" t="str">
        <f>IF(ISNUMBER(SEARCH(",Strategy,",","&amp;SUBSTITUTE(TableMain[[#This Row],[Tags]],", ",",")&amp;",")),"Y","N")</f>
        <v>N</v>
      </c>
      <c r="P502" s="3" t="str">
        <f>IF(ISNUMBER(SEARCH(",Free To Play,",","&amp;SUBSTITUTE(TableMain[[#This Row],[Tags]],", ",",")&amp;",")),"Y","N")</f>
        <v>N</v>
      </c>
    </row>
    <row r="503" spans="1:16" x14ac:dyDescent="0.35">
      <c r="A503">
        <v>1948980</v>
      </c>
      <c r="B503" t="s">
        <v>1205</v>
      </c>
      <c r="C503" s="1">
        <v>45245</v>
      </c>
      <c r="D503">
        <v>963</v>
      </c>
      <c r="E503" t="b">
        <v>0</v>
      </c>
      <c r="F503" t="s">
        <v>1206</v>
      </c>
      <c r="G503" t="s">
        <v>1207</v>
      </c>
      <c r="H503">
        <v>504</v>
      </c>
      <c r="I503" t="s">
        <v>304</v>
      </c>
      <c r="J503" s="3" t="str">
        <f>IF(ISNUMBER(SEARCH(",Action,",","&amp;SUBSTITUTE(TableMain[[#This Row],[Tags]],", ",",")&amp;",")),"Y","N")</f>
        <v>N</v>
      </c>
      <c r="K503" s="3" t="str">
        <f>IF(ISNUMBER(SEARCH(",Indie,",","&amp;SUBSTITUTE(TableMain[[#This Row],[Tags]],", ",",")&amp;",")),"Y","N")</f>
        <v>Y</v>
      </c>
      <c r="L503" s="3" t="str">
        <f>IF(ISNUMBER(SEARCH(",Adventure,",","&amp;SUBSTITUTE(TableMain[[#This Row],[Tags]],", ",",")&amp;",")),"Y","N")</f>
        <v>Y</v>
      </c>
      <c r="M503" s="3" t="str">
        <f>IF(ISNUMBER(SEARCH(",Simulation,",","&amp;SUBSTITUTE(TableMain[[#This Row],[Tags]],", ",",")&amp;",")),"Y","N")</f>
        <v>Y</v>
      </c>
      <c r="N503" s="3" t="str">
        <f>IF(ISNUMBER(SEARCH(",RPG,",","&amp;SUBSTITUTE(TableMain[[#This Row],[Tags]],", ",",")&amp;",")),"Y","N")</f>
        <v>Y</v>
      </c>
      <c r="O503" s="3" t="str">
        <f>IF(ISNUMBER(SEARCH(",Strategy,",","&amp;SUBSTITUTE(TableMain[[#This Row],[Tags]],", ",",")&amp;",")),"Y","N")</f>
        <v>N</v>
      </c>
      <c r="P503" s="3" t="str">
        <f>IF(ISNUMBER(SEARCH(",Free To Play,",","&amp;SUBSTITUTE(TableMain[[#This Row],[Tags]],", ",",")&amp;",")),"Y","N")</f>
        <v>N</v>
      </c>
    </row>
    <row r="504" spans="1:16" x14ac:dyDescent="0.35">
      <c r="A504">
        <v>1113000</v>
      </c>
      <c r="B504" t="s">
        <v>1208</v>
      </c>
      <c r="C504" s="1">
        <v>43995</v>
      </c>
      <c r="D504">
        <v>962</v>
      </c>
      <c r="E504" t="b">
        <v>0</v>
      </c>
      <c r="F504" t="s">
        <v>324</v>
      </c>
      <c r="G504" t="s">
        <v>132</v>
      </c>
      <c r="H504">
        <v>505</v>
      </c>
      <c r="I504" t="s">
        <v>110</v>
      </c>
      <c r="J504" s="3" t="str">
        <f>IF(ISNUMBER(SEARCH(",Action,",","&amp;SUBSTITUTE(TableMain[[#This Row],[Tags]],", ",",")&amp;",")),"Y","N")</f>
        <v>N</v>
      </c>
      <c r="K504" s="3" t="str">
        <f>IF(ISNUMBER(SEARCH(",Indie,",","&amp;SUBSTITUTE(TableMain[[#This Row],[Tags]],", ",",")&amp;",")),"Y","N")</f>
        <v>N</v>
      </c>
      <c r="L504" s="3" t="str">
        <f>IF(ISNUMBER(SEARCH(",Adventure,",","&amp;SUBSTITUTE(TableMain[[#This Row],[Tags]],", ",",")&amp;",")),"Y","N")</f>
        <v>N</v>
      </c>
      <c r="M504" s="3" t="str">
        <f>IF(ISNUMBER(SEARCH(",Simulation,",","&amp;SUBSTITUTE(TableMain[[#This Row],[Tags]],", ",",")&amp;",")),"Y","N")</f>
        <v>N</v>
      </c>
      <c r="N504" s="3" t="str">
        <f>IF(ISNUMBER(SEARCH(",RPG,",","&amp;SUBSTITUTE(TableMain[[#This Row],[Tags]],", ",",")&amp;",")),"Y","N")</f>
        <v>Y</v>
      </c>
      <c r="O504" s="3" t="str">
        <f>IF(ISNUMBER(SEARCH(",Strategy,",","&amp;SUBSTITUTE(TableMain[[#This Row],[Tags]],", ",",")&amp;",")),"Y","N")</f>
        <v>N</v>
      </c>
      <c r="P504" s="3" t="str">
        <f>IF(ISNUMBER(SEARCH(",Free To Play,",","&amp;SUBSTITUTE(TableMain[[#This Row],[Tags]],", ",",")&amp;",")),"Y","N")</f>
        <v>N</v>
      </c>
    </row>
    <row r="505" spans="1:16" x14ac:dyDescent="0.35">
      <c r="A505">
        <v>1149620</v>
      </c>
      <c r="B505" t="s">
        <v>1209</v>
      </c>
      <c r="C505" s="1">
        <v>44454</v>
      </c>
      <c r="D505">
        <v>958</v>
      </c>
      <c r="E505" t="b">
        <v>1</v>
      </c>
      <c r="F505" t="s">
        <v>324</v>
      </c>
      <c r="G505" t="s">
        <v>164</v>
      </c>
      <c r="H505">
        <v>506</v>
      </c>
      <c r="I505" t="s">
        <v>25</v>
      </c>
      <c r="J505" s="3" t="str">
        <f>IF(ISNUMBER(SEARCH(",Action,",","&amp;SUBSTITUTE(TableMain[[#This Row],[Tags]],", ",",")&amp;",")),"Y","N")</f>
        <v>N</v>
      </c>
      <c r="K505" s="3" t="str">
        <f>IF(ISNUMBER(SEARCH(",Indie,",","&amp;SUBSTITUTE(TableMain[[#This Row],[Tags]],", ",",")&amp;",")),"Y","N")</f>
        <v>Y</v>
      </c>
      <c r="L505" s="3" t="str">
        <f>IF(ISNUMBER(SEARCH(",Adventure,",","&amp;SUBSTITUTE(TableMain[[#This Row],[Tags]],", ",",")&amp;",")),"Y","N")</f>
        <v>N</v>
      </c>
      <c r="M505" s="3" t="str">
        <f>IF(ISNUMBER(SEARCH(",Simulation,",","&amp;SUBSTITUTE(TableMain[[#This Row],[Tags]],", ",",")&amp;",")),"Y","N")</f>
        <v>Y</v>
      </c>
      <c r="N505" s="3" t="str">
        <f>IF(ISNUMBER(SEARCH(",RPG,",","&amp;SUBSTITUTE(TableMain[[#This Row],[Tags]],", ",",")&amp;",")),"Y","N")</f>
        <v>N</v>
      </c>
      <c r="O505" s="3" t="str">
        <f>IF(ISNUMBER(SEARCH(",Strategy,",","&amp;SUBSTITUTE(TableMain[[#This Row],[Tags]],", ",",")&amp;",")),"Y","N")</f>
        <v>N</v>
      </c>
      <c r="P505" s="3" t="str">
        <f>IF(ISNUMBER(SEARCH(",Free To Play,",","&amp;SUBSTITUTE(TableMain[[#This Row],[Tags]],", ",",")&amp;",")),"Y","N")</f>
        <v>N</v>
      </c>
    </row>
    <row r="506" spans="1:16" x14ac:dyDescent="0.35">
      <c r="A506">
        <v>1336490</v>
      </c>
      <c r="B506" t="s">
        <v>1210</v>
      </c>
      <c r="C506" s="1">
        <v>45268</v>
      </c>
      <c r="D506">
        <v>958</v>
      </c>
      <c r="E506" t="b">
        <v>0</v>
      </c>
      <c r="F506" t="s">
        <v>1211</v>
      </c>
      <c r="G506" t="s">
        <v>100</v>
      </c>
      <c r="H506">
        <v>506</v>
      </c>
      <c r="I506" t="s">
        <v>33</v>
      </c>
      <c r="J506" s="3" t="str">
        <f>IF(ISNUMBER(SEARCH(",Action,",","&amp;SUBSTITUTE(TableMain[[#This Row],[Tags]],", ",",")&amp;",")),"Y","N")</f>
        <v>N</v>
      </c>
      <c r="K506" s="3" t="str">
        <f>IF(ISNUMBER(SEARCH(",Indie,",","&amp;SUBSTITUTE(TableMain[[#This Row],[Tags]],", ",",")&amp;",")),"Y","N")</f>
        <v>N</v>
      </c>
      <c r="L506" s="3" t="str">
        <f>IF(ISNUMBER(SEARCH(",Adventure,",","&amp;SUBSTITUTE(TableMain[[#This Row],[Tags]],", ",",")&amp;",")),"Y","N")</f>
        <v>N</v>
      </c>
      <c r="M506" s="3" t="str">
        <f>IF(ISNUMBER(SEARCH(",Simulation,",","&amp;SUBSTITUTE(TableMain[[#This Row],[Tags]],", ",",")&amp;",")),"Y","N")</f>
        <v>Y</v>
      </c>
      <c r="N506" s="3" t="str">
        <f>IF(ISNUMBER(SEARCH(",RPG,",","&amp;SUBSTITUTE(TableMain[[#This Row],[Tags]],", ",",")&amp;",")),"Y","N")</f>
        <v>N</v>
      </c>
      <c r="O506" s="3" t="str">
        <f>IF(ISNUMBER(SEARCH(",Strategy,",","&amp;SUBSTITUTE(TableMain[[#This Row],[Tags]],", ",",")&amp;",")),"Y","N")</f>
        <v>Y</v>
      </c>
      <c r="P506" s="3" t="str">
        <f>IF(ISNUMBER(SEARCH(",Free To Play,",","&amp;SUBSTITUTE(TableMain[[#This Row],[Tags]],", ",",")&amp;",")),"Y","N")</f>
        <v>N</v>
      </c>
    </row>
    <row r="507" spans="1:16" x14ac:dyDescent="0.35">
      <c r="A507">
        <v>2169200</v>
      </c>
      <c r="B507" t="s">
        <v>1212</v>
      </c>
      <c r="C507" s="1">
        <v>45687</v>
      </c>
      <c r="D507">
        <v>957</v>
      </c>
      <c r="E507" t="b">
        <v>0</v>
      </c>
      <c r="F507" t="s">
        <v>1213</v>
      </c>
      <c r="G507" t="s">
        <v>46</v>
      </c>
      <c r="H507">
        <v>508</v>
      </c>
      <c r="I507" t="s">
        <v>1101</v>
      </c>
      <c r="J507" s="3" t="str">
        <f>IF(ISNUMBER(SEARCH(",Action,",","&amp;SUBSTITUTE(TableMain[[#This Row],[Tags]],", ",",")&amp;",")),"Y","N")</f>
        <v>Y</v>
      </c>
      <c r="K507" s="3" t="str">
        <f>IF(ISNUMBER(SEARCH(",Indie,",","&amp;SUBSTITUTE(TableMain[[#This Row],[Tags]],", ",",")&amp;",")),"Y","N")</f>
        <v>N</v>
      </c>
      <c r="L507" s="3" t="str">
        <f>IF(ISNUMBER(SEARCH(",Adventure,",","&amp;SUBSTITUTE(TableMain[[#This Row],[Tags]],", ",",")&amp;",")),"Y","N")</f>
        <v>Y</v>
      </c>
      <c r="M507" s="3" t="str">
        <f>IF(ISNUMBER(SEARCH(",Simulation,",","&amp;SUBSTITUTE(TableMain[[#This Row],[Tags]],", ",",")&amp;",")),"Y","N")</f>
        <v>N</v>
      </c>
      <c r="N507" s="3" t="str">
        <f>IF(ISNUMBER(SEARCH(",RPG,",","&amp;SUBSTITUTE(TableMain[[#This Row],[Tags]],", ",",")&amp;",")),"Y","N")</f>
        <v>N</v>
      </c>
      <c r="O507" s="3" t="str">
        <f>IF(ISNUMBER(SEARCH(",Strategy,",","&amp;SUBSTITUTE(TableMain[[#This Row],[Tags]],", ",",")&amp;",")),"Y","N")</f>
        <v>N</v>
      </c>
      <c r="P507" s="3" t="str">
        <f>IF(ISNUMBER(SEARCH(",Free To Play,",","&amp;SUBSTITUTE(TableMain[[#This Row],[Tags]],", ",",")&amp;",")),"Y","N")</f>
        <v>N</v>
      </c>
    </row>
    <row r="508" spans="1:16" x14ac:dyDescent="0.35">
      <c r="A508">
        <v>477160</v>
      </c>
      <c r="B508" t="s">
        <v>1214</v>
      </c>
      <c r="C508" s="1">
        <v>42573</v>
      </c>
      <c r="D508">
        <v>950</v>
      </c>
      <c r="E508" t="b">
        <v>1</v>
      </c>
      <c r="F508" t="s">
        <v>1215</v>
      </c>
      <c r="G508" t="s">
        <v>1094</v>
      </c>
      <c r="H508">
        <v>509</v>
      </c>
      <c r="I508" t="s">
        <v>110</v>
      </c>
      <c r="J508" s="3" t="str">
        <f>IF(ISNUMBER(SEARCH(",Action,",","&amp;SUBSTITUTE(TableMain[[#This Row],[Tags]],", ",",")&amp;",")),"Y","N")</f>
        <v>N</v>
      </c>
      <c r="K508" s="3" t="str">
        <f>IF(ISNUMBER(SEARCH(",Indie,",","&amp;SUBSTITUTE(TableMain[[#This Row],[Tags]],", ",",")&amp;",")),"Y","N")</f>
        <v>Y</v>
      </c>
      <c r="L508" s="3" t="str">
        <f>IF(ISNUMBER(SEARCH(",Adventure,",","&amp;SUBSTITUTE(TableMain[[#This Row],[Tags]],", ",",")&amp;",")),"Y","N")</f>
        <v>Y</v>
      </c>
      <c r="M508" s="3" t="str">
        <f>IF(ISNUMBER(SEARCH(",Simulation,",","&amp;SUBSTITUTE(TableMain[[#This Row],[Tags]],", ",",")&amp;",")),"Y","N")</f>
        <v>Y</v>
      </c>
      <c r="N508" s="3" t="str">
        <f>IF(ISNUMBER(SEARCH(",RPG,",","&amp;SUBSTITUTE(TableMain[[#This Row],[Tags]],", ",",")&amp;",")),"Y","N")</f>
        <v>N</v>
      </c>
      <c r="O508" s="3" t="str">
        <f>IF(ISNUMBER(SEARCH(",Strategy,",","&amp;SUBSTITUTE(TableMain[[#This Row],[Tags]],", ",",")&amp;",")),"Y","N")</f>
        <v>N</v>
      </c>
      <c r="P508" s="3" t="str">
        <f>IF(ISNUMBER(SEARCH(",Free To Play,",","&amp;SUBSTITUTE(TableMain[[#This Row],[Tags]],", ",",")&amp;",")),"Y","N")</f>
        <v>N</v>
      </c>
    </row>
    <row r="509" spans="1:16" x14ac:dyDescent="0.35">
      <c r="A509">
        <v>1790600</v>
      </c>
      <c r="B509" t="s">
        <v>1216</v>
      </c>
      <c r="C509" s="1">
        <v>45575</v>
      </c>
      <c r="D509">
        <v>949</v>
      </c>
      <c r="E509" t="b">
        <v>0</v>
      </c>
      <c r="F509" t="s">
        <v>1217</v>
      </c>
      <c r="G509" t="s">
        <v>49</v>
      </c>
      <c r="H509">
        <v>510</v>
      </c>
      <c r="I509" t="s">
        <v>36</v>
      </c>
      <c r="J509" s="3" t="str">
        <f>IF(ISNUMBER(SEARCH(",Action,",","&amp;SUBSTITUTE(TableMain[[#This Row],[Tags]],", ",",")&amp;",")),"Y","N")</f>
        <v>Y</v>
      </c>
      <c r="K509" s="3" t="str">
        <f>IF(ISNUMBER(SEARCH(",Indie,",","&amp;SUBSTITUTE(TableMain[[#This Row],[Tags]],", ",",")&amp;",")),"Y","N")</f>
        <v>N</v>
      </c>
      <c r="L509" s="3" t="str">
        <f>IF(ISNUMBER(SEARCH(",Adventure,",","&amp;SUBSTITUTE(TableMain[[#This Row],[Tags]],", ",",")&amp;",")),"Y","N")</f>
        <v>N</v>
      </c>
      <c r="M509" s="3" t="str">
        <f>IF(ISNUMBER(SEARCH(",Simulation,",","&amp;SUBSTITUTE(TableMain[[#This Row],[Tags]],", ",",")&amp;",")),"Y","N")</f>
        <v>N</v>
      </c>
      <c r="N509" s="3" t="str">
        <f>IF(ISNUMBER(SEARCH(",RPG,",","&amp;SUBSTITUTE(TableMain[[#This Row],[Tags]],", ",",")&amp;",")),"Y","N")</f>
        <v>N</v>
      </c>
      <c r="O509" s="3" t="str">
        <f>IF(ISNUMBER(SEARCH(",Strategy,",","&amp;SUBSTITUTE(TableMain[[#This Row],[Tags]],", ",",")&amp;",")),"Y","N")</f>
        <v>N</v>
      </c>
      <c r="P509" s="3" t="str">
        <f>IF(ISNUMBER(SEARCH(",Free To Play,",","&amp;SUBSTITUTE(TableMain[[#This Row],[Tags]],", ",",")&amp;",")),"Y","N")</f>
        <v>N</v>
      </c>
    </row>
    <row r="510" spans="1:16" x14ac:dyDescent="0.35">
      <c r="A510">
        <v>1371980</v>
      </c>
      <c r="B510" t="s">
        <v>1218</v>
      </c>
      <c r="C510" s="1">
        <v>45400</v>
      </c>
      <c r="D510">
        <v>947</v>
      </c>
      <c r="E510" t="b">
        <v>0</v>
      </c>
      <c r="F510" t="s">
        <v>1219</v>
      </c>
      <c r="G510" t="s">
        <v>1220</v>
      </c>
      <c r="H510">
        <v>511</v>
      </c>
      <c r="I510" t="s">
        <v>36</v>
      </c>
      <c r="J510" s="3" t="str">
        <f>IF(ISNUMBER(SEARCH(",Action,",","&amp;SUBSTITUTE(TableMain[[#This Row],[Tags]],", ",",")&amp;",")),"Y","N")</f>
        <v>Y</v>
      </c>
      <c r="K510" s="3" t="str">
        <f>IF(ISNUMBER(SEARCH(",Indie,",","&amp;SUBSTITUTE(TableMain[[#This Row],[Tags]],", ",",")&amp;",")),"Y","N")</f>
        <v>N</v>
      </c>
      <c r="L510" s="3" t="str">
        <f>IF(ISNUMBER(SEARCH(",Adventure,",","&amp;SUBSTITUTE(TableMain[[#This Row],[Tags]],", ",",")&amp;",")),"Y","N")</f>
        <v>Y</v>
      </c>
      <c r="M510" s="3" t="str">
        <f>IF(ISNUMBER(SEARCH(",Simulation,",","&amp;SUBSTITUTE(TableMain[[#This Row],[Tags]],", ",",")&amp;",")),"Y","N")</f>
        <v>N</v>
      </c>
      <c r="N510" s="3" t="str">
        <f>IF(ISNUMBER(SEARCH(",RPG,",","&amp;SUBSTITUTE(TableMain[[#This Row],[Tags]],", ",",")&amp;",")),"Y","N")</f>
        <v>Y</v>
      </c>
      <c r="O510" s="3" t="str">
        <f>IF(ISNUMBER(SEARCH(",Strategy,",","&amp;SUBSTITUTE(TableMain[[#This Row],[Tags]],", ",",")&amp;",")),"Y","N")</f>
        <v>N</v>
      </c>
      <c r="P510" s="3" t="str">
        <f>IF(ISNUMBER(SEARCH(",Free To Play,",","&amp;SUBSTITUTE(TableMain[[#This Row],[Tags]],", ",",")&amp;",")),"Y","N")</f>
        <v>N</v>
      </c>
    </row>
    <row r="511" spans="1:16" x14ac:dyDescent="0.35">
      <c r="A511">
        <v>599140</v>
      </c>
      <c r="B511" t="s">
        <v>1221</v>
      </c>
      <c r="C511" s="1">
        <v>43327</v>
      </c>
      <c r="D511">
        <v>941</v>
      </c>
      <c r="E511" t="b">
        <v>1</v>
      </c>
      <c r="F511" t="s">
        <v>445</v>
      </c>
      <c r="G511" t="s">
        <v>1207</v>
      </c>
      <c r="H511">
        <v>512</v>
      </c>
      <c r="I511" t="s">
        <v>14</v>
      </c>
      <c r="J511" s="3" t="str">
        <f>IF(ISNUMBER(SEARCH(",Action,",","&amp;SUBSTITUTE(TableMain[[#This Row],[Tags]],", ",",")&amp;",")),"Y","N")</f>
        <v>N</v>
      </c>
      <c r="K511" s="3" t="str">
        <f>IF(ISNUMBER(SEARCH(",Indie,",","&amp;SUBSTITUTE(TableMain[[#This Row],[Tags]],", ",",")&amp;",")),"Y","N")</f>
        <v>Y</v>
      </c>
      <c r="L511" s="3" t="str">
        <f>IF(ISNUMBER(SEARCH(",Adventure,",","&amp;SUBSTITUTE(TableMain[[#This Row],[Tags]],", ",",")&amp;",")),"Y","N")</f>
        <v>Y</v>
      </c>
      <c r="M511" s="3" t="str">
        <f>IF(ISNUMBER(SEARCH(",Simulation,",","&amp;SUBSTITUTE(TableMain[[#This Row],[Tags]],", ",",")&amp;",")),"Y","N")</f>
        <v>Y</v>
      </c>
      <c r="N511" s="3" t="str">
        <f>IF(ISNUMBER(SEARCH(",RPG,",","&amp;SUBSTITUTE(TableMain[[#This Row],[Tags]],", ",",")&amp;",")),"Y","N")</f>
        <v>Y</v>
      </c>
      <c r="O511" s="3" t="str">
        <f>IF(ISNUMBER(SEARCH(",Strategy,",","&amp;SUBSTITUTE(TableMain[[#This Row],[Tags]],", ",",")&amp;",")),"Y","N")</f>
        <v>N</v>
      </c>
      <c r="P511" s="3" t="str">
        <f>IF(ISNUMBER(SEARCH(",Free To Play,",","&amp;SUBSTITUTE(TableMain[[#This Row],[Tags]],", ",",")&amp;",")),"Y","N")</f>
        <v>N</v>
      </c>
    </row>
    <row r="512" spans="1:16" x14ac:dyDescent="0.35">
      <c r="A512">
        <v>1210320</v>
      </c>
      <c r="B512" t="s">
        <v>1222</v>
      </c>
      <c r="C512" s="1">
        <v>44908</v>
      </c>
      <c r="D512">
        <v>941</v>
      </c>
      <c r="E512" t="b">
        <v>0</v>
      </c>
      <c r="F512" t="s">
        <v>1053</v>
      </c>
      <c r="G512" t="s">
        <v>174</v>
      </c>
      <c r="H512">
        <v>512</v>
      </c>
      <c r="I512" t="s">
        <v>133</v>
      </c>
      <c r="J512" s="3" t="str">
        <f>IF(ISNUMBER(SEARCH(",Action,",","&amp;SUBSTITUTE(TableMain[[#This Row],[Tags]],", ",",")&amp;",")),"Y","N")</f>
        <v>N</v>
      </c>
      <c r="K512" s="3" t="str">
        <f>IF(ISNUMBER(SEARCH(",Indie,",","&amp;SUBSTITUTE(TableMain[[#This Row],[Tags]],", ",",")&amp;",")),"Y","N")</f>
        <v>Y</v>
      </c>
      <c r="L512" s="3" t="str">
        <f>IF(ISNUMBER(SEARCH(",Adventure,",","&amp;SUBSTITUTE(TableMain[[#This Row],[Tags]],", ",",")&amp;",")),"Y","N")</f>
        <v>N</v>
      </c>
      <c r="M512" s="3" t="str">
        <f>IF(ISNUMBER(SEARCH(",Simulation,",","&amp;SUBSTITUTE(TableMain[[#This Row],[Tags]],", ",",")&amp;",")),"Y","N")</f>
        <v>Y</v>
      </c>
      <c r="N512" s="3" t="str">
        <f>IF(ISNUMBER(SEARCH(",RPG,",","&amp;SUBSTITUTE(TableMain[[#This Row],[Tags]],", ",",")&amp;",")),"Y","N")</f>
        <v>N</v>
      </c>
      <c r="O512" s="3" t="str">
        <f>IF(ISNUMBER(SEARCH(",Strategy,",","&amp;SUBSTITUTE(TableMain[[#This Row],[Tags]],", ",",")&amp;",")),"Y","N")</f>
        <v>N</v>
      </c>
      <c r="P512" s="3" t="str">
        <f>IF(ISNUMBER(SEARCH(",Free To Play,",","&amp;SUBSTITUTE(TableMain[[#This Row],[Tags]],", ",",")&amp;",")),"Y","N")</f>
        <v>N</v>
      </c>
    </row>
    <row r="513" spans="1:16" x14ac:dyDescent="0.35">
      <c r="A513">
        <v>1295510</v>
      </c>
      <c r="B513" t="s">
        <v>1223</v>
      </c>
      <c r="C513" s="1">
        <v>44169</v>
      </c>
      <c r="D513">
        <v>936</v>
      </c>
      <c r="E513" t="b">
        <v>0</v>
      </c>
      <c r="F513" t="s">
        <v>1224</v>
      </c>
      <c r="G513" t="s">
        <v>896</v>
      </c>
      <c r="H513">
        <v>514</v>
      </c>
      <c r="I513" t="s">
        <v>133</v>
      </c>
      <c r="J513" s="3" t="str">
        <f>IF(ISNUMBER(SEARCH(",Action,",","&amp;SUBSTITUTE(TableMain[[#This Row],[Tags]],", ",",")&amp;",")),"Y","N")</f>
        <v>N</v>
      </c>
      <c r="K513" s="3" t="str">
        <f>IF(ISNUMBER(SEARCH(",Indie,",","&amp;SUBSTITUTE(TableMain[[#This Row],[Tags]],", ",",")&amp;",")),"Y","N")</f>
        <v>N</v>
      </c>
      <c r="L513" s="3" t="str">
        <f>IF(ISNUMBER(SEARCH(",Adventure,",","&amp;SUBSTITUTE(TableMain[[#This Row],[Tags]],", ",",")&amp;",")),"Y","N")</f>
        <v>Y</v>
      </c>
      <c r="M513" s="3" t="str">
        <f>IF(ISNUMBER(SEARCH(",Simulation,",","&amp;SUBSTITUTE(TableMain[[#This Row],[Tags]],", ",",")&amp;",")),"Y","N")</f>
        <v>N</v>
      </c>
      <c r="N513" s="3" t="str">
        <f>IF(ISNUMBER(SEARCH(",RPG,",","&amp;SUBSTITUTE(TableMain[[#This Row],[Tags]],", ",",")&amp;",")),"Y","N")</f>
        <v>Y</v>
      </c>
      <c r="O513" s="3" t="str">
        <f>IF(ISNUMBER(SEARCH(",Strategy,",","&amp;SUBSTITUTE(TableMain[[#This Row],[Tags]],", ",",")&amp;",")),"Y","N")</f>
        <v>N</v>
      </c>
      <c r="P513" s="3" t="str">
        <f>IF(ISNUMBER(SEARCH(",Free To Play,",","&amp;SUBSTITUTE(TableMain[[#This Row],[Tags]],", ",",")&amp;",")),"Y","N")</f>
        <v>N</v>
      </c>
    </row>
    <row r="514" spans="1:16" x14ac:dyDescent="0.35">
      <c r="A514">
        <v>34030</v>
      </c>
      <c r="B514" t="s">
        <v>1225</v>
      </c>
      <c r="C514" s="1">
        <v>40234</v>
      </c>
      <c r="D514">
        <v>929</v>
      </c>
      <c r="E514" t="b">
        <v>1</v>
      </c>
      <c r="F514" t="s">
        <v>1226</v>
      </c>
      <c r="G514" t="s">
        <v>124</v>
      </c>
      <c r="H514">
        <v>515</v>
      </c>
      <c r="I514" t="s">
        <v>2082</v>
      </c>
      <c r="J514" s="3" t="str">
        <f>IF(ISNUMBER(SEARCH(",Action,",","&amp;SUBSTITUTE(TableMain[[#This Row],[Tags]],", ",",")&amp;",")),"Y","N")</f>
        <v>N</v>
      </c>
      <c r="K514" s="3" t="str">
        <f>IF(ISNUMBER(SEARCH(",Indie,",","&amp;SUBSTITUTE(TableMain[[#This Row],[Tags]],", ",",")&amp;",")),"Y","N")</f>
        <v>N</v>
      </c>
      <c r="L514" s="3" t="str">
        <f>IF(ISNUMBER(SEARCH(",Adventure,",","&amp;SUBSTITUTE(TableMain[[#This Row],[Tags]],", ",",")&amp;",")),"Y","N")</f>
        <v>N</v>
      </c>
      <c r="M514" s="3" t="str">
        <f>IF(ISNUMBER(SEARCH(",Simulation,",","&amp;SUBSTITUTE(TableMain[[#This Row],[Tags]],", ",",")&amp;",")),"Y","N")</f>
        <v>N</v>
      </c>
      <c r="N514" s="3" t="str">
        <f>IF(ISNUMBER(SEARCH(",RPG,",","&amp;SUBSTITUTE(TableMain[[#This Row],[Tags]],", ",",")&amp;",")),"Y","N")</f>
        <v>N</v>
      </c>
      <c r="O514" s="3" t="str">
        <f>IF(ISNUMBER(SEARCH(",Strategy,",","&amp;SUBSTITUTE(TableMain[[#This Row],[Tags]],", ",",")&amp;",")),"Y","N")</f>
        <v>Y</v>
      </c>
      <c r="P514" s="3" t="str">
        <f>IF(ISNUMBER(SEARCH(",Free To Play,",","&amp;SUBSTITUTE(TableMain[[#This Row],[Tags]],", ",",")&amp;",")),"Y","N")</f>
        <v>N</v>
      </c>
    </row>
    <row r="515" spans="1:16" x14ac:dyDescent="0.35">
      <c r="A515">
        <v>753640</v>
      </c>
      <c r="B515" t="s">
        <v>1227</v>
      </c>
      <c r="C515" s="1">
        <v>44000</v>
      </c>
      <c r="D515">
        <v>928</v>
      </c>
      <c r="E515" t="b">
        <v>0</v>
      </c>
      <c r="F515" t="s">
        <v>445</v>
      </c>
      <c r="G515" t="s">
        <v>46</v>
      </c>
      <c r="H515">
        <v>516</v>
      </c>
      <c r="I515" t="s">
        <v>18</v>
      </c>
      <c r="J515" s="3" t="str">
        <f>IF(ISNUMBER(SEARCH(",Action,",","&amp;SUBSTITUTE(TableMain[[#This Row],[Tags]],", ",",")&amp;",")),"Y","N")</f>
        <v>Y</v>
      </c>
      <c r="K515" s="3" t="str">
        <f>IF(ISNUMBER(SEARCH(",Indie,",","&amp;SUBSTITUTE(TableMain[[#This Row],[Tags]],", ",",")&amp;",")),"Y","N")</f>
        <v>N</v>
      </c>
      <c r="L515" s="3" t="str">
        <f>IF(ISNUMBER(SEARCH(",Adventure,",","&amp;SUBSTITUTE(TableMain[[#This Row],[Tags]],", ",",")&amp;",")),"Y","N")</f>
        <v>Y</v>
      </c>
      <c r="M515" s="3" t="str">
        <f>IF(ISNUMBER(SEARCH(",Simulation,",","&amp;SUBSTITUTE(TableMain[[#This Row],[Tags]],", ",",")&amp;",")),"Y","N")</f>
        <v>N</v>
      </c>
      <c r="N515" s="3" t="str">
        <f>IF(ISNUMBER(SEARCH(",RPG,",","&amp;SUBSTITUTE(TableMain[[#This Row],[Tags]],", ",",")&amp;",")),"Y","N")</f>
        <v>N</v>
      </c>
      <c r="O515" s="3" t="str">
        <f>IF(ISNUMBER(SEARCH(",Strategy,",","&amp;SUBSTITUTE(TableMain[[#This Row],[Tags]],", ",",")&amp;",")),"Y","N")</f>
        <v>N</v>
      </c>
      <c r="P515" s="3" t="str">
        <f>IF(ISNUMBER(SEARCH(",Free To Play,",","&amp;SUBSTITUTE(TableMain[[#This Row],[Tags]],", ",",")&amp;",")),"Y","N")</f>
        <v>N</v>
      </c>
    </row>
    <row r="516" spans="1:16" x14ac:dyDescent="0.35">
      <c r="A516">
        <v>2185060</v>
      </c>
      <c r="B516" t="s">
        <v>1228</v>
      </c>
      <c r="C516" s="1">
        <v>45720</v>
      </c>
      <c r="D516">
        <v>927</v>
      </c>
      <c r="E516" t="b">
        <v>1</v>
      </c>
      <c r="F516" t="s">
        <v>1229</v>
      </c>
      <c r="G516" t="s">
        <v>190</v>
      </c>
      <c r="H516">
        <v>517</v>
      </c>
      <c r="I516" t="s">
        <v>25</v>
      </c>
      <c r="J516" s="3" t="str">
        <f>IF(ISNUMBER(SEARCH(",Action,",","&amp;SUBSTITUTE(TableMain[[#This Row],[Tags]],", ",",")&amp;",")),"Y","N")</f>
        <v>N</v>
      </c>
      <c r="K516" s="3" t="str">
        <f>IF(ISNUMBER(SEARCH(",Indie,",","&amp;SUBSTITUTE(TableMain[[#This Row],[Tags]],", ",",")&amp;",")),"Y","N")</f>
        <v>Y</v>
      </c>
      <c r="L516" s="3" t="str">
        <f>IF(ISNUMBER(SEARCH(",Adventure,",","&amp;SUBSTITUTE(TableMain[[#This Row],[Tags]],", ",",")&amp;",")),"Y","N")</f>
        <v>N</v>
      </c>
      <c r="M516" s="3" t="str">
        <f>IF(ISNUMBER(SEARCH(",Simulation,",","&amp;SUBSTITUTE(TableMain[[#This Row],[Tags]],", ",",")&amp;",")),"Y","N")</f>
        <v>Y</v>
      </c>
      <c r="N516" s="3" t="str">
        <f>IF(ISNUMBER(SEARCH(",RPG,",","&amp;SUBSTITUTE(TableMain[[#This Row],[Tags]],", ",",")&amp;",")),"Y","N")</f>
        <v>N</v>
      </c>
      <c r="O516" s="3" t="str">
        <f>IF(ISNUMBER(SEARCH(",Strategy,",","&amp;SUBSTITUTE(TableMain[[#This Row],[Tags]],", ",",")&amp;",")),"Y","N")</f>
        <v>Y</v>
      </c>
      <c r="P516" s="3" t="str">
        <f>IF(ISNUMBER(SEARCH(",Free To Play,",","&amp;SUBSTITUTE(TableMain[[#This Row],[Tags]],", ",",")&amp;",")),"Y","N")</f>
        <v>N</v>
      </c>
    </row>
    <row r="517" spans="1:16" x14ac:dyDescent="0.35">
      <c r="A517">
        <v>983870</v>
      </c>
      <c r="B517" t="s">
        <v>1230</v>
      </c>
      <c r="C517" s="1">
        <v>45414</v>
      </c>
      <c r="D517">
        <v>925</v>
      </c>
      <c r="E517" t="b">
        <v>0</v>
      </c>
      <c r="F517" t="s">
        <v>1231</v>
      </c>
      <c r="G517" t="s">
        <v>483</v>
      </c>
      <c r="H517">
        <v>518</v>
      </c>
      <c r="I517" t="s">
        <v>33</v>
      </c>
      <c r="J517" s="3" t="str">
        <f>IF(ISNUMBER(SEARCH(",Action,",","&amp;SUBSTITUTE(TableMain[[#This Row],[Tags]],", ",",")&amp;",")),"Y","N")</f>
        <v>N</v>
      </c>
      <c r="K517" s="3" t="str">
        <f>IF(ISNUMBER(SEARCH(",Indie,",","&amp;SUBSTITUTE(TableMain[[#This Row],[Tags]],", ",",")&amp;",")),"Y","N")</f>
        <v>Y</v>
      </c>
      <c r="L517" s="3" t="str">
        <f>IF(ISNUMBER(SEARCH(",Adventure,",","&amp;SUBSTITUTE(TableMain[[#This Row],[Tags]],", ",",")&amp;",")),"Y","N")</f>
        <v>N</v>
      </c>
      <c r="M517" s="3" t="str">
        <f>IF(ISNUMBER(SEARCH(",Simulation,",","&amp;SUBSTITUTE(TableMain[[#This Row],[Tags]],", ",",")&amp;",")),"Y","N")</f>
        <v>Y</v>
      </c>
      <c r="N517" s="3" t="str">
        <f>IF(ISNUMBER(SEARCH(",RPG,",","&amp;SUBSTITUTE(TableMain[[#This Row],[Tags]],", ",",")&amp;",")),"Y","N")</f>
        <v>N</v>
      </c>
      <c r="O517" s="3" t="str">
        <f>IF(ISNUMBER(SEARCH(",Strategy,",","&amp;SUBSTITUTE(TableMain[[#This Row],[Tags]],", ",",")&amp;",")),"Y","N")</f>
        <v>Y</v>
      </c>
      <c r="P517" s="3" t="str">
        <f>IF(ISNUMBER(SEARCH(",Free To Play,",","&amp;SUBSTITUTE(TableMain[[#This Row],[Tags]],", ",",")&amp;",")),"Y","N")</f>
        <v>N</v>
      </c>
    </row>
    <row r="518" spans="1:16" x14ac:dyDescent="0.35">
      <c r="A518">
        <v>2407270</v>
      </c>
      <c r="B518" t="s">
        <v>1232</v>
      </c>
      <c r="C518" s="1">
        <v>45743</v>
      </c>
      <c r="D518">
        <v>922</v>
      </c>
      <c r="E518" t="b">
        <v>0</v>
      </c>
      <c r="F518" t="s">
        <v>416</v>
      </c>
      <c r="G518" t="s">
        <v>138</v>
      </c>
      <c r="H518">
        <v>519</v>
      </c>
      <c r="I518" t="s">
        <v>29</v>
      </c>
      <c r="J518" s="3" t="str">
        <f>IF(ISNUMBER(SEARCH(",Action,",","&amp;SUBSTITUTE(TableMain[[#This Row],[Tags]],", ",",")&amp;",")),"Y","N")</f>
        <v>Y</v>
      </c>
      <c r="K518" s="3" t="str">
        <f>IF(ISNUMBER(SEARCH(",Indie,",","&amp;SUBSTITUTE(TableMain[[#This Row],[Tags]],", ",",")&amp;",")),"Y","N")</f>
        <v>Y</v>
      </c>
      <c r="L518" s="3" t="str">
        <f>IF(ISNUMBER(SEARCH(",Adventure,",","&amp;SUBSTITUTE(TableMain[[#This Row],[Tags]],", ",",")&amp;",")),"Y","N")</f>
        <v>Y</v>
      </c>
      <c r="M518" s="3" t="str">
        <f>IF(ISNUMBER(SEARCH(",Simulation,",","&amp;SUBSTITUTE(TableMain[[#This Row],[Tags]],", ",",")&amp;",")),"Y","N")</f>
        <v>N</v>
      </c>
      <c r="N518" s="3" t="str">
        <f>IF(ISNUMBER(SEARCH(",RPG,",","&amp;SUBSTITUTE(TableMain[[#This Row],[Tags]],", ",",")&amp;",")),"Y","N")</f>
        <v>Y</v>
      </c>
      <c r="O518" s="3" t="str">
        <f>IF(ISNUMBER(SEARCH(",Strategy,",","&amp;SUBSTITUTE(TableMain[[#This Row],[Tags]],", ",",")&amp;",")),"Y","N")</f>
        <v>N</v>
      </c>
      <c r="P518" s="3" t="str">
        <f>IF(ISNUMBER(SEARCH(",Free To Play,",","&amp;SUBSTITUTE(TableMain[[#This Row],[Tags]],", ",",")&amp;",")),"Y","N")</f>
        <v>N</v>
      </c>
    </row>
    <row r="519" spans="1:16" x14ac:dyDescent="0.35">
      <c r="A519">
        <v>632470</v>
      </c>
      <c r="B519" t="s">
        <v>1233</v>
      </c>
      <c r="C519" s="1">
        <v>43753</v>
      </c>
      <c r="D519">
        <v>918</v>
      </c>
      <c r="E519" t="b">
        <v>1</v>
      </c>
      <c r="F519" t="s">
        <v>1224</v>
      </c>
      <c r="G519" t="s">
        <v>132</v>
      </c>
      <c r="H519">
        <v>520</v>
      </c>
      <c r="I519" t="s">
        <v>53</v>
      </c>
      <c r="J519" s="3" t="str">
        <f>IF(ISNUMBER(SEARCH(",Action,",","&amp;SUBSTITUTE(TableMain[[#This Row],[Tags]],", ",",")&amp;",")),"Y","N")</f>
        <v>N</v>
      </c>
      <c r="K519" s="3" t="str">
        <f>IF(ISNUMBER(SEARCH(",Indie,",","&amp;SUBSTITUTE(TableMain[[#This Row],[Tags]],", ",",")&amp;",")),"Y","N")</f>
        <v>N</v>
      </c>
      <c r="L519" s="3" t="str">
        <f>IF(ISNUMBER(SEARCH(",Adventure,",","&amp;SUBSTITUTE(TableMain[[#This Row],[Tags]],", ",",")&amp;",")),"Y","N")</f>
        <v>N</v>
      </c>
      <c r="M519" s="3" t="str">
        <f>IF(ISNUMBER(SEARCH(",Simulation,",","&amp;SUBSTITUTE(TableMain[[#This Row],[Tags]],", ",",")&amp;",")),"Y","N")</f>
        <v>N</v>
      </c>
      <c r="N519" s="3" t="str">
        <f>IF(ISNUMBER(SEARCH(",RPG,",","&amp;SUBSTITUTE(TableMain[[#This Row],[Tags]],", ",",")&amp;",")),"Y","N")</f>
        <v>Y</v>
      </c>
      <c r="O519" s="3" t="str">
        <f>IF(ISNUMBER(SEARCH(",Strategy,",","&amp;SUBSTITUTE(TableMain[[#This Row],[Tags]],", ",",")&amp;",")),"Y","N")</f>
        <v>N</v>
      </c>
      <c r="P519" s="3" t="str">
        <f>IF(ISNUMBER(SEARCH(",Free To Play,",","&amp;SUBSTITUTE(TableMain[[#This Row],[Tags]],", ",",")&amp;",")),"Y","N")</f>
        <v>N</v>
      </c>
    </row>
    <row r="520" spans="1:16" x14ac:dyDescent="0.35">
      <c r="A520">
        <v>975370</v>
      </c>
      <c r="B520" t="s">
        <v>1234</v>
      </c>
      <c r="C520" s="1">
        <v>44901</v>
      </c>
      <c r="D520">
        <v>915</v>
      </c>
      <c r="E520" t="b">
        <v>0</v>
      </c>
      <c r="F520" t="s">
        <v>1173</v>
      </c>
      <c r="G520" t="s">
        <v>160</v>
      </c>
      <c r="H520">
        <v>521</v>
      </c>
      <c r="I520" t="s">
        <v>161</v>
      </c>
      <c r="J520" s="3" t="str">
        <f>IF(ISNUMBER(SEARCH(",Action,",","&amp;SUBSTITUTE(TableMain[[#This Row],[Tags]],", ",",")&amp;",")),"Y","N")</f>
        <v>N</v>
      </c>
      <c r="K520" s="3" t="str">
        <f>IF(ISNUMBER(SEARCH(",Indie,",","&amp;SUBSTITUTE(TableMain[[#This Row],[Tags]],", ",",")&amp;",")),"Y","N")</f>
        <v>Y</v>
      </c>
      <c r="L520" s="3" t="str">
        <f>IF(ISNUMBER(SEARCH(",Adventure,",","&amp;SUBSTITUTE(TableMain[[#This Row],[Tags]],", ",",")&amp;",")),"Y","N")</f>
        <v>N</v>
      </c>
      <c r="M520" s="3" t="str">
        <f>IF(ISNUMBER(SEARCH(",Simulation,",","&amp;SUBSTITUTE(TableMain[[#This Row],[Tags]],", ",",")&amp;",")),"Y","N")</f>
        <v>Y</v>
      </c>
      <c r="N520" s="3" t="str">
        <f>IF(ISNUMBER(SEARCH(",RPG,",","&amp;SUBSTITUTE(TableMain[[#This Row],[Tags]],", ",",")&amp;",")),"Y","N")</f>
        <v>N</v>
      </c>
      <c r="O520" s="3" t="str">
        <f>IF(ISNUMBER(SEARCH(",Strategy,",","&amp;SUBSTITUTE(TableMain[[#This Row],[Tags]],", ",",")&amp;",")),"Y","N")</f>
        <v>Y</v>
      </c>
      <c r="P520" s="3" t="str">
        <f>IF(ISNUMBER(SEARCH(",Free To Play,",","&amp;SUBSTITUTE(TableMain[[#This Row],[Tags]],", ",",")&amp;",")),"Y","N")</f>
        <v>N</v>
      </c>
    </row>
    <row r="521" spans="1:16" x14ac:dyDescent="0.35">
      <c r="A521">
        <v>1397920</v>
      </c>
      <c r="B521" t="s">
        <v>1235</v>
      </c>
      <c r="C521" s="1">
        <v>44104</v>
      </c>
      <c r="D521">
        <v>914</v>
      </c>
      <c r="E521" t="b">
        <v>1</v>
      </c>
      <c r="F521" t="s">
        <v>1236</v>
      </c>
      <c r="G521" t="s">
        <v>775</v>
      </c>
      <c r="H521">
        <v>522</v>
      </c>
      <c r="I521" t="s">
        <v>14</v>
      </c>
      <c r="J521" s="3" t="str">
        <f>IF(ISNUMBER(SEARCH(",Action,",","&amp;SUBSTITUTE(TableMain[[#This Row],[Tags]],", ",",")&amp;",")),"Y","N")</f>
        <v>N</v>
      </c>
      <c r="K521" s="3" t="str">
        <f>IF(ISNUMBER(SEARCH(",Indie,",","&amp;SUBSTITUTE(TableMain[[#This Row],[Tags]],", ",",")&amp;",")),"Y","N")</f>
        <v>Y</v>
      </c>
      <c r="L521" s="3" t="str">
        <f>IF(ISNUMBER(SEARCH(",Adventure,",","&amp;SUBSTITUTE(TableMain[[#This Row],[Tags]],", ",",")&amp;",")),"Y","N")</f>
        <v>Y</v>
      </c>
      <c r="M521" s="3" t="str">
        <f>IF(ISNUMBER(SEARCH(",Simulation,",","&amp;SUBSTITUTE(TableMain[[#This Row],[Tags]],", ",",")&amp;",")),"Y","N")</f>
        <v>Y</v>
      </c>
      <c r="N521" s="3" t="str">
        <f>IF(ISNUMBER(SEARCH(",RPG,",","&amp;SUBSTITUTE(TableMain[[#This Row],[Tags]],", ",",")&amp;",")),"Y","N")</f>
        <v>Y</v>
      </c>
      <c r="O521" s="3" t="str">
        <f>IF(ISNUMBER(SEARCH(",Strategy,",","&amp;SUBSTITUTE(TableMain[[#This Row],[Tags]],", ",",")&amp;",")),"Y","N")</f>
        <v>Y</v>
      </c>
      <c r="P521" s="3" t="str">
        <f>IF(ISNUMBER(SEARCH(",Free To Play,",","&amp;SUBSTITUTE(TableMain[[#This Row],[Tags]],", ",",")&amp;",")),"Y","N")</f>
        <v>Y</v>
      </c>
    </row>
    <row r="522" spans="1:16" x14ac:dyDescent="0.35">
      <c r="A522">
        <v>2344320</v>
      </c>
      <c r="B522" t="s">
        <v>1237</v>
      </c>
      <c r="C522" s="1">
        <v>45700</v>
      </c>
      <c r="D522">
        <v>913</v>
      </c>
      <c r="E522" t="b">
        <v>0</v>
      </c>
      <c r="F522" t="s">
        <v>622</v>
      </c>
      <c r="G522" t="s">
        <v>555</v>
      </c>
      <c r="H522">
        <v>523</v>
      </c>
      <c r="I522" t="s">
        <v>405</v>
      </c>
      <c r="J522" s="3" t="str">
        <f>IF(ISNUMBER(SEARCH(",Action,",","&amp;SUBSTITUTE(TableMain[[#This Row],[Tags]],", ",",")&amp;",")),"Y","N")</f>
        <v>Y</v>
      </c>
      <c r="K522" s="3" t="str">
        <f>IF(ISNUMBER(SEARCH(",Indie,",","&amp;SUBSTITUTE(TableMain[[#This Row],[Tags]],", ",",")&amp;",")),"Y","N")</f>
        <v>N</v>
      </c>
      <c r="L522" s="3" t="str">
        <f>IF(ISNUMBER(SEARCH(",Adventure,",","&amp;SUBSTITUTE(TableMain[[#This Row],[Tags]],", ",",")&amp;",")),"Y","N")</f>
        <v>N</v>
      </c>
      <c r="M522" s="3" t="str">
        <f>IF(ISNUMBER(SEARCH(",Simulation,",","&amp;SUBSTITUTE(TableMain[[#This Row],[Tags]],", ",",")&amp;",")),"Y","N")</f>
        <v>N</v>
      </c>
      <c r="N522" s="3" t="str">
        <f>IF(ISNUMBER(SEARCH(",RPG,",","&amp;SUBSTITUTE(TableMain[[#This Row],[Tags]],", ",",")&amp;",")),"Y","N")</f>
        <v>Y</v>
      </c>
      <c r="O522" s="3" t="str">
        <f>IF(ISNUMBER(SEARCH(",Strategy,",","&amp;SUBSTITUTE(TableMain[[#This Row],[Tags]],", ",",")&amp;",")),"Y","N")</f>
        <v>N</v>
      </c>
      <c r="P522" s="3" t="str">
        <f>IF(ISNUMBER(SEARCH(",Free To Play,",","&amp;SUBSTITUTE(TableMain[[#This Row],[Tags]],", ",",")&amp;",")),"Y","N")</f>
        <v>N</v>
      </c>
    </row>
    <row r="523" spans="1:16" x14ac:dyDescent="0.35">
      <c r="A523">
        <v>670290</v>
      </c>
      <c r="B523" t="s">
        <v>1238</v>
      </c>
      <c r="C523" s="1">
        <v>43104</v>
      </c>
      <c r="D523">
        <v>911</v>
      </c>
      <c r="E523" t="b">
        <v>0</v>
      </c>
      <c r="F523" t="s">
        <v>1239</v>
      </c>
      <c r="G523" t="s">
        <v>1240</v>
      </c>
      <c r="H523">
        <v>524</v>
      </c>
      <c r="I523" t="s">
        <v>110</v>
      </c>
      <c r="J523" s="3" t="str">
        <f>IF(ISNUMBER(SEARCH(",Action,",","&amp;SUBSTITUTE(TableMain[[#This Row],[Tags]],", ",",")&amp;",")),"Y","N")</f>
        <v>Y</v>
      </c>
      <c r="K523" s="3" t="str">
        <f>IF(ISNUMBER(SEARCH(",Indie,",","&amp;SUBSTITUTE(TableMain[[#This Row],[Tags]],", ",",")&amp;",")),"Y","N")</f>
        <v>Y</v>
      </c>
      <c r="L523" s="3" t="str">
        <f>IF(ISNUMBER(SEARCH(",Adventure,",","&amp;SUBSTITUTE(TableMain[[#This Row],[Tags]],", ",",")&amp;",")),"Y","N")</f>
        <v>N</v>
      </c>
      <c r="M523" s="3" t="str">
        <f>IF(ISNUMBER(SEARCH(",Simulation,",","&amp;SUBSTITUTE(TableMain[[#This Row],[Tags]],", ",",")&amp;",")),"Y","N")</f>
        <v>Y</v>
      </c>
      <c r="N523" s="3" t="str">
        <f>IF(ISNUMBER(SEARCH(",RPG,",","&amp;SUBSTITUTE(TableMain[[#This Row],[Tags]],", ",",")&amp;",")),"Y","N")</f>
        <v>N</v>
      </c>
      <c r="O523" s="3" t="str">
        <f>IF(ISNUMBER(SEARCH(",Strategy,",","&amp;SUBSTITUTE(TableMain[[#This Row],[Tags]],", ",",")&amp;",")),"Y","N")</f>
        <v>Y</v>
      </c>
      <c r="P523" s="3" t="str">
        <f>IF(ISNUMBER(SEARCH(",Free To Play,",","&amp;SUBSTITUTE(TableMain[[#This Row],[Tags]],", ",",")&amp;",")),"Y","N")</f>
        <v>Y</v>
      </c>
    </row>
    <row r="524" spans="1:16" x14ac:dyDescent="0.35">
      <c r="A524">
        <v>3416070</v>
      </c>
      <c r="B524" t="s">
        <v>1241</v>
      </c>
      <c r="C524" s="1">
        <v>45686</v>
      </c>
      <c r="D524">
        <v>911</v>
      </c>
      <c r="E524" t="b">
        <v>0</v>
      </c>
      <c r="F524" t="s">
        <v>681</v>
      </c>
      <c r="G524" t="s">
        <v>164</v>
      </c>
      <c r="H524">
        <v>524</v>
      </c>
      <c r="I524" t="s">
        <v>14</v>
      </c>
      <c r="J524" s="3" t="str">
        <f>IF(ISNUMBER(SEARCH(",Action,",","&amp;SUBSTITUTE(TableMain[[#This Row],[Tags]],", ",",")&amp;",")),"Y","N")</f>
        <v>N</v>
      </c>
      <c r="K524" s="3" t="str">
        <f>IF(ISNUMBER(SEARCH(",Indie,",","&amp;SUBSTITUTE(TableMain[[#This Row],[Tags]],", ",",")&amp;",")),"Y","N")</f>
        <v>Y</v>
      </c>
      <c r="L524" s="3" t="str">
        <f>IF(ISNUMBER(SEARCH(",Adventure,",","&amp;SUBSTITUTE(TableMain[[#This Row],[Tags]],", ",",")&amp;",")),"Y","N")</f>
        <v>N</v>
      </c>
      <c r="M524" s="3" t="str">
        <f>IF(ISNUMBER(SEARCH(",Simulation,",","&amp;SUBSTITUTE(TableMain[[#This Row],[Tags]],", ",",")&amp;",")),"Y","N")</f>
        <v>Y</v>
      </c>
      <c r="N524" s="3" t="str">
        <f>IF(ISNUMBER(SEARCH(",RPG,",","&amp;SUBSTITUTE(TableMain[[#This Row],[Tags]],", ",",")&amp;",")),"Y","N")</f>
        <v>N</v>
      </c>
      <c r="O524" s="3" t="str">
        <f>IF(ISNUMBER(SEARCH(",Strategy,",","&amp;SUBSTITUTE(TableMain[[#This Row],[Tags]],", ",",")&amp;",")),"Y","N")</f>
        <v>N</v>
      </c>
      <c r="P524" s="3" t="str">
        <f>IF(ISNUMBER(SEARCH(",Free To Play,",","&amp;SUBSTITUTE(TableMain[[#This Row],[Tags]],", ",",")&amp;",")),"Y","N")</f>
        <v>N</v>
      </c>
    </row>
    <row r="525" spans="1:16" x14ac:dyDescent="0.35">
      <c r="A525">
        <v>387990</v>
      </c>
      <c r="B525" t="s">
        <v>1242</v>
      </c>
      <c r="C525" s="1">
        <v>42388</v>
      </c>
      <c r="D525">
        <v>909</v>
      </c>
      <c r="E525" t="b">
        <v>0</v>
      </c>
      <c r="F525" t="s">
        <v>1243</v>
      </c>
      <c r="G525" t="s">
        <v>1244</v>
      </c>
      <c r="H525">
        <v>526</v>
      </c>
      <c r="I525" t="s">
        <v>29</v>
      </c>
      <c r="J525" s="3" t="str">
        <f>IF(ISNUMBER(SEARCH(",Action,",","&amp;SUBSTITUTE(TableMain[[#This Row],[Tags]],", ",",")&amp;",")),"Y","N")</f>
        <v>Y</v>
      </c>
      <c r="K525" s="3" t="str">
        <f>IF(ISNUMBER(SEARCH(",Indie,",","&amp;SUBSTITUTE(TableMain[[#This Row],[Tags]],", ",",")&amp;",")),"Y","N")</f>
        <v>Y</v>
      </c>
      <c r="L525" s="3" t="str">
        <f>IF(ISNUMBER(SEARCH(",Adventure,",","&amp;SUBSTITUTE(TableMain[[#This Row],[Tags]],", ",",")&amp;",")),"Y","N")</f>
        <v>Y</v>
      </c>
      <c r="M525" s="3" t="str">
        <f>IF(ISNUMBER(SEARCH(",Simulation,",","&amp;SUBSTITUTE(TableMain[[#This Row],[Tags]],", ",",")&amp;",")),"Y","N")</f>
        <v>Y</v>
      </c>
      <c r="N525" s="3" t="str">
        <f>IF(ISNUMBER(SEARCH(",RPG,",","&amp;SUBSTITUTE(TableMain[[#This Row],[Tags]],", ",",")&amp;",")),"Y","N")</f>
        <v>N</v>
      </c>
      <c r="O525" s="3" t="str">
        <f>IF(ISNUMBER(SEARCH(",Strategy,",","&amp;SUBSTITUTE(TableMain[[#This Row],[Tags]],", ",",")&amp;",")),"Y","N")</f>
        <v>N</v>
      </c>
      <c r="P525" s="3" t="str">
        <f>IF(ISNUMBER(SEARCH(",Free To Play,",","&amp;SUBSTITUTE(TableMain[[#This Row],[Tags]],", ",",")&amp;",")),"Y","N")</f>
        <v>N</v>
      </c>
    </row>
    <row r="526" spans="1:16" x14ac:dyDescent="0.35">
      <c r="A526">
        <v>362890</v>
      </c>
      <c r="B526" t="s">
        <v>1245</v>
      </c>
      <c r="C526" s="1">
        <v>43896</v>
      </c>
      <c r="D526">
        <v>907</v>
      </c>
      <c r="E526" t="b">
        <v>0</v>
      </c>
      <c r="F526" t="s">
        <v>1246</v>
      </c>
      <c r="G526" t="s">
        <v>446</v>
      </c>
      <c r="H526">
        <v>527</v>
      </c>
      <c r="I526" t="s">
        <v>33</v>
      </c>
      <c r="J526" s="3" t="str">
        <f>IF(ISNUMBER(SEARCH(",Action,",","&amp;SUBSTITUTE(TableMain[[#This Row],[Tags]],", ",",")&amp;",")),"Y","N")</f>
        <v>Y</v>
      </c>
      <c r="K526" s="3" t="str">
        <f>IF(ISNUMBER(SEARCH(",Indie,",","&amp;SUBSTITUTE(TableMain[[#This Row],[Tags]],", ",",")&amp;",")),"Y","N")</f>
        <v>Y</v>
      </c>
      <c r="L526" s="3" t="str">
        <f>IF(ISNUMBER(SEARCH(",Adventure,",","&amp;SUBSTITUTE(TableMain[[#This Row],[Tags]],", ",",")&amp;",")),"Y","N")</f>
        <v>Y</v>
      </c>
      <c r="M526" s="3" t="str">
        <f>IF(ISNUMBER(SEARCH(",Simulation,",","&amp;SUBSTITUTE(TableMain[[#This Row],[Tags]],", ",",")&amp;",")),"Y","N")</f>
        <v>N</v>
      </c>
      <c r="N526" s="3" t="str">
        <f>IF(ISNUMBER(SEARCH(",RPG,",","&amp;SUBSTITUTE(TableMain[[#This Row],[Tags]],", ",",")&amp;",")),"Y","N")</f>
        <v>N</v>
      </c>
      <c r="O526" s="3" t="str">
        <f>IF(ISNUMBER(SEARCH(",Strategy,",","&amp;SUBSTITUTE(TableMain[[#This Row],[Tags]],", ",",")&amp;",")),"Y","N")</f>
        <v>N</v>
      </c>
      <c r="P526" s="3" t="str">
        <f>IF(ISNUMBER(SEARCH(",Free To Play,",","&amp;SUBSTITUTE(TableMain[[#This Row],[Tags]],", ",",")&amp;",")),"Y","N")</f>
        <v>N</v>
      </c>
    </row>
    <row r="527" spans="1:16" x14ac:dyDescent="0.35">
      <c r="A527">
        <v>585420</v>
      </c>
      <c r="B527" t="s">
        <v>1247</v>
      </c>
      <c r="C527" s="1">
        <v>43726</v>
      </c>
      <c r="D527">
        <v>903</v>
      </c>
      <c r="E527" t="b">
        <v>0</v>
      </c>
      <c r="F527" t="s">
        <v>1248</v>
      </c>
      <c r="G527" t="s">
        <v>1249</v>
      </c>
      <c r="H527">
        <v>528</v>
      </c>
      <c r="I527" t="s">
        <v>371</v>
      </c>
      <c r="J527" s="3" t="str">
        <f>IF(ISNUMBER(SEARCH(",Action,",","&amp;SUBSTITUTE(TableMain[[#This Row],[Tags]],", ",",")&amp;",")),"Y","N")</f>
        <v>Y</v>
      </c>
      <c r="K527" s="3" t="str">
        <f>IF(ISNUMBER(SEARCH(",Indie,",","&amp;SUBSTITUTE(TableMain[[#This Row],[Tags]],", ",",")&amp;",")),"Y","N")</f>
        <v>Y</v>
      </c>
      <c r="L527" s="3" t="str">
        <f>IF(ISNUMBER(SEARCH(",Adventure,",","&amp;SUBSTITUTE(TableMain[[#This Row],[Tags]],", ",",")&amp;",")),"Y","N")</f>
        <v>Y</v>
      </c>
      <c r="M527" s="3" t="str">
        <f>IF(ISNUMBER(SEARCH(",Simulation,",","&amp;SUBSTITUTE(TableMain[[#This Row],[Tags]],", ",",")&amp;",")),"Y","N")</f>
        <v>Y</v>
      </c>
      <c r="N527" s="3" t="str">
        <f>IF(ISNUMBER(SEARCH(",RPG,",","&amp;SUBSTITUTE(TableMain[[#This Row],[Tags]],", ",",")&amp;",")),"Y","N")</f>
        <v>N</v>
      </c>
      <c r="O527" s="3" t="str">
        <f>IF(ISNUMBER(SEARCH(",Strategy,",","&amp;SUBSTITUTE(TableMain[[#This Row],[Tags]],", ",",")&amp;",")),"Y","N")</f>
        <v>N</v>
      </c>
      <c r="P527" s="3" t="str">
        <f>IF(ISNUMBER(SEARCH(",Free To Play,",","&amp;SUBSTITUTE(TableMain[[#This Row],[Tags]],", ",",")&amp;",")),"Y","N")</f>
        <v>N</v>
      </c>
    </row>
    <row r="528" spans="1:16" x14ac:dyDescent="0.35">
      <c r="A528">
        <v>211820</v>
      </c>
      <c r="B528" t="s">
        <v>1250</v>
      </c>
      <c r="C528" s="1">
        <v>42573</v>
      </c>
      <c r="D528">
        <v>894</v>
      </c>
      <c r="E528" t="b">
        <v>1</v>
      </c>
      <c r="F528" t="s">
        <v>1251</v>
      </c>
      <c r="G528" t="s">
        <v>1252</v>
      </c>
      <c r="H528">
        <v>529</v>
      </c>
      <c r="I528" t="s">
        <v>110</v>
      </c>
      <c r="J528" s="3" t="str">
        <f>IF(ISNUMBER(SEARCH(",Action,",","&amp;SUBSTITUTE(TableMain[[#This Row],[Tags]],", ",",")&amp;",")),"Y","N")</f>
        <v>Y</v>
      </c>
      <c r="K528" s="3" t="str">
        <f>IF(ISNUMBER(SEARCH(",Indie,",","&amp;SUBSTITUTE(TableMain[[#This Row],[Tags]],", ",",")&amp;",")),"Y","N")</f>
        <v>Y</v>
      </c>
      <c r="L528" s="3" t="str">
        <f>IF(ISNUMBER(SEARCH(",Adventure,",","&amp;SUBSTITUTE(TableMain[[#This Row],[Tags]],", ",",")&amp;",")),"Y","N")</f>
        <v>Y</v>
      </c>
      <c r="M528" s="3" t="str">
        <f>IF(ISNUMBER(SEARCH(",Simulation,",","&amp;SUBSTITUTE(TableMain[[#This Row],[Tags]],", ",",")&amp;",")),"Y","N")</f>
        <v>N</v>
      </c>
      <c r="N528" s="3" t="str">
        <f>IF(ISNUMBER(SEARCH(",RPG,",","&amp;SUBSTITUTE(TableMain[[#This Row],[Tags]],", ",",")&amp;",")),"Y","N")</f>
        <v>Y</v>
      </c>
      <c r="O528" s="3" t="str">
        <f>IF(ISNUMBER(SEARCH(",Strategy,",","&amp;SUBSTITUTE(TableMain[[#This Row],[Tags]],", ",",")&amp;",")),"Y","N")</f>
        <v>N</v>
      </c>
      <c r="P528" s="3" t="str">
        <f>IF(ISNUMBER(SEARCH(",Free To Play,",","&amp;SUBSTITUTE(TableMain[[#This Row],[Tags]],", ",",")&amp;",")),"Y","N")</f>
        <v>N</v>
      </c>
    </row>
    <row r="529" spans="1:16" x14ac:dyDescent="0.35">
      <c r="A529">
        <v>459820</v>
      </c>
      <c r="B529" t="s">
        <v>1253</v>
      </c>
      <c r="C529" s="1">
        <v>42661</v>
      </c>
      <c r="D529">
        <v>892</v>
      </c>
      <c r="E529" t="b">
        <v>1</v>
      </c>
      <c r="F529" t="s">
        <v>1254</v>
      </c>
      <c r="G529" t="s">
        <v>871</v>
      </c>
      <c r="H529">
        <v>530</v>
      </c>
      <c r="I529" t="s">
        <v>2084</v>
      </c>
      <c r="J529" s="3" t="str">
        <f>IF(ISNUMBER(SEARCH(",Action,",","&amp;SUBSTITUTE(TableMain[[#This Row],[Tags]],", ",",")&amp;",")),"Y","N")</f>
        <v>N</v>
      </c>
      <c r="K529" s="3" t="str">
        <f>IF(ISNUMBER(SEARCH(",Indie,",","&amp;SUBSTITUTE(TableMain[[#This Row],[Tags]],", ",",")&amp;",")),"Y","N")</f>
        <v>Y</v>
      </c>
      <c r="L529" s="3" t="str">
        <f>IF(ISNUMBER(SEARCH(",Adventure,",","&amp;SUBSTITUTE(TableMain[[#This Row],[Tags]],", ",",")&amp;",")),"Y","N")</f>
        <v>N</v>
      </c>
      <c r="M529" s="3" t="str">
        <f>IF(ISNUMBER(SEARCH(",Simulation,",","&amp;SUBSTITUTE(TableMain[[#This Row],[Tags]],", ",",")&amp;",")),"Y","N")</f>
        <v>N</v>
      </c>
      <c r="N529" s="3" t="str">
        <f>IF(ISNUMBER(SEARCH(",RPG,",","&amp;SUBSTITUTE(TableMain[[#This Row],[Tags]],", ",",")&amp;",")),"Y","N")</f>
        <v>N</v>
      </c>
      <c r="O529" s="3" t="str">
        <f>IF(ISNUMBER(SEARCH(",Strategy,",","&amp;SUBSTITUTE(TableMain[[#This Row],[Tags]],", ",",")&amp;",")),"Y","N")</f>
        <v>N</v>
      </c>
      <c r="P529" s="3" t="str">
        <f>IF(ISNUMBER(SEARCH(",Free To Play,",","&amp;SUBSTITUTE(TableMain[[#This Row],[Tags]],", ",",")&amp;",")),"Y","N")</f>
        <v>Y</v>
      </c>
    </row>
    <row r="530" spans="1:16" x14ac:dyDescent="0.35">
      <c r="A530">
        <v>2552430</v>
      </c>
      <c r="B530" t="s">
        <v>1255</v>
      </c>
      <c r="C530" s="1">
        <v>45456</v>
      </c>
      <c r="D530">
        <v>886</v>
      </c>
      <c r="E530" t="b">
        <v>0</v>
      </c>
      <c r="F530" t="s">
        <v>416</v>
      </c>
      <c r="G530" t="s">
        <v>208</v>
      </c>
      <c r="H530">
        <v>531</v>
      </c>
      <c r="I530" t="s">
        <v>2082</v>
      </c>
      <c r="J530" s="3" t="str">
        <f>IF(ISNUMBER(SEARCH(",Action,",","&amp;SUBSTITUTE(TableMain[[#This Row],[Tags]],", ",",")&amp;",")),"Y","N")</f>
        <v>Y</v>
      </c>
      <c r="K530" s="3" t="str">
        <f>IF(ISNUMBER(SEARCH(",Indie,",","&amp;SUBSTITUTE(TableMain[[#This Row],[Tags]],", ",",")&amp;",")),"Y","N")</f>
        <v>N</v>
      </c>
      <c r="L530" s="3" t="str">
        <f>IF(ISNUMBER(SEARCH(",Adventure,",","&amp;SUBSTITUTE(TableMain[[#This Row],[Tags]],", ",",")&amp;",")),"Y","N")</f>
        <v>Y</v>
      </c>
      <c r="M530" s="3" t="str">
        <f>IF(ISNUMBER(SEARCH(",Simulation,",","&amp;SUBSTITUTE(TableMain[[#This Row],[Tags]],", ",",")&amp;",")),"Y","N")</f>
        <v>N</v>
      </c>
      <c r="N530" s="3" t="str">
        <f>IF(ISNUMBER(SEARCH(",RPG,",","&amp;SUBSTITUTE(TableMain[[#This Row],[Tags]],", ",",")&amp;",")),"Y","N")</f>
        <v>Y</v>
      </c>
      <c r="O530" s="3" t="str">
        <f>IF(ISNUMBER(SEARCH(",Strategy,",","&amp;SUBSTITUTE(TableMain[[#This Row],[Tags]],", ",",")&amp;",")),"Y","N")</f>
        <v>N</v>
      </c>
      <c r="P530" s="3" t="str">
        <f>IF(ISNUMBER(SEARCH(",Free To Play,",","&amp;SUBSTITUTE(TableMain[[#This Row],[Tags]],", ",",")&amp;",")),"Y","N")</f>
        <v>N</v>
      </c>
    </row>
    <row r="531" spans="1:16" x14ac:dyDescent="0.35">
      <c r="A531">
        <v>3107230</v>
      </c>
      <c r="B531" t="s">
        <v>1256</v>
      </c>
      <c r="C531" s="1">
        <v>45639</v>
      </c>
      <c r="D531">
        <v>876</v>
      </c>
      <c r="E531" t="b">
        <v>0</v>
      </c>
      <c r="F531" t="s">
        <v>1257</v>
      </c>
      <c r="G531" t="s">
        <v>1258</v>
      </c>
      <c r="H531">
        <v>532</v>
      </c>
      <c r="I531" t="s">
        <v>36</v>
      </c>
      <c r="J531" s="3" t="str">
        <f>IF(ISNUMBER(SEARCH(",Action,",","&amp;SUBSTITUTE(TableMain[[#This Row],[Tags]],", ",",")&amp;",")),"Y","N")</f>
        <v>N</v>
      </c>
      <c r="K531" s="3" t="str">
        <f>IF(ISNUMBER(SEARCH(",Indie,",","&amp;SUBSTITUTE(TableMain[[#This Row],[Tags]],", ",",")&amp;",")),"Y","N")</f>
        <v>Y</v>
      </c>
      <c r="L531" s="3" t="str">
        <f>IF(ISNUMBER(SEARCH(",Adventure,",","&amp;SUBSTITUTE(TableMain[[#This Row],[Tags]],", ",",")&amp;",")),"Y","N")</f>
        <v>Y</v>
      </c>
      <c r="M531" s="3" t="str">
        <f>IF(ISNUMBER(SEARCH(",Simulation,",","&amp;SUBSTITUTE(TableMain[[#This Row],[Tags]],", ",",")&amp;",")),"Y","N")</f>
        <v>N</v>
      </c>
      <c r="N531" s="3" t="str">
        <f>IF(ISNUMBER(SEARCH(",RPG,",","&amp;SUBSTITUTE(TableMain[[#This Row],[Tags]],", ",",")&amp;",")),"Y","N")</f>
        <v>Y</v>
      </c>
      <c r="O531" s="3" t="str">
        <f>IF(ISNUMBER(SEARCH(",Strategy,",","&amp;SUBSTITUTE(TableMain[[#This Row],[Tags]],", ",",")&amp;",")),"Y","N")</f>
        <v>N</v>
      </c>
      <c r="P531" s="3" t="str">
        <f>IF(ISNUMBER(SEARCH(",Free To Play,",","&amp;SUBSTITUTE(TableMain[[#This Row],[Tags]],", ",",")&amp;",")),"Y","N")</f>
        <v>N</v>
      </c>
    </row>
    <row r="532" spans="1:16" x14ac:dyDescent="0.35">
      <c r="A532">
        <v>1611600</v>
      </c>
      <c r="B532" t="s">
        <v>1259</v>
      </c>
      <c r="C532" s="1">
        <v>45435</v>
      </c>
      <c r="D532">
        <v>873</v>
      </c>
      <c r="E532" t="b">
        <v>0</v>
      </c>
      <c r="F532" t="s">
        <v>1260</v>
      </c>
      <c r="G532" t="s">
        <v>498</v>
      </c>
      <c r="H532">
        <v>533</v>
      </c>
      <c r="I532" t="s">
        <v>53</v>
      </c>
      <c r="J532" s="3" t="str">
        <f>IF(ISNUMBER(SEARCH(",Action,",","&amp;SUBSTITUTE(TableMain[[#This Row],[Tags]],", ",",")&amp;",")),"Y","N")</f>
        <v>Y</v>
      </c>
      <c r="K532" s="3" t="str">
        <f>IF(ISNUMBER(SEARCH(",Indie,",","&amp;SUBSTITUTE(TableMain[[#This Row],[Tags]],", ",",")&amp;",")),"Y","N")</f>
        <v>Y</v>
      </c>
      <c r="L532" s="3" t="str">
        <f>IF(ISNUMBER(SEARCH(",Adventure,",","&amp;SUBSTITUTE(TableMain[[#This Row],[Tags]],", ",",")&amp;",")),"Y","N")</f>
        <v>N</v>
      </c>
      <c r="M532" s="3" t="str">
        <f>IF(ISNUMBER(SEARCH(",Simulation,",","&amp;SUBSTITUTE(TableMain[[#This Row],[Tags]],", ",",")&amp;",")),"Y","N")</f>
        <v>Y</v>
      </c>
      <c r="N532" s="3" t="str">
        <f>IF(ISNUMBER(SEARCH(",RPG,",","&amp;SUBSTITUTE(TableMain[[#This Row],[Tags]],", ",",")&amp;",")),"Y","N")</f>
        <v>N</v>
      </c>
      <c r="O532" s="3" t="str">
        <f>IF(ISNUMBER(SEARCH(",Strategy,",","&amp;SUBSTITUTE(TableMain[[#This Row],[Tags]],", ",",")&amp;",")),"Y","N")</f>
        <v>Y</v>
      </c>
      <c r="P532" s="3" t="str">
        <f>IF(ISNUMBER(SEARCH(",Free To Play,",","&amp;SUBSTITUTE(TableMain[[#This Row],[Tags]],", ",",")&amp;",")),"Y","N")</f>
        <v>N</v>
      </c>
    </row>
    <row r="533" spans="1:16" x14ac:dyDescent="0.35">
      <c r="A533">
        <v>646910</v>
      </c>
      <c r="B533" t="s">
        <v>1261</v>
      </c>
      <c r="C533" s="1">
        <v>43279</v>
      </c>
      <c r="D533">
        <v>873</v>
      </c>
      <c r="E533" t="b">
        <v>0</v>
      </c>
      <c r="F533" t="s">
        <v>1262</v>
      </c>
      <c r="G533" t="s">
        <v>1263</v>
      </c>
      <c r="H533">
        <v>533</v>
      </c>
      <c r="I533" t="s">
        <v>53</v>
      </c>
      <c r="J533" s="3" t="str">
        <f>IF(ISNUMBER(SEARCH(",Action,",","&amp;SUBSTITUTE(TableMain[[#This Row],[Tags]],", ",",")&amp;",")),"Y","N")</f>
        <v>Y</v>
      </c>
      <c r="K533" s="3" t="str">
        <f>IF(ISNUMBER(SEARCH(",Indie,",","&amp;SUBSTITUTE(TableMain[[#This Row],[Tags]],", ",",")&amp;",")),"Y","N")</f>
        <v>N</v>
      </c>
      <c r="L533" s="3" t="str">
        <f>IF(ISNUMBER(SEARCH(",Adventure,",","&amp;SUBSTITUTE(TableMain[[#This Row],[Tags]],", ",",")&amp;",")),"Y","N")</f>
        <v>N</v>
      </c>
      <c r="M533" s="3" t="str">
        <f>IF(ISNUMBER(SEARCH(",Simulation,",","&amp;SUBSTITUTE(TableMain[[#This Row],[Tags]],", ",",")&amp;",")),"Y","N")</f>
        <v>N</v>
      </c>
      <c r="N533" s="3" t="str">
        <f>IF(ISNUMBER(SEARCH(",RPG,",","&amp;SUBSTITUTE(TableMain[[#This Row],[Tags]],", ",",")&amp;",")),"Y","N")</f>
        <v>N</v>
      </c>
      <c r="O533" s="3" t="str">
        <f>IF(ISNUMBER(SEARCH(",Strategy,",","&amp;SUBSTITUTE(TableMain[[#This Row],[Tags]],", ",",")&amp;",")),"Y","N")</f>
        <v>N</v>
      </c>
      <c r="P533" s="3" t="str">
        <f>IF(ISNUMBER(SEARCH(",Free To Play,",","&amp;SUBSTITUTE(TableMain[[#This Row],[Tags]],", ",",")&amp;",")),"Y","N")</f>
        <v>N</v>
      </c>
    </row>
    <row r="534" spans="1:16" x14ac:dyDescent="0.35">
      <c r="A534">
        <v>926990</v>
      </c>
      <c r="B534" t="s">
        <v>1264</v>
      </c>
      <c r="C534" s="1">
        <v>45860</v>
      </c>
      <c r="D534">
        <v>869</v>
      </c>
      <c r="E534" t="b">
        <v>1</v>
      </c>
      <c r="F534" t="s">
        <v>756</v>
      </c>
      <c r="G534" t="s">
        <v>1044</v>
      </c>
      <c r="H534">
        <v>535</v>
      </c>
      <c r="I534" t="s">
        <v>29</v>
      </c>
      <c r="J534" s="3" t="str">
        <f>IF(ISNUMBER(SEARCH(",Action,",","&amp;SUBSTITUTE(TableMain[[#This Row],[Tags]],", ",",")&amp;",")),"Y","N")</f>
        <v>Y</v>
      </c>
      <c r="K534" s="3" t="str">
        <f>IF(ISNUMBER(SEARCH(",Indie,",","&amp;SUBSTITUTE(TableMain[[#This Row],[Tags]],", ",",")&amp;",")),"Y","N")</f>
        <v>N</v>
      </c>
      <c r="L534" s="3" t="str">
        <f>IF(ISNUMBER(SEARCH(",Adventure,",","&amp;SUBSTITUTE(TableMain[[#This Row],[Tags]],", ",",")&amp;",")),"Y","N")</f>
        <v>N</v>
      </c>
      <c r="M534" s="3" t="str">
        <f>IF(ISNUMBER(SEARCH(",Simulation,",","&amp;SUBSTITUTE(TableMain[[#This Row],[Tags]],", ",",")&amp;",")),"Y","N")</f>
        <v>Y</v>
      </c>
      <c r="N534" s="3" t="str">
        <f>IF(ISNUMBER(SEARCH(",RPG,",","&amp;SUBSTITUTE(TableMain[[#This Row],[Tags]],", ",",")&amp;",")),"Y","N")</f>
        <v>Y</v>
      </c>
      <c r="O534" s="3" t="str">
        <f>IF(ISNUMBER(SEARCH(",Strategy,",","&amp;SUBSTITUTE(TableMain[[#This Row],[Tags]],", ",",")&amp;",")),"Y","N")</f>
        <v>N</v>
      </c>
      <c r="P534" s="3" t="str">
        <f>IF(ISNUMBER(SEARCH(",Free To Play,",","&amp;SUBSTITUTE(TableMain[[#This Row],[Tags]],", ",",")&amp;",")),"Y","N")</f>
        <v>N</v>
      </c>
    </row>
    <row r="535" spans="1:16" x14ac:dyDescent="0.35">
      <c r="A535">
        <v>360430</v>
      </c>
      <c r="B535" t="s">
        <v>1265</v>
      </c>
      <c r="C535" s="1">
        <v>43970</v>
      </c>
      <c r="D535">
        <v>869</v>
      </c>
      <c r="E535" t="b">
        <v>1</v>
      </c>
      <c r="F535" t="s">
        <v>364</v>
      </c>
      <c r="G535" t="s">
        <v>46</v>
      </c>
      <c r="H535">
        <v>535</v>
      </c>
      <c r="I535" t="s">
        <v>133</v>
      </c>
      <c r="J535" s="3" t="str">
        <f>IF(ISNUMBER(SEARCH(",Action,",","&amp;SUBSTITUTE(TableMain[[#This Row],[Tags]],", ",",")&amp;",")),"Y","N")</f>
        <v>Y</v>
      </c>
      <c r="K535" s="3" t="str">
        <f>IF(ISNUMBER(SEARCH(",Indie,",","&amp;SUBSTITUTE(TableMain[[#This Row],[Tags]],", ",",")&amp;",")),"Y","N")</f>
        <v>N</v>
      </c>
      <c r="L535" s="3" t="str">
        <f>IF(ISNUMBER(SEARCH(",Adventure,",","&amp;SUBSTITUTE(TableMain[[#This Row],[Tags]],", ",",")&amp;",")),"Y","N")</f>
        <v>Y</v>
      </c>
      <c r="M535" s="3" t="str">
        <f>IF(ISNUMBER(SEARCH(",Simulation,",","&amp;SUBSTITUTE(TableMain[[#This Row],[Tags]],", ",",")&amp;",")),"Y","N")</f>
        <v>N</v>
      </c>
      <c r="N535" s="3" t="str">
        <f>IF(ISNUMBER(SEARCH(",RPG,",","&amp;SUBSTITUTE(TableMain[[#This Row],[Tags]],", ",",")&amp;",")),"Y","N")</f>
        <v>N</v>
      </c>
      <c r="O535" s="3" t="str">
        <f>IF(ISNUMBER(SEARCH(",Strategy,",","&amp;SUBSTITUTE(TableMain[[#This Row],[Tags]],", ",",")&amp;",")),"Y","N")</f>
        <v>N</v>
      </c>
      <c r="P535" s="3" t="str">
        <f>IF(ISNUMBER(SEARCH(",Free To Play,",","&amp;SUBSTITUTE(TableMain[[#This Row],[Tags]],", ",",")&amp;",")),"Y","N")</f>
        <v>N</v>
      </c>
    </row>
    <row r="536" spans="1:16" x14ac:dyDescent="0.35">
      <c r="A536">
        <v>1286680</v>
      </c>
      <c r="B536" t="s">
        <v>1266</v>
      </c>
      <c r="C536" s="1">
        <v>44735</v>
      </c>
      <c r="D536">
        <v>866</v>
      </c>
      <c r="E536" t="b">
        <v>0</v>
      </c>
      <c r="F536" t="s">
        <v>1267</v>
      </c>
      <c r="G536" t="s">
        <v>208</v>
      </c>
      <c r="H536">
        <v>537</v>
      </c>
      <c r="I536" t="s">
        <v>593</v>
      </c>
      <c r="J536" s="3" t="str">
        <f>IF(ISNUMBER(SEARCH(",Action,",","&amp;SUBSTITUTE(TableMain[[#This Row],[Tags]],", ",",")&amp;",")),"Y","N")</f>
        <v>Y</v>
      </c>
      <c r="K536" s="3" t="str">
        <f>IF(ISNUMBER(SEARCH(",Indie,",","&amp;SUBSTITUTE(TableMain[[#This Row],[Tags]],", ",",")&amp;",")),"Y","N")</f>
        <v>N</v>
      </c>
      <c r="L536" s="3" t="str">
        <f>IF(ISNUMBER(SEARCH(",Adventure,",","&amp;SUBSTITUTE(TableMain[[#This Row],[Tags]],", ",",")&amp;",")),"Y","N")</f>
        <v>Y</v>
      </c>
      <c r="M536" s="3" t="str">
        <f>IF(ISNUMBER(SEARCH(",Simulation,",","&amp;SUBSTITUTE(TableMain[[#This Row],[Tags]],", ",",")&amp;",")),"Y","N")</f>
        <v>N</v>
      </c>
      <c r="N536" s="3" t="str">
        <f>IF(ISNUMBER(SEARCH(",RPG,",","&amp;SUBSTITUTE(TableMain[[#This Row],[Tags]],", ",",")&amp;",")),"Y","N")</f>
        <v>Y</v>
      </c>
      <c r="O536" s="3" t="str">
        <f>IF(ISNUMBER(SEARCH(",Strategy,",","&amp;SUBSTITUTE(TableMain[[#This Row],[Tags]],", ",",")&amp;",")),"Y","N")</f>
        <v>N</v>
      </c>
      <c r="P536" s="3" t="str">
        <f>IF(ISNUMBER(SEARCH(",Free To Play,",","&amp;SUBSTITUTE(TableMain[[#This Row],[Tags]],", ",",")&amp;",")),"Y","N")</f>
        <v>N</v>
      </c>
    </row>
    <row r="537" spans="1:16" x14ac:dyDescent="0.35">
      <c r="A537">
        <v>228200</v>
      </c>
      <c r="B537" t="s">
        <v>1268</v>
      </c>
      <c r="C537" s="1">
        <v>38971</v>
      </c>
      <c r="D537">
        <v>864</v>
      </c>
      <c r="E537" t="b">
        <v>0</v>
      </c>
      <c r="F537" t="s">
        <v>1269</v>
      </c>
      <c r="G537" t="s">
        <v>183</v>
      </c>
      <c r="H537">
        <v>538</v>
      </c>
      <c r="I537" t="s">
        <v>2083</v>
      </c>
      <c r="J537" s="3" t="str">
        <f>IF(ISNUMBER(SEARCH(",Action,",","&amp;SUBSTITUTE(TableMain[[#This Row],[Tags]],", ",",")&amp;",")),"Y","N")</f>
        <v>Y</v>
      </c>
      <c r="K537" s="3" t="str">
        <f>IF(ISNUMBER(SEARCH(",Indie,",","&amp;SUBSTITUTE(TableMain[[#This Row],[Tags]],", ",",")&amp;",")),"Y","N")</f>
        <v>N</v>
      </c>
      <c r="L537" s="3" t="str">
        <f>IF(ISNUMBER(SEARCH(",Adventure,",","&amp;SUBSTITUTE(TableMain[[#This Row],[Tags]],", ",",")&amp;",")),"Y","N")</f>
        <v>N</v>
      </c>
      <c r="M537" s="3" t="str">
        <f>IF(ISNUMBER(SEARCH(",Simulation,",","&amp;SUBSTITUTE(TableMain[[#This Row],[Tags]],", ",",")&amp;",")),"Y","N")</f>
        <v>N</v>
      </c>
      <c r="N537" s="3" t="str">
        <f>IF(ISNUMBER(SEARCH(",RPG,",","&amp;SUBSTITUTE(TableMain[[#This Row],[Tags]],", ",",")&amp;",")),"Y","N")</f>
        <v>N</v>
      </c>
      <c r="O537" s="3" t="str">
        <f>IF(ISNUMBER(SEARCH(",Strategy,",","&amp;SUBSTITUTE(TableMain[[#This Row],[Tags]],", ",",")&amp;",")),"Y","N")</f>
        <v>Y</v>
      </c>
      <c r="P537" s="3" t="str">
        <f>IF(ISNUMBER(SEARCH(",Free To Play,",","&amp;SUBSTITUTE(TableMain[[#This Row],[Tags]],", ",",")&amp;",")),"Y","N")</f>
        <v>N</v>
      </c>
    </row>
    <row r="538" spans="1:16" x14ac:dyDescent="0.35">
      <c r="A538">
        <v>447040</v>
      </c>
      <c r="B538" t="s">
        <v>1270</v>
      </c>
      <c r="C538" s="1">
        <v>42702</v>
      </c>
      <c r="D538">
        <v>863</v>
      </c>
      <c r="E538" t="b">
        <v>0</v>
      </c>
      <c r="F538" t="s">
        <v>1271</v>
      </c>
      <c r="G538" t="s">
        <v>46</v>
      </c>
      <c r="H538">
        <v>539</v>
      </c>
      <c r="I538" t="s">
        <v>133</v>
      </c>
      <c r="J538" s="3" t="str">
        <f>IF(ISNUMBER(SEARCH(",Action,",","&amp;SUBSTITUTE(TableMain[[#This Row],[Tags]],", ",",")&amp;",")),"Y","N")</f>
        <v>Y</v>
      </c>
      <c r="K538" s="3" t="str">
        <f>IF(ISNUMBER(SEARCH(",Indie,",","&amp;SUBSTITUTE(TableMain[[#This Row],[Tags]],", ",",")&amp;",")),"Y","N")</f>
        <v>N</v>
      </c>
      <c r="L538" s="3" t="str">
        <f>IF(ISNUMBER(SEARCH(",Adventure,",","&amp;SUBSTITUTE(TableMain[[#This Row],[Tags]],", ",",")&amp;",")),"Y","N")</f>
        <v>Y</v>
      </c>
      <c r="M538" s="3" t="str">
        <f>IF(ISNUMBER(SEARCH(",Simulation,",","&amp;SUBSTITUTE(TableMain[[#This Row],[Tags]],", ",",")&amp;",")),"Y","N")</f>
        <v>N</v>
      </c>
      <c r="N538" s="3" t="str">
        <f>IF(ISNUMBER(SEARCH(",RPG,",","&amp;SUBSTITUTE(TableMain[[#This Row],[Tags]],", ",",")&amp;",")),"Y","N")</f>
        <v>N</v>
      </c>
      <c r="O538" s="3" t="str">
        <f>IF(ISNUMBER(SEARCH(",Strategy,",","&amp;SUBSTITUTE(TableMain[[#This Row],[Tags]],", ",",")&amp;",")),"Y","N")</f>
        <v>N</v>
      </c>
      <c r="P538" s="3" t="str">
        <f>IF(ISNUMBER(SEARCH(",Free To Play,",","&amp;SUBSTITUTE(TableMain[[#This Row],[Tags]],", ",",")&amp;",")),"Y","N")</f>
        <v>N</v>
      </c>
    </row>
    <row r="539" spans="1:16" x14ac:dyDescent="0.35">
      <c r="A539">
        <v>433340</v>
      </c>
      <c r="B539" t="s">
        <v>1272</v>
      </c>
      <c r="C539" s="1">
        <v>42948</v>
      </c>
      <c r="D539">
        <v>858</v>
      </c>
      <c r="E539" t="b">
        <v>1</v>
      </c>
      <c r="F539" t="s">
        <v>445</v>
      </c>
      <c r="G539" t="s">
        <v>476</v>
      </c>
      <c r="H539">
        <v>540</v>
      </c>
      <c r="I539" t="s">
        <v>110</v>
      </c>
      <c r="J539" s="3" t="str">
        <f>IF(ISNUMBER(SEARCH(",Action,",","&amp;SUBSTITUTE(TableMain[[#This Row],[Tags]],", ",",")&amp;",")),"Y","N")</f>
        <v>Y</v>
      </c>
      <c r="K539" s="3" t="str">
        <f>IF(ISNUMBER(SEARCH(",Indie,",","&amp;SUBSTITUTE(TableMain[[#This Row],[Tags]],", ",",")&amp;",")),"Y","N")</f>
        <v>Y</v>
      </c>
      <c r="L539" s="3" t="str">
        <f>IF(ISNUMBER(SEARCH(",Adventure,",","&amp;SUBSTITUTE(TableMain[[#This Row],[Tags]],", ",",")&amp;",")),"Y","N")</f>
        <v>Y</v>
      </c>
      <c r="M539" s="3" t="str">
        <f>IF(ISNUMBER(SEARCH(",Simulation,",","&amp;SUBSTITUTE(TableMain[[#This Row],[Tags]],", ",",")&amp;",")),"Y","N")</f>
        <v>Y</v>
      </c>
      <c r="N539" s="3" t="str">
        <f>IF(ISNUMBER(SEARCH(",RPG,",","&amp;SUBSTITUTE(TableMain[[#This Row],[Tags]],", ",",")&amp;",")),"Y","N")</f>
        <v>N</v>
      </c>
      <c r="O539" s="3" t="str">
        <f>IF(ISNUMBER(SEARCH(",Strategy,",","&amp;SUBSTITUTE(TableMain[[#This Row],[Tags]],", ",",")&amp;",")),"Y","N")</f>
        <v>N</v>
      </c>
      <c r="P539" s="3" t="str">
        <f>IF(ISNUMBER(SEARCH(",Free To Play,",","&amp;SUBSTITUTE(TableMain[[#This Row],[Tags]],", ",",")&amp;",")),"Y","N")</f>
        <v>N</v>
      </c>
    </row>
    <row r="540" spans="1:16" x14ac:dyDescent="0.35">
      <c r="A540">
        <v>1922560</v>
      </c>
      <c r="B540" t="s">
        <v>1273</v>
      </c>
      <c r="C540" s="1">
        <v>44697</v>
      </c>
      <c r="D540">
        <v>855</v>
      </c>
      <c r="E540" t="b">
        <v>0</v>
      </c>
      <c r="F540" t="s">
        <v>1274</v>
      </c>
      <c r="G540" t="s">
        <v>1275</v>
      </c>
      <c r="H540">
        <v>541</v>
      </c>
      <c r="I540" t="s">
        <v>68</v>
      </c>
      <c r="J540" s="3" t="str">
        <f>IF(ISNUMBER(SEARCH(",Action,",","&amp;SUBSTITUTE(TableMain[[#This Row],[Tags]],", ",",")&amp;",")),"Y","N")</f>
        <v>Y</v>
      </c>
      <c r="K540" s="3" t="str">
        <f>IF(ISNUMBER(SEARCH(",Indie,",","&amp;SUBSTITUTE(TableMain[[#This Row],[Tags]],", ",",")&amp;",")),"Y","N")</f>
        <v>N</v>
      </c>
      <c r="L540" s="3" t="str">
        <f>IF(ISNUMBER(SEARCH(",Adventure,",","&amp;SUBSTITUTE(TableMain[[#This Row],[Tags]],", ",",")&amp;",")),"Y","N")</f>
        <v>N</v>
      </c>
      <c r="M540" s="3" t="str">
        <f>IF(ISNUMBER(SEARCH(",Simulation,",","&amp;SUBSTITUTE(TableMain[[#This Row],[Tags]],", ",",")&amp;",")),"Y","N")</f>
        <v>N</v>
      </c>
      <c r="N540" s="3" t="str">
        <f>IF(ISNUMBER(SEARCH(",RPG,",","&amp;SUBSTITUTE(TableMain[[#This Row],[Tags]],", ",",")&amp;",")),"Y","N")</f>
        <v>N</v>
      </c>
      <c r="O540" s="3" t="str">
        <f>IF(ISNUMBER(SEARCH(",Strategy,",","&amp;SUBSTITUTE(TableMain[[#This Row],[Tags]],", ",",")&amp;",")),"Y","N")</f>
        <v>Y</v>
      </c>
      <c r="P540" s="3" t="str">
        <f>IF(ISNUMBER(SEARCH(",Free To Play,",","&amp;SUBSTITUTE(TableMain[[#This Row],[Tags]],", ",",")&amp;",")),"Y","N")</f>
        <v>N</v>
      </c>
    </row>
    <row r="541" spans="1:16" x14ac:dyDescent="0.35">
      <c r="A541">
        <v>960170</v>
      </c>
      <c r="B541" t="s">
        <v>1276</v>
      </c>
      <c r="C541" s="1">
        <v>43901</v>
      </c>
      <c r="D541">
        <v>854</v>
      </c>
      <c r="E541" t="b">
        <v>0</v>
      </c>
      <c r="F541" t="s">
        <v>1277</v>
      </c>
      <c r="G541" t="s">
        <v>1278</v>
      </c>
      <c r="H541">
        <v>542</v>
      </c>
      <c r="I541" t="s">
        <v>110</v>
      </c>
      <c r="J541" s="3" t="str">
        <f>IF(ISNUMBER(SEARCH(",Action,",","&amp;SUBSTITUTE(TableMain[[#This Row],[Tags]],", ",",")&amp;",")),"Y","N")</f>
        <v>Y</v>
      </c>
      <c r="K541" s="3" t="str">
        <f>IF(ISNUMBER(SEARCH(",Indie,",","&amp;SUBSTITUTE(TableMain[[#This Row],[Tags]],", ",",")&amp;",")),"Y","N")</f>
        <v>N</v>
      </c>
      <c r="L541" s="3" t="str">
        <f>IF(ISNUMBER(SEARCH(",Adventure,",","&amp;SUBSTITUTE(TableMain[[#This Row],[Tags]],", ",",")&amp;",")),"Y","N")</f>
        <v>N</v>
      </c>
      <c r="M541" s="3" t="str">
        <f>IF(ISNUMBER(SEARCH(",Simulation,",","&amp;SUBSTITUTE(TableMain[[#This Row],[Tags]],", ",",")&amp;",")),"Y","N")</f>
        <v>N</v>
      </c>
      <c r="N541" s="3" t="str">
        <f>IF(ISNUMBER(SEARCH(",RPG,",","&amp;SUBSTITUTE(TableMain[[#This Row],[Tags]],", ",",")&amp;",")),"Y","N")</f>
        <v>N</v>
      </c>
      <c r="O541" s="3" t="str">
        <f>IF(ISNUMBER(SEARCH(",Strategy,",","&amp;SUBSTITUTE(TableMain[[#This Row],[Tags]],", ",",")&amp;",")),"Y","N")</f>
        <v>N</v>
      </c>
      <c r="P541" s="3" t="str">
        <f>IF(ISNUMBER(SEARCH(",Free To Play,",","&amp;SUBSTITUTE(TableMain[[#This Row],[Tags]],", ",",")&amp;",")),"Y","N")</f>
        <v>N</v>
      </c>
    </row>
    <row r="542" spans="1:16" x14ac:dyDescent="0.35">
      <c r="A542">
        <v>1533390</v>
      </c>
      <c r="B542" t="s">
        <v>1279</v>
      </c>
      <c r="C542" s="1">
        <v>44927</v>
      </c>
      <c r="D542">
        <v>852</v>
      </c>
      <c r="E542" t="b">
        <v>0</v>
      </c>
      <c r="F542" t="s">
        <v>1280</v>
      </c>
      <c r="G542" t="s">
        <v>1281</v>
      </c>
      <c r="H542">
        <v>543</v>
      </c>
      <c r="I542" t="s">
        <v>33</v>
      </c>
      <c r="J542" s="3" t="str">
        <f>IF(ISNUMBER(SEARCH(",Action,",","&amp;SUBSTITUTE(TableMain[[#This Row],[Tags]],", ",",")&amp;",")),"Y","N")</f>
        <v>Y</v>
      </c>
      <c r="K542" s="3" t="str">
        <f>IF(ISNUMBER(SEARCH(",Indie,",","&amp;SUBSTITUTE(TableMain[[#This Row],[Tags]],", ",",")&amp;",")),"Y","N")</f>
        <v>N</v>
      </c>
      <c r="L542" s="3" t="str">
        <f>IF(ISNUMBER(SEARCH(",Adventure,",","&amp;SUBSTITUTE(TableMain[[#This Row],[Tags]],", ",",")&amp;",")),"Y","N")</f>
        <v>N</v>
      </c>
      <c r="M542" s="3" t="str">
        <f>IF(ISNUMBER(SEARCH(",Simulation,",","&amp;SUBSTITUTE(TableMain[[#This Row],[Tags]],", ",",")&amp;",")),"Y","N")</f>
        <v>N</v>
      </c>
      <c r="N542" s="3" t="str">
        <f>IF(ISNUMBER(SEARCH(",RPG,",","&amp;SUBSTITUTE(TableMain[[#This Row],[Tags]],", ",",")&amp;",")),"Y","N")</f>
        <v>N</v>
      </c>
      <c r="O542" s="3" t="str">
        <f>IF(ISNUMBER(SEARCH(",Strategy,",","&amp;SUBSTITUTE(TableMain[[#This Row],[Tags]],", ",",")&amp;",")),"Y","N")</f>
        <v>N</v>
      </c>
      <c r="P542" s="3" t="str">
        <f>IF(ISNUMBER(SEARCH(",Free To Play,",","&amp;SUBSTITUTE(TableMain[[#This Row],[Tags]],", ",",")&amp;",")),"Y","N")</f>
        <v>N</v>
      </c>
    </row>
    <row r="543" spans="1:16" x14ac:dyDescent="0.35">
      <c r="A543">
        <v>1584090</v>
      </c>
      <c r="B543" t="s">
        <v>1282</v>
      </c>
      <c r="C543" s="1">
        <v>44470</v>
      </c>
      <c r="D543">
        <v>852</v>
      </c>
      <c r="E543" t="b">
        <v>1</v>
      </c>
      <c r="F543" t="s">
        <v>324</v>
      </c>
      <c r="G543" t="s">
        <v>1283</v>
      </c>
      <c r="H543">
        <v>543</v>
      </c>
      <c r="I543" t="s">
        <v>304</v>
      </c>
      <c r="J543" s="3" t="str">
        <f>IF(ISNUMBER(SEARCH(",Action,",","&amp;SUBSTITUTE(TableMain[[#This Row],[Tags]],", ",",")&amp;",")),"Y","N")</f>
        <v>N</v>
      </c>
      <c r="K543" s="3" t="str">
        <f>IF(ISNUMBER(SEARCH(",Indie,",","&amp;SUBSTITUTE(TableMain[[#This Row],[Tags]],", ",",")&amp;",")),"Y","N")</f>
        <v>Y</v>
      </c>
      <c r="L543" s="3" t="str">
        <f>IF(ISNUMBER(SEARCH(",Adventure,",","&amp;SUBSTITUTE(TableMain[[#This Row],[Tags]],", ",",")&amp;",")),"Y","N")</f>
        <v>N</v>
      </c>
      <c r="M543" s="3" t="str">
        <f>IF(ISNUMBER(SEARCH(",Simulation,",","&amp;SUBSTITUTE(TableMain[[#This Row],[Tags]],", ",",")&amp;",")),"Y","N")</f>
        <v>Y</v>
      </c>
      <c r="N543" s="3" t="str">
        <f>IF(ISNUMBER(SEARCH(",RPG,",","&amp;SUBSTITUTE(TableMain[[#This Row],[Tags]],", ",",")&amp;",")),"Y","N")</f>
        <v>Y</v>
      </c>
      <c r="O543" s="3" t="str">
        <f>IF(ISNUMBER(SEARCH(",Strategy,",","&amp;SUBSTITUTE(TableMain[[#This Row],[Tags]],", ",",")&amp;",")),"Y","N")</f>
        <v>N</v>
      </c>
      <c r="P543" s="3" t="str">
        <f>IF(ISNUMBER(SEARCH(",Free To Play,",","&amp;SUBSTITUTE(TableMain[[#This Row],[Tags]],", ",",")&amp;",")),"Y","N")</f>
        <v>N</v>
      </c>
    </row>
    <row r="544" spans="1:16" x14ac:dyDescent="0.35">
      <c r="A544">
        <v>1374490</v>
      </c>
      <c r="B544" t="s">
        <v>1284</v>
      </c>
      <c r="C544" s="1">
        <v>45762</v>
      </c>
      <c r="D544">
        <v>851</v>
      </c>
      <c r="E544" t="b">
        <v>0</v>
      </c>
      <c r="F544" t="s">
        <v>1285</v>
      </c>
      <c r="G544" t="s">
        <v>1220</v>
      </c>
      <c r="H544">
        <v>545</v>
      </c>
      <c r="I544" t="s">
        <v>119</v>
      </c>
      <c r="J544" s="3" t="str">
        <f>IF(ISNUMBER(SEARCH(",Action,",","&amp;SUBSTITUTE(TableMain[[#This Row],[Tags]],", ",",")&amp;",")),"Y","N")</f>
        <v>Y</v>
      </c>
      <c r="K544" s="3" t="str">
        <f>IF(ISNUMBER(SEARCH(",Indie,",","&amp;SUBSTITUTE(TableMain[[#This Row],[Tags]],", ",",")&amp;",")),"Y","N")</f>
        <v>N</v>
      </c>
      <c r="L544" s="3" t="str">
        <f>IF(ISNUMBER(SEARCH(",Adventure,",","&amp;SUBSTITUTE(TableMain[[#This Row],[Tags]],", ",",")&amp;",")),"Y","N")</f>
        <v>Y</v>
      </c>
      <c r="M544" s="3" t="str">
        <f>IF(ISNUMBER(SEARCH(",Simulation,",","&amp;SUBSTITUTE(TableMain[[#This Row],[Tags]],", ",",")&amp;",")),"Y","N")</f>
        <v>N</v>
      </c>
      <c r="N544" s="3" t="str">
        <f>IF(ISNUMBER(SEARCH(",RPG,",","&amp;SUBSTITUTE(TableMain[[#This Row],[Tags]],", ",",")&amp;",")),"Y","N")</f>
        <v>Y</v>
      </c>
      <c r="O544" s="3" t="str">
        <f>IF(ISNUMBER(SEARCH(",Strategy,",","&amp;SUBSTITUTE(TableMain[[#This Row],[Tags]],", ",",")&amp;",")),"Y","N")</f>
        <v>N</v>
      </c>
      <c r="P544" s="3" t="str">
        <f>IF(ISNUMBER(SEARCH(",Free To Play,",","&amp;SUBSTITUTE(TableMain[[#This Row],[Tags]],", ",",")&amp;",")),"Y","N")</f>
        <v>N</v>
      </c>
    </row>
    <row r="545" spans="1:16" x14ac:dyDescent="0.35">
      <c r="A545">
        <v>544730</v>
      </c>
      <c r="B545" t="s">
        <v>1286</v>
      </c>
      <c r="C545" s="1">
        <v>42850</v>
      </c>
      <c r="D545">
        <v>848</v>
      </c>
      <c r="E545" t="b">
        <v>1</v>
      </c>
      <c r="F545" t="s">
        <v>796</v>
      </c>
      <c r="G545" t="s">
        <v>1287</v>
      </c>
      <c r="H545">
        <v>546</v>
      </c>
      <c r="I545" t="s">
        <v>110</v>
      </c>
      <c r="J545" s="3" t="str">
        <f>IF(ISNUMBER(SEARCH(",Action,",","&amp;SUBSTITUTE(TableMain[[#This Row],[Tags]],", ",",")&amp;",")),"Y","N")</f>
        <v>N</v>
      </c>
      <c r="K545" s="3" t="str">
        <f>IF(ISNUMBER(SEARCH(",Indie,",","&amp;SUBSTITUTE(TableMain[[#This Row],[Tags]],", ",",")&amp;",")),"Y","N")</f>
        <v>N</v>
      </c>
      <c r="L545" s="3" t="str">
        <f>IF(ISNUMBER(SEARCH(",Adventure,",","&amp;SUBSTITUTE(TableMain[[#This Row],[Tags]],", ",",")&amp;",")),"Y","N")</f>
        <v>N</v>
      </c>
      <c r="M545" s="3" t="str">
        <f>IF(ISNUMBER(SEARCH(",Simulation,",","&amp;SUBSTITUTE(TableMain[[#This Row],[Tags]],", ",",")&amp;",")),"Y","N")</f>
        <v>N</v>
      </c>
      <c r="N545" s="3" t="str">
        <f>IF(ISNUMBER(SEARCH(",RPG,",","&amp;SUBSTITUTE(TableMain[[#This Row],[Tags]],", ",",")&amp;",")),"Y","N")</f>
        <v>N</v>
      </c>
      <c r="O545" s="3" t="str">
        <f>IF(ISNUMBER(SEARCH(",Strategy,",","&amp;SUBSTITUTE(TableMain[[#This Row],[Tags]],", ",",")&amp;",")),"Y","N")</f>
        <v>Y</v>
      </c>
      <c r="P545" s="3" t="str">
        <f>IF(ISNUMBER(SEARCH(",Free To Play,",","&amp;SUBSTITUTE(TableMain[[#This Row],[Tags]],", ",",")&amp;",")),"Y","N")</f>
        <v>N</v>
      </c>
    </row>
    <row r="546" spans="1:16" x14ac:dyDescent="0.35">
      <c r="A546">
        <v>2000950</v>
      </c>
      <c r="B546" t="s">
        <v>1288</v>
      </c>
      <c r="C546" s="1">
        <v>44993</v>
      </c>
      <c r="D546">
        <v>847</v>
      </c>
      <c r="E546" t="b">
        <v>0</v>
      </c>
      <c r="F546" t="s">
        <v>1289</v>
      </c>
      <c r="G546" t="s">
        <v>49</v>
      </c>
      <c r="H546">
        <v>547</v>
      </c>
      <c r="I546" t="s">
        <v>33</v>
      </c>
      <c r="J546" s="3" t="str">
        <f>IF(ISNUMBER(SEARCH(",Action,",","&amp;SUBSTITUTE(TableMain[[#This Row],[Tags]],", ",",")&amp;",")),"Y","N")</f>
        <v>Y</v>
      </c>
      <c r="K546" s="3" t="str">
        <f>IF(ISNUMBER(SEARCH(",Indie,",","&amp;SUBSTITUTE(TableMain[[#This Row],[Tags]],", ",",")&amp;",")),"Y","N")</f>
        <v>N</v>
      </c>
      <c r="L546" s="3" t="str">
        <f>IF(ISNUMBER(SEARCH(",Adventure,",","&amp;SUBSTITUTE(TableMain[[#This Row],[Tags]],", ",",")&amp;",")),"Y","N")</f>
        <v>N</v>
      </c>
      <c r="M546" s="3" t="str">
        <f>IF(ISNUMBER(SEARCH(",Simulation,",","&amp;SUBSTITUTE(TableMain[[#This Row],[Tags]],", ",",")&amp;",")),"Y","N")</f>
        <v>N</v>
      </c>
      <c r="N546" s="3" t="str">
        <f>IF(ISNUMBER(SEARCH(",RPG,",","&amp;SUBSTITUTE(TableMain[[#This Row],[Tags]],", ",",")&amp;",")),"Y","N")</f>
        <v>N</v>
      </c>
      <c r="O546" s="3" t="str">
        <f>IF(ISNUMBER(SEARCH(",Strategy,",","&amp;SUBSTITUTE(TableMain[[#This Row],[Tags]],", ",",")&amp;",")),"Y","N")</f>
        <v>N</v>
      </c>
      <c r="P546" s="3" t="str">
        <f>IF(ISNUMBER(SEARCH(",Free To Play,",","&amp;SUBSTITUTE(TableMain[[#This Row],[Tags]],", ",",")&amp;",")),"Y","N")</f>
        <v>N</v>
      </c>
    </row>
    <row r="547" spans="1:16" x14ac:dyDescent="0.35">
      <c r="A547">
        <v>702320</v>
      </c>
      <c r="B547" t="s">
        <v>1290</v>
      </c>
      <c r="C547" s="1">
        <v>43080</v>
      </c>
      <c r="D547">
        <v>846</v>
      </c>
      <c r="E547" t="b">
        <v>0</v>
      </c>
      <c r="F547" t="s">
        <v>1291</v>
      </c>
      <c r="G547" t="s">
        <v>1128</v>
      </c>
      <c r="H547">
        <v>548</v>
      </c>
      <c r="I547" t="s">
        <v>110</v>
      </c>
      <c r="J547" s="3" t="str">
        <f>IF(ISNUMBER(SEARCH(",Action,",","&amp;SUBSTITUTE(TableMain[[#This Row],[Tags]],", ",",")&amp;",")),"Y","N")</f>
        <v>N</v>
      </c>
      <c r="K547" s="3" t="str">
        <f>IF(ISNUMBER(SEARCH(",Indie,",","&amp;SUBSTITUTE(TableMain[[#This Row],[Tags]],", ",",")&amp;",")),"Y","N")</f>
        <v>N</v>
      </c>
      <c r="L547" s="3" t="str">
        <f>IF(ISNUMBER(SEARCH(",Adventure,",","&amp;SUBSTITUTE(TableMain[[#This Row],[Tags]],", ",",")&amp;",")),"Y","N")</f>
        <v>N</v>
      </c>
      <c r="M547" s="3" t="str">
        <f>IF(ISNUMBER(SEARCH(",Simulation,",","&amp;SUBSTITUTE(TableMain[[#This Row],[Tags]],", ",",")&amp;",")),"Y","N")</f>
        <v>N</v>
      </c>
      <c r="N547" s="3" t="str">
        <f>IF(ISNUMBER(SEARCH(",RPG,",","&amp;SUBSTITUTE(TableMain[[#This Row],[Tags]],", ",",")&amp;",")),"Y","N")</f>
        <v>Y</v>
      </c>
      <c r="O547" s="3" t="str">
        <f>IF(ISNUMBER(SEARCH(",Strategy,",","&amp;SUBSTITUTE(TableMain[[#This Row],[Tags]],", ",",")&amp;",")),"Y","N")</f>
        <v>Y</v>
      </c>
      <c r="P547" s="3" t="str">
        <f>IF(ISNUMBER(SEARCH(",Free To Play,",","&amp;SUBSTITUTE(TableMain[[#This Row],[Tags]],", ",",")&amp;",")),"Y","N")</f>
        <v>Y</v>
      </c>
    </row>
    <row r="548" spans="1:16" x14ac:dyDescent="0.35">
      <c r="A548">
        <v>1369670</v>
      </c>
      <c r="B548" t="s">
        <v>1292</v>
      </c>
      <c r="C548" s="1">
        <v>44547</v>
      </c>
      <c r="D548">
        <v>844</v>
      </c>
      <c r="E548" t="b">
        <v>0</v>
      </c>
      <c r="F548" t="s">
        <v>1293</v>
      </c>
      <c r="G548" t="s">
        <v>1294</v>
      </c>
      <c r="H548">
        <v>549</v>
      </c>
      <c r="I548" t="s">
        <v>25</v>
      </c>
      <c r="J548" s="3" t="str">
        <f>IF(ISNUMBER(SEARCH(",Action,",","&amp;SUBSTITUTE(TableMain[[#This Row],[Tags]],", ",",")&amp;",")),"Y","N")</f>
        <v>N</v>
      </c>
      <c r="K548" s="3" t="str">
        <f>IF(ISNUMBER(SEARCH(",Indie,",","&amp;SUBSTITUTE(TableMain[[#This Row],[Tags]],", ",",")&amp;",")),"Y","N")</f>
        <v>Y</v>
      </c>
      <c r="L548" s="3" t="str">
        <f>IF(ISNUMBER(SEARCH(",Adventure,",","&amp;SUBSTITUTE(TableMain[[#This Row],[Tags]],", ",",")&amp;",")),"Y","N")</f>
        <v>Y</v>
      </c>
      <c r="M548" s="3" t="str">
        <f>IF(ISNUMBER(SEARCH(",Simulation,",","&amp;SUBSTITUTE(TableMain[[#This Row],[Tags]],", ",",")&amp;",")),"Y","N")</f>
        <v>Y</v>
      </c>
      <c r="N548" s="3" t="str">
        <f>IF(ISNUMBER(SEARCH(",RPG,",","&amp;SUBSTITUTE(TableMain[[#This Row],[Tags]],", ",",")&amp;",")),"Y","N")</f>
        <v>N</v>
      </c>
      <c r="O548" s="3" t="str">
        <f>IF(ISNUMBER(SEARCH(",Strategy,",","&amp;SUBSTITUTE(TableMain[[#This Row],[Tags]],", ",",")&amp;",")),"Y","N")</f>
        <v>N</v>
      </c>
      <c r="P548" s="3" t="str">
        <f>IF(ISNUMBER(SEARCH(",Free To Play,",","&amp;SUBSTITUTE(TableMain[[#This Row],[Tags]],", ",",")&amp;",")),"Y","N")</f>
        <v>N</v>
      </c>
    </row>
    <row r="549" spans="1:16" x14ac:dyDescent="0.35">
      <c r="A549">
        <v>690830</v>
      </c>
      <c r="B549" t="s">
        <v>1295</v>
      </c>
      <c r="C549" s="1">
        <v>45688</v>
      </c>
      <c r="D549">
        <v>844</v>
      </c>
      <c r="E549" t="b">
        <v>0</v>
      </c>
      <c r="F549" t="s">
        <v>681</v>
      </c>
      <c r="G549" t="s">
        <v>160</v>
      </c>
      <c r="H549">
        <v>549</v>
      </c>
      <c r="I549" t="s">
        <v>36</v>
      </c>
      <c r="J549" s="3" t="str">
        <f>IF(ISNUMBER(SEARCH(",Action,",","&amp;SUBSTITUTE(TableMain[[#This Row],[Tags]],", ",",")&amp;",")),"Y","N")</f>
        <v>N</v>
      </c>
      <c r="K549" s="3" t="str">
        <f>IF(ISNUMBER(SEARCH(",Indie,",","&amp;SUBSTITUTE(TableMain[[#This Row],[Tags]],", ",",")&amp;",")),"Y","N")</f>
        <v>Y</v>
      </c>
      <c r="L549" s="3" t="str">
        <f>IF(ISNUMBER(SEARCH(",Adventure,",","&amp;SUBSTITUTE(TableMain[[#This Row],[Tags]],", ",",")&amp;",")),"Y","N")</f>
        <v>N</v>
      </c>
      <c r="M549" s="3" t="str">
        <f>IF(ISNUMBER(SEARCH(",Simulation,",","&amp;SUBSTITUTE(TableMain[[#This Row],[Tags]],", ",",")&amp;",")),"Y","N")</f>
        <v>Y</v>
      </c>
      <c r="N549" s="3" t="str">
        <f>IF(ISNUMBER(SEARCH(",RPG,",","&amp;SUBSTITUTE(TableMain[[#This Row],[Tags]],", ",",")&amp;",")),"Y","N")</f>
        <v>N</v>
      </c>
      <c r="O549" s="3" t="str">
        <f>IF(ISNUMBER(SEARCH(",Strategy,",","&amp;SUBSTITUTE(TableMain[[#This Row],[Tags]],", ",",")&amp;",")),"Y","N")</f>
        <v>Y</v>
      </c>
      <c r="P549" s="3" t="str">
        <f>IF(ISNUMBER(SEARCH(",Free To Play,",","&amp;SUBSTITUTE(TableMain[[#This Row],[Tags]],", ",",")&amp;",")),"Y","N")</f>
        <v>N</v>
      </c>
    </row>
    <row r="550" spans="1:16" x14ac:dyDescent="0.35">
      <c r="A550">
        <v>312520</v>
      </c>
      <c r="B550" t="s">
        <v>1296</v>
      </c>
      <c r="C550" s="1">
        <v>42822</v>
      </c>
      <c r="D550">
        <v>836</v>
      </c>
      <c r="E550" t="b">
        <v>0</v>
      </c>
      <c r="F550" t="s">
        <v>1297</v>
      </c>
      <c r="G550" t="s">
        <v>446</v>
      </c>
      <c r="H550">
        <v>551</v>
      </c>
      <c r="I550" t="s">
        <v>293</v>
      </c>
      <c r="J550" s="3" t="str">
        <f>IF(ISNUMBER(SEARCH(",Action,",","&amp;SUBSTITUTE(TableMain[[#This Row],[Tags]],", ",",")&amp;",")),"Y","N")</f>
        <v>Y</v>
      </c>
      <c r="K550" s="3" t="str">
        <f>IF(ISNUMBER(SEARCH(",Indie,",","&amp;SUBSTITUTE(TableMain[[#This Row],[Tags]],", ",",")&amp;",")),"Y","N")</f>
        <v>Y</v>
      </c>
      <c r="L550" s="3" t="str">
        <f>IF(ISNUMBER(SEARCH(",Adventure,",","&amp;SUBSTITUTE(TableMain[[#This Row],[Tags]],", ",",")&amp;",")),"Y","N")</f>
        <v>Y</v>
      </c>
      <c r="M550" s="3" t="str">
        <f>IF(ISNUMBER(SEARCH(",Simulation,",","&amp;SUBSTITUTE(TableMain[[#This Row],[Tags]],", ",",")&amp;",")),"Y","N")</f>
        <v>N</v>
      </c>
      <c r="N550" s="3" t="str">
        <f>IF(ISNUMBER(SEARCH(",RPG,",","&amp;SUBSTITUTE(TableMain[[#This Row],[Tags]],", ",",")&amp;",")),"Y","N")</f>
        <v>N</v>
      </c>
      <c r="O550" s="3" t="str">
        <f>IF(ISNUMBER(SEARCH(",Strategy,",","&amp;SUBSTITUTE(TableMain[[#This Row],[Tags]],", ",",")&amp;",")),"Y","N")</f>
        <v>N</v>
      </c>
      <c r="P550" s="3" t="str">
        <f>IF(ISNUMBER(SEARCH(",Free To Play,",","&amp;SUBSTITUTE(TableMain[[#This Row],[Tags]],", ",",")&amp;",")),"Y","N")</f>
        <v>N</v>
      </c>
    </row>
    <row r="551" spans="1:16" x14ac:dyDescent="0.35">
      <c r="A551">
        <v>1599600</v>
      </c>
      <c r="B551" t="s">
        <v>1298</v>
      </c>
      <c r="C551" s="1">
        <v>44777</v>
      </c>
      <c r="D551">
        <v>832</v>
      </c>
      <c r="E551" t="b">
        <v>0</v>
      </c>
      <c r="F551" t="s">
        <v>1299</v>
      </c>
      <c r="G551" t="s">
        <v>1300</v>
      </c>
      <c r="H551">
        <v>552</v>
      </c>
      <c r="I551" t="s">
        <v>133</v>
      </c>
      <c r="J551" s="3" t="str">
        <f>IF(ISNUMBER(SEARCH(",Action,",","&amp;SUBSTITUTE(TableMain[[#This Row],[Tags]],", ",",")&amp;",")),"Y","N")</f>
        <v>Y</v>
      </c>
      <c r="K551" s="3" t="str">
        <f>IF(ISNUMBER(SEARCH(",Indie,",","&amp;SUBSTITUTE(TableMain[[#This Row],[Tags]],", ",",")&amp;",")),"Y","N")</f>
        <v>Y</v>
      </c>
      <c r="L551" s="3" t="str">
        <f>IF(ISNUMBER(SEARCH(",Adventure,",","&amp;SUBSTITUTE(TableMain[[#This Row],[Tags]],", ",",")&amp;",")),"Y","N")</f>
        <v>N</v>
      </c>
      <c r="M551" s="3" t="str">
        <f>IF(ISNUMBER(SEARCH(",Simulation,",","&amp;SUBSTITUTE(TableMain[[#This Row],[Tags]],", ",",")&amp;",")),"Y","N")</f>
        <v>N</v>
      </c>
      <c r="N551" s="3" t="str">
        <f>IF(ISNUMBER(SEARCH(",RPG,",","&amp;SUBSTITUTE(TableMain[[#This Row],[Tags]],", ",",")&amp;",")),"Y","N")</f>
        <v>N</v>
      </c>
      <c r="O551" s="3" t="str">
        <f>IF(ISNUMBER(SEARCH(",Strategy,",","&amp;SUBSTITUTE(TableMain[[#This Row],[Tags]],", ",",")&amp;",")),"Y","N")</f>
        <v>Y</v>
      </c>
      <c r="P551" s="3" t="str">
        <f>IF(ISNUMBER(SEARCH(",Free To Play,",","&amp;SUBSTITUTE(TableMain[[#This Row],[Tags]],", ",",")&amp;",")),"Y","N")</f>
        <v>N</v>
      </c>
    </row>
    <row r="552" spans="1:16" x14ac:dyDescent="0.35">
      <c r="A552">
        <v>1501750</v>
      </c>
      <c r="B552" t="s">
        <v>1301</v>
      </c>
      <c r="C552" s="1">
        <v>45212</v>
      </c>
      <c r="D552">
        <v>827</v>
      </c>
      <c r="E552" t="b">
        <v>0</v>
      </c>
      <c r="F552" t="s">
        <v>855</v>
      </c>
      <c r="G552" t="s">
        <v>208</v>
      </c>
      <c r="H552">
        <v>553</v>
      </c>
      <c r="I552" t="s">
        <v>833</v>
      </c>
      <c r="J552" s="3" t="str">
        <f>IF(ISNUMBER(SEARCH(",Action,",","&amp;SUBSTITUTE(TableMain[[#This Row],[Tags]],", ",",")&amp;",")),"Y","N")</f>
        <v>Y</v>
      </c>
      <c r="K552" s="3" t="str">
        <f>IF(ISNUMBER(SEARCH(",Indie,",","&amp;SUBSTITUTE(TableMain[[#This Row],[Tags]],", ",",")&amp;",")),"Y","N")</f>
        <v>N</v>
      </c>
      <c r="L552" s="3" t="str">
        <f>IF(ISNUMBER(SEARCH(",Adventure,",","&amp;SUBSTITUTE(TableMain[[#This Row],[Tags]],", ",",")&amp;",")),"Y","N")</f>
        <v>Y</v>
      </c>
      <c r="M552" s="3" t="str">
        <f>IF(ISNUMBER(SEARCH(",Simulation,",","&amp;SUBSTITUTE(TableMain[[#This Row],[Tags]],", ",",")&amp;",")),"Y","N")</f>
        <v>N</v>
      </c>
      <c r="N552" s="3" t="str">
        <f>IF(ISNUMBER(SEARCH(",RPG,",","&amp;SUBSTITUTE(TableMain[[#This Row],[Tags]],", ",",")&amp;",")),"Y","N")</f>
        <v>Y</v>
      </c>
      <c r="O552" s="3" t="str">
        <f>IF(ISNUMBER(SEARCH(",Strategy,",","&amp;SUBSTITUTE(TableMain[[#This Row],[Tags]],", ",",")&amp;",")),"Y","N")</f>
        <v>N</v>
      </c>
      <c r="P552" s="3" t="str">
        <f>IF(ISNUMBER(SEARCH(",Free To Play,",","&amp;SUBSTITUTE(TableMain[[#This Row],[Tags]],", ",",")&amp;",")),"Y","N")</f>
        <v>N</v>
      </c>
    </row>
    <row r="553" spans="1:16" x14ac:dyDescent="0.35">
      <c r="A553">
        <v>920490</v>
      </c>
      <c r="B553" t="s">
        <v>1302</v>
      </c>
      <c r="C553" s="1">
        <v>43405</v>
      </c>
      <c r="D553">
        <v>826</v>
      </c>
      <c r="E553" t="b">
        <v>0</v>
      </c>
      <c r="F553" t="s">
        <v>1303</v>
      </c>
      <c r="G553" t="s">
        <v>571</v>
      </c>
      <c r="H553">
        <v>554</v>
      </c>
      <c r="I553" t="s">
        <v>110</v>
      </c>
      <c r="J553" s="3" t="str">
        <f>IF(ISNUMBER(SEARCH(",Action,",","&amp;SUBSTITUTE(TableMain[[#This Row],[Tags]],", ",",")&amp;",")),"Y","N")</f>
        <v>N</v>
      </c>
      <c r="K553" s="3" t="str">
        <f>IF(ISNUMBER(SEARCH(",Indie,",","&amp;SUBSTITUTE(TableMain[[#This Row],[Tags]],", ",",")&amp;",")),"Y","N")</f>
        <v>N</v>
      </c>
      <c r="L553" s="3" t="str">
        <f>IF(ISNUMBER(SEARCH(",Adventure,",","&amp;SUBSTITUTE(TableMain[[#This Row],[Tags]],", ",",")&amp;",")),"Y","N")</f>
        <v>N</v>
      </c>
      <c r="M553" s="3" t="str">
        <f>IF(ISNUMBER(SEARCH(",Simulation,",","&amp;SUBSTITUTE(TableMain[[#This Row],[Tags]],", ",",")&amp;",")),"Y","N")</f>
        <v>N</v>
      </c>
      <c r="N553" s="3" t="str">
        <f>IF(ISNUMBER(SEARCH(",RPG,",","&amp;SUBSTITUTE(TableMain[[#This Row],[Tags]],", ",",")&amp;",")),"Y","N")</f>
        <v>N</v>
      </c>
      <c r="O553" s="3" t="str">
        <f>IF(ISNUMBER(SEARCH(",Strategy,",","&amp;SUBSTITUTE(TableMain[[#This Row],[Tags]],", ",",")&amp;",")),"Y","N")</f>
        <v>N</v>
      </c>
      <c r="P553" s="3" t="str">
        <f>IF(ISNUMBER(SEARCH(",Free To Play,",","&amp;SUBSTITUTE(TableMain[[#This Row],[Tags]],", ",",")&amp;",")),"Y","N")</f>
        <v>N</v>
      </c>
    </row>
    <row r="554" spans="1:16" x14ac:dyDescent="0.35">
      <c r="A554">
        <v>787480</v>
      </c>
      <c r="B554" t="s">
        <v>1304</v>
      </c>
      <c r="C554" s="1">
        <v>43564</v>
      </c>
      <c r="D554">
        <v>826</v>
      </c>
      <c r="E554" t="b">
        <v>0</v>
      </c>
      <c r="F554" t="s">
        <v>1305</v>
      </c>
      <c r="G554" t="s">
        <v>346</v>
      </c>
      <c r="H554">
        <v>554</v>
      </c>
      <c r="I554" t="s">
        <v>40</v>
      </c>
      <c r="J554" s="3" t="str">
        <f>IF(ISNUMBER(SEARCH(",Action,",","&amp;SUBSTITUTE(TableMain[[#This Row],[Tags]],", ",",")&amp;",")),"Y","N")</f>
        <v>N</v>
      </c>
      <c r="K554" s="3" t="str">
        <f>IF(ISNUMBER(SEARCH(",Indie,",","&amp;SUBSTITUTE(TableMain[[#This Row],[Tags]],", ",",")&amp;",")),"Y","N")</f>
        <v>N</v>
      </c>
      <c r="L554" s="3" t="str">
        <f>IF(ISNUMBER(SEARCH(",Adventure,",","&amp;SUBSTITUTE(TableMain[[#This Row],[Tags]],", ",",")&amp;",")),"Y","N")</f>
        <v>Y</v>
      </c>
      <c r="M554" s="3" t="str">
        <f>IF(ISNUMBER(SEARCH(",Simulation,",","&amp;SUBSTITUTE(TableMain[[#This Row],[Tags]],", ",",")&amp;",")),"Y","N")</f>
        <v>N</v>
      </c>
      <c r="N554" s="3" t="str">
        <f>IF(ISNUMBER(SEARCH(",RPG,",","&amp;SUBSTITUTE(TableMain[[#This Row],[Tags]],", ",",")&amp;",")),"Y","N")</f>
        <v>N</v>
      </c>
      <c r="O554" s="3" t="str">
        <f>IF(ISNUMBER(SEARCH(",Strategy,",","&amp;SUBSTITUTE(TableMain[[#This Row],[Tags]],", ",",")&amp;",")),"Y","N")</f>
        <v>N</v>
      </c>
      <c r="P554" s="3" t="str">
        <f>IF(ISNUMBER(SEARCH(",Free To Play,",","&amp;SUBSTITUTE(TableMain[[#This Row],[Tags]],", ",",")&amp;",")),"Y","N")</f>
        <v>N</v>
      </c>
    </row>
    <row r="555" spans="1:16" x14ac:dyDescent="0.35">
      <c r="A555">
        <v>3511030</v>
      </c>
      <c r="B555" t="s">
        <v>1306</v>
      </c>
      <c r="C555" s="1">
        <v>45746</v>
      </c>
      <c r="D555">
        <v>821</v>
      </c>
      <c r="E555" t="b">
        <v>0</v>
      </c>
      <c r="F555" t="s">
        <v>681</v>
      </c>
      <c r="G555" t="s">
        <v>1041</v>
      </c>
      <c r="H555">
        <v>556</v>
      </c>
      <c r="I555" t="s">
        <v>110</v>
      </c>
      <c r="J555" s="3" t="str">
        <f>IF(ISNUMBER(SEARCH(",Action,",","&amp;SUBSTITUTE(TableMain[[#This Row],[Tags]],", ",",")&amp;",")),"Y","N")</f>
        <v>N</v>
      </c>
      <c r="K555" s="3" t="str">
        <f>IF(ISNUMBER(SEARCH(",Indie,",","&amp;SUBSTITUTE(TableMain[[#This Row],[Tags]],", ",",")&amp;",")),"Y","N")</f>
        <v>Y</v>
      </c>
      <c r="L555" s="3" t="str">
        <f>IF(ISNUMBER(SEARCH(",Adventure,",","&amp;SUBSTITUTE(TableMain[[#This Row],[Tags]],", ",",")&amp;",")),"Y","N")</f>
        <v>N</v>
      </c>
      <c r="M555" s="3" t="str">
        <f>IF(ISNUMBER(SEARCH(",Simulation,",","&amp;SUBSTITUTE(TableMain[[#This Row],[Tags]],", ",",")&amp;",")),"Y","N")</f>
        <v>N</v>
      </c>
      <c r="N555" s="3" t="str">
        <f>IF(ISNUMBER(SEARCH(",RPG,",","&amp;SUBSTITUTE(TableMain[[#This Row],[Tags]],", ",",")&amp;",")),"Y","N")</f>
        <v>N</v>
      </c>
      <c r="O555" s="3" t="str">
        <f>IF(ISNUMBER(SEARCH(",Strategy,",","&amp;SUBSTITUTE(TableMain[[#This Row],[Tags]],", ",",")&amp;",")),"Y","N")</f>
        <v>N</v>
      </c>
      <c r="P555" s="3" t="str">
        <f>IF(ISNUMBER(SEARCH(",Free To Play,",","&amp;SUBSTITUTE(TableMain[[#This Row],[Tags]],", ",",")&amp;",")),"Y","N")</f>
        <v>N</v>
      </c>
    </row>
    <row r="556" spans="1:16" x14ac:dyDescent="0.35">
      <c r="A556">
        <v>397900</v>
      </c>
      <c r="B556" t="s">
        <v>1307</v>
      </c>
      <c r="C556" s="1">
        <v>42943</v>
      </c>
      <c r="D556">
        <v>809</v>
      </c>
      <c r="E556" t="b">
        <v>1</v>
      </c>
      <c r="F556" t="s">
        <v>1308</v>
      </c>
      <c r="G556" t="s">
        <v>1309</v>
      </c>
      <c r="H556">
        <v>557</v>
      </c>
      <c r="I556" t="s">
        <v>110</v>
      </c>
      <c r="J556" s="3" t="str">
        <f>IF(ISNUMBER(SEARCH(",Action,",","&amp;SUBSTITUTE(TableMain[[#This Row],[Tags]],", ",",")&amp;",")),"Y","N")</f>
        <v>N</v>
      </c>
      <c r="K556" s="3" t="str">
        <f>IF(ISNUMBER(SEARCH(",Indie,",","&amp;SUBSTITUTE(TableMain[[#This Row],[Tags]],", ",",")&amp;",")),"Y","N")</f>
        <v>Y</v>
      </c>
      <c r="L556" s="3" t="str">
        <f>IF(ISNUMBER(SEARCH(",Adventure,",","&amp;SUBSTITUTE(TableMain[[#This Row],[Tags]],", ",",")&amp;",")),"Y","N")</f>
        <v>Y</v>
      </c>
      <c r="M556" s="3" t="str">
        <f>IF(ISNUMBER(SEARCH(",Simulation,",","&amp;SUBSTITUTE(TableMain[[#This Row],[Tags]],", ",",")&amp;",")),"Y","N")</f>
        <v>Y</v>
      </c>
      <c r="N556" s="3" t="str">
        <f>IF(ISNUMBER(SEARCH(",RPG,",","&amp;SUBSTITUTE(TableMain[[#This Row],[Tags]],", ",",")&amp;",")),"Y","N")</f>
        <v>N</v>
      </c>
      <c r="O556" s="3" t="str">
        <f>IF(ISNUMBER(SEARCH(",Strategy,",","&amp;SUBSTITUTE(TableMain[[#This Row],[Tags]],", ",",")&amp;",")),"Y","N")</f>
        <v>Y</v>
      </c>
      <c r="P556" s="3" t="str">
        <f>IF(ISNUMBER(SEARCH(",Free To Play,",","&amp;SUBSTITUTE(TableMain[[#This Row],[Tags]],", ",",")&amp;",")),"Y","N")</f>
        <v>Y</v>
      </c>
    </row>
    <row r="557" spans="1:16" x14ac:dyDescent="0.35">
      <c r="A557">
        <v>1817800</v>
      </c>
      <c r="B557" t="s">
        <v>1310</v>
      </c>
      <c r="C557" s="1">
        <v>45804</v>
      </c>
      <c r="D557">
        <v>808</v>
      </c>
      <c r="E557" t="b">
        <v>0</v>
      </c>
      <c r="F557" t="s">
        <v>1311</v>
      </c>
      <c r="G557" t="s">
        <v>245</v>
      </c>
      <c r="H557">
        <v>558</v>
      </c>
      <c r="I557" t="s">
        <v>25</v>
      </c>
      <c r="J557" s="3" t="str">
        <f>IF(ISNUMBER(SEARCH(",Action,",","&amp;SUBSTITUTE(TableMain[[#This Row],[Tags]],", ",",")&amp;",")),"Y","N")</f>
        <v>N</v>
      </c>
      <c r="K557" s="3" t="str">
        <f>IF(ISNUMBER(SEARCH(",Indie,",","&amp;SUBSTITUTE(TableMain[[#This Row],[Tags]],", ",",")&amp;",")),"Y","N")</f>
        <v>Y</v>
      </c>
      <c r="L557" s="3" t="str">
        <f>IF(ISNUMBER(SEARCH(",Adventure,",","&amp;SUBSTITUTE(TableMain[[#This Row],[Tags]],", ",",")&amp;",")),"Y","N")</f>
        <v>Y</v>
      </c>
      <c r="M557" s="3" t="str">
        <f>IF(ISNUMBER(SEARCH(",Simulation,",","&amp;SUBSTITUTE(TableMain[[#This Row],[Tags]],", ",",")&amp;",")),"Y","N")</f>
        <v>Y</v>
      </c>
      <c r="N557" s="3" t="str">
        <f>IF(ISNUMBER(SEARCH(",RPG,",","&amp;SUBSTITUTE(TableMain[[#This Row],[Tags]],", ",",")&amp;",")),"Y","N")</f>
        <v>N</v>
      </c>
      <c r="O557" s="3" t="str">
        <f>IF(ISNUMBER(SEARCH(",Strategy,",","&amp;SUBSTITUTE(TableMain[[#This Row],[Tags]],", ",",")&amp;",")),"Y","N")</f>
        <v>Y</v>
      </c>
      <c r="P557" s="3" t="str">
        <f>IF(ISNUMBER(SEARCH(",Free To Play,",","&amp;SUBSTITUTE(TableMain[[#This Row],[Tags]],", ",",")&amp;",")),"Y","N")</f>
        <v>N</v>
      </c>
    </row>
    <row r="558" spans="1:16" x14ac:dyDescent="0.35">
      <c r="A558">
        <v>1465460</v>
      </c>
      <c r="B558" t="s">
        <v>1312</v>
      </c>
      <c r="C558" s="1">
        <v>45393</v>
      </c>
      <c r="D558">
        <v>806</v>
      </c>
      <c r="E558" t="b">
        <v>0</v>
      </c>
      <c r="F558" t="s">
        <v>1313</v>
      </c>
      <c r="G558" t="s">
        <v>144</v>
      </c>
      <c r="H558">
        <v>559</v>
      </c>
      <c r="I558" t="s">
        <v>53</v>
      </c>
      <c r="J558" s="3" t="str">
        <f>IF(ISNUMBER(SEARCH(",Action,",","&amp;SUBSTITUTE(TableMain[[#This Row],[Tags]],", ",",")&amp;",")),"Y","N")</f>
        <v>Y</v>
      </c>
      <c r="K558" s="3" t="str">
        <f>IF(ISNUMBER(SEARCH(",Indie,",","&amp;SUBSTITUTE(TableMain[[#This Row],[Tags]],", ",",")&amp;",")),"Y","N")</f>
        <v>Y</v>
      </c>
      <c r="L558" s="3" t="str">
        <f>IF(ISNUMBER(SEARCH(",Adventure,",","&amp;SUBSTITUTE(TableMain[[#This Row],[Tags]],", ",",")&amp;",")),"Y","N")</f>
        <v>N</v>
      </c>
      <c r="M558" s="3" t="str">
        <f>IF(ISNUMBER(SEARCH(",Simulation,",","&amp;SUBSTITUTE(TableMain[[#This Row],[Tags]],", ",",")&amp;",")),"Y","N")</f>
        <v>Y</v>
      </c>
      <c r="N558" s="3" t="str">
        <f>IF(ISNUMBER(SEARCH(",RPG,",","&amp;SUBSTITUTE(TableMain[[#This Row],[Tags]],", ",",")&amp;",")),"Y","N")</f>
        <v>N</v>
      </c>
      <c r="O558" s="3" t="str">
        <f>IF(ISNUMBER(SEARCH(",Strategy,",","&amp;SUBSTITUTE(TableMain[[#This Row],[Tags]],", ",",")&amp;",")),"Y","N")</f>
        <v>Y</v>
      </c>
      <c r="P558" s="3" t="str">
        <f>IF(ISNUMBER(SEARCH(",Free To Play,",","&amp;SUBSTITUTE(TableMain[[#This Row],[Tags]],", ",",")&amp;",")),"Y","N")</f>
        <v>N</v>
      </c>
    </row>
    <row r="559" spans="1:16" x14ac:dyDescent="0.35">
      <c r="A559">
        <v>1845910</v>
      </c>
      <c r="B559" t="s">
        <v>1314</v>
      </c>
      <c r="C559" s="1">
        <v>45596</v>
      </c>
      <c r="D559">
        <v>804</v>
      </c>
      <c r="E559" t="b">
        <v>0</v>
      </c>
      <c r="F559" t="s">
        <v>1315</v>
      </c>
      <c r="G559" t="s">
        <v>1316</v>
      </c>
      <c r="H559">
        <v>560</v>
      </c>
      <c r="I559" t="s">
        <v>119</v>
      </c>
      <c r="J559" s="3" t="str">
        <f>IF(ISNUMBER(SEARCH(",Action,",","&amp;SUBSTITUTE(TableMain[[#This Row],[Tags]],", ",",")&amp;",")),"Y","N")</f>
        <v>Y</v>
      </c>
      <c r="K559" s="3" t="str">
        <f>IF(ISNUMBER(SEARCH(",Indie,",","&amp;SUBSTITUTE(TableMain[[#This Row],[Tags]],", ",",")&amp;",")),"Y","N")</f>
        <v>N</v>
      </c>
      <c r="L559" s="3" t="str">
        <f>IF(ISNUMBER(SEARCH(",Adventure,",","&amp;SUBSTITUTE(TableMain[[#This Row],[Tags]],", ",",")&amp;",")),"Y","N")</f>
        <v>Y</v>
      </c>
      <c r="M559" s="3" t="str">
        <f>IF(ISNUMBER(SEARCH(",Simulation,",","&amp;SUBSTITUTE(TableMain[[#This Row],[Tags]],", ",",")&amp;",")),"Y","N")</f>
        <v>N</v>
      </c>
      <c r="N559" s="3" t="str">
        <f>IF(ISNUMBER(SEARCH(",RPG,",","&amp;SUBSTITUTE(TableMain[[#This Row],[Tags]],", ",",")&amp;",")),"Y","N")</f>
        <v>Y</v>
      </c>
      <c r="O559" s="3" t="str">
        <f>IF(ISNUMBER(SEARCH(",Strategy,",","&amp;SUBSTITUTE(TableMain[[#This Row],[Tags]],", ",",")&amp;",")),"Y","N")</f>
        <v>Y</v>
      </c>
      <c r="P559" s="3" t="str">
        <f>IF(ISNUMBER(SEARCH(",Free To Play,",","&amp;SUBSTITUTE(TableMain[[#This Row],[Tags]],", ",",")&amp;",")),"Y","N")</f>
        <v>N</v>
      </c>
    </row>
    <row r="560" spans="1:16" x14ac:dyDescent="0.35">
      <c r="A560">
        <v>266840</v>
      </c>
      <c r="B560" t="s">
        <v>1317</v>
      </c>
      <c r="C560" s="1">
        <v>41767</v>
      </c>
      <c r="D560">
        <v>804</v>
      </c>
      <c r="E560" t="b">
        <v>0</v>
      </c>
      <c r="F560" t="s">
        <v>1318</v>
      </c>
      <c r="G560" t="s">
        <v>100</v>
      </c>
      <c r="H560">
        <v>560</v>
      </c>
      <c r="I560" t="s">
        <v>33</v>
      </c>
      <c r="J560" s="3" t="str">
        <f>IF(ISNUMBER(SEARCH(",Action,",","&amp;SUBSTITUTE(TableMain[[#This Row],[Tags]],", ",",")&amp;",")),"Y","N")</f>
        <v>N</v>
      </c>
      <c r="K560" s="3" t="str">
        <f>IF(ISNUMBER(SEARCH(",Indie,",","&amp;SUBSTITUTE(TableMain[[#This Row],[Tags]],", ",",")&amp;",")),"Y","N")</f>
        <v>N</v>
      </c>
      <c r="L560" s="3" t="str">
        <f>IF(ISNUMBER(SEARCH(",Adventure,",","&amp;SUBSTITUTE(TableMain[[#This Row],[Tags]],", ",",")&amp;",")),"Y","N")</f>
        <v>N</v>
      </c>
      <c r="M560" s="3" t="str">
        <f>IF(ISNUMBER(SEARCH(",Simulation,",","&amp;SUBSTITUTE(TableMain[[#This Row],[Tags]],", ",",")&amp;",")),"Y","N")</f>
        <v>Y</v>
      </c>
      <c r="N560" s="3" t="str">
        <f>IF(ISNUMBER(SEARCH(",RPG,",","&amp;SUBSTITUTE(TableMain[[#This Row],[Tags]],", ",",")&amp;",")),"Y","N")</f>
        <v>N</v>
      </c>
      <c r="O560" s="3" t="str">
        <f>IF(ISNUMBER(SEARCH(",Strategy,",","&amp;SUBSTITUTE(TableMain[[#This Row],[Tags]],", ",",")&amp;",")),"Y","N")</f>
        <v>Y</v>
      </c>
      <c r="P560" s="3" t="str">
        <f>IF(ISNUMBER(SEARCH(",Free To Play,",","&amp;SUBSTITUTE(TableMain[[#This Row],[Tags]],", ",",")&amp;",")),"Y","N")</f>
        <v>N</v>
      </c>
    </row>
    <row r="561" spans="1:16" x14ac:dyDescent="0.35">
      <c r="A561">
        <v>774801</v>
      </c>
      <c r="B561" t="s">
        <v>1319</v>
      </c>
      <c r="C561" s="1">
        <v>45017</v>
      </c>
      <c r="D561">
        <v>796</v>
      </c>
      <c r="E561" t="b">
        <v>0</v>
      </c>
      <c r="F561" t="s">
        <v>546</v>
      </c>
      <c r="G561" t="s">
        <v>1320</v>
      </c>
      <c r="H561">
        <v>562</v>
      </c>
      <c r="I561" t="s">
        <v>513</v>
      </c>
      <c r="J561" s="3" t="str">
        <f>IF(ISNUMBER(SEARCH(",Action,",","&amp;SUBSTITUTE(TableMain[[#This Row],[Tags]],", ",",")&amp;",")),"Y","N")</f>
        <v>Y</v>
      </c>
      <c r="K561" s="3" t="str">
        <f>IF(ISNUMBER(SEARCH(",Indie,",","&amp;SUBSTITUTE(TableMain[[#This Row],[Tags]],", ",",")&amp;",")),"Y","N")</f>
        <v>Y</v>
      </c>
      <c r="L561" s="3" t="str">
        <f>IF(ISNUMBER(SEARCH(",Adventure,",","&amp;SUBSTITUTE(TableMain[[#This Row],[Tags]],", ",",")&amp;",")),"Y","N")</f>
        <v>Y</v>
      </c>
      <c r="M561" s="3" t="str">
        <f>IF(ISNUMBER(SEARCH(",Simulation,",","&amp;SUBSTITUTE(TableMain[[#This Row],[Tags]],", ",",")&amp;",")),"Y","N")</f>
        <v>N</v>
      </c>
      <c r="N561" s="3" t="str">
        <f>IF(ISNUMBER(SEARCH(",RPG,",","&amp;SUBSTITUTE(TableMain[[#This Row],[Tags]],", ",",")&amp;",")),"Y","N")</f>
        <v>N</v>
      </c>
      <c r="O561" s="3" t="str">
        <f>IF(ISNUMBER(SEARCH(",Strategy,",","&amp;SUBSTITUTE(TableMain[[#This Row],[Tags]],", ",",")&amp;",")),"Y","N")</f>
        <v>N</v>
      </c>
      <c r="P561" s="3" t="str">
        <f>IF(ISNUMBER(SEARCH(",Free To Play,",","&amp;SUBSTITUTE(TableMain[[#This Row],[Tags]],", ",",")&amp;",")),"Y","N")</f>
        <v>N</v>
      </c>
    </row>
    <row r="562" spans="1:16" x14ac:dyDescent="0.35">
      <c r="A562">
        <v>2835570</v>
      </c>
      <c r="B562" t="s">
        <v>1321</v>
      </c>
      <c r="C562" s="1">
        <v>45386</v>
      </c>
      <c r="D562">
        <v>793</v>
      </c>
      <c r="E562" t="b">
        <v>0</v>
      </c>
      <c r="F562" t="s">
        <v>1322</v>
      </c>
      <c r="G562" t="s">
        <v>841</v>
      </c>
      <c r="H562">
        <v>563</v>
      </c>
      <c r="I562" t="s">
        <v>14</v>
      </c>
      <c r="J562" s="3" t="str">
        <f>IF(ISNUMBER(SEARCH(",Action,",","&amp;SUBSTITUTE(TableMain[[#This Row],[Tags]],", ",",")&amp;",")),"Y","N")</f>
        <v>Y</v>
      </c>
      <c r="K562" s="3" t="str">
        <f>IF(ISNUMBER(SEARCH(",Indie,",","&amp;SUBSTITUTE(TableMain[[#This Row],[Tags]],", ",",")&amp;",")),"Y","N")</f>
        <v>Y</v>
      </c>
      <c r="L562" s="3" t="str">
        <f>IF(ISNUMBER(SEARCH(",Adventure,",","&amp;SUBSTITUTE(TableMain[[#This Row],[Tags]],", ",",")&amp;",")),"Y","N")</f>
        <v>N</v>
      </c>
      <c r="M562" s="3" t="str">
        <f>IF(ISNUMBER(SEARCH(",Simulation,",","&amp;SUBSTITUTE(TableMain[[#This Row],[Tags]],", ",",")&amp;",")),"Y","N")</f>
        <v>Y</v>
      </c>
      <c r="N562" s="3" t="str">
        <f>IF(ISNUMBER(SEARCH(",RPG,",","&amp;SUBSTITUTE(TableMain[[#This Row],[Tags]],", ",",")&amp;",")),"Y","N")</f>
        <v>N</v>
      </c>
      <c r="O562" s="3" t="str">
        <f>IF(ISNUMBER(SEARCH(",Strategy,",","&amp;SUBSTITUTE(TableMain[[#This Row],[Tags]],", ",",")&amp;",")),"Y","N")</f>
        <v>N</v>
      </c>
      <c r="P562" s="3" t="str">
        <f>IF(ISNUMBER(SEARCH(",Free To Play,",","&amp;SUBSTITUTE(TableMain[[#This Row],[Tags]],", ",",")&amp;",")),"Y","N")</f>
        <v>N</v>
      </c>
    </row>
    <row r="563" spans="1:16" x14ac:dyDescent="0.35">
      <c r="A563">
        <v>212500</v>
      </c>
      <c r="B563" t="s">
        <v>1323</v>
      </c>
      <c r="C563" s="1">
        <v>41066</v>
      </c>
      <c r="D563">
        <v>793</v>
      </c>
      <c r="E563" t="b">
        <v>0</v>
      </c>
      <c r="F563" t="s">
        <v>1324</v>
      </c>
      <c r="G563" t="s">
        <v>170</v>
      </c>
      <c r="H563">
        <v>563</v>
      </c>
      <c r="I563" t="s">
        <v>2084</v>
      </c>
      <c r="J563" s="3" t="str">
        <f>IF(ISNUMBER(SEARCH(",Action,",","&amp;SUBSTITUTE(TableMain[[#This Row],[Tags]],", ",",")&amp;",")),"Y","N")</f>
        <v>Y</v>
      </c>
      <c r="K563" s="3" t="str">
        <f>IF(ISNUMBER(SEARCH(",Indie,",","&amp;SUBSTITUTE(TableMain[[#This Row],[Tags]],", ",",")&amp;",")),"Y","N")</f>
        <v>N</v>
      </c>
      <c r="L563" s="3" t="str">
        <f>IF(ISNUMBER(SEARCH(",Adventure,",","&amp;SUBSTITUTE(TableMain[[#This Row],[Tags]],", ",",")&amp;",")),"Y","N")</f>
        <v>Y</v>
      </c>
      <c r="M563" s="3" t="str">
        <f>IF(ISNUMBER(SEARCH(",Simulation,",","&amp;SUBSTITUTE(TableMain[[#This Row],[Tags]],", ",",")&amp;",")),"Y","N")</f>
        <v>N</v>
      </c>
      <c r="N563" s="3" t="str">
        <f>IF(ISNUMBER(SEARCH(",RPG,",","&amp;SUBSTITUTE(TableMain[[#This Row],[Tags]],", ",",")&amp;",")),"Y","N")</f>
        <v>Y</v>
      </c>
      <c r="O563" s="3" t="str">
        <f>IF(ISNUMBER(SEARCH(",Strategy,",","&amp;SUBSTITUTE(TableMain[[#This Row],[Tags]],", ",",")&amp;",")),"Y","N")</f>
        <v>N</v>
      </c>
      <c r="P563" s="3" t="str">
        <f>IF(ISNUMBER(SEARCH(",Free To Play,",","&amp;SUBSTITUTE(TableMain[[#This Row],[Tags]],", ",",")&amp;",")),"Y","N")</f>
        <v>Y</v>
      </c>
    </row>
    <row r="564" spans="1:16" x14ac:dyDescent="0.35">
      <c r="A564">
        <v>418370</v>
      </c>
      <c r="B564" t="s">
        <v>1325</v>
      </c>
      <c r="C564" s="1">
        <v>42758</v>
      </c>
      <c r="D564">
        <v>792</v>
      </c>
      <c r="E564" t="b">
        <v>0</v>
      </c>
      <c r="F564" t="s">
        <v>521</v>
      </c>
      <c r="G564" t="s">
        <v>46</v>
      </c>
      <c r="H564">
        <v>565</v>
      </c>
      <c r="I564" t="s">
        <v>53</v>
      </c>
      <c r="J564" s="3" t="str">
        <f>IF(ISNUMBER(SEARCH(",Action,",","&amp;SUBSTITUTE(TableMain[[#This Row],[Tags]],", ",",")&amp;",")),"Y","N")</f>
        <v>Y</v>
      </c>
      <c r="K564" s="3" t="str">
        <f>IF(ISNUMBER(SEARCH(",Indie,",","&amp;SUBSTITUTE(TableMain[[#This Row],[Tags]],", ",",")&amp;",")),"Y","N")</f>
        <v>N</v>
      </c>
      <c r="L564" s="3" t="str">
        <f>IF(ISNUMBER(SEARCH(",Adventure,",","&amp;SUBSTITUTE(TableMain[[#This Row],[Tags]],", ",",")&amp;",")),"Y","N")</f>
        <v>Y</v>
      </c>
      <c r="M564" s="3" t="str">
        <f>IF(ISNUMBER(SEARCH(",Simulation,",","&amp;SUBSTITUTE(TableMain[[#This Row],[Tags]],", ",",")&amp;",")),"Y","N")</f>
        <v>N</v>
      </c>
      <c r="N564" s="3" t="str">
        <f>IF(ISNUMBER(SEARCH(",RPG,",","&amp;SUBSTITUTE(TableMain[[#This Row],[Tags]],", ",",")&amp;",")),"Y","N")</f>
        <v>N</v>
      </c>
      <c r="O564" s="3" t="str">
        <f>IF(ISNUMBER(SEARCH(",Strategy,",","&amp;SUBSTITUTE(TableMain[[#This Row],[Tags]],", ",",")&amp;",")),"Y","N")</f>
        <v>N</v>
      </c>
      <c r="P564" s="3" t="str">
        <f>IF(ISNUMBER(SEARCH(",Free To Play,",","&amp;SUBSTITUTE(TableMain[[#This Row],[Tags]],", ",",")&amp;",")),"Y","N")</f>
        <v>N</v>
      </c>
    </row>
    <row r="565" spans="1:16" x14ac:dyDescent="0.35">
      <c r="A565">
        <v>2551020</v>
      </c>
      <c r="B565" t="s">
        <v>1326</v>
      </c>
      <c r="C565" s="1">
        <v>45275</v>
      </c>
      <c r="D565">
        <v>786</v>
      </c>
      <c r="E565" t="b">
        <v>0</v>
      </c>
      <c r="F565" t="s">
        <v>1327</v>
      </c>
      <c r="G565" t="s">
        <v>1328</v>
      </c>
      <c r="H565">
        <v>566</v>
      </c>
      <c r="I565" t="s">
        <v>304</v>
      </c>
      <c r="J565" s="3" t="str">
        <f>IF(ISNUMBER(SEARCH(",Action,",","&amp;SUBSTITUTE(TableMain[[#This Row],[Tags]],", ",",")&amp;",")),"Y","N")</f>
        <v>Y</v>
      </c>
      <c r="K565" s="3" t="str">
        <f>IF(ISNUMBER(SEARCH(",Indie,",","&amp;SUBSTITUTE(TableMain[[#This Row],[Tags]],", ",",")&amp;",")),"Y","N")</f>
        <v>Y</v>
      </c>
      <c r="L565" s="3" t="str">
        <f>IF(ISNUMBER(SEARCH(",Adventure,",","&amp;SUBSTITUTE(TableMain[[#This Row],[Tags]],", ",",")&amp;",")),"Y","N")</f>
        <v>N</v>
      </c>
      <c r="M565" s="3" t="str">
        <f>IF(ISNUMBER(SEARCH(",Simulation,",","&amp;SUBSTITUTE(TableMain[[#This Row],[Tags]],", ",",")&amp;",")),"Y","N")</f>
        <v>Y</v>
      </c>
      <c r="N565" s="3" t="str">
        <f>IF(ISNUMBER(SEARCH(",RPG,",","&amp;SUBSTITUTE(TableMain[[#This Row],[Tags]],", ",",")&amp;",")),"Y","N")</f>
        <v>N</v>
      </c>
      <c r="O565" s="3" t="str">
        <f>IF(ISNUMBER(SEARCH(",Strategy,",","&amp;SUBSTITUTE(TableMain[[#This Row],[Tags]],", ",",")&amp;",")),"Y","N")</f>
        <v>Y</v>
      </c>
      <c r="P565" s="3" t="str">
        <f>IF(ISNUMBER(SEARCH(",Free To Play,",","&amp;SUBSTITUTE(TableMain[[#This Row],[Tags]],", ",",")&amp;",")),"Y","N")</f>
        <v>Y</v>
      </c>
    </row>
    <row r="566" spans="1:16" x14ac:dyDescent="0.35">
      <c r="A566">
        <v>1096900</v>
      </c>
      <c r="B566" t="s">
        <v>1329</v>
      </c>
      <c r="C566" s="1">
        <v>44070</v>
      </c>
      <c r="D566">
        <v>783</v>
      </c>
      <c r="E566" t="b">
        <v>1</v>
      </c>
      <c r="F566" t="s">
        <v>1330</v>
      </c>
      <c r="G566" t="s">
        <v>1331</v>
      </c>
      <c r="H566">
        <v>567</v>
      </c>
      <c r="I566" t="s">
        <v>14</v>
      </c>
      <c r="J566" s="3" t="str">
        <f>IF(ISNUMBER(SEARCH(",Action,",","&amp;SUBSTITUTE(TableMain[[#This Row],[Tags]],", ",",")&amp;",")),"Y","N")</f>
        <v>N</v>
      </c>
      <c r="K566" s="3" t="str">
        <f>IF(ISNUMBER(SEARCH(",Indie,",","&amp;SUBSTITUTE(TableMain[[#This Row],[Tags]],", ",",")&amp;",")),"Y","N")</f>
        <v>N</v>
      </c>
      <c r="L566" s="3" t="str">
        <f>IF(ISNUMBER(SEARCH(",Adventure,",","&amp;SUBSTITUTE(TableMain[[#This Row],[Tags]],", ",",")&amp;",")),"Y","N")</f>
        <v>N</v>
      </c>
      <c r="M566" s="3" t="str">
        <f>IF(ISNUMBER(SEARCH(",Simulation,",","&amp;SUBSTITUTE(TableMain[[#This Row],[Tags]],", ",",")&amp;",")),"Y","N")</f>
        <v>N</v>
      </c>
      <c r="N566" s="3" t="str">
        <f>IF(ISNUMBER(SEARCH(",RPG,",","&amp;SUBSTITUTE(TableMain[[#This Row],[Tags]],", ",",")&amp;",")),"Y","N")</f>
        <v>Y</v>
      </c>
      <c r="O566" s="3" t="str">
        <f>IF(ISNUMBER(SEARCH(",Strategy,",","&amp;SUBSTITUTE(TableMain[[#This Row],[Tags]],", ",",")&amp;",")),"Y","N")</f>
        <v>N</v>
      </c>
      <c r="P566" s="3" t="str">
        <f>IF(ISNUMBER(SEARCH(",Free To Play,",","&amp;SUBSTITUTE(TableMain[[#This Row],[Tags]],", ",",")&amp;",")),"Y","N")</f>
        <v>N</v>
      </c>
    </row>
    <row r="567" spans="1:16" x14ac:dyDescent="0.35">
      <c r="A567">
        <v>2494350</v>
      </c>
      <c r="B567" t="s">
        <v>1332</v>
      </c>
      <c r="C567" s="1">
        <v>45449</v>
      </c>
      <c r="D567">
        <v>781</v>
      </c>
      <c r="E567" t="b">
        <v>0</v>
      </c>
      <c r="F567" t="s">
        <v>1333</v>
      </c>
      <c r="G567" t="s">
        <v>78</v>
      </c>
      <c r="H567">
        <v>568</v>
      </c>
      <c r="I567" t="s">
        <v>40</v>
      </c>
      <c r="J567" s="3" t="str">
        <f>IF(ISNUMBER(SEARCH(",Action,",","&amp;SUBSTITUTE(TableMain[[#This Row],[Tags]],", ",",")&amp;",")),"Y","N")</f>
        <v>N</v>
      </c>
      <c r="K567" s="3" t="str">
        <f>IF(ISNUMBER(SEARCH(",Indie,",","&amp;SUBSTITUTE(TableMain[[#This Row],[Tags]],", ",",")&amp;",")),"Y","N")</f>
        <v>N</v>
      </c>
      <c r="L567" s="3" t="str">
        <f>IF(ISNUMBER(SEARCH(",Adventure,",","&amp;SUBSTITUTE(TableMain[[#This Row],[Tags]],", ",",")&amp;",")),"Y","N")</f>
        <v>N</v>
      </c>
      <c r="M567" s="3" t="str">
        <f>IF(ISNUMBER(SEARCH(",Simulation,",","&amp;SUBSTITUTE(TableMain[[#This Row],[Tags]],", ",",")&amp;",")),"Y","N")</f>
        <v>Y</v>
      </c>
      <c r="N567" s="3" t="str">
        <f>IF(ISNUMBER(SEARCH(",RPG,",","&amp;SUBSTITUTE(TableMain[[#This Row],[Tags]],", ",",")&amp;",")),"Y","N")</f>
        <v>N</v>
      </c>
      <c r="O567" s="3" t="str">
        <f>IF(ISNUMBER(SEARCH(",Strategy,",","&amp;SUBSTITUTE(TableMain[[#This Row],[Tags]],", ",",")&amp;",")),"Y","N")</f>
        <v>N</v>
      </c>
      <c r="P567" s="3" t="str">
        <f>IF(ISNUMBER(SEARCH(",Free To Play,",","&amp;SUBSTITUTE(TableMain[[#This Row],[Tags]],", ",",")&amp;",")),"Y","N")</f>
        <v>N</v>
      </c>
    </row>
    <row r="568" spans="1:16" x14ac:dyDescent="0.35">
      <c r="A568">
        <v>233450</v>
      </c>
      <c r="B568" t="s">
        <v>1334</v>
      </c>
      <c r="C568" s="1">
        <v>42283</v>
      </c>
      <c r="D568">
        <v>781</v>
      </c>
      <c r="E568" t="b">
        <v>1</v>
      </c>
      <c r="F568" t="s">
        <v>1335</v>
      </c>
      <c r="G568" t="s">
        <v>160</v>
      </c>
      <c r="H568">
        <v>568</v>
      </c>
      <c r="I568" t="s">
        <v>2084</v>
      </c>
      <c r="J568" s="3" t="str">
        <f>IF(ISNUMBER(SEARCH(",Action,",","&amp;SUBSTITUTE(TableMain[[#This Row],[Tags]],", ",",")&amp;",")),"Y","N")</f>
        <v>N</v>
      </c>
      <c r="K568" s="3" t="str">
        <f>IF(ISNUMBER(SEARCH(",Indie,",","&amp;SUBSTITUTE(TableMain[[#This Row],[Tags]],", ",",")&amp;",")),"Y","N")</f>
        <v>Y</v>
      </c>
      <c r="L568" s="3" t="str">
        <f>IF(ISNUMBER(SEARCH(",Adventure,",","&amp;SUBSTITUTE(TableMain[[#This Row],[Tags]],", ",",")&amp;",")),"Y","N")</f>
        <v>N</v>
      </c>
      <c r="M568" s="3" t="str">
        <f>IF(ISNUMBER(SEARCH(",Simulation,",","&amp;SUBSTITUTE(TableMain[[#This Row],[Tags]],", ",",")&amp;",")),"Y","N")</f>
        <v>Y</v>
      </c>
      <c r="N568" s="3" t="str">
        <f>IF(ISNUMBER(SEARCH(",RPG,",","&amp;SUBSTITUTE(TableMain[[#This Row],[Tags]],", ",",")&amp;",")),"Y","N")</f>
        <v>N</v>
      </c>
      <c r="O568" s="3" t="str">
        <f>IF(ISNUMBER(SEARCH(",Strategy,",","&amp;SUBSTITUTE(TableMain[[#This Row],[Tags]],", ",",")&amp;",")),"Y","N")</f>
        <v>Y</v>
      </c>
      <c r="P568" s="3" t="str">
        <f>IF(ISNUMBER(SEARCH(",Free To Play,",","&amp;SUBSTITUTE(TableMain[[#This Row],[Tags]],", ",",")&amp;",")),"Y","N")</f>
        <v>N</v>
      </c>
    </row>
    <row r="569" spans="1:16" x14ac:dyDescent="0.35">
      <c r="A569">
        <v>391220</v>
      </c>
      <c r="B569" t="s">
        <v>1336</v>
      </c>
      <c r="C569" s="1">
        <v>42409</v>
      </c>
      <c r="D569">
        <v>777</v>
      </c>
      <c r="E569" t="b">
        <v>1</v>
      </c>
      <c r="F569" t="s">
        <v>1337</v>
      </c>
      <c r="G569" t="s">
        <v>46</v>
      </c>
      <c r="H569">
        <v>570</v>
      </c>
      <c r="I569" t="s">
        <v>967</v>
      </c>
      <c r="J569" s="3" t="str">
        <f>IF(ISNUMBER(SEARCH(",Action,",","&amp;SUBSTITUTE(TableMain[[#This Row],[Tags]],", ",",")&amp;",")),"Y","N")</f>
        <v>Y</v>
      </c>
      <c r="K569" s="3" t="str">
        <f>IF(ISNUMBER(SEARCH(",Indie,",","&amp;SUBSTITUTE(TableMain[[#This Row],[Tags]],", ",",")&amp;",")),"Y","N")</f>
        <v>N</v>
      </c>
      <c r="L569" s="3" t="str">
        <f>IF(ISNUMBER(SEARCH(",Adventure,",","&amp;SUBSTITUTE(TableMain[[#This Row],[Tags]],", ",",")&amp;",")),"Y","N")</f>
        <v>Y</v>
      </c>
      <c r="M569" s="3" t="str">
        <f>IF(ISNUMBER(SEARCH(",Simulation,",","&amp;SUBSTITUTE(TableMain[[#This Row],[Tags]],", ",",")&amp;",")),"Y","N")</f>
        <v>N</v>
      </c>
      <c r="N569" s="3" t="str">
        <f>IF(ISNUMBER(SEARCH(",RPG,",","&amp;SUBSTITUTE(TableMain[[#This Row],[Tags]],", ",",")&amp;",")),"Y","N")</f>
        <v>N</v>
      </c>
      <c r="O569" s="3" t="str">
        <f>IF(ISNUMBER(SEARCH(",Strategy,",","&amp;SUBSTITUTE(TableMain[[#This Row],[Tags]],", ",",")&amp;",")),"Y","N")</f>
        <v>N</v>
      </c>
      <c r="P569" s="3" t="str">
        <f>IF(ISNUMBER(SEARCH(",Free To Play,",","&amp;SUBSTITUTE(TableMain[[#This Row],[Tags]],", ",",")&amp;",")),"Y","N")</f>
        <v>N</v>
      </c>
    </row>
    <row r="570" spans="1:16" x14ac:dyDescent="0.35">
      <c r="A570">
        <v>359870</v>
      </c>
      <c r="B570" t="s">
        <v>1338</v>
      </c>
      <c r="C570" s="1">
        <v>42502</v>
      </c>
      <c r="D570">
        <v>776</v>
      </c>
      <c r="E570" t="b">
        <v>0</v>
      </c>
      <c r="F570" t="s">
        <v>1339</v>
      </c>
      <c r="G570" t="s">
        <v>132</v>
      </c>
      <c r="H570">
        <v>571</v>
      </c>
      <c r="I570" t="s">
        <v>110</v>
      </c>
      <c r="J570" s="3" t="str">
        <f>IF(ISNUMBER(SEARCH(",Action,",","&amp;SUBSTITUTE(TableMain[[#This Row],[Tags]],", ",",")&amp;",")),"Y","N")</f>
        <v>N</v>
      </c>
      <c r="K570" s="3" t="str">
        <f>IF(ISNUMBER(SEARCH(",Indie,",","&amp;SUBSTITUTE(TableMain[[#This Row],[Tags]],", ",",")&amp;",")),"Y","N")</f>
        <v>N</v>
      </c>
      <c r="L570" s="3" t="str">
        <f>IF(ISNUMBER(SEARCH(",Adventure,",","&amp;SUBSTITUTE(TableMain[[#This Row],[Tags]],", ",",")&amp;",")),"Y","N")</f>
        <v>N</v>
      </c>
      <c r="M570" s="3" t="str">
        <f>IF(ISNUMBER(SEARCH(",Simulation,",","&amp;SUBSTITUTE(TableMain[[#This Row],[Tags]],", ",",")&amp;",")),"Y","N")</f>
        <v>N</v>
      </c>
      <c r="N570" s="3" t="str">
        <f>IF(ISNUMBER(SEARCH(",RPG,",","&amp;SUBSTITUTE(TableMain[[#This Row],[Tags]],", ",",")&amp;",")),"Y","N")</f>
        <v>Y</v>
      </c>
      <c r="O570" s="3" t="str">
        <f>IF(ISNUMBER(SEARCH(",Strategy,",","&amp;SUBSTITUTE(TableMain[[#This Row],[Tags]],", ",",")&amp;",")),"Y","N")</f>
        <v>N</v>
      </c>
      <c r="P570" s="3" t="str">
        <f>IF(ISNUMBER(SEARCH(",Free To Play,",","&amp;SUBSTITUTE(TableMain[[#This Row],[Tags]],", ",",")&amp;",")),"Y","N")</f>
        <v>N</v>
      </c>
    </row>
    <row r="571" spans="1:16" x14ac:dyDescent="0.35">
      <c r="A571">
        <v>500</v>
      </c>
      <c r="B571" t="s">
        <v>1340</v>
      </c>
      <c r="C571" s="1">
        <v>39769</v>
      </c>
      <c r="D571">
        <v>774</v>
      </c>
      <c r="E571" t="b">
        <v>0</v>
      </c>
      <c r="F571" t="s">
        <v>1341</v>
      </c>
      <c r="G571" t="s">
        <v>49</v>
      </c>
      <c r="H571">
        <v>572</v>
      </c>
      <c r="I571" t="s">
        <v>2084</v>
      </c>
      <c r="J571" s="3" t="str">
        <f>IF(ISNUMBER(SEARCH(",Action,",","&amp;SUBSTITUTE(TableMain[[#This Row],[Tags]],", ",",")&amp;",")),"Y","N")</f>
        <v>Y</v>
      </c>
      <c r="K571" s="3" t="str">
        <f>IF(ISNUMBER(SEARCH(",Indie,",","&amp;SUBSTITUTE(TableMain[[#This Row],[Tags]],", ",",")&amp;",")),"Y","N")</f>
        <v>N</v>
      </c>
      <c r="L571" s="3" t="str">
        <f>IF(ISNUMBER(SEARCH(",Adventure,",","&amp;SUBSTITUTE(TableMain[[#This Row],[Tags]],", ",",")&amp;",")),"Y","N")</f>
        <v>N</v>
      </c>
      <c r="M571" s="3" t="str">
        <f>IF(ISNUMBER(SEARCH(",Simulation,",","&amp;SUBSTITUTE(TableMain[[#This Row],[Tags]],", ",",")&amp;",")),"Y","N")</f>
        <v>N</v>
      </c>
      <c r="N571" s="3" t="str">
        <f>IF(ISNUMBER(SEARCH(",RPG,",","&amp;SUBSTITUTE(TableMain[[#This Row],[Tags]],", ",",")&amp;",")),"Y","N")</f>
        <v>N</v>
      </c>
      <c r="O571" s="3" t="str">
        <f>IF(ISNUMBER(SEARCH(",Strategy,",","&amp;SUBSTITUTE(TableMain[[#This Row],[Tags]],", ",",")&amp;",")),"Y","N")</f>
        <v>N</v>
      </c>
      <c r="P571" s="3" t="str">
        <f>IF(ISNUMBER(SEARCH(",Free To Play,",","&amp;SUBSTITUTE(TableMain[[#This Row],[Tags]],", ",",")&amp;",")),"Y","N")</f>
        <v>N</v>
      </c>
    </row>
    <row r="572" spans="1:16" x14ac:dyDescent="0.35">
      <c r="A572">
        <v>365590</v>
      </c>
      <c r="B572" t="s">
        <v>1342</v>
      </c>
      <c r="C572" s="1">
        <v>42436</v>
      </c>
      <c r="D572">
        <v>774</v>
      </c>
      <c r="E572" t="b">
        <v>0</v>
      </c>
      <c r="F572" t="s">
        <v>1343</v>
      </c>
      <c r="G572" t="s">
        <v>208</v>
      </c>
      <c r="H572">
        <v>572</v>
      </c>
      <c r="I572" t="s">
        <v>33</v>
      </c>
      <c r="J572" s="3" t="str">
        <f>IF(ISNUMBER(SEARCH(",Action,",","&amp;SUBSTITUTE(TableMain[[#This Row],[Tags]],", ",",")&amp;",")),"Y","N")</f>
        <v>Y</v>
      </c>
      <c r="K572" s="3" t="str">
        <f>IF(ISNUMBER(SEARCH(",Indie,",","&amp;SUBSTITUTE(TableMain[[#This Row],[Tags]],", ",",")&amp;",")),"Y","N")</f>
        <v>N</v>
      </c>
      <c r="L572" s="3" t="str">
        <f>IF(ISNUMBER(SEARCH(",Adventure,",","&amp;SUBSTITUTE(TableMain[[#This Row],[Tags]],", ",",")&amp;",")),"Y","N")</f>
        <v>Y</v>
      </c>
      <c r="M572" s="3" t="str">
        <f>IF(ISNUMBER(SEARCH(",Simulation,",","&amp;SUBSTITUTE(TableMain[[#This Row],[Tags]],", ",",")&amp;",")),"Y","N")</f>
        <v>N</v>
      </c>
      <c r="N572" s="3" t="str">
        <f>IF(ISNUMBER(SEARCH(",RPG,",","&amp;SUBSTITUTE(TableMain[[#This Row],[Tags]],", ",",")&amp;",")),"Y","N")</f>
        <v>Y</v>
      </c>
      <c r="O572" s="3" t="str">
        <f>IF(ISNUMBER(SEARCH(",Strategy,",","&amp;SUBSTITUTE(TableMain[[#This Row],[Tags]],", ",",")&amp;",")),"Y","N")</f>
        <v>N</v>
      </c>
      <c r="P572" s="3" t="str">
        <f>IF(ISNUMBER(SEARCH(",Free To Play,",","&amp;SUBSTITUTE(TableMain[[#This Row],[Tags]],", ",",")&amp;",")),"Y","N")</f>
        <v>N</v>
      </c>
    </row>
    <row r="573" spans="1:16" x14ac:dyDescent="0.35">
      <c r="A573">
        <v>2054970</v>
      </c>
      <c r="B573" t="s">
        <v>1344</v>
      </c>
      <c r="C573" s="1">
        <v>45372</v>
      </c>
      <c r="D573">
        <v>768</v>
      </c>
      <c r="E573" t="b">
        <v>0</v>
      </c>
      <c r="F573" t="s">
        <v>1345</v>
      </c>
      <c r="G573" t="s">
        <v>24</v>
      </c>
      <c r="H573">
        <v>574</v>
      </c>
      <c r="I573" t="s">
        <v>833</v>
      </c>
      <c r="J573" s="3" t="str">
        <f>IF(ISNUMBER(SEARCH(",Action,",","&amp;SUBSTITUTE(TableMain[[#This Row],[Tags]],", ",",")&amp;",")),"Y","N")</f>
        <v>Y</v>
      </c>
      <c r="K573" s="3" t="str">
        <f>IF(ISNUMBER(SEARCH(",Indie,",","&amp;SUBSTITUTE(TableMain[[#This Row],[Tags]],", ",",")&amp;",")),"Y","N")</f>
        <v>N</v>
      </c>
      <c r="L573" s="3" t="str">
        <f>IF(ISNUMBER(SEARCH(",Adventure,",","&amp;SUBSTITUTE(TableMain[[#This Row],[Tags]],", ",",")&amp;",")),"Y","N")</f>
        <v>N</v>
      </c>
      <c r="M573" s="3" t="str">
        <f>IF(ISNUMBER(SEARCH(",Simulation,",","&amp;SUBSTITUTE(TableMain[[#This Row],[Tags]],", ",",")&amp;",")),"Y","N")</f>
        <v>N</v>
      </c>
      <c r="N573" s="3" t="str">
        <f>IF(ISNUMBER(SEARCH(",RPG,",","&amp;SUBSTITUTE(TableMain[[#This Row],[Tags]],", ",",")&amp;",")),"Y","N")</f>
        <v>Y</v>
      </c>
      <c r="O573" s="3" t="str">
        <f>IF(ISNUMBER(SEARCH(",Strategy,",","&amp;SUBSTITUTE(TableMain[[#This Row],[Tags]],", ",",")&amp;",")),"Y","N")</f>
        <v>N</v>
      </c>
      <c r="P573" s="3" t="str">
        <f>IF(ISNUMBER(SEARCH(",Free To Play,",","&amp;SUBSTITUTE(TableMain[[#This Row],[Tags]],", ",",")&amp;",")),"Y","N")</f>
        <v>N</v>
      </c>
    </row>
    <row r="574" spans="1:16" x14ac:dyDescent="0.35">
      <c r="A574">
        <v>361280</v>
      </c>
      <c r="B574" t="s">
        <v>1346</v>
      </c>
      <c r="C574" s="1">
        <v>42523</v>
      </c>
      <c r="D574">
        <v>767</v>
      </c>
      <c r="E574" t="b">
        <v>1</v>
      </c>
      <c r="F574" t="s">
        <v>1333</v>
      </c>
      <c r="G574" t="s">
        <v>160</v>
      </c>
      <c r="H574">
        <v>575</v>
      </c>
      <c r="I574" t="s">
        <v>2084</v>
      </c>
      <c r="J574" s="3" t="str">
        <f>IF(ISNUMBER(SEARCH(",Action,",","&amp;SUBSTITUTE(TableMain[[#This Row],[Tags]],", ",",")&amp;",")),"Y","N")</f>
        <v>N</v>
      </c>
      <c r="K574" s="3" t="str">
        <f>IF(ISNUMBER(SEARCH(",Indie,",","&amp;SUBSTITUTE(TableMain[[#This Row],[Tags]],", ",",")&amp;",")),"Y","N")</f>
        <v>Y</v>
      </c>
      <c r="L574" s="3" t="str">
        <f>IF(ISNUMBER(SEARCH(",Adventure,",","&amp;SUBSTITUTE(TableMain[[#This Row],[Tags]],", ",",")&amp;",")),"Y","N")</f>
        <v>N</v>
      </c>
      <c r="M574" s="3" t="str">
        <f>IF(ISNUMBER(SEARCH(",Simulation,",","&amp;SUBSTITUTE(TableMain[[#This Row],[Tags]],", ",",")&amp;",")),"Y","N")</f>
        <v>Y</v>
      </c>
      <c r="N574" s="3" t="str">
        <f>IF(ISNUMBER(SEARCH(",RPG,",","&amp;SUBSTITUTE(TableMain[[#This Row],[Tags]],", ",",")&amp;",")),"Y","N")</f>
        <v>N</v>
      </c>
      <c r="O574" s="3" t="str">
        <f>IF(ISNUMBER(SEARCH(",Strategy,",","&amp;SUBSTITUTE(TableMain[[#This Row],[Tags]],", ",",")&amp;",")),"Y","N")</f>
        <v>Y</v>
      </c>
      <c r="P574" s="3" t="str">
        <f>IF(ISNUMBER(SEARCH(",Free To Play,",","&amp;SUBSTITUTE(TableMain[[#This Row],[Tags]],", ",",")&amp;",")),"Y","N")</f>
        <v>N</v>
      </c>
    </row>
    <row r="575" spans="1:16" x14ac:dyDescent="0.35">
      <c r="A575">
        <v>885970</v>
      </c>
      <c r="B575" t="s">
        <v>1347</v>
      </c>
      <c r="C575" s="1">
        <v>44315</v>
      </c>
      <c r="D575">
        <v>764</v>
      </c>
      <c r="E575" t="b">
        <v>1</v>
      </c>
      <c r="F575" t="s">
        <v>1348</v>
      </c>
      <c r="G575" t="s">
        <v>124</v>
      </c>
      <c r="H575">
        <v>576</v>
      </c>
      <c r="I575" t="s">
        <v>133</v>
      </c>
      <c r="J575" s="3" t="str">
        <f>IF(ISNUMBER(SEARCH(",Action,",","&amp;SUBSTITUTE(TableMain[[#This Row],[Tags]],", ",",")&amp;",")),"Y","N")</f>
        <v>N</v>
      </c>
      <c r="K575" s="3" t="str">
        <f>IF(ISNUMBER(SEARCH(",Indie,",","&amp;SUBSTITUTE(TableMain[[#This Row],[Tags]],", ",",")&amp;",")),"Y","N")</f>
        <v>N</v>
      </c>
      <c r="L575" s="3" t="str">
        <f>IF(ISNUMBER(SEARCH(",Adventure,",","&amp;SUBSTITUTE(TableMain[[#This Row],[Tags]],", ",",")&amp;",")),"Y","N")</f>
        <v>N</v>
      </c>
      <c r="M575" s="3" t="str">
        <f>IF(ISNUMBER(SEARCH(",Simulation,",","&amp;SUBSTITUTE(TableMain[[#This Row],[Tags]],", ",",")&amp;",")),"Y","N")</f>
        <v>N</v>
      </c>
      <c r="N575" s="3" t="str">
        <f>IF(ISNUMBER(SEARCH(",RPG,",","&amp;SUBSTITUTE(TableMain[[#This Row],[Tags]],", ",",")&amp;",")),"Y","N")</f>
        <v>N</v>
      </c>
      <c r="O575" s="3" t="str">
        <f>IF(ISNUMBER(SEARCH(",Strategy,",","&amp;SUBSTITUTE(TableMain[[#This Row],[Tags]],", ",",")&amp;",")),"Y","N")</f>
        <v>Y</v>
      </c>
      <c r="P575" s="3" t="str">
        <f>IF(ISNUMBER(SEARCH(",Free To Play,",","&amp;SUBSTITUTE(TableMain[[#This Row],[Tags]],", ",",")&amp;",")),"Y","N")</f>
        <v>N</v>
      </c>
    </row>
    <row r="576" spans="1:16" x14ac:dyDescent="0.35">
      <c r="A576">
        <v>629760</v>
      </c>
      <c r="B576" t="s">
        <v>1349</v>
      </c>
      <c r="C576" s="1">
        <v>43584</v>
      </c>
      <c r="D576">
        <v>764</v>
      </c>
      <c r="E576" t="b">
        <v>0</v>
      </c>
      <c r="F576" t="s">
        <v>1350</v>
      </c>
      <c r="G576" t="s">
        <v>116</v>
      </c>
      <c r="H576">
        <v>576</v>
      </c>
      <c r="I576" t="s">
        <v>53</v>
      </c>
      <c r="J576" s="3" t="str">
        <f>IF(ISNUMBER(SEARCH(",Action,",","&amp;SUBSTITUTE(TableMain[[#This Row],[Tags]],", ",",")&amp;",")),"Y","N")</f>
        <v>Y</v>
      </c>
      <c r="K576" s="3" t="str">
        <f>IF(ISNUMBER(SEARCH(",Indie,",","&amp;SUBSTITUTE(TableMain[[#This Row],[Tags]],", ",",")&amp;",")),"Y","N")</f>
        <v>Y</v>
      </c>
      <c r="L576" s="3" t="str">
        <f>IF(ISNUMBER(SEARCH(",Adventure,",","&amp;SUBSTITUTE(TableMain[[#This Row],[Tags]],", ",",")&amp;",")),"Y","N")</f>
        <v>N</v>
      </c>
      <c r="M576" s="3" t="str">
        <f>IF(ISNUMBER(SEARCH(",Simulation,",","&amp;SUBSTITUTE(TableMain[[#This Row],[Tags]],", ",",")&amp;",")),"Y","N")</f>
        <v>N</v>
      </c>
      <c r="N576" s="3" t="str">
        <f>IF(ISNUMBER(SEARCH(",RPG,",","&amp;SUBSTITUTE(TableMain[[#This Row],[Tags]],", ",",")&amp;",")),"Y","N")</f>
        <v>N</v>
      </c>
      <c r="O576" s="3" t="str">
        <f>IF(ISNUMBER(SEARCH(",Strategy,",","&amp;SUBSTITUTE(TableMain[[#This Row],[Tags]],", ",",")&amp;",")),"Y","N")</f>
        <v>N</v>
      </c>
      <c r="P576" s="3" t="str">
        <f>IF(ISNUMBER(SEARCH(",Free To Play,",","&amp;SUBSTITUTE(TableMain[[#This Row],[Tags]],", ",",")&amp;",")),"Y","N")</f>
        <v>N</v>
      </c>
    </row>
    <row r="577" spans="1:16" x14ac:dyDescent="0.35">
      <c r="A577">
        <v>3003300</v>
      </c>
      <c r="B577" t="s">
        <v>1351</v>
      </c>
      <c r="C577" s="1">
        <v>45701</v>
      </c>
      <c r="D577">
        <v>762</v>
      </c>
      <c r="E577" t="b">
        <v>0</v>
      </c>
      <c r="F577" t="s">
        <v>1352</v>
      </c>
      <c r="G577" t="s">
        <v>1353</v>
      </c>
      <c r="H577">
        <v>578</v>
      </c>
      <c r="I577" t="s">
        <v>133</v>
      </c>
      <c r="J577" s="3" t="str">
        <f>IF(ISNUMBER(SEARCH(",Action,",","&amp;SUBSTITUTE(TableMain[[#This Row],[Tags]],", ",",")&amp;",")),"Y","N")</f>
        <v>N</v>
      </c>
      <c r="K577" s="3" t="str">
        <f>IF(ISNUMBER(SEARCH(",Indie,",","&amp;SUBSTITUTE(TableMain[[#This Row],[Tags]],", ",",")&amp;",")),"Y","N")</f>
        <v>N</v>
      </c>
      <c r="L577" s="3" t="str">
        <f>IF(ISNUMBER(SEARCH(",Adventure,",","&amp;SUBSTITUTE(TableMain[[#This Row],[Tags]],", ",",")&amp;",")),"Y","N")</f>
        <v>N</v>
      </c>
      <c r="M577" s="3" t="str">
        <f>IF(ISNUMBER(SEARCH(",Simulation,",","&amp;SUBSTITUTE(TableMain[[#This Row],[Tags]],", ",",")&amp;",")),"Y","N")</f>
        <v>N</v>
      </c>
      <c r="N577" s="3" t="str">
        <f>IF(ISNUMBER(SEARCH(",RPG,",","&amp;SUBSTITUTE(TableMain[[#This Row],[Tags]],", ",",")&amp;",")),"Y","N")</f>
        <v>N</v>
      </c>
      <c r="O577" s="3" t="str">
        <f>IF(ISNUMBER(SEARCH(",Strategy,",","&amp;SUBSTITUTE(TableMain[[#This Row],[Tags]],", ",",")&amp;",")),"Y","N")</f>
        <v>N</v>
      </c>
      <c r="P577" s="3" t="str">
        <f>IF(ISNUMBER(SEARCH(",Free To Play,",","&amp;SUBSTITUTE(TableMain[[#This Row],[Tags]],", ",",")&amp;",")),"Y","N")</f>
        <v>Y</v>
      </c>
    </row>
    <row r="578" spans="1:16" x14ac:dyDescent="0.35">
      <c r="A578">
        <v>1948800</v>
      </c>
      <c r="B578" t="s">
        <v>1354</v>
      </c>
      <c r="C578" s="1">
        <v>45312</v>
      </c>
      <c r="D578">
        <v>761</v>
      </c>
      <c r="E578" t="b">
        <v>1</v>
      </c>
      <c r="F578" t="s">
        <v>807</v>
      </c>
      <c r="G578" t="s">
        <v>451</v>
      </c>
      <c r="H578">
        <v>579</v>
      </c>
      <c r="I578" t="s">
        <v>14</v>
      </c>
      <c r="J578" s="3" t="str">
        <f>IF(ISNUMBER(SEARCH(",Action,",","&amp;SUBSTITUTE(TableMain[[#This Row],[Tags]],", ",",")&amp;",")),"Y","N")</f>
        <v>N</v>
      </c>
      <c r="K578" s="3" t="str">
        <f>IF(ISNUMBER(SEARCH(",Indie,",","&amp;SUBSTITUTE(TableMain[[#This Row],[Tags]],", ",",")&amp;",")),"Y","N")</f>
        <v>Y</v>
      </c>
      <c r="L578" s="3" t="str">
        <f>IF(ISNUMBER(SEARCH(",Adventure,",","&amp;SUBSTITUTE(TableMain[[#This Row],[Tags]],", ",",")&amp;",")),"Y","N")</f>
        <v>N</v>
      </c>
      <c r="M578" s="3" t="str">
        <f>IF(ISNUMBER(SEARCH(",Simulation,",","&amp;SUBSTITUTE(TableMain[[#This Row],[Tags]],", ",",")&amp;",")),"Y","N")</f>
        <v>N</v>
      </c>
      <c r="N578" s="3" t="str">
        <f>IF(ISNUMBER(SEARCH(",RPG,",","&amp;SUBSTITUTE(TableMain[[#This Row],[Tags]],", ",",")&amp;",")),"Y","N")</f>
        <v>N</v>
      </c>
      <c r="O578" s="3" t="str">
        <f>IF(ISNUMBER(SEARCH(",Strategy,",","&amp;SUBSTITUTE(TableMain[[#This Row],[Tags]],", ",",")&amp;",")),"Y","N")</f>
        <v>Y</v>
      </c>
      <c r="P578" s="3" t="str">
        <f>IF(ISNUMBER(SEARCH(",Free To Play,",","&amp;SUBSTITUTE(TableMain[[#This Row],[Tags]],", ",",")&amp;",")),"Y","N")</f>
        <v>Y</v>
      </c>
    </row>
    <row r="579" spans="1:16" x14ac:dyDescent="0.35">
      <c r="A579">
        <v>1462040</v>
      </c>
      <c r="B579" t="s">
        <v>1355</v>
      </c>
      <c r="C579" s="1">
        <v>44729</v>
      </c>
      <c r="D579">
        <v>761</v>
      </c>
      <c r="E579" t="b">
        <v>0</v>
      </c>
      <c r="F579" t="s">
        <v>1053</v>
      </c>
      <c r="G579" t="s">
        <v>208</v>
      </c>
      <c r="H579">
        <v>579</v>
      </c>
      <c r="I579" t="s">
        <v>486</v>
      </c>
      <c r="J579" s="3" t="str">
        <f>IF(ISNUMBER(SEARCH(",Action,",","&amp;SUBSTITUTE(TableMain[[#This Row],[Tags]],", ",",")&amp;",")),"Y","N")</f>
        <v>Y</v>
      </c>
      <c r="K579" s="3" t="str">
        <f>IF(ISNUMBER(SEARCH(",Indie,",","&amp;SUBSTITUTE(TableMain[[#This Row],[Tags]],", ",",")&amp;",")),"Y","N")</f>
        <v>N</v>
      </c>
      <c r="L579" s="3" t="str">
        <f>IF(ISNUMBER(SEARCH(",Adventure,",","&amp;SUBSTITUTE(TableMain[[#This Row],[Tags]],", ",",")&amp;",")),"Y","N")</f>
        <v>Y</v>
      </c>
      <c r="M579" s="3" t="str">
        <f>IF(ISNUMBER(SEARCH(",Simulation,",","&amp;SUBSTITUTE(TableMain[[#This Row],[Tags]],", ",",")&amp;",")),"Y","N")</f>
        <v>N</v>
      </c>
      <c r="N579" s="3" t="str">
        <f>IF(ISNUMBER(SEARCH(",RPG,",","&amp;SUBSTITUTE(TableMain[[#This Row],[Tags]],", ",",")&amp;",")),"Y","N")</f>
        <v>Y</v>
      </c>
      <c r="O579" s="3" t="str">
        <f>IF(ISNUMBER(SEARCH(",Strategy,",","&amp;SUBSTITUTE(TableMain[[#This Row],[Tags]],", ",",")&amp;",")),"Y","N")</f>
        <v>N</v>
      </c>
      <c r="P579" s="3" t="str">
        <f>IF(ISNUMBER(SEARCH(",Free To Play,",","&amp;SUBSTITUTE(TableMain[[#This Row],[Tags]],", ",",")&amp;",")),"Y","N")</f>
        <v>N</v>
      </c>
    </row>
    <row r="580" spans="1:16" x14ac:dyDescent="0.35">
      <c r="A580">
        <v>304050</v>
      </c>
      <c r="B580" t="s">
        <v>1356</v>
      </c>
      <c r="C580" s="1">
        <v>42194</v>
      </c>
      <c r="D580">
        <v>758</v>
      </c>
      <c r="E580" t="b">
        <v>0</v>
      </c>
      <c r="F580" t="s">
        <v>1357</v>
      </c>
      <c r="G580" t="s">
        <v>330</v>
      </c>
      <c r="H580">
        <v>581</v>
      </c>
      <c r="I580" t="s">
        <v>33</v>
      </c>
      <c r="J580" s="3" t="str">
        <f>IF(ISNUMBER(SEARCH(",Action,",","&amp;SUBSTITUTE(TableMain[[#This Row],[Tags]],", ",",")&amp;",")),"Y","N")</f>
        <v>Y</v>
      </c>
      <c r="K580" s="3" t="str">
        <f>IF(ISNUMBER(SEARCH(",Indie,",","&amp;SUBSTITUTE(TableMain[[#This Row],[Tags]],", ",",")&amp;",")),"Y","N")</f>
        <v>N</v>
      </c>
      <c r="L580" s="3" t="str">
        <f>IF(ISNUMBER(SEARCH(",Adventure,",","&amp;SUBSTITUTE(TableMain[[#This Row],[Tags]],", ",",")&amp;",")),"Y","N")</f>
        <v>Y</v>
      </c>
      <c r="M580" s="3" t="str">
        <f>IF(ISNUMBER(SEARCH(",Simulation,",","&amp;SUBSTITUTE(TableMain[[#This Row],[Tags]],", ",",")&amp;",")),"Y","N")</f>
        <v>N</v>
      </c>
      <c r="N580" s="3" t="str">
        <f>IF(ISNUMBER(SEARCH(",RPG,",","&amp;SUBSTITUTE(TableMain[[#This Row],[Tags]],", ",",")&amp;",")),"Y","N")</f>
        <v>Y</v>
      </c>
      <c r="O580" s="3" t="str">
        <f>IF(ISNUMBER(SEARCH(",Strategy,",","&amp;SUBSTITUTE(TableMain[[#This Row],[Tags]],", ",",")&amp;",")),"Y","N")</f>
        <v>N</v>
      </c>
      <c r="P580" s="3" t="str">
        <f>IF(ISNUMBER(SEARCH(",Free To Play,",","&amp;SUBSTITUTE(TableMain[[#This Row],[Tags]],", ",",")&amp;",")),"Y","N")</f>
        <v>Y</v>
      </c>
    </row>
    <row r="581" spans="1:16" x14ac:dyDescent="0.35">
      <c r="A581">
        <v>282070</v>
      </c>
      <c r="B581" t="s">
        <v>1358</v>
      </c>
      <c r="C581" s="1">
        <v>41957</v>
      </c>
      <c r="D581">
        <v>756</v>
      </c>
      <c r="E581" t="b">
        <v>1</v>
      </c>
      <c r="F581" t="s">
        <v>942</v>
      </c>
      <c r="G581" t="s">
        <v>457</v>
      </c>
      <c r="H581">
        <v>582</v>
      </c>
      <c r="I581" t="s">
        <v>967</v>
      </c>
      <c r="J581" s="3" t="str">
        <f>IF(ISNUMBER(SEARCH(",Action,",","&amp;SUBSTITUTE(TableMain[[#This Row],[Tags]],", ",",")&amp;",")),"Y","N")</f>
        <v>N</v>
      </c>
      <c r="K581" s="3" t="str">
        <f>IF(ISNUMBER(SEARCH(",Indie,",","&amp;SUBSTITUTE(TableMain[[#This Row],[Tags]],", ",",")&amp;",")),"Y","N")</f>
        <v>Y</v>
      </c>
      <c r="L581" s="3" t="str">
        <f>IF(ISNUMBER(SEARCH(",Adventure,",","&amp;SUBSTITUTE(TableMain[[#This Row],[Tags]],", ",",")&amp;",")),"Y","N")</f>
        <v>Y</v>
      </c>
      <c r="M581" s="3" t="str">
        <f>IF(ISNUMBER(SEARCH(",Simulation,",","&amp;SUBSTITUTE(TableMain[[#This Row],[Tags]],", ",",")&amp;",")),"Y","N")</f>
        <v>Y</v>
      </c>
      <c r="N581" s="3" t="str">
        <f>IF(ISNUMBER(SEARCH(",RPG,",","&amp;SUBSTITUTE(TableMain[[#This Row],[Tags]],", ",",")&amp;",")),"Y","N")</f>
        <v>N</v>
      </c>
      <c r="O581" s="3" t="str">
        <f>IF(ISNUMBER(SEARCH(",Strategy,",","&amp;SUBSTITUTE(TableMain[[#This Row],[Tags]],", ",",")&amp;",")),"Y","N")</f>
        <v>N</v>
      </c>
      <c r="P581" s="3" t="str">
        <f>IF(ISNUMBER(SEARCH(",Free To Play,",","&amp;SUBSTITUTE(TableMain[[#This Row],[Tags]],", ",",")&amp;",")),"Y","N")</f>
        <v>N</v>
      </c>
    </row>
    <row r="582" spans="1:16" x14ac:dyDescent="0.35">
      <c r="A582">
        <v>704450</v>
      </c>
      <c r="B582" t="s">
        <v>1359</v>
      </c>
      <c r="C582" s="1">
        <v>43186</v>
      </c>
      <c r="D582">
        <v>753</v>
      </c>
      <c r="E582" t="b">
        <v>1</v>
      </c>
      <c r="F582" t="s">
        <v>1360</v>
      </c>
      <c r="G582" t="s">
        <v>132</v>
      </c>
      <c r="H582">
        <v>583</v>
      </c>
      <c r="I582" t="s">
        <v>14</v>
      </c>
      <c r="J582" s="3" t="str">
        <f>IF(ISNUMBER(SEARCH(",Action,",","&amp;SUBSTITUTE(TableMain[[#This Row],[Tags]],", ",",")&amp;",")),"Y","N")</f>
        <v>N</v>
      </c>
      <c r="K582" s="3" t="str">
        <f>IF(ISNUMBER(SEARCH(",Indie,",","&amp;SUBSTITUTE(TableMain[[#This Row],[Tags]],", ",",")&amp;",")),"Y","N")</f>
        <v>N</v>
      </c>
      <c r="L582" s="3" t="str">
        <f>IF(ISNUMBER(SEARCH(",Adventure,",","&amp;SUBSTITUTE(TableMain[[#This Row],[Tags]],", ",",")&amp;",")),"Y","N")</f>
        <v>N</v>
      </c>
      <c r="M582" s="3" t="str">
        <f>IF(ISNUMBER(SEARCH(",Simulation,",","&amp;SUBSTITUTE(TableMain[[#This Row],[Tags]],", ",",")&amp;",")),"Y","N")</f>
        <v>N</v>
      </c>
      <c r="N582" s="3" t="str">
        <f>IF(ISNUMBER(SEARCH(",RPG,",","&amp;SUBSTITUTE(TableMain[[#This Row],[Tags]],", ",",")&amp;",")),"Y","N")</f>
        <v>Y</v>
      </c>
      <c r="O582" s="3" t="str">
        <f>IF(ISNUMBER(SEARCH(",Strategy,",","&amp;SUBSTITUTE(TableMain[[#This Row],[Tags]],", ",",")&amp;",")),"Y","N")</f>
        <v>N</v>
      </c>
      <c r="P582" s="3" t="str">
        <f>IF(ISNUMBER(SEARCH(",Free To Play,",","&amp;SUBSTITUTE(TableMain[[#This Row],[Tags]],", ",",")&amp;",")),"Y","N")</f>
        <v>N</v>
      </c>
    </row>
    <row r="583" spans="1:16" x14ac:dyDescent="0.35">
      <c r="A583">
        <v>40970</v>
      </c>
      <c r="B583" t="s">
        <v>1361</v>
      </c>
      <c r="C583" s="1">
        <v>41568</v>
      </c>
      <c r="D583">
        <v>746</v>
      </c>
      <c r="E583" t="b">
        <v>0</v>
      </c>
      <c r="F583" t="s">
        <v>1362</v>
      </c>
      <c r="G583" t="s">
        <v>100</v>
      </c>
      <c r="H583">
        <v>584</v>
      </c>
      <c r="I583" t="s">
        <v>2084</v>
      </c>
      <c r="J583" s="3" t="str">
        <f>IF(ISNUMBER(SEARCH(",Action,",","&amp;SUBSTITUTE(TableMain[[#This Row],[Tags]],", ",",")&amp;",")),"Y","N")</f>
        <v>N</v>
      </c>
      <c r="K583" s="3" t="str">
        <f>IF(ISNUMBER(SEARCH(",Indie,",","&amp;SUBSTITUTE(TableMain[[#This Row],[Tags]],", ",",")&amp;",")),"Y","N")</f>
        <v>N</v>
      </c>
      <c r="L583" s="3" t="str">
        <f>IF(ISNUMBER(SEARCH(",Adventure,",","&amp;SUBSTITUTE(TableMain[[#This Row],[Tags]],", ",",")&amp;",")),"Y","N")</f>
        <v>N</v>
      </c>
      <c r="M583" s="3" t="str">
        <f>IF(ISNUMBER(SEARCH(",Simulation,",","&amp;SUBSTITUTE(TableMain[[#This Row],[Tags]],", ",",")&amp;",")),"Y","N")</f>
        <v>Y</v>
      </c>
      <c r="N583" s="3" t="str">
        <f>IF(ISNUMBER(SEARCH(",RPG,",","&amp;SUBSTITUTE(TableMain[[#This Row],[Tags]],", ",",")&amp;",")),"Y","N")</f>
        <v>N</v>
      </c>
      <c r="O583" s="3" t="str">
        <f>IF(ISNUMBER(SEARCH(",Strategy,",","&amp;SUBSTITUTE(TableMain[[#This Row],[Tags]],", ",",")&amp;",")),"Y","N")</f>
        <v>Y</v>
      </c>
      <c r="P583" s="3" t="str">
        <f>IF(ISNUMBER(SEARCH(",Free To Play,",","&amp;SUBSTITUTE(TableMain[[#This Row],[Tags]],", ",",")&amp;",")),"Y","N")</f>
        <v>N</v>
      </c>
    </row>
    <row r="584" spans="1:16" x14ac:dyDescent="0.35">
      <c r="A584">
        <v>625960</v>
      </c>
      <c r="B584" t="s">
        <v>1363</v>
      </c>
      <c r="C584" s="1">
        <v>43867</v>
      </c>
      <c r="D584">
        <v>744</v>
      </c>
      <c r="E584" t="b">
        <v>0</v>
      </c>
      <c r="F584" t="s">
        <v>1364</v>
      </c>
      <c r="G584" t="s">
        <v>1365</v>
      </c>
      <c r="H584">
        <v>585</v>
      </c>
      <c r="I584" t="s">
        <v>40</v>
      </c>
      <c r="J584" s="3" t="str">
        <f>IF(ISNUMBER(SEARCH(",Action,",","&amp;SUBSTITUTE(TableMain[[#This Row],[Tags]],", ",",")&amp;",")),"Y","N")</f>
        <v>N</v>
      </c>
      <c r="K584" s="3" t="str">
        <f>IF(ISNUMBER(SEARCH(",Indie,",","&amp;SUBSTITUTE(TableMain[[#This Row],[Tags]],", ",",")&amp;",")),"Y","N")</f>
        <v>Y</v>
      </c>
      <c r="L584" s="3" t="str">
        <f>IF(ISNUMBER(SEARCH(",Adventure,",","&amp;SUBSTITUTE(TableMain[[#This Row],[Tags]],", ",",")&amp;",")),"Y","N")</f>
        <v>Y</v>
      </c>
      <c r="M584" s="3" t="str">
        <f>IF(ISNUMBER(SEARCH(",Simulation,",","&amp;SUBSTITUTE(TableMain[[#This Row],[Tags]],", ",",")&amp;",")),"Y","N")</f>
        <v>N</v>
      </c>
      <c r="N584" s="3" t="str">
        <f>IF(ISNUMBER(SEARCH(",RPG,",","&amp;SUBSTITUTE(TableMain[[#This Row],[Tags]],", ",",")&amp;",")),"Y","N")</f>
        <v>Y</v>
      </c>
      <c r="O584" s="3" t="str">
        <f>IF(ISNUMBER(SEARCH(",Strategy,",","&amp;SUBSTITUTE(TableMain[[#This Row],[Tags]],", ",",")&amp;",")),"Y","N")</f>
        <v>Y</v>
      </c>
      <c r="P584" s="3" t="str">
        <f>IF(ISNUMBER(SEARCH(",Free To Play,",","&amp;SUBSTITUTE(TableMain[[#This Row],[Tags]],", ",",")&amp;",")),"Y","N")</f>
        <v>N</v>
      </c>
    </row>
    <row r="585" spans="1:16" x14ac:dyDescent="0.35">
      <c r="A585">
        <v>1718570</v>
      </c>
      <c r="B585" t="s">
        <v>1366</v>
      </c>
      <c r="C585" s="1">
        <v>44847</v>
      </c>
      <c r="D585">
        <v>742</v>
      </c>
      <c r="E585" t="b">
        <v>0</v>
      </c>
      <c r="F585" t="s">
        <v>416</v>
      </c>
      <c r="G585" t="s">
        <v>208</v>
      </c>
      <c r="H585">
        <v>586</v>
      </c>
      <c r="I585" t="s">
        <v>110</v>
      </c>
      <c r="J585" s="3" t="str">
        <f>IF(ISNUMBER(SEARCH(",Action,",","&amp;SUBSTITUTE(TableMain[[#This Row],[Tags]],", ",",")&amp;",")),"Y","N")</f>
        <v>Y</v>
      </c>
      <c r="K585" s="3" t="str">
        <f>IF(ISNUMBER(SEARCH(",Indie,",","&amp;SUBSTITUTE(TableMain[[#This Row],[Tags]],", ",",")&amp;",")),"Y","N")</f>
        <v>N</v>
      </c>
      <c r="L585" s="3" t="str">
        <f>IF(ISNUMBER(SEARCH(",Adventure,",","&amp;SUBSTITUTE(TableMain[[#This Row],[Tags]],", ",",")&amp;",")),"Y","N")</f>
        <v>Y</v>
      </c>
      <c r="M585" s="3" t="str">
        <f>IF(ISNUMBER(SEARCH(",Simulation,",","&amp;SUBSTITUTE(TableMain[[#This Row],[Tags]],", ",",")&amp;",")),"Y","N")</f>
        <v>N</v>
      </c>
      <c r="N585" s="3" t="str">
        <f>IF(ISNUMBER(SEARCH(",RPG,",","&amp;SUBSTITUTE(TableMain[[#This Row],[Tags]],", ",",")&amp;",")),"Y","N")</f>
        <v>Y</v>
      </c>
      <c r="O585" s="3" t="str">
        <f>IF(ISNUMBER(SEARCH(",Strategy,",","&amp;SUBSTITUTE(TableMain[[#This Row],[Tags]],", ",",")&amp;",")),"Y","N")</f>
        <v>N</v>
      </c>
      <c r="P585" s="3" t="str">
        <f>IF(ISNUMBER(SEARCH(",Free To Play,",","&amp;SUBSTITUTE(TableMain[[#This Row],[Tags]],", ",",")&amp;",")),"Y","N")</f>
        <v>N</v>
      </c>
    </row>
    <row r="586" spans="1:16" x14ac:dyDescent="0.35">
      <c r="A586">
        <v>1766060</v>
      </c>
      <c r="B586" t="s">
        <v>1367</v>
      </c>
      <c r="C586" s="1">
        <v>45187</v>
      </c>
      <c r="D586">
        <v>740</v>
      </c>
      <c r="E586" t="b">
        <v>0</v>
      </c>
      <c r="F586" t="s">
        <v>1368</v>
      </c>
      <c r="G586" t="s">
        <v>1220</v>
      </c>
      <c r="H586">
        <v>587</v>
      </c>
      <c r="I586" t="s">
        <v>36</v>
      </c>
      <c r="J586" s="3" t="str">
        <f>IF(ISNUMBER(SEARCH(",Action,",","&amp;SUBSTITUTE(TableMain[[#This Row],[Tags]],", ",",")&amp;",")),"Y","N")</f>
        <v>Y</v>
      </c>
      <c r="K586" s="3" t="str">
        <f>IF(ISNUMBER(SEARCH(",Indie,",","&amp;SUBSTITUTE(TableMain[[#This Row],[Tags]],", ",",")&amp;",")),"Y","N")</f>
        <v>N</v>
      </c>
      <c r="L586" s="3" t="str">
        <f>IF(ISNUMBER(SEARCH(",Adventure,",","&amp;SUBSTITUTE(TableMain[[#This Row],[Tags]],", ",",")&amp;",")),"Y","N")</f>
        <v>Y</v>
      </c>
      <c r="M586" s="3" t="str">
        <f>IF(ISNUMBER(SEARCH(",Simulation,",","&amp;SUBSTITUTE(TableMain[[#This Row],[Tags]],", ",",")&amp;",")),"Y","N")</f>
        <v>N</v>
      </c>
      <c r="N586" s="3" t="str">
        <f>IF(ISNUMBER(SEARCH(",RPG,",","&amp;SUBSTITUTE(TableMain[[#This Row],[Tags]],", ",",")&amp;",")),"Y","N")</f>
        <v>Y</v>
      </c>
      <c r="O586" s="3" t="str">
        <f>IF(ISNUMBER(SEARCH(",Strategy,",","&amp;SUBSTITUTE(TableMain[[#This Row],[Tags]],", ",",")&amp;",")),"Y","N")</f>
        <v>N</v>
      </c>
      <c r="P586" s="3" t="str">
        <f>IF(ISNUMBER(SEARCH(",Free To Play,",","&amp;SUBSTITUTE(TableMain[[#This Row],[Tags]],", ",",")&amp;",")),"Y","N")</f>
        <v>N</v>
      </c>
    </row>
    <row r="587" spans="1:16" x14ac:dyDescent="0.35">
      <c r="A587">
        <v>1419170</v>
      </c>
      <c r="B587" t="s">
        <v>1369</v>
      </c>
      <c r="C587" s="1">
        <v>44279</v>
      </c>
      <c r="D587">
        <v>740</v>
      </c>
      <c r="E587" t="b">
        <v>0</v>
      </c>
      <c r="F587" t="s">
        <v>1370</v>
      </c>
      <c r="G587" t="s">
        <v>609</v>
      </c>
      <c r="H587">
        <v>587</v>
      </c>
      <c r="I587" t="s">
        <v>14</v>
      </c>
      <c r="J587" s="3" t="str">
        <f>IF(ISNUMBER(SEARCH(",Action,",","&amp;SUBSTITUTE(TableMain[[#This Row],[Tags]],", ",",")&amp;",")),"Y","N")</f>
        <v>N</v>
      </c>
      <c r="K587" s="3" t="str">
        <f>IF(ISNUMBER(SEARCH(",Indie,",","&amp;SUBSTITUTE(TableMain[[#This Row],[Tags]],", ",",")&amp;",")),"Y","N")</f>
        <v>N</v>
      </c>
      <c r="L587" s="3" t="str">
        <f>IF(ISNUMBER(SEARCH(",Adventure,",","&amp;SUBSTITUTE(TableMain[[#This Row],[Tags]],", ",",")&amp;",")),"Y","N")</f>
        <v>N</v>
      </c>
      <c r="M587" s="3" t="str">
        <f>IF(ISNUMBER(SEARCH(",Simulation,",","&amp;SUBSTITUTE(TableMain[[#This Row],[Tags]],", ",",")&amp;",")),"Y","N")</f>
        <v>Y</v>
      </c>
      <c r="N587" s="3" t="str">
        <f>IF(ISNUMBER(SEARCH(",RPG,",","&amp;SUBSTITUTE(TableMain[[#This Row],[Tags]],", ",",")&amp;",")),"Y","N")</f>
        <v>N</v>
      </c>
      <c r="O587" s="3" t="str">
        <f>IF(ISNUMBER(SEARCH(",Strategy,",","&amp;SUBSTITUTE(TableMain[[#This Row],[Tags]],", ",",")&amp;",")),"Y","N")</f>
        <v>N</v>
      </c>
      <c r="P587" s="3" t="str">
        <f>IF(ISNUMBER(SEARCH(",Free To Play,",","&amp;SUBSTITUTE(TableMain[[#This Row],[Tags]],", ",",")&amp;",")),"Y","N")</f>
        <v>Y</v>
      </c>
    </row>
    <row r="588" spans="1:16" x14ac:dyDescent="0.35">
      <c r="A588">
        <v>2515020</v>
      </c>
      <c r="B588" t="s">
        <v>1371</v>
      </c>
      <c r="C588" s="1">
        <v>45552</v>
      </c>
      <c r="D588">
        <v>737</v>
      </c>
      <c r="E588" t="b">
        <v>0</v>
      </c>
      <c r="F588" t="s">
        <v>1372</v>
      </c>
      <c r="G588" t="s">
        <v>24</v>
      </c>
      <c r="H588">
        <v>589</v>
      </c>
      <c r="I588" t="s">
        <v>816</v>
      </c>
      <c r="J588" s="3" t="str">
        <f>IF(ISNUMBER(SEARCH(",Action,",","&amp;SUBSTITUTE(TableMain[[#This Row],[Tags]],", ",",")&amp;",")),"Y","N")</f>
        <v>Y</v>
      </c>
      <c r="K588" s="3" t="str">
        <f>IF(ISNUMBER(SEARCH(",Indie,",","&amp;SUBSTITUTE(TableMain[[#This Row],[Tags]],", ",",")&amp;",")),"Y","N")</f>
        <v>N</v>
      </c>
      <c r="L588" s="3" t="str">
        <f>IF(ISNUMBER(SEARCH(",Adventure,",","&amp;SUBSTITUTE(TableMain[[#This Row],[Tags]],", ",",")&amp;",")),"Y","N")</f>
        <v>N</v>
      </c>
      <c r="M588" s="3" t="str">
        <f>IF(ISNUMBER(SEARCH(",Simulation,",","&amp;SUBSTITUTE(TableMain[[#This Row],[Tags]],", ",",")&amp;",")),"Y","N")</f>
        <v>N</v>
      </c>
      <c r="N588" s="3" t="str">
        <f>IF(ISNUMBER(SEARCH(",RPG,",","&amp;SUBSTITUTE(TableMain[[#This Row],[Tags]],", ",",")&amp;",")),"Y","N")</f>
        <v>Y</v>
      </c>
      <c r="O588" s="3" t="str">
        <f>IF(ISNUMBER(SEARCH(",Strategy,",","&amp;SUBSTITUTE(TableMain[[#This Row],[Tags]],", ",",")&amp;",")),"Y","N")</f>
        <v>N</v>
      </c>
      <c r="P588" s="3" t="str">
        <f>IF(ISNUMBER(SEARCH(",Free To Play,",","&amp;SUBSTITUTE(TableMain[[#This Row],[Tags]],", ",",")&amp;",")),"Y","N")</f>
        <v>N</v>
      </c>
    </row>
    <row r="589" spans="1:16" x14ac:dyDescent="0.35">
      <c r="A589">
        <v>1677110</v>
      </c>
      <c r="B589" t="s">
        <v>1373</v>
      </c>
      <c r="C589" s="1">
        <v>45370</v>
      </c>
      <c r="D589">
        <v>732</v>
      </c>
      <c r="E589" t="b">
        <v>0</v>
      </c>
      <c r="F589" t="s">
        <v>546</v>
      </c>
      <c r="G589" t="s">
        <v>1374</v>
      </c>
      <c r="H589">
        <v>590</v>
      </c>
      <c r="I589" t="s">
        <v>1101</v>
      </c>
      <c r="J589" s="3" t="str">
        <f>IF(ISNUMBER(SEARCH(",Action,",","&amp;SUBSTITUTE(TableMain[[#This Row],[Tags]],", ",",")&amp;",")),"Y","N")</f>
        <v>N</v>
      </c>
      <c r="K589" s="3" t="str">
        <f>IF(ISNUMBER(SEARCH(",Indie,",","&amp;SUBSTITUTE(TableMain[[#This Row],[Tags]],", ",",")&amp;",")),"Y","N")</f>
        <v>N</v>
      </c>
      <c r="L589" s="3" t="str">
        <f>IF(ISNUMBER(SEARCH(",Adventure,",","&amp;SUBSTITUTE(TableMain[[#This Row],[Tags]],", ",",")&amp;",")),"Y","N")</f>
        <v>N</v>
      </c>
      <c r="M589" s="3" t="str">
        <f>IF(ISNUMBER(SEARCH(",Simulation,",","&amp;SUBSTITUTE(TableMain[[#This Row],[Tags]],", ",",")&amp;",")),"Y","N")</f>
        <v>N</v>
      </c>
      <c r="N589" s="3" t="str">
        <f>IF(ISNUMBER(SEARCH(",RPG,",","&amp;SUBSTITUTE(TableMain[[#This Row],[Tags]],", ",",")&amp;",")),"Y","N")</f>
        <v>N</v>
      </c>
      <c r="O589" s="3" t="str">
        <f>IF(ISNUMBER(SEARCH(",Strategy,",","&amp;SUBSTITUTE(TableMain[[#This Row],[Tags]],", ",",")&amp;",")),"Y","N")</f>
        <v>N</v>
      </c>
      <c r="P589" s="3" t="str">
        <f>IF(ISNUMBER(SEARCH(",Free To Play,",","&amp;SUBSTITUTE(TableMain[[#This Row],[Tags]],", ",",")&amp;",")),"Y","N")</f>
        <v>N</v>
      </c>
    </row>
    <row r="590" spans="1:16" x14ac:dyDescent="0.35">
      <c r="A590">
        <v>3191030</v>
      </c>
      <c r="B590" t="s">
        <v>1375</v>
      </c>
      <c r="C590" s="1">
        <v>45723</v>
      </c>
      <c r="D590">
        <v>731</v>
      </c>
      <c r="E590" t="b">
        <v>0</v>
      </c>
      <c r="F590" t="s">
        <v>1091</v>
      </c>
      <c r="G590" t="s">
        <v>124</v>
      </c>
      <c r="H590">
        <v>591</v>
      </c>
      <c r="I590" t="s">
        <v>14</v>
      </c>
      <c r="J590" s="3" t="str">
        <f>IF(ISNUMBER(SEARCH(",Action,",","&amp;SUBSTITUTE(TableMain[[#This Row],[Tags]],", ",",")&amp;",")),"Y","N")</f>
        <v>N</v>
      </c>
      <c r="K590" s="3" t="str">
        <f>IF(ISNUMBER(SEARCH(",Indie,",","&amp;SUBSTITUTE(TableMain[[#This Row],[Tags]],", ",",")&amp;",")),"Y","N")</f>
        <v>N</v>
      </c>
      <c r="L590" s="3" t="str">
        <f>IF(ISNUMBER(SEARCH(",Adventure,",","&amp;SUBSTITUTE(TableMain[[#This Row],[Tags]],", ",",")&amp;",")),"Y","N")</f>
        <v>N</v>
      </c>
      <c r="M590" s="3" t="str">
        <f>IF(ISNUMBER(SEARCH(",Simulation,",","&amp;SUBSTITUTE(TableMain[[#This Row],[Tags]],", ",",")&amp;",")),"Y","N")</f>
        <v>N</v>
      </c>
      <c r="N590" s="3" t="str">
        <f>IF(ISNUMBER(SEARCH(",RPG,",","&amp;SUBSTITUTE(TableMain[[#This Row],[Tags]],", ",",")&amp;",")),"Y","N")</f>
        <v>N</v>
      </c>
      <c r="O590" s="3" t="str">
        <f>IF(ISNUMBER(SEARCH(",Strategy,",","&amp;SUBSTITUTE(TableMain[[#This Row],[Tags]],", ",",")&amp;",")),"Y","N")</f>
        <v>Y</v>
      </c>
      <c r="P590" s="3" t="str">
        <f>IF(ISNUMBER(SEARCH(",Free To Play,",","&amp;SUBSTITUTE(TableMain[[#This Row],[Tags]],", ",",")&amp;",")),"Y","N")</f>
        <v>N</v>
      </c>
    </row>
    <row r="591" spans="1:16" x14ac:dyDescent="0.35">
      <c r="A591">
        <v>2773280</v>
      </c>
      <c r="B591" t="s">
        <v>1376</v>
      </c>
      <c r="C591" s="1">
        <v>45727</v>
      </c>
      <c r="D591">
        <v>723</v>
      </c>
      <c r="E591" t="b">
        <v>1</v>
      </c>
      <c r="F591" t="s">
        <v>1377</v>
      </c>
      <c r="G591" t="s">
        <v>1044</v>
      </c>
      <c r="H591">
        <v>592</v>
      </c>
      <c r="I591" t="s">
        <v>304</v>
      </c>
      <c r="J591" s="3" t="str">
        <f>IF(ISNUMBER(SEARCH(",Action,",","&amp;SUBSTITUTE(TableMain[[#This Row],[Tags]],", ",",")&amp;",")),"Y","N")</f>
        <v>Y</v>
      </c>
      <c r="K591" s="3" t="str">
        <f>IF(ISNUMBER(SEARCH(",Indie,",","&amp;SUBSTITUTE(TableMain[[#This Row],[Tags]],", ",",")&amp;",")),"Y","N")</f>
        <v>N</v>
      </c>
      <c r="L591" s="3" t="str">
        <f>IF(ISNUMBER(SEARCH(",Adventure,",","&amp;SUBSTITUTE(TableMain[[#This Row],[Tags]],", ",",")&amp;",")),"Y","N")</f>
        <v>N</v>
      </c>
      <c r="M591" s="3" t="str">
        <f>IF(ISNUMBER(SEARCH(",Simulation,",","&amp;SUBSTITUTE(TableMain[[#This Row],[Tags]],", ",",")&amp;",")),"Y","N")</f>
        <v>Y</v>
      </c>
      <c r="N591" s="3" t="str">
        <f>IF(ISNUMBER(SEARCH(",RPG,",","&amp;SUBSTITUTE(TableMain[[#This Row],[Tags]],", ",",")&amp;",")),"Y","N")</f>
        <v>Y</v>
      </c>
      <c r="O591" s="3" t="str">
        <f>IF(ISNUMBER(SEARCH(",Strategy,",","&amp;SUBSTITUTE(TableMain[[#This Row],[Tags]],", ",",")&amp;",")),"Y","N")</f>
        <v>N</v>
      </c>
      <c r="P591" s="3" t="str">
        <f>IF(ISNUMBER(SEARCH(",Free To Play,",","&amp;SUBSTITUTE(TableMain[[#This Row],[Tags]],", ",",")&amp;",")),"Y","N")</f>
        <v>N</v>
      </c>
    </row>
    <row r="592" spans="1:16" x14ac:dyDescent="0.35">
      <c r="A592">
        <v>2881650</v>
      </c>
      <c r="B592" t="s">
        <v>1378</v>
      </c>
      <c r="C592" s="1">
        <v>45383</v>
      </c>
      <c r="D592">
        <v>722</v>
      </c>
      <c r="E592" t="b">
        <v>0</v>
      </c>
      <c r="F592" t="s">
        <v>1379</v>
      </c>
      <c r="G592" t="s">
        <v>446</v>
      </c>
      <c r="H592">
        <v>593</v>
      </c>
      <c r="I592" t="s">
        <v>53</v>
      </c>
      <c r="J592" s="3" t="str">
        <f>IF(ISNUMBER(SEARCH(",Action,",","&amp;SUBSTITUTE(TableMain[[#This Row],[Tags]],", ",",")&amp;",")),"Y","N")</f>
        <v>Y</v>
      </c>
      <c r="K592" s="3" t="str">
        <f>IF(ISNUMBER(SEARCH(",Indie,",","&amp;SUBSTITUTE(TableMain[[#This Row],[Tags]],", ",",")&amp;",")),"Y","N")</f>
        <v>Y</v>
      </c>
      <c r="L592" s="3" t="str">
        <f>IF(ISNUMBER(SEARCH(",Adventure,",","&amp;SUBSTITUTE(TableMain[[#This Row],[Tags]],", ",",")&amp;",")),"Y","N")</f>
        <v>Y</v>
      </c>
      <c r="M592" s="3" t="str">
        <f>IF(ISNUMBER(SEARCH(",Simulation,",","&amp;SUBSTITUTE(TableMain[[#This Row],[Tags]],", ",",")&amp;",")),"Y","N")</f>
        <v>N</v>
      </c>
      <c r="N592" s="3" t="str">
        <f>IF(ISNUMBER(SEARCH(",RPG,",","&amp;SUBSTITUTE(TableMain[[#This Row],[Tags]],", ",",")&amp;",")),"Y","N")</f>
        <v>N</v>
      </c>
      <c r="O592" s="3" t="str">
        <f>IF(ISNUMBER(SEARCH(",Strategy,",","&amp;SUBSTITUTE(TableMain[[#This Row],[Tags]],", ",",")&amp;",")),"Y","N")</f>
        <v>N</v>
      </c>
      <c r="P592" s="3" t="str">
        <f>IF(ISNUMBER(SEARCH(",Free To Play,",","&amp;SUBSTITUTE(TableMain[[#This Row],[Tags]],", ",",")&amp;",")),"Y","N")</f>
        <v>N</v>
      </c>
    </row>
    <row r="593" spans="1:16" x14ac:dyDescent="0.35">
      <c r="A593">
        <v>920210</v>
      </c>
      <c r="B593" t="s">
        <v>1380</v>
      </c>
      <c r="C593" s="1">
        <v>44656</v>
      </c>
      <c r="D593">
        <v>719</v>
      </c>
      <c r="E593" t="b">
        <v>0</v>
      </c>
      <c r="F593" t="s">
        <v>1381</v>
      </c>
      <c r="G593" t="s">
        <v>46</v>
      </c>
      <c r="H593">
        <v>594</v>
      </c>
      <c r="I593" t="s">
        <v>133</v>
      </c>
      <c r="J593" s="3" t="str">
        <f>IF(ISNUMBER(SEARCH(",Action,",","&amp;SUBSTITUTE(TableMain[[#This Row],[Tags]],", ",",")&amp;",")),"Y","N")</f>
        <v>Y</v>
      </c>
      <c r="K593" s="3" t="str">
        <f>IF(ISNUMBER(SEARCH(",Indie,",","&amp;SUBSTITUTE(TableMain[[#This Row],[Tags]],", ",",")&amp;",")),"Y","N")</f>
        <v>N</v>
      </c>
      <c r="L593" s="3" t="str">
        <f>IF(ISNUMBER(SEARCH(",Adventure,",","&amp;SUBSTITUTE(TableMain[[#This Row],[Tags]],", ",",")&amp;",")),"Y","N")</f>
        <v>Y</v>
      </c>
      <c r="M593" s="3" t="str">
        <f>IF(ISNUMBER(SEARCH(",Simulation,",","&amp;SUBSTITUTE(TableMain[[#This Row],[Tags]],", ",",")&amp;",")),"Y","N")</f>
        <v>N</v>
      </c>
      <c r="N593" s="3" t="str">
        <f>IF(ISNUMBER(SEARCH(",RPG,",","&amp;SUBSTITUTE(TableMain[[#This Row],[Tags]],", ",",")&amp;",")),"Y","N")</f>
        <v>N</v>
      </c>
      <c r="O593" s="3" t="str">
        <f>IF(ISNUMBER(SEARCH(",Strategy,",","&amp;SUBSTITUTE(TableMain[[#This Row],[Tags]],", ",",")&amp;",")),"Y","N")</f>
        <v>N</v>
      </c>
      <c r="P593" s="3" t="str">
        <f>IF(ISNUMBER(SEARCH(",Free To Play,",","&amp;SUBSTITUTE(TableMain[[#This Row],[Tags]],", ",",")&amp;",")),"Y","N")</f>
        <v>N</v>
      </c>
    </row>
    <row r="594" spans="1:16" x14ac:dyDescent="0.35">
      <c r="A594">
        <v>1029780</v>
      </c>
      <c r="B594" t="s">
        <v>1382</v>
      </c>
      <c r="C594" s="1">
        <v>44348</v>
      </c>
      <c r="D594">
        <v>713</v>
      </c>
      <c r="E594" t="b">
        <v>0</v>
      </c>
      <c r="F594" t="s">
        <v>1383</v>
      </c>
      <c r="G594" t="s">
        <v>682</v>
      </c>
      <c r="H594">
        <v>595</v>
      </c>
      <c r="I594" t="s">
        <v>171</v>
      </c>
      <c r="J594" s="3" t="str">
        <f>IF(ISNUMBER(SEARCH(",Action,",","&amp;SUBSTITUTE(TableMain[[#This Row],[Tags]],", ",",")&amp;",")),"Y","N")</f>
        <v>N</v>
      </c>
      <c r="K594" s="3" t="str">
        <f>IF(ISNUMBER(SEARCH(",Indie,",","&amp;SUBSTITUTE(TableMain[[#This Row],[Tags]],", ",",")&amp;",")),"Y","N")</f>
        <v>Y</v>
      </c>
      <c r="L594" s="3" t="str">
        <f>IF(ISNUMBER(SEARCH(",Adventure,",","&amp;SUBSTITUTE(TableMain[[#This Row],[Tags]],", ",",")&amp;",")),"Y","N")</f>
        <v>N</v>
      </c>
      <c r="M594" s="3" t="str">
        <f>IF(ISNUMBER(SEARCH(",Simulation,",","&amp;SUBSTITUTE(TableMain[[#This Row],[Tags]],", ",",")&amp;",")),"Y","N")</f>
        <v>Y</v>
      </c>
      <c r="N594" s="3" t="str">
        <f>IF(ISNUMBER(SEARCH(",RPG,",","&amp;SUBSTITUTE(TableMain[[#This Row],[Tags]],", ",",")&amp;",")),"Y","N")</f>
        <v>Y</v>
      </c>
      <c r="O594" s="3" t="str">
        <f>IF(ISNUMBER(SEARCH(",Strategy,",","&amp;SUBSTITUTE(TableMain[[#This Row],[Tags]],", ",",")&amp;",")),"Y","N")</f>
        <v>Y</v>
      </c>
      <c r="P594" s="3" t="str">
        <f>IF(ISNUMBER(SEARCH(",Free To Play,",","&amp;SUBSTITUTE(TableMain[[#This Row],[Tags]],", ",",")&amp;",")),"Y","N")</f>
        <v>N</v>
      </c>
    </row>
    <row r="595" spans="1:16" x14ac:dyDescent="0.35">
      <c r="A595">
        <v>799960</v>
      </c>
      <c r="B595" t="s">
        <v>1384</v>
      </c>
      <c r="C595" s="1">
        <v>43349</v>
      </c>
      <c r="D595">
        <v>712</v>
      </c>
      <c r="E595" t="b">
        <v>0</v>
      </c>
      <c r="F595" t="s">
        <v>1385</v>
      </c>
      <c r="G595" t="s">
        <v>1386</v>
      </c>
      <c r="H595">
        <v>596</v>
      </c>
      <c r="I595" t="s">
        <v>14</v>
      </c>
      <c r="J595" s="3" t="str">
        <f>IF(ISNUMBER(SEARCH(",Action,",","&amp;SUBSTITUTE(TableMain[[#This Row],[Tags]],", ",",")&amp;",")),"Y","N")</f>
        <v>N</v>
      </c>
      <c r="K595" s="3" t="str">
        <f>IF(ISNUMBER(SEARCH(",Indie,",","&amp;SUBSTITUTE(TableMain[[#This Row],[Tags]],", ",",")&amp;",")),"Y","N")</f>
        <v>N</v>
      </c>
      <c r="L595" s="3" t="str">
        <f>IF(ISNUMBER(SEARCH(",Adventure,",","&amp;SUBSTITUTE(TableMain[[#This Row],[Tags]],", ",",")&amp;",")),"Y","N")</f>
        <v>Y</v>
      </c>
      <c r="M595" s="3" t="str">
        <f>IF(ISNUMBER(SEARCH(",Simulation,",","&amp;SUBSTITUTE(TableMain[[#This Row],[Tags]],", ",",")&amp;",")),"Y","N")</f>
        <v>N</v>
      </c>
      <c r="N595" s="3" t="str">
        <f>IF(ISNUMBER(SEARCH(",RPG,",","&amp;SUBSTITUTE(TableMain[[#This Row],[Tags]],", ",",")&amp;",")),"Y","N")</f>
        <v>Y</v>
      </c>
      <c r="O595" s="3" t="str">
        <f>IF(ISNUMBER(SEARCH(",Strategy,",","&amp;SUBSTITUTE(TableMain[[#This Row],[Tags]],", ",",")&amp;",")),"Y","N")</f>
        <v>Y</v>
      </c>
      <c r="P595" s="3" t="str">
        <f>IF(ISNUMBER(SEARCH(",Free To Play,",","&amp;SUBSTITUTE(TableMain[[#This Row],[Tags]],", ",",")&amp;",")),"Y","N")</f>
        <v>Y</v>
      </c>
    </row>
    <row r="596" spans="1:16" x14ac:dyDescent="0.35">
      <c r="A596">
        <v>244450</v>
      </c>
      <c r="B596" t="s">
        <v>1387</v>
      </c>
      <c r="C596" s="1">
        <v>41774</v>
      </c>
      <c r="D596">
        <v>711</v>
      </c>
      <c r="E596" t="b">
        <v>0</v>
      </c>
      <c r="F596" t="s">
        <v>1318</v>
      </c>
      <c r="G596" t="s">
        <v>265</v>
      </c>
      <c r="H596">
        <v>597</v>
      </c>
      <c r="I596" t="s">
        <v>2082</v>
      </c>
      <c r="J596" s="3" t="str">
        <f>IF(ISNUMBER(SEARCH(",Action,",","&amp;SUBSTITUTE(TableMain[[#This Row],[Tags]],", ",",")&amp;",")),"Y","N")</f>
        <v>Y</v>
      </c>
      <c r="K596" s="3" t="str">
        <f>IF(ISNUMBER(SEARCH(",Indie,",","&amp;SUBSTITUTE(TableMain[[#This Row],[Tags]],", ",",")&amp;",")),"Y","N")</f>
        <v>N</v>
      </c>
      <c r="L596" s="3" t="str">
        <f>IF(ISNUMBER(SEARCH(",Adventure,",","&amp;SUBSTITUTE(TableMain[[#This Row],[Tags]],", ",",")&amp;",")),"Y","N")</f>
        <v>N</v>
      </c>
      <c r="M596" s="3" t="str">
        <f>IF(ISNUMBER(SEARCH(",Simulation,",","&amp;SUBSTITUTE(TableMain[[#This Row],[Tags]],", ",",")&amp;",")),"Y","N")</f>
        <v>Y</v>
      </c>
      <c r="N596" s="3" t="str">
        <f>IF(ISNUMBER(SEARCH(",RPG,",","&amp;SUBSTITUTE(TableMain[[#This Row],[Tags]],", ",",")&amp;",")),"Y","N")</f>
        <v>N</v>
      </c>
      <c r="O596" s="3" t="str">
        <f>IF(ISNUMBER(SEARCH(",Strategy,",","&amp;SUBSTITUTE(TableMain[[#This Row],[Tags]],", ",",")&amp;",")),"Y","N")</f>
        <v>Y</v>
      </c>
      <c r="P596" s="3" t="str">
        <f>IF(ISNUMBER(SEARCH(",Free To Play,",","&amp;SUBSTITUTE(TableMain[[#This Row],[Tags]],", ",",")&amp;",")),"Y","N")</f>
        <v>N</v>
      </c>
    </row>
    <row r="597" spans="1:16" x14ac:dyDescent="0.35">
      <c r="A597">
        <v>972660</v>
      </c>
      <c r="B597" t="s">
        <v>1388</v>
      </c>
      <c r="C597" s="1">
        <v>44061</v>
      </c>
      <c r="D597">
        <v>702</v>
      </c>
      <c r="E597" t="b">
        <v>1</v>
      </c>
      <c r="F597" t="s">
        <v>1389</v>
      </c>
      <c r="G597" t="s">
        <v>457</v>
      </c>
      <c r="H597">
        <v>598</v>
      </c>
      <c r="I597" t="s">
        <v>14</v>
      </c>
      <c r="J597" s="3" t="str">
        <f>IF(ISNUMBER(SEARCH(",Action,",","&amp;SUBSTITUTE(TableMain[[#This Row],[Tags]],", ",",")&amp;",")),"Y","N")</f>
        <v>N</v>
      </c>
      <c r="K597" s="3" t="str">
        <f>IF(ISNUMBER(SEARCH(",Indie,",","&amp;SUBSTITUTE(TableMain[[#This Row],[Tags]],", ",",")&amp;",")),"Y","N")</f>
        <v>Y</v>
      </c>
      <c r="L597" s="3" t="str">
        <f>IF(ISNUMBER(SEARCH(",Adventure,",","&amp;SUBSTITUTE(TableMain[[#This Row],[Tags]],", ",",")&amp;",")),"Y","N")</f>
        <v>Y</v>
      </c>
      <c r="M597" s="3" t="str">
        <f>IF(ISNUMBER(SEARCH(",Simulation,",","&amp;SUBSTITUTE(TableMain[[#This Row],[Tags]],", ",",")&amp;",")),"Y","N")</f>
        <v>Y</v>
      </c>
      <c r="N597" s="3" t="str">
        <f>IF(ISNUMBER(SEARCH(",RPG,",","&amp;SUBSTITUTE(TableMain[[#This Row],[Tags]],", ",",")&amp;",")),"Y","N")</f>
        <v>N</v>
      </c>
      <c r="O597" s="3" t="str">
        <f>IF(ISNUMBER(SEARCH(",Strategy,",","&amp;SUBSTITUTE(TableMain[[#This Row],[Tags]],", ",",")&amp;",")),"Y","N")</f>
        <v>N</v>
      </c>
      <c r="P597" s="3" t="str">
        <f>IF(ISNUMBER(SEARCH(",Free To Play,",","&amp;SUBSTITUTE(TableMain[[#This Row],[Tags]],", ",",")&amp;",")),"Y","N")</f>
        <v>N</v>
      </c>
    </row>
    <row r="598" spans="1:16" x14ac:dyDescent="0.35">
      <c r="A598">
        <v>412020</v>
      </c>
      <c r="B598" t="s">
        <v>1390</v>
      </c>
      <c r="C598" s="1">
        <v>43875</v>
      </c>
      <c r="D598">
        <v>702</v>
      </c>
      <c r="E598" t="b">
        <v>1</v>
      </c>
      <c r="F598" t="s">
        <v>445</v>
      </c>
      <c r="G598" t="s">
        <v>49</v>
      </c>
      <c r="H598">
        <v>598</v>
      </c>
      <c r="I598" t="s">
        <v>25</v>
      </c>
      <c r="J598" s="3" t="str">
        <f>IF(ISNUMBER(SEARCH(",Action,",","&amp;SUBSTITUTE(TableMain[[#This Row],[Tags]],", ",",")&amp;",")),"Y","N")</f>
        <v>Y</v>
      </c>
      <c r="K598" s="3" t="str">
        <f>IF(ISNUMBER(SEARCH(",Indie,",","&amp;SUBSTITUTE(TableMain[[#This Row],[Tags]],", ",",")&amp;",")),"Y","N")</f>
        <v>N</v>
      </c>
      <c r="L598" s="3" t="str">
        <f>IF(ISNUMBER(SEARCH(",Adventure,",","&amp;SUBSTITUTE(TableMain[[#This Row],[Tags]],", ",",")&amp;",")),"Y","N")</f>
        <v>N</v>
      </c>
      <c r="M598" s="3" t="str">
        <f>IF(ISNUMBER(SEARCH(",Simulation,",","&amp;SUBSTITUTE(TableMain[[#This Row],[Tags]],", ",",")&amp;",")),"Y","N")</f>
        <v>N</v>
      </c>
      <c r="N598" s="3" t="str">
        <f>IF(ISNUMBER(SEARCH(",RPG,",","&amp;SUBSTITUTE(TableMain[[#This Row],[Tags]],", ",",")&amp;",")),"Y","N")</f>
        <v>N</v>
      </c>
      <c r="O598" s="3" t="str">
        <f>IF(ISNUMBER(SEARCH(",Strategy,",","&amp;SUBSTITUTE(TableMain[[#This Row],[Tags]],", ",",")&amp;",")),"Y","N")</f>
        <v>N</v>
      </c>
      <c r="P598" s="3" t="str">
        <f>IF(ISNUMBER(SEARCH(",Free To Play,",","&amp;SUBSTITUTE(TableMain[[#This Row],[Tags]],", ",",")&amp;",")),"Y","N")</f>
        <v>N</v>
      </c>
    </row>
    <row r="599" spans="1:16" x14ac:dyDescent="0.35">
      <c r="A599">
        <v>1898300</v>
      </c>
      <c r="B599" t="s">
        <v>1391</v>
      </c>
      <c r="C599" s="1">
        <v>45463</v>
      </c>
      <c r="D599">
        <v>701</v>
      </c>
      <c r="E599" t="b">
        <v>0</v>
      </c>
      <c r="F599" t="s">
        <v>530</v>
      </c>
      <c r="G599" t="s">
        <v>1392</v>
      </c>
      <c r="H599">
        <v>600</v>
      </c>
      <c r="I599" t="s">
        <v>175</v>
      </c>
      <c r="J599" s="3" t="str">
        <f>IF(ISNUMBER(SEARCH(",Action,",","&amp;SUBSTITUTE(TableMain[[#This Row],[Tags]],", ",",")&amp;",")),"Y","N")</f>
        <v>N</v>
      </c>
      <c r="K599" s="3" t="str">
        <f>IF(ISNUMBER(SEARCH(",Indie,",","&amp;SUBSTITUTE(TableMain[[#This Row],[Tags]],", ",",")&amp;",")),"Y","N")</f>
        <v>N</v>
      </c>
      <c r="L599" s="3" t="str">
        <f>IF(ISNUMBER(SEARCH(",Adventure,",","&amp;SUBSTITUTE(TableMain[[#This Row],[Tags]],", ",",")&amp;",")),"Y","N")</f>
        <v>Y</v>
      </c>
      <c r="M599" s="3" t="str">
        <f>IF(ISNUMBER(SEARCH(",Simulation,",","&amp;SUBSTITUTE(TableMain[[#This Row],[Tags]],", ",",")&amp;",")),"Y","N")</f>
        <v>Y</v>
      </c>
      <c r="N599" s="3" t="str">
        <f>IF(ISNUMBER(SEARCH(",RPG,",","&amp;SUBSTITUTE(TableMain[[#This Row],[Tags]],", ",",")&amp;",")),"Y","N")</f>
        <v>N</v>
      </c>
      <c r="O599" s="3" t="str">
        <f>IF(ISNUMBER(SEARCH(",Strategy,",","&amp;SUBSTITUTE(TableMain[[#This Row],[Tags]],", ",",")&amp;",")),"Y","N")</f>
        <v>Y</v>
      </c>
      <c r="P599" s="3" t="str">
        <f>IF(ISNUMBER(SEARCH(",Free To Play,",","&amp;SUBSTITUTE(TableMain[[#This Row],[Tags]],", ",",")&amp;",")),"Y","N")</f>
        <v>N</v>
      </c>
    </row>
    <row r="600" spans="1:16" x14ac:dyDescent="0.35">
      <c r="A600">
        <v>1151640</v>
      </c>
      <c r="B600" t="s">
        <v>1393</v>
      </c>
      <c r="C600" s="1">
        <v>44050</v>
      </c>
      <c r="D600">
        <v>700</v>
      </c>
      <c r="E600" t="b">
        <v>0</v>
      </c>
      <c r="F600" t="s">
        <v>1394</v>
      </c>
      <c r="G600" t="s">
        <v>208</v>
      </c>
      <c r="H600">
        <v>601</v>
      </c>
      <c r="I600" t="s">
        <v>18</v>
      </c>
      <c r="J600" s="3" t="str">
        <f>IF(ISNUMBER(SEARCH(",Action,",","&amp;SUBSTITUTE(TableMain[[#This Row],[Tags]],", ",",")&amp;",")),"Y","N")</f>
        <v>Y</v>
      </c>
      <c r="K600" s="3" t="str">
        <f>IF(ISNUMBER(SEARCH(",Indie,",","&amp;SUBSTITUTE(TableMain[[#This Row],[Tags]],", ",",")&amp;",")),"Y","N")</f>
        <v>N</v>
      </c>
      <c r="L600" s="3" t="str">
        <f>IF(ISNUMBER(SEARCH(",Adventure,",","&amp;SUBSTITUTE(TableMain[[#This Row],[Tags]],", ",",")&amp;",")),"Y","N")</f>
        <v>Y</v>
      </c>
      <c r="M600" s="3" t="str">
        <f>IF(ISNUMBER(SEARCH(",Simulation,",","&amp;SUBSTITUTE(TableMain[[#This Row],[Tags]],", ",",")&amp;",")),"Y","N")</f>
        <v>N</v>
      </c>
      <c r="N600" s="3" t="str">
        <f>IF(ISNUMBER(SEARCH(",RPG,",","&amp;SUBSTITUTE(TableMain[[#This Row],[Tags]],", ",",")&amp;",")),"Y","N")</f>
        <v>Y</v>
      </c>
      <c r="O600" s="3" t="str">
        <f>IF(ISNUMBER(SEARCH(",Strategy,",","&amp;SUBSTITUTE(TableMain[[#This Row],[Tags]],", ",",")&amp;",")),"Y","N")</f>
        <v>N</v>
      </c>
      <c r="P600" s="3" t="str">
        <f>IF(ISNUMBER(SEARCH(",Free To Play,",","&amp;SUBSTITUTE(TableMain[[#This Row],[Tags]],", ",",")&amp;",")),"Y","N")</f>
        <v>N</v>
      </c>
    </row>
    <row r="601" spans="1:16" x14ac:dyDescent="0.35">
      <c r="A601">
        <v>895400</v>
      </c>
      <c r="B601" t="s">
        <v>1395</v>
      </c>
      <c r="C601" s="1">
        <v>45631</v>
      </c>
      <c r="D601">
        <v>698</v>
      </c>
      <c r="E601" t="b">
        <v>0</v>
      </c>
      <c r="F601" t="s">
        <v>1396</v>
      </c>
      <c r="G601" t="s">
        <v>313</v>
      </c>
      <c r="H601">
        <v>602</v>
      </c>
      <c r="I601" t="s">
        <v>53</v>
      </c>
      <c r="J601" s="3" t="str">
        <f>IF(ISNUMBER(SEARCH(",Action,",","&amp;SUBSTITUTE(TableMain[[#This Row],[Tags]],", ",",")&amp;",")),"Y","N")</f>
        <v>Y</v>
      </c>
      <c r="K601" s="3" t="str">
        <f>IF(ISNUMBER(SEARCH(",Indie,",","&amp;SUBSTITUTE(TableMain[[#This Row],[Tags]],", ",",")&amp;",")),"Y","N")</f>
        <v>Y</v>
      </c>
      <c r="L601" s="3" t="str">
        <f>IF(ISNUMBER(SEARCH(",Adventure,",","&amp;SUBSTITUTE(TableMain[[#This Row],[Tags]],", ",",")&amp;",")),"Y","N")</f>
        <v>Y</v>
      </c>
      <c r="M601" s="3" t="str">
        <f>IF(ISNUMBER(SEARCH(",Simulation,",","&amp;SUBSTITUTE(TableMain[[#This Row],[Tags]],", ",",")&amp;",")),"Y","N")</f>
        <v>N</v>
      </c>
      <c r="N601" s="3" t="str">
        <f>IF(ISNUMBER(SEARCH(",RPG,",","&amp;SUBSTITUTE(TableMain[[#This Row],[Tags]],", ",",")&amp;",")),"Y","N")</f>
        <v>N</v>
      </c>
      <c r="O601" s="3" t="str">
        <f>IF(ISNUMBER(SEARCH(",Strategy,",","&amp;SUBSTITUTE(TableMain[[#This Row],[Tags]],", ",",")&amp;",")),"Y","N")</f>
        <v>N</v>
      </c>
      <c r="P601" s="3" t="str">
        <f>IF(ISNUMBER(SEARCH(",Free To Play,",","&amp;SUBSTITUTE(TableMain[[#This Row],[Tags]],", ",",")&amp;",")),"Y","N")</f>
        <v>N</v>
      </c>
    </row>
    <row r="602" spans="1:16" x14ac:dyDescent="0.35">
      <c r="A602">
        <v>848450</v>
      </c>
      <c r="B602" t="s">
        <v>1397</v>
      </c>
      <c r="C602" s="1">
        <v>44329</v>
      </c>
      <c r="D602">
        <v>698</v>
      </c>
      <c r="E602" t="b">
        <v>1</v>
      </c>
      <c r="F602" t="s">
        <v>670</v>
      </c>
      <c r="G602" t="s">
        <v>652</v>
      </c>
      <c r="H602">
        <v>602</v>
      </c>
      <c r="I602" t="s">
        <v>68</v>
      </c>
      <c r="J602" s="3" t="str">
        <f>IF(ISNUMBER(SEARCH(",Action,",","&amp;SUBSTITUTE(TableMain[[#This Row],[Tags]],", ",",")&amp;",")),"Y","N")</f>
        <v>N</v>
      </c>
      <c r="K602" s="3" t="str">
        <f>IF(ISNUMBER(SEARCH(",Indie,",","&amp;SUBSTITUTE(TableMain[[#This Row],[Tags]],", ",",")&amp;",")),"Y","N")</f>
        <v>Y</v>
      </c>
      <c r="L602" s="3" t="str">
        <f>IF(ISNUMBER(SEARCH(",Adventure,",","&amp;SUBSTITUTE(TableMain[[#This Row],[Tags]],", ",",")&amp;",")),"Y","N")</f>
        <v>Y</v>
      </c>
      <c r="M602" s="3" t="str">
        <f>IF(ISNUMBER(SEARCH(",Simulation,",","&amp;SUBSTITUTE(TableMain[[#This Row],[Tags]],", ",",")&amp;",")),"Y","N")</f>
        <v>N</v>
      </c>
      <c r="N602" s="3" t="str">
        <f>IF(ISNUMBER(SEARCH(",RPG,",","&amp;SUBSTITUTE(TableMain[[#This Row],[Tags]],", ",",")&amp;",")),"Y","N")</f>
        <v>N</v>
      </c>
      <c r="O602" s="3" t="str">
        <f>IF(ISNUMBER(SEARCH(",Strategy,",","&amp;SUBSTITUTE(TableMain[[#This Row],[Tags]],", ",",")&amp;",")),"Y","N")</f>
        <v>N</v>
      </c>
      <c r="P602" s="3" t="str">
        <f>IF(ISNUMBER(SEARCH(",Free To Play,",","&amp;SUBSTITUTE(TableMain[[#This Row],[Tags]],", ",",")&amp;",")),"Y","N")</f>
        <v>N</v>
      </c>
    </row>
    <row r="603" spans="1:16" x14ac:dyDescent="0.35">
      <c r="A603">
        <v>1057090</v>
      </c>
      <c r="B603" t="s">
        <v>1398</v>
      </c>
      <c r="C603" s="1">
        <v>43900</v>
      </c>
      <c r="D603">
        <v>697</v>
      </c>
      <c r="E603" t="b">
        <v>0</v>
      </c>
      <c r="F603" t="s">
        <v>1399</v>
      </c>
      <c r="G603" t="s">
        <v>49</v>
      </c>
      <c r="H603">
        <v>604</v>
      </c>
      <c r="I603" t="s">
        <v>33</v>
      </c>
      <c r="J603" s="3" t="str">
        <f>IF(ISNUMBER(SEARCH(",Action,",","&amp;SUBSTITUTE(TableMain[[#This Row],[Tags]],", ",",")&amp;",")),"Y","N")</f>
        <v>Y</v>
      </c>
      <c r="K603" s="3" t="str">
        <f>IF(ISNUMBER(SEARCH(",Indie,",","&amp;SUBSTITUTE(TableMain[[#This Row],[Tags]],", ",",")&amp;",")),"Y","N")</f>
        <v>N</v>
      </c>
      <c r="L603" s="3" t="str">
        <f>IF(ISNUMBER(SEARCH(",Adventure,",","&amp;SUBSTITUTE(TableMain[[#This Row],[Tags]],", ",",")&amp;",")),"Y","N")</f>
        <v>N</v>
      </c>
      <c r="M603" s="3" t="str">
        <f>IF(ISNUMBER(SEARCH(",Simulation,",","&amp;SUBSTITUTE(TableMain[[#This Row],[Tags]],", ",",")&amp;",")),"Y","N")</f>
        <v>N</v>
      </c>
      <c r="N603" s="3" t="str">
        <f>IF(ISNUMBER(SEARCH(",RPG,",","&amp;SUBSTITUTE(TableMain[[#This Row],[Tags]],", ",",")&amp;",")),"Y","N")</f>
        <v>N</v>
      </c>
      <c r="O603" s="3" t="str">
        <f>IF(ISNUMBER(SEARCH(",Strategy,",","&amp;SUBSTITUTE(TableMain[[#This Row],[Tags]],", ",",")&amp;",")),"Y","N")</f>
        <v>N</v>
      </c>
      <c r="P603" s="3" t="str">
        <f>IF(ISNUMBER(SEARCH(",Free To Play,",","&amp;SUBSTITUTE(TableMain[[#This Row],[Tags]],", ",",")&amp;",")),"Y","N")</f>
        <v>N</v>
      </c>
    </row>
    <row r="604" spans="1:16" x14ac:dyDescent="0.35">
      <c r="A604">
        <v>1176470</v>
      </c>
      <c r="B604" t="s">
        <v>1400</v>
      </c>
      <c r="C604" s="1">
        <v>44830</v>
      </c>
      <c r="D604">
        <v>697</v>
      </c>
      <c r="E604" t="b">
        <v>0</v>
      </c>
      <c r="F604" t="s">
        <v>1401</v>
      </c>
      <c r="G604" t="s">
        <v>785</v>
      </c>
      <c r="H604">
        <v>604</v>
      </c>
      <c r="I604" t="s">
        <v>53</v>
      </c>
      <c r="J604" s="3" t="str">
        <f>IF(ISNUMBER(SEARCH(",Action,",","&amp;SUBSTITUTE(TableMain[[#This Row],[Tags]],", ",",")&amp;",")),"Y","N")</f>
        <v>N</v>
      </c>
      <c r="K604" s="3" t="str">
        <f>IF(ISNUMBER(SEARCH(",Indie,",","&amp;SUBSTITUTE(TableMain[[#This Row],[Tags]],", ",",")&amp;",")),"Y","N")</f>
        <v>N</v>
      </c>
      <c r="L604" s="3" t="str">
        <f>IF(ISNUMBER(SEARCH(",Adventure,",","&amp;SUBSTITUTE(TableMain[[#This Row],[Tags]],", ",",")&amp;",")),"Y","N")</f>
        <v>N</v>
      </c>
      <c r="M604" s="3" t="str">
        <f>IF(ISNUMBER(SEARCH(",Simulation,",","&amp;SUBSTITUTE(TableMain[[#This Row],[Tags]],", ",",")&amp;",")),"Y","N")</f>
        <v>Y</v>
      </c>
      <c r="N604" s="3" t="str">
        <f>IF(ISNUMBER(SEARCH(",RPG,",","&amp;SUBSTITUTE(TableMain[[#This Row],[Tags]],", ",",")&amp;",")),"Y","N")</f>
        <v>N</v>
      </c>
      <c r="O604" s="3" t="str">
        <f>IF(ISNUMBER(SEARCH(",Strategy,",","&amp;SUBSTITUTE(TableMain[[#This Row],[Tags]],", ",",")&amp;",")),"Y","N")</f>
        <v>Y</v>
      </c>
      <c r="P604" s="3" t="str">
        <f>IF(ISNUMBER(SEARCH(",Free To Play,",","&amp;SUBSTITUTE(TableMain[[#This Row],[Tags]],", ",",")&amp;",")),"Y","N")</f>
        <v>N</v>
      </c>
    </row>
    <row r="605" spans="1:16" x14ac:dyDescent="0.35">
      <c r="A605">
        <v>382310</v>
      </c>
      <c r="B605" t="s">
        <v>1402</v>
      </c>
      <c r="C605" s="1">
        <v>43137</v>
      </c>
      <c r="D605">
        <v>692</v>
      </c>
      <c r="E605" t="b">
        <v>0</v>
      </c>
      <c r="F605" t="s">
        <v>1403</v>
      </c>
      <c r="G605" t="s">
        <v>891</v>
      </c>
      <c r="H605">
        <v>606</v>
      </c>
      <c r="I605" t="s">
        <v>486</v>
      </c>
      <c r="J605" s="3" t="str">
        <f>IF(ISNUMBER(SEARCH(",Action,",","&amp;SUBSTITUTE(TableMain[[#This Row],[Tags]],", ",",")&amp;",")),"Y","N")</f>
        <v>N</v>
      </c>
      <c r="K605" s="3" t="str">
        <f>IF(ISNUMBER(SEARCH(",Indie,",","&amp;SUBSTITUTE(TableMain[[#This Row],[Tags]],", ",",")&amp;",")),"Y","N")</f>
        <v>Y</v>
      </c>
      <c r="L605" s="3" t="str">
        <f>IF(ISNUMBER(SEARCH(",Adventure,",","&amp;SUBSTITUTE(TableMain[[#This Row],[Tags]],", ",",")&amp;",")),"Y","N")</f>
        <v>N</v>
      </c>
      <c r="M605" s="3" t="str">
        <f>IF(ISNUMBER(SEARCH(",Simulation,",","&amp;SUBSTITUTE(TableMain[[#This Row],[Tags]],", ",",")&amp;",")),"Y","N")</f>
        <v>Y</v>
      </c>
      <c r="N605" s="3" t="str">
        <f>IF(ISNUMBER(SEARCH(",RPG,",","&amp;SUBSTITUTE(TableMain[[#This Row],[Tags]],", ",",")&amp;",")),"Y","N")</f>
        <v>N</v>
      </c>
      <c r="O605" s="3" t="str">
        <f>IF(ISNUMBER(SEARCH(",Strategy,",","&amp;SUBSTITUTE(TableMain[[#This Row],[Tags]],", ",",")&amp;",")),"Y","N")</f>
        <v>N</v>
      </c>
      <c r="P605" s="3" t="str">
        <f>IF(ISNUMBER(SEARCH(",Free To Play,",","&amp;SUBSTITUTE(TableMain[[#This Row],[Tags]],", ",",")&amp;",")),"Y","N")</f>
        <v>N</v>
      </c>
    </row>
    <row r="606" spans="1:16" x14ac:dyDescent="0.35">
      <c r="A606">
        <v>9420</v>
      </c>
      <c r="B606" t="s">
        <v>1404</v>
      </c>
      <c r="C606" s="1">
        <v>40814</v>
      </c>
      <c r="D606">
        <v>691</v>
      </c>
      <c r="E606" t="b">
        <v>0</v>
      </c>
      <c r="F606" t="s">
        <v>1405</v>
      </c>
      <c r="G606" t="s">
        <v>124</v>
      </c>
      <c r="H606">
        <v>607</v>
      </c>
      <c r="I606" t="s">
        <v>2084</v>
      </c>
      <c r="J606" s="3" t="str">
        <f>IF(ISNUMBER(SEARCH(",Action,",","&amp;SUBSTITUTE(TableMain[[#This Row],[Tags]],", ",",")&amp;",")),"Y","N")</f>
        <v>N</v>
      </c>
      <c r="K606" s="3" t="str">
        <f>IF(ISNUMBER(SEARCH(",Indie,",","&amp;SUBSTITUTE(TableMain[[#This Row],[Tags]],", ",",")&amp;",")),"Y","N")</f>
        <v>N</v>
      </c>
      <c r="L606" s="3" t="str">
        <f>IF(ISNUMBER(SEARCH(",Adventure,",","&amp;SUBSTITUTE(TableMain[[#This Row],[Tags]],", ",",")&amp;",")),"Y","N")</f>
        <v>N</v>
      </c>
      <c r="M606" s="3" t="str">
        <f>IF(ISNUMBER(SEARCH(",Simulation,",","&amp;SUBSTITUTE(TableMain[[#This Row],[Tags]],", ",",")&amp;",")),"Y","N")</f>
        <v>N</v>
      </c>
      <c r="N606" s="3" t="str">
        <f>IF(ISNUMBER(SEARCH(",RPG,",","&amp;SUBSTITUTE(TableMain[[#This Row],[Tags]],", ",",")&amp;",")),"Y","N")</f>
        <v>N</v>
      </c>
      <c r="O606" s="3" t="str">
        <f>IF(ISNUMBER(SEARCH(",Strategy,",","&amp;SUBSTITUTE(TableMain[[#This Row],[Tags]],", ",",")&amp;",")),"Y","N")</f>
        <v>Y</v>
      </c>
      <c r="P606" s="3" t="str">
        <f>IF(ISNUMBER(SEARCH(",Free To Play,",","&amp;SUBSTITUTE(TableMain[[#This Row],[Tags]],", ",",")&amp;",")),"Y","N")</f>
        <v>N</v>
      </c>
    </row>
    <row r="607" spans="1:16" x14ac:dyDescent="0.35">
      <c r="A607">
        <v>1583320</v>
      </c>
      <c r="B607" t="s">
        <v>1406</v>
      </c>
      <c r="C607" s="1">
        <v>45996</v>
      </c>
      <c r="D607">
        <v>690</v>
      </c>
      <c r="E607" t="b">
        <v>0</v>
      </c>
      <c r="F607" t="s">
        <v>1160</v>
      </c>
      <c r="G607" t="s">
        <v>1407</v>
      </c>
      <c r="H607">
        <v>608</v>
      </c>
      <c r="I607" t="s">
        <v>417</v>
      </c>
      <c r="J607" s="3" t="str">
        <f>IF(ISNUMBER(SEARCH(",Action,",","&amp;SUBSTITUTE(TableMain[[#This Row],[Tags]],", ",",")&amp;",")),"Y","N")</f>
        <v>N</v>
      </c>
      <c r="K607" s="3" t="str">
        <f>IF(ISNUMBER(SEARCH(",Indie,",","&amp;SUBSTITUTE(TableMain[[#This Row],[Tags]],", ",",")&amp;",")),"Y","N")</f>
        <v>N</v>
      </c>
      <c r="L607" s="3" t="str">
        <f>IF(ISNUMBER(SEARCH(",Adventure,",","&amp;SUBSTITUTE(TableMain[[#This Row],[Tags]],", ",",")&amp;",")),"Y","N")</f>
        <v>N</v>
      </c>
      <c r="M607" s="3" t="str">
        <f>IF(ISNUMBER(SEARCH(",Simulation,",","&amp;SUBSTITUTE(TableMain[[#This Row],[Tags]],", ",",")&amp;",")),"Y","N")</f>
        <v>N</v>
      </c>
      <c r="N607" s="3" t="str">
        <f>IF(ISNUMBER(SEARCH(",RPG,",","&amp;SUBSTITUTE(TableMain[[#This Row],[Tags]],", ",",")&amp;",")),"Y","N")</f>
        <v>N</v>
      </c>
      <c r="O607" s="3" t="str">
        <f>IF(ISNUMBER(SEARCH(",Strategy,",","&amp;SUBSTITUTE(TableMain[[#This Row],[Tags]],", ",",")&amp;",")),"Y","N")</f>
        <v>N</v>
      </c>
      <c r="P607" s="3" t="str">
        <f>IF(ISNUMBER(SEARCH(",Free To Play,",","&amp;SUBSTITUTE(TableMain[[#This Row],[Tags]],", ",",")&amp;",")),"Y","N")</f>
        <v>N</v>
      </c>
    </row>
    <row r="608" spans="1:16" x14ac:dyDescent="0.35">
      <c r="A608">
        <v>524220</v>
      </c>
      <c r="B608" t="s">
        <v>1408</v>
      </c>
      <c r="C608" s="1">
        <v>42811</v>
      </c>
      <c r="D608">
        <v>690</v>
      </c>
      <c r="E608" t="b">
        <v>0</v>
      </c>
      <c r="F608" t="s">
        <v>1339</v>
      </c>
      <c r="G608" t="s">
        <v>24</v>
      </c>
      <c r="H608">
        <v>608</v>
      </c>
      <c r="I608" t="s">
        <v>438</v>
      </c>
      <c r="J608" s="3" t="str">
        <f>IF(ISNUMBER(SEARCH(",Action,",","&amp;SUBSTITUTE(TableMain[[#This Row],[Tags]],", ",",")&amp;",")),"Y","N")</f>
        <v>Y</v>
      </c>
      <c r="K608" s="3" t="str">
        <f>IF(ISNUMBER(SEARCH(",Indie,",","&amp;SUBSTITUTE(TableMain[[#This Row],[Tags]],", ",",")&amp;",")),"Y","N")</f>
        <v>N</v>
      </c>
      <c r="L608" s="3" t="str">
        <f>IF(ISNUMBER(SEARCH(",Adventure,",","&amp;SUBSTITUTE(TableMain[[#This Row],[Tags]],", ",",")&amp;",")),"Y","N")</f>
        <v>N</v>
      </c>
      <c r="M608" s="3" t="str">
        <f>IF(ISNUMBER(SEARCH(",Simulation,",","&amp;SUBSTITUTE(TableMain[[#This Row],[Tags]],", ",",")&amp;",")),"Y","N")</f>
        <v>N</v>
      </c>
      <c r="N608" s="3" t="str">
        <f>IF(ISNUMBER(SEARCH(",RPG,",","&amp;SUBSTITUTE(TableMain[[#This Row],[Tags]],", ",",")&amp;",")),"Y","N")</f>
        <v>Y</v>
      </c>
      <c r="O608" s="3" t="str">
        <f>IF(ISNUMBER(SEARCH(",Strategy,",","&amp;SUBSTITUTE(TableMain[[#This Row],[Tags]],", ",",")&amp;",")),"Y","N")</f>
        <v>N</v>
      </c>
      <c r="P608" s="3" t="str">
        <f>IF(ISNUMBER(SEARCH(",Free To Play,",","&amp;SUBSTITUTE(TableMain[[#This Row],[Tags]],", ",",")&amp;",")),"Y","N")</f>
        <v>N</v>
      </c>
    </row>
    <row r="609" spans="1:16" x14ac:dyDescent="0.35">
      <c r="A609">
        <v>2244130</v>
      </c>
      <c r="B609" t="s">
        <v>1409</v>
      </c>
      <c r="C609" s="1">
        <v>45777</v>
      </c>
      <c r="D609">
        <v>687</v>
      </c>
      <c r="E609" t="b">
        <v>1</v>
      </c>
      <c r="F609" t="s">
        <v>334</v>
      </c>
      <c r="G609" t="s">
        <v>1410</v>
      </c>
      <c r="H609">
        <v>610</v>
      </c>
      <c r="I609" t="s">
        <v>14</v>
      </c>
      <c r="J609" s="3" t="str">
        <f>IF(ISNUMBER(SEARCH(",Action,",","&amp;SUBSTITUTE(TableMain[[#This Row],[Tags]],", ",",")&amp;",")),"Y","N")</f>
        <v>N</v>
      </c>
      <c r="K609" s="3" t="str">
        <f>IF(ISNUMBER(SEARCH(",Indie,",","&amp;SUBSTITUTE(TableMain[[#This Row],[Tags]],", ",",")&amp;",")),"Y","N")</f>
        <v>Y</v>
      </c>
      <c r="L609" s="3" t="str">
        <f>IF(ISNUMBER(SEARCH(",Adventure,",","&amp;SUBSTITUTE(TableMain[[#This Row],[Tags]],", ",",")&amp;",")),"Y","N")</f>
        <v>Y</v>
      </c>
      <c r="M609" s="3" t="str">
        <f>IF(ISNUMBER(SEARCH(",Simulation,",","&amp;SUBSTITUTE(TableMain[[#This Row],[Tags]],", ",",")&amp;",")),"Y","N")</f>
        <v>Y</v>
      </c>
      <c r="N609" s="3" t="str">
        <f>IF(ISNUMBER(SEARCH(",RPG,",","&amp;SUBSTITUTE(TableMain[[#This Row],[Tags]],", ",",")&amp;",")),"Y","N")</f>
        <v>N</v>
      </c>
      <c r="O609" s="3" t="str">
        <f>IF(ISNUMBER(SEARCH(",Strategy,",","&amp;SUBSTITUTE(TableMain[[#This Row],[Tags]],", ",",")&amp;",")),"Y","N")</f>
        <v>Y</v>
      </c>
      <c r="P609" s="3" t="str">
        <f>IF(ISNUMBER(SEARCH(",Free To Play,",","&amp;SUBSTITUTE(TableMain[[#This Row],[Tags]],", ",",")&amp;",")),"Y","N")</f>
        <v>N</v>
      </c>
    </row>
    <row r="610" spans="1:16" x14ac:dyDescent="0.35">
      <c r="A610">
        <v>469600</v>
      </c>
      <c r="B610" t="s">
        <v>1411</v>
      </c>
      <c r="C610" s="1">
        <v>44470</v>
      </c>
      <c r="D610">
        <v>687</v>
      </c>
      <c r="E610" t="b">
        <v>1</v>
      </c>
      <c r="F610" t="s">
        <v>1412</v>
      </c>
      <c r="G610" t="s">
        <v>178</v>
      </c>
      <c r="H610">
        <v>610</v>
      </c>
      <c r="I610" t="s">
        <v>53</v>
      </c>
      <c r="J610" s="3" t="str">
        <f>IF(ISNUMBER(SEARCH(",Action,",","&amp;SUBSTITUTE(TableMain[[#This Row],[Tags]],", ",",")&amp;",")),"Y","N")</f>
        <v>N</v>
      </c>
      <c r="K610" s="3" t="str">
        <f>IF(ISNUMBER(SEARCH(",Indie,",","&amp;SUBSTITUTE(TableMain[[#This Row],[Tags]],", ",",")&amp;",")),"Y","N")</f>
        <v>Y</v>
      </c>
      <c r="L610" s="3" t="str">
        <f>IF(ISNUMBER(SEARCH(",Adventure,",","&amp;SUBSTITUTE(TableMain[[#This Row],[Tags]],", ",",")&amp;",")),"Y","N")</f>
        <v>N</v>
      </c>
      <c r="M610" s="3" t="str">
        <f>IF(ISNUMBER(SEARCH(",Simulation,",","&amp;SUBSTITUTE(TableMain[[#This Row],[Tags]],", ",",")&amp;",")),"Y","N")</f>
        <v>N</v>
      </c>
      <c r="N610" s="3" t="str">
        <f>IF(ISNUMBER(SEARCH(",RPG,",","&amp;SUBSTITUTE(TableMain[[#This Row],[Tags]],", ",",")&amp;",")),"Y","N")</f>
        <v>N</v>
      </c>
      <c r="O610" s="3" t="str">
        <f>IF(ISNUMBER(SEARCH(",Strategy,",","&amp;SUBSTITUTE(TableMain[[#This Row],[Tags]],", ",",")&amp;",")),"Y","N")</f>
        <v>Y</v>
      </c>
      <c r="P610" s="3" t="str">
        <f>IF(ISNUMBER(SEARCH(",Free To Play,",","&amp;SUBSTITUTE(TableMain[[#This Row],[Tags]],", ",",")&amp;",")),"Y","N")</f>
        <v>N</v>
      </c>
    </row>
    <row r="611" spans="1:16" x14ac:dyDescent="0.35">
      <c r="A611">
        <v>493340</v>
      </c>
      <c r="B611" t="s">
        <v>1413</v>
      </c>
      <c r="C611" s="1">
        <v>42691</v>
      </c>
      <c r="D611">
        <v>687</v>
      </c>
      <c r="E611" t="b">
        <v>1</v>
      </c>
      <c r="F611" t="s">
        <v>473</v>
      </c>
      <c r="G611" t="s">
        <v>1414</v>
      </c>
      <c r="H611">
        <v>610</v>
      </c>
      <c r="I611" t="s">
        <v>438</v>
      </c>
      <c r="J611" s="3" t="str">
        <f>IF(ISNUMBER(SEARCH(",Action,",","&amp;SUBSTITUTE(TableMain[[#This Row],[Tags]],", ",",")&amp;",")),"Y","N")</f>
        <v>Y</v>
      </c>
      <c r="K611" s="3" t="str">
        <f>IF(ISNUMBER(SEARCH(",Indie,",","&amp;SUBSTITUTE(TableMain[[#This Row],[Tags]],", ",",")&amp;",")),"Y","N")</f>
        <v>N</v>
      </c>
      <c r="L611" s="3" t="str">
        <f>IF(ISNUMBER(SEARCH(",Adventure,",","&amp;SUBSTITUTE(TableMain[[#This Row],[Tags]],", ",",")&amp;",")),"Y","N")</f>
        <v>Y</v>
      </c>
      <c r="M611" s="3" t="str">
        <f>IF(ISNUMBER(SEARCH(",Simulation,",","&amp;SUBSTITUTE(TableMain[[#This Row],[Tags]],", ",",")&amp;",")),"Y","N")</f>
        <v>Y</v>
      </c>
      <c r="N611" s="3" t="str">
        <f>IF(ISNUMBER(SEARCH(",RPG,",","&amp;SUBSTITUTE(TableMain[[#This Row],[Tags]],", ",",")&amp;",")),"Y","N")</f>
        <v>N</v>
      </c>
      <c r="O611" s="3" t="str">
        <f>IF(ISNUMBER(SEARCH(",Strategy,",","&amp;SUBSTITUTE(TableMain[[#This Row],[Tags]],", ",",")&amp;",")),"Y","N")</f>
        <v>Y</v>
      </c>
      <c r="P611" s="3" t="str">
        <f>IF(ISNUMBER(SEARCH(",Free To Play,",","&amp;SUBSTITUTE(TableMain[[#This Row],[Tags]],", ",",")&amp;",")),"Y","N")</f>
        <v>N</v>
      </c>
    </row>
    <row r="612" spans="1:16" x14ac:dyDescent="0.35">
      <c r="A612">
        <v>3146520</v>
      </c>
      <c r="B612" t="s">
        <v>1415</v>
      </c>
      <c r="C612" s="1">
        <v>45576</v>
      </c>
      <c r="D612">
        <v>686</v>
      </c>
      <c r="E612" t="b">
        <v>0</v>
      </c>
      <c r="F612" t="s">
        <v>1416</v>
      </c>
      <c r="G612" t="s">
        <v>1417</v>
      </c>
      <c r="H612">
        <v>613</v>
      </c>
      <c r="I612" t="s">
        <v>304</v>
      </c>
      <c r="J612" s="3" t="str">
        <f>IF(ISNUMBER(SEARCH(",Action,",","&amp;SUBSTITUTE(TableMain[[#This Row],[Tags]],", ",",")&amp;",")),"Y","N")</f>
        <v>N</v>
      </c>
      <c r="K612" s="3" t="str">
        <f>IF(ISNUMBER(SEARCH(",Indie,",","&amp;SUBSTITUTE(TableMain[[#This Row],[Tags]],", ",",")&amp;",")),"Y","N")</f>
        <v>Y</v>
      </c>
      <c r="L612" s="3" t="str">
        <f>IF(ISNUMBER(SEARCH(",Adventure,",","&amp;SUBSTITUTE(TableMain[[#This Row],[Tags]],", ",",")&amp;",")),"Y","N")</f>
        <v>N</v>
      </c>
      <c r="M612" s="3" t="str">
        <f>IF(ISNUMBER(SEARCH(",Simulation,",","&amp;SUBSTITUTE(TableMain[[#This Row],[Tags]],", ",",")&amp;",")),"Y","N")</f>
        <v>N</v>
      </c>
      <c r="N612" s="3" t="str">
        <f>IF(ISNUMBER(SEARCH(",RPG,",","&amp;SUBSTITUTE(TableMain[[#This Row],[Tags]],", ",",")&amp;",")),"Y","N")</f>
        <v>N</v>
      </c>
      <c r="O612" s="3" t="str">
        <f>IF(ISNUMBER(SEARCH(",Strategy,",","&amp;SUBSTITUTE(TableMain[[#This Row],[Tags]],", ",",")&amp;",")),"Y","N")</f>
        <v>N</v>
      </c>
      <c r="P612" s="3" t="str">
        <f>IF(ISNUMBER(SEARCH(",Free To Play,",","&amp;SUBSTITUTE(TableMain[[#This Row],[Tags]],", ",",")&amp;",")),"Y","N")</f>
        <v>N</v>
      </c>
    </row>
    <row r="613" spans="1:16" x14ac:dyDescent="0.35">
      <c r="A613">
        <v>1030840</v>
      </c>
      <c r="B613" t="s">
        <v>1418</v>
      </c>
      <c r="C613" s="1">
        <v>44098</v>
      </c>
      <c r="D613">
        <v>686</v>
      </c>
      <c r="E613" t="b">
        <v>0</v>
      </c>
      <c r="F613" t="s">
        <v>1224</v>
      </c>
      <c r="G613" t="s">
        <v>46</v>
      </c>
      <c r="H613">
        <v>613</v>
      </c>
      <c r="I613" t="s">
        <v>371</v>
      </c>
      <c r="J613" s="3" t="str">
        <f>IF(ISNUMBER(SEARCH(",Action,",","&amp;SUBSTITUTE(TableMain[[#This Row],[Tags]],", ",",")&amp;",")),"Y","N")</f>
        <v>Y</v>
      </c>
      <c r="K613" s="3" t="str">
        <f>IF(ISNUMBER(SEARCH(",Indie,",","&amp;SUBSTITUTE(TableMain[[#This Row],[Tags]],", ",",")&amp;",")),"Y","N")</f>
        <v>N</v>
      </c>
      <c r="L613" s="3" t="str">
        <f>IF(ISNUMBER(SEARCH(",Adventure,",","&amp;SUBSTITUTE(TableMain[[#This Row],[Tags]],", ",",")&amp;",")),"Y","N")</f>
        <v>Y</v>
      </c>
      <c r="M613" s="3" t="str">
        <f>IF(ISNUMBER(SEARCH(",Simulation,",","&amp;SUBSTITUTE(TableMain[[#This Row],[Tags]],", ",",")&amp;",")),"Y","N")</f>
        <v>N</v>
      </c>
      <c r="N613" s="3" t="str">
        <f>IF(ISNUMBER(SEARCH(",RPG,",","&amp;SUBSTITUTE(TableMain[[#This Row],[Tags]],", ",",")&amp;",")),"Y","N")</f>
        <v>N</v>
      </c>
      <c r="O613" s="3" t="str">
        <f>IF(ISNUMBER(SEARCH(",Strategy,",","&amp;SUBSTITUTE(TableMain[[#This Row],[Tags]],", ",",")&amp;",")),"Y","N")</f>
        <v>N</v>
      </c>
      <c r="P613" s="3" t="str">
        <f>IF(ISNUMBER(SEARCH(",Free To Play,",","&amp;SUBSTITUTE(TableMain[[#This Row],[Tags]],", ",",")&amp;",")),"Y","N")</f>
        <v>N</v>
      </c>
    </row>
    <row r="614" spans="1:16" x14ac:dyDescent="0.35">
      <c r="A614">
        <v>221680</v>
      </c>
      <c r="B614" t="s">
        <v>1419</v>
      </c>
      <c r="C614" s="1">
        <v>45645</v>
      </c>
      <c r="D614">
        <v>683</v>
      </c>
      <c r="E614" t="b">
        <v>0</v>
      </c>
      <c r="F614" t="s">
        <v>1420</v>
      </c>
      <c r="G614" t="s">
        <v>604</v>
      </c>
      <c r="H614">
        <v>615</v>
      </c>
      <c r="I614" t="s">
        <v>932</v>
      </c>
      <c r="J614" s="3" t="str">
        <f>IF(ISNUMBER(SEARCH(",Action,",","&amp;SUBSTITUTE(TableMain[[#This Row],[Tags]],", ",",")&amp;",")),"Y","N")</f>
        <v>N</v>
      </c>
      <c r="K614" s="3" t="str">
        <f>IF(ISNUMBER(SEARCH(",Indie,",","&amp;SUBSTITUTE(TableMain[[#This Row],[Tags]],", ",",")&amp;",")),"Y","N")</f>
        <v>N</v>
      </c>
      <c r="L614" s="3" t="str">
        <f>IF(ISNUMBER(SEARCH(",Adventure,",","&amp;SUBSTITUTE(TableMain[[#This Row],[Tags]],", ",",")&amp;",")),"Y","N")</f>
        <v>N</v>
      </c>
      <c r="M614" s="3" t="str">
        <f>IF(ISNUMBER(SEARCH(",Simulation,",","&amp;SUBSTITUTE(TableMain[[#This Row],[Tags]],", ",",")&amp;",")),"Y","N")</f>
        <v>Y</v>
      </c>
      <c r="N614" s="3" t="str">
        <f>IF(ISNUMBER(SEARCH(",RPG,",","&amp;SUBSTITUTE(TableMain[[#This Row],[Tags]],", ",",")&amp;",")),"Y","N")</f>
        <v>N</v>
      </c>
      <c r="O614" s="3" t="str">
        <f>IF(ISNUMBER(SEARCH(",Strategy,",","&amp;SUBSTITUTE(TableMain[[#This Row],[Tags]],", ",",")&amp;",")),"Y","N")</f>
        <v>N</v>
      </c>
      <c r="P614" s="3" t="str">
        <f>IF(ISNUMBER(SEARCH(",Free To Play,",","&amp;SUBSTITUTE(TableMain[[#This Row],[Tags]],", ",",")&amp;",")),"Y","N")</f>
        <v>N</v>
      </c>
    </row>
    <row r="615" spans="1:16" x14ac:dyDescent="0.35">
      <c r="A615">
        <v>2289450</v>
      </c>
      <c r="B615" t="s">
        <v>1421</v>
      </c>
      <c r="C615" s="1">
        <v>45267</v>
      </c>
      <c r="D615">
        <v>683</v>
      </c>
      <c r="E615" t="b">
        <v>1</v>
      </c>
      <c r="F615" t="s">
        <v>1422</v>
      </c>
      <c r="G615" t="s">
        <v>454</v>
      </c>
      <c r="H615">
        <v>615</v>
      </c>
      <c r="I615" t="s">
        <v>33</v>
      </c>
      <c r="J615" s="3" t="str">
        <f>IF(ISNUMBER(SEARCH(",Action,",","&amp;SUBSTITUTE(TableMain[[#This Row],[Tags]],", ",",")&amp;",")),"Y","N")</f>
        <v>N</v>
      </c>
      <c r="K615" s="3" t="str">
        <f>IF(ISNUMBER(SEARCH(",Indie,",","&amp;SUBSTITUTE(TableMain[[#This Row],[Tags]],", ",",")&amp;",")),"Y","N")</f>
        <v>Y</v>
      </c>
      <c r="L615" s="3" t="str">
        <f>IF(ISNUMBER(SEARCH(",Adventure,",","&amp;SUBSTITUTE(TableMain[[#This Row],[Tags]],", ",",")&amp;",")),"Y","N")</f>
        <v>N</v>
      </c>
      <c r="M615" s="3" t="str">
        <f>IF(ISNUMBER(SEARCH(",Simulation,",","&amp;SUBSTITUTE(TableMain[[#This Row],[Tags]],", ",",")&amp;",")),"Y","N")</f>
        <v>Y</v>
      </c>
      <c r="N615" s="3" t="str">
        <f>IF(ISNUMBER(SEARCH(",RPG,",","&amp;SUBSTITUTE(TableMain[[#This Row],[Tags]],", ",",")&amp;",")),"Y","N")</f>
        <v>N</v>
      </c>
      <c r="O615" s="3" t="str">
        <f>IF(ISNUMBER(SEARCH(",Strategy,",","&amp;SUBSTITUTE(TableMain[[#This Row],[Tags]],", ",",")&amp;",")),"Y","N")</f>
        <v>N</v>
      </c>
      <c r="P615" s="3" t="str">
        <f>IF(ISNUMBER(SEARCH(",Free To Play,",","&amp;SUBSTITUTE(TableMain[[#This Row],[Tags]],", ",",")&amp;",")),"Y","N")</f>
        <v>Y</v>
      </c>
    </row>
    <row r="616" spans="1:16" x14ac:dyDescent="0.35">
      <c r="A616">
        <v>1449690</v>
      </c>
      <c r="B616" t="s">
        <v>1423</v>
      </c>
      <c r="C616" s="1">
        <v>44133</v>
      </c>
      <c r="D616">
        <v>677</v>
      </c>
      <c r="E616" t="b">
        <v>0</v>
      </c>
      <c r="F616" t="s">
        <v>719</v>
      </c>
      <c r="G616" t="s">
        <v>346</v>
      </c>
      <c r="H616">
        <v>617</v>
      </c>
      <c r="I616" t="s">
        <v>133</v>
      </c>
      <c r="J616" s="3" t="str">
        <f>IF(ISNUMBER(SEARCH(",Action,",","&amp;SUBSTITUTE(TableMain[[#This Row],[Tags]],", ",",")&amp;",")),"Y","N")</f>
        <v>N</v>
      </c>
      <c r="K616" s="3" t="str">
        <f>IF(ISNUMBER(SEARCH(",Indie,",","&amp;SUBSTITUTE(TableMain[[#This Row],[Tags]],", ",",")&amp;",")),"Y","N")</f>
        <v>N</v>
      </c>
      <c r="L616" s="3" t="str">
        <f>IF(ISNUMBER(SEARCH(",Adventure,",","&amp;SUBSTITUTE(TableMain[[#This Row],[Tags]],", ",",")&amp;",")),"Y","N")</f>
        <v>Y</v>
      </c>
      <c r="M616" s="3" t="str">
        <f>IF(ISNUMBER(SEARCH(",Simulation,",","&amp;SUBSTITUTE(TableMain[[#This Row],[Tags]],", ",",")&amp;",")),"Y","N")</f>
        <v>N</v>
      </c>
      <c r="N616" s="3" t="str">
        <f>IF(ISNUMBER(SEARCH(",RPG,",","&amp;SUBSTITUTE(TableMain[[#This Row],[Tags]],", ",",")&amp;",")),"Y","N")</f>
        <v>N</v>
      </c>
      <c r="O616" s="3" t="str">
        <f>IF(ISNUMBER(SEARCH(",Strategy,",","&amp;SUBSTITUTE(TableMain[[#This Row],[Tags]],", ",",")&amp;",")),"Y","N")</f>
        <v>N</v>
      </c>
      <c r="P616" s="3" t="str">
        <f>IF(ISNUMBER(SEARCH(",Free To Play,",","&amp;SUBSTITUTE(TableMain[[#This Row],[Tags]],", ",",")&amp;",")),"Y","N")</f>
        <v>N</v>
      </c>
    </row>
    <row r="617" spans="1:16" x14ac:dyDescent="0.35">
      <c r="A617">
        <v>631510</v>
      </c>
      <c r="B617" t="s">
        <v>1424</v>
      </c>
      <c r="C617" s="1">
        <v>43172</v>
      </c>
      <c r="D617">
        <v>675</v>
      </c>
      <c r="E617" t="b">
        <v>0</v>
      </c>
      <c r="F617" t="s">
        <v>1425</v>
      </c>
      <c r="G617" t="s">
        <v>49</v>
      </c>
      <c r="H617">
        <v>618</v>
      </c>
      <c r="I617" t="s">
        <v>133</v>
      </c>
      <c r="J617" s="3" t="str">
        <f>IF(ISNUMBER(SEARCH(",Action,",","&amp;SUBSTITUTE(TableMain[[#This Row],[Tags]],", ",",")&amp;",")),"Y","N")</f>
        <v>Y</v>
      </c>
      <c r="K617" s="3" t="str">
        <f>IF(ISNUMBER(SEARCH(",Indie,",","&amp;SUBSTITUTE(TableMain[[#This Row],[Tags]],", ",",")&amp;",")),"Y","N")</f>
        <v>N</v>
      </c>
      <c r="L617" s="3" t="str">
        <f>IF(ISNUMBER(SEARCH(",Adventure,",","&amp;SUBSTITUTE(TableMain[[#This Row],[Tags]],", ",",")&amp;",")),"Y","N")</f>
        <v>N</v>
      </c>
      <c r="M617" s="3" t="str">
        <f>IF(ISNUMBER(SEARCH(",Simulation,",","&amp;SUBSTITUTE(TableMain[[#This Row],[Tags]],", ",",")&amp;",")),"Y","N")</f>
        <v>N</v>
      </c>
      <c r="N617" s="3" t="str">
        <f>IF(ISNUMBER(SEARCH(",RPG,",","&amp;SUBSTITUTE(TableMain[[#This Row],[Tags]],", ",",")&amp;",")),"Y","N")</f>
        <v>N</v>
      </c>
      <c r="O617" s="3" t="str">
        <f>IF(ISNUMBER(SEARCH(",Strategy,",","&amp;SUBSTITUTE(TableMain[[#This Row],[Tags]],", ",",")&amp;",")),"Y","N")</f>
        <v>N</v>
      </c>
      <c r="P617" s="3" t="str">
        <f>IF(ISNUMBER(SEARCH(",Free To Play,",","&amp;SUBSTITUTE(TableMain[[#This Row],[Tags]],", ",",")&amp;",")),"Y","N")</f>
        <v>N</v>
      </c>
    </row>
    <row r="618" spans="1:16" x14ac:dyDescent="0.35">
      <c r="A618">
        <v>2066020</v>
      </c>
      <c r="B618" t="s">
        <v>1426</v>
      </c>
      <c r="C618" s="1">
        <v>45825</v>
      </c>
      <c r="D618">
        <v>674</v>
      </c>
      <c r="E618" t="b">
        <v>1</v>
      </c>
      <c r="F618" t="s">
        <v>1427</v>
      </c>
      <c r="G618" t="s">
        <v>731</v>
      </c>
      <c r="H618">
        <v>619</v>
      </c>
      <c r="I618" t="s">
        <v>53</v>
      </c>
      <c r="J618" s="3" t="str">
        <f>IF(ISNUMBER(SEARCH(",Action,",","&amp;SUBSTITUTE(TableMain[[#This Row],[Tags]],", ",",")&amp;",")),"Y","N")</f>
        <v>Y</v>
      </c>
      <c r="K618" s="3" t="str">
        <f>IF(ISNUMBER(SEARCH(",Indie,",","&amp;SUBSTITUTE(TableMain[[#This Row],[Tags]],", ",",")&amp;",")),"Y","N")</f>
        <v>Y</v>
      </c>
      <c r="L618" s="3" t="str">
        <f>IF(ISNUMBER(SEARCH(",Adventure,",","&amp;SUBSTITUTE(TableMain[[#This Row],[Tags]],", ",",")&amp;",")),"Y","N")</f>
        <v>N</v>
      </c>
      <c r="M618" s="3" t="str">
        <f>IF(ISNUMBER(SEARCH(",Simulation,",","&amp;SUBSTITUTE(TableMain[[#This Row],[Tags]],", ",",")&amp;",")),"Y","N")</f>
        <v>N</v>
      </c>
      <c r="N618" s="3" t="str">
        <f>IF(ISNUMBER(SEARCH(",RPG,",","&amp;SUBSTITUTE(TableMain[[#This Row],[Tags]],", ",",")&amp;",")),"Y","N")</f>
        <v>Y</v>
      </c>
      <c r="O618" s="3" t="str">
        <f>IF(ISNUMBER(SEARCH(",Strategy,",","&amp;SUBSTITUTE(TableMain[[#This Row],[Tags]],", ",",")&amp;",")),"Y","N")</f>
        <v>N</v>
      </c>
      <c r="P618" s="3" t="str">
        <f>IF(ISNUMBER(SEARCH(",Free To Play,",","&amp;SUBSTITUTE(TableMain[[#This Row],[Tags]],", ",",")&amp;",")),"Y","N")</f>
        <v>N</v>
      </c>
    </row>
    <row r="619" spans="1:16" x14ac:dyDescent="0.35">
      <c r="A619">
        <v>1435790</v>
      </c>
      <c r="B619" t="s">
        <v>1428</v>
      </c>
      <c r="C619" s="1">
        <v>44488</v>
      </c>
      <c r="D619">
        <v>674</v>
      </c>
      <c r="E619" t="b">
        <v>1</v>
      </c>
      <c r="F619" t="s">
        <v>1429</v>
      </c>
      <c r="G619" t="s">
        <v>1094</v>
      </c>
      <c r="H619">
        <v>619</v>
      </c>
      <c r="I619" t="s">
        <v>53</v>
      </c>
      <c r="J619" s="3" t="str">
        <f>IF(ISNUMBER(SEARCH(",Action,",","&amp;SUBSTITUTE(TableMain[[#This Row],[Tags]],", ",",")&amp;",")),"Y","N")</f>
        <v>N</v>
      </c>
      <c r="K619" s="3" t="str">
        <f>IF(ISNUMBER(SEARCH(",Indie,",","&amp;SUBSTITUTE(TableMain[[#This Row],[Tags]],", ",",")&amp;",")),"Y","N")</f>
        <v>Y</v>
      </c>
      <c r="L619" s="3" t="str">
        <f>IF(ISNUMBER(SEARCH(",Adventure,",","&amp;SUBSTITUTE(TableMain[[#This Row],[Tags]],", ",",")&amp;",")),"Y","N")</f>
        <v>Y</v>
      </c>
      <c r="M619" s="3" t="str">
        <f>IF(ISNUMBER(SEARCH(",Simulation,",","&amp;SUBSTITUTE(TableMain[[#This Row],[Tags]],", ",",")&amp;",")),"Y","N")</f>
        <v>Y</v>
      </c>
      <c r="N619" s="3" t="str">
        <f>IF(ISNUMBER(SEARCH(",RPG,",","&amp;SUBSTITUTE(TableMain[[#This Row],[Tags]],", ",",")&amp;",")),"Y","N")</f>
        <v>N</v>
      </c>
      <c r="O619" s="3" t="str">
        <f>IF(ISNUMBER(SEARCH(",Strategy,",","&amp;SUBSTITUTE(TableMain[[#This Row],[Tags]],", ",",")&amp;",")),"Y","N")</f>
        <v>N</v>
      </c>
      <c r="P619" s="3" t="str">
        <f>IF(ISNUMBER(SEARCH(",Free To Play,",","&amp;SUBSTITUTE(TableMain[[#This Row],[Tags]],", ",",")&amp;",")),"Y","N")</f>
        <v>N</v>
      </c>
    </row>
    <row r="620" spans="1:16" x14ac:dyDescent="0.35">
      <c r="A620">
        <v>9450</v>
      </c>
      <c r="B620" t="s">
        <v>1430</v>
      </c>
      <c r="C620" s="1">
        <v>39512</v>
      </c>
      <c r="D620">
        <v>673</v>
      </c>
      <c r="E620" t="b">
        <v>0</v>
      </c>
      <c r="F620" t="s">
        <v>1431</v>
      </c>
      <c r="G620" t="s">
        <v>124</v>
      </c>
      <c r="H620">
        <v>621</v>
      </c>
      <c r="I620" t="s">
        <v>2084</v>
      </c>
      <c r="J620" s="3" t="str">
        <f>IF(ISNUMBER(SEARCH(",Action,",","&amp;SUBSTITUTE(TableMain[[#This Row],[Tags]],", ",",")&amp;",")),"Y","N")</f>
        <v>N</v>
      </c>
      <c r="K620" s="3" t="str">
        <f>IF(ISNUMBER(SEARCH(",Indie,",","&amp;SUBSTITUTE(TableMain[[#This Row],[Tags]],", ",",")&amp;",")),"Y","N")</f>
        <v>N</v>
      </c>
      <c r="L620" s="3" t="str">
        <f>IF(ISNUMBER(SEARCH(",Adventure,",","&amp;SUBSTITUTE(TableMain[[#This Row],[Tags]],", ",",")&amp;",")),"Y","N")</f>
        <v>N</v>
      </c>
      <c r="M620" s="3" t="str">
        <f>IF(ISNUMBER(SEARCH(",Simulation,",","&amp;SUBSTITUTE(TableMain[[#This Row],[Tags]],", ",",")&amp;",")),"Y","N")</f>
        <v>N</v>
      </c>
      <c r="N620" s="3" t="str">
        <f>IF(ISNUMBER(SEARCH(",RPG,",","&amp;SUBSTITUTE(TableMain[[#This Row],[Tags]],", ",",")&amp;",")),"Y","N")</f>
        <v>N</v>
      </c>
      <c r="O620" s="3" t="str">
        <f>IF(ISNUMBER(SEARCH(",Strategy,",","&amp;SUBSTITUTE(TableMain[[#This Row],[Tags]],", ",",")&amp;",")),"Y","N")</f>
        <v>Y</v>
      </c>
      <c r="P620" s="3" t="str">
        <f>IF(ISNUMBER(SEARCH(",Free To Play,",","&amp;SUBSTITUTE(TableMain[[#This Row],[Tags]],", ",",")&amp;",")),"Y","N")</f>
        <v>N</v>
      </c>
    </row>
    <row r="621" spans="1:16" x14ac:dyDescent="0.35">
      <c r="A621">
        <v>254700</v>
      </c>
      <c r="B621" t="s">
        <v>1432</v>
      </c>
      <c r="C621" s="1">
        <v>41697</v>
      </c>
      <c r="D621">
        <v>673</v>
      </c>
      <c r="E621" t="b">
        <v>0</v>
      </c>
      <c r="F621" t="s">
        <v>1433</v>
      </c>
      <c r="G621" t="s">
        <v>46</v>
      </c>
      <c r="H621">
        <v>621</v>
      </c>
      <c r="I621" t="s">
        <v>2084</v>
      </c>
      <c r="J621" s="3" t="str">
        <f>IF(ISNUMBER(SEARCH(",Action,",","&amp;SUBSTITUTE(TableMain[[#This Row],[Tags]],", ",",")&amp;",")),"Y","N")</f>
        <v>Y</v>
      </c>
      <c r="K621" s="3" t="str">
        <f>IF(ISNUMBER(SEARCH(",Indie,",","&amp;SUBSTITUTE(TableMain[[#This Row],[Tags]],", ",",")&amp;",")),"Y","N")</f>
        <v>N</v>
      </c>
      <c r="L621" s="3" t="str">
        <f>IF(ISNUMBER(SEARCH(",Adventure,",","&amp;SUBSTITUTE(TableMain[[#This Row],[Tags]],", ",",")&amp;",")),"Y","N")</f>
        <v>Y</v>
      </c>
      <c r="M621" s="3" t="str">
        <f>IF(ISNUMBER(SEARCH(",Simulation,",","&amp;SUBSTITUTE(TableMain[[#This Row],[Tags]],", ",",")&amp;",")),"Y","N")</f>
        <v>N</v>
      </c>
      <c r="N621" s="3" t="str">
        <f>IF(ISNUMBER(SEARCH(",RPG,",","&amp;SUBSTITUTE(TableMain[[#This Row],[Tags]],", ",",")&amp;",")),"Y","N")</f>
        <v>N</v>
      </c>
      <c r="O621" s="3" t="str">
        <f>IF(ISNUMBER(SEARCH(",Strategy,",","&amp;SUBSTITUTE(TableMain[[#This Row],[Tags]],", ",",")&amp;",")),"Y","N")</f>
        <v>N</v>
      </c>
      <c r="P621" s="3" t="str">
        <f>IF(ISNUMBER(SEARCH(",Free To Play,",","&amp;SUBSTITUTE(TableMain[[#This Row],[Tags]],", ",",")&amp;",")),"Y","N")</f>
        <v>N</v>
      </c>
    </row>
    <row r="622" spans="1:16" x14ac:dyDescent="0.35">
      <c r="A622">
        <v>774171</v>
      </c>
      <c r="B622" t="s">
        <v>1434</v>
      </c>
      <c r="C622" s="1">
        <v>43635</v>
      </c>
      <c r="D622">
        <v>672</v>
      </c>
      <c r="E622" t="b">
        <v>1</v>
      </c>
      <c r="F622" t="s">
        <v>1435</v>
      </c>
      <c r="G622" t="s">
        <v>601</v>
      </c>
      <c r="H622">
        <v>623</v>
      </c>
      <c r="I622" t="s">
        <v>14</v>
      </c>
      <c r="J622" s="3" t="str">
        <f>IF(ISNUMBER(SEARCH(",Action,",","&amp;SUBSTITUTE(TableMain[[#This Row],[Tags]],", ",",")&amp;",")),"Y","N")</f>
        <v>Y</v>
      </c>
      <c r="K622" s="3" t="str">
        <f>IF(ISNUMBER(SEARCH(",Indie,",","&amp;SUBSTITUTE(TableMain[[#This Row],[Tags]],", ",",")&amp;",")),"Y","N")</f>
        <v>Y</v>
      </c>
      <c r="L622" s="3" t="str">
        <f>IF(ISNUMBER(SEARCH(",Adventure,",","&amp;SUBSTITUTE(TableMain[[#This Row],[Tags]],", ",",")&amp;",")),"Y","N")</f>
        <v>N</v>
      </c>
      <c r="M622" s="3" t="str">
        <f>IF(ISNUMBER(SEARCH(",Simulation,",","&amp;SUBSTITUTE(TableMain[[#This Row],[Tags]],", ",",")&amp;",")),"Y","N")</f>
        <v>N</v>
      </c>
      <c r="N622" s="3" t="str">
        <f>IF(ISNUMBER(SEARCH(",RPG,",","&amp;SUBSTITUTE(TableMain[[#This Row],[Tags]],", ",",")&amp;",")),"Y","N")</f>
        <v>N</v>
      </c>
      <c r="O622" s="3" t="str">
        <f>IF(ISNUMBER(SEARCH(",Strategy,",","&amp;SUBSTITUTE(TableMain[[#This Row],[Tags]],", ",",")&amp;",")),"Y","N")</f>
        <v>N</v>
      </c>
      <c r="P622" s="3" t="str">
        <f>IF(ISNUMBER(SEARCH(",Free To Play,",","&amp;SUBSTITUTE(TableMain[[#This Row],[Tags]],", ",",")&amp;",")),"Y","N")</f>
        <v>N</v>
      </c>
    </row>
    <row r="623" spans="1:16" x14ac:dyDescent="0.35">
      <c r="A623">
        <v>2294660</v>
      </c>
      <c r="B623" t="s">
        <v>1436</v>
      </c>
      <c r="C623" s="1">
        <v>45681</v>
      </c>
      <c r="D623">
        <v>669</v>
      </c>
      <c r="E623" t="b">
        <v>0</v>
      </c>
      <c r="F623" t="s">
        <v>1437</v>
      </c>
      <c r="G623" t="s">
        <v>1438</v>
      </c>
      <c r="H623">
        <v>624</v>
      </c>
      <c r="I623" t="s">
        <v>53</v>
      </c>
      <c r="J623" s="3" t="str">
        <f>IF(ISNUMBER(SEARCH(",Action,",","&amp;SUBSTITUTE(TableMain[[#This Row],[Tags]],", ",",")&amp;",")),"Y","N")</f>
        <v>N</v>
      </c>
      <c r="K623" s="3" t="str">
        <f>IF(ISNUMBER(SEARCH(",Indie,",","&amp;SUBSTITUTE(TableMain[[#This Row],[Tags]],", ",",")&amp;",")),"Y","N")</f>
        <v>N</v>
      </c>
      <c r="L623" s="3" t="str">
        <f>IF(ISNUMBER(SEARCH(",Adventure,",","&amp;SUBSTITUTE(TableMain[[#This Row],[Tags]],", ",",")&amp;",")),"Y","N")</f>
        <v>N</v>
      </c>
      <c r="M623" s="3" t="str">
        <f>IF(ISNUMBER(SEARCH(",Simulation,",","&amp;SUBSTITUTE(TableMain[[#This Row],[Tags]],", ",",")&amp;",")),"Y","N")</f>
        <v>N</v>
      </c>
      <c r="N623" s="3" t="str">
        <f>IF(ISNUMBER(SEARCH(",RPG,",","&amp;SUBSTITUTE(TableMain[[#This Row],[Tags]],", ",",")&amp;",")),"Y","N")</f>
        <v>N</v>
      </c>
      <c r="O623" s="3" t="str">
        <f>IF(ISNUMBER(SEARCH(",Strategy,",","&amp;SUBSTITUTE(TableMain[[#This Row],[Tags]],", ",",")&amp;",")),"Y","N")</f>
        <v>N</v>
      </c>
      <c r="P623" s="3" t="str">
        <f>IF(ISNUMBER(SEARCH(",Free To Play,",","&amp;SUBSTITUTE(TableMain[[#This Row],[Tags]],", ",",")&amp;",")),"Y","N")</f>
        <v>N</v>
      </c>
    </row>
    <row r="624" spans="1:16" x14ac:dyDescent="0.35">
      <c r="A624">
        <v>109600</v>
      </c>
      <c r="B624" t="s">
        <v>1439</v>
      </c>
      <c r="C624" s="1">
        <v>41613</v>
      </c>
      <c r="D624">
        <v>665</v>
      </c>
      <c r="E624" t="b">
        <v>0</v>
      </c>
      <c r="F624" t="s">
        <v>1440</v>
      </c>
      <c r="G624" t="s">
        <v>170</v>
      </c>
      <c r="H624">
        <v>625</v>
      </c>
      <c r="I624" t="s">
        <v>438</v>
      </c>
      <c r="J624" s="3" t="str">
        <f>IF(ISNUMBER(SEARCH(",Action,",","&amp;SUBSTITUTE(TableMain[[#This Row],[Tags]],", ",",")&amp;",")),"Y","N")</f>
        <v>Y</v>
      </c>
      <c r="K624" s="3" t="str">
        <f>IF(ISNUMBER(SEARCH(",Indie,",","&amp;SUBSTITUTE(TableMain[[#This Row],[Tags]],", ",",")&amp;",")),"Y","N")</f>
        <v>N</v>
      </c>
      <c r="L624" s="3" t="str">
        <f>IF(ISNUMBER(SEARCH(",Adventure,",","&amp;SUBSTITUTE(TableMain[[#This Row],[Tags]],", ",",")&amp;",")),"Y","N")</f>
        <v>Y</v>
      </c>
      <c r="M624" s="3" t="str">
        <f>IF(ISNUMBER(SEARCH(",Simulation,",","&amp;SUBSTITUTE(TableMain[[#This Row],[Tags]],", ",",")&amp;",")),"Y","N")</f>
        <v>N</v>
      </c>
      <c r="N624" s="3" t="str">
        <f>IF(ISNUMBER(SEARCH(",RPG,",","&amp;SUBSTITUTE(TableMain[[#This Row],[Tags]],", ",",")&amp;",")),"Y","N")</f>
        <v>Y</v>
      </c>
      <c r="O624" s="3" t="str">
        <f>IF(ISNUMBER(SEARCH(",Strategy,",","&amp;SUBSTITUTE(TableMain[[#This Row],[Tags]],", ",",")&amp;",")),"Y","N")</f>
        <v>N</v>
      </c>
      <c r="P624" s="3" t="str">
        <f>IF(ISNUMBER(SEARCH(",Free To Play,",","&amp;SUBSTITUTE(TableMain[[#This Row],[Tags]],", ",",")&amp;",")),"Y","N")</f>
        <v>Y</v>
      </c>
    </row>
    <row r="625" spans="1:16" x14ac:dyDescent="0.35">
      <c r="A625">
        <v>1097150</v>
      </c>
      <c r="B625" t="s">
        <v>1441</v>
      </c>
      <c r="C625" s="1">
        <v>44046</v>
      </c>
      <c r="D625">
        <v>664</v>
      </c>
      <c r="E625" t="b">
        <v>0</v>
      </c>
      <c r="F625" t="s">
        <v>1442</v>
      </c>
      <c r="G625" t="s">
        <v>1443</v>
      </c>
      <c r="H625">
        <v>626</v>
      </c>
      <c r="I625" t="s">
        <v>40</v>
      </c>
      <c r="J625" s="3" t="str">
        <f>IF(ISNUMBER(SEARCH(",Action,",","&amp;SUBSTITUTE(TableMain[[#This Row],[Tags]],", ",",")&amp;",")),"Y","N")</f>
        <v>Y</v>
      </c>
      <c r="K625" s="3" t="str">
        <f>IF(ISNUMBER(SEARCH(",Indie,",","&amp;SUBSTITUTE(TableMain[[#This Row],[Tags]],", ",",")&amp;",")),"Y","N")</f>
        <v>Y</v>
      </c>
      <c r="L625" s="3" t="str">
        <f>IF(ISNUMBER(SEARCH(",Adventure,",","&amp;SUBSTITUTE(TableMain[[#This Row],[Tags]],", ",",")&amp;",")),"Y","N")</f>
        <v>N</v>
      </c>
      <c r="M625" s="3" t="str">
        <f>IF(ISNUMBER(SEARCH(",Simulation,",","&amp;SUBSTITUTE(TableMain[[#This Row],[Tags]],", ",",")&amp;",")),"Y","N")</f>
        <v>N</v>
      </c>
      <c r="N625" s="3" t="str">
        <f>IF(ISNUMBER(SEARCH(",RPG,",","&amp;SUBSTITUTE(TableMain[[#This Row],[Tags]],", ",",")&amp;",")),"Y","N")</f>
        <v>N</v>
      </c>
      <c r="O625" s="3" t="str">
        <f>IF(ISNUMBER(SEARCH(",Strategy,",","&amp;SUBSTITUTE(TableMain[[#This Row],[Tags]],", ",",")&amp;",")),"Y","N")</f>
        <v>N</v>
      </c>
      <c r="P625" s="3" t="str">
        <f>IF(ISNUMBER(SEARCH(",Free To Play,",","&amp;SUBSTITUTE(TableMain[[#This Row],[Tags]],", ",",")&amp;",")),"Y","N")</f>
        <v>N</v>
      </c>
    </row>
    <row r="626" spans="1:16" x14ac:dyDescent="0.35">
      <c r="A626">
        <v>1127400</v>
      </c>
      <c r="B626" t="s">
        <v>1444</v>
      </c>
      <c r="C626" s="1">
        <v>43734</v>
      </c>
      <c r="D626">
        <v>658</v>
      </c>
      <c r="E626" t="b">
        <v>1</v>
      </c>
      <c r="F626" t="s">
        <v>1445</v>
      </c>
      <c r="G626" t="s">
        <v>124</v>
      </c>
      <c r="H626">
        <v>627</v>
      </c>
      <c r="I626" t="s">
        <v>14</v>
      </c>
      <c r="J626" s="3" t="str">
        <f>IF(ISNUMBER(SEARCH(",Action,",","&amp;SUBSTITUTE(TableMain[[#This Row],[Tags]],", ",",")&amp;",")),"Y","N")</f>
        <v>N</v>
      </c>
      <c r="K626" s="3" t="str">
        <f>IF(ISNUMBER(SEARCH(",Indie,",","&amp;SUBSTITUTE(TableMain[[#This Row],[Tags]],", ",",")&amp;",")),"Y","N")</f>
        <v>N</v>
      </c>
      <c r="L626" s="3" t="str">
        <f>IF(ISNUMBER(SEARCH(",Adventure,",","&amp;SUBSTITUTE(TableMain[[#This Row],[Tags]],", ",",")&amp;",")),"Y","N")</f>
        <v>N</v>
      </c>
      <c r="M626" s="3" t="str">
        <f>IF(ISNUMBER(SEARCH(",Simulation,",","&amp;SUBSTITUTE(TableMain[[#This Row],[Tags]],", ",",")&amp;",")),"Y","N")</f>
        <v>N</v>
      </c>
      <c r="N626" s="3" t="str">
        <f>IF(ISNUMBER(SEARCH(",RPG,",","&amp;SUBSTITUTE(TableMain[[#This Row],[Tags]],", ",",")&amp;",")),"Y","N")</f>
        <v>N</v>
      </c>
      <c r="O626" s="3" t="str">
        <f>IF(ISNUMBER(SEARCH(",Strategy,",","&amp;SUBSTITUTE(TableMain[[#This Row],[Tags]],", ",",")&amp;",")),"Y","N")</f>
        <v>Y</v>
      </c>
      <c r="P626" s="3" t="str">
        <f>IF(ISNUMBER(SEARCH(",Free To Play,",","&amp;SUBSTITUTE(TableMain[[#This Row],[Tags]],", ",",")&amp;",")),"Y","N")</f>
        <v>N</v>
      </c>
    </row>
    <row r="627" spans="1:16" x14ac:dyDescent="0.35">
      <c r="A627">
        <v>3330</v>
      </c>
      <c r="B627" t="s">
        <v>1446</v>
      </c>
      <c r="C627" s="1">
        <v>38959</v>
      </c>
      <c r="D627">
        <v>658</v>
      </c>
      <c r="E627" t="b">
        <v>1</v>
      </c>
      <c r="F627" t="s">
        <v>915</v>
      </c>
      <c r="G627" t="s">
        <v>519</v>
      </c>
      <c r="H627">
        <v>627</v>
      </c>
      <c r="I627" t="s">
        <v>2083</v>
      </c>
      <c r="J627" s="3" t="str">
        <f>IF(ISNUMBER(SEARCH(",Action,",","&amp;SUBSTITUTE(TableMain[[#This Row],[Tags]],", ",",")&amp;",")),"Y","N")</f>
        <v>N</v>
      </c>
      <c r="K627" s="3" t="str">
        <f>IF(ISNUMBER(SEARCH(",Indie,",","&amp;SUBSTITUTE(TableMain[[#This Row],[Tags]],", ",",")&amp;",")),"Y","N")</f>
        <v>N</v>
      </c>
      <c r="L627" s="3" t="str">
        <f>IF(ISNUMBER(SEARCH(",Adventure,",","&amp;SUBSTITUTE(TableMain[[#This Row],[Tags]],", ",",")&amp;",")),"Y","N")</f>
        <v>N</v>
      </c>
      <c r="M627" s="3" t="str">
        <f>IF(ISNUMBER(SEARCH(",Simulation,",","&amp;SUBSTITUTE(TableMain[[#This Row],[Tags]],", ",",")&amp;",")),"Y","N")</f>
        <v>N</v>
      </c>
      <c r="N627" s="3" t="str">
        <f>IF(ISNUMBER(SEARCH(",RPG,",","&amp;SUBSTITUTE(TableMain[[#This Row],[Tags]],", ",",")&amp;",")),"Y","N")</f>
        <v>N</v>
      </c>
      <c r="O627" s="3" t="str">
        <f>IF(ISNUMBER(SEARCH(",Strategy,",","&amp;SUBSTITUTE(TableMain[[#This Row],[Tags]],", ",",")&amp;",")),"Y","N")</f>
        <v>N</v>
      </c>
      <c r="P627" s="3" t="str">
        <f>IF(ISNUMBER(SEARCH(",Free To Play,",","&amp;SUBSTITUTE(TableMain[[#This Row],[Tags]],", ",",")&amp;",")),"Y","N")</f>
        <v>N</v>
      </c>
    </row>
    <row r="628" spans="1:16" x14ac:dyDescent="0.35">
      <c r="A628">
        <v>629730</v>
      </c>
      <c r="B628" t="s">
        <v>1447</v>
      </c>
      <c r="C628" s="1">
        <v>45460</v>
      </c>
      <c r="D628">
        <v>657</v>
      </c>
      <c r="E628" t="b">
        <v>0</v>
      </c>
      <c r="F628" t="s">
        <v>1448</v>
      </c>
      <c r="G628" t="s">
        <v>504</v>
      </c>
      <c r="H628">
        <v>629</v>
      </c>
      <c r="I628" t="s">
        <v>119</v>
      </c>
      <c r="J628" s="3" t="str">
        <f>IF(ISNUMBER(SEARCH(",Action,",","&amp;SUBSTITUTE(TableMain[[#This Row],[Tags]],", ",",")&amp;",")),"Y","N")</f>
        <v>Y</v>
      </c>
      <c r="K628" s="3" t="str">
        <f>IF(ISNUMBER(SEARCH(",Indie,",","&amp;SUBSTITUTE(TableMain[[#This Row],[Tags]],", ",",")&amp;",")),"Y","N")</f>
        <v>Y</v>
      </c>
      <c r="L628" s="3" t="str">
        <f>IF(ISNUMBER(SEARCH(",Adventure,",","&amp;SUBSTITUTE(TableMain[[#This Row],[Tags]],", ",",")&amp;",")),"Y","N")</f>
        <v>Y</v>
      </c>
      <c r="M628" s="3" t="str">
        <f>IF(ISNUMBER(SEARCH(",Simulation,",","&amp;SUBSTITUTE(TableMain[[#This Row],[Tags]],", ",",")&amp;",")),"Y","N")</f>
        <v>Y</v>
      </c>
      <c r="N628" s="3" t="str">
        <f>IF(ISNUMBER(SEARCH(",RPG,",","&amp;SUBSTITUTE(TableMain[[#This Row],[Tags]],", ",",")&amp;",")),"Y","N")</f>
        <v>Y</v>
      </c>
      <c r="O628" s="3" t="str">
        <f>IF(ISNUMBER(SEARCH(",Strategy,",","&amp;SUBSTITUTE(TableMain[[#This Row],[Tags]],", ",",")&amp;",")),"Y","N")</f>
        <v>N</v>
      </c>
      <c r="P628" s="3" t="str">
        <f>IF(ISNUMBER(SEARCH(",Free To Play,",","&amp;SUBSTITUTE(TableMain[[#This Row],[Tags]],", ",",")&amp;",")),"Y","N")</f>
        <v>N</v>
      </c>
    </row>
    <row r="629" spans="1:16" x14ac:dyDescent="0.35">
      <c r="A629">
        <v>363890</v>
      </c>
      <c r="B629" t="s">
        <v>1449</v>
      </c>
      <c r="C629" s="1">
        <v>42300</v>
      </c>
      <c r="D629">
        <v>657</v>
      </c>
      <c r="E629" t="b">
        <v>1</v>
      </c>
      <c r="F629" t="s">
        <v>1450</v>
      </c>
      <c r="G629" t="s">
        <v>1331</v>
      </c>
      <c r="H629">
        <v>629</v>
      </c>
      <c r="I629" t="s">
        <v>110</v>
      </c>
      <c r="J629" s="3" t="str">
        <f>IF(ISNUMBER(SEARCH(",Action,",","&amp;SUBSTITUTE(TableMain[[#This Row],[Tags]],", ",",")&amp;",")),"Y","N")</f>
        <v>N</v>
      </c>
      <c r="K629" s="3" t="str">
        <f>IF(ISNUMBER(SEARCH(",Indie,",","&amp;SUBSTITUTE(TableMain[[#This Row],[Tags]],", ",",")&amp;",")),"Y","N")</f>
        <v>N</v>
      </c>
      <c r="L629" s="3" t="str">
        <f>IF(ISNUMBER(SEARCH(",Adventure,",","&amp;SUBSTITUTE(TableMain[[#This Row],[Tags]],", ",",")&amp;",")),"Y","N")</f>
        <v>N</v>
      </c>
      <c r="M629" s="3" t="str">
        <f>IF(ISNUMBER(SEARCH(",Simulation,",","&amp;SUBSTITUTE(TableMain[[#This Row],[Tags]],", ",",")&amp;",")),"Y","N")</f>
        <v>N</v>
      </c>
      <c r="N629" s="3" t="str">
        <f>IF(ISNUMBER(SEARCH(",RPG,",","&amp;SUBSTITUTE(TableMain[[#This Row],[Tags]],", ",",")&amp;",")),"Y","N")</f>
        <v>Y</v>
      </c>
      <c r="O629" s="3" t="str">
        <f>IF(ISNUMBER(SEARCH(",Strategy,",","&amp;SUBSTITUTE(TableMain[[#This Row],[Tags]],", ",",")&amp;",")),"Y","N")</f>
        <v>N</v>
      </c>
      <c r="P629" s="3" t="str">
        <f>IF(ISNUMBER(SEARCH(",Free To Play,",","&amp;SUBSTITUTE(TableMain[[#This Row],[Tags]],", ",",")&amp;",")),"Y","N")</f>
        <v>N</v>
      </c>
    </row>
    <row r="630" spans="1:16" x14ac:dyDescent="0.35">
      <c r="A630">
        <v>1520470</v>
      </c>
      <c r="B630" t="s">
        <v>1451</v>
      </c>
      <c r="C630" s="1">
        <v>44284</v>
      </c>
      <c r="D630">
        <v>656</v>
      </c>
      <c r="E630" t="b">
        <v>0</v>
      </c>
      <c r="F630" t="s">
        <v>622</v>
      </c>
      <c r="G630" t="s">
        <v>808</v>
      </c>
      <c r="H630">
        <v>631</v>
      </c>
      <c r="I630" t="s">
        <v>36</v>
      </c>
      <c r="J630" s="3" t="str">
        <f>IF(ISNUMBER(SEARCH(",Action,",","&amp;SUBSTITUTE(TableMain[[#This Row],[Tags]],", ",",")&amp;",")),"Y","N")</f>
        <v>Y</v>
      </c>
      <c r="K630" s="3" t="str">
        <f>IF(ISNUMBER(SEARCH(",Indie,",","&amp;SUBSTITUTE(TableMain[[#This Row],[Tags]],", ",",")&amp;",")),"Y","N")</f>
        <v>N</v>
      </c>
      <c r="L630" s="3" t="str">
        <f>IF(ISNUMBER(SEARCH(",Adventure,",","&amp;SUBSTITUTE(TableMain[[#This Row],[Tags]],", ",",")&amp;",")),"Y","N")</f>
        <v>Y</v>
      </c>
      <c r="M630" s="3" t="str">
        <f>IF(ISNUMBER(SEARCH(",Simulation,",","&amp;SUBSTITUTE(TableMain[[#This Row],[Tags]],", ",",")&amp;",")),"Y","N")</f>
        <v>N</v>
      </c>
      <c r="N630" s="3" t="str">
        <f>IF(ISNUMBER(SEARCH(",RPG,",","&amp;SUBSTITUTE(TableMain[[#This Row],[Tags]],", ",",")&amp;",")),"Y","N")</f>
        <v>Y</v>
      </c>
      <c r="O630" s="3" t="str">
        <f>IF(ISNUMBER(SEARCH(",Strategy,",","&amp;SUBSTITUTE(TableMain[[#This Row],[Tags]],", ",",")&amp;",")),"Y","N")</f>
        <v>Y</v>
      </c>
      <c r="P630" s="3" t="str">
        <f>IF(ISNUMBER(SEARCH(",Free To Play,",","&amp;SUBSTITUTE(TableMain[[#This Row],[Tags]],", ",",")&amp;",")),"Y","N")</f>
        <v>Y</v>
      </c>
    </row>
    <row r="631" spans="1:16" x14ac:dyDescent="0.35">
      <c r="A631">
        <v>2826180</v>
      </c>
      <c r="B631" t="s">
        <v>1452</v>
      </c>
      <c r="C631" s="1">
        <v>45414</v>
      </c>
      <c r="D631">
        <v>655</v>
      </c>
      <c r="E631" t="b">
        <v>1</v>
      </c>
      <c r="F631" t="s">
        <v>456</v>
      </c>
      <c r="G631" t="s">
        <v>1094</v>
      </c>
      <c r="H631">
        <v>632</v>
      </c>
      <c r="I631" t="s">
        <v>2082</v>
      </c>
      <c r="J631" s="3" t="str">
        <f>IF(ISNUMBER(SEARCH(",Action,",","&amp;SUBSTITUTE(TableMain[[#This Row],[Tags]],", ",",")&amp;",")),"Y","N")</f>
        <v>N</v>
      </c>
      <c r="K631" s="3" t="str">
        <f>IF(ISNUMBER(SEARCH(",Indie,",","&amp;SUBSTITUTE(TableMain[[#This Row],[Tags]],", ",",")&amp;",")),"Y","N")</f>
        <v>Y</v>
      </c>
      <c r="L631" s="3" t="str">
        <f>IF(ISNUMBER(SEARCH(",Adventure,",","&amp;SUBSTITUTE(TableMain[[#This Row],[Tags]],", ",",")&amp;",")),"Y","N")</f>
        <v>Y</v>
      </c>
      <c r="M631" s="3" t="str">
        <f>IF(ISNUMBER(SEARCH(",Simulation,",","&amp;SUBSTITUTE(TableMain[[#This Row],[Tags]],", ",",")&amp;",")),"Y","N")</f>
        <v>Y</v>
      </c>
      <c r="N631" s="3" t="str">
        <f>IF(ISNUMBER(SEARCH(",RPG,",","&amp;SUBSTITUTE(TableMain[[#This Row],[Tags]],", ",",")&amp;",")),"Y","N")</f>
        <v>N</v>
      </c>
      <c r="O631" s="3" t="str">
        <f>IF(ISNUMBER(SEARCH(",Strategy,",","&amp;SUBSTITUTE(TableMain[[#This Row],[Tags]],", ",",")&amp;",")),"Y","N")</f>
        <v>N</v>
      </c>
      <c r="P631" s="3" t="str">
        <f>IF(ISNUMBER(SEARCH(",Free To Play,",","&amp;SUBSTITUTE(TableMain[[#This Row],[Tags]],", ",",")&amp;",")),"Y","N")</f>
        <v>N</v>
      </c>
    </row>
    <row r="632" spans="1:16" x14ac:dyDescent="0.35">
      <c r="A632">
        <v>200260</v>
      </c>
      <c r="B632" t="s">
        <v>1453</v>
      </c>
      <c r="C632" s="1">
        <v>41159</v>
      </c>
      <c r="D632">
        <v>655</v>
      </c>
      <c r="E632" t="b">
        <v>0</v>
      </c>
      <c r="F632" t="s">
        <v>1053</v>
      </c>
      <c r="G632" t="s">
        <v>46</v>
      </c>
      <c r="H632">
        <v>632</v>
      </c>
      <c r="I632" t="s">
        <v>2084</v>
      </c>
      <c r="J632" s="3" t="str">
        <f>IF(ISNUMBER(SEARCH(",Action,",","&amp;SUBSTITUTE(TableMain[[#This Row],[Tags]],", ",",")&amp;",")),"Y","N")</f>
        <v>Y</v>
      </c>
      <c r="K632" s="3" t="str">
        <f>IF(ISNUMBER(SEARCH(",Indie,",","&amp;SUBSTITUTE(TableMain[[#This Row],[Tags]],", ",",")&amp;",")),"Y","N")</f>
        <v>N</v>
      </c>
      <c r="L632" s="3" t="str">
        <f>IF(ISNUMBER(SEARCH(",Adventure,",","&amp;SUBSTITUTE(TableMain[[#This Row],[Tags]],", ",",")&amp;",")),"Y","N")</f>
        <v>Y</v>
      </c>
      <c r="M632" s="3" t="str">
        <f>IF(ISNUMBER(SEARCH(",Simulation,",","&amp;SUBSTITUTE(TableMain[[#This Row],[Tags]],", ",",")&amp;",")),"Y","N")</f>
        <v>N</v>
      </c>
      <c r="N632" s="3" t="str">
        <f>IF(ISNUMBER(SEARCH(",RPG,",","&amp;SUBSTITUTE(TableMain[[#This Row],[Tags]],", ",",")&amp;",")),"Y","N")</f>
        <v>N</v>
      </c>
      <c r="O632" s="3" t="str">
        <f>IF(ISNUMBER(SEARCH(",Strategy,",","&amp;SUBSTITUTE(TableMain[[#This Row],[Tags]],", ",",")&amp;",")),"Y","N")</f>
        <v>N</v>
      </c>
      <c r="P632" s="3" t="str">
        <f>IF(ISNUMBER(SEARCH(",Free To Play,",","&amp;SUBSTITUTE(TableMain[[#This Row],[Tags]],", ",",")&amp;",")),"Y","N")</f>
        <v>N</v>
      </c>
    </row>
    <row r="633" spans="1:16" x14ac:dyDescent="0.35">
      <c r="A633">
        <v>2072450</v>
      </c>
      <c r="B633" t="s">
        <v>1454</v>
      </c>
      <c r="C633" s="1">
        <v>45316</v>
      </c>
      <c r="D633">
        <v>655</v>
      </c>
      <c r="E633" t="b">
        <v>0</v>
      </c>
      <c r="F633" t="s">
        <v>324</v>
      </c>
      <c r="G633" t="s">
        <v>208</v>
      </c>
      <c r="H633">
        <v>632</v>
      </c>
      <c r="I633" t="s">
        <v>36</v>
      </c>
      <c r="J633" s="3" t="str">
        <f>IF(ISNUMBER(SEARCH(",Action,",","&amp;SUBSTITUTE(TableMain[[#This Row],[Tags]],", ",",")&amp;",")),"Y","N")</f>
        <v>Y</v>
      </c>
      <c r="K633" s="3" t="str">
        <f>IF(ISNUMBER(SEARCH(",Indie,",","&amp;SUBSTITUTE(TableMain[[#This Row],[Tags]],", ",",")&amp;",")),"Y","N")</f>
        <v>N</v>
      </c>
      <c r="L633" s="3" t="str">
        <f>IF(ISNUMBER(SEARCH(",Adventure,",","&amp;SUBSTITUTE(TableMain[[#This Row],[Tags]],", ",",")&amp;",")),"Y","N")</f>
        <v>Y</v>
      </c>
      <c r="M633" s="3" t="str">
        <f>IF(ISNUMBER(SEARCH(",Simulation,",","&amp;SUBSTITUTE(TableMain[[#This Row],[Tags]],", ",",")&amp;",")),"Y","N")</f>
        <v>N</v>
      </c>
      <c r="N633" s="3" t="str">
        <f>IF(ISNUMBER(SEARCH(",RPG,",","&amp;SUBSTITUTE(TableMain[[#This Row],[Tags]],", ",",")&amp;",")),"Y","N")</f>
        <v>Y</v>
      </c>
      <c r="O633" s="3" t="str">
        <f>IF(ISNUMBER(SEARCH(",Strategy,",","&amp;SUBSTITUTE(TableMain[[#This Row],[Tags]],", ",",")&amp;",")),"Y","N")</f>
        <v>N</v>
      </c>
      <c r="P633" s="3" t="str">
        <f>IF(ISNUMBER(SEARCH(",Free To Play,",","&amp;SUBSTITUTE(TableMain[[#This Row],[Tags]],", ",",")&amp;",")),"Y","N")</f>
        <v>N</v>
      </c>
    </row>
    <row r="634" spans="1:16" x14ac:dyDescent="0.35">
      <c r="A634">
        <v>1432860</v>
      </c>
      <c r="B634" t="s">
        <v>1455</v>
      </c>
      <c r="C634" s="1">
        <v>44995</v>
      </c>
      <c r="D634">
        <v>653</v>
      </c>
      <c r="E634" t="b">
        <v>1</v>
      </c>
      <c r="F634" t="s">
        <v>1456</v>
      </c>
      <c r="G634" t="s">
        <v>695</v>
      </c>
      <c r="H634">
        <v>635</v>
      </c>
      <c r="I634" t="s">
        <v>304</v>
      </c>
      <c r="J634" s="3" t="str">
        <f>IF(ISNUMBER(SEARCH(",Action,",","&amp;SUBSTITUTE(TableMain[[#This Row],[Tags]],", ",",")&amp;",")),"Y","N")</f>
        <v>N</v>
      </c>
      <c r="K634" s="3" t="str">
        <f>IF(ISNUMBER(SEARCH(",Indie,",","&amp;SUBSTITUTE(TableMain[[#This Row],[Tags]],", ",",")&amp;",")),"Y","N")</f>
        <v>Y</v>
      </c>
      <c r="L634" s="3" t="str">
        <f>IF(ISNUMBER(SEARCH(",Adventure,",","&amp;SUBSTITUTE(TableMain[[#This Row],[Tags]],", ",",")&amp;",")),"Y","N")</f>
        <v>Y</v>
      </c>
      <c r="M634" s="3" t="str">
        <f>IF(ISNUMBER(SEARCH(",Simulation,",","&amp;SUBSTITUTE(TableMain[[#This Row],[Tags]],", ",",")&amp;",")),"Y","N")</f>
        <v>Y</v>
      </c>
      <c r="N634" s="3" t="str">
        <f>IF(ISNUMBER(SEARCH(",RPG,",","&amp;SUBSTITUTE(TableMain[[#This Row],[Tags]],", ",",")&amp;",")),"Y","N")</f>
        <v>Y</v>
      </c>
      <c r="O634" s="3" t="str">
        <f>IF(ISNUMBER(SEARCH(",Strategy,",","&amp;SUBSTITUTE(TableMain[[#This Row],[Tags]],", ",",")&amp;",")),"Y","N")</f>
        <v>N</v>
      </c>
      <c r="P634" s="3" t="str">
        <f>IF(ISNUMBER(SEARCH(",Free To Play,",","&amp;SUBSTITUTE(TableMain[[#This Row],[Tags]],", ",",")&amp;",")),"Y","N")</f>
        <v>N</v>
      </c>
    </row>
    <row r="635" spans="1:16" x14ac:dyDescent="0.35">
      <c r="A635">
        <v>454650</v>
      </c>
      <c r="B635" t="s">
        <v>1457</v>
      </c>
      <c r="C635" s="1">
        <v>42670</v>
      </c>
      <c r="D635">
        <v>652</v>
      </c>
      <c r="E635" t="b">
        <v>0</v>
      </c>
      <c r="F635" t="s">
        <v>1458</v>
      </c>
      <c r="G635" t="s">
        <v>1459</v>
      </c>
      <c r="H635">
        <v>636</v>
      </c>
      <c r="I635" t="s">
        <v>2093</v>
      </c>
      <c r="J635" s="3" t="str">
        <f>IF(ISNUMBER(SEARCH(",Action,",","&amp;SUBSTITUTE(TableMain[[#This Row],[Tags]],", ",",")&amp;",")),"Y","N")</f>
        <v>Y</v>
      </c>
      <c r="K635" s="3" t="str">
        <f>IF(ISNUMBER(SEARCH(",Indie,",","&amp;SUBSTITUTE(TableMain[[#This Row],[Tags]],", ",",")&amp;",")),"Y","N")</f>
        <v>N</v>
      </c>
      <c r="L635" s="3" t="str">
        <f>IF(ISNUMBER(SEARCH(",Adventure,",","&amp;SUBSTITUTE(TableMain[[#This Row],[Tags]],", ",",")&amp;",")),"Y","N")</f>
        <v>Y</v>
      </c>
      <c r="M635" s="3" t="str">
        <f>IF(ISNUMBER(SEARCH(",Simulation,",","&amp;SUBSTITUTE(TableMain[[#This Row],[Tags]],", ",",")&amp;",")),"Y","N")</f>
        <v>N</v>
      </c>
      <c r="N635" s="3" t="str">
        <f>IF(ISNUMBER(SEARCH(",RPG,",","&amp;SUBSTITUTE(TableMain[[#This Row],[Tags]],", ",",")&amp;",")),"Y","N")</f>
        <v>N</v>
      </c>
      <c r="O635" s="3" t="str">
        <f>IF(ISNUMBER(SEARCH(",Strategy,",","&amp;SUBSTITUTE(TableMain[[#This Row],[Tags]],", ",",")&amp;",")),"Y","N")</f>
        <v>N</v>
      </c>
      <c r="P635" s="3" t="str">
        <f>IF(ISNUMBER(SEARCH(",Free To Play,",","&amp;SUBSTITUTE(TableMain[[#This Row],[Tags]],", ",",")&amp;",")),"Y","N")</f>
        <v>N</v>
      </c>
    </row>
    <row r="636" spans="1:16" x14ac:dyDescent="0.35">
      <c r="A636">
        <v>870780</v>
      </c>
      <c r="B636" t="s">
        <v>1460</v>
      </c>
      <c r="C636" s="1">
        <v>44070</v>
      </c>
      <c r="D636">
        <v>648</v>
      </c>
      <c r="E636" t="b">
        <v>1</v>
      </c>
      <c r="F636" t="s">
        <v>1461</v>
      </c>
      <c r="G636" t="s">
        <v>46</v>
      </c>
      <c r="H636">
        <v>637</v>
      </c>
      <c r="I636" t="s">
        <v>175</v>
      </c>
      <c r="J636" s="3" t="str">
        <f>IF(ISNUMBER(SEARCH(",Action,",","&amp;SUBSTITUTE(TableMain[[#This Row],[Tags]],", ",",")&amp;",")),"Y","N")</f>
        <v>Y</v>
      </c>
      <c r="K636" s="3" t="str">
        <f>IF(ISNUMBER(SEARCH(",Indie,",","&amp;SUBSTITUTE(TableMain[[#This Row],[Tags]],", ",",")&amp;",")),"Y","N")</f>
        <v>N</v>
      </c>
      <c r="L636" s="3" t="str">
        <f>IF(ISNUMBER(SEARCH(",Adventure,",","&amp;SUBSTITUTE(TableMain[[#This Row],[Tags]],", ",",")&amp;",")),"Y","N")</f>
        <v>Y</v>
      </c>
      <c r="M636" s="3" t="str">
        <f>IF(ISNUMBER(SEARCH(",Simulation,",","&amp;SUBSTITUTE(TableMain[[#This Row],[Tags]],", ",",")&amp;",")),"Y","N")</f>
        <v>N</v>
      </c>
      <c r="N636" s="3" t="str">
        <f>IF(ISNUMBER(SEARCH(",RPG,",","&amp;SUBSTITUTE(TableMain[[#This Row],[Tags]],", ",",")&amp;",")),"Y","N")</f>
        <v>N</v>
      </c>
      <c r="O636" s="3" t="str">
        <f>IF(ISNUMBER(SEARCH(",Strategy,",","&amp;SUBSTITUTE(TableMain[[#This Row],[Tags]],", ",",")&amp;",")),"Y","N")</f>
        <v>N</v>
      </c>
      <c r="P636" s="3" t="str">
        <f>IF(ISNUMBER(SEARCH(",Free To Play,",","&amp;SUBSTITUTE(TableMain[[#This Row],[Tags]],", ",",")&amp;",")),"Y","N")</f>
        <v>N</v>
      </c>
    </row>
    <row r="637" spans="1:16" x14ac:dyDescent="0.35">
      <c r="A637">
        <v>1097430</v>
      </c>
      <c r="B637" t="s">
        <v>1462</v>
      </c>
      <c r="C637" s="1">
        <v>44771</v>
      </c>
      <c r="D637">
        <v>647</v>
      </c>
      <c r="E637" t="b">
        <v>0</v>
      </c>
      <c r="F637" t="s">
        <v>1463</v>
      </c>
      <c r="G637" t="s">
        <v>1464</v>
      </c>
      <c r="H637">
        <v>638</v>
      </c>
      <c r="I637" t="s">
        <v>304</v>
      </c>
      <c r="J637" s="3" t="str">
        <f>IF(ISNUMBER(SEARCH(",Action,",","&amp;SUBSTITUTE(TableMain[[#This Row],[Tags]],", ",",")&amp;",")),"Y","N")</f>
        <v>Y</v>
      </c>
      <c r="K637" s="3" t="str">
        <f>IF(ISNUMBER(SEARCH(",Indie,",","&amp;SUBSTITUTE(TableMain[[#This Row],[Tags]],", ",",")&amp;",")),"Y","N")</f>
        <v>Y</v>
      </c>
      <c r="L637" s="3" t="str">
        <f>IF(ISNUMBER(SEARCH(",Adventure,",","&amp;SUBSTITUTE(TableMain[[#This Row],[Tags]],", ",",")&amp;",")),"Y","N")</f>
        <v>Y</v>
      </c>
      <c r="M637" s="3" t="str">
        <f>IF(ISNUMBER(SEARCH(",Simulation,",","&amp;SUBSTITUTE(TableMain[[#This Row],[Tags]],", ",",")&amp;",")),"Y","N")</f>
        <v>N</v>
      </c>
      <c r="N637" s="3" t="str">
        <f>IF(ISNUMBER(SEARCH(",RPG,",","&amp;SUBSTITUTE(TableMain[[#This Row],[Tags]],", ",",")&amp;",")),"Y","N")</f>
        <v>Y</v>
      </c>
      <c r="O637" s="3" t="str">
        <f>IF(ISNUMBER(SEARCH(",Strategy,",","&amp;SUBSTITUTE(TableMain[[#This Row],[Tags]],", ",",")&amp;",")),"Y","N")</f>
        <v>Y</v>
      </c>
      <c r="P637" s="3" t="str">
        <f>IF(ISNUMBER(SEARCH(",Free To Play,",","&amp;SUBSTITUTE(TableMain[[#This Row],[Tags]],", ",",")&amp;",")),"Y","N")</f>
        <v>Y</v>
      </c>
    </row>
    <row r="638" spans="1:16" x14ac:dyDescent="0.35">
      <c r="A638">
        <v>744900</v>
      </c>
      <c r="B638" t="s">
        <v>1465</v>
      </c>
      <c r="C638" s="1">
        <v>43661</v>
      </c>
      <c r="D638">
        <v>647</v>
      </c>
      <c r="E638" t="b">
        <v>0</v>
      </c>
      <c r="F638" t="s">
        <v>1466</v>
      </c>
      <c r="G638" t="s">
        <v>1467</v>
      </c>
      <c r="H638">
        <v>638</v>
      </c>
      <c r="I638" t="s">
        <v>304</v>
      </c>
      <c r="J638" s="3" t="str">
        <f>IF(ISNUMBER(SEARCH(",Action,",","&amp;SUBSTITUTE(TableMain[[#This Row],[Tags]],", ",",")&amp;",")),"Y","N")</f>
        <v>Y</v>
      </c>
      <c r="K638" s="3" t="str">
        <f>IF(ISNUMBER(SEARCH(",Indie,",","&amp;SUBSTITUTE(TableMain[[#This Row],[Tags]],", ",",")&amp;",")),"Y","N")</f>
        <v>Y</v>
      </c>
      <c r="L638" s="3" t="str">
        <f>IF(ISNUMBER(SEARCH(",Adventure,",","&amp;SUBSTITUTE(TableMain[[#This Row],[Tags]],", ",",")&amp;",")),"Y","N")</f>
        <v>N</v>
      </c>
      <c r="M638" s="3" t="str">
        <f>IF(ISNUMBER(SEARCH(",Simulation,",","&amp;SUBSTITUTE(TableMain[[#This Row],[Tags]],", ",",")&amp;",")),"Y","N")</f>
        <v>N</v>
      </c>
      <c r="N638" s="3" t="str">
        <f>IF(ISNUMBER(SEARCH(",RPG,",","&amp;SUBSTITUTE(TableMain[[#This Row],[Tags]],", ",",")&amp;",")),"Y","N")</f>
        <v>Y</v>
      </c>
      <c r="O638" s="3" t="str">
        <f>IF(ISNUMBER(SEARCH(",Strategy,",","&amp;SUBSTITUTE(TableMain[[#This Row],[Tags]],", ",",")&amp;",")),"Y","N")</f>
        <v>N</v>
      </c>
      <c r="P638" s="3" t="str">
        <f>IF(ISNUMBER(SEARCH(",Free To Play,",","&amp;SUBSTITUTE(TableMain[[#This Row],[Tags]],", ",",")&amp;",")),"Y","N")</f>
        <v>Y</v>
      </c>
    </row>
    <row r="639" spans="1:16" x14ac:dyDescent="0.35">
      <c r="A639">
        <v>2420510</v>
      </c>
      <c r="B639" t="s">
        <v>1468</v>
      </c>
      <c r="C639" s="1">
        <v>45154</v>
      </c>
      <c r="D639">
        <v>645</v>
      </c>
      <c r="E639" t="b">
        <v>0</v>
      </c>
      <c r="F639" t="s">
        <v>1469</v>
      </c>
      <c r="G639" t="s">
        <v>1470</v>
      </c>
      <c r="H639">
        <v>640</v>
      </c>
      <c r="I639" t="s">
        <v>371</v>
      </c>
      <c r="J639" s="3" t="str">
        <f>IF(ISNUMBER(SEARCH(",Action,",","&amp;SUBSTITUTE(TableMain[[#This Row],[Tags]],", ",",")&amp;",")),"Y","N")</f>
        <v>Y</v>
      </c>
      <c r="K639" s="3" t="str">
        <f>IF(ISNUMBER(SEARCH(",Indie,",","&amp;SUBSTITUTE(TableMain[[#This Row],[Tags]],", ",",")&amp;",")),"Y","N")</f>
        <v>Y</v>
      </c>
      <c r="L639" s="3" t="str">
        <f>IF(ISNUMBER(SEARCH(",Adventure,",","&amp;SUBSTITUTE(TableMain[[#This Row],[Tags]],", ",",")&amp;",")),"Y","N")</f>
        <v>Y</v>
      </c>
      <c r="M639" s="3" t="str">
        <f>IF(ISNUMBER(SEARCH(",Simulation,",","&amp;SUBSTITUTE(TableMain[[#This Row],[Tags]],", ",",")&amp;",")),"Y","N")</f>
        <v>N</v>
      </c>
      <c r="N639" s="3" t="str">
        <f>IF(ISNUMBER(SEARCH(",RPG,",","&amp;SUBSTITUTE(TableMain[[#This Row],[Tags]],", ",",")&amp;",")),"Y","N")</f>
        <v>N</v>
      </c>
      <c r="O639" s="3" t="str">
        <f>IF(ISNUMBER(SEARCH(",Strategy,",","&amp;SUBSTITUTE(TableMain[[#This Row],[Tags]],", ",",")&amp;",")),"Y","N")</f>
        <v>N</v>
      </c>
      <c r="P639" s="3" t="str">
        <f>IF(ISNUMBER(SEARCH(",Free To Play,",","&amp;SUBSTITUTE(TableMain[[#This Row],[Tags]],", ",",")&amp;",")),"Y","N")</f>
        <v>N</v>
      </c>
    </row>
    <row r="640" spans="1:16" x14ac:dyDescent="0.35">
      <c r="A640">
        <v>1272080</v>
      </c>
      <c r="B640" t="s">
        <v>1471</v>
      </c>
      <c r="C640" s="1">
        <v>45190</v>
      </c>
      <c r="D640">
        <v>644</v>
      </c>
      <c r="E640" t="b">
        <v>0</v>
      </c>
      <c r="F640" t="s">
        <v>1472</v>
      </c>
      <c r="G640" t="s">
        <v>208</v>
      </c>
      <c r="H640">
        <v>641</v>
      </c>
      <c r="I640" t="s">
        <v>371</v>
      </c>
      <c r="J640" s="3" t="str">
        <f>IF(ISNUMBER(SEARCH(",Action,",","&amp;SUBSTITUTE(TableMain[[#This Row],[Tags]],", ",",")&amp;",")),"Y","N")</f>
        <v>Y</v>
      </c>
      <c r="K640" s="3" t="str">
        <f>IF(ISNUMBER(SEARCH(",Indie,",","&amp;SUBSTITUTE(TableMain[[#This Row],[Tags]],", ",",")&amp;",")),"Y","N")</f>
        <v>N</v>
      </c>
      <c r="L640" s="3" t="str">
        <f>IF(ISNUMBER(SEARCH(",Adventure,",","&amp;SUBSTITUTE(TableMain[[#This Row],[Tags]],", ",",")&amp;",")),"Y","N")</f>
        <v>Y</v>
      </c>
      <c r="M640" s="3" t="str">
        <f>IF(ISNUMBER(SEARCH(",Simulation,",","&amp;SUBSTITUTE(TableMain[[#This Row],[Tags]],", ",",")&amp;",")),"Y","N")</f>
        <v>N</v>
      </c>
      <c r="N640" s="3" t="str">
        <f>IF(ISNUMBER(SEARCH(",RPG,",","&amp;SUBSTITUTE(TableMain[[#This Row],[Tags]],", ",",")&amp;",")),"Y","N")</f>
        <v>Y</v>
      </c>
      <c r="O640" s="3" t="str">
        <f>IF(ISNUMBER(SEARCH(",Strategy,",","&amp;SUBSTITUTE(TableMain[[#This Row],[Tags]],", ",",")&amp;",")),"Y","N")</f>
        <v>N</v>
      </c>
      <c r="P640" s="3" t="str">
        <f>IF(ISNUMBER(SEARCH(",Free To Play,",","&amp;SUBSTITUTE(TableMain[[#This Row],[Tags]],", ",",")&amp;",")),"Y","N")</f>
        <v>N</v>
      </c>
    </row>
    <row r="641" spans="1:16" x14ac:dyDescent="0.35">
      <c r="A641">
        <v>1985810</v>
      </c>
      <c r="B641" t="s">
        <v>1473</v>
      </c>
      <c r="C641" s="1">
        <v>44993</v>
      </c>
      <c r="D641">
        <v>644</v>
      </c>
      <c r="E641" t="b">
        <v>0</v>
      </c>
      <c r="F641" t="s">
        <v>1289</v>
      </c>
      <c r="G641" t="s">
        <v>49</v>
      </c>
      <c r="H641">
        <v>641</v>
      </c>
      <c r="I641" t="s">
        <v>33</v>
      </c>
      <c r="J641" s="3" t="str">
        <f>IF(ISNUMBER(SEARCH(",Action,",","&amp;SUBSTITUTE(TableMain[[#This Row],[Tags]],", ",",")&amp;",")),"Y","N")</f>
        <v>Y</v>
      </c>
      <c r="K641" s="3" t="str">
        <f>IF(ISNUMBER(SEARCH(",Indie,",","&amp;SUBSTITUTE(TableMain[[#This Row],[Tags]],", ",",")&amp;",")),"Y","N")</f>
        <v>N</v>
      </c>
      <c r="L641" s="3" t="str">
        <f>IF(ISNUMBER(SEARCH(",Adventure,",","&amp;SUBSTITUTE(TableMain[[#This Row],[Tags]],", ",",")&amp;",")),"Y","N")</f>
        <v>N</v>
      </c>
      <c r="M641" s="3" t="str">
        <f>IF(ISNUMBER(SEARCH(",Simulation,",","&amp;SUBSTITUTE(TableMain[[#This Row],[Tags]],", ",",")&amp;",")),"Y","N")</f>
        <v>N</v>
      </c>
      <c r="N641" s="3" t="str">
        <f>IF(ISNUMBER(SEARCH(",RPG,",","&amp;SUBSTITUTE(TableMain[[#This Row],[Tags]],", ",",")&amp;",")),"Y","N")</f>
        <v>N</v>
      </c>
      <c r="O641" s="3" t="str">
        <f>IF(ISNUMBER(SEARCH(",Strategy,",","&amp;SUBSTITUTE(TableMain[[#This Row],[Tags]],", ",",")&amp;",")),"Y","N")</f>
        <v>N</v>
      </c>
      <c r="P641" s="3" t="str">
        <f>IF(ISNUMBER(SEARCH(",Free To Play,",","&amp;SUBSTITUTE(TableMain[[#This Row],[Tags]],", ",",")&amp;",")),"Y","N")</f>
        <v>N</v>
      </c>
    </row>
    <row r="642" spans="1:16" x14ac:dyDescent="0.35">
      <c r="A642">
        <v>225540</v>
      </c>
      <c r="B642" t="s">
        <v>1474</v>
      </c>
      <c r="C642" s="1">
        <v>42338</v>
      </c>
      <c r="D642">
        <v>639</v>
      </c>
      <c r="E642" t="b">
        <v>0</v>
      </c>
      <c r="F642" t="s">
        <v>445</v>
      </c>
      <c r="G642" t="s">
        <v>46</v>
      </c>
      <c r="H642">
        <v>643</v>
      </c>
      <c r="I642" t="s">
        <v>2091</v>
      </c>
      <c r="J642" s="3" t="str">
        <f>IF(ISNUMBER(SEARCH(",Action,",","&amp;SUBSTITUTE(TableMain[[#This Row],[Tags]],", ",",")&amp;",")),"Y","N")</f>
        <v>Y</v>
      </c>
      <c r="K642" s="3" t="str">
        <f>IF(ISNUMBER(SEARCH(",Indie,",","&amp;SUBSTITUTE(TableMain[[#This Row],[Tags]],", ",",")&amp;",")),"Y","N")</f>
        <v>N</v>
      </c>
      <c r="L642" s="3" t="str">
        <f>IF(ISNUMBER(SEARCH(",Adventure,",","&amp;SUBSTITUTE(TableMain[[#This Row],[Tags]],", ",",")&amp;",")),"Y","N")</f>
        <v>Y</v>
      </c>
      <c r="M642" s="3" t="str">
        <f>IF(ISNUMBER(SEARCH(",Simulation,",","&amp;SUBSTITUTE(TableMain[[#This Row],[Tags]],", ",",")&amp;",")),"Y","N")</f>
        <v>N</v>
      </c>
      <c r="N642" s="3" t="str">
        <f>IF(ISNUMBER(SEARCH(",RPG,",","&amp;SUBSTITUTE(TableMain[[#This Row],[Tags]],", ",",")&amp;",")),"Y","N")</f>
        <v>N</v>
      </c>
      <c r="O642" s="3" t="str">
        <f>IF(ISNUMBER(SEARCH(",Strategy,",","&amp;SUBSTITUTE(TableMain[[#This Row],[Tags]],", ",",")&amp;",")),"Y","N")</f>
        <v>N</v>
      </c>
      <c r="P642" s="3" t="str">
        <f>IF(ISNUMBER(SEARCH(",Free To Play,",","&amp;SUBSTITUTE(TableMain[[#This Row],[Tags]],", ",",")&amp;",")),"Y","N")</f>
        <v>N</v>
      </c>
    </row>
    <row r="643" spans="1:16" x14ac:dyDescent="0.35">
      <c r="A643">
        <v>400</v>
      </c>
      <c r="B643" t="s">
        <v>1475</v>
      </c>
      <c r="C643" s="1">
        <v>39365</v>
      </c>
      <c r="D643">
        <v>638</v>
      </c>
      <c r="E643" t="b">
        <v>0</v>
      </c>
      <c r="F643" t="s">
        <v>1476</v>
      </c>
      <c r="G643" t="s">
        <v>49</v>
      </c>
      <c r="H643">
        <v>644</v>
      </c>
      <c r="I643" t="s">
        <v>2084</v>
      </c>
      <c r="J643" s="3" t="str">
        <f>IF(ISNUMBER(SEARCH(",Action,",","&amp;SUBSTITUTE(TableMain[[#This Row],[Tags]],", ",",")&amp;",")),"Y","N")</f>
        <v>Y</v>
      </c>
      <c r="K643" s="3" t="str">
        <f>IF(ISNUMBER(SEARCH(",Indie,",","&amp;SUBSTITUTE(TableMain[[#This Row],[Tags]],", ",",")&amp;",")),"Y","N")</f>
        <v>N</v>
      </c>
      <c r="L643" s="3" t="str">
        <f>IF(ISNUMBER(SEARCH(",Adventure,",","&amp;SUBSTITUTE(TableMain[[#This Row],[Tags]],", ",",")&amp;",")),"Y","N")</f>
        <v>N</v>
      </c>
      <c r="M643" s="3" t="str">
        <f>IF(ISNUMBER(SEARCH(",Simulation,",","&amp;SUBSTITUTE(TableMain[[#This Row],[Tags]],", ",",")&amp;",")),"Y","N")</f>
        <v>N</v>
      </c>
      <c r="N643" s="3" t="str">
        <f>IF(ISNUMBER(SEARCH(",RPG,",","&amp;SUBSTITUTE(TableMain[[#This Row],[Tags]],", ",",")&amp;",")),"Y","N")</f>
        <v>N</v>
      </c>
      <c r="O643" s="3" t="str">
        <f>IF(ISNUMBER(SEARCH(",Strategy,",","&amp;SUBSTITUTE(TableMain[[#This Row],[Tags]],", ",",")&amp;",")),"Y","N")</f>
        <v>N</v>
      </c>
      <c r="P643" s="3" t="str">
        <f>IF(ISNUMBER(SEARCH(",Free To Play,",","&amp;SUBSTITUTE(TableMain[[#This Row],[Tags]],", ",",")&amp;",")),"Y","N")</f>
        <v>N</v>
      </c>
    </row>
    <row r="644" spans="1:16" x14ac:dyDescent="0.35">
      <c r="A644">
        <v>223750</v>
      </c>
      <c r="B644" t="s">
        <v>1477</v>
      </c>
      <c r="C644" s="1">
        <v>41488</v>
      </c>
      <c r="D644">
        <v>636</v>
      </c>
      <c r="E644" t="b">
        <v>0</v>
      </c>
      <c r="F644" t="s">
        <v>1478</v>
      </c>
      <c r="G644" t="s">
        <v>1479</v>
      </c>
      <c r="H644">
        <v>645</v>
      </c>
      <c r="I644" t="s">
        <v>967</v>
      </c>
      <c r="J644" s="3" t="str">
        <f>IF(ISNUMBER(SEARCH(",Action,",","&amp;SUBSTITUTE(TableMain[[#This Row],[Tags]],", ",",")&amp;",")),"Y","N")</f>
        <v>N</v>
      </c>
      <c r="K644" s="3" t="str">
        <f>IF(ISNUMBER(SEARCH(",Indie,",","&amp;SUBSTITUTE(TableMain[[#This Row],[Tags]],", ",",")&amp;",")),"Y","N")</f>
        <v>N</v>
      </c>
      <c r="L644" s="3" t="str">
        <f>IF(ISNUMBER(SEARCH(",Adventure,",","&amp;SUBSTITUTE(TableMain[[#This Row],[Tags]],", ",",")&amp;",")),"Y","N")</f>
        <v>N</v>
      </c>
      <c r="M644" s="3" t="str">
        <f>IF(ISNUMBER(SEARCH(",Simulation,",","&amp;SUBSTITUTE(TableMain[[#This Row],[Tags]],", ",",")&amp;",")),"Y","N")</f>
        <v>Y</v>
      </c>
      <c r="N644" s="3" t="str">
        <f>IF(ISNUMBER(SEARCH(",RPG,",","&amp;SUBSTITUTE(TableMain[[#This Row],[Tags]],", ",",")&amp;",")),"Y","N")</f>
        <v>N</v>
      </c>
      <c r="O644" s="3" t="str">
        <f>IF(ISNUMBER(SEARCH(",Strategy,",","&amp;SUBSTITUTE(TableMain[[#This Row],[Tags]],", ",",")&amp;",")),"Y","N")</f>
        <v>N</v>
      </c>
      <c r="P644" s="3" t="str">
        <f>IF(ISNUMBER(SEARCH(",Free To Play,",","&amp;SUBSTITUTE(TableMain[[#This Row],[Tags]],", ",",")&amp;",")),"Y","N")</f>
        <v>Y</v>
      </c>
    </row>
    <row r="645" spans="1:16" x14ac:dyDescent="0.35">
      <c r="A645">
        <v>784080</v>
      </c>
      <c r="B645" t="s">
        <v>1480</v>
      </c>
      <c r="C645" s="1">
        <v>44342</v>
      </c>
      <c r="D645">
        <v>636</v>
      </c>
      <c r="E645" t="b">
        <v>0</v>
      </c>
      <c r="F645" t="s">
        <v>1481</v>
      </c>
      <c r="G645" t="s">
        <v>1482</v>
      </c>
      <c r="H645">
        <v>645</v>
      </c>
      <c r="I645" t="s">
        <v>25</v>
      </c>
      <c r="J645" s="3" t="str">
        <f>IF(ISNUMBER(SEARCH(",Action,",","&amp;SUBSTITUTE(TableMain[[#This Row],[Tags]],", ",",")&amp;",")),"Y","N")</f>
        <v>Y</v>
      </c>
      <c r="K645" s="3" t="str">
        <f>IF(ISNUMBER(SEARCH(",Indie,",","&amp;SUBSTITUTE(TableMain[[#This Row],[Tags]],", ",",")&amp;",")),"Y","N")</f>
        <v>N</v>
      </c>
      <c r="L645" s="3" t="str">
        <f>IF(ISNUMBER(SEARCH(",Adventure,",","&amp;SUBSTITUTE(TableMain[[#This Row],[Tags]],", ",",")&amp;",")),"Y","N")</f>
        <v>N</v>
      </c>
      <c r="M645" s="3" t="str">
        <f>IF(ISNUMBER(SEARCH(",Simulation,",","&amp;SUBSTITUTE(TableMain[[#This Row],[Tags]],", ",",")&amp;",")),"Y","N")</f>
        <v>Y</v>
      </c>
      <c r="N645" s="3" t="str">
        <f>IF(ISNUMBER(SEARCH(",RPG,",","&amp;SUBSTITUTE(TableMain[[#This Row],[Tags]],", ",",")&amp;",")),"Y","N")</f>
        <v>N</v>
      </c>
      <c r="O645" s="3" t="str">
        <f>IF(ISNUMBER(SEARCH(",Strategy,",","&amp;SUBSTITUTE(TableMain[[#This Row],[Tags]],", ",",")&amp;",")),"Y","N")</f>
        <v>N</v>
      </c>
      <c r="P645" s="3" t="str">
        <f>IF(ISNUMBER(SEARCH(",Free To Play,",","&amp;SUBSTITUTE(TableMain[[#This Row],[Tags]],", ",",")&amp;",")),"Y","N")</f>
        <v>N</v>
      </c>
    </row>
    <row r="646" spans="1:16" x14ac:dyDescent="0.35">
      <c r="A646">
        <v>22320</v>
      </c>
      <c r="B646" t="s">
        <v>1483</v>
      </c>
      <c r="C646" s="1">
        <v>39980</v>
      </c>
      <c r="D646">
        <v>635</v>
      </c>
      <c r="E646" t="b">
        <v>0</v>
      </c>
      <c r="F646" t="s">
        <v>1091</v>
      </c>
      <c r="G646" t="s">
        <v>132</v>
      </c>
      <c r="H646">
        <v>647</v>
      </c>
      <c r="I646" t="s">
        <v>2084</v>
      </c>
      <c r="J646" s="3" t="str">
        <f>IF(ISNUMBER(SEARCH(",Action,",","&amp;SUBSTITUTE(TableMain[[#This Row],[Tags]],", ",",")&amp;",")),"Y","N")</f>
        <v>N</v>
      </c>
      <c r="K646" s="3" t="str">
        <f>IF(ISNUMBER(SEARCH(",Indie,",","&amp;SUBSTITUTE(TableMain[[#This Row],[Tags]],", ",",")&amp;",")),"Y","N")</f>
        <v>N</v>
      </c>
      <c r="L646" s="3" t="str">
        <f>IF(ISNUMBER(SEARCH(",Adventure,",","&amp;SUBSTITUTE(TableMain[[#This Row],[Tags]],", ",",")&amp;",")),"Y","N")</f>
        <v>N</v>
      </c>
      <c r="M646" s="3" t="str">
        <f>IF(ISNUMBER(SEARCH(",Simulation,",","&amp;SUBSTITUTE(TableMain[[#This Row],[Tags]],", ",",")&amp;",")),"Y","N")</f>
        <v>N</v>
      </c>
      <c r="N646" s="3" t="str">
        <f>IF(ISNUMBER(SEARCH(",RPG,",","&amp;SUBSTITUTE(TableMain[[#This Row],[Tags]],", ",",")&amp;",")),"Y","N")</f>
        <v>Y</v>
      </c>
      <c r="O646" s="3" t="str">
        <f>IF(ISNUMBER(SEARCH(",Strategy,",","&amp;SUBSTITUTE(TableMain[[#This Row],[Tags]],", ",",")&amp;",")),"Y","N")</f>
        <v>N</v>
      </c>
      <c r="P646" s="3" t="str">
        <f>IF(ISNUMBER(SEARCH(",Free To Play,",","&amp;SUBSTITUTE(TableMain[[#This Row],[Tags]],", ",",")&amp;",")),"Y","N")</f>
        <v>N</v>
      </c>
    </row>
    <row r="647" spans="1:16" x14ac:dyDescent="0.35">
      <c r="A647">
        <v>2892880</v>
      </c>
      <c r="B647" t="s">
        <v>1484</v>
      </c>
      <c r="C647" s="1">
        <v>45742</v>
      </c>
      <c r="D647">
        <v>635</v>
      </c>
      <c r="E647" t="b">
        <v>0</v>
      </c>
      <c r="F647" t="s">
        <v>1485</v>
      </c>
      <c r="G647" t="s">
        <v>1486</v>
      </c>
      <c r="H647">
        <v>647</v>
      </c>
      <c r="I647" t="s">
        <v>14</v>
      </c>
      <c r="J647" s="3" t="str">
        <f>IF(ISNUMBER(SEARCH(",Action,",","&amp;SUBSTITUTE(TableMain[[#This Row],[Tags]],", ",",")&amp;",")),"Y","N")</f>
        <v>N</v>
      </c>
      <c r="K647" s="3" t="str">
        <f>IF(ISNUMBER(SEARCH(",Indie,",","&amp;SUBSTITUTE(TableMain[[#This Row],[Tags]],", ",",")&amp;",")),"Y","N")</f>
        <v>N</v>
      </c>
      <c r="L647" s="3" t="str">
        <f>IF(ISNUMBER(SEARCH(",Adventure,",","&amp;SUBSTITUTE(TableMain[[#This Row],[Tags]],", ",",")&amp;",")),"Y","N")</f>
        <v>N</v>
      </c>
      <c r="M647" s="3" t="str">
        <f>IF(ISNUMBER(SEARCH(",Simulation,",","&amp;SUBSTITUTE(TableMain[[#This Row],[Tags]],", ",",")&amp;",")),"Y","N")</f>
        <v>Y</v>
      </c>
      <c r="N647" s="3" t="str">
        <f>IF(ISNUMBER(SEARCH(",RPG,",","&amp;SUBSTITUTE(TableMain[[#This Row],[Tags]],", ",",")&amp;",")),"Y","N")</f>
        <v>N</v>
      </c>
      <c r="O647" s="3" t="str">
        <f>IF(ISNUMBER(SEARCH(",Strategy,",","&amp;SUBSTITUTE(TableMain[[#This Row],[Tags]],", ",",")&amp;",")),"Y","N")</f>
        <v>N</v>
      </c>
      <c r="P647" s="3" t="str">
        <f>IF(ISNUMBER(SEARCH(",Free To Play,",","&amp;SUBSTITUTE(TableMain[[#This Row],[Tags]],", ",",")&amp;",")),"Y","N")</f>
        <v>Y</v>
      </c>
    </row>
    <row r="648" spans="1:16" x14ac:dyDescent="0.35">
      <c r="A648">
        <v>70</v>
      </c>
      <c r="B648" t="s">
        <v>1487</v>
      </c>
      <c r="C648" s="1">
        <v>36118</v>
      </c>
      <c r="D648">
        <v>634</v>
      </c>
      <c r="E648" t="b">
        <v>1</v>
      </c>
      <c r="F648" t="s">
        <v>1488</v>
      </c>
      <c r="G648" t="s">
        <v>49</v>
      </c>
      <c r="H648">
        <v>649</v>
      </c>
      <c r="I648" t="s">
        <v>2083</v>
      </c>
      <c r="J648" s="3" t="str">
        <f>IF(ISNUMBER(SEARCH(",Action,",","&amp;SUBSTITUTE(TableMain[[#This Row],[Tags]],", ",",")&amp;",")),"Y","N")</f>
        <v>Y</v>
      </c>
      <c r="K648" s="3" t="str">
        <f>IF(ISNUMBER(SEARCH(",Indie,",","&amp;SUBSTITUTE(TableMain[[#This Row],[Tags]],", ",",")&amp;",")),"Y","N")</f>
        <v>N</v>
      </c>
      <c r="L648" s="3" t="str">
        <f>IF(ISNUMBER(SEARCH(",Adventure,",","&amp;SUBSTITUTE(TableMain[[#This Row],[Tags]],", ",",")&amp;",")),"Y","N")</f>
        <v>N</v>
      </c>
      <c r="M648" s="3" t="str">
        <f>IF(ISNUMBER(SEARCH(",Simulation,",","&amp;SUBSTITUTE(TableMain[[#This Row],[Tags]],", ",",")&amp;",")),"Y","N")</f>
        <v>N</v>
      </c>
      <c r="N648" s="3" t="str">
        <f>IF(ISNUMBER(SEARCH(",RPG,",","&amp;SUBSTITUTE(TableMain[[#This Row],[Tags]],", ",",")&amp;",")),"Y","N")</f>
        <v>N</v>
      </c>
      <c r="O648" s="3" t="str">
        <f>IF(ISNUMBER(SEARCH(",Strategy,",","&amp;SUBSTITUTE(TableMain[[#This Row],[Tags]],", ",",")&amp;",")),"Y","N")</f>
        <v>N</v>
      </c>
      <c r="P648" s="3" t="str">
        <f>IF(ISNUMBER(SEARCH(",Free To Play,",","&amp;SUBSTITUTE(TableMain[[#This Row],[Tags]],", ",",")&amp;",")),"Y","N")</f>
        <v>N</v>
      </c>
    </row>
    <row r="649" spans="1:16" x14ac:dyDescent="0.35">
      <c r="A649">
        <v>494840</v>
      </c>
      <c r="B649" t="s">
        <v>1489</v>
      </c>
      <c r="C649" s="1">
        <v>45506</v>
      </c>
      <c r="D649">
        <v>633</v>
      </c>
      <c r="E649" t="b">
        <v>0</v>
      </c>
      <c r="F649" t="s">
        <v>916</v>
      </c>
      <c r="G649" t="s">
        <v>218</v>
      </c>
      <c r="H649">
        <v>650</v>
      </c>
      <c r="I649" t="s">
        <v>53</v>
      </c>
      <c r="J649" s="3" t="str">
        <f>IF(ISNUMBER(SEARCH(",Action,",","&amp;SUBSTITUTE(TableMain[[#This Row],[Tags]],", ",",")&amp;",")),"Y","N")</f>
        <v>Y</v>
      </c>
      <c r="K649" s="3" t="str">
        <f>IF(ISNUMBER(SEARCH(",Indie,",","&amp;SUBSTITUTE(TableMain[[#This Row],[Tags]],", ",",")&amp;",")),"Y","N")</f>
        <v>Y</v>
      </c>
      <c r="L649" s="3" t="str">
        <f>IF(ISNUMBER(SEARCH(",Adventure,",","&amp;SUBSTITUTE(TableMain[[#This Row],[Tags]],", ",",")&amp;",")),"Y","N")</f>
        <v>N</v>
      </c>
      <c r="M649" s="3" t="str">
        <f>IF(ISNUMBER(SEARCH(",Simulation,",","&amp;SUBSTITUTE(TableMain[[#This Row],[Tags]],", ",",")&amp;",")),"Y","N")</f>
        <v>Y</v>
      </c>
      <c r="N649" s="3" t="str">
        <f>IF(ISNUMBER(SEARCH(",RPG,",","&amp;SUBSTITUTE(TableMain[[#This Row],[Tags]],", ",",")&amp;",")),"Y","N")</f>
        <v>Y</v>
      </c>
      <c r="O649" s="3" t="str">
        <f>IF(ISNUMBER(SEARCH(",Strategy,",","&amp;SUBSTITUTE(TableMain[[#This Row],[Tags]],", ",",")&amp;",")),"Y","N")</f>
        <v>Y</v>
      </c>
      <c r="P649" s="3" t="str">
        <f>IF(ISNUMBER(SEARCH(",Free To Play,",","&amp;SUBSTITUTE(TableMain[[#This Row],[Tags]],", ",",")&amp;",")),"Y","N")</f>
        <v>N</v>
      </c>
    </row>
    <row r="650" spans="1:16" x14ac:dyDescent="0.35">
      <c r="A650">
        <v>2527500</v>
      </c>
      <c r="B650" t="s">
        <v>1490</v>
      </c>
      <c r="C650" s="1">
        <v>45636</v>
      </c>
      <c r="D650">
        <v>631</v>
      </c>
      <c r="E650" t="b">
        <v>0</v>
      </c>
      <c r="F650" t="s">
        <v>654</v>
      </c>
      <c r="G650" t="s">
        <v>1207</v>
      </c>
      <c r="H650">
        <v>651</v>
      </c>
      <c r="I650" t="s">
        <v>304</v>
      </c>
      <c r="J650" s="3" t="str">
        <f>IF(ISNUMBER(SEARCH(",Action,",","&amp;SUBSTITUTE(TableMain[[#This Row],[Tags]],", ",",")&amp;",")),"Y","N")</f>
        <v>N</v>
      </c>
      <c r="K650" s="3" t="str">
        <f>IF(ISNUMBER(SEARCH(",Indie,",","&amp;SUBSTITUTE(TableMain[[#This Row],[Tags]],", ",",")&amp;",")),"Y","N")</f>
        <v>Y</v>
      </c>
      <c r="L650" s="3" t="str">
        <f>IF(ISNUMBER(SEARCH(",Adventure,",","&amp;SUBSTITUTE(TableMain[[#This Row],[Tags]],", ",",")&amp;",")),"Y","N")</f>
        <v>Y</v>
      </c>
      <c r="M650" s="3" t="str">
        <f>IF(ISNUMBER(SEARCH(",Simulation,",","&amp;SUBSTITUTE(TableMain[[#This Row],[Tags]],", ",",")&amp;",")),"Y","N")</f>
        <v>Y</v>
      </c>
      <c r="N650" s="3" t="str">
        <f>IF(ISNUMBER(SEARCH(",RPG,",","&amp;SUBSTITUTE(TableMain[[#This Row],[Tags]],", ",",")&amp;",")),"Y","N")</f>
        <v>Y</v>
      </c>
      <c r="O650" s="3" t="str">
        <f>IF(ISNUMBER(SEARCH(",Strategy,",","&amp;SUBSTITUTE(TableMain[[#This Row],[Tags]],", ",",")&amp;",")),"Y","N")</f>
        <v>N</v>
      </c>
      <c r="P650" s="3" t="str">
        <f>IF(ISNUMBER(SEARCH(",Free To Play,",","&amp;SUBSTITUTE(TableMain[[#This Row],[Tags]],", ",",")&amp;",")),"Y","N")</f>
        <v>N</v>
      </c>
    </row>
    <row r="651" spans="1:16" x14ac:dyDescent="0.35">
      <c r="A651">
        <v>690790</v>
      </c>
      <c r="B651" t="s">
        <v>1491</v>
      </c>
      <c r="C651" s="1">
        <v>43521</v>
      </c>
      <c r="D651">
        <v>631</v>
      </c>
      <c r="E651" t="b">
        <v>0</v>
      </c>
      <c r="F651" t="s">
        <v>1492</v>
      </c>
      <c r="G651" t="s">
        <v>420</v>
      </c>
      <c r="H651">
        <v>651</v>
      </c>
      <c r="I651" t="s">
        <v>25</v>
      </c>
      <c r="J651" s="3" t="str">
        <f>IF(ISNUMBER(SEARCH(",Action,",","&amp;SUBSTITUTE(TableMain[[#This Row],[Tags]],", ",",")&amp;",")),"Y","N")</f>
        <v>N</v>
      </c>
      <c r="K651" s="3" t="str">
        <f>IF(ISNUMBER(SEARCH(",Indie,",","&amp;SUBSTITUTE(TableMain[[#This Row],[Tags]],", ",",")&amp;",")),"Y","N")</f>
        <v>N</v>
      </c>
      <c r="L651" s="3" t="str">
        <f>IF(ISNUMBER(SEARCH(",Adventure,",","&amp;SUBSTITUTE(TableMain[[#This Row],[Tags]],", ",",")&amp;",")),"Y","N")</f>
        <v>N</v>
      </c>
      <c r="M651" s="3" t="str">
        <f>IF(ISNUMBER(SEARCH(",Simulation,",","&amp;SUBSTITUTE(TableMain[[#This Row],[Tags]],", ",",")&amp;",")),"Y","N")</f>
        <v>Y</v>
      </c>
      <c r="N651" s="3" t="str">
        <f>IF(ISNUMBER(SEARCH(",RPG,",","&amp;SUBSTITUTE(TableMain[[#This Row],[Tags]],", ",",")&amp;",")),"Y","N")</f>
        <v>N</v>
      </c>
      <c r="O651" s="3" t="str">
        <f>IF(ISNUMBER(SEARCH(",Strategy,",","&amp;SUBSTITUTE(TableMain[[#This Row],[Tags]],", ",",")&amp;",")),"Y","N")</f>
        <v>N</v>
      </c>
      <c r="P651" s="3" t="str">
        <f>IF(ISNUMBER(SEARCH(",Free To Play,",","&amp;SUBSTITUTE(TableMain[[#This Row],[Tags]],", ",",")&amp;",")),"Y","N")</f>
        <v>N</v>
      </c>
    </row>
    <row r="652" spans="1:16" x14ac:dyDescent="0.35">
      <c r="A652">
        <v>3218580</v>
      </c>
      <c r="B652" t="s">
        <v>1493</v>
      </c>
      <c r="C652" s="1">
        <v>45812</v>
      </c>
      <c r="D652">
        <v>628</v>
      </c>
      <c r="E652" t="b">
        <v>1</v>
      </c>
      <c r="F652" t="s">
        <v>1494</v>
      </c>
      <c r="G652" t="s">
        <v>1495</v>
      </c>
      <c r="H652">
        <v>653</v>
      </c>
      <c r="I652" t="s">
        <v>371</v>
      </c>
      <c r="J652" s="3" t="str">
        <f>IF(ISNUMBER(SEARCH(",Action,",","&amp;SUBSTITUTE(TableMain[[#This Row],[Tags]],", ",",")&amp;",")),"Y","N")</f>
        <v>N</v>
      </c>
      <c r="K652" s="3" t="str">
        <f>IF(ISNUMBER(SEARCH(",Indie,",","&amp;SUBSTITUTE(TableMain[[#This Row],[Tags]],", ",",")&amp;",")),"Y","N")</f>
        <v>N</v>
      </c>
      <c r="L652" s="3" t="str">
        <f>IF(ISNUMBER(SEARCH(",Adventure,",","&amp;SUBSTITUTE(TableMain[[#This Row],[Tags]],", ",",")&amp;",")),"Y","N")</f>
        <v>Y</v>
      </c>
      <c r="M652" s="3" t="str">
        <f>IF(ISNUMBER(SEARCH(",Simulation,",","&amp;SUBSTITUTE(TableMain[[#This Row],[Tags]],", ",",")&amp;",")),"Y","N")</f>
        <v>Y</v>
      </c>
      <c r="N652" s="3" t="str">
        <f>IF(ISNUMBER(SEARCH(",RPG,",","&amp;SUBSTITUTE(TableMain[[#This Row],[Tags]],", ",",")&amp;",")),"Y","N")</f>
        <v>Y</v>
      </c>
      <c r="O652" s="3" t="str">
        <f>IF(ISNUMBER(SEARCH(",Strategy,",","&amp;SUBSTITUTE(TableMain[[#This Row],[Tags]],", ",",")&amp;",")),"Y","N")</f>
        <v>N</v>
      </c>
      <c r="P652" s="3" t="str">
        <f>IF(ISNUMBER(SEARCH(",Free To Play,",","&amp;SUBSTITUTE(TableMain[[#This Row],[Tags]],", ",",")&amp;",")),"Y","N")</f>
        <v>N</v>
      </c>
    </row>
    <row r="653" spans="1:16" x14ac:dyDescent="0.35">
      <c r="A653">
        <v>2369390</v>
      </c>
      <c r="B653" t="s">
        <v>1496</v>
      </c>
      <c r="C653" s="1">
        <v>45057</v>
      </c>
      <c r="D653">
        <v>627</v>
      </c>
      <c r="E653" t="b">
        <v>0</v>
      </c>
      <c r="F653" t="s">
        <v>1497</v>
      </c>
      <c r="G653" t="s">
        <v>46</v>
      </c>
      <c r="H653">
        <v>654</v>
      </c>
      <c r="I653" t="s">
        <v>371</v>
      </c>
      <c r="J653" s="3" t="str">
        <f>IF(ISNUMBER(SEARCH(",Action,",","&amp;SUBSTITUTE(TableMain[[#This Row],[Tags]],", ",",")&amp;",")),"Y","N")</f>
        <v>Y</v>
      </c>
      <c r="K653" s="3" t="str">
        <f>IF(ISNUMBER(SEARCH(",Indie,",","&amp;SUBSTITUTE(TableMain[[#This Row],[Tags]],", ",",")&amp;",")),"Y","N")</f>
        <v>N</v>
      </c>
      <c r="L653" s="3" t="str">
        <f>IF(ISNUMBER(SEARCH(",Adventure,",","&amp;SUBSTITUTE(TableMain[[#This Row],[Tags]],", ",",")&amp;",")),"Y","N")</f>
        <v>Y</v>
      </c>
      <c r="M653" s="3" t="str">
        <f>IF(ISNUMBER(SEARCH(",Simulation,",","&amp;SUBSTITUTE(TableMain[[#This Row],[Tags]],", ",",")&amp;",")),"Y","N")</f>
        <v>N</v>
      </c>
      <c r="N653" s="3" t="str">
        <f>IF(ISNUMBER(SEARCH(",RPG,",","&amp;SUBSTITUTE(TableMain[[#This Row],[Tags]],", ",",")&amp;",")),"Y","N")</f>
        <v>N</v>
      </c>
      <c r="O653" s="3" t="str">
        <f>IF(ISNUMBER(SEARCH(",Strategy,",","&amp;SUBSTITUTE(TableMain[[#This Row],[Tags]],", ",",")&amp;",")),"Y","N")</f>
        <v>N</v>
      </c>
      <c r="P653" s="3" t="str">
        <f>IF(ISNUMBER(SEARCH(",Free To Play,",","&amp;SUBSTITUTE(TableMain[[#This Row],[Tags]],", ",",")&amp;",")),"Y","N")</f>
        <v>N</v>
      </c>
    </row>
    <row r="654" spans="1:16" x14ac:dyDescent="0.35">
      <c r="A654">
        <v>1809540</v>
      </c>
      <c r="B654" t="s">
        <v>1498</v>
      </c>
      <c r="C654" s="1">
        <v>45440</v>
      </c>
      <c r="D654">
        <v>625</v>
      </c>
      <c r="E654" t="b">
        <v>1</v>
      </c>
      <c r="F654" t="s">
        <v>1499</v>
      </c>
      <c r="G654" t="s">
        <v>446</v>
      </c>
      <c r="H654">
        <v>655</v>
      </c>
      <c r="I654" t="s">
        <v>33</v>
      </c>
      <c r="J654" s="3" t="str">
        <f>IF(ISNUMBER(SEARCH(",Action,",","&amp;SUBSTITUTE(TableMain[[#This Row],[Tags]],", ",",")&amp;",")),"Y","N")</f>
        <v>Y</v>
      </c>
      <c r="K654" s="3" t="str">
        <f>IF(ISNUMBER(SEARCH(",Indie,",","&amp;SUBSTITUTE(TableMain[[#This Row],[Tags]],", ",",")&amp;",")),"Y","N")</f>
        <v>Y</v>
      </c>
      <c r="L654" s="3" t="str">
        <f>IF(ISNUMBER(SEARCH(",Adventure,",","&amp;SUBSTITUTE(TableMain[[#This Row],[Tags]],", ",",")&amp;",")),"Y","N")</f>
        <v>Y</v>
      </c>
      <c r="M654" s="3" t="str">
        <f>IF(ISNUMBER(SEARCH(",Simulation,",","&amp;SUBSTITUTE(TableMain[[#This Row],[Tags]],", ",",")&amp;",")),"Y","N")</f>
        <v>N</v>
      </c>
      <c r="N654" s="3" t="str">
        <f>IF(ISNUMBER(SEARCH(",RPG,",","&amp;SUBSTITUTE(TableMain[[#This Row],[Tags]],", ",",")&amp;",")),"Y","N")</f>
        <v>N</v>
      </c>
      <c r="O654" s="3" t="str">
        <f>IF(ISNUMBER(SEARCH(",Strategy,",","&amp;SUBSTITUTE(TableMain[[#This Row],[Tags]],", ",",")&amp;",")),"Y","N")</f>
        <v>N</v>
      </c>
      <c r="P654" s="3" t="str">
        <f>IF(ISNUMBER(SEARCH(",Free To Play,",","&amp;SUBSTITUTE(TableMain[[#This Row],[Tags]],", ",",")&amp;",")),"Y","N")</f>
        <v>N</v>
      </c>
    </row>
    <row r="655" spans="1:16" x14ac:dyDescent="0.35">
      <c r="A655">
        <v>1211020</v>
      </c>
      <c r="B655" t="s">
        <v>1500</v>
      </c>
      <c r="C655" s="1">
        <v>45918</v>
      </c>
      <c r="D655">
        <v>625</v>
      </c>
      <c r="E655" t="b">
        <v>0</v>
      </c>
      <c r="F655" t="s">
        <v>1501</v>
      </c>
      <c r="G655" t="s">
        <v>1502</v>
      </c>
      <c r="H655">
        <v>655</v>
      </c>
      <c r="I655" t="s">
        <v>513</v>
      </c>
      <c r="J655" s="3" t="str">
        <f>IF(ISNUMBER(SEARCH(",Action,",","&amp;SUBSTITUTE(TableMain[[#This Row],[Tags]],", ",",")&amp;",")),"Y","N")</f>
        <v>Y</v>
      </c>
      <c r="K655" s="3" t="str">
        <f>IF(ISNUMBER(SEARCH(",Indie,",","&amp;SUBSTITUTE(TableMain[[#This Row],[Tags]],", ",",")&amp;",")),"Y","N")</f>
        <v>Y</v>
      </c>
      <c r="L655" s="3" t="str">
        <f>IF(ISNUMBER(SEARCH(",Adventure,",","&amp;SUBSTITUTE(TableMain[[#This Row],[Tags]],", ",",")&amp;",")),"Y","N")</f>
        <v>Y</v>
      </c>
      <c r="M655" s="3" t="str">
        <f>IF(ISNUMBER(SEARCH(",Simulation,",","&amp;SUBSTITUTE(TableMain[[#This Row],[Tags]],", ",",")&amp;",")),"Y","N")</f>
        <v>Y</v>
      </c>
      <c r="N655" s="3" t="str">
        <f>IF(ISNUMBER(SEARCH(",RPG,",","&amp;SUBSTITUTE(TableMain[[#This Row],[Tags]],", ",",")&amp;",")),"Y","N")</f>
        <v>N</v>
      </c>
      <c r="O655" s="3" t="str">
        <f>IF(ISNUMBER(SEARCH(",Strategy,",","&amp;SUBSTITUTE(TableMain[[#This Row],[Tags]],", ",",")&amp;",")),"Y","N")</f>
        <v>N</v>
      </c>
      <c r="P655" s="3" t="str">
        <f>IF(ISNUMBER(SEARCH(",Free To Play,",","&amp;SUBSTITUTE(TableMain[[#This Row],[Tags]],", ",",")&amp;",")),"Y","N")</f>
        <v>N</v>
      </c>
    </row>
    <row r="656" spans="1:16" x14ac:dyDescent="0.35">
      <c r="A656">
        <v>3900</v>
      </c>
      <c r="B656" t="s">
        <v>1503</v>
      </c>
      <c r="C656" s="1">
        <v>39015</v>
      </c>
      <c r="D656">
        <v>620</v>
      </c>
      <c r="E656" t="b">
        <v>1</v>
      </c>
      <c r="F656" t="s">
        <v>984</v>
      </c>
      <c r="G656" t="s">
        <v>124</v>
      </c>
      <c r="H656">
        <v>657</v>
      </c>
      <c r="I656" t="s">
        <v>2083</v>
      </c>
      <c r="J656" s="3" t="str">
        <f>IF(ISNUMBER(SEARCH(",Action,",","&amp;SUBSTITUTE(TableMain[[#This Row],[Tags]],", ",",")&amp;",")),"Y","N")</f>
        <v>N</v>
      </c>
      <c r="K656" s="3" t="str">
        <f>IF(ISNUMBER(SEARCH(",Indie,",","&amp;SUBSTITUTE(TableMain[[#This Row],[Tags]],", ",",")&amp;",")),"Y","N")</f>
        <v>N</v>
      </c>
      <c r="L656" s="3" t="str">
        <f>IF(ISNUMBER(SEARCH(",Adventure,",","&amp;SUBSTITUTE(TableMain[[#This Row],[Tags]],", ",",")&amp;",")),"Y","N")</f>
        <v>N</v>
      </c>
      <c r="M656" s="3" t="str">
        <f>IF(ISNUMBER(SEARCH(",Simulation,",","&amp;SUBSTITUTE(TableMain[[#This Row],[Tags]],", ",",")&amp;",")),"Y","N")</f>
        <v>N</v>
      </c>
      <c r="N656" s="3" t="str">
        <f>IF(ISNUMBER(SEARCH(",RPG,",","&amp;SUBSTITUTE(TableMain[[#This Row],[Tags]],", ",",")&amp;",")),"Y","N")</f>
        <v>N</v>
      </c>
      <c r="O656" s="3" t="str">
        <f>IF(ISNUMBER(SEARCH(",Strategy,",","&amp;SUBSTITUTE(TableMain[[#This Row],[Tags]],", ",",")&amp;",")),"Y","N")</f>
        <v>Y</v>
      </c>
      <c r="P656" s="3" t="str">
        <f>IF(ISNUMBER(SEARCH(",Free To Play,",","&amp;SUBSTITUTE(TableMain[[#This Row],[Tags]],", ",",")&amp;",")),"Y","N")</f>
        <v>N</v>
      </c>
    </row>
    <row r="657" spans="1:16" x14ac:dyDescent="0.35">
      <c r="A657">
        <v>729040</v>
      </c>
      <c r="B657" t="s">
        <v>1504</v>
      </c>
      <c r="C657" s="1">
        <v>45169</v>
      </c>
      <c r="D657">
        <v>620</v>
      </c>
      <c r="E657" t="b">
        <v>0</v>
      </c>
      <c r="F657" t="s">
        <v>546</v>
      </c>
      <c r="G657" t="s">
        <v>24</v>
      </c>
      <c r="H657">
        <v>657</v>
      </c>
      <c r="I657" t="s">
        <v>304</v>
      </c>
      <c r="J657" s="3" t="str">
        <f>IF(ISNUMBER(SEARCH(",Action,",","&amp;SUBSTITUTE(TableMain[[#This Row],[Tags]],", ",",")&amp;",")),"Y","N")</f>
        <v>Y</v>
      </c>
      <c r="K657" s="3" t="str">
        <f>IF(ISNUMBER(SEARCH(",Indie,",","&amp;SUBSTITUTE(TableMain[[#This Row],[Tags]],", ",",")&amp;",")),"Y","N")</f>
        <v>N</v>
      </c>
      <c r="L657" s="3" t="str">
        <f>IF(ISNUMBER(SEARCH(",Adventure,",","&amp;SUBSTITUTE(TableMain[[#This Row],[Tags]],", ",",")&amp;",")),"Y","N")</f>
        <v>N</v>
      </c>
      <c r="M657" s="3" t="str">
        <f>IF(ISNUMBER(SEARCH(",Simulation,",","&amp;SUBSTITUTE(TableMain[[#This Row],[Tags]],", ",",")&amp;",")),"Y","N")</f>
        <v>N</v>
      </c>
      <c r="N657" s="3" t="str">
        <f>IF(ISNUMBER(SEARCH(",RPG,",","&amp;SUBSTITUTE(TableMain[[#This Row],[Tags]],", ",",")&amp;",")),"Y","N")</f>
        <v>Y</v>
      </c>
      <c r="O657" s="3" t="str">
        <f>IF(ISNUMBER(SEARCH(",Strategy,",","&amp;SUBSTITUTE(TableMain[[#This Row],[Tags]],", ",",")&amp;",")),"Y","N")</f>
        <v>N</v>
      </c>
      <c r="P657" s="3" t="str">
        <f>IF(ISNUMBER(SEARCH(",Free To Play,",","&amp;SUBSTITUTE(TableMain[[#This Row],[Tags]],", ",",")&amp;",")),"Y","N")</f>
        <v>N</v>
      </c>
    </row>
    <row r="658" spans="1:16" x14ac:dyDescent="0.35">
      <c r="A658">
        <v>1284410</v>
      </c>
      <c r="B658" t="s">
        <v>1505</v>
      </c>
      <c r="C658" s="1">
        <v>43970</v>
      </c>
      <c r="D658">
        <v>619</v>
      </c>
      <c r="E658" t="b">
        <v>0</v>
      </c>
      <c r="F658" t="s">
        <v>1506</v>
      </c>
      <c r="G658" t="s">
        <v>1507</v>
      </c>
      <c r="H658">
        <v>659</v>
      </c>
      <c r="I658" t="s">
        <v>40</v>
      </c>
      <c r="J658" s="3" t="str">
        <f>IF(ISNUMBER(SEARCH(",Action,",","&amp;SUBSTITUTE(TableMain[[#This Row],[Tags]],", ",",")&amp;",")),"Y","N")</f>
        <v>N</v>
      </c>
      <c r="K658" s="3" t="str">
        <f>IF(ISNUMBER(SEARCH(",Indie,",","&amp;SUBSTITUTE(TableMain[[#This Row],[Tags]],", ",",")&amp;",")),"Y","N")</f>
        <v>N</v>
      </c>
      <c r="L658" s="3" t="str">
        <f>IF(ISNUMBER(SEARCH(",Adventure,",","&amp;SUBSTITUTE(TableMain[[#This Row],[Tags]],", ",",")&amp;",")),"Y","N")</f>
        <v>N</v>
      </c>
      <c r="M658" s="3" t="str">
        <f>IF(ISNUMBER(SEARCH(",Simulation,",","&amp;SUBSTITUTE(TableMain[[#This Row],[Tags]],", ",",")&amp;",")),"Y","N")</f>
        <v>N</v>
      </c>
      <c r="N658" s="3" t="str">
        <f>IF(ISNUMBER(SEARCH(",RPG,",","&amp;SUBSTITUTE(TableMain[[#This Row],[Tags]],", ",",")&amp;",")),"Y","N")</f>
        <v>Y</v>
      </c>
      <c r="O658" s="3" t="str">
        <f>IF(ISNUMBER(SEARCH(",Strategy,",","&amp;SUBSTITUTE(TableMain[[#This Row],[Tags]],", ",",")&amp;",")),"Y","N")</f>
        <v>Y</v>
      </c>
      <c r="P658" s="3" t="str">
        <f>IF(ISNUMBER(SEARCH(",Free To Play,",","&amp;SUBSTITUTE(TableMain[[#This Row],[Tags]],", ",",")&amp;",")),"Y","N")</f>
        <v>Y</v>
      </c>
    </row>
    <row r="659" spans="1:16" x14ac:dyDescent="0.35">
      <c r="A659">
        <v>1118310</v>
      </c>
      <c r="B659" t="s">
        <v>1508</v>
      </c>
      <c r="C659" s="1">
        <v>44708</v>
      </c>
      <c r="D659">
        <v>619</v>
      </c>
      <c r="E659" t="b">
        <v>1</v>
      </c>
      <c r="F659" t="s">
        <v>1509</v>
      </c>
      <c r="G659" t="s">
        <v>1510</v>
      </c>
      <c r="H659">
        <v>659</v>
      </c>
      <c r="I659" t="s">
        <v>119</v>
      </c>
      <c r="J659" s="3" t="str">
        <f>IF(ISNUMBER(SEARCH(",Action,",","&amp;SUBSTITUTE(TableMain[[#This Row],[Tags]],", ",",")&amp;",")),"Y","N")</f>
        <v>N</v>
      </c>
      <c r="K659" s="3" t="str">
        <f>IF(ISNUMBER(SEARCH(",Indie,",","&amp;SUBSTITUTE(TableMain[[#This Row],[Tags]],", ",",")&amp;",")),"Y","N")</f>
        <v>N</v>
      </c>
      <c r="L659" s="3" t="str">
        <f>IF(ISNUMBER(SEARCH(",Adventure,",","&amp;SUBSTITUTE(TableMain[[#This Row],[Tags]],", ",",")&amp;",")),"Y","N")</f>
        <v>N</v>
      </c>
      <c r="M659" s="3" t="str">
        <f>IF(ISNUMBER(SEARCH(",Simulation,",","&amp;SUBSTITUTE(TableMain[[#This Row],[Tags]],", ",",")&amp;",")),"Y","N")</f>
        <v>N</v>
      </c>
      <c r="N659" s="3" t="str">
        <f>IF(ISNUMBER(SEARCH(",RPG,",","&amp;SUBSTITUTE(TableMain[[#This Row],[Tags]],", ",",")&amp;",")),"Y","N")</f>
        <v>N</v>
      </c>
      <c r="O659" s="3" t="str">
        <f>IF(ISNUMBER(SEARCH(",Strategy,",","&amp;SUBSTITUTE(TableMain[[#This Row],[Tags]],", ",",")&amp;",")),"Y","N")</f>
        <v>N</v>
      </c>
      <c r="P659" s="3" t="str">
        <f>IF(ISNUMBER(SEARCH(",Free To Play,",","&amp;SUBSTITUTE(TableMain[[#This Row],[Tags]],", ",",")&amp;",")),"Y","N")</f>
        <v>Y</v>
      </c>
    </row>
    <row r="660" spans="1:16" x14ac:dyDescent="0.35">
      <c r="A660">
        <v>1846380</v>
      </c>
      <c r="B660" t="s">
        <v>1511</v>
      </c>
      <c r="C660" s="1">
        <v>44896</v>
      </c>
      <c r="D660">
        <v>618</v>
      </c>
      <c r="E660" t="b">
        <v>0</v>
      </c>
      <c r="F660" t="s">
        <v>1512</v>
      </c>
      <c r="G660" t="s">
        <v>1513</v>
      </c>
      <c r="H660">
        <v>661</v>
      </c>
      <c r="I660" t="s">
        <v>486</v>
      </c>
      <c r="J660" s="3" t="str">
        <f>IF(ISNUMBER(SEARCH(",Action,",","&amp;SUBSTITUTE(TableMain[[#This Row],[Tags]],", ",",")&amp;",")),"Y","N")</f>
        <v>Y</v>
      </c>
      <c r="K660" s="3" t="str">
        <f>IF(ISNUMBER(SEARCH(",Indie,",","&amp;SUBSTITUTE(TableMain[[#This Row],[Tags]],", ",",")&amp;",")),"Y","N")</f>
        <v>N</v>
      </c>
      <c r="L660" s="3" t="str">
        <f>IF(ISNUMBER(SEARCH(",Adventure,",","&amp;SUBSTITUTE(TableMain[[#This Row],[Tags]],", ",",")&amp;",")),"Y","N")</f>
        <v>N</v>
      </c>
      <c r="M660" s="3" t="str">
        <f>IF(ISNUMBER(SEARCH(",Simulation,",","&amp;SUBSTITUTE(TableMain[[#This Row],[Tags]],", ",",")&amp;",")),"Y","N")</f>
        <v>N</v>
      </c>
      <c r="N660" s="3" t="str">
        <f>IF(ISNUMBER(SEARCH(",RPG,",","&amp;SUBSTITUTE(TableMain[[#This Row],[Tags]],", ",",")&amp;",")),"Y","N")</f>
        <v>N</v>
      </c>
      <c r="O660" s="3" t="str">
        <f>IF(ISNUMBER(SEARCH(",Strategy,",","&amp;SUBSTITUTE(TableMain[[#This Row],[Tags]],", ",",")&amp;",")),"Y","N")</f>
        <v>N</v>
      </c>
      <c r="P660" s="3" t="str">
        <f>IF(ISNUMBER(SEARCH(",Free To Play,",","&amp;SUBSTITUTE(TableMain[[#This Row],[Tags]],", ",",")&amp;",")),"Y","N")</f>
        <v>N</v>
      </c>
    </row>
    <row r="661" spans="1:16" x14ac:dyDescent="0.35">
      <c r="A661">
        <v>445220</v>
      </c>
      <c r="B661" t="s">
        <v>1514</v>
      </c>
      <c r="C661" s="1">
        <v>43899</v>
      </c>
      <c r="D661">
        <v>618</v>
      </c>
      <c r="E661" t="b">
        <v>1</v>
      </c>
      <c r="F661" t="s">
        <v>1515</v>
      </c>
      <c r="G661" t="s">
        <v>841</v>
      </c>
      <c r="H661">
        <v>661</v>
      </c>
      <c r="I661" t="s">
        <v>304</v>
      </c>
      <c r="J661" s="3" t="str">
        <f>IF(ISNUMBER(SEARCH(",Action,",","&amp;SUBSTITUTE(TableMain[[#This Row],[Tags]],", ",",")&amp;",")),"Y","N")</f>
        <v>Y</v>
      </c>
      <c r="K661" s="3" t="str">
        <f>IF(ISNUMBER(SEARCH(",Indie,",","&amp;SUBSTITUTE(TableMain[[#This Row],[Tags]],", ",",")&amp;",")),"Y","N")</f>
        <v>Y</v>
      </c>
      <c r="L661" s="3" t="str">
        <f>IF(ISNUMBER(SEARCH(",Adventure,",","&amp;SUBSTITUTE(TableMain[[#This Row],[Tags]],", ",",")&amp;",")),"Y","N")</f>
        <v>N</v>
      </c>
      <c r="M661" s="3" t="str">
        <f>IF(ISNUMBER(SEARCH(",Simulation,",","&amp;SUBSTITUTE(TableMain[[#This Row],[Tags]],", ",",")&amp;",")),"Y","N")</f>
        <v>Y</v>
      </c>
      <c r="N661" s="3" t="str">
        <f>IF(ISNUMBER(SEARCH(",RPG,",","&amp;SUBSTITUTE(TableMain[[#This Row],[Tags]],", ",",")&amp;",")),"Y","N")</f>
        <v>N</v>
      </c>
      <c r="O661" s="3" t="str">
        <f>IF(ISNUMBER(SEARCH(",Strategy,",","&amp;SUBSTITUTE(TableMain[[#This Row],[Tags]],", ",",")&amp;",")),"Y","N")</f>
        <v>N</v>
      </c>
      <c r="P661" s="3" t="str">
        <f>IF(ISNUMBER(SEARCH(",Free To Play,",","&amp;SUBSTITUTE(TableMain[[#This Row],[Tags]],", ",",")&amp;",")),"Y","N")</f>
        <v>N</v>
      </c>
    </row>
    <row r="662" spans="1:16" x14ac:dyDescent="0.35">
      <c r="A662">
        <v>203140</v>
      </c>
      <c r="B662" t="s">
        <v>1516</v>
      </c>
      <c r="C662" s="1">
        <v>41232</v>
      </c>
      <c r="D662">
        <v>618</v>
      </c>
      <c r="E662" t="b">
        <v>0</v>
      </c>
      <c r="F662" t="s">
        <v>1053</v>
      </c>
      <c r="G662" t="s">
        <v>49</v>
      </c>
      <c r="H662">
        <v>661</v>
      </c>
      <c r="I662" t="s">
        <v>2084</v>
      </c>
      <c r="J662" s="3" t="str">
        <f>IF(ISNUMBER(SEARCH(",Action,",","&amp;SUBSTITUTE(TableMain[[#This Row],[Tags]],", ",",")&amp;",")),"Y","N")</f>
        <v>Y</v>
      </c>
      <c r="K662" s="3" t="str">
        <f>IF(ISNUMBER(SEARCH(",Indie,",","&amp;SUBSTITUTE(TableMain[[#This Row],[Tags]],", ",",")&amp;",")),"Y","N")</f>
        <v>N</v>
      </c>
      <c r="L662" s="3" t="str">
        <f>IF(ISNUMBER(SEARCH(",Adventure,",","&amp;SUBSTITUTE(TableMain[[#This Row],[Tags]],", ",",")&amp;",")),"Y","N")</f>
        <v>N</v>
      </c>
      <c r="M662" s="3" t="str">
        <f>IF(ISNUMBER(SEARCH(",Simulation,",","&amp;SUBSTITUTE(TableMain[[#This Row],[Tags]],", ",",")&amp;",")),"Y","N")</f>
        <v>N</v>
      </c>
      <c r="N662" s="3" t="str">
        <f>IF(ISNUMBER(SEARCH(",RPG,",","&amp;SUBSTITUTE(TableMain[[#This Row],[Tags]],", ",",")&amp;",")),"Y","N")</f>
        <v>N</v>
      </c>
      <c r="O662" s="3" t="str">
        <f>IF(ISNUMBER(SEARCH(",Strategy,",","&amp;SUBSTITUTE(TableMain[[#This Row],[Tags]],", ",",")&amp;",")),"Y","N")</f>
        <v>N</v>
      </c>
      <c r="P662" s="3" t="str">
        <f>IF(ISNUMBER(SEARCH(",Free To Play,",","&amp;SUBSTITUTE(TableMain[[#This Row],[Tags]],", ",",")&amp;",")),"Y","N")</f>
        <v>N</v>
      </c>
    </row>
    <row r="663" spans="1:16" x14ac:dyDescent="0.35">
      <c r="A663">
        <v>636480</v>
      </c>
      <c r="B663" t="s">
        <v>1517</v>
      </c>
      <c r="C663" s="1">
        <v>42873</v>
      </c>
      <c r="D663">
        <v>617</v>
      </c>
      <c r="E663" t="b">
        <v>1</v>
      </c>
      <c r="F663" t="s">
        <v>1518</v>
      </c>
      <c r="G663" t="s">
        <v>288</v>
      </c>
      <c r="H663">
        <v>664</v>
      </c>
      <c r="I663" t="s">
        <v>110</v>
      </c>
      <c r="J663" s="3" t="str">
        <f>IF(ISNUMBER(SEARCH(",Action,",","&amp;SUBSTITUTE(TableMain[[#This Row],[Tags]],", ",",")&amp;",")),"Y","N")</f>
        <v>Y</v>
      </c>
      <c r="K663" s="3" t="str">
        <f>IF(ISNUMBER(SEARCH(",Indie,",","&amp;SUBSTITUTE(TableMain[[#This Row],[Tags]],", ",",")&amp;",")),"Y","N")</f>
        <v>Y</v>
      </c>
      <c r="L663" s="3" t="str">
        <f>IF(ISNUMBER(SEARCH(",Adventure,",","&amp;SUBSTITUTE(TableMain[[#This Row],[Tags]],", ",",")&amp;",")),"Y","N")</f>
        <v>N</v>
      </c>
      <c r="M663" s="3" t="str">
        <f>IF(ISNUMBER(SEARCH(",Simulation,",","&amp;SUBSTITUTE(TableMain[[#This Row],[Tags]],", ",",")&amp;",")),"Y","N")</f>
        <v>N</v>
      </c>
      <c r="N663" s="3" t="str">
        <f>IF(ISNUMBER(SEARCH(",RPG,",","&amp;SUBSTITUTE(TableMain[[#This Row],[Tags]],", ",",")&amp;",")),"Y","N")</f>
        <v>N</v>
      </c>
      <c r="O663" s="3" t="str">
        <f>IF(ISNUMBER(SEARCH(",Strategy,",","&amp;SUBSTITUTE(TableMain[[#This Row],[Tags]],", ",",")&amp;",")),"Y","N")</f>
        <v>N</v>
      </c>
      <c r="P663" s="3" t="str">
        <f>IF(ISNUMBER(SEARCH(",Free To Play,",","&amp;SUBSTITUTE(TableMain[[#This Row],[Tags]],", ",",")&amp;",")),"Y","N")</f>
        <v>N</v>
      </c>
    </row>
    <row r="664" spans="1:16" x14ac:dyDescent="0.35">
      <c r="A664">
        <v>20900</v>
      </c>
      <c r="B664" t="s">
        <v>1519</v>
      </c>
      <c r="C664" s="1">
        <v>39710</v>
      </c>
      <c r="D664">
        <v>616</v>
      </c>
      <c r="E664" t="b">
        <v>1</v>
      </c>
      <c r="F664" t="s">
        <v>1520</v>
      </c>
      <c r="G664" t="s">
        <v>24</v>
      </c>
      <c r="H664">
        <v>665</v>
      </c>
      <c r="I664" t="s">
        <v>2084</v>
      </c>
      <c r="J664" s="3" t="str">
        <f>IF(ISNUMBER(SEARCH(",Action,",","&amp;SUBSTITUTE(TableMain[[#This Row],[Tags]],", ",",")&amp;",")),"Y","N")</f>
        <v>Y</v>
      </c>
      <c r="K664" s="3" t="str">
        <f>IF(ISNUMBER(SEARCH(",Indie,",","&amp;SUBSTITUTE(TableMain[[#This Row],[Tags]],", ",",")&amp;",")),"Y","N")</f>
        <v>N</v>
      </c>
      <c r="L664" s="3" t="str">
        <f>IF(ISNUMBER(SEARCH(",Adventure,",","&amp;SUBSTITUTE(TableMain[[#This Row],[Tags]],", ",",")&amp;",")),"Y","N")</f>
        <v>N</v>
      </c>
      <c r="M664" s="3" t="str">
        <f>IF(ISNUMBER(SEARCH(",Simulation,",","&amp;SUBSTITUTE(TableMain[[#This Row],[Tags]],", ",",")&amp;",")),"Y","N")</f>
        <v>N</v>
      </c>
      <c r="N664" s="3" t="str">
        <f>IF(ISNUMBER(SEARCH(",RPG,",","&amp;SUBSTITUTE(TableMain[[#This Row],[Tags]],", ",",")&amp;",")),"Y","N")</f>
        <v>Y</v>
      </c>
      <c r="O664" s="3" t="str">
        <f>IF(ISNUMBER(SEARCH(",Strategy,",","&amp;SUBSTITUTE(TableMain[[#This Row],[Tags]],", ",",")&amp;",")),"Y","N")</f>
        <v>N</v>
      </c>
      <c r="P664" s="3" t="str">
        <f>IF(ISNUMBER(SEARCH(",Free To Play,",","&amp;SUBSTITUTE(TableMain[[#This Row],[Tags]],", ",",")&amp;",")),"Y","N")</f>
        <v>N</v>
      </c>
    </row>
    <row r="665" spans="1:16" x14ac:dyDescent="0.35">
      <c r="A665">
        <v>209000</v>
      </c>
      <c r="B665" t="s">
        <v>1521</v>
      </c>
      <c r="C665" s="1">
        <v>41571</v>
      </c>
      <c r="D665">
        <v>616</v>
      </c>
      <c r="E665" t="b">
        <v>0</v>
      </c>
      <c r="F665" t="s">
        <v>1522</v>
      </c>
      <c r="G665" t="s">
        <v>46</v>
      </c>
      <c r="H665">
        <v>665</v>
      </c>
      <c r="I665" t="s">
        <v>2084</v>
      </c>
      <c r="J665" s="3" t="str">
        <f>IF(ISNUMBER(SEARCH(",Action,",","&amp;SUBSTITUTE(TableMain[[#This Row],[Tags]],", ",",")&amp;",")),"Y","N")</f>
        <v>Y</v>
      </c>
      <c r="K665" s="3" t="str">
        <f>IF(ISNUMBER(SEARCH(",Indie,",","&amp;SUBSTITUTE(TableMain[[#This Row],[Tags]],", ",",")&amp;",")),"Y","N")</f>
        <v>N</v>
      </c>
      <c r="L665" s="3" t="str">
        <f>IF(ISNUMBER(SEARCH(",Adventure,",","&amp;SUBSTITUTE(TableMain[[#This Row],[Tags]],", ",",")&amp;",")),"Y","N")</f>
        <v>Y</v>
      </c>
      <c r="M665" s="3" t="str">
        <f>IF(ISNUMBER(SEARCH(",Simulation,",","&amp;SUBSTITUTE(TableMain[[#This Row],[Tags]],", ",",")&amp;",")),"Y","N")</f>
        <v>N</v>
      </c>
      <c r="N665" s="3" t="str">
        <f>IF(ISNUMBER(SEARCH(",RPG,",","&amp;SUBSTITUTE(TableMain[[#This Row],[Tags]],", ",",")&amp;",")),"Y","N")</f>
        <v>N</v>
      </c>
      <c r="O665" s="3" t="str">
        <f>IF(ISNUMBER(SEARCH(",Strategy,",","&amp;SUBSTITUTE(TableMain[[#This Row],[Tags]],", ",",")&amp;",")),"Y","N")</f>
        <v>N</v>
      </c>
      <c r="P665" s="3" t="str">
        <f>IF(ISNUMBER(SEARCH(",Free To Play,",","&amp;SUBSTITUTE(TableMain[[#This Row],[Tags]],", ",",")&amp;",")),"Y","N")</f>
        <v>N</v>
      </c>
    </row>
    <row r="666" spans="1:16" x14ac:dyDescent="0.35">
      <c r="A666">
        <v>2996990</v>
      </c>
      <c r="B666" t="s">
        <v>1523</v>
      </c>
      <c r="C666" s="1">
        <v>45612</v>
      </c>
      <c r="D666">
        <v>615</v>
      </c>
      <c r="E666" t="b">
        <v>0</v>
      </c>
      <c r="F666" t="s">
        <v>1524</v>
      </c>
      <c r="G666" t="s">
        <v>871</v>
      </c>
      <c r="H666">
        <v>667</v>
      </c>
      <c r="I666" t="s">
        <v>932</v>
      </c>
      <c r="J666" s="3" t="str">
        <f>IF(ISNUMBER(SEARCH(",Action,",","&amp;SUBSTITUTE(TableMain[[#This Row],[Tags]],", ",",")&amp;",")),"Y","N")</f>
        <v>N</v>
      </c>
      <c r="K666" s="3" t="str">
        <f>IF(ISNUMBER(SEARCH(",Indie,",","&amp;SUBSTITUTE(TableMain[[#This Row],[Tags]],", ",",")&amp;",")),"Y","N")</f>
        <v>Y</v>
      </c>
      <c r="L666" s="3" t="str">
        <f>IF(ISNUMBER(SEARCH(",Adventure,",","&amp;SUBSTITUTE(TableMain[[#This Row],[Tags]],", ",",")&amp;",")),"Y","N")</f>
        <v>N</v>
      </c>
      <c r="M666" s="3" t="str">
        <f>IF(ISNUMBER(SEARCH(",Simulation,",","&amp;SUBSTITUTE(TableMain[[#This Row],[Tags]],", ",",")&amp;",")),"Y","N")</f>
        <v>N</v>
      </c>
      <c r="N666" s="3" t="str">
        <f>IF(ISNUMBER(SEARCH(",RPG,",","&amp;SUBSTITUTE(TableMain[[#This Row],[Tags]],", ",",")&amp;",")),"Y","N")</f>
        <v>N</v>
      </c>
      <c r="O666" s="3" t="str">
        <f>IF(ISNUMBER(SEARCH(",Strategy,",","&amp;SUBSTITUTE(TableMain[[#This Row],[Tags]],", ",",")&amp;",")),"Y","N")</f>
        <v>N</v>
      </c>
      <c r="P666" s="3" t="str">
        <f>IF(ISNUMBER(SEARCH(",Free To Play,",","&amp;SUBSTITUTE(TableMain[[#This Row],[Tags]],", ",",")&amp;",")),"Y","N")</f>
        <v>Y</v>
      </c>
    </row>
    <row r="667" spans="1:16" x14ac:dyDescent="0.35">
      <c r="A667">
        <v>207610</v>
      </c>
      <c r="B667" t="s">
        <v>1525</v>
      </c>
      <c r="C667" s="1">
        <v>41023</v>
      </c>
      <c r="D667">
        <v>614</v>
      </c>
      <c r="E667" t="b">
        <v>1</v>
      </c>
      <c r="F667" t="s">
        <v>629</v>
      </c>
      <c r="G667" t="s">
        <v>346</v>
      </c>
      <c r="H667">
        <v>668</v>
      </c>
      <c r="I667" t="s">
        <v>2084</v>
      </c>
      <c r="J667" s="3" t="str">
        <f>IF(ISNUMBER(SEARCH(",Action,",","&amp;SUBSTITUTE(TableMain[[#This Row],[Tags]],", ",",")&amp;",")),"Y","N")</f>
        <v>N</v>
      </c>
      <c r="K667" s="3" t="str">
        <f>IF(ISNUMBER(SEARCH(",Indie,",","&amp;SUBSTITUTE(TableMain[[#This Row],[Tags]],", ",",")&amp;",")),"Y","N")</f>
        <v>N</v>
      </c>
      <c r="L667" s="3" t="str">
        <f>IF(ISNUMBER(SEARCH(",Adventure,",","&amp;SUBSTITUTE(TableMain[[#This Row],[Tags]],", ",",")&amp;",")),"Y","N")</f>
        <v>Y</v>
      </c>
      <c r="M667" s="3" t="str">
        <f>IF(ISNUMBER(SEARCH(",Simulation,",","&amp;SUBSTITUTE(TableMain[[#This Row],[Tags]],", ",",")&amp;",")),"Y","N")</f>
        <v>N</v>
      </c>
      <c r="N667" s="3" t="str">
        <f>IF(ISNUMBER(SEARCH(",RPG,",","&amp;SUBSTITUTE(TableMain[[#This Row],[Tags]],", ",",")&amp;",")),"Y","N")</f>
        <v>N</v>
      </c>
      <c r="O667" s="3" t="str">
        <f>IF(ISNUMBER(SEARCH(",Strategy,",","&amp;SUBSTITUTE(TableMain[[#This Row],[Tags]],", ",",")&amp;",")),"Y","N")</f>
        <v>N</v>
      </c>
      <c r="P667" s="3" t="str">
        <f>IF(ISNUMBER(SEARCH(",Free To Play,",","&amp;SUBSTITUTE(TableMain[[#This Row],[Tags]],", ",",")&amp;",")),"Y","N")</f>
        <v>N</v>
      </c>
    </row>
    <row r="668" spans="1:16" x14ac:dyDescent="0.35">
      <c r="A668">
        <v>2212330</v>
      </c>
      <c r="B668" t="s">
        <v>1526</v>
      </c>
      <c r="C668" s="1">
        <v>44959</v>
      </c>
      <c r="D668">
        <v>613</v>
      </c>
      <c r="E668" t="b">
        <v>0</v>
      </c>
      <c r="F668" t="s">
        <v>1527</v>
      </c>
      <c r="G668" t="s">
        <v>498</v>
      </c>
      <c r="H668">
        <v>669</v>
      </c>
      <c r="I668" t="s">
        <v>14</v>
      </c>
      <c r="J668" s="3" t="str">
        <f>IF(ISNUMBER(SEARCH(",Action,",","&amp;SUBSTITUTE(TableMain[[#This Row],[Tags]],", ",",")&amp;",")),"Y","N")</f>
        <v>Y</v>
      </c>
      <c r="K668" s="3" t="str">
        <f>IF(ISNUMBER(SEARCH(",Indie,",","&amp;SUBSTITUTE(TableMain[[#This Row],[Tags]],", ",",")&amp;",")),"Y","N")</f>
        <v>Y</v>
      </c>
      <c r="L668" s="3" t="str">
        <f>IF(ISNUMBER(SEARCH(",Adventure,",","&amp;SUBSTITUTE(TableMain[[#This Row],[Tags]],", ",",")&amp;",")),"Y","N")</f>
        <v>N</v>
      </c>
      <c r="M668" s="3" t="str">
        <f>IF(ISNUMBER(SEARCH(",Simulation,",","&amp;SUBSTITUTE(TableMain[[#This Row],[Tags]],", ",",")&amp;",")),"Y","N")</f>
        <v>Y</v>
      </c>
      <c r="N668" s="3" t="str">
        <f>IF(ISNUMBER(SEARCH(",RPG,",","&amp;SUBSTITUTE(TableMain[[#This Row],[Tags]],", ",",")&amp;",")),"Y","N")</f>
        <v>N</v>
      </c>
      <c r="O668" s="3" t="str">
        <f>IF(ISNUMBER(SEARCH(",Strategy,",","&amp;SUBSTITUTE(TableMain[[#This Row],[Tags]],", ",",")&amp;",")),"Y","N")</f>
        <v>Y</v>
      </c>
      <c r="P668" s="3" t="str">
        <f>IF(ISNUMBER(SEARCH(",Free To Play,",","&amp;SUBSTITUTE(TableMain[[#This Row],[Tags]],", ",",")&amp;",")),"Y","N")</f>
        <v>N</v>
      </c>
    </row>
    <row r="669" spans="1:16" x14ac:dyDescent="0.35">
      <c r="A669">
        <v>258890</v>
      </c>
      <c r="B669" t="s">
        <v>1528</v>
      </c>
      <c r="C669" s="1">
        <v>41584</v>
      </c>
      <c r="D669">
        <v>611</v>
      </c>
      <c r="E669" t="b">
        <v>1</v>
      </c>
      <c r="F669" t="s">
        <v>324</v>
      </c>
      <c r="G669" t="s">
        <v>1470</v>
      </c>
      <c r="H669">
        <v>670</v>
      </c>
      <c r="I669" t="s">
        <v>2084</v>
      </c>
      <c r="J669" s="3" t="str">
        <f>IF(ISNUMBER(SEARCH(",Action,",","&amp;SUBSTITUTE(TableMain[[#This Row],[Tags]],", ",",")&amp;",")),"Y","N")</f>
        <v>Y</v>
      </c>
      <c r="K669" s="3" t="str">
        <f>IF(ISNUMBER(SEARCH(",Indie,",","&amp;SUBSTITUTE(TableMain[[#This Row],[Tags]],", ",",")&amp;",")),"Y","N")</f>
        <v>Y</v>
      </c>
      <c r="L669" s="3" t="str">
        <f>IF(ISNUMBER(SEARCH(",Adventure,",","&amp;SUBSTITUTE(TableMain[[#This Row],[Tags]],", ",",")&amp;",")),"Y","N")</f>
        <v>Y</v>
      </c>
      <c r="M669" s="3" t="str">
        <f>IF(ISNUMBER(SEARCH(",Simulation,",","&amp;SUBSTITUTE(TableMain[[#This Row],[Tags]],", ",",")&amp;",")),"Y","N")</f>
        <v>N</v>
      </c>
      <c r="N669" s="3" t="str">
        <f>IF(ISNUMBER(SEARCH(",RPG,",","&amp;SUBSTITUTE(TableMain[[#This Row],[Tags]],", ",",")&amp;",")),"Y","N")</f>
        <v>N</v>
      </c>
      <c r="O669" s="3" t="str">
        <f>IF(ISNUMBER(SEARCH(",Strategy,",","&amp;SUBSTITUTE(TableMain[[#This Row],[Tags]],", ",",")&amp;",")),"Y","N")</f>
        <v>N</v>
      </c>
      <c r="P669" s="3" t="str">
        <f>IF(ISNUMBER(SEARCH(",Free To Play,",","&amp;SUBSTITUTE(TableMain[[#This Row],[Tags]],", ",",")&amp;",")),"Y","N")</f>
        <v>N</v>
      </c>
    </row>
    <row r="670" spans="1:16" x14ac:dyDescent="0.35">
      <c r="A670">
        <v>3097560</v>
      </c>
      <c r="B670" t="s">
        <v>1529</v>
      </c>
      <c r="C670" s="1">
        <v>45567</v>
      </c>
      <c r="D670">
        <v>605</v>
      </c>
      <c r="E670" t="b">
        <v>0</v>
      </c>
      <c r="F670" t="s">
        <v>1530</v>
      </c>
      <c r="G670" t="s">
        <v>703</v>
      </c>
      <c r="H670">
        <v>671</v>
      </c>
      <c r="I670" t="s">
        <v>36</v>
      </c>
      <c r="J670" s="3" t="str">
        <f>IF(ISNUMBER(SEARCH(",Action,",","&amp;SUBSTITUTE(TableMain[[#This Row],[Tags]],", ",",")&amp;",")),"Y","N")</f>
        <v>N</v>
      </c>
      <c r="K670" s="3" t="str">
        <f>IF(ISNUMBER(SEARCH(",Indie,",","&amp;SUBSTITUTE(TableMain[[#This Row],[Tags]],", ",",")&amp;",")),"Y","N")</f>
        <v>Y</v>
      </c>
      <c r="L670" s="3" t="str">
        <f>IF(ISNUMBER(SEARCH(",Adventure,",","&amp;SUBSTITUTE(TableMain[[#This Row],[Tags]],", ",",")&amp;",")),"Y","N")</f>
        <v>N</v>
      </c>
      <c r="M670" s="3" t="str">
        <f>IF(ISNUMBER(SEARCH(",Simulation,",","&amp;SUBSTITUTE(TableMain[[#This Row],[Tags]],", ",",")&amp;",")),"Y","N")</f>
        <v>Y</v>
      </c>
      <c r="N670" s="3" t="str">
        <f>IF(ISNUMBER(SEARCH(",RPG,",","&amp;SUBSTITUTE(TableMain[[#This Row],[Tags]],", ",",")&amp;",")),"Y","N")</f>
        <v>N</v>
      </c>
      <c r="O670" s="3" t="str">
        <f>IF(ISNUMBER(SEARCH(",Strategy,",","&amp;SUBSTITUTE(TableMain[[#This Row],[Tags]],", ",",")&amp;",")),"Y","N")</f>
        <v>Y</v>
      </c>
      <c r="P670" s="3" t="str">
        <f>IF(ISNUMBER(SEARCH(",Free To Play,",","&amp;SUBSTITUTE(TableMain[[#This Row],[Tags]],", ",",")&amp;",")),"Y","N")</f>
        <v>N</v>
      </c>
    </row>
    <row r="671" spans="1:16" x14ac:dyDescent="0.35">
      <c r="A671">
        <v>1066890</v>
      </c>
      <c r="B671" t="s">
        <v>1531</v>
      </c>
      <c r="C671" s="1">
        <v>44012</v>
      </c>
      <c r="D671">
        <v>605</v>
      </c>
      <c r="E671" t="b">
        <v>0</v>
      </c>
      <c r="F671" t="s">
        <v>1532</v>
      </c>
      <c r="G671" t="s">
        <v>1533</v>
      </c>
      <c r="H671">
        <v>671</v>
      </c>
      <c r="I671" t="s">
        <v>408</v>
      </c>
      <c r="J671" s="3" t="str">
        <f>IF(ISNUMBER(SEARCH(",Action,",","&amp;SUBSTITUTE(TableMain[[#This Row],[Tags]],", ",",")&amp;",")),"Y","N")</f>
        <v>Y</v>
      </c>
      <c r="K671" s="3" t="str">
        <f>IF(ISNUMBER(SEARCH(",Indie,",","&amp;SUBSTITUTE(TableMain[[#This Row],[Tags]],", ",",")&amp;",")),"Y","N")</f>
        <v>Y</v>
      </c>
      <c r="L671" s="3" t="str">
        <f>IF(ISNUMBER(SEARCH(",Adventure,",","&amp;SUBSTITUTE(TableMain[[#This Row],[Tags]],", ",",")&amp;",")),"Y","N")</f>
        <v>N</v>
      </c>
      <c r="M671" s="3" t="str">
        <f>IF(ISNUMBER(SEARCH(",Simulation,",","&amp;SUBSTITUTE(TableMain[[#This Row],[Tags]],", ",",")&amp;",")),"Y","N")</f>
        <v>Y</v>
      </c>
      <c r="N671" s="3" t="str">
        <f>IF(ISNUMBER(SEARCH(",RPG,",","&amp;SUBSTITUTE(TableMain[[#This Row],[Tags]],", ",",")&amp;",")),"Y","N")</f>
        <v>N</v>
      </c>
      <c r="O671" s="3" t="str">
        <f>IF(ISNUMBER(SEARCH(",Strategy,",","&amp;SUBSTITUTE(TableMain[[#This Row],[Tags]],", ",",")&amp;",")),"Y","N")</f>
        <v>N</v>
      </c>
      <c r="P671" s="3" t="str">
        <f>IF(ISNUMBER(SEARCH(",Free To Play,",","&amp;SUBSTITUTE(TableMain[[#This Row],[Tags]],", ",",")&amp;",")),"Y","N")</f>
        <v>N</v>
      </c>
    </row>
    <row r="672" spans="1:16" x14ac:dyDescent="0.35">
      <c r="A672">
        <v>35140</v>
      </c>
      <c r="B672" t="s">
        <v>1534</v>
      </c>
      <c r="C672" s="1">
        <v>40263</v>
      </c>
      <c r="D672">
        <v>601</v>
      </c>
      <c r="E672" t="b">
        <v>0</v>
      </c>
      <c r="F672" t="s">
        <v>1053</v>
      </c>
      <c r="G672" t="s">
        <v>46</v>
      </c>
      <c r="H672">
        <v>673</v>
      </c>
      <c r="I672" t="s">
        <v>2084</v>
      </c>
      <c r="J672" s="3" t="str">
        <f>IF(ISNUMBER(SEARCH(",Action,",","&amp;SUBSTITUTE(TableMain[[#This Row],[Tags]],", ",",")&amp;",")),"Y","N")</f>
        <v>Y</v>
      </c>
      <c r="K672" s="3" t="str">
        <f>IF(ISNUMBER(SEARCH(",Indie,",","&amp;SUBSTITUTE(TableMain[[#This Row],[Tags]],", ",",")&amp;",")),"Y","N")</f>
        <v>N</v>
      </c>
      <c r="L672" s="3" t="str">
        <f>IF(ISNUMBER(SEARCH(",Adventure,",","&amp;SUBSTITUTE(TableMain[[#This Row],[Tags]],", ",",")&amp;",")),"Y","N")</f>
        <v>Y</v>
      </c>
      <c r="M672" s="3" t="str">
        <f>IF(ISNUMBER(SEARCH(",Simulation,",","&amp;SUBSTITUTE(TableMain[[#This Row],[Tags]],", ",",")&amp;",")),"Y","N")</f>
        <v>N</v>
      </c>
      <c r="N672" s="3" t="str">
        <f>IF(ISNUMBER(SEARCH(",RPG,",","&amp;SUBSTITUTE(TableMain[[#This Row],[Tags]],", ",",")&amp;",")),"Y","N")</f>
        <v>N</v>
      </c>
      <c r="O672" s="3" t="str">
        <f>IF(ISNUMBER(SEARCH(",Strategy,",","&amp;SUBSTITUTE(TableMain[[#This Row],[Tags]],", ",",")&amp;",")),"Y","N")</f>
        <v>N</v>
      </c>
      <c r="P672" s="3" t="str">
        <f>IF(ISNUMBER(SEARCH(",Free To Play,",","&amp;SUBSTITUTE(TableMain[[#This Row],[Tags]],", ",",")&amp;",")),"Y","N")</f>
        <v>N</v>
      </c>
    </row>
    <row r="673" spans="1:16" x14ac:dyDescent="0.35">
      <c r="A673">
        <v>2103140</v>
      </c>
      <c r="B673" t="s">
        <v>1535</v>
      </c>
      <c r="C673" s="1">
        <v>45597</v>
      </c>
      <c r="D673">
        <v>600</v>
      </c>
      <c r="E673" t="b">
        <v>0</v>
      </c>
      <c r="F673" t="s">
        <v>416</v>
      </c>
      <c r="G673" t="s">
        <v>138</v>
      </c>
      <c r="H673">
        <v>674</v>
      </c>
      <c r="I673" t="s">
        <v>304</v>
      </c>
      <c r="J673" s="3" t="str">
        <f>IF(ISNUMBER(SEARCH(",Action,",","&amp;SUBSTITUTE(TableMain[[#This Row],[Tags]],", ",",")&amp;",")),"Y","N")</f>
        <v>Y</v>
      </c>
      <c r="K673" s="3" t="str">
        <f>IF(ISNUMBER(SEARCH(",Indie,",","&amp;SUBSTITUTE(TableMain[[#This Row],[Tags]],", ",",")&amp;",")),"Y","N")</f>
        <v>Y</v>
      </c>
      <c r="L673" s="3" t="str">
        <f>IF(ISNUMBER(SEARCH(",Adventure,",","&amp;SUBSTITUTE(TableMain[[#This Row],[Tags]],", ",",")&amp;",")),"Y","N")</f>
        <v>Y</v>
      </c>
      <c r="M673" s="3" t="str">
        <f>IF(ISNUMBER(SEARCH(",Simulation,",","&amp;SUBSTITUTE(TableMain[[#This Row],[Tags]],", ",",")&amp;",")),"Y","N")</f>
        <v>N</v>
      </c>
      <c r="N673" s="3" t="str">
        <f>IF(ISNUMBER(SEARCH(",RPG,",","&amp;SUBSTITUTE(TableMain[[#This Row],[Tags]],", ",",")&amp;",")),"Y","N")</f>
        <v>Y</v>
      </c>
      <c r="O673" s="3" t="str">
        <f>IF(ISNUMBER(SEARCH(",Strategy,",","&amp;SUBSTITUTE(TableMain[[#This Row],[Tags]],", ",",")&amp;",")),"Y","N")</f>
        <v>N</v>
      </c>
      <c r="P673" s="3" t="str">
        <f>IF(ISNUMBER(SEARCH(",Free To Play,",","&amp;SUBSTITUTE(TableMain[[#This Row],[Tags]],", ",",")&amp;",")),"Y","N")</f>
        <v>N</v>
      </c>
    </row>
    <row r="674" spans="1:16" x14ac:dyDescent="0.35">
      <c r="A674">
        <v>2239710</v>
      </c>
      <c r="B674" t="s">
        <v>1536</v>
      </c>
      <c r="C674" s="1">
        <v>45756</v>
      </c>
      <c r="D674">
        <v>599</v>
      </c>
      <c r="E674" t="b">
        <v>1</v>
      </c>
      <c r="F674" t="s">
        <v>873</v>
      </c>
      <c r="G674" t="s">
        <v>1537</v>
      </c>
      <c r="H674">
        <v>675</v>
      </c>
      <c r="I674" t="s">
        <v>119</v>
      </c>
      <c r="J674" s="3" t="str">
        <f>IF(ISNUMBER(SEARCH(",Action,",","&amp;SUBSTITUTE(TableMain[[#This Row],[Tags]],", ",",")&amp;",")),"Y","N")</f>
        <v>Y</v>
      </c>
      <c r="K674" s="3" t="str">
        <f>IF(ISNUMBER(SEARCH(",Indie,",","&amp;SUBSTITUTE(TableMain[[#This Row],[Tags]],", ",",")&amp;",")),"Y","N")</f>
        <v>N</v>
      </c>
      <c r="L674" s="3" t="str">
        <f>IF(ISNUMBER(SEARCH(",Adventure,",","&amp;SUBSTITUTE(TableMain[[#This Row],[Tags]],", ",",")&amp;",")),"Y","N")</f>
        <v>N</v>
      </c>
      <c r="M674" s="3" t="str">
        <f>IF(ISNUMBER(SEARCH(",Simulation,",","&amp;SUBSTITUTE(TableMain[[#This Row],[Tags]],", ",",")&amp;",")),"Y","N")</f>
        <v>Y</v>
      </c>
      <c r="N674" s="3" t="str">
        <f>IF(ISNUMBER(SEARCH(",RPG,",","&amp;SUBSTITUTE(TableMain[[#This Row],[Tags]],", ",",")&amp;",")),"Y","N")</f>
        <v>N</v>
      </c>
      <c r="O674" s="3" t="str">
        <f>IF(ISNUMBER(SEARCH(",Strategy,",","&amp;SUBSTITUTE(TableMain[[#This Row],[Tags]],", ",",")&amp;",")),"Y","N")</f>
        <v>Y</v>
      </c>
      <c r="P674" s="3" t="str">
        <f>IF(ISNUMBER(SEARCH(",Free To Play,",","&amp;SUBSTITUTE(TableMain[[#This Row],[Tags]],", ",",")&amp;",")),"Y","N")</f>
        <v>N</v>
      </c>
    </row>
    <row r="675" spans="1:16" x14ac:dyDescent="0.35">
      <c r="A675">
        <v>389730</v>
      </c>
      <c r="B675" t="s">
        <v>1538</v>
      </c>
      <c r="C675" s="1">
        <v>42887</v>
      </c>
      <c r="D675">
        <v>599</v>
      </c>
      <c r="E675" t="b">
        <v>0</v>
      </c>
      <c r="F675" t="s">
        <v>1539</v>
      </c>
      <c r="G675" t="s">
        <v>1540</v>
      </c>
      <c r="H675">
        <v>675</v>
      </c>
      <c r="I675" t="s">
        <v>53</v>
      </c>
      <c r="J675" s="3" t="str">
        <f>IF(ISNUMBER(SEARCH(",Action,",","&amp;SUBSTITUTE(TableMain[[#This Row],[Tags]],", ",",")&amp;",")),"Y","N")</f>
        <v>Y</v>
      </c>
      <c r="K675" s="3" t="str">
        <f>IF(ISNUMBER(SEARCH(",Indie,",","&amp;SUBSTITUTE(TableMain[[#This Row],[Tags]],", ",",")&amp;",")),"Y","N")</f>
        <v>N</v>
      </c>
      <c r="L675" s="3" t="str">
        <f>IF(ISNUMBER(SEARCH(",Adventure,",","&amp;SUBSTITUTE(TableMain[[#This Row],[Tags]],", ",",")&amp;",")),"Y","N")</f>
        <v>N</v>
      </c>
      <c r="M675" s="3" t="str">
        <f>IF(ISNUMBER(SEARCH(",Simulation,",","&amp;SUBSTITUTE(TableMain[[#This Row],[Tags]],", ",",")&amp;",")),"Y","N")</f>
        <v>N</v>
      </c>
      <c r="N675" s="3" t="str">
        <f>IF(ISNUMBER(SEARCH(",RPG,",","&amp;SUBSTITUTE(TableMain[[#This Row],[Tags]],", ",",")&amp;",")),"Y","N")</f>
        <v>N</v>
      </c>
      <c r="O675" s="3" t="str">
        <f>IF(ISNUMBER(SEARCH(",Strategy,",","&amp;SUBSTITUTE(TableMain[[#This Row],[Tags]],", ",",")&amp;",")),"Y","N")</f>
        <v>N</v>
      </c>
      <c r="P675" s="3" t="str">
        <f>IF(ISNUMBER(SEARCH(",Free To Play,",","&amp;SUBSTITUTE(TableMain[[#This Row],[Tags]],", ",",")&amp;",")),"Y","N")</f>
        <v>N</v>
      </c>
    </row>
    <row r="676" spans="1:16" x14ac:dyDescent="0.35">
      <c r="A676">
        <v>475150</v>
      </c>
      <c r="B676" t="s">
        <v>1541</v>
      </c>
      <c r="C676" s="1">
        <v>42613</v>
      </c>
      <c r="D676">
        <v>599</v>
      </c>
      <c r="E676" t="b">
        <v>0</v>
      </c>
      <c r="F676" t="s">
        <v>1542</v>
      </c>
      <c r="G676" t="s">
        <v>24</v>
      </c>
      <c r="H676">
        <v>675</v>
      </c>
      <c r="I676" t="s">
        <v>2084</v>
      </c>
      <c r="J676" s="3" t="str">
        <f>IF(ISNUMBER(SEARCH(",Action,",","&amp;SUBSTITUTE(TableMain[[#This Row],[Tags]],", ",",")&amp;",")),"Y","N")</f>
        <v>Y</v>
      </c>
      <c r="K676" s="3" t="str">
        <f>IF(ISNUMBER(SEARCH(",Indie,",","&amp;SUBSTITUTE(TableMain[[#This Row],[Tags]],", ",",")&amp;",")),"Y","N")</f>
        <v>N</v>
      </c>
      <c r="L676" s="3" t="str">
        <f>IF(ISNUMBER(SEARCH(",Adventure,",","&amp;SUBSTITUTE(TableMain[[#This Row],[Tags]],", ",",")&amp;",")),"Y","N")</f>
        <v>N</v>
      </c>
      <c r="M676" s="3" t="str">
        <f>IF(ISNUMBER(SEARCH(",Simulation,",","&amp;SUBSTITUTE(TableMain[[#This Row],[Tags]],", ",",")&amp;",")),"Y","N")</f>
        <v>N</v>
      </c>
      <c r="N676" s="3" t="str">
        <f>IF(ISNUMBER(SEARCH(",RPG,",","&amp;SUBSTITUTE(TableMain[[#This Row],[Tags]],", ",",")&amp;",")),"Y","N")</f>
        <v>Y</v>
      </c>
      <c r="O676" s="3" t="str">
        <f>IF(ISNUMBER(SEARCH(",Strategy,",","&amp;SUBSTITUTE(TableMain[[#This Row],[Tags]],", ",",")&amp;",")),"Y","N")</f>
        <v>N</v>
      </c>
      <c r="P676" s="3" t="str">
        <f>IF(ISNUMBER(SEARCH(",Free To Play,",","&amp;SUBSTITUTE(TableMain[[#This Row],[Tags]],", ",",")&amp;",")),"Y","N")</f>
        <v>N</v>
      </c>
    </row>
    <row r="677" spans="1:16" x14ac:dyDescent="0.35">
      <c r="A677">
        <v>17390</v>
      </c>
      <c r="B677" t="s">
        <v>1543</v>
      </c>
      <c r="C677" s="1">
        <v>39801</v>
      </c>
      <c r="D677">
        <v>599</v>
      </c>
      <c r="E677" t="b">
        <v>0</v>
      </c>
      <c r="F677" t="s">
        <v>337</v>
      </c>
      <c r="G677" t="s">
        <v>1544</v>
      </c>
      <c r="H677">
        <v>675</v>
      </c>
      <c r="I677" t="s">
        <v>2084</v>
      </c>
      <c r="J677" s="3" t="str">
        <f>IF(ISNUMBER(SEARCH(",Action,",","&amp;SUBSTITUTE(TableMain[[#This Row],[Tags]],", ",",")&amp;",")),"Y","N")</f>
        <v>Y</v>
      </c>
      <c r="K677" s="3" t="str">
        <f>IF(ISNUMBER(SEARCH(",Indie,",","&amp;SUBSTITUTE(TableMain[[#This Row],[Tags]],", ",",")&amp;",")),"Y","N")</f>
        <v>N</v>
      </c>
      <c r="L677" s="3" t="str">
        <f>IF(ISNUMBER(SEARCH(",Adventure,",","&amp;SUBSTITUTE(TableMain[[#This Row],[Tags]],", ",",")&amp;",")),"Y","N")</f>
        <v>Y</v>
      </c>
      <c r="M677" s="3" t="str">
        <f>IF(ISNUMBER(SEARCH(",Simulation,",","&amp;SUBSTITUTE(TableMain[[#This Row],[Tags]],", ",",")&amp;",")),"Y","N")</f>
        <v>Y</v>
      </c>
      <c r="N677" s="3" t="str">
        <f>IF(ISNUMBER(SEARCH(",RPG,",","&amp;SUBSTITUTE(TableMain[[#This Row],[Tags]],", ",",")&amp;",")),"Y","N")</f>
        <v>Y</v>
      </c>
      <c r="O677" s="3" t="str">
        <f>IF(ISNUMBER(SEARCH(",Strategy,",","&amp;SUBSTITUTE(TableMain[[#This Row],[Tags]],", ",",")&amp;",")),"Y","N")</f>
        <v>Y</v>
      </c>
      <c r="P677" s="3" t="str">
        <f>IF(ISNUMBER(SEARCH(",Free To Play,",","&amp;SUBSTITUTE(TableMain[[#This Row],[Tags]],", ",",")&amp;",")),"Y","N")</f>
        <v>N</v>
      </c>
    </row>
    <row r="678" spans="1:16" x14ac:dyDescent="0.35">
      <c r="A678">
        <v>280680</v>
      </c>
      <c r="B678" t="s">
        <v>1545</v>
      </c>
      <c r="C678" s="1">
        <v>41800</v>
      </c>
      <c r="D678">
        <v>598</v>
      </c>
      <c r="E678" t="b">
        <v>1</v>
      </c>
      <c r="F678" t="s">
        <v>537</v>
      </c>
      <c r="G678" t="s">
        <v>1546</v>
      </c>
      <c r="H678">
        <v>679</v>
      </c>
      <c r="I678" t="s">
        <v>967</v>
      </c>
      <c r="J678" s="3" t="str">
        <f>IF(ISNUMBER(SEARCH(",Action,",","&amp;SUBSTITUTE(TableMain[[#This Row],[Tags]],", ",",")&amp;",")),"Y","N")</f>
        <v>N</v>
      </c>
      <c r="K678" s="3" t="str">
        <f>IF(ISNUMBER(SEARCH(",Indie,",","&amp;SUBSTITUTE(TableMain[[#This Row],[Tags]],", ",",")&amp;",")),"Y","N")</f>
        <v>Y</v>
      </c>
      <c r="L678" s="3" t="str">
        <f>IF(ISNUMBER(SEARCH(",Adventure,",","&amp;SUBSTITUTE(TableMain[[#This Row],[Tags]],", ",",")&amp;",")),"Y","N")</f>
        <v>N</v>
      </c>
      <c r="M678" s="3" t="str">
        <f>IF(ISNUMBER(SEARCH(",Simulation,",","&amp;SUBSTITUTE(TableMain[[#This Row],[Tags]],", ",",")&amp;",")),"Y","N")</f>
        <v>N</v>
      </c>
      <c r="N678" s="3" t="str">
        <f>IF(ISNUMBER(SEARCH(",RPG,",","&amp;SUBSTITUTE(TableMain[[#This Row],[Tags]],", ",",")&amp;",")),"Y","N")</f>
        <v>N</v>
      </c>
      <c r="O678" s="3" t="str">
        <f>IF(ISNUMBER(SEARCH(",Strategy,",","&amp;SUBSTITUTE(TableMain[[#This Row],[Tags]],", ",",")&amp;",")),"Y","N")</f>
        <v>N</v>
      </c>
      <c r="P678" s="3" t="str">
        <f>IF(ISNUMBER(SEARCH(",Free To Play,",","&amp;SUBSTITUTE(TableMain[[#This Row],[Tags]],", ",",")&amp;",")),"Y","N")</f>
        <v>N</v>
      </c>
    </row>
    <row r="679" spans="1:16" x14ac:dyDescent="0.35">
      <c r="A679">
        <v>1651560</v>
      </c>
      <c r="B679" t="s">
        <v>1547</v>
      </c>
      <c r="C679" s="1">
        <v>45425</v>
      </c>
      <c r="D679">
        <v>598</v>
      </c>
      <c r="E679" t="b">
        <v>0</v>
      </c>
      <c r="F679" t="s">
        <v>1091</v>
      </c>
      <c r="G679" t="s">
        <v>688</v>
      </c>
      <c r="H679">
        <v>679</v>
      </c>
      <c r="I679" t="s">
        <v>25</v>
      </c>
      <c r="J679" s="3" t="str">
        <f>IF(ISNUMBER(SEARCH(",Action,",","&amp;SUBSTITUTE(TableMain[[#This Row],[Tags]],", ",",")&amp;",")),"Y","N")</f>
        <v>N</v>
      </c>
      <c r="K679" s="3" t="str">
        <f>IF(ISNUMBER(SEARCH(",Indie,",","&amp;SUBSTITUTE(TableMain[[#This Row],[Tags]],", ",",")&amp;",")),"Y","N")</f>
        <v>N</v>
      </c>
      <c r="L679" s="3" t="str">
        <f>IF(ISNUMBER(SEARCH(",Adventure,",","&amp;SUBSTITUTE(TableMain[[#This Row],[Tags]],", ",",")&amp;",")),"Y","N")</f>
        <v>N</v>
      </c>
      <c r="M679" s="3" t="str">
        <f>IF(ISNUMBER(SEARCH(",Simulation,",","&amp;SUBSTITUTE(TableMain[[#This Row],[Tags]],", ",",")&amp;",")),"Y","N")</f>
        <v>Y</v>
      </c>
      <c r="N679" s="3" t="str">
        <f>IF(ISNUMBER(SEARCH(",RPG,",","&amp;SUBSTITUTE(TableMain[[#This Row],[Tags]],", ",",")&amp;",")),"Y","N")</f>
        <v>N</v>
      </c>
      <c r="O679" s="3" t="str">
        <f>IF(ISNUMBER(SEARCH(",Strategy,",","&amp;SUBSTITUTE(TableMain[[#This Row],[Tags]],", ",",")&amp;",")),"Y","N")</f>
        <v>Y</v>
      </c>
      <c r="P679" s="3" t="str">
        <f>IF(ISNUMBER(SEARCH(",Free To Play,",","&amp;SUBSTITUTE(TableMain[[#This Row],[Tags]],", ",",")&amp;",")),"Y","N")</f>
        <v>N</v>
      </c>
    </row>
    <row r="680" spans="1:16" x14ac:dyDescent="0.35">
      <c r="A680">
        <v>2217000</v>
      </c>
      <c r="B680" t="s">
        <v>1548</v>
      </c>
      <c r="C680" s="1">
        <v>45588</v>
      </c>
      <c r="D680">
        <v>596</v>
      </c>
      <c r="E680" t="b">
        <v>0</v>
      </c>
      <c r="F680" t="s">
        <v>1549</v>
      </c>
      <c r="G680" t="s">
        <v>116</v>
      </c>
      <c r="H680">
        <v>681</v>
      </c>
      <c r="I680" t="s">
        <v>53</v>
      </c>
      <c r="J680" s="3" t="str">
        <f>IF(ISNUMBER(SEARCH(",Action,",","&amp;SUBSTITUTE(TableMain[[#This Row],[Tags]],", ",",")&amp;",")),"Y","N")</f>
        <v>Y</v>
      </c>
      <c r="K680" s="3" t="str">
        <f>IF(ISNUMBER(SEARCH(",Indie,",","&amp;SUBSTITUTE(TableMain[[#This Row],[Tags]],", ",",")&amp;",")),"Y","N")</f>
        <v>Y</v>
      </c>
      <c r="L680" s="3" t="str">
        <f>IF(ISNUMBER(SEARCH(",Adventure,",","&amp;SUBSTITUTE(TableMain[[#This Row],[Tags]],", ",",")&amp;",")),"Y","N")</f>
        <v>N</v>
      </c>
      <c r="M680" s="3" t="str">
        <f>IF(ISNUMBER(SEARCH(",Simulation,",","&amp;SUBSTITUTE(TableMain[[#This Row],[Tags]],", ",",")&amp;",")),"Y","N")</f>
        <v>N</v>
      </c>
      <c r="N680" s="3" t="str">
        <f>IF(ISNUMBER(SEARCH(",RPG,",","&amp;SUBSTITUTE(TableMain[[#This Row],[Tags]],", ",",")&amp;",")),"Y","N")</f>
        <v>N</v>
      </c>
      <c r="O680" s="3" t="str">
        <f>IF(ISNUMBER(SEARCH(",Strategy,",","&amp;SUBSTITUTE(TableMain[[#This Row],[Tags]],", ",",")&amp;",")),"Y","N")</f>
        <v>N</v>
      </c>
      <c r="P680" s="3" t="str">
        <f>IF(ISNUMBER(SEARCH(",Free To Play,",","&amp;SUBSTITUTE(TableMain[[#This Row],[Tags]],", ",",")&amp;",")),"Y","N")</f>
        <v>N</v>
      </c>
    </row>
    <row r="681" spans="1:16" x14ac:dyDescent="0.35">
      <c r="A681">
        <v>1040200</v>
      </c>
      <c r="B681" t="s">
        <v>1550</v>
      </c>
      <c r="C681" s="1">
        <v>45518</v>
      </c>
      <c r="D681">
        <v>596</v>
      </c>
      <c r="E681" t="b">
        <v>0</v>
      </c>
      <c r="F681" t="s">
        <v>416</v>
      </c>
      <c r="G681" t="s">
        <v>1482</v>
      </c>
      <c r="H681">
        <v>681</v>
      </c>
      <c r="I681" t="s">
        <v>276</v>
      </c>
      <c r="J681" s="3" t="str">
        <f>IF(ISNUMBER(SEARCH(",Action,",","&amp;SUBSTITUTE(TableMain[[#This Row],[Tags]],", ",",")&amp;",")),"Y","N")</f>
        <v>Y</v>
      </c>
      <c r="K681" s="3" t="str">
        <f>IF(ISNUMBER(SEARCH(",Indie,",","&amp;SUBSTITUTE(TableMain[[#This Row],[Tags]],", ",",")&amp;",")),"Y","N")</f>
        <v>N</v>
      </c>
      <c r="L681" s="3" t="str">
        <f>IF(ISNUMBER(SEARCH(",Adventure,",","&amp;SUBSTITUTE(TableMain[[#This Row],[Tags]],", ",",")&amp;",")),"Y","N")</f>
        <v>N</v>
      </c>
      <c r="M681" s="3" t="str">
        <f>IF(ISNUMBER(SEARCH(",Simulation,",","&amp;SUBSTITUTE(TableMain[[#This Row],[Tags]],", ",",")&amp;",")),"Y","N")</f>
        <v>Y</v>
      </c>
      <c r="N681" s="3" t="str">
        <f>IF(ISNUMBER(SEARCH(",RPG,",","&amp;SUBSTITUTE(TableMain[[#This Row],[Tags]],", ",",")&amp;",")),"Y","N")</f>
        <v>N</v>
      </c>
      <c r="O681" s="3" t="str">
        <f>IF(ISNUMBER(SEARCH(",Strategy,",","&amp;SUBSTITUTE(TableMain[[#This Row],[Tags]],", ",",")&amp;",")),"Y","N")</f>
        <v>N</v>
      </c>
      <c r="P681" s="3" t="str">
        <f>IF(ISNUMBER(SEARCH(",Free To Play,",","&amp;SUBSTITUTE(TableMain[[#This Row],[Tags]],", ",",")&amp;",")),"Y","N")</f>
        <v>N</v>
      </c>
    </row>
    <row r="682" spans="1:16" x14ac:dyDescent="0.35">
      <c r="A682">
        <v>1102190</v>
      </c>
      <c r="B682" t="s">
        <v>1551</v>
      </c>
      <c r="C682" s="1">
        <v>43972</v>
      </c>
      <c r="D682">
        <v>595</v>
      </c>
      <c r="E682" t="b">
        <v>0</v>
      </c>
      <c r="F682" t="s">
        <v>1552</v>
      </c>
      <c r="G682" t="s">
        <v>124</v>
      </c>
      <c r="H682">
        <v>683</v>
      </c>
      <c r="I682" t="s">
        <v>304</v>
      </c>
      <c r="J682" s="3" t="str">
        <f>IF(ISNUMBER(SEARCH(",Action,",","&amp;SUBSTITUTE(TableMain[[#This Row],[Tags]],", ",",")&amp;",")),"Y","N")</f>
        <v>N</v>
      </c>
      <c r="K682" s="3" t="str">
        <f>IF(ISNUMBER(SEARCH(",Indie,",","&amp;SUBSTITUTE(TableMain[[#This Row],[Tags]],", ",",")&amp;",")),"Y","N")</f>
        <v>N</v>
      </c>
      <c r="L682" s="3" t="str">
        <f>IF(ISNUMBER(SEARCH(",Adventure,",","&amp;SUBSTITUTE(TableMain[[#This Row],[Tags]],", ",",")&amp;",")),"Y","N")</f>
        <v>N</v>
      </c>
      <c r="M682" s="3" t="str">
        <f>IF(ISNUMBER(SEARCH(",Simulation,",","&amp;SUBSTITUTE(TableMain[[#This Row],[Tags]],", ",",")&amp;",")),"Y","N")</f>
        <v>N</v>
      </c>
      <c r="N682" s="3" t="str">
        <f>IF(ISNUMBER(SEARCH(",RPG,",","&amp;SUBSTITUTE(TableMain[[#This Row],[Tags]],", ",",")&amp;",")),"Y","N")</f>
        <v>N</v>
      </c>
      <c r="O682" s="3" t="str">
        <f>IF(ISNUMBER(SEARCH(",Strategy,",","&amp;SUBSTITUTE(TableMain[[#This Row],[Tags]],", ",",")&amp;",")),"Y","N")</f>
        <v>Y</v>
      </c>
      <c r="P682" s="3" t="str">
        <f>IF(ISNUMBER(SEARCH(",Free To Play,",","&amp;SUBSTITUTE(TableMain[[#This Row],[Tags]],", ",",")&amp;",")),"Y","N")</f>
        <v>N</v>
      </c>
    </row>
    <row r="683" spans="1:16" x14ac:dyDescent="0.35">
      <c r="A683">
        <v>610080</v>
      </c>
      <c r="B683" t="s">
        <v>1553</v>
      </c>
      <c r="C683" s="1">
        <v>42901</v>
      </c>
      <c r="D683">
        <v>595</v>
      </c>
      <c r="E683" t="b">
        <v>1</v>
      </c>
      <c r="F683" t="s">
        <v>1554</v>
      </c>
      <c r="G683" t="s">
        <v>1555</v>
      </c>
      <c r="H683">
        <v>683</v>
      </c>
      <c r="I683" t="s">
        <v>110</v>
      </c>
      <c r="J683" s="3" t="str">
        <f>IF(ISNUMBER(SEARCH(",Action,",","&amp;SUBSTITUTE(TableMain[[#This Row],[Tags]],", ",",")&amp;",")),"Y","N")</f>
        <v>N</v>
      </c>
      <c r="K683" s="3" t="str">
        <f>IF(ISNUMBER(SEARCH(",Indie,",","&amp;SUBSTITUTE(TableMain[[#This Row],[Tags]],", ",",")&amp;",")),"Y","N")</f>
        <v>N</v>
      </c>
      <c r="L683" s="3" t="str">
        <f>IF(ISNUMBER(SEARCH(",Adventure,",","&amp;SUBSTITUTE(TableMain[[#This Row],[Tags]],", ",",")&amp;",")),"Y","N")</f>
        <v>N</v>
      </c>
      <c r="M683" s="3" t="str">
        <f>IF(ISNUMBER(SEARCH(",Simulation,",","&amp;SUBSTITUTE(TableMain[[#This Row],[Tags]],", ",",")&amp;",")),"Y","N")</f>
        <v>N</v>
      </c>
      <c r="N683" s="3" t="str">
        <f>IF(ISNUMBER(SEARCH(",RPG,",","&amp;SUBSTITUTE(TableMain[[#This Row],[Tags]],", ",",")&amp;",")),"Y","N")</f>
        <v>Y</v>
      </c>
      <c r="O683" s="3" t="str">
        <f>IF(ISNUMBER(SEARCH(",Strategy,",","&amp;SUBSTITUTE(TableMain[[#This Row],[Tags]],", ",",")&amp;",")),"Y","N")</f>
        <v>Y</v>
      </c>
      <c r="P683" s="3" t="str">
        <f>IF(ISNUMBER(SEARCH(",Free To Play,",","&amp;SUBSTITUTE(TableMain[[#This Row],[Tags]],", ",",")&amp;",")),"Y","N")</f>
        <v>Y</v>
      </c>
    </row>
    <row r="684" spans="1:16" x14ac:dyDescent="0.35">
      <c r="A684">
        <v>2393160</v>
      </c>
      <c r="B684" t="s">
        <v>1556</v>
      </c>
      <c r="C684" s="1">
        <v>45806</v>
      </c>
      <c r="D684">
        <v>594</v>
      </c>
      <c r="E684" t="b">
        <v>0</v>
      </c>
      <c r="F684" t="s">
        <v>416</v>
      </c>
      <c r="G684" t="s">
        <v>896</v>
      </c>
      <c r="H684">
        <v>685</v>
      </c>
      <c r="I684" t="s">
        <v>304</v>
      </c>
      <c r="J684" s="3" t="str">
        <f>IF(ISNUMBER(SEARCH(",Action,",","&amp;SUBSTITUTE(TableMain[[#This Row],[Tags]],", ",",")&amp;",")),"Y","N")</f>
        <v>N</v>
      </c>
      <c r="K684" s="3" t="str">
        <f>IF(ISNUMBER(SEARCH(",Indie,",","&amp;SUBSTITUTE(TableMain[[#This Row],[Tags]],", ",",")&amp;",")),"Y","N")</f>
        <v>N</v>
      </c>
      <c r="L684" s="3" t="str">
        <f>IF(ISNUMBER(SEARCH(",Adventure,",","&amp;SUBSTITUTE(TableMain[[#This Row],[Tags]],", ",",")&amp;",")),"Y","N")</f>
        <v>Y</v>
      </c>
      <c r="M684" s="3" t="str">
        <f>IF(ISNUMBER(SEARCH(",Simulation,",","&amp;SUBSTITUTE(TableMain[[#This Row],[Tags]],", ",",")&amp;",")),"Y","N")</f>
        <v>N</v>
      </c>
      <c r="N684" s="3" t="str">
        <f>IF(ISNUMBER(SEARCH(",RPG,",","&amp;SUBSTITUTE(TableMain[[#This Row],[Tags]],", ",",")&amp;",")),"Y","N")</f>
        <v>Y</v>
      </c>
      <c r="O684" s="3" t="str">
        <f>IF(ISNUMBER(SEARCH(",Strategy,",","&amp;SUBSTITUTE(TableMain[[#This Row],[Tags]],", ",",")&amp;",")),"Y","N")</f>
        <v>N</v>
      </c>
      <c r="P684" s="3" t="str">
        <f>IF(ISNUMBER(SEARCH(",Free To Play,",","&amp;SUBSTITUTE(TableMain[[#This Row],[Tags]],", ",",")&amp;",")),"Y","N")</f>
        <v>N</v>
      </c>
    </row>
    <row r="685" spans="1:16" x14ac:dyDescent="0.35">
      <c r="A685">
        <v>666140</v>
      </c>
      <c r="B685" t="s">
        <v>1557</v>
      </c>
      <c r="C685" s="1">
        <v>43480</v>
      </c>
      <c r="D685">
        <v>593</v>
      </c>
      <c r="E685" t="b">
        <v>1</v>
      </c>
      <c r="F685" t="s">
        <v>445</v>
      </c>
      <c r="G685" t="s">
        <v>695</v>
      </c>
      <c r="H685">
        <v>686</v>
      </c>
      <c r="I685" t="s">
        <v>133</v>
      </c>
      <c r="J685" s="3" t="str">
        <f>IF(ISNUMBER(SEARCH(",Action,",","&amp;SUBSTITUTE(TableMain[[#This Row],[Tags]],", ",",")&amp;",")),"Y","N")</f>
        <v>N</v>
      </c>
      <c r="K685" s="3" t="str">
        <f>IF(ISNUMBER(SEARCH(",Indie,",","&amp;SUBSTITUTE(TableMain[[#This Row],[Tags]],", ",",")&amp;",")),"Y","N")</f>
        <v>Y</v>
      </c>
      <c r="L685" s="3" t="str">
        <f>IF(ISNUMBER(SEARCH(",Adventure,",","&amp;SUBSTITUTE(TableMain[[#This Row],[Tags]],", ",",")&amp;",")),"Y","N")</f>
        <v>Y</v>
      </c>
      <c r="M685" s="3" t="str">
        <f>IF(ISNUMBER(SEARCH(",Simulation,",","&amp;SUBSTITUTE(TableMain[[#This Row],[Tags]],", ",",")&amp;",")),"Y","N")</f>
        <v>Y</v>
      </c>
      <c r="N685" s="3" t="str">
        <f>IF(ISNUMBER(SEARCH(",RPG,",","&amp;SUBSTITUTE(TableMain[[#This Row],[Tags]],", ",",")&amp;",")),"Y","N")</f>
        <v>Y</v>
      </c>
      <c r="O685" s="3" t="str">
        <f>IF(ISNUMBER(SEARCH(",Strategy,",","&amp;SUBSTITUTE(TableMain[[#This Row],[Tags]],", ",",")&amp;",")),"Y","N")</f>
        <v>N</v>
      </c>
      <c r="P685" s="3" t="str">
        <f>IF(ISNUMBER(SEARCH(",Free To Play,",","&amp;SUBSTITUTE(TableMain[[#This Row],[Tags]],", ",",")&amp;",")),"Y","N")</f>
        <v>N</v>
      </c>
    </row>
    <row r="686" spans="1:16" x14ac:dyDescent="0.35">
      <c r="A686">
        <v>200510</v>
      </c>
      <c r="B686" t="s">
        <v>1558</v>
      </c>
      <c r="C686" s="1">
        <v>41190</v>
      </c>
      <c r="D686">
        <v>590</v>
      </c>
      <c r="E686" t="b">
        <v>0</v>
      </c>
      <c r="F686" t="s">
        <v>1559</v>
      </c>
      <c r="G686" t="s">
        <v>124</v>
      </c>
      <c r="H686">
        <v>687</v>
      </c>
      <c r="I686" t="s">
        <v>2084</v>
      </c>
      <c r="J686" s="3" t="str">
        <f>IF(ISNUMBER(SEARCH(",Action,",","&amp;SUBSTITUTE(TableMain[[#This Row],[Tags]],", ",",")&amp;",")),"Y","N")</f>
        <v>N</v>
      </c>
      <c r="K686" s="3" t="str">
        <f>IF(ISNUMBER(SEARCH(",Indie,",","&amp;SUBSTITUTE(TableMain[[#This Row],[Tags]],", ",",")&amp;",")),"Y","N")</f>
        <v>N</v>
      </c>
      <c r="L686" s="3" t="str">
        <f>IF(ISNUMBER(SEARCH(",Adventure,",","&amp;SUBSTITUTE(TableMain[[#This Row],[Tags]],", ",",")&amp;",")),"Y","N")</f>
        <v>N</v>
      </c>
      <c r="M686" s="3" t="str">
        <f>IF(ISNUMBER(SEARCH(",Simulation,",","&amp;SUBSTITUTE(TableMain[[#This Row],[Tags]],", ",",")&amp;",")),"Y","N")</f>
        <v>N</v>
      </c>
      <c r="N686" s="3" t="str">
        <f>IF(ISNUMBER(SEARCH(",RPG,",","&amp;SUBSTITUTE(TableMain[[#This Row],[Tags]],", ",",")&amp;",")),"Y","N")</f>
        <v>N</v>
      </c>
      <c r="O686" s="3" t="str">
        <f>IF(ISNUMBER(SEARCH(",Strategy,",","&amp;SUBSTITUTE(TableMain[[#This Row],[Tags]],", ",",")&amp;",")),"Y","N")</f>
        <v>Y</v>
      </c>
      <c r="P686" s="3" t="str">
        <f>IF(ISNUMBER(SEARCH(",Free To Play,",","&amp;SUBSTITUTE(TableMain[[#This Row],[Tags]],", ",",")&amp;",")),"Y","N")</f>
        <v>N</v>
      </c>
    </row>
    <row r="687" spans="1:16" x14ac:dyDescent="0.35">
      <c r="A687">
        <v>640820</v>
      </c>
      <c r="B687" t="s">
        <v>1560</v>
      </c>
      <c r="C687" s="1">
        <v>43368</v>
      </c>
      <c r="D687">
        <v>590</v>
      </c>
      <c r="E687" t="b">
        <v>1</v>
      </c>
      <c r="F687" t="s">
        <v>1224</v>
      </c>
      <c r="G687" t="s">
        <v>896</v>
      </c>
      <c r="H687">
        <v>687</v>
      </c>
      <c r="I687" t="s">
        <v>110</v>
      </c>
      <c r="J687" s="3" t="str">
        <f>IF(ISNUMBER(SEARCH(",Action,",","&amp;SUBSTITUTE(TableMain[[#This Row],[Tags]],", ",",")&amp;",")),"Y","N")</f>
        <v>N</v>
      </c>
      <c r="K687" s="3" t="str">
        <f>IF(ISNUMBER(SEARCH(",Indie,",","&amp;SUBSTITUTE(TableMain[[#This Row],[Tags]],", ",",")&amp;",")),"Y","N")</f>
        <v>N</v>
      </c>
      <c r="L687" s="3" t="str">
        <f>IF(ISNUMBER(SEARCH(",Adventure,",","&amp;SUBSTITUTE(TableMain[[#This Row],[Tags]],", ",",")&amp;",")),"Y","N")</f>
        <v>Y</v>
      </c>
      <c r="M687" s="3" t="str">
        <f>IF(ISNUMBER(SEARCH(",Simulation,",","&amp;SUBSTITUTE(TableMain[[#This Row],[Tags]],", ",",")&amp;",")),"Y","N")</f>
        <v>N</v>
      </c>
      <c r="N687" s="3" t="str">
        <f>IF(ISNUMBER(SEARCH(",RPG,",","&amp;SUBSTITUTE(TableMain[[#This Row],[Tags]],", ",",")&amp;",")),"Y","N")</f>
        <v>Y</v>
      </c>
      <c r="O687" s="3" t="str">
        <f>IF(ISNUMBER(SEARCH(",Strategy,",","&amp;SUBSTITUTE(TableMain[[#This Row],[Tags]],", ",",")&amp;",")),"Y","N")</f>
        <v>N</v>
      </c>
      <c r="P687" s="3" t="str">
        <f>IF(ISNUMBER(SEARCH(",Free To Play,",","&amp;SUBSTITUTE(TableMain[[#This Row],[Tags]],", ",",")&amp;",")),"Y","N")</f>
        <v>N</v>
      </c>
    </row>
    <row r="688" spans="1:16" x14ac:dyDescent="0.35">
      <c r="A688">
        <v>1721470</v>
      </c>
      <c r="B688" t="s">
        <v>1561</v>
      </c>
      <c r="C688" s="1">
        <v>44481</v>
      </c>
      <c r="D688">
        <v>588</v>
      </c>
      <c r="E688" t="b">
        <v>0</v>
      </c>
      <c r="F688" t="s">
        <v>537</v>
      </c>
      <c r="G688" t="s">
        <v>446</v>
      </c>
      <c r="H688">
        <v>689</v>
      </c>
      <c r="I688" t="s">
        <v>18</v>
      </c>
      <c r="J688" s="3" t="str">
        <f>IF(ISNUMBER(SEARCH(",Action,",","&amp;SUBSTITUTE(TableMain[[#This Row],[Tags]],", ",",")&amp;",")),"Y","N")</f>
        <v>Y</v>
      </c>
      <c r="K688" s="3" t="str">
        <f>IF(ISNUMBER(SEARCH(",Indie,",","&amp;SUBSTITUTE(TableMain[[#This Row],[Tags]],", ",",")&amp;",")),"Y","N")</f>
        <v>Y</v>
      </c>
      <c r="L688" s="3" t="str">
        <f>IF(ISNUMBER(SEARCH(",Adventure,",","&amp;SUBSTITUTE(TableMain[[#This Row],[Tags]],", ",",")&amp;",")),"Y","N")</f>
        <v>Y</v>
      </c>
      <c r="M688" s="3" t="str">
        <f>IF(ISNUMBER(SEARCH(",Simulation,",","&amp;SUBSTITUTE(TableMain[[#This Row],[Tags]],", ",",")&amp;",")),"Y","N")</f>
        <v>N</v>
      </c>
      <c r="N688" s="3" t="str">
        <f>IF(ISNUMBER(SEARCH(",RPG,",","&amp;SUBSTITUTE(TableMain[[#This Row],[Tags]],", ",",")&amp;",")),"Y","N")</f>
        <v>N</v>
      </c>
      <c r="O688" s="3" t="str">
        <f>IF(ISNUMBER(SEARCH(",Strategy,",","&amp;SUBSTITUTE(TableMain[[#This Row],[Tags]],", ",",")&amp;",")),"Y","N")</f>
        <v>N</v>
      </c>
      <c r="P688" s="3" t="str">
        <f>IF(ISNUMBER(SEARCH(",Free To Play,",","&amp;SUBSTITUTE(TableMain[[#This Row],[Tags]],", ",",")&amp;",")),"Y","N")</f>
        <v>N</v>
      </c>
    </row>
    <row r="689" spans="1:16" x14ac:dyDescent="0.35">
      <c r="A689">
        <v>252530</v>
      </c>
      <c r="B689" t="s">
        <v>1562</v>
      </c>
      <c r="C689" s="1">
        <v>41619</v>
      </c>
      <c r="D689">
        <v>587</v>
      </c>
      <c r="E689" t="b">
        <v>0</v>
      </c>
      <c r="F689" t="s">
        <v>1563</v>
      </c>
      <c r="G689" t="s">
        <v>604</v>
      </c>
      <c r="H689">
        <v>690</v>
      </c>
      <c r="I689" t="s">
        <v>2084</v>
      </c>
      <c r="J689" s="3" t="str">
        <f>IF(ISNUMBER(SEARCH(",Action,",","&amp;SUBSTITUTE(TableMain[[#This Row],[Tags]],", ",",")&amp;",")),"Y","N")</f>
        <v>N</v>
      </c>
      <c r="K689" s="3" t="str">
        <f>IF(ISNUMBER(SEARCH(",Indie,",","&amp;SUBSTITUTE(TableMain[[#This Row],[Tags]],", ",",")&amp;",")),"Y","N")</f>
        <v>N</v>
      </c>
      <c r="L689" s="3" t="str">
        <f>IF(ISNUMBER(SEARCH(",Adventure,",","&amp;SUBSTITUTE(TableMain[[#This Row],[Tags]],", ",",")&amp;",")),"Y","N")</f>
        <v>N</v>
      </c>
      <c r="M689" s="3" t="str">
        <f>IF(ISNUMBER(SEARCH(",Simulation,",","&amp;SUBSTITUTE(TableMain[[#This Row],[Tags]],", ",",")&amp;",")),"Y","N")</f>
        <v>Y</v>
      </c>
      <c r="N689" s="3" t="str">
        <f>IF(ISNUMBER(SEARCH(",RPG,",","&amp;SUBSTITUTE(TableMain[[#This Row],[Tags]],", ",",")&amp;",")),"Y","N")</f>
        <v>N</v>
      </c>
      <c r="O689" s="3" t="str">
        <f>IF(ISNUMBER(SEARCH(",Strategy,",","&amp;SUBSTITUTE(TableMain[[#This Row],[Tags]],", ",",")&amp;",")),"Y","N")</f>
        <v>N</v>
      </c>
      <c r="P689" s="3" t="str">
        <f>IF(ISNUMBER(SEARCH(",Free To Play,",","&amp;SUBSTITUTE(TableMain[[#This Row],[Tags]],", ",",")&amp;",")),"Y","N")</f>
        <v>N</v>
      </c>
    </row>
    <row r="690" spans="1:16" x14ac:dyDescent="0.35">
      <c r="A690">
        <v>2988300</v>
      </c>
      <c r="B690" t="s">
        <v>1564</v>
      </c>
      <c r="C690" s="1">
        <v>45798</v>
      </c>
      <c r="D690">
        <v>583</v>
      </c>
      <c r="E690" t="b">
        <v>0</v>
      </c>
      <c r="F690" t="s">
        <v>1565</v>
      </c>
      <c r="G690" t="s">
        <v>164</v>
      </c>
      <c r="H690">
        <v>691</v>
      </c>
      <c r="I690" t="s">
        <v>53</v>
      </c>
      <c r="J690" s="3" t="str">
        <f>IF(ISNUMBER(SEARCH(",Action,",","&amp;SUBSTITUTE(TableMain[[#This Row],[Tags]],", ",",")&amp;",")),"Y","N")</f>
        <v>N</v>
      </c>
      <c r="K690" s="3" t="str">
        <f>IF(ISNUMBER(SEARCH(",Indie,",","&amp;SUBSTITUTE(TableMain[[#This Row],[Tags]],", ",",")&amp;",")),"Y","N")</f>
        <v>Y</v>
      </c>
      <c r="L690" s="3" t="str">
        <f>IF(ISNUMBER(SEARCH(",Adventure,",","&amp;SUBSTITUTE(TableMain[[#This Row],[Tags]],", ",",")&amp;",")),"Y","N")</f>
        <v>N</v>
      </c>
      <c r="M690" s="3" t="str">
        <f>IF(ISNUMBER(SEARCH(",Simulation,",","&amp;SUBSTITUTE(TableMain[[#This Row],[Tags]],", ",",")&amp;",")),"Y","N")</f>
        <v>Y</v>
      </c>
      <c r="N690" s="3" t="str">
        <f>IF(ISNUMBER(SEARCH(",RPG,",","&amp;SUBSTITUTE(TableMain[[#This Row],[Tags]],", ",",")&amp;",")),"Y","N")</f>
        <v>N</v>
      </c>
      <c r="O690" s="3" t="str">
        <f>IF(ISNUMBER(SEARCH(",Strategy,",","&amp;SUBSTITUTE(TableMain[[#This Row],[Tags]],", ",",")&amp;",")),"Y","N")</f>
        <v>N</v>
      </c>
      <c r="P690" s="3" t="str">
        <f>IF(ISNUMBER(SEARCH(",Free To Play,",","&amp;SUBSTITUTE(TableMain[[#This Row],[Tags]],", ",",")&amp;",")),"Y","N")</f>
        <v>N</v>
      </c>
    </row>
    <row r="691" spans="1:16" x14ac:dyDescent="0.35">
      <c r="A691">
        <v>750920</v>
      </c>
      <c r="B691" t="s">
        <v>1566</v>
      </c>
      <c r="C691" s="1">
        <v>43357</v>
      </c>
      <c r="D691">
        <v>582</v>
      </c>
      <c r="E691" t="b">
        <v>1</v>
      </c>
      <c r="F691" t="s">
        <v>445</v>
      </c>
      <c r="G691" t="s">
        <v>46</v>
      </c>
      <c r="H691">
        <v>692</v>
      </c>
      <c r="I691" t="s">
        <v>53</v>
      </c>
      <c r="J691" s="3" t="str">
        <f>IF(ISNUMBER(SEARCH(",Action,",","&amp;SUBSTITUTE(TableMain[[#This Row],[Tags]],", ",",")&amp;",")),"Y","N")</f>
        <v>Y</v>
      </c>
      <c r="K691" s="3" t="str">
        <f>IF(ISNUMBER(SEARCH(",Indie,",","&amp;SUBSTITUTE(TableMain[[#This Row],[Tags]],", ",",")&amp;",")),"Y","N")</f>
        <v>N</v>
      </c>
      <c r="L691" s="3" t="str">
        <f>IF(ISNUMBER(SEARCH(",Adventure,",","&amp;SUBSTITUTE(TableMain[[#This Row],[Tags]],", ",",")&amp;",")),"Y","N")</f>
        <v>Y</v>
      </c>
      <c r="M691" s="3" t="str">
        <f>IF(ISNUMBER(SEARCH(",Simulation,",","&amp;SUBSTITUTE(TableMain[[#This Row],[Tags]],", ",",")&amp;",")),"Y","N")</f>
        <v>N</v>
      </c>
      <c r="N691" s="3" t="str">
        <f>IF(ISNUMBER(SEARCH(",RPG,",","&amp;SUBSTITUTE(TableMain[[#This Row],[Tags]],", ",",")&amp;",")),"Y","N")</f>
        <v>N</v>
      </c>
      <c r="O691" s="3" t="str">
        <f>IF(ISNUMBER(SEARCH(",Strategy,",","&amp;SUBSTITUTE(TableMain[[#This Row],[Tags]],", ",",")&amp;",")),"Y","N")</f>
        <v>N</v>
      </c>
      <c r="P691" s="3" t="str">
        <f>IF(ISNUMBER(SEARCH(",Free To Play,",","&amp;SUBSTITUTE(TableMain[[#This Row],[Tags]],", ",",")&amp;",")),"Y","N")</f>
        <v>N</v>
      </c>
    </row>
    <row r="692" spans="1:16" x14ac:dyDescent="0.35">
      <c r="A692">
        <v>718670</v>
      </c>
      <c r="B692" t="s">
        <v>1567</v>
      </c>
      <c r="C692" s="1">
        <v>43251</v>
      </c>
      <c r="D692">
        <v>582</v>
      </c>
      <c r="E692" t="b">
        <v>1</v>
      </c>
      <c r="F692" t="s">
        <v>1568</v>
      </c>
      <c r="G692" t="s">
        <v>64</v>
      </c>
      <c r="H692">
        <v>692</v>
      </c>
      <c r="I692" t="s">
        <v>14</v>
      </c>
      <c r="J692" s="3" t="str">
        <f>IF(ISNUMBER(SEARCH(",Action,",","&amp;SUBSTITUTE(TableMain[[#This Row],[Tags]],", ",",")&amp;",")),"Y","N")</f>
        <v>N</v>
      </c>
      <c r="K692" s="3" t="str">
        <f>IF(ISNUMBER(SEARCH(",Indie,",","&amp;SUBSTITUTE(TableMain[[#This Row],[Tags]],", ",",")&amp;",")),"Y","N")</f>
        <v>Y</v>
      </c>
      <c r="L692" s="3" t="str">
        <f>IF(ISNUMBER(SEARCH(",Adventure,",","&amp;SUBSTITUTE(TableMain[[#This Row],[Tags]],", ",",")&amp;",")),"Y","N")</f>
        <v>N</v>
      </c>
      <c r="M692" s="3" t="str">
        <f>IF(ISNUMBER(SEARCH(",Simulation,",","&amp;SUBSTITUTE(TableMain[[#This Row],[Tags]],", ",",")&amp;",")),"Y","N")</f>
        <v>Y</v>
      </c>
      <c r="N692" s="3" t="str">
        <f>IF(ISNUMBER(SEARCH(",RPG,",","&amp;SUBSTITUTE(TableMain[[#This Row],[Tags]],", ",",")&amp;",")),"Y","N")</f>
        <v>Y</v>
      </c>
      <c r="O692" s="3" t="str">
        <f>IF(ISNUMBER(SEARCH(",Strategy,",","&amp;SUBSTITUTE(TableMain[[#This Row],[Tags]],", ",",")&amp;",")),"Y","N")</f>
        <v>N</v>
      </c>
      <c r="P692" s="3" t="str">
        <f>IF(ISNUMBER(SEARCH(",Free To Play,",","&amp;SUBSTITUTE(TableMain[[#This Row],[Tags]],", ",",")&amp;",")),"Y","N")</f>
        <v>N</v>
      </c>
    </row>
    <row r="693" spans="1:16" x14ac:dyDescent="0.35">
      <c r="A693">
        <v>872790</v>
      </c>
      <c r="B693" t="s">
        <v>1569</v>
      </c>
      <c r="C693" s="1">
        <v>43406</v>
      </c>
      <c r="D693">
        <v>581</v>
      </c>
      <c r="E693" t="b">
        <v>1</v>
      </c>
      <c r="F693" t="s">
        <v>1570</v>
      </c>
      <c r="G693" t="s">
        <v>78</v>
      </c>
      <c r="H693">
        <v>694</v>
      </c>
      <c r="I693" t="s">
        <v>110</v>
      </c>
      <c r="J693" s="3" t="str">
        <f>IF(ISNUMBER(SEARCH(",Action,",","&amp;SUBSTITUTE(TableMain[[#This Row],[Tags]],", ",",")&amp;",")),"Y","N")</f>
        <v>N</v>
      </c>
      <c r="K693" s="3" t="str">
        <f>IF(ISNUMBER(SEARCH(",Indie,",","&amp;SUBSTITUTE(TableMain[[#This Row],[Tags]],", ",",")&amp;",")),"Y","N")</f>
        <v>N</v>
      </c>
      <c r="L693" s="3" t="str">
        <f>IF(ISNUMBER(SEARCH(",Adventure,",","&amp;SUBSTITUTE(TableMain[[#This Row],[Tags]],", ",",")&amp;",")),"Y","N")</f>
        <v>N</v>
      </c>
      <c r="M693" s="3" t="str">
        <f>IF(ISNUMBER(SEARCH(",Simulation,",","&amp;SUBSTITUTE(TableMain[[#This Row],[Tags]],", ",",")&amp;",")),"Y","N")</f>
        <v>Y</v>
      </c>
      <c r="N693" s="3" t="str">
        <f>IF(ISNUMBER(SEARCH(",RPG,",","&amp;SUBSTITUTE(TableMain[[#This Row],[Tags]],", ",",")&amp;",")),"Y","N")</f>
        <v>N</v>
      </c>
      <c r="O693" s="3" t="str">
        <f>IF(ISNUMBER(SEARCH(",Strategy,",","&amp;SUBSTITUTE(TableMain[[#This Row],[Tags]],", ",",")&amp;",")),"Y","N")</f>
        <v>N</v>
      </c>
      <c r="P693" s="3" t="str">
        <f>IF(ISNUMBER(SEARCH(",Free To Play,",","&amp;SUBSTITUTE(TableMain[[#This Row],[Tags]],", ",",")&amp;",")),"Y","N")</f>
        <v>N</v>
      </c>
    </row>
    <row r="694" spans="1:16" x14ac:dyDescent="0.35">
      <c r="A694">
        <v>2967990</v>
      </c>
      <c r="B694" t="s">
        <v>1571</v>
      </c>
      <c r="C694" s="1">
        <v>45552</v>
      </c>
      <c r="D694">
        <v>581</v>
      </c>
      <c r="E694" t="b">
        <v>0</v>
      </c>
      <c r="F694" t="s">
        <v>1572</v>
      </c>
      <c r="G694" t="s">
        <v>239</v>
      </c>
      <c r="H694">
        <v>694</v>
      </c>
      <c r="I694" t="s">
        <v>36</v>
      </c>
      <c r="J694" s="3" t="str">
        <f>IF(ISNUMBER(SEARCH(",Action,",","&amp;SUBSTITUTE(TableMain[[#This Row],[Tags]],", ",",")&amp;",")),"Y","N")</f>
        <v>N</v>
      </c>
      <c r="K694" s="3" t="str">
        <f>IF(ISNUMBER(SEARCH(",Indie,",","&amp;SUBSTITUTE(TableMain[[#This Row],[Tags]],", ",",")&amp;",")),"Y","N")</f>
        <v>N</v>
      </c>
      <c r="L694" s="3" t="str">
        <f>IF(ISNUMBER(SEARCH(",Adventure,",","&amp;SUBSTITUTE(TableMain[[#This Row],[Tags]],", ",",")&amp;",")),"Y","N")</f>
        <v>N</v>
      </c>
      <c r="M694" s="3" t="str">
        <f>IF(ISNUMBER(SEARCH(",Simulation,",","&amp;SUBSTITUTE(TableMain[[#This Row],[Tags]],", ",",")&amp;",")),"Y","N")</f>
        <v>Y</v>
      </c>
      <c r="N694" s="3" t="str">
        <f>IF(ISNUMBER(SEARCH(",RPG,",","&amp;SUBSTITUTE(TableMain[[#This Row],[Tags]],", ",",")&amp;",")),"Y","N")</f>
        <v>N</v>
      </c>
      <c r="O694" s="3" t="str">
        <f>IF(ISNUMBER(SEARCH(",Strategy,",","&amp;SUBSTITUTE(TableMain[[#This Row],[Tags]],", ",",")&amp;",")),"Y","N")</f>
        <v>N</v>
      </c>
      <c r="P694" s="3" t="str">
        <f>IF(ISNUMBER(SEARCH(",Free To Play,",","&amp;SUBSTITUTE(TableMain[[#This Row],[Tags]],", ",",")&amp;",")),"Y","N")</f>
        <v>N</v>
      </c>
    </row>
    <row r="695" spans="1:16" x14ac:dyDescent="0.35">
      <c r="A695">
        <v>898920</v>
      </c>
      <c r="B695" t="s">
        <v>1573</v>
      </c>
      <c r="C695" s="1">
        <v>44509</v>
      </c>
      <c r="D695">
        <v>577</v>
      </c>
      <c r="E695" t="b">
        <v>1</v>
      </c>
      <c r="F695" t="s">
        <v>1574</v>
      </c>
      <c r="G695" t="s">
        <v>124</v>
      </c>
      <c r="H695">
        <v>696</v>
      </c>
      <c r="I695" t="s">
        <v>438</v>
      </c>
      <c r="J695" s="3" t="str">
        <f>IF(ISNUMBER(SEARCH(",Action,",","&amp;SUBSTITUTE(TableMain[[#This Row],[Tags]],", ",",")&amp;",")),"Y","N")</f>
        <v>N</v>
      </c>
      <c r="K695" s="3" t="str">
        <f>IF(ISNUMBER(SEARCH(",Indie,",","&amp;SUBSTITUTE(TableMain[[#This Row],[Tags]],", ",",")&amp;",")),"Y","N")</f>
        <v>N</v>
      </c>
      <c r="L695" s="3" t="str">
        <f>IF(ISNUMBER(SEARCH(",Adventure,",","&amp;SUBSTITUTE(TableMain[[#This Row],[Tags]],", ",",")&amp;",")),"Y","N")</f>
        <v>N</v>
      </c>
      <c r="M695" s="3" t="str">
        <f>IF(ISNUMBER(SEARCH(",Simulation,",","&amp;SUBSTITUTE(TableMain[[#This Row],[Tags]],", ",",")&amp;",")),"Y","N")</f>
        <v>N</v>
      </c>
      <c r="N695" s="3" t="str">
        <f>IF(ISNUMBER(SEARCH(",RPG,",","&amp;SUBSTITUTE(TableMain[[#This Row],[Tags]],", ",",")&amp;",")),"Y","N")</f>
        <v>N</v>
      </c>
      <c r="O695" s="3" t="str">
        <f>IF(ISNUMBER(SEARCH(",Strategy,",","&amp;SUBSTITUTE(TableMain[[#This Row],[Tags]],", ",",")&amp;",")),"Y","N")</f>
        <v>Y</v>
      </c>
      <c r="P695" s="3" t="str">
        <f>IF(ISNUMBER(SEARCH(",Free To Play,",","&amp;SUBSTITUTE(TableMain[[#This Row],[Tags]],", ",",")&amp;",")),"Y","N")</f>
        <v>N</v>
      </c>
    </row>
    <row r="696" spans="1:16" x14ac:dyDescent="0.35">
      <c r="A696">
        <v>492720</v>
      </c>
      <c r="B696" t="s">
        <v>1575</v>
      </c>
      <c r="C696" s="1">
        <v>43553</v>
      </c>
      <c r="D696">
        <v>575</v>
      </c>
      <c r="E696" t="b">
        <v>1</v>
      </c>
      <c r="F696" t="s">
        <v>1576</v>
      </c>
      <c r="G696" t="s">
        <v>100</v>
      </c>
      <c r="H696">
        <v>697</v>
      </c>
      <c r="I696" t="s">
        <v>133</v>
      </c>
      <c r="J696" s="3" t="str">
        <f>IF(ISNUMBER(SEARCH(",Action,",","&amp;SUBSTITUTE(TableMain[[#This Row],[Tags]],", ",",")&amp;",")),"Y","N")</f>
        <v>N</v>
      </c>
      <c r="K696" s="3" t="str">
        <f>IF(ISNUMBER(SEARCH(",Indie,",","&amp;SUBSTITUTE(TableMain[[#This Row],[Tags]],", ",",")&amp;",")),"Y","N")</f>
        <v>N</v>
      </c>
      <c r="L696" s="3" t="str">
        <f>IF(ISNUMBER(SEARCH(",Adventure,",","&amp;SUBSTITUTE(TableMain[[#This Row],[Tags]],", ",",")&amp;",")),"Y","N")</f>
        <v>N</v>
      </c>
      <c r="M696" s="3" t="str">
        <f>IF(ISNUMBER(SEARCH(",Simulation,",","&amp;SUBSTITUTE(TableMain[[#This Row],[Tags]],", ",",")&amp;",")),"Y","N")</f>
        <v>Y</v>
      </c>
      <c r="N696" s="3" t="str">
        <f>IF(ISNUMBER(SEARCH(",RPG,",","&amp;SUBSTITUTE(TableMain[[#This Row],[Tags]],", ",",")&amp;",")),"Y","N")</f>
        <v>N</v>
      </c>
      <c r="O696" s="3" t="str">
        <f>IF(ISNUMBER(SEARCH(",Strategy,",","&amp;SUBSTITUTE(TableMain[[#This Row],[Tags]],", ",",")&amp;",")),"Y","N")</f>
        <v>Y</v>
      </c>
      <c r="P696" s="3" t="str">
        <f>IF(ISNUMBER(SEARCH(",Free To Play,",","&amp;SUBSTITUTE(TableMain[[#This Row],[Tags]],", ",",")&amp;",")),"Y","N")</f>
        <v>N</v>
      </c>
    </row>
    <row r="697" spans="1:16" x14ac:dyDescent="0.35">
      <c r="A697">
        <v>1153410</v>
      </c>
      <c r="B697" t="s">
        <v>1577</v>
      </c>
      <c r="C697" s="1">
        <v>45798</v>
      </c>
      <c r="D697">
        <v>574</v>
      </c>
      <c r="E697" t="b">
        <v>0</v>
      </c>
      <c r="F697" t="s">
        <v>1522</v>
      </c>
      <c r="G697" t="s">
        <v>1578</v>
      </c>
      <c r="H697">
        <v>698</v>
      </c>
      <c r="I697" t="s">
        <v>113</v>
      </c>
      <c r="J697" s="3" t="str">
        <f>IF(ISNUMBER(SEARCH(",Action,",","&amp;SUBSTITUTE(TableMain[[#This Row],[Tags]],", ",",")&amp;",")),"Y","N")</f>
        <v>N</v>
      </c>
      <c r="K697" s="3" t="str">
        <f>IF(ISNUMBER(SEARCH(",Indie,",","&amp;SUBSTITUTE(TableMain[[#This Row],[Tags]],", ",",")&amp;",")),"Y","N")</f>
        <v>N</v>
      </c>
      <c r="L697" s="3" t="str">
        <f>IF(ISNUMBER(SEARCH(",Adventure,",","&amp;SUBSTITUTE(TableMain[[#This Row],[Tags]],", ",",")&amp;",")),"Y","N")</f>
        <v>N</v>
      </c>
      <c r="M697" s="3" t="str">
        <f>IF(ISNUMBER(SEARCH(",Simulation,",","&amp;SUBSTITUTE(TableMain[[#This Row],[Tags]],", ",",")&amp;",")),"Y","N")</f>
        <v>Y</v>
      </c>
      <c r="N697" s="3" t="str">
        <f>IF(ISNUMBER(SEARCH(",RPG,",","&amp;SUBSTITUTE(TableMain[[#This Row],[Tags]],", ",",")&amp;",")),"Y","N")</f>
        <v>N</v>
      </c>
      <c r="O697" s="3" t="str">
        <f>IF(ISNUMBER(SEARCH(",Strategy,",","&amp;SUBSTITUTE(TableMain[[#This Row],[Tags]],", ",",")&amp;",")),"Y","N")</f>
        <v>N</v>
      </c>
      <c r="P697" s="3" t="str">
        <f>IF(ISNUMBER(SEARCH(",Free To Play,",","&amp;SUBSTITUTE(TableMain[[#This Row],[Tags]],", ",",")&amp;",")),"Y","N")</f>
        <v>N</v>
      </c>
    </row>
    <row r="698" spans="1:16" x14ac:dyDescent="0.35">
      <c r="A698">
        <v>1296610</v>
      </c>
      <c r="B698" t="s">
        <v>1579</v>
      </c>
      <c r="C698" s="1">
        <v>45531</v>
      </c>
      <c r="D698">
        <v>574</v>
      </c>
      <c r="E698" t="b">
        <v>1</v>
      </c>
      <c r="F698" t="s">
        <v>1427</v>
      </c>
      <c r="G698" t="s">
        <v>590</v>
      </c>
      <c r="H698">
        <v>698</v>
      </c>
      <c r="I698" t="s">
        <v>14</v>
      </c>
      <c r="J698" s="3" t="str">
        <f>IF(ISNUMBER(SEARCH(",Action,",","&amp;SUBSTITUTE(TableMain[[#This Row],[Tags]],", ",",")&amp;",")),"Y","N")</f>
        <v>N</v>
      </c>
      <c r="K698" s="3" t="str">
        <f>IF(ISNUMBER(SEARCH(",Indie,",","&amp;SUBSTITUTE(TableMain[[#This Row],[Tags]],", ",",")&amp;",")),"Y","N")</f>
        <v>Y</v>
      </c>
      <c r="L698" s="3" t="str">
        <f>IF(ISNUMBER(SEARCH(",Adventure,",","&amp;SUBSTITUTE(TableMain[[#This Row],[Tags]],", ",",")&amp;",")),"Y","N")</f>
        <v>N</v>
      </c>
      <c r="M698" s="3" t="str">
        <f>IF(ISNUMBER(SEARCH(",Simulation,",","&amp;SUBSTITUTE(TableMain[[#This Row],[Tags]],", ",",")&amp;",")),"Y","N")</f>
        <v>N</v>
      </c>
      <c r="N698" s="3" t="str">
        <f>IF(ISNUMBER(SEARCH(",RPG,",","&amp;SUBSTITUTE(TableMain[[#This Row],[Tags]],", ",",")&amp;",")),"Y","N")</f>
        <v>Y</v>
      </c>
      <c r="O698" s="3" t="str">
        <f>IF(ISNUMBER(SEARCH(",Strategy,",","&amp;SUBSTITUTE(TableMain[[#This Row],[Tags]],", ",",")&amp;",")),"Y","N")</f>
        <v>Y</v>
      </c>
      <c r="P698" s="3" t="str">
        <f>IF(ISNUMBER(SEARCH(",Free To Play,",","&amp;SUBSTITUTE(TableMain[[#This Row],[Tags]],", ",",")&amp;",")),"Y","N")</f>
        <v>N</v>
      </c>
    </row>
    <row r="699" spans="1:16" x14ac:dyDescent="0.35">
      <c r="A699">
        <v>2962300</v>
      </c>
      <c r="B699" t="s">
        <v>1580</v>
      </c>
      <c r="C699" s="1">
        <v>45645</v>
      </c>
      <c r="D699">
        <v>573</v>
      </c>
      <c r="E699" t="b">
        <v>0</v>
      </c>
      <c r="F699" t="s">
        <v>1581</v>
      </c>
      <c r="G699" t="s">
        <v>585</v>
      </c>
      <c r="H699">
        <v>700</v>
      </c>
      <c r="I699" t="s">
        <v>119</v>
      </c>
      <c r="J699" s="3" t="str">
        <f>IF(ISNUMBER(SEARCH(",Action,",","&amp;SUBSTITUTE(TableMain[[#This Row],[Tags]],", ",",")&amp;",")),"Y","N")</f>
        <v>N</v>
      </c>
      <c r="K699" s="3" t="str">
        <f>IF(ISNUMBER(SEARCH(",Indie,",","&amp;SUBSTITUTE(TableMain[[#This Row],[Tags]],", ",",")&amp;",")),"Y","N")</f>
        <v>N</v>
      </c>
      <c r="L699" s="3" t="str">
        <f>IF(ISNUMBER(SEARCH(",Adventure,",","&amp;SUBSTITUTE(TableMain[[#This Row],[Tags]],", ",",")&amp;",")),"Y","N")</f>
        <v>Y</v>
      </c>
      <c r="M699" s="3" t="str">
        <f>IF(ISNUMBER(SEARCH(",Simulation,",","&amp;SUBSTITUTE(TableMain[[#This Row],[Tags]],", ",",")&amp;",")),"Y","N")</f>
        <v>N</v>
      </c>
      <c r="N699" s="3" t="str">
        <f>IF(ISNUMBER(SEARCH(",RPG,",","&amp;SUBSTITUTE(TableMain[[#This Row],[Tags]],", ",",")&amp;",")),"Y","N")</f>
        <v>Y</v>
      </c>
      <c r="O699" s="3" t="str">
        <f>IF(ISNUMBER(SEARCH(",Strategy,",","&amp;SUBSTITUTE(TableMain[[#This Row],[Tags]],", ",",")&amp;",")),"Y","N")</f>
        <v>N</v>
      </c>
      <c r="P699" s="3" t="str">
        <f>IF(ISNUMBER(SEARCH(",Free To Play,",","&amp;SUBSTITUTE(TableMain[[#This Row],[Tags]],", ",",")&amp;",")),"Y","N")</f>
        <v>Y</v>
      </c>
    </row>
    <row r="700" spans="1:16" x14ac:dyDescent="0.35">
      <c r="A700">
        <v>2141730</v>
      </c>
      <c r="B700" t="s">
        <v>1582</v>
      </c>
      <c r="C700" s="1">
        <v>44852</v>
      </c>
      <c r="D700">
        <v>569</v>
      </c>
      <c r="E700" t="b">
        <v>0</v>
      </c>
      <c r="F700" t="s">
        <v>1583</v>
      </c>
      <c r="G700" t="s">
        <v>1320</v>
      </c>
      <c r="H700">
        <v>701</v>
      </c>
      <c r="I700" t="s">
        <v>119</v>
      </c>
      <c r="J700" s="3" t="str">
        <f>IF(ISNUMBER(SEARCH(",Action,",","&amp;SUBSTITUTE(TableMain[[#This Row],[Tags]],", ",",")&amp;",")),"Y","N")</f>
        <v>Y</v>
      </c>
      <c r="K700" s="3" t="str">
        <f>IF(ISNUMBER(SEARCH(",Indie,",","&amp;SUBSTITUTE(TableMain[[#This Row],[Tags]],", ",",")&amp;",")),"Y","N")</f>
        <v>Y</v>
      </c>
      <c r="L700" s="3" t="str">
        <f>IF(ISNUMBER(SEARCH(",Adventure,",","&amp;SUBSTITUTE(TableMain[[#This Row],[Tags]],", ",",")&amp;",")),"Y","N")</f>
        <v>Y</v>
      </c>
      <c r="M700" s="3" t="str">
        <f>IF(ISNUMBER(SEARCH(",Simulation,",","&amp;SUBSTITUTE(TableMain[[#This Row],[Tags]],", ",",")&amp;",")),"Y","N")</f>
        <v>N</v>
      </c>
      <c r="N700" s="3" t="str">
        <f>IF(ISNUMBER(SEARCH(",RPG,",","&amp;SUBSTITUTE(TableMain[[#This Row],[Tags]],", ",",")&amp;",")),"Y","N")</f>
        <v>N</v>
      </c>
      <c r="O700" s="3" t="str">
        <f>IF(ISNUMBER(SEARCH(",Strategy,",","&amp;SUBSTITUTE(TableMain[[#This Row],[Tags]],", ",",")&amp;",")),"Y","N")</f>
        <v>N</v>
      </c>
      <c r="P700" s="3" t="str">
        <f>IF(ISNUMBER(SEARCH(",Free To Play,",","&amp;SUBSTITUTE(TableMain[[#This Row],[Tags]],", ",",")&amp;",")),"Y","N")</f>
        <v>N</v>
      </c>
    </row>
    <row r="701" spans="1:16" x14ac:dyDescent="0.35">
      <c r="A701">
        <v>388080</v>
      </c>
      <c r="B701" t="s">
        <v>1584</v>
      </c>
      <c r="C701" s="1">
        <v>42208</v>
      </c>
      <c r="D701">
        <v>569</v>
      </c>
      <c r="E701" t="b">
        <v>0</v>
      </c>
      <c r="F701" t="s">
        <v>1116</v>
      </c>
      <c r="G701" t="s">
        <v>1585</v>
      </c>
      <c r="H701">
        <v>701</v>
      </c>
      <c r="I701" t="s">
        <v>2084</v>
      </c>
      <c r="J701" s="3" t="str">
        <f>IF(ISNUMBER(SEARCH(",Action,",","&amp;SUBSTITUTE(TableMain[[#This Row],[Tags]],", ",",")&amp;",")),"Y","N")</f>
        <v>Y</v>
      </c>
      <c r="K701" s="3" t="str">
        <f>IF(ISNUMBER(SEARCH(",Indie,",","&amp;SUBSTITUTE(TableMain[[#This Row],[Tags]],", ",",")&amp;",")),"Y","N")</f>
        <v>N</v>
      </c>
      <c r="L701" s="3" t="str">
        <f>IF(ISNUMBER(SEARCH(",Adventure,",","&amp;SUBSTITUTE(TableMain[[#This Row],[Tags]],", ",",")&amp;",")),"Y","N")</f>
        <v>N</v>
      </c>
      <c r="M701" s="3" t="str">
        <f>IF(ISNUMBER(SEARCH(",Simulation,",","&amp;SUBSTITUTE(TableMain[[#This Row],[Tags]],", ",",")&amp;",")),"Y","N")</f>
        <v>N</v>
      </c>
      <c r="N701" s="3" t="str">
        <f>IF(ISNUMBER(SEARCH(",RPG,",","&amp;SUBSTITUTE(TableMain[[#This Row],[Tags]],", ",",")&amp;",")),"Y","N")</f>
        <v>N</v>
      </c>
      <c r="O701" s="3" t="str">
        <f>IF(ISNUMBER(SEARCH(",Strategy,",","&amp;SUBSTITUTE(TableMain[[#This Row],[Tags]],", ",",")&amp;",")),"Y","N")</f>
        <v>N</v>
      </c>
      <c r="P701" s="3" t="str">
        <f>IF(ISNUMBER(SEARCH(",Free To Play,",","&amp;SUBSTITUTE(TableMain[[#This Row],[Tags]],", ",",")&amp;",")),"Y","N")</f>
        <v>N</v>
      </c>
    </row>
    <row r="702" spans="1:16" x14ac:dyDescent="0.35">
      <c r="A702">
        <v>1054490</v>
      </c>
      <c r="B702" t="s">
        <v>1586</v>
      </c>
      <c r="C702" s="1">
        <v>44091</v>
      </c>
      <c r="D702">
        <v>569</v>
      </c>
      <c r="E702" t="b">
        <v>1</v>
      </c>
      <c r="F702" t="s">
        <v>1587</v>
      </c>
      <c r="G702" t="s">
        <v>205</v>
      </c>
      <c r="H702">
        <v>701</v>
      </c>
      <c r="I702" t="s">
        <v>932</v>
      </c>
      <c r="J702" s="3" t="str">
        <f>IF(ISNUMBER(SEARCH(",Action,",","&amp;SUBSTITUTE(TableMain[[#This Row],[Tags]],", ",",")&amp;",")),"Y","N")</f>
        <v>N</v>
      </c>
      <c r="K702" s="3" t="str">
        <f>IF(ISNUMBER(SEARCH(",Indie,",","&amp;SUBSTITUTE(TableMain[[#This Row],[Tags]],", ",",")&amp;",")),"Y","N")</f>
        <v>Y</v>
      </c>
      <c r="L702" s="3" t="str">
        <f>IF(ISNUMBER(SEARCH(",Adventure,",","&amp;SUBSTITUTE(TableMain[[#This Row],[Tags]],", ",",")&amp;",")),"Y","N")</f>
        <v>N</v>
      </c>
      <c r="M702" s="3" t="str">
        <f>IF(ISNUMBER(SEARCH(",Simulation,",","&amp;SUBSTITUTE(TableMain[[#This Row],[Tags]],", ",",")&amp;",")),"Y","N")</f>
        <v>N</v>
      </c>
      <c r="N702" s="3" t="str">
        <f>IF(ISNUMBER(SEARCH(",RPG,",","&amp;SUBSTITUTE(TableMain[[#This Row],[Tags]],", ",",")&amp;",")),"Y","N")</f>
        <v>N</v>
      </c>
      <c r="O702" s="3" t="str">
        <f>IF(ISNUMBER(SEARCH(",Strategy,",","&amp;SUBSTITUTE(TableMain[[#This Row],[Tags]],", ",",")&amp;",")),"Y","N")</f>
        <v>Y</v>
      </c>
      <c r="P702" s="3" t="str">
        <f>IF(ISNUMBER(SEARCH(",Free To Play,",","&amp;SUBSTITUTE(TableMain[[#This Row],[Tags]],", ",",")&amp;",")),"Y","N")</f>
        <v>N</v>
      </c>
    </row>
    <row r="703" spans="1:16" x14ac:dyDescent="0.35">
      <c r="A703">
        <v>671860</v>
      </c>
      <c r="B703" t="s">
        <v>1588</v>
      </c>
      <c r="C703" s="1">
        <v>45092</v>
      </c>
      <c r="D703">
        <v>568</v>
      </c>
      <c r="E703" t="b">
        <v>0</v>
      </c>
      <c r="F703" t="s">
        <v>1589</v>
      </c>
      <c r="G703" t="s">
        <v>1590</v>
      </c>
      <c r="H703">
        <v>704</v>
      </c>
      <c r="I703" t="s">
        <v>133</v>
      </c>
      <c r="J703" s="3" t="str">
        <f>IF(ISNUMBER(SEARCH(",Action,",","&amp;SUBSTITUTE(TableMain[[#This Row],[Tags]],", ",",")&amp;",")),"Y","N")</f>
        <v>Y</v>
      </c>
      <c r="K703" s="3" t="str">
        <f>IF(ISNUMBER(SEARCH(",Indie,",","&amp;SUBSTITUTE(TableMain[[#This Row],[Tags]],", ",",")&amp;",")),"Y","N")</f>
        <v>N</v>
      </c>
      <c r="L703" s="3" t="str">
        <f>IF(ISNUMBER(SEARCH(",Adventure,",","&amp;SUBSTITUTE(TableMain[[#This Row],[Tags]],", ",",")&amp;",")),"Y","N")</f>
        <v>N</v>
      </c>
      <c r="M703" s="3" t="str">
        <f>IF(ISNUMBER(SEARCH(",Simulation,",","&amp;SUBSTITUTE(TableMain[[#This Row],[Tags]],", ",",")&amp;",")),"Y","N")</f>
        <v>N</v>
      </c>
      <c r="N703" s="3" t="str">
        <f>IF(ISNUMBER(SEARCH(",RPG,",","&amp;SUBSTITUTE(TableMain[[#This Row],[Tags]],", ",",")&amp;",")),"Y","N")</f>
        <v>N</v>
      </c>
      <c r="O703" s="3" t="str">
        <f>IF(ISNUMBER(SEARCH(",Strategy,",","&amp;SUBSTITUTE(TableMain[[#This Row],[Tags]],", ",",")&amp;",")),"Y","N")</f>
        <v>N</v>
      </c>
      <c r="P703" s="3" t="str">
        <f>IF(ISNUMBER(SEARCH(",Free To Play,",","&amp;SUBSTITUTE(TableMain[[#This Row],[Tags]],", ",",")&amp;",")),"Y","N")</f>
        <v>N</v>
      </c>
    </row>
    <row r="704" spans="1:16" x14ac:dyDescent="0.35">
      <c r="A704">
        <v>2351560</v>
      </c>
      <c r="B704" t="s">
        <v>1591</v>
      </c>
      <c r="C704" s="1">
        <v>45260</v>
      </c>
      <c r="D704">
        <v>567</v>
      </c>
      <c r="E704" t="b">
        <v>0</v>
      </c>
      <c r="F704" t="s">
        <v>238</v>
      </c>
      <c r="G704" t="s">
        <v>1300</v>
      </c>
      <c r="H704">
        <v>705</v>
      </c>
      <c r="I704" t="s">
        <v>29</v>
      </c>
      <c r="J704" s="3" t="str">
        <f>IF(ISNUMBER(SEARCH(",Action,",","&amp;SUBSTITUTE(TableMain[[#This Row],[Tags]],", ",",")&amp;",")),"Y","N")</f>
        <v>Y</v>
      </c>
      <c r="K704" s="3" t="str">
        <f>IF(ISNUMBER(SEARCH(",Indie,",","&amp;SUBSTITUTE(TableMain[[#This Row],[Tags]],", ",",")&amp;",")),"Y","N")</f>
        <v>Y</v>
      </c>
      <c r="L704" s="3" t="str">
        <f>IF(ISNUMBER(SEARCH(",Adventure,",","&amp;SUBSTITUTE(TableMain[[#This Row],[Tags]],", ",",")&amp;",")),"Y","N")</f>
        <v>N</v>
      </c>
      <c r="M704" s="3" t="str">
        <f>IF(ISNUMBER(SEARCH(",Simulation,",","&amp;SUBSTITUTE(TableMain[[#This Row],[Tags]],", ",",")&amp;",")),"Y","N")</f>
        <v>N</v>
      </c>
      <c r="N704" s="3" t="str">
        <f>IF(ISNUMBER(SEARCH(",RPG,",","&amp;SUBSTITUTE(TableMain[[#This Row],[Tags]],", ",",")&amp;",")),"Y","N")</f>
        <v>N</v>
      </c>
      <c r="O704" s="3" t="str">
        <f>IF(ISNUMBER(SEARCH(",Strategy,",","&amp;SUBSTITUTE(TableMain[[#This Row],[Tags]],", ",",")&amp;",")),"Y","N")</f>
        <v>Y</v>
      </c>
      <c r="P704" s="3" t="str">
        <f>IF(ISNUMBER(SEARCH(",Free To Play,",","&amp;SUBSTITUTE(TableMain[[#This Row],[Tags]],", ",",")&amp;",")),"Y","N")</f>
        <v>N</v>
      </c>
    </row>
    <row r="705" spans="1:16" x14ac:dyDescent="0.35">
      <c r="A705">
        <v>21690</v>
      </c>
      <c r="B705" t="s">
        <v>1592</v>
      </c>
      <c r="C705" s="1">
        <v>40071</v>
      </c>
      <c r="D705">
        <v>566</v>
      </c>
      <c r="E705" t="b">
        <v>0</v>
      </c>
      <c r="F705" t="s">
        <v>1593</v>
      </c>
      <c r="G705" t="s">
        <v>46</v>
      </c>
      <c r="H705">
        <v>706</v>
      </c>
      <c r="I705" t="s">
        <v>2084</v>
      </c>
      <c r="J705" s="3" t="str">
        <f>IF(ISNUMBER(SEARCH(",Action,",","&amp;SUBSTITUTE(TableMain[[#This Row],[Tags]],", ",",")&amp;",")),"Y","N")</f>
        <v>Y</v>
      </c>
      <c r="K705" s="3" t="str">
        <f>IF(ISNUMBER(SEARCH(",Indie,",","&amp;SUBSTITUTE(TableMain[[#This Row],[Tags]],", ",",")&amp;",")),"Y","N")</f>
        <v>N</v>
      </c>
      <c r="L705" s="3" t="str">
        <f>IF(ISNUMBER(SEARCH(",Adventure,",","&amp;SUBSTITUTE(TableMain[[#This Row],[Tags]],", ",",")&amp;",")),"Y","N")</f>
        <v>Y</v>
      </c>
      <c r="M705" s="3" t="str">
        <f>IF(ISNUMBER(SEARCH(",Simulation,",","&amp;SUBSTITUTE(TableMain[[#This Row],[Tags]],", ",",")&amp;",")),"Y","N")</f>
        <v>N</v>
      </c>
      <c r="N705" s="3" t="str">
        <f>IF(ISNUMBER(SEARCH(",RPG,",","&amp;SUBSTITUTE(TableMain[[#This Row],[Tags]],", ",",")&amp;",")),"Y","N")</f>
        <v>N</v>
      </c>
      <c r="O705" s="3" t="str">
        <f>IF(ISNUMBER(SEARCH(",Strategy,",","&amp;SUBSTITUTE(TableMain[[#This Row],[Tags]],", ",",")&amp;",")),"Y","N")</f>
        <v>N</v>
      </c>
      <c r="P705" s="3" t="str">
        <f>IF(ISNUMBER(SEARCH(",Free To Play,",","&amp;SUBSTITUTE(TableMain[[#This Row],[Tags]],", ",",")&amp;",")),"Y","N")</f>
        <v>N</v>
      </c>
    </row>
    <row r="706" spans="1:16" x14ac:dyDescent="0.35">
      <c r="A706">
        <v>1213210</v>
      </c>
      <c r="B706" t="s">
        <v>1594</v>
      </c>
      <c r="C706" s="1">
        <v>43987</v>
      </c>
      <c r="D706">
        <v>564</v>
      </c>
      <c r="E706" t="b">
        <v>0</v>
      </c>
      <c r="F706" t="s">
        <v>1595</v>
      </c>
      <c r="G706" t="s">
        <v>124</v>
      </c>
      <c r="H706">
        <v>707</v>
      </c>
      <c r="I706" t="s">
        <v>40</v>
      </c>
      <c r="J706" s="3" t="str">
        <f>IF(ISNUMBER(SEARCH(",Action,",","&amp;SUBSTITUTE(TableMain[[#This Row],[Tags]],", ",",")&amp;",")),"Y","N")</f>
        <v>N</v>
      </c>
      <c r="K706" s="3" t="str">
        <f>IF(ISNUMBER(SEARCH(",Indie,",","&amp;SUBSTITUTE(TableMain[[#This Row],[Tags]],", ",",")&amp;",")),"Y","N")</f>
        <v>N</v>
      </c>
      <c r="L706" s="3" t="str">
        <f>IF(ISNUMBER(SEARCH(",Adventure,",","&amp;SUBSTITUTE(TableMain[[#This Row],[Tags]],", ",",")&amp;",")),"Y","N")</f>
        <v>N</v>
      </c>
      <c r="M706" s="3" t="str">
        <f>IF(ISNUMBER(SEARCH(",Simulation,",","&amp;SUBSTITUTE(TableMain[[#This Row],[Tags]],", ",",")&amp;",")),"Y","N")</f>
        <v>N</v>
      </c>
      <c r="N706" s="3" t="str">
        <f>IF(ISNUMBER(SEARCH(",RPG,",","&amp;SUBSTITUTE(TableMain[[#This Row],[Tags]],", ",",")&amp;",")),"Y","N")</f>
        <v>N</v>
      </c>
      <c r="O706" s="3" t="str">
        <f>IF(ISNUMBER(SEARCH(",Strategy,",","&amp;SUBSTITUTE(TableMain[[#This Row],[Tags]],", ",",")&amp;",")),"Y","N")</f>
        <v>Y</v>
      </c>
      <c r="P706" s="3" t="str">
        <f>IF(ISNUMBER(SEARCH(",Free To Play,",","&amp;SUBSTITUTE(TableMain[[#This Row],[Tags]],", ",",")&amp;",")),"Y","N")</f>
        <v>N</v>
      </c>
    </row>
    <row r="707" spans="1:16" x14ac:dyDescent="0.35">
      <c r="A707">
        <v>234140</v>
      </c>
      <c r="B707" t="s">
        <v>1596</v>
      </c>
      <c r="C707" s="1">
        <v>42248</v>
      </c>
      <c r="D707">
        <v>563</v>
      </c>
      <c r="E707" t="b">
        <v>0</v>
      </c>
      <c r="F707" t="s">
        <v>445</v>
      </c>
      <c r="G707" t="s">
        <v>46</v>
      </c>
      <c r="H707">
        <v>708</v>
      </c>
      <c r="I707" t="s">
        <v>2087</v>
      </c>
      <c r="J707" s="3" t="str">
        <f>IF(ISNUMBER(SEARCH(",Action,",","&amp;SUBSTITUTE(TableMain[[#This Row],[Tags]],", ",",")&amp;",")),"Y","N")</f>
        <v>Y</v>
      </c>
      <c r="K707" s="3" t="str">
        <f>IF(ISNUMBER(SEARCH(",Indie,",","&amp;SUBSTITUTE(TableMain[[#This Row],[Tags]],", ",",")&amp;",")),"Y","N")</f>
        <v>N</v>
      </c>
      <c r="L707" s="3" t="str">
        <f>IF(ISNUMBER(SEARCH(",Adventure,",","&amp;SUBSTITUTE(TableMain[[#This Row],[Tags]],", ",",")&amp;",")),"Y","N")</f>
        <v>Y</v>
      </c>
      <c r="M707" s="3" t="str">
        <f>IF(ISNUMBER(SEARCH(",Simulation,",","&amp;SUBSTITUTE(TableMain[[#This Row],[Tags]],", ",",")&amp;",")),"Y","N")</f>
        <v>N</v>
      </c>
      <c r="N707" s="3" t="str">
        <f>IF(ISNUMBER(SEARCH(",RPG,",","&amp;SUBSTITUTE(TableMain[[#This Row],[Tags]],", ",",")&amp;",")),"Y","N")</f>
        <v>N</v>
      </c>
      <c r="O707" s="3" t="str">
        <f>IF(ISNUMBER(SEARCH(",Strategy,",","&amp;SUBSTITUTE(TableMain[[#This Row],[Tags]],", ",",")&amp;",")),"Y","N")</f>
        <v>N</v>
      </c>
      <c r="P707" s="3" t="str">
        <f>IF(ISNUMBER(SEARCH(",Free To Play,",","&amp;SUBSTITUTE(TableMain[[#This Row],[Tags]],", ",",")&amp;",")),"Y","N")</f>
        <v>N</v>
      </c>
    </row>
    <row r="708" spans="1:16" x14ac:dyDescent="0.35">
      <c r="A708">
        <v>212200</v>
      </c>
      <c r="B708" t="s">
        <v>1597</v>
      </c>
      <c r="C708" s="1">
        <v>41249</v>
      </c>
      <c r="D708">
        <v>559</v>
      </c>
      <c r="E708" t="b">
        <v>0</v>
      </c>
      <c r="F708" t="s">
        <v>329</v>
      </c>
      <c r="G708" t="s">
        <v>1598</v>
      </c>
      <c r="H708">
        <v>709</v>
      </c>
      <c r="I708" t="s">
        <v>2084</v>
      </c>
      <c r="J708" s="3" t="str">
        <f>IF(ISNUMBER(SEARCH(",Action,",","&amp;SUBSTITUTE(TableMain[[#This Row],[Tags]],", ",",")&amp;",")),"Y","N")</f>
        <v>Y</v>
      </c>
      <c r="K708" s="3" t="str">
        <f>IF(ISNUMBER(SEARCH(",Indie,",","&amp;SUBSTITUTE(TableMain[[#This Row],[Tags]],", ",",")&amp;",")),"Y","N")</f>
        <v>N</v>
      </c>
      <c r="L708" s="3" t="str">
        <f>IF(ISNUMBER(SEARCH(",Adventure,",","&amp;SUBSTITUTE(TableMain[[#This Row],[Tags]],", ",",")&amp;",")),"Y","N")</f>
        <v>Y</v>
      </c>
      <c r="M708" s="3" t="str">
        <f>IF(ISNUMBER(SEARCH(",Simulation,",","&amp;SUBSTITUTE(TableMain[[#This Row],[Tags]],", ",",")&amp;",")),"Y","N")</f>
        <v>Y</v>
      </c>
      <c r="N708" s="3" t="str">
        <f>IF(ISNUMBER(SEARCH(",RPG,",","&amp;SUBSTITUTE(TableMain[[#This Row],[Tags]],", ",",")&amp;",")),"Y","N")</f>
        <v>Y</v>
      </c>
      <c r="O708" s="3" t="str">
        <f>IF(ISNUMBER(SEARCH(",Strategy,",","&amp;SUBSTITUTE(TableMain[[#This Row],[Tags]],", ",",")&amp;",")),"Y","N")</f>
        <v>N</v>
      </c>
      <c r="P708" s="3" t="str">
        <f>IF(ISNUMBER(SEARCH(",Free To Play,",","&amp;SUBSTITUTE(TableMain[[#This Row],[Tags]],", ",",")&amp;",")),"Y","N")</f>
        <v>Y</v>
      </c>
    </row>
    <row r="709" spans="1:16" x14ac:dyDescent="0.35">
      <c r="A709">
        <v>1017900</v>
      </c>
      <c r="B709" t="s">
        <v>1599</v>
      </c>
      <c r="C709" s="1">
        <v>43696</v>
      </c>
      <c r="D709">
        <v>559</v>
      </c>
      <c r="E709" t="b">
        <v>0</v>
      </c>
      <c r="F709" t="s">
        <v>1600</v>
      </c>
      <c r="G709" t="s">
        <v>124</v>
      </c>
      <c r="H709">
        <v>709</v>
      </c>
      <c r="I709" t="s">
        <v>110</v>
      </c>
      <c r="J709" s="3" t="str">
        <f>IF(ISNUMBER(SEARCH(",Action,",","&amp;SUBSTITUTE(TableMain[[#This Row],[Tags]],", ",",")&amp;",")),"Y","N")</f>
        <v>N</v>
      </c>
      <c r="K709" s="3" t="str">
        <f>IF(ISNUMBER(SEARCH(",Indie,",","&amp;SUBSTITUTE(TableMain[[#This Row],[Tags]],", ",",")&amp;",")),"Y","N")</f>
        <v>N</v>
      </c>
      <c r="L709" s="3" t="str">
        <f>IF(ISNUMBER(SEARCH(",Adventure,",","&amp;SUBSTITUTE(TableMain[[#This Row],[Tags]],", ",",")&amp;",")),"Y","N")</f>
        <v>N</v>
      </c>
      <c r="M709" s="3" t="str">
        <f>IF(ISNUMBER(SEARCH(",Simulation,",","&amp;SUBSTITUTE(TableMain[[#This Row],[Tags]],", ",",")&amp;",")),"Y","N")</f>
        <v>N</v>
      </c>
      <c r="N709" s="3" t="str">
        <f>IF(ISNUMBER(SEARCH(",RPG,",","&amp;SUBSTITUTE(TableMain[[#This Row],[Tags]],", ",",")&amp;",")),"Y","N")</f>
        <v>N</v>
      </c>
      <c r="O709" s="3" t="str">
        <f>IF(ISNUMBER(SEARCH(",Strategy,",","&amp;SUBSTITUTE(TableMain[[#This Row],[Tags]],", ",",")&amp;",")),"Y","N")</f>
        <v>Y</v>
      </c>
      <c r="P709" s="3" t="str">
        <f>IF(ISNUMBER(SEARCH(",Free To Play,",","&amp;SUBSTITUTE(TableMain[[#This Row],[Tags]],", ",",")&amp;",")),"Y","N")</f>
        <v>N</v>
      </c>
    </row>
    <row r="710" spans="1:16" x14ac:dyDescent="0.35">
      <c r="A710">
        <v>1072040</v>
      </c>
      <c r="B710" t="s">
        <v>1601</v>
      </c>
      <c r="C710" s="1">
        <v>43909</v>
      </c>
      <c r="D710">
        <v>559</v>
      </c>
      <c r="E710" t="b">
        <v>0</v>
      </c>
      <c r="F710" t="s">
        <v>1602</v>
      </c>
      <c r="G710" t="s">
        <v>124</v>
      </c>
      <c r="H710">
        <v>709</v>
      </c>
      <c r="I710" t="s">
        <v>304</v>
      </c>
      <c r="J710" s="3" t="str">
        <f>IF(ISNUMBER(SEARCH(",Action,",","&amp;SUBSTITUTE(TableMain[[#This Row],[Tags]],", ",",")&amp;",")),"Y","N")</f>
        <v>N</v>
      </c>
      <c r="K710" s="3" t="str">
        <f>IF(ISNUMBER(SEARCH(",Indie,",","&amp;SUBSTITUTE(TableMain[[#This Row],[Tags]],", ",",")&amp;",")),"Y","N")</f>
        <v>N</v>
      </c>
      <c r="L710" s="3" t="str">
        <f>IF(ISNUMBER(SEARCH(",Adventure,",","&amp;SUBSTITUTE(TableMain[[#This Row],[Tags]],", ",",")&amp;",")),"Y","N")</f>
        <v>N</v>
      </c>
      <c r="M710" s="3" t="str">
        <f>IF(ISNUMBER(SEARCH(",Simulation,",","&amp;SUBSTITUTE(TableMain[[#This Row],[Tags]],", ",",")&amp;",")),"Y","N")</f>
        <v>N</v>
      </c>
      <c r="N710" s="3" t="str">
        <f>IF(ISNUMBER(SEARCH(",RPG,",","&amp;SUBSTITUTE(TableMain[[#This Row],[Tags]],", ",",")&amp;",")),"Y","N")</f>
        <v>N</v>
      </c>
      <c r="O710" s="3" t="str">
        <f>IF(ISNUMBER(SEARCH(",Strategy,",","&amp;SUBSTITUTE(TableMain[[#This Row],[Tags]],", ",",")&amp;",")),"Y","N")</f>
        <v>Y</v>
      </c>
      <c r="P710" s="3" t="str">
        <f>IF(ISNUMBER(SEARCH(",Free To Play,",","&amp;SUBSTITUTE(TableMain[[#This Row],[Tags]],", ",",")&amp;",")),"Y","N")</f>
        <v>N</v>
      </c>
    </row>
    <row r="711" spans="1:16" x14ac:dyDescent="0.35">
      <c r="A711">
        <v>298110</v>
      </c>
      <c r="B711" t="s">
        <v>1603</v>
      </c>
      <c r="C711" s="1">
        <v>41960</v>
      </c>
      <c r="D711">
        <v>558</v>
      </c>
      <c r="E711" t="b">
        <v>0</v>
      </c>
      <c r="F711" t="s">
        <v>1604</v>
      </c>
      <c r="G711" t="s">
        <v>46</v>
      </c>
      <c r="H711">
        <v>712</v>
      </c>
      <c r="I711" t="s">
        <v>2090</v>
      </c>
      <c r="J711" s="3" t="str">
        <f>IF(ISNUMBER(SEARCH(",Action,",","&amp;SUBSTITUTE(TableMain[[#This Row],[Tags]],", ",",")&amp;",")),"Y","N")</f>
        <v>Y</v>
      </c>
      <c r="K711" s="3" t="str">
        <f>IF(ISNUMBER(SEARCH(",Indie,",","&amp;SUBSTITUTE(TableMain[[#This Row],[Tags]],", ",",")&amp;",")),"Y","N")</f>
        <v>N</v>
      </c>
      <c r="L711" s="3" t="str">
        <f>IF(ISNUMBER(SEARCH(",Adventure,",","&amp;SUBSTITUTE(TableMain[[#This Row],[Tags]],", ",",")&amp;",")),"Y","N")</f>
        <v>Y</v>
      </c>
      <c r="M711" s="3" t="str">
        <f>IF(ISNUMBER(SEARCH(",Simulation,",","&amp;SUBSTITUTE(TableMain[[#This Row],[Tags]],", ",",")&amp;",")),"Y","N")</f>
        <v>N</v>
      </c>
      <c r="N711" s="3" t="str">
        <f>IF(ISNUMBER(SEARCH(",RPG,",","&amp;SUBSTITUTE(TableMain[[#This Row],[Tags]],", ",",")&amp;",")),"Y","N")</f>
        <v>N</v>
      </c>
      <c r="O711" s="3" t="str">
        <f>IF(ISNUMBER(SEARCH(",Strategy,",","&amp;SUBSTITUTE(TableMain[[#This Row],[Tags]],", ",",")&amp;",")),"Y","N")</f>
        <v>N</v>
      </c>
      <c r="P711" s="3" t="str">
        <f>IF(ISNUMBER(SEARCH(",Free To Play,",","&amp;SUBSTITUTE(TableMain[[#This Row],[Tags]],", ",",")&amp;",")),"Y","N")</f>
        <v>N</v>
      </c>
    </row>
    <row r="712" spans="1:16" x14ac:dyDescent="0.35">
      <c r="A712">
        <v>203160</v>
      </c>
      <c r="B712" t="s">
        <v>1605</v>
      </c>
      <c r="C712" s="1">
        <v>41337</v>
      </c>
      <c r="D712">
        <v>556</v>
      </c>
      <c r="E712" t="b">
        <v>1</v>
      </c>
      <c r="F712" t="s">
        <v>1606</v>
      </c>
      <c r="G712" t="s">
        <v>46</v>
      </c>
      <c r="H712">
        <v>713</v>
      </c>
      <c r="I712" t="s">
        <v>2084</v>
      </c>
      <c r="J712" s="3" t="str">
        <f>IF(ISNUMBER(SEARCH(",Action,",","&amp;SUBSTITUTE(TableMain[[#This Row],[Tags]],", ",",")&amp;",")),"Y","N")</f>
        <v>Y</v>
      </c>
      <c r="K712" s="3" t="str">
        <f>IF(ISNUMBER(SEARCH(",Indie,",","&amp;SUBSTITUTE(TableMain[[#This Row],[Tags]],", ",",")&amp;",")),"Y","N")</f>
        <v>N</v>
      </c>
      <c r="L712" s="3" t="str">
        <f>IF(ISNUMBER(SEARCH(",Adventure,",","&amp;SUBSTITUTE(TableMain[[#This Row],[Tags]],", ",",")&amp;",")),"Y","N")</f>
        <v>Y</v>
      </c>
      <c r="M712" s="3" t="str">
        <f>IF(ISNUMBER(SEARCH(",Simulation,",","&amp;SUBSTITUTE(TableMain[[#This Row],[Tags]],", ",",")&amp;",")),"Y","N")</f>
        <v>N</v>
      </c>
      <c r="N712" s="3" t="str">
        <f>IF(ISNUMBER(SEARCH(",RPG,",","&amp;SUBSTITUTE(TableMain[[#This Row],[Tags]],", ",",")&amp;",")),"Y","N")</f>
        <v>N</v>
      </c>
      <c r="O712" s="3" t="str">
        <f>IF(ISNUMBER(SEARCH(",Strategy,",","&amp;SUBSTITUTE(TableMain[[#This Row],[Tags]],", ",",")&amp;",")),"Y","N")</f>
        <v>N</v>
      </c>
      <c r="P712" s="3" t="str">
        <f>IF(ISNUMBER(SEARCH(",Free To Play,",","&amp;SUBSTITUTE(TableMain[[#This Row],[Tags]],", ",",")&amp;",")),"Y","N")</f>
        <v>N</v>
      </c>
    </row>
    <row r="713" spans="1:16" x14ac:dyDescent="0.35">
      <c r="A713">
        <v>1557740</v>
      </c>
      <c r="B713" t="s">
        <v>1607</v>
      </c>
      <c r="C713" s="1">
        <v>44287</v>
      </c>
      <c r="D713">
        <v>555</v>
      </c>
      <c r="E713" t="b">
        <v>1</v>
      </c>
      <c r="F713" t="s">
        <v>1608</v>
      </c>
      <c r="G713" t="s">
        <v>116</v>
      </c>
      <c r="H713">
        <v>714</v>
      </c>
      <c r="I713" t="s">
        <v>33</v>
      </c>
      <c r="J713" s="3" t="str">
        <f>IF(ISNUMBER(SEARCH(",Action,",","&amp;SUBSTITUTE(TableMain[[#This Row],[Tags]],", ",",")&amp;",")),"Y","N")</f>
        <v>Y</v>
      </c>
      <c r="K713" s="3" t="str">
        <f>IF(ISNUMBER(SEARCH(",Indie,",","&amp;SUBSTITUTE(TableMain[[#This Row],[Tags]],", ",",")&amp;",")),"Y","N")</f>
        <v>Y</v>
      </c>
      <c r="L713" s="3" t="str">
        <f>IF(ISNUMBER(SEARCH(",Adventure,",","&amp;SUBSTITUTE(TableMain[[#This Row],[Tags]],", ",",")&amp;",")),"Y","N")</f>
        <v>N</v>
      </c>
      <c r="M713" s="3" t="str">
        <f>IF(ISNUMBER(SEARCH(",Simulation,",","&amp;SUBSTITUTE(TableMain[[#This Row],[Tags]],", ",",")&amp;",")),"Y","N")</f>
        <v>N</v>
      </c>
      <c r="N713" s="3" t="str">
        <f>IF(ISNUMBER(SEARCH(",RPG,",","&amp;SUBSTITUTE(TableMain[[#This Row],[Tags]],", ",",")&amp;",")),"Y","N")</f>
        <v>N</v>
      </c>
      <c r="O713" s="3" t="str">
        <f>IF(ISNUMBER(SEARCH(",Strategy,",","&amp;SUBSTITUTE(TableMain[[#This Row],[Tags]],", ",",")&amp;",")),"Y","N")</f>
        <v>N</v>
      </c>
      <c r="P713" s="3" t="str">
        <f>IF(ISNUMBER(SEARCH(",Free To Play,",","&amp;SUBSTITUTE(TableMain[[#This Row],[Tags]],", ",",")&amp;",")),"Y","N")</f>
        <v>N</v>
      </c>
    </row>
    <row r="714" spans="1:16" x14ac:dyDescent="0.35">
      <c r="A714">
        <v>293760</v>
      </c>
      <c r="B714" t="s">
        <v>1609</v>
      </c>
      <c r="C714" s="1">
        <v>42075</v>
      </c>
      <c r="D714">
        <v>554</v>
      </c>
      <c r="E714" t="b">
        <v>0</v>
      </c>
      <c r="F714" t="s">
        <v>1610</v>
      </c>
      <c r="G714" t="s">
        <v>1611</v>
      </c>
      <c r="H714">
        <v>715</v>
      </c>
      <c r="I714" t="s">
        <v>2084</v>
      </c>
      <c r="J714" s="3" t="str">
        <f>IF(ISNUMBER(SEARCH(",Action,",","&amp;SUBSTITUTE(TableMain[[#This Row],[Tags]],", ",",")&amp;",")),"Y","N")</f>
        <v>N</v>
      </c>
      <c r="K714" s="3" t="str">
        <f>IF(ISNUMBER(SEARCH(",Indie,",","&amp;SUBSTITUTE(TableMain[[#This Row],[Tags]],", ",",")&amp;",")),"Y","N")</f>
        <v>Y</v>
      </c>
      <c r="L714" s="3" t="str">
        <f>IF(ISNUMBER(SEARCH(",Adventure,",","&amp;SUBSTITUTE(TableMain[[#This Row],[Tags]],", ",",")&amp;",")),"Y","N")</f>
        <v>N</v>
      </c>
      <c r="M714" s="3" t="str">
        <f>IF(ISNUMBER(SEARCH(",Simulation,",","&amp;SUBSTITUTE(TableMain[[#This Row],[Tags]],", ",",")&amp;",")),"Y","N")</f>
        <v>Y</v>
      </c>
      <c r="N714" s="3" t="str">
        <f>IF(ISNUMBER(SEARCH(",RPG,",","&amp;SUBSTITUTE(TableMain[[#This Row],[Tags]],", ",",")&amp;",")),"Y","N")</f>
        <v>N</v>
      </c>
      <c r="O714" s="3" t="str">
        <f>IF(ISNUMBER(SEARCH(",Strategy,",","&amp;SUBSTITUTE(TableMain[[#This Row],[Tags]],", ",",")&amp;",")),"Y","N")</f>
        <v>Y</v>
      </c>
      <c r="P714" s="3" t="str">
        <f>IF(ISNUMBER(SEARCH(",Free To Play,",","&amp;SUBSTITUTE(TableMain[[#This Row],[Tags]],", ",",")&amp;",")),"Y","N")</f>
        <v>N</v>
      </c>
    </row>
    <row r="715" spans="1:16" x14ac:dyDescent="0.35">
      <c r="A715">
        <v>1669980</v>
      </c>
      <c r="B715" t="s">
        <v>1612</v>
      </c>
      <c r="C715" s="1">
        <v>45036</v>
      </c>
      <c r="D715">
        <v>553</v>
      </c>
      <c r="E715" t="b">
        <v>0</v>
      </c>
      <c r="F715" t="s">
        <v>810</v>
      </c>
      <c r="G715" t="s">
        <v>435</v>
      </c>
      <c r="H715">
        <v>716</v>
      </c>
      <c r="I715" t="s">
        <v>40</v>
      </c>
      <c r="J715" s="3" t="str">
        <f>IF(ISNUMBER(SEARCH(",Action,",","&amp;SUBSTITUTE(TableMain[[#This Row],[Tags]],", ",",")&amp;",")),"Y","N")</f>
        <v>N</v>
      </c>
      <c r="K715" s="3" t="str">
        <f>IF(ISNUMBER(SEARCH(",Indie,",","&amp;SUBSTITUTE(TableMain[[#This Row],[Tags]],", ",",")&amp;",")),"Y","N")</f>
        <v>Y</v>
      </c>
      <c r="L715" s="3" t="str">
        <f>IF(ISNUMBER(SEARCH(",Adventure,",","&amp;SUBSTITUTE(TableMain[[#This Row],[Tags]],", ",",")&amp;",")),"Y","N")</f>
        <v>N</v>
      </c>
      <c r="M715" s="3" t="str">
        <f>IF(ISNUMBER(SEARCH(",Simulation,",","&amp;SUBSTITUTE(TableMain[[#This Row],[Tags]],", ",",")&amp;",")),"Y","N")</f>
        <v>Y</v>
      </c>
      <c r="N715" s="3" t="str">
        <f>IF(ISNUMBER(SEARCH(",RPG,",","&amp;SUBSTITUTE(TableMain[[#This Row],[Tags]],", ",",")&amp;",")),"Y","N")</f>
        <v>Y</v>
      </c>
      <c r="O715" s="3" t="str">
        <f>IF(ISNUMBER(SEARCH(",Strategy,",","&amp;SUBSTITUTE(TableMain[[#This Row],[Tags]],", ",",")&amp;",")),"Y","N")</f>
        <v>Y</v>
      </c>
      <c r="P715" s="3" t="str">
        <f>IF(ISNUMBER(SEARCH(",Free To Play,",","&amp;SUBSTITUTE(TableMain[[#This Row],[Tags]],", ",",")&amp;",")),"Y","N")</f>
        <v>N</v>
      </c>
    </row>
    <row r="716" spans="1:16" x14ac:dyDescent="0.35">
      <c r="A716">
        <v>490110</v>
      </c>
      <c r="B716" t="s">
        <v>1613</v>
      </c>
      <c r="C716" s="1">
        <v>45790</v>
      </c>
      <c r="D716">
        <v>553</v>
      </c>
      <c r="E716" t="b">
        <v>0</v>
      </c>
      <c r="F716" t="s">
        <v>1614</v>
      </c>
      <c r="G716" t="s">
        <v>841</v>
      </c>
      <c r="H716">
        <v>716</v>
      </c>
      <c r="I716" t="s">
        <v>36</v>
      </c>
      <c r="J716" s="3" t="str">
        <f>IF(ISNUMBER(SEARCH(",Action,",","&amp;SUBSTITUTE(TableMain[[#This Row],[Tags]],", ",",")&amp;",")),"Y","N")</f>
        <v>Y</v>
      </c>
      <c r="K716" s="3" t="str">
        <f>IF(ISNUMBER(SEARCH(",Indie,",","&amp;SUBSTITUTE(TableMain[[#This Row],[Tags]],", ",",")&amp;",")),"Y","N")</f>
        <v>Y</v>
      </c>
      <c r="L716" s="3" t="str">
        <f>IF(ISNUMBER(SEARCH(",Adventure,",","&amp;SUBSTITUTE(TableMain[[#This Row],[Tags]],", ",",")&amp;",")),"Y","N")</f>
        <v>N</v>
      </c>
      <c r="M716" s="3" t="str">
        <f>IF(ISNUMBER(SEARCH(",Simulation,",","&amp;SUBSTITUTE(TableMain[[#This Row],[Tags]],", ",",")&amp;",")),"Y","N")</f>
        <v>Y</v>
      </c>
      <c r="N716" s="3" t="str">
        <f>IF(ISNUMBER(SEARCH(",RPG,",","&amp;SUBSTITUTE(TableMain[[#This Row],[Tags]],", ",",")&amp;",")),"Y","N")</f>
        <v>N</v>
      </c>
      <c r="O716" s="3" t="str">
        <f>IF(ISNUMBER(SEARCH(",Strategy,",","&amp;SUBSTITUTE(TableMain[[#This Row],[Tags]],", ",",")&amp;",")),"Y","N")</f>
        <v>N</v>
      </c>
      <c r="P716" s="3" t="str">
        <f>IF(ISNUMBER(SEARCH(",Free To Play,",","&amp;SUBSTITUTE(TableMain[[#This Row],[Tags]],", ",",")&amp;",")),"Y","N")</f>
        <v>N</v>
      </c>
    </row>
    <row r="717" spans="1:16" x14ac:dyDescent="0.35">
      <c r="A717">
        <v>705210</v>
      </c>
      <c r="B717" t="s">
        <v>1615</v>
      </c>
      <c r="C717" s="1">
        <v>43038</v>
      </c>
      <c r="D717">
        <v>552</v>
      </c>
      <c r="E717" t="b">
        <v>0</v>
      </c>
      <c r="F717" t="s">
        <v>1616</v>
      </c>
      <c r="G717" t="s">
        <v>1617</v>
      </c>
      <c r="H717">
        <v>718</v>
      </c>
      <c r="I717" t="s">
        <v>110</v>
      </c>
      <c r="J717" s="3" t="str">
        <f>IF(ISNUMBER(SEARCH(",Action,",","&amp;SUBSTITUTE(TableMain[[#This Row],[Tags]],", ",",")&amp;",")),"Y","N")</f>
        <v>Y</v>
      </c>
      <c r="K717" s="3" t="str">
        <f>IF(ISNUMBER(SEARCH(",Indie,",","&amp;SUBSTITUTE(TableMain[[#This Row],[Tags]],", ",",")&amp;",")),"Y","N")</f>
        <v>Y</v>
      </c>
      <c r="L717" s="3" t="str">
        <f>IF(ISNUMBER(SEARCH(",Adventure,",","&amp;SUBSTITUTE(TableMain[[#This Row],[Tags]],", ",",")&amp;",")),"Y","N")</f>
        <v>N</v>
      </c>
      <c r="M717" s="3" t="str">
        <f>IF(ISNUMBER(SEARCH(",Simulation,",","&amp;SUBSTITUTE(TableMain[[#This Row],[Tags]],", ",",")&amp;",")),"Y","N")</f>
        <v>N</v>
      </c>
      <c r="N717" s="3" t="str">
        <f>IF(ISNUMBER(SEARCH(",RPG,",","&amp;SUBSTITUTE(TableMain[[#This Row],[Tags]],", ",",")&amp;",")),"Y","N")</f>
        <v>N</v>
      </c>
      <c r="O717" s="3" t="str">
        <f>IF(ISNUMBER(SEARCH(",Strategy,",","&amp;SUBSTITUTE(TableMain[[#This Row],[Tags]],", ",",")&amp;",")),"Y","N")</f>
        <v>N</v>
      </c>
      <c r="P717" s="3" t="str">
        <f>IF(ISNUMBER(SEARCH(",Free To Play,",","&amp;SUBSTITUTE(TableMain[[#This Row],[Tags]],", ",",")&amp;",")),"Y","N")</f>
        <v>N</v>
      </c>
    </row>
    <row r="718" spans="1:16" x14ac:dyDescent="0.35">
      <c r="A718">
        <v>4760</v>
      </c>
      <c r="B718" t="s">
        <v>1618</v>
      </c>
      <c r="C718" s="1">
        <v>39322</v>
      </c>
      <c r="D718">
        <v>552</v>
      </c>
      <c r="E718" t="b">
        <v>0</v>
      </c>
      <c r="F718" t="s">
        <v>636</v>
      </c>
      <c r="G718" t="s">
        <v>124</v>
      </c>
      <c r="H718">
        <v>718</v>
      </c>
      <c r="I718" t="s">
        <v>2084</v>
      </c>
      <c r="J718" s="3" t="str">
        <f>IF(ISNUMBER(SEARCH(",Action,",","&amp;SUBSTITUTE(TableMain[[#This Row],[Tags]],", ",",")&amp;",")),"Y","N")</f>
        <v>N</v>
      </c>
      <c r="K718" s="3" t="str">
        <f>IF(ISNUMBER(SEARCH(",Indie,",","&amp;SUBSTITUTE(TableMain[[#This Row],[Tags]],", ",",")&amp;",")),"Y","N")</f>
        <v>N</v>
      </c>
      <c r="L718" s="3" t="str">
        <f>IF(ISNUMBER(SEARCH(",Adventure,",","&amp;SUBSTITUTE(TableMain[[#This Row],[Tags]],", ",",")&amp;",")),"Y","N")</f>
        <v>N</v>
      </c>
      <c r="M718" s="3" t="str">
        <f>IF(ISNUMBER(SEARCH(",Simulation,",","&amp;SUBSTITUTE(TableMain[[#This Row],[Tags]],", ",",")&amp;",")),"Y","N")</f>
        <v>N</v>
      </c>
      <c r="N718" s="3" t="str">
        <f>IF(ISNUMBER(SEARCH(",RPG,",","&amp;SUBSTITUTE(TableMain[[#This Row],[Tags]],", ",",")&amp;",")),"Y","N")</f>
        <v>N</v>
      </c>
      <c r="O718" s="3" t="str">
        <f>IF(ISNUMBER(SEARCH(",Strategy,",","&amp;SUBSTITUTE(TableMain[[#This Row],[Tags]],", ",",")&amp;",")),"Y","N")</f>
        <v>Y</v>
      </c>
      <c r="P718" s="3" t="str">
        <f>IF(ISNUMBER(SEARCH(",Free To Play,",","&amp;SUBSTITUTE(TableMain[[#This Row],[Tags]],", ",",")&amp;",")),"Y","N")</f>
        <v>N</v>
      </c>
    </row>
    <row r="719" spans="1:16" x14ac:dyDescent="0.35">
      <c r="A719">
        <v>208580</v>
      </c>
      <c r="B719" t="s">
        <v>1619</v>
      </c>
      <c r="C719" s="1">
        <v>41144</v>
      </c>
      <c r="D719">
        <v>551</v>
      </c>
      <c r="E719" t="b">
        <v>1</v>
      </c>
      <c r="F719" t="s">
        <v>1031</v>
      </c>
      <c r="G719" t="s">
        <v>132</v>
      </c>
      <c r="H719">
        <v>720</v>
      </c>
      <c r="I719" t="s">
        <v>2084</v>
      </c>
      <c r="J719" s="3" t="str">
        <f>IF(ISNUMBER(SEARCH(",Action,",","&amp;SUBSTITUTE(TableMain[[#This Row],[Tags]],", ",",")&amp;",")),"Y","N")</f>
        <v>N</v>
      </c>
      <c r="K719" s="3" t="str">
        <f>IF(ISNUMBER(SEARCH(",Indie,",","&amp;SUBSTITUTE(TableMain[[#This Row],[Tags]],", ",",")&amp;",")),"Y","N")</f>
        <v>N</v>
      </c>
      <c r="L719" s="3" t="str">
        <f>IF(ISNUMBER(SEARCH(",Adventure,",","&amp;SUBSTITUTE(TableMain[[#This Row],[Tags]],", ",",")&amp;",")),"Y","N")</f>
        <v>N</v>
      </c>
      <c r="M719" s="3" t="str">
        <f>IF(ISNUMBER(SEARCH(",Simulation,",","&amp;SUBSTITUTE(TableMain[[#This Row],[Tags]],", ",",")&amp;",")),"Y","N")</f>
        <v>N</v>
      </c>
      <c r="N719" s="3" t="str">
        <f>IF(ISNUMBER(SEARCH(",RPG,",","&amp;SUBSTITUTE(TableMain[[#This Row],[Tags]],", ",",")&amp;",")),"Y","N")</f>
        <v>Y</v>
      </c>
      <c r="O719" s="3" t="str">
        <f>IF(ISNUMBER(SEARCH(",Strategy,",","&amp;SUBSTITUTE(TableMain[[#This Row],[Tags]],", ",",")&amp;",")),"Y","N")</f>
        <v>N</v>
      </c>
      <c r="P719" s="3" t="str">
        <f>IF(ISNUMBER(SEARCH(",Free To Play,",","&amp;SUBSTITUTE(TableMain[[#This Row],[Tags]],", ",",")&amp;",")),"Y","N")</f>
        <v>N</v>
      </c>
    </row>
    <row r="720" spans="1:16" x14ac:dyDescent="0.35">
      <c r="A720">
        <v>1898830</v>
      </c>
      <c r="B720" t="s">
        <v>1620</v>
      </c>
      <c r="C720" s="1">
        <v>44661</v>
      </c>
      <c r="D720">
        <v>551</v>
      </c>
      <c r="E720" t="b">
        <v>0</v>
      </c>
      <c r="F720" t="s">
        <v>1621</v>
      </c>
      <c r="G720" t="s">
        <v>1622</v>
      </c>
      <c r="H720">
        <v>720</v>
      </c>
      <c r="I720" t="s">
        <v>33</v>
      </c>
      <c r="J720" s="3" t="str">
        <f>IF(ISNUMBER(SEARCH(",Action,",","&amp;SUBSTITUTE(TableMain[[#This Row],[Tags]],", ",",")&amp;",")),"Y","N")</f>
        <v>N</v>
      </c>
      <c r="K720" s="3" t="str">
        <f>IF(ISNUMBER(SEARCH(",Indie,",","&amp;SUBSTITUTE(TableMain[[#This Row],[Tags]],", ",",")&amp;",")),"Y","N")</f>
        <v>N</v>
      </c>
      <c r="L720" s="3" t="str">
        <f>IF(ISNUMBER(SEARCH(",Adventure,",","&amp;SUBSTITUTE(TableMain[[#This Row],[Tags]],", ",",")&amp;",")),"Y","N")</f>
        <v>N</v>
      </c>
      <c r="M720" s="3" t="str">
        <f>IF(ISNUMBER(SEARCH(",Simulation,",","&amp;SUBSTITUTE(TableMain[[#This Row],[Tags]],", ",",")&amp;",")),"Y","N")</f>
        <v>N</v>
      </c>
      <c r="N720" s="3" t="str">
        <f>IF(ISNUMBER(SEARCH(",RPG,",","&amp;SUBSTITUTE(TableMain[[#This Row],[Tags]],", ",",")&amp;",")),"Y","N")</f>
        <v>N</v>
      </c>
      <c r="O720" s="3" t="str">
        <f>IF(ISNUMBER(SEARCH(",Strategy,",","&amp;SUBSTITUTE(TableMain[[#This Row],[Tags]],", ",",")&amp;",")),"Y","N")</f>
        <v>N</v>
      </c>
      <c r="P720" s="3" t="str">
        <f>IF(ISNUMBER(SEARCH(",Free To Play,",","&amp;SUBSTITUTE(TableMain[[#This Row],[Tags]],", ",",")&amp;",")),"Y","N")</f>
        <v>N</v>
      </c>
    </row>
    <row r="721" spans="1:16" x14ac:dyDescent="0.35">
      <c r="A721">
        <v>311310</v>
      </c>
      <c r="B721" t="s">
        <v>1623</v>
      </c>
      <c r="C721" s="1">
        <v>43629</v>
      </c>
      <c r="D721">
        <v>550</v>
      </c>
      <c r="E721" t="b">
        <v>0</v>
      </c>
      <c r="F721" t="s">
        <v>1257</v>
      </c>
      <c r="G721" t="s">
        <v>1624</v>
      </c>
      <c r="H721">
        <v>722</v>
      </c>
      <c r="I721" t="s">
        <v>40</v>
      </c>
      <c r="J721" s="3" t="str">
        <f>IF(ISNUMBER(SEARCH(",Action,",","&amp;SUBSTITUTE(TableMain[[#This Row],[Tags]],", ",",")&amp;",")),"Y","N")</f>
        <v>N</v>
      </c>
      <c r="K721" s="3" t="str">
        <f>IF(ISNUMBER(SEARCH(",Indie,",","&amp;SUBSTITUTE(TableMain[[#This Row],[Tags]],", ",",")&amp;",")),"Y","N")</f>
        <v>Y</v>
      </c>
      <c r="L721" s="3" t="str">
        <f>IF(ISNUMBER(SEARCH(",Adventure,",","&amp;SUBSTITUTE(TableMain[[#This Row],[Tags]],", ",",")&amp;",")),"Y","N")</f>
        <v>N</v>
      </c>
      <c r="M721" s="3" t="str">
        <f>IF(ISNUMBER(SEARCH(",Simulation,",","&amp;SUBSTITUTE(TableMain[[#This Row],[Tags]],", ",",")&amp;",")),"Y","N")</f>
        <v>Y</v>
      </c>
      <c r="N721" s="3" t="str">
        <f>IF(ISNUMBER(SEARCH(",RPG,",","&amp;SUBSTITUTE(TableMain[[#This Row],[Tags]],", ",",")&amp;",")),"Y","N")</f>
        <v>N</v>
      </c>
      <c r="O721" s="3" t="str">
        <f>IF(ISNUMBER(SEARCH(",Strategy,",","&amp;SUBSTITUTE(TableMain[[#This Row],[Tags]],", ",",")&amp;",")),"Y","N")</f>
        <v>N</v>
      </c>
      <c r="P721" s="3" t="str">
        <f>IF(ISNUMBER(SEARCH(",Free To Play,",","&amp;SUBSTITUTE(TableMain[[#This Row],[Tags]],", ",",")&amp;",")),"Y","N")</f>
        <v>N</v>
      </c>
    </row>
    <row r="722" spans="1:16" x14ac:dyDescent="0.35">
      <c r="A722">
        <v>638970</v>
      </c>
      <c r="B722" t="s">
        <v>1625</v>
      </c>
      <c r="C722" s="1">
        <v>43313</v>
      </c>
      <c r="D722">
        <v>550</v>
      </c>
      <c r="E722" t="b">
        <v>0</v>
      </c>
      <c r="F722" t="s">
        <v>1626</v>
      </c>
      <c r="G722" t="s">
        <v>208</v>
      </c>
      <c r="H722">
        <v>722</v>
      </c>
      <c r="I722" t="s">
        <v>25</v>
      </c>
      <c r="J722" s="3" t="str">
        <f>IF(ISNUMBER(SEARCH(",Action,",","&amp;SUBSTITUTE(TableMain[[#This Row],[Tags]],", ",",")&amp;",")),"Y","N")</f>
        <v>Y</v>
      </c>
      <c r="K722" s="3" t="str">
        <f>IF(ISNUMBER(SEARCH(",Indie,",","&amp;SUBSTITUTE(TableMain[[#This Row],[Tags]],", ",",")&amp;",")),"Y","N")</f>
        <v>N</v>
      </c>
      <c r="L722" s="3" t="str">
        <f>IF(ISNUMBER(SEARCH(",Adventure,",","&amp;SUBSTITUTE(TableMain[[#This Row],[Tags]],", ",",")&amp;",")),"Y","N")</f>
        <v>Y</v>
      </c>
      <c r="M722" s="3" t="str">
        <f>IF(ISNUMBER(SEARCH(",Simulation,",","&amp;SUBSTITUTE(TableMain[[#This Row],[Tags]],", ",",")&amp;",")),"Y","N")</f>
        <v>N</v>
      </c>
      <c r="N722" s="3" t="str">
        <f>IF(ISNUMBER(SEARCH(",RPG,",","&amp;SUBSTITUTE(TableMain[[#This Row],[Tags]],", ",",")&amp;",")),"Y","N")</f>
        <v>Y</v>
      </c>
      <c r="O722" s="3" t="str">
        <f>IF(ISNUMBER(SEARCH(",Strategy,",","&amp;SUBSTITUTE(TableMain[[#This Row],[Tags]],", ",",")&amp;",")),"Y","N")</f>
        <v>N</v>
      </c>
      <c r="P722" s="3" t="str">
        <f>IF(ISNUMBER(SEARCH(",Free To Play,",","&amp;SUBSTITUTE(TableMain[[#This Row],[Tags]],", ",",")&amp;",")),"Y","N")</f>
        <v>N</v>
      </c>
    </row>
    <row r="723" spans="1:16" x14ac:dyDescent="0.35">
      <c r="A723">
        <v>1173370</v>
      </c>
      <c r="B723" t="s">
        <v>1627</v>
      </c>
      <c r="C723" s="1">
        <v>45393</v>
      </c>
      <c r="D723">
        <v>547</v>
      </c>
      <c r="E723" t="b">
        <v>0</v>
      </c>
      <c r="F723" t="s">
        <v>1628</v>
      </c>
      <c r="G723" t="s">
        <v>1629</v>
      </c>
      <c r="H723">
        <v>724</v>
      </c>
      <c r="I723" t="s">
        <v>53</v>
      </c>
      <c r="J723" s="3" t="str">
        <f>IF(ISNUMBER(SEARCH(",Action,",","&amp;SUBSTITUTE(TableMain[[#This Row],[Tags]],", ",",")&amp;",")),"Y","N")</f>
        <v>Y</v>
      </c>
      <c r="K723" s="3" t="str">
        <f>IF(ISNUMBER(SEARCH(",Indie,",","&amp;SUBSTITUTE(TableMain[[#This Row],[Tags]],", ",",")&amp;",")),"Y","N")</f>
        <v>Y</v>
      </c>
      <c r="L723" s="3" t="str">
        <f>IF(ISNUMBER(SEARCH(",Adventure,",","&amp;SUBSTITUTE(TableMain[[#This Row],[Tags]],", ",",")&amp;",")),"Y","N")</f>
        <v>N</v>
      </c>
      <c r="M723" s="3" t="str">
        <f>IF(ISNUMBER(SEARCH(",Simulation,",","&amp;SUBSTITUTE(TableMain[[#This Row],[Tags]],", ",",")&amp;",")),"Y","N")</f>
        <v>N</v>
      </c>
      <c r="N723" s="3" t="str">
        <f>IF(ISNUMBER(SEARCH(",RPG,",","&amp;SUBSTITUTE(TableMain[[#This Row],[Tags]],", ",",")&amp;",")),"Y","N")</f>
        <v>N</v>
      </c>
      <c r="O723" s="3" t="str">
        <f>IF(ISNUMBER(SEARCH(",Strategy,",","&amp;SUBSTITUTE(TableMain[[#This Row],[Tags]],", ",",")&amp;",")),"Y","N")</f>
        <v>N</v>
      </c>
      <c r="P723" s="3" t="str">
        <f>IF(ISNUMBER(SEARCH(",Free To Play,",","&amp;SUBSTITUTE(TableMain[[#This Row],[Tags]],", ",",")&amp;",")),"Y","N")</f>
        <v>Y</v>
      </c>
    </row>
    <row r="724" spans="1:16" x14ac:dyDescent="0.35">
      <c r="A724">
        <v>1105420</v>
      </c>
      <c r="B724" t="s">
        <v>1630</v>
      </c>
      <c r="C724" s="1">
        <v>43783</v>
      </c>
      <c r="D724">
        <v>547</v>
      </c>
      <c r="E724" t="b">
        <v>0</v>
      </c>
      <c r="F724" t="s">
        <v>1631</v>
      </c>
      <c r="G724" t="s">
        <v>1632</v>
      </c>
      <c r="H724">
        <v>724</v>
      </c>
      <c r="I724" t="s">
        <v>2082</v>
      </c>
      <c r="J724" s="3" t="str">
        <f>IF(ISNUMBER(SEARCH(",Action,",","&amp;SUBSTITUTE(TableMain[[#This Row],[Tags]],", ",",")&amp;",")),"Y","N")</f>
        <v>N</v>
      </c>
      <c r="K724" s="3" t="str">
        <f>IF(ISNUMBER(SEARCH(",Indie,",","&amp;SUBSTITUTE(TableMain[[#This Row],[Tags]],", ",",")&amp;",")),"Y","N")</f>
        <v>N</v>
      </c>
      <c r="L724" s="3" t="str">
        <f>IF(ISNUMBER(SEARCH(",Adventure,",","&amp;SUBSTITUTE(TableMain[[#This Row],[Tags]],", ",",")&amp;",")),"Y","N")</f>
        <v>N</v>
      </c>
      <c r="M724" s="3" t="str">
        <f>IF(ISNUMBER(SEARCH(",Simulation,",","&amp;SUBSTITUTE(TableMain[[#This Row],[Tags]],", ",",")&amp;",")),"Y","N")</f>
        <v>Y</v>
      </c>
      <c r="N724" s="3" t="str">
        <f>IF(ISNUMBER(SEARCH(",RPG,",","&amp;SUBSTITUTE(TableMain[[#This Row],[Tags]],", ",",")&amp;",")),"Y","N")</f>
        <v>Y</v>
      </c>
      <c r="O724" s="3" t="str">
        <f>IF(ISNUMBER(SEARCH(",Strategy,",","&amp;SUBSTITUTE(TableMain[[#This Row],[Tags]],", ",",")&amp;",")),"Y","N")</f>
        <v>Y</v>
      </c>
      <c r="P724" s="3" t="str">
        <f>IF(ISNUMBER(SEARCH(",Free To Play,",","&amp;SUBSTITUTE(TableMain[[#This Row],[Tags]],", ",",")&amp;",")),"Y","N")</f>
        <v>Y</v>
      </c>
    </row>
    <row r="725" spans="1:16" x14ac:dyDescent="0.35">
      <c r="A725">
        <v>859580</v>
      </c>
      <c r="B725" t="s">
        <v>1633</v>
      </c>
      <c r="C725" s="1">
        <v>43580</v>
      </c>
      <c r="D725">
        <v>547</v>
      </c>
      <c r="E725" t="b">
        <v>1</v>
      </c>
      <c r="F725" t="s">
        <v>1634</v>
      </c>
      <c r="G725" t="s">
        <v>100</v>
      </c>
      <c r="H725">
        <v>724</v>
      </c>
      <c r="I725" t="s">
        <v>40</v>
      </c>
      <c r="J725" s="3" t="str">
        <f>IF(ISNUMBER(SEARCH(",Action,",","&amp;SUBSTITUTE(TableMain[[#This Row],[Tags]],", ",",")&amp;",")),"Y","N")</f>
        <v>N</v>
      </c>
      <c r="K725" s="3" t="str">
        <f>IF(ISNUMBER(SEARCH(",Indie,",","&amp;SUBSTITUTE(TableMain[[#This Row],[Tags]],", ",",")&amp;",")),"Y","N")</f>
        <v>N</v>
      </c>
      <c r="L725" s="3" t="str">
        <f>IF(ISNUMBER(SEARCH(",Adventure,",","&amp;SUBSTITUTE(TableMain[[#This Row],[Tags]],", ",",")&amp;",")),"Y","N")</f>
        <v>N</v>
      </c>
      <c r="M725" s="3" t="str">
        <f>IF(ISNUMBER(SEARCH(",Simulation,",","&amp;SUBSTITUTE(TableMain[[#This Row],[Tags]],", ",",")&amp;",")),"Y","N")</f>
        <v>Y</v>
      </c>
      <c r="N725" s="3" t="str">
        <f>IF(ISNUMBER(SEARCH(",RPG,",","&amp;SUBSTITUTE(TableMain[[#This Row],[Tags]],", ",",")&amp;",")),"Y","N")</f>
        <v>N</v>
      </c>
      <c r="O725" s="3" t="str">
        <f>IF(ISNUMBER(SEARCH(",Strategy,",","&amp;SUBSTITUTE(TableMain[[#This Row],[Tags]],", ",",")&amp;",")),"Y","N")</f>
        <v>Y</v>
      </c>
      <c r="P725" s="3" t="str">
        <f>IF(ISNUMBER(SEARCH(",Free To Play,",","&amp;SUBSTITUTE(TableMain[[#This Row],[Tags]],", ",",")&amp;",")),"Y","N")</f>
        <v>N</v>
      </c>
    </row>
    <row r="726" spans="1:16" x14ac:dyDescent="0.35">
      <c r="A726">
        <v>24200</v>
      </c>
      <c r="B726" t="s">
        <v>1635</v>
      </c>
      <c r="C726" s="1">
        <v>40849</v>
      </c>
      <c r="D726">
        <v>546</v>
      </c>
      <c r="E726" t="b">
        <v>0</v>
      </c>
      <c r="F726" t="s">
        <v>1636</v>
      </c>
      <c r="G726" t="s">
        <v>170</v>
      </c>
      <c r="H726">
        <v>727</v>
      </c>
      <c r="I726" t="s">
        <v>2084</v>
      </c>
      <c r="J726" s="3" t="str">
        <f>IF(ISNUMBER(SEARCH(",Action,",","&amp;SUBSTITUTE(TableMain[[#This Row],[Tags]],", ",",")&amp;",")),"Y","N")</f>
        <v>Y</v>
      </c>
      <c r="K726" s="3" t="str">
        <f>IF(ISNUMBER(SEARCH(",Indie,",","&amp;SUBSTITUTE(TableMain[[#This Row],[Tags]],", ",",")&amp;",")),"Y","N")</f>
        <v>N</v>
      </c>
      <c r="L726" s="3" t="str">
        <f>IF(ISNUMBER(SEARCH(",Adventure,",","&amp;SUBSTITUTE(TableMain[[#This Row],[Tags]],", ",",")&amp;",")),"Y","N")</f>
        <v>Y</v>
      </c>
      <c r="M726" s="3" t="str">
        <f>IF(ISNUMBER(SEARCH(",Simulation,",","&amp;SUBSTITUTE(TableMain[[#This Row],[Tags]],", ",",")&amp;",")),"Y","N")</f>
        <v>N</v>
      </c>
      <c r="N726" s="3" t="str">
        <f>IF(ISNUMBER(SEARCH(",RPG,",","&amp;SUBSTITUTE(TableMain[[#This Row],[Tags]],", ",",")&amp;",")),"Y","N")</f>
        <v>Y</v>
      </c>
      <c r="O726" s="3" t="str">
        <f>IF(ISNUMBER(SEARCH(",Strategy,",","&amp;SUBSTITUTE(TableMain[[#This Row],[Tags]],", ",",")&amp;",")),"Y","N")</f>
        <v>N</v>
      </c>
      <c r="P726" s="3" t="str">
        <f>IF(ISNUMBER(SEARCH(",Free To Play,",","&amp;SUBSTITUTE(TableMain[[#This Row],[Tags]],", ",",")&amp;",")),"Y","N")</f>
        <v>Y</v>
      </c>
    </row>
    <row r="727" spans="1:16" x14ac:dyDescent="0.35">
      <c r="A727">
        <v>2916430</v>
      </c>
      <c r="B727" t="s">
        <v>1637</v>
      </c>
      <c r="C727" s="1">
        <v>45636</v>
      </c>
      <c r="D727">
        <v>545</v>
      </c>
      <c r="E727" t="b">
        <v>0</v>
      </c>
      <c r="F727" t="s">
        <v>546</v>
      </c>
      <c r="G727" t="s">
        <v>891</v>
      </c>
      <c r="H727">
        <v>728</v>
      </c>
      <c r="I727" t="s">
        <v>29</v>
      </c>
      <c r="J727" s="3" t="str">
        <f>IF(ISNUMBER(SEARCH(",Action,",","&amp;SUBSTITUTE(TableMain[[#This Row],[Tags]],", ",",")&amp;",")),"Y","N")</f>
        <v>N</v>
      </c>
      <c r="K727" s="3" t="str">
        <f>IF(ISNUMBER(SEARCH(",Indie,",","&amp;SUBSTITUTE(TableMain[[#This Row],[Tags]],", ",",")&amp;",")),"Y","N")</f>
        <v>Y</v>
      </c>
      <c r="L727" s="3" t="str">
        <f>IF(ISNUMBER(SEARCH(",Adventure,",","&amp;SUBSTITUTE(TableMain[[#This Row],[Tags]],", ",",")&amp;",")),"Y","N")</f>
        <v>N</v>
      </c>
      <c r="M727" s="3" t="str">
        <f>IF(ISNUMBER(SEARCH(",Simulation,",","&amp;SUBSTITUTE(TableMain[[#This Row],[Tags]],", ",",")&amp;",")),"Y","N")</f>
        <v>Y</v>
      </c>
      <c r="N727" s="3" t="str">
        <f>IF(ISNUMBER(SEARCH(",RPG,",","&amp;SUBSTITUTE(TableMain[[#This Row],[Tags]],", ",",")&amp;",")),"Y","N")</f>
        <v>N</v>
      </c>
      <c r="O727" s="3" t="str">
        <f>IF(ISNUMBER(SEARCH(",Strategy,",","&amp;SUBSTITUTE(TableMain[[#This Row],[Tags]],", ",",")&amp;",")),"Y","N")</f>
        <v>N</v>
      </c>
      <c r="P727" s="3" t="str">
        <f>IF(ISNUMBER(SEARCH(",Free To Play,",","&amp;SUBSTITUTE(TableMain[[#This Row],[Tags]],", ",",")&amp;",")),"Y","N")</f>
        <v>N</v>
      </c>
    </row>
    <row r="728" spans="1:16" x14ac:dyDescent="0.35">
      <c r="A728">
        <v>1575940</v>
      </c>
      <c r="B728" t="s">
        <v>1638</v>
      </c>
      <c r="C728" s="1">
        <v>45519</v>
      </c>
      <c r="D728">
        <v>544</v>
      </c>
      <c r="E728" t="b">
        <v>0</v>
      </c>
      <c r="F728" t="s">
        <v>1639</v>
      </c>
      <c r="G728" t="s">
        <v>100</v>
      </c>
      <c r="H728">
        <v>729</v>
      </c>
      <c r="I728" t="s">
        <v>18</v>
      </c>
      <c r="J728" s="3" t="str">
        <f>IF(ISNUMBER(SEARCH(",Action,",","&amp;SUBSTITUTE(TableMain[[#This Row],[Tags]],", ",",")&amp;",")),"Y","N")</f>
        <v>N</v>
      </c>
      <c r="K728" s="3" t="str">
        <f>IF(ISNUMBER(SEARCH(",Indie,",","&amp;SUBSTITUTE(TableMain[[#This Row],[Tags]],", ",",")&amp;",")),"Y","N")</f>
        <v>N</v>
      </c>
      <c r="L728" s="3" t="str">
        <f>IF(ISNUMBER(SEARCH(",Adventure,",","&amp;SUBSTITUTE(TableMain[[#This Row],[Tags]],", ",",")&amp;",")),"Y","N")</f>
        <v>N</v>
      </c>
      <c r="M728" s="3" t="str">
        <f>IF(ISNUMBER(SEARCH(",Simulation,",","&amp;SUBSTITUTE(TableMain[[#This Row],[Tags]],", ",",")&amp;",")),"Y","N")</f>
        <v>Y</v>
      </c>
      <c r="N728" s="3" t="str">
        <f>IF(ISNUMBER(SEARCH(",RPG,",","&amp;SUBSTITUTE(TableMain[[#This Row],[Tags]],", ",",")&amp;",")),"Y","N")</f>
        <v>N</v>
      </c>
      <c r="O728" s="3" t="str">
        <f>IF(ISNUMBER(SEARCH(",Strategy,",","&amp;SUBSTITUTE(TableMain[[#This Row],[Tags]],", ",",")&amp;",")),"Y","N")</f>
        <v>Y</v>
      </c>
      <c r="P728" s="3" t="str">
        <f>IF(ISNUMBER(SEARCH(",Free To Play,",","&amp;SUBSTITUTE(TableMain[[#This Row],[Tags]],", ",",")&amp;",")),"Y","N")</f>
        <v>N</v>
      </c>
    </row>
    <row r="729" spans="1:16" x14ac:dyDescent="0.35">
      <c r="A729">
        <v>707010</v>
      </c>
      <c r="B729" t="s">
        <v>1640</v>
      </c>
      <c r="C729" s="1">
        <v>43195</v>
      </c>
      <c r="D729">
        <v>542</v>
      </c>
      <c r="E729" t="b">
        <v>0</v>
      </c>
      <c r="F729" t="s">
        <v>1641</v>
      </c>
      <c r="G729" t="s">
        <v>1176</v>
      </c>
      <c r="H729">
        <v>730</v>
      </c>
      <c r="I729" t="s">
        <v>53</v>
      </c>
      <c r="J729" s="3" t="str">
        <f>IF(ISNUMBER(SEARCH(",Action,",","&amp;SUBSTITUTE(TableMain[[#This Row],[Tags]],", ",",")&amp;",")),"Y","N")</f>
        <v>Y</v>
      </c>
      <c r="K729" s="3" t="str">
        <f>IF(ISNUMBER(SEARCH(",Indie,",","&amp;SUBSTITUTE(TableMain[[#This Row],[Tags]],", ",",")&amp;",")),"Y","N")</f>
        <v>Y</v>
      </c>
      <c r="L729" s="3" t="str">
        <f>IF(ISNUMBER(SEARCH(",Adventure,",","&amp;SUBSTITUTE(TableMain[[#This Row],[Tags]],", ",",")&amp;",")),"Y","N")</f>
        <v>N</v>
      </c>
      <c r="M729" s="3" t="str">
        <f>IF(ISNUMBER(SEARCH(",Simulation,",","&amp;SUBSTITUTE(TableMain[[#This Row],[Tags]],", ",",")&amp;",")),"Y","N")</f>
        <v>N</v>
      </c>
      <c r="N729" s="3" t="str">
        <f>IF(ISNUMBER(SEARCH(",RPG,",","&amp;SUBSTITUTE(TableMain[[#This Row],[Tags]],", ",",")&amp;",")),"Y","N")</f>
        <v>Y</v>
      </c>
      <c r="O729" s="3" t="str">
        <f>IF(ISNUMBER(SEARCH(",Strategy,",","&amp;SUBSTITUTE(TableMain[[#This Row],[Tags]],", ",",")&amp;",")),"Y","N")</f>
        <v>N</v>
      </c>
      <c r="P729" s="3" t="str">
        <f>IF(ISNUMBER(SEARCH(",Free To Play,",","&amp;SUBSTITUTE(TableMain[[#This Row],[Tags]],", ",",")&amp;",")),"Y","N")</f>
        <v>Y</v>
      </c>
    </row>
    <row r="730" spans="1:16" x14ac:dyDescent="0.35">
      <c r="A730">
        <v>312660</v>
      </c>
      <c r="B730" t="s">
        <v>1642</v>
      </c>
      <c r="C730" s="1">
        <v>42779</v>
      </c>
      <c r="D730">
        <v>541</v>
      </c>
      <c r="E730" t="b">
        <v>0</v>
      </c>
      <c r="F730" t="s">
        <v>1643</v>
      </c>
      <c r="G730" t="s">
        <v>46</v>
      </c>
      <c r="H730">
        <v>731</v>
      </c>
      <c r="I730" t="s">
        <v>33</v>
      </c>
      <c r="J730" s="3" t="str">
        <f>IF(ISNUMBER(SEARCH(",Action,",","&amp;SUBSTITUTE(TableMain[[#This Row],[Tags]],", ",",")&amp;",")),"Y","N")</f>
        <v>Y</v>
      </c>
      <c r="K730" s="3" t="str">
        <f>IF(ISNUMBER(SEARCH(",Indie,",","&amp;SUBSTITUTE(TableMain[[#This Row],[Tags]],", ",",")&amp;",")),"Y","N")</f>
        <v>N</v>
      </c>
      <c r="L730" s="3" t="str">
        <f>IF(ISNUMBER(SEARCH(",Adventure,",","&amp;SUBSTITUTE(TableMain[[#This Row],[Tags]],", ",",")&amp;",")),"Y","N")</f>
        <v>Y</v>
      </c>
      <c r="M730" s="3" t="str">
        <f>IF(ISNUMBER(SEARCH(",Simulation,",","&amp;SUBSTITUTE(TableMain[[#This Row],[Tags]],", ",",")&amp;",")),"Y","N")</f>
        <v>N</v>
      </c>
      <c r="N730" s="3" t="str">
        <f>IF(ISNUMBER(SEARCH(",RPG,",","&amp;SUBSTITUTE(TableMain[[#This Row],[Tags]],", ",",")&amp;",")),"Y","N")</f>
        <v>N</v>
      </c>
      <c r="O730" s="3" t="str">
        <f>IF(ISNUMBER(SEARCH(",Strategy,",","&amp;SUBSTITUTE(TableMain[[#This Row],[Tags]],", ",",")&amp;",")),"Y","N")</f>
        <v>N</v>
      </c>
      <c r="P730" s="3" t="str">
        <f>IF(ISNUMBER(SEARCH(",Free To Play,",","&amp;SUBSTITUTE(TableMain[[#This Row],[Tags]],", ",",")&amp;",")),"Y","N")</f>
        <v>N</v>
      </c>
    </row>
    <row r="731" spans="1:16" x14ac:dyDescent="0.35">
      <c r="A731">
        <v>1030830</v>
      </c>
      <c r="B731" t="s">
        <v>1644</v>
      </c>
      <c r="C731" s="1">
        <v>43970</v>
      </c>
      <c r="D731">
        <v>538</v>
      </c>
      <c r="E731" t="b">
        <v>0</v>
      </c>
      <c r="F731" t="s">
        <v>629</v>
      </c>
      <c r="G731" t="s">
        <v>46</v>
      </c>
      <c r="H731">
        <v>732</v>
      </c>
      <c r="I731" t="s">
        <v>133</v>
      </c>
      <c r="J731" s="3" t="str">
        <f>IF(ISNUMBER(SEARCH(",Action,",","&amp;SUBSTITUTE(TableMain[[#This Row],[Tags]],", ",",")&amp;",")),"Y","N")</f>
        <v>Y</v>
      </c>
      <c r="K731" s="3" t="str">
        <f>IF(ISNUMBER(SEARCH(",Indie,",","&amp;SUBSTITUTE(TableMain[[#This Row],[Tags]],", ",",")&amp;",")),"Y","N")</f>
        <v>N</v>
      </c>
      <c r="L731" s="3" t="str">
        <f>IF(ISNUMBER(SEARCH(",Adventure,",","&amp;SUBSTITUTE(TableMain[[#This Row],[Tags]],", ",",")&amp;",")),"Y","N")</f>
        <v>Y</v>
      </c>
      <c r="M731" s="3" t="str">
        <f>IF(ISNUMBER(SEARCH(",Simulation,",","&amp;SUBSTITUTE(TableMain[[#This Row],[Tags]],", ",",")&amp;",")),"Y","N")</f>
        <v>N</v>
      </c>
      <c r="N731" s="3" t="str">
        <f>IF(ISNUMBER(SEARCH(",RPG,",","&amp;SUBSTITUTE(TableMain[[#This Row],[Tags]],", ",",")&amp;",")),"Y","N")</f>
        <v>N</v>
      </c>
      <c r="O731" s="3" t="str">
        <f>IF(ISNUMBER(SEARCH(",Strategy,",","&amp;SUBSTITUTE(TableMain[[#This Row],[Tags]],", ",",")&amp;",")),"Y","N")</f>
        <v>N</v>
      </c>
      <c r="P731" s="3" t="str">
        <f>IF(ISNUMBER(SEARCH(",Free To Play,",","&amp;SUBSTITUTE(TableMain[[#This Row],[Tags]],", ",",")&amp;",")),"Y","N")</f>
        <v>N</v>
      </c>
    </row>
    <row r="732" spans="1:16" x14ac:dyDescent="0.35">
      <c r="A732">
        <v>1324130</v>
      </c>
      <c r="B732" t="s">
        <v>1645</v>
      </c>
      <c r="C732" s="1">
        <v>45041</v>
      </c>
      <c r="D732">
        <v>538</v>
      </c>
      <c r="E732" t="b">
        <v>0</v>
      </c>
      <c r="F732" t="s">
        <v>1206</v>
      </c>
      <c r="G732" t="s">
        <v>100</v>
      </c>
      <c r="H732">
        <v>732</v>
      </c>
      <c r="I732" t="s">
        <v>36</v>
      </c>
      <c r="J732" s="3" t="str">
        <f>IF(ISNUMBER(SEARCH(",Action,",","&amp;SUBSTITUTE(TableMain[[#This Row],[Tags]],", ",",")&amp;",")),"Y","N")</f>
        <v>N</v>
      </c>
      <c r="K732" s="3" t="str">
        <f>IF(ISNUMBER(SEARCH(",Indie,",","&amp;SUBSTITUTE(TableMain[[#This Row],[Tags]],", ",",")&amp;",")),"Y","N")</f>
        <v>N</v>
      </c>
      <c r="L732" s="3" t="str">
        <f>IF(ISNUMBER(SEARCH(",Adventure,",","&amp;SUBSTITUTE(TableMain[[#This Row],[Tags]],", ",",")&amp;",")),"Y","N")</f>
        <v>N</v>
      </c>
      <c r="M732" s="3" t="str">
        <f>IF(ISNUMBER(SEARCH(",Simulation,",","&amp;SUBSTITUTE(TableMain[[#This Row],[Tags]],", ",",")&amp;",")),"Y","N")</f>
        <v>Y</v>
      </c>
      <c r="N732" s="3" t="str">
        <f>IF(ISNUMBER(SEARCH(",RPG,",","&amp;SUBSTITUTE(TableMain[[#This Row],[Tags]],", ",",")&amp;",")),"Y","N")</f>
        <v>N</v>
      </c>
      <c r="O732" s="3" t="str">
        <f>IF(ISNUMBER(SEARCH(",Strategy,",","&amp;SUBSTITUTE(TableMain[[#This Row],[Tags]],", ",",")&amp;",")),"Y","N")</f>
        <v>Y</v>
      </c>
      <c r="P732" s="3" t="str">
        <f>IF(ISNUMBER(SEARCH(",Free To Play,",","&amp;SUBSTITUTE(TableMain[[#This Row],[Tags]],", ",",")&amp;",")),"Y","N")</f>
        <v>N</v>
      </c>
    </row>
    <row r="733" spans="1:16" x14ac:dyDescent="0.35">
      <c r="A733">
        <v>3204020</v>
      </c>
      <c r="B733" t="s">
        <v>1646</v>
      </c>
      <c r="C733" s="1">
        <v>45812</v>
      </c>
      <c r="D733">
        <v>538</v>
      </c>
      <c r="E733" t="b">
        <v>0</v>
      </c>
      <c r="F733" t="s">
        <v>416</v>
      </c>
      <c r="G733" t="s">
        <v>1041</v>
      </c>
      <c r="H733">
        <v>732</v>
      </c>
      <c r="I733" t="s">
        <v>2082</v>
      </c>
      <c r="J733" s="3" t="str">
        <f>IF(ISNUMBER(SEARCH(",Action,",","&amp;SUBSTITUTE(TableMain[[#This Row],[Tags]],", ",",")&amp;",")),"Y","N")</f>
        <v>N</v>
      </c>
      <c r="K733" s="3" t="str">
        <f>IF(ISNUMBER(SEARCH(",Indie,",","&amp;SUBSTITUTE(TableMain[[#This Row],[Tags]],", ",",")&amp;",")),"Y","N")</f>
        <v>Y</v>
      </c>
      <c r="L733" s="3" t="str">
        <f>IF(ISNUMBER(SEARCH(",Adventure,",","&amp;SUBSTITUTE(TableMain[[#This Row],[Tags]],", ",",")&amp;",")),"Y","N")</f>
        <v>N</v>
      </c>
      <c r="M733" s="3" t="str">
        <f>IF(ISNUMBER(SEARCH(",Simulation,",","&amp;SUBSTITUTE(TableMain[[#This Row],[Tags]],", ",",")&amp;",")),"Y","N")</f>
        <v>N</v>
      </c>
      <c r="N733" s="3" t="str">
        <f>IF(ISNUMBER(SEARCH(",RPG,",","&amp;SUBSTITUTE(TableMain[[#This Row],[Tags]],", ",",")&amp;",")),"Y","N")</f>
        <v>N</v>
      </c>
      <c r="O733" s="3" t="str">
        <f>IF(ISNUMBER(SEARCH(",Strategy,",","&amp;SUBSTITUTE(TableMain[[#This Row],[Tags]],", ",",")&amp;",")),"Y","N")</f>
        <v>N</v>
      </c>
      <c r="P733" s="3" t="str">
        <f>IF(ISNUMBER(SEARCH(",Free To Play,",","&amp;SUBSTITUTE(TableMain[[#This Row],[Tags]],", ",",")&amp;",")),"Y","N")</f>
        <v>N</v>
      </c>
    </row>
    <row r="734" spans="1:16" x14ac:dyDescent="0.35">
      <c r="A734">
        <v>1385380</v>
      </c>
      <c r="B734" t="s">
        <v>1647</v>
      </c>
      <c r="C734" s="1">
        <v>44789</v>
      </c>
      <c r="D734">
        <v>531</v>
      </c>
      <c r="E734" t="b">
        <v>1</v>
      </c>
      <c r="F734" t="s">
        <v>565</v>
      </c>
      <c r="G734" t="s">
        <v>720</v>
      </c>
      <c r="H734">
        <v>735</v>
      </c>
      <c r="I734" t="s">
        <v>113</v>
      </c>
      <c r="J734" s="3" t="str">
        <f>IF(ISNUMBER(SEARCH(",Action,",","&amp;SUBSTITUTE(TableMain[[#This Row],[Tags]],", ",",")&amp;",")),"Y","N")</f>
        <v>N</v>
      </c>
      <c r="K734" s="3" t="str">
        <f>IF(ISNUMBER(SEARCH(",Indie,",","&amp;SUBSTITUTE(TableMain[[#This Row],[Tags]],", ",",")&amp;",")),"Y","N")</f>
        <v>Y</v>
      </c>
      <c r="L734" s="3" t="str">
        <f>IF(ISNUMBER(SEARCH(",Adventure,",","&amp;SUBSTITUTE(TableMain[[#This Row],[Tags]],", ",",")&amp;",")),"Y","N")</f>
        <v>Y</v>
      </c>
      <c r="M734" s="3" t="str">
        <f>IF(ISNUMBER(SEARCH(",Simulation,",","&amp;SUBSTITUTE(TableMain[[#This Row],[Tags]],", ",",")&amp;",")),"Y","N")</f>
        <v>N</v>
      </c>
      <c r="N734" s="3" t="str">
        <f>IF(ISNUMBER(SEARCH(",RPG,",","&amp;SUBSTITUTE(TableMain[[#This Row],[Tags]],", ",",")&amp;",")),"Y","N")</f>
        <v>Y</v>
      </c>
      <c r="O734" s="3" t="str">
        <f>IF(ISNUMBER(SEARCH(",Strategy,",","&amp;SUBSTITUTE(TableMain[[#This Row],[Tags]],", ",",")&amp;",")),"Y","N")</f>
        <v>Y</v>
      </c>
      <c r="P734" s="3" t="str">
        <f>IF(ISNUMBER(SEARCH(",Free To Play,",","&amp;SUBSTITUTE(TableMain[[#This Row],[Tags]],", ",",")&amp;",")),"Y","N")</f>
        <v>N</v>
      </c>
    </row>
    <row r="735" spans="1:16" x14ac:dyDescent="0.35">
      <c r="A735">
        <v>1486920</v>
      </c>
      <c r="B735" t="s">
        <v>1648</v>
      </c>
      <c r="C735" s="1">
        <v>45771</v>
      </c>
      <c r="D735">
        <v>528</v>
      </c>
      <c r="E735" t="b">
        <v>0</v>
      </c>
      <c r="F735" t="s">
        <v>1333</v>
      </c>
      <c r="G735" t="s">
        <v>183</v>
      </c>
      <c r="H735">
        <v>736</v>
      </c>
      <c r="I735" t="s">
        <v>113</v>
      </c>
      <c r="J735" s="3" t="str">
        <f>IF(ISNUMBER(SEARCH(",Action,",","&amp;SUBSTITUTE(TableMain[[#This Row],[Tags]],", ",",")&amp;",")),"Y","N")</f>
        <v>Y</v>
      </c>
      <c r="K735" s="3" t="str">
        <f>IF(ISNUMBER(SEARCH(",Indie,",","&amp;SUBSTITUTE(TableMain[[#This Row],[Tags]],", ",",")&amp;",")),"Y","N")</f>
        <v>N</v>
      </c>
      <c r="L735" s="3" t="str">
        <f>IF(ISNUMBER(SEARCH(",Adventure,",","&amp;SUBSTITUTE(TableMain[[#This Row],[Tags]],", ",",")&amp;",")),"Y","N")</f>
        <v>N</v>
      </c>
      <c r="M735" s="3" t="str">
        <f>IF(ISNUMBER(SEARCH(",Simulation,",","&amp;SUBSTITUTE(TableMain[[#This Row],[Tags]],", ",",")&amp;",")),"Y","N")</f>
        <v>N</v>
      </c>
      <c r="N735" s="3" t="str">
        <f>IF(ISNUMBER(SEARCH(",RPG,",","&amp;SUBSTITUTE(TableMain[[#This Row],[Tags]],", ",",")&amp;",")),"Y","N")</f>
        <v>N</v>
      </c>
      <c r="O735" s="3" t="str">
        <f>IF(ISNUMBER(SEARCH(",Strategy,",","&amp;SUBSTITUTE(TableMain[[#This Row],[Tags]],", ",",")&amp;",")),"Y","N")</f>
        <v>Y</v>
      </c>
      <c r="P735" s="3" t="str">
        <f>IF(ISNUMBER(SEARCH(",Free To Play,",","&amp;SUBSTITUTE(TableMain[[#This Row],[Tags]],", ",",")&amp;",")),"Y","N")</f>
        <v>N</v>
      </c>
    </row>
    <row r="736" spans="1:16" x14ac:dyDescent="0.35">
      <c r="A736">
        <v>42700</v>
      </c>
      <c r="B736" t="s">
        <v>1649</v>
      </c>
      <c r="C736" s="1">
        <v>40491</v>
      </c>
      <c r="D736">
        <v>527</v>
      </c>
      <c r="E736" t="b">
        <v>0</v>
      </c>
      <c r="F736" t="s">
        <v>1650</v>
      </c>
      <c r="G736" t="s">
        <v>49</v>
      </c>
      <c r="H736">
        <v>737</v>
      </c>
      <c r="I736" t="s">
        <v>2084</v>
      </c>
      <c r="J736" s="3" t="str">
        <f>IF(ISNUMBER(SEARCH(",Action,",","&amp;SUBSTITUTE(TableMain[[#This Row],[Tags]],", ",",")&amp;",")),"Y","N")</f>
        <v>Y</v>
      </c>
      <c r="K736" s="3" t="str">
        <f>IF(ISNUMBER(SEARCH(",Indie,",","&amp;SUBSTITUTE(TableMain[[#This Row],[Tags]],", ",",")&amp;",")),"Y","N")</f>
        <v>N</v>
      </c>
      <c r="L736" s="3" t="str">
        <f>IF(ISNUMBER(SEARCH(",Adventure,",","&amp;SUBSTITUTE(TableMain[[#This Row],[Tags]],", ",",")&amp;",")),"Y","N")</f>
        <v>N</v>
      </c>
      <c r="M736" s="3" t="str">
        <f>IF(ISNUMBER(SEARCH(",Simulation,",","&amp;SUBSTITUTE(TableMain[[#This Row],[Tags]],", ",",")&amp;",")),"Y","N")</f>
        <v>N</v>
      </c>
      <c r="N736" s="3" t="str">
        <f>IF(ISNUMBER(SEARCH(",RPG,",","&amp;SUBSTITUTE(TableMain[[#This Row],[Tags]],", ",",")&amp;",")),"Y","N")</f>
        <v>N</v>
      </c>
      <c r="O736" s="3" t="str">
        <f>IF(ISNUMBER(SEARCH(",Strategy,",","&amp;SUBSTITUTE(TableMain[[#This Row],[Tags]],", ",",")&amp;",")),"Y","N")</f>
        <v>N</v>
      </c>
      <c r="P736" s="3" t="str">
        <f>IF(ISNUMBER(SEARCH(",Free To Play,",","&amp;SUBSTITUTE(TableMain[[#This Row],[Tags]],", ",",")&amp;",")),"Y","N")</f>
        <v>N</v>
      </c>
    </row>
    <row r="737" spans="1:16" x14ac:dyDescent="0.35">
      <c r="A737">
        <v>1021210</v>
      </c>
      <c r="B737" t="s">
        <v>1651</v>
      </c>
      <c r="C737" s="1">
        <v>45810</v>
      </c>
      <c r="D737">
        <v>527</v>
      </c>
      <c r="E737" t="b">
        <v>1</v>
      </c>
      <c r="F737" t="s">
        <v>1652</v>
      </c>
      <c r="G737" t="s">
        <v>1653</v>
      </c>
      <c r="H737">
        <v>737</v>
      </c>
      <c r="I737" t="s">
        <v>25</v>
      </c>
      <c r="J737" s="3" t="str">
        <f>IF(ISNUMBER(SEARCH(",Action,",","&amp;SUBSTITUTE(TableMain[[#This Row],[Tags]],", ",",")&amp;",")),"Y","N")</f>
        <v>Y</v>
      </c>
      <c r="K737" s="3" t="str">
        <f>IF(ISNUMBER(SEARCH(",Indie,",","&amp;SUBSTITUTE(TableMain[[#This Row],[Tags]],", ",",")&amp;",")),"Y","N")</f>
        <v>Y</v>
      </c>
      <c r="L737" s="3" t="str">
        <f>IF(ISNUMBER(SEARCH(",Adventure,",","&amp;SUBSTITUTE(TableMain[[#This Row],[Tags]],", ",",")&amp;",")),"Y","N")</f>
        <v>N</v>
      </c>
      <c r="M737" s="3" t="str">
        <f>IF(ISNUMBER(SEARCH(",Simulation,",","&amp;SUBSTITUTE(TableMain[[#This Row],[Tags]],", ",",")&amp;",")),"Y","N")</f>
        <v>N</v>
      </c>
      <c r="N737" s="3" t="str">
        <f>IF(ISNUMBER(SEARCH(",RPG,",","&amp;SUBSTITUTE(TableMain[[#This Row],[Tags]],", ",",")&amp;",")),"Y","N")</f>
        <v>Y</v>
      </c>
      <c r="O737" s="3" t="str">
        <f>IF(ISNUMBER(SEARCH(",Strategy,",","&amp;SUBSTITUTE(TableMain[[#This Row],[Tags]],", ",",")&amp;",")),"Y","N")</f>
        <v>Y</v>
      </c>
      <c r="P737" s="3" t="str">
        <f>IF(ISNUMBER(SEARCH(",Free To Play,",","&amp;SUBSTITUTE(TableMain[[#This Row],[Tags]],", ",",")&amp;",")),"Y","N")</f>
        <v>N</v>
      </c>
    </row>
    <row r="738" spans="1:16" x14ac:dyDescent="0.35">
      <c r="A738">
        <v>2701660</v>
      </c>
      <c r="B738" t="s">
        <v>1654</v>
      </c>
      <c r="C738" s="1">
        <v>45610</v>
      </c>
      <c r="D738">
        <v>526</v>
      </c>
      <c r="E738" t="b">
        <v>0</v>
      </c>
      <c r="F738" t="s">
        <v>1053</v>
      </c>
      <c r="G738" t="s">
        <v>132</v>
      </c>
      <c r="H738">
        <v>739</v>
      </c>
      <c r="I738" t="s">
        <v>53</v>
      </c>
      <c r="J738" s="3" t="str">
        <f>IF(ISNUMBER(SEARCH(",Action,",","&amp;SUBSTITUTE(TableMain[[#This Row],[Tags]],", ",",")&amp;",")),"Y","N")</f>
        <v>N</v>
      </c>
      <c r="K738" s="3" t="str">
        <f>IF(ISNUMBER(SEARCH(",Indie,",","&amp;SUBSTITUTE(TableMain[[#This Row],[Tags]],", ",",")&amp;",")),"Y","N")</f>
        <v>N</v>
      </c>
      <c r="L738" s="3" t="str">
        <f>IF(ISNUMBER(SEARCH(",Adventure,",","&amp;SUBSTITUTE(TableMain[[#This Row],[Tags]],", ",",")&amp;",")),"Y","N")</f>
        <v>N</v>
      </c>
      <c r="M738" s="3" t="str">
        <f>IF(ISNUMBER(SEARCH(",Simulation,",","&amp;SUBSTITUTE(TableMain[[#This Row],[Tags]],", ",",")&amp;",")),"Y","N")</f>
        <v>N</v>
      </c>
      <c r="N738" s="3" t="str">
        <f>IF(ISNUMBER(SEARCH(",RPG,",","&amp;SUBSTITUTE(TableMain[[#This Row],[Tags]],", ",",")&amp;",")),"Y","N")</f>
        <v>Y</v>
      </c>
      <c r="O738" s="3" t="str">
        <f>IF(ISNUMBER(SEARCH(",Strategy,",","&amp;SUBSTITUTE(TableMain[[#This Row],[Tags]],", ",",")&amp;",")),"Y","N")</f>
        <v>N</v>
      </c>
      <c r="P738" s="3" t="str">
        <f>IF(ISNUMBER(SEARCH(",Free To Play,",","&amp;SUBSTITUTE(TableMain[[#This Row],[Tags]],", ",",")&amp;",")),"Y","N")</f>
        <v>N</v>
      </c>
    </row>
    <row r="739" spans="1:16" x14ac:dyDescent="0.35">
      <c r="A739">
        <v>1601580</v>
      </c>
      <c r="B739" t="s">
        <v>1655</v>
      </c>
      <c r="C739" s="1">
        <v>45555</v>
      </c>
      <c r="D739">
        <v>525</v>
      </c>
      <c r="E739" t="b">
        <v>1</v>
      </c>
      <c r="F739" t="s">
        <v>1656</v>
      </c>
      <c r="G739" t="s">
        <v>100</v>
      </c>
      <c r="H739">
        <v>740</v>
      </c>
      <c r="I739" t="s">
        <v>486</v>
      </c>
      <c r="J739" s="3" t="str">
        <f>IF(ISNUMBER(SEARCH(",Action,",","&amp;SUBSTITUTE(TableMain[[#This Row],[Tags]],", ",",")&amp;",")),"Y","N")</f>
        <v>N</v>
      </c>
      <c r="K739" s="3" t="str">
        <f>IF(ISNUMBER(SEARCH(",Indie,",","&amp;SUBSTITUTE(TableMain[[#This Row],[Tags]],", ",",")&amp;",")),"Y","N")</f>
        <v>N</v>
      </c>
      <c r="L739" s="3" t="str">
        <f>IF(ISNUMBER(SEARCH(",Adventure,",","&amp;SUBSTITUTE(TableMain[[#This Row],[Tags]],", ",",")&amp;",")),"Y","N")</f>
        <v>N</v>
      </c>
      <c r="M739" s="3" t="str">
        <f>IF(ISNUMBER(SEARCH(",Simulation,",","&amp;SUBSTITUTE(TableMain[[#This Row],[Tags]],", ",",")&amp;",")),"Y","N")</f>
        <v>Y</v>
      </c>
      <c r="N739" s="3" t="str">
        <f>IF(ISNUMBER(SEARCH(",RPG,",","&amp;SUBSTITUTE(TableMain[[#This Row],[Tags]],", ",",")&amp;",")),"Y","N")</f>
        <v>N</v>
      </c>
      <c r="O739" s="3" t="str">
        <f>IF(ISNUMBER(SEARCH(",Strategy,",","&amp;SUBSTITUTE(TableMain[[#This Row],[Tags]],", ",",")&amp;",")),"Y","N")</f>
        <v>Y</v>
      </c>
      <c r="P739" s="3" t="str">
        <f>IF(ISNUMBER(SEARCH(",Free To Play,",","&amp;SUBSTITUTE(TableMain[[#This Row],[Tags]],", ",",")&amp;",")),"Y","N")</f>
        <v>N</v>
      </c>
    </row>
    <row r="740" spans="1:16" x14ac:dyDescent="0.35">
      <c r="A740">
        <v>992070</v>
      </c>
      <c r="B740" t="s">
        <v>1657</v>
      </c>
      <c r="C740" s="1">
        <v>43489</v>
      </c>
      <c r="D740">
        <v>524</v>
      </c>
      <c r="E740" t="b">
        <v>1</v>
      </c>
      <c r="F740" t="s">
        <v>575</v>
      </c>
      <c r="G740" t="s">
        <v>1658</v>
      </c>
      <c r="H740">
        <v>741</v>
      </c>
      <c r="I740" t="s">
        <v>110</v>
      </c>
      <c r="J740" s="3" t="str">
        <f>IF(ISNUMBER(SEARCH(",Action,",","&amp;SUBSTITUTE(TableMain[[#This Row],[Tags]],", ",",")&amp;",")),"Y","N")</f>
        <v>N</v>
      </c>
      <c r="K740" s="3" t="str">
        <f>IF(ISNUMBER(SEARCH(",Indie,",","&amp;SUBSTITUTE(TableMain[[#This Row],[Tags]],", ",",")&amp;",")),"Y","N")</f>
        <v>Y</v>
      </c>
      <c r="L740" s="3" t="str">
        <f>IF(ISNUMBER(SEARCH(",Adventure,",","&amp;SUBSTITUTE(TableMain[[#This Row],[Tags]],", ",",")&amp;",")),"Y","N")</f>
        <v>N</v>
      </c>
      <c r="M740" s="3" t="str">
        <f>IF(ISNUMBER(SEARCH(",Simulation,",","&amp;SUBSTITUTE(TableMain[[#This Row],[Tags]],", ",",")&amp;",")),"Y","N")</f>
        <v>N</v>
      </c>
      <c r="N740" s="3" t="str">
        <f>IF(ISNUMBER(SEARCH(",RPG,",","&amp;SUBSTITUTE(TableMain[[#This Row],[Tags]],", ",",")&amp;",")),"Y","N")</f>
        <v>N</v>
      </c>
      <c r="O740" s="3" t="str">
        <f>IF(ISNUMBER(SEARCH(",Strategy,",","&amp;SUBSTITUTE(TableMain[[#This Row],[Tags]],", ",",")&amp;",")),"Y","N")</f>
        <v>N</v>
      </c>
      <c r="P740" s="3" t="str">
        <f>IF(ISNUMBER(SEARCH(",Free To Play,",","&amp;SUBSTITUTE(TableMain[[#This Row],[Tags]],", ",",")&amp;",")),"Y","N")</f>
        <v>Y</v>
      </c>
    </row>
    <row r="741" spans="1:16" x14ac:dyDescent="0.35">
      <c r="A741">
        <v>1657630</v>
      </c>
      <c r="B741" t="s">
        <v>1659</v>
      </c>
      <c r="C741" s="1">
        <v>45923</v>
      </c>
      <c r="D741">
        <v>524</v>
      </c>
      <c r="E741" t="b">
        <v>0</v>
      </c>
      <c r="F741" t="s">
        <v>324</v>
      </c>
      <c r="G741" t="s">
        <v>1502</v>
      </c>
      <c r="H741">
        <v>741</v>
      </c>
      <c r="I741" t="s">
        <v>119</v>
      </c>
      <c r="J741" s="3" t="str">
        <f>IF(ISNUMBER(SEARCH(",Action,",","&amp;SUBSTITUTE(TableMain[[#This Row],[Tags]],", ",",")&amp;",")),"Y","N")</f>
        <v>Y</v>
      </c>
      <c r="K741" s="3" t="str">
        <f>IF(ISNUMBER(SEARCH(",Indie,",","&amp;SUBSTITUTE(TableMain[[#This Row],[Tags]],", ",",")&amp;",")),"Y","N")</f>
        <v>Y</v>
      </c>
      <c r="L741" s="3" t="str">
        <f>IF(ISNUMBER(SEARCH(",Adventure,",","&amp;SUBSTITUTE(TableMain[[#This Row],[Tags]],", ",",")&amp;",")),"Y","N")</f>
        <v>Y</v>
      </c>
      <c r="M741" s="3" t="str">
        <f>IF(ISNUMBER(SEARCH(",Simulation,",","&amp;SUBSTITUTE(TableMain[[#This Row],[Tags]],", ",",")&amp;",")),"Y","N")</f>
        <v>Y</v>
      </c>
      <c r="N741" s="3" t="str">
        <f>IF(ISNUMBER(SEARCH(",RPG,",","&amp;SUBSTITUTE(TableMain[[#This Row],[Tags]],", ",",")&amp;",")),"Y","N")</f>
        <v>N</v>
      </c>
      <c r="O741" s="3" t="str">
        <f>IF(ISNUMBER(SEARCH(",Strategy,",","&amp;SUBSTITUTE(TableMain[[#This Row],[Tags]],", ",",")&amp;",")),"Y","N")</f>
        <v>N</v>
      </c>
      <c r="P741" s="3" t="str">
        <f>IF(ISNUMBER(SEARCH(",Free To Play,",","&amp;SUBSTITUTE(TableMain[[#This Row],[Tags]],", ",",")&amp;",")),"Y","N")</f>
        <v>N</v>
      </c>
    </row>
    <row r="742" spans="1:16" x14ac:dyDescent="0.35">
      <c r="A742">
        <v>307690</v>
      </c>
      <c r="B742" t="s">
        <v>1660</v>
      </c>
      <c r="C742" s="1">
        <v>41920</v>
      </c>
      <c r="D742">
        <v>524</v>
      </c>
      <c r="E742" t="b">
        <v>1</v>
      </c>
      <c r="F742" t="s">
        <v>1661</v>
      </c>
      <c r="G742" t="s">
        <v>85</v>
      </c>
      <c r="H742">
        <v>741</v>
      </c>
      <c r="I742" t="s">
        <v>967</v>
      </c>
      <c r="J742" s="3" t="str">
        <f>IF(ISNUMBER(SEARCH(",Action,",","&amp;SUBSTITUTE(TableMain[[#This Row],[Tags]],", ",",")&amp;",")),"Y","N")</f>
        <v>Y</v>
      </c>
      <c r="K742" s="3" t="str">
        <f>IF(ISNUMBER(SEARCH(",Indie,",","&amp;SUBSTITUTE(TableMain[[#This Row],[Tags]],", ",",")&amp;",")),"Y","N")</f>
        <v>N</v>
      </c>
      <c r="L742" s="3" t="str">
        <f>IF(ISNUMBER(SEARCH(",Adventure,",","&amp;SUBSTITUTE(TableMain[[#This Row],[Tags]],", ",",")&amp;",")),"Y","N")</f>
        <v>Y</v>
      </c>
      <c r="M742" s="3" t="str">
        <f>IF(ISNUMBER(SEARCH(",Simulation,",","&amp;SUBSTITUTE(TableMain[[#This Row],[Tags]],", ",",")&amp;",")),"Y","N")</f>
        <v>N</v>
      </c>
      <c r="N742" s="3" t="str">
        <f>IF(ISNUMBER(SEARCH(",RPG,",","&amp;SUBSTITUTE(TableMain[[#This Row],[Tags]],", ",",")&amp;",")),"Y","N")</f>
        <v>N</v>
      </c>
      <c r="O742" s="3" t="str">
        <f>IF(ISNUMBER(SEARCH(",Strategy,",","&amp;SUBSTITUTE(TableMain[[#This Row],[Tags]],", ",",")&amp;",")),"Y","N")</f>
        <v>N</v>
      </c>
      <c r="P742" s="3" t="str">
        <f>IF(ISNUMBER(SEARCH(",Free To Play,",","&amp;SUBSTITUTE(TableMain[[#This Row],[Tags]],", ",",")&amp;",")),"Y","N")</f>
        <v>N</v>
      </c>
    </row>
    <row r="743" spans="1:16" x14ac:dyDescent="0.35">
      <c r="A743">
        <v>287450</v>
      </c>
      <c r="B743" t="s">
        <v>1662</v>
      </c>
      <c r="C743" s="1">
        <v>41802</v>
      </c>
      <c r="D743">
        <v>522</v>
      </c>
      <c r="E743" t="b">
        <v>0</v>
      </c>
      <c r="F743" t="s">
        <v>1663</v>
      </c>
      <c r="G743" t="s">
        <v>100</v>
      </c>
      <c r="H743">
        <v>744</v>
      </c>
      <c r="I743" t="s">
        <v>438</v>
      </c>
      <c r="J743" s="3" t="str">
        <f>IF(ISNUMBER(SEARCH(",Action,",","&amp;SUBSTITUTE(TableMain[[#This Row],[Tags]],", ",",")&amp;",")),"Y","N")</f>
        <v>N</v>
      </c>
      <c r="K743" s="3" t="str">
        <f>IF(ISNUMBER(SEARCH(",Indie,",","&amp;SUBSTITUTE(TableMain[[#This Row],[Tags]],", ",",")&amp;",")),"Y","N")</f>
        <v>N</v>
      </c>
      <c r="L743" s="3" t="str">
        <f>IF(ISNUMBER(SEARCH(",Adventure,",","&amp;SUBSTITUTE(TableMain[[#This Row],[Tags]],", ",",")&amp;",")),"Y","N")</f>
        <v>N</v>
      </c>
      <c r="M743" s="3" t="str">
        <f>IF(ISNUMBER(SEARCH(",Simulation,",","&amp;SUBSTITUTE(TableMain[[#This Row],[Tags]],", ",",")&amp;",")),"Y","N")</f>
        <v>Y</v>
      </c>
      <c r="N743" s="3" t="str">
        <f>IF(ISNUMBER(SEARCH(",RPG,",","&amp;SUBSTITUTE(TableMain[[#This Row],[Tags]],", ",",")&amp;",")),"Y","N")</f>
        <v>N</v>
      </c>
      <c r="O743" s="3" t="str">
        <f>IF(ISNUMBER(SEARCH(",Strategy,",","&amp;SUBSTITUTE(TableMain[[#This Row],[Tags]],", ",",")&amp;",")),"Y","N")</f>
        <v>Y</v>
      </c>
      <c r="P743" s="3" t="str">
        <f>IF(ISNUMBER(SEARCH(",Free To Play,",","&amp;SUBSTITUTE(TableMain[[#This Row],[Tags]],", ",",")&amp;",")),"Y","N")</f>
        <v>N</v>
      </c>
    </row>
    <row r="744" spans="1:16" x14ac:dyDescent="0.35">
      <c r="A744">
        <v>1069660</v>
      </c>
      <c r="B744" t="s">
        <v>1664</v>
      </c>
      <c r="C744" s="1">
        <v>44951</v>
      </c>
      <c r="D744">
        <v>521</v>
      </c>
      <c r="E744" t="b">
        <v>0</v>
      </c>
      <c r="F744" t="s">
        <v>915</v>
      </c>
      <c r="G744" t="s">
        <v>1665</v>
      </c>
      <c r="H744">
        <v>745</v>
      </c>
      <c r="I744" t="s">
        <v>18</v>
      </c>
      <c r="J744" s="3" t="str">
        <f>IF(ISNUMBER(SEARCH(",Action,",","&amp;SUBSTITUTE(TableMain[[#This Row],[Tags]],", ",",")&amp;",")),"Y","N")</f>
        <v>N</v>
      </c>
      <c r="K744" s="3" t="str">
        <f>IF(ISNUMBER(SEARCH(",Indie,",","&amp;SUBSTITUTE(TableMain[[#This Row],[Tags]],", ",",")&amp;",")),"Y","N")</f>
        <v>Y</v>
      </c>
      <c r="L744" s="3" t="str">
        <f>IF(ISNUMBER(SEARCH(",Adventure,",","&amp;SUBSTITUTE(TableMain[[#This Row],[Tags]],", ",",")&amp;",")),"Y","N")</f>
        <v>N</v>
      </c>
      <c r="M744" s="3" t="str">
        <f>IF(ISNUMBER(SEARCH(",Simulation,",","&amp;SUBSTITUTE(TableMain[[#This Row],[Tags]],", ",",")&amp;",")),"Y","N")</f>
        <v>Y</v>
      </c>
      <c r="N744" s="3" t="str">
        <f>IF(ISNUMBER(SEARCH(",RPG,",","&amp;SUBSTITUTE(TableMain[[#This Row],[Tags]],", ",",")&amp;",")),"Y","N")</f>
        <v>Y</v>
      </c>
      <c r="O744" s="3" t="str">
        <f>IF(ISNUMBER(SEARCH(",Strategy,",","&amp;SUBSTITUTE(TableMain[[#This Row],[Tags]],", ",",")&amp;",")),"Y","N")</f>
        <v>Y</v>
      </c>
      <c r="P744" s="3" t="str">
        <f>IF(ISNUMBER(SEARCH(",Free To Play,",","&amp;SUBSTITUTE(TableMain[[#This Row],[Tags]],", ",",")&amp;",")),"Y","N")</f>
        <v>N</v>
      </c>
    </row>
    <row r="745" spans="1:16" x14ac:dyDescent="0.35">
      <c r="A745">
        <v>535930</v>
      </c>
      <c r="B745" t="s">
        <v>1666</v>
      </c>
      <c r="C745" s="1">
        <v>43341</v>
      </c>
      <c r="D745">
        <v>518</v>
      </c>
      <c r="E745" t="b">
        <v>1</v>
      </c>
      <c r="F745" t="s">
        <v>597</v>
      </c>
      <c r="G745" t="s">
        <v>174</v>
      </c>
      <c r="H745">
        <v>746</v>
      </c>
      <c r="I745" t="s">
        <v>53</v>
      </c>
      <c r="J745" s="3" t="str">
        <f>IF(ISNUMBER(SEARCH(",Action,",","&amp;SUBSTITUTE(TableMain[[#This Row],[Tags]],", ",",")&amp;",")),"Y","N")</f>
        <v>N</v>
      </c>
      <c r="K745" s="3" t="str">
        <f>IF(ISNUMBER(SEARCH(",Indie,",","&amp;SUBSTITUTE(TableMain[[#This Row],[Tags]],", ",",")&amp;",")),"Y","N")</f>
        <v>Y</v>
      </c>
      <c r="L745" s="3" t="str">
        <f>IF(ISNUMBER(SEARCH(",Adventure,",","&amp;SUBSTITUTE(TableMain[[#This Row],[Tags]],", ",",")&amp;",")),"Y","N")</f>
        <v>N</v>
      </c>
      <c r="M745" s="3" t="str">
        <f>IF(ISNUMBER(SEARCH(",Simulation,",","&amp;SUBSTITUTE(TableMain[[#This Row],[Tags]],", ",",")&amp;",")),"Y","N")</f>
        <v>Y</v>
      </c>
      <c r="N745" s="3" t="str">
        <f>IF(ISNUMBER(SEARCH(",RPG,",","&amp;SUBSTITUTE(TableMain[[#This Row],[Tags]],", ",",")&amp;",")),"Y","N")</f>
        <v>N</v>
      </c>
      <c r="O745" s="3" t="str">
        <f>IF(ISNUMBER(SEARCH(",Strategy,",","&amp;SUBSTITUTE(TableMain[[#This Row],[Tags]],", ",",")&amp;",")),"Y","N")</f>
        <v>N</v>
      </c>
      <c r="P745" s="3" t="str">
        <f>IF(ISNUMBER(SEARCH(",Free To Play,",","&amp;SUBSTITUTE(TableMain[[#This Row],[Tags]],", ",",")&amp;",")),"Y","N")</f>
        <v>N</v>
      </c>
    </row>
    <row r="746" spans="1:16" x14ac:dyDescent="0.35">
      <c r="A746">
        <v>1562430</v>
      </c>
      <c r="B746" t="s">
        <v>1667</v>
      </c>
      <c r="C746" s="1">
        <v>45015</v>
      </c>
      <c r="D746">
        <v>517</v>
      </c>
      <c r="E746" t="b">
        <v>1</v>
      </c>
      <c r="F746" t="s">
        <v>1668</v>
      </c>
      <c r="G746" t="s">
        <v>896</v>
      </c>
      <c r="H746">
        <v>747</v>
      </c>
      <c r="I746" t="s">
        <v>110</v>
      </c>
      <c r="J746" s="3" t="str">
        <f>IF(ISNUMBER(SEARCH(",Action,",","&amp;SUBSTITUTE(TableMain[[#This Row],[Tags]],", ",",")&amp;",")),"Y","N")</f>
        <v>N</v>
      </c>
      <c r="K746" s="3" t="str">
        <f>IF(ISNUMBER(SEARCH(",Indie,",","&amp;SUBSTITUTE(TableMain[[#This Row],[Tags]],", ",",")&amp;",")),"Y","N")</f>
        <v>N</v>
      </c>
      <c r="L746" s="3" t="str">
        <f>IF(ISNUMBER(SEARCH(",Adventure,",","&amp;SUBSTITUTE(TableMain[[#This Row],[Tags]],", ",",")&amp;",")),"Y","N")</f>
        <v>Y</v>
      </c>
      <c r="M746" s="3" t="str">
        <f>IF(ISNUMBER(SEARCH(",Simulation,",","&amp;SUBSTITUTE(TableMain[[#This Row],[Tags]],", ",",")&amp;",")),"Y","N")</f>
        <v>N</v>
      </c>
      <c r="N746" s="3" t="str">
        <f>IF(ISNUMBER(SEARCH(",RPG,",","&amp;SUBSTITUTE(TableMain[[#This Row],[Tags]],", ",",")&amp;",")),"Y","N")</f>
        <v>Y</v>
      </c>
      <c r="O746" s="3" t="str">
        <f>IF(ISNUMBER(SEARCH(",Strategy,",","&amp;SUBSTITUTE(TableMain[[#This Row],[Tags]],", ",",")&amp;",")),"Y","N")</f>
        <v>N</v>
      </c>
      <c r="P746" s="3" t="str">
        <f>IF(ISNUMBER(SEARCH(",Free To Play,",","&amp;SUBSTITUTE(TableMain[[#This Row],[Tags]],", ",",")&amp;",")),"Y","N")</f>
        <v>N</v>
      </c>
    </row>
    <row r="747" spans="1:16" x14ac:dyDescent="0.35">
      <c r="A747">
        <v>1296830</v>
      </c>
      <c r="B747" t="s">
        <v>1669</v>
      </c>
      <c r="C747" s="1">
        <v>44579</v>
      </c>
      <c r="D747">
        <v>516</v>
      </c>
      <c r="E747" t="b">
        <v>0</v>
      </c>
      <c r="F747" t="s">
        <v>416</v>
      </c>
      <c r="G747" t="s">
        <v>138</v>
      </c>
      <c r="H747">
        <v>748</v>
      </c>
      <c r="I747" t="s">
        <v>304</v>
      </c>
      <c r="J747" s="3" t="str">
        <f>IF(ISNUMBER(SEARCH(",Action,",","&amp;SUBSTITUTE(TableMain[[#This Row],[Tags]],", ",",")&amp;",")),"Y","N")</f>
        <v>Y</v>
      </c>
      <c r="K747" s="3" t="str">
        <f>IF(ISNUMBER(SEARCH(",Indie,",","&amp;SUBSTITUTE(TableMain[[#This Row],[Tags]],", ",",")&amp;",")),"Y","N")</f>
        <v>Y</v>
      </c>
      <c r="L747" s="3" t="str">
        <f>IF(ISNUMBER(SEARCH(",Adventure,",","&amp;SUBSTITUTE(TableMain[[#This Row],[Tags]],", ",",")&amp;",")),"Y","N")</f>
        <v>Y</v>
      </c>
      <c r="M747" s="3" t="str">
        <f>IF(ISNUMBER(SEARCH(",Simulation,",","&amp;SUBSTITUTE(TableMain[[#This Row],[Tags]],", ",",")&amp;",")),"Y","N")</f>
        <v>N</v>
      </c>
      <c r="N747" s="3" t="str">
        <f>IF(ISNUMBER(SEARCH(",RPG,",","&amp;SUBSTITUTE(TableMain[[#This Row],[Tags]],", ",",")&amp;",")),"Y","N")</f>
        <v>Y</v>
      </c>
      <c r="O747" s="3" t="str">
        <f>IF(ISNUMBER(SEARCH(",Strategy,",","&amp;SUBSTITUTE(TableMain[[#This Row],[Tags]],", ",",")&amp;",")),"Y","N")</f>
        <v>N</v>
      </c>
      <c r="P747" s="3" t="str">
        <f>IF(ISNUMBER(SEARCH(",Free To Play,",","&amp;SUBSTITUTE(TableMain[[#This Row],[Tags]],", ",",")&amp;",")),"Y","N")</f>
        <v>N</v>
      </c>
    </row>
    <row r="748" spans="1:16" x14ac:dyDescent="0.35">
      <c r="A748">
        <v>221040</v>
      </c>
      <c r="B748" t="s">
        <v>1670</v>
      </c>
      <c r="C748" s="1">
        <v>41354</v>
      </c>
      <c r="D748">
        <v>515</v>
      </c>
      <c r="E748" t="b">
        <v>0</v>
      </c>
      <c r="F748" t="s">
        <v>1671</v>
      </c>
      <c r="G748" t="s">
        <v>46</v>
      </c>
      <c r="H748">
        <v>749</v>
      </c>
      <c r="I748" t="s">
        <v>2084</v>
      </c>
      <c r="J748" s="3" t="str">
        <f>IF(ISNUMBER(SEARCH(",Action,",","&amp;SUBSTITUTE(TableMain[[#This Row],[Tags]],", ",",")&amp;",")),"Y","N")</f>
        <v>Y</v>
      </c>
      <c r="K748" s="3" t="str">
        <f>IF(ISNUMBER(SEARCH(",Indie,",","&amp;SUBSTITUTE(TableMain[[#This Row],[Tags]],", ",",")&amp;",")),"Y","N")</f>
        <v>N</v>
      </c>
      <c r="L748" s="3" t="str">
        <f>IF(ISNUMBER(SEARCH(",Adventure,",","&amp;SUBSTITUTE(TableMain[[#This Row],[Tags]],", ",",")&amp;",")),"Y","N")</f>
        <v>Y</v>
      </c>
      <c r="M748" s="3" t="str">
        <f>IF(ISNUMBER(SEARCH(",Simulation,",","&amp;SUBSTITUTE(TableMain[[#This Row],[Tags]],", ",",")&amp;",")),"Y","N")</f>
        <v>N</v>
      </c>
      <c r="N748" s="3" t="str">
        <f>IF(ISNUMBER(SEARCH(",RPG,",","&amp;SUBSTITUTE(TableMain[[#This Row],[Tags]],", ",",")&amp;",")),"Y","N")</f>
        <v>N</v>
      </c>
      <c r="O748" s="3" t="str">
        <f>IF(ISNUMBER(SEARCH(",Strategy,",","&amp;SUBSTITUTE(TableMain[[#This Row],[Tags]],", ",",")&amp;",")),"Y","N")</f>
        <v>N</v>
      </c>
      <c r="P748" s="3" t="str">
        <f>IF(ISNUMBER(SEARCH(",Free To Play,",","&amp;SUBSTITUTE(TableMain[[#This Row],[Tags]],", ",",")&amp;",")),"Y","N")</f>
        <v>N</v>
      </c>
    </row>
    <row r="749" spans="1:16" x14ac:dyDescent="0.35">
      <c r="A749">
        <v>1063420</v>
      </c>
      <c r="B749" t="s">
        <v>1672</v>
      </c>
      <c r="C749" s="1">
        <v>45621</v>
      </c>
      <c r="D749">
        <v>514</v>
      </c>
      <c r="E749" t="b">
        <v>0</v>
      </c>
      <c r="F749" t="s">
        <v>1673</v>
      </c>
      <c r="G749" t="s">
        <v>46</v>
      </c>
      <c r="H749">
        <v>750</v>
      </c>
      <c r="I749" t="s">
        <v>486</v>
      </c>
      <c r="J749" s="3" t="str">
        <f>IF(ISNUMBER(SEARCH(",Action,",","&amp;SUBSTITUTE(TableMain[[#This Row],[Tags]],", ",",")&amp;",")),"Y","N")</f>
        <v>Y</v>
      </c>
      <c r="K749" s="3" t="str">
        <f>IF(ISNUMBER(SEARCH(",Indie,",","&amp;SUBSTITUTE(TableMain[[#This Row],[Tags]],", ",",")&amp;",")),"Y","N")</f>
        <v>N</v>
      </c>
      <c r="L749" s="3" t="str">
        <f>IF(ISNUMBER(SEARCH(",Adventure,",","&amp;SUBSTITUTE(TableMain[[#This Row],[Tags]],", ",",")&amp;",")),"Y","N")</f>
        <v>Y</v>
      </c>
      <c r="M749" s="3" t="str">
        <f>IF(ISNUMBER(SEARCH(",Simulation,",","&amp;SUBSTITUTE(TableMain[[#This Row],[Tags]],", ",",")&amp;",")),"Y","N")</f>
        <v>N</v>
      </c>
      <c r="N749" s="3" t="str">
        <f>IF(ISNUMBER(SEARCH(",RPG,",","&amp;SUBSTITUTE(TableMain[[#This Row],[Tags]],", ",",")&amp;",")),"Y","N")</f>
        <v>N</v>
      </c>
      <c r="O749" s="3" t="str">
        <f>IF(ISNUMBER(SEARCH(",Strategy,",","&amp;SUBSTITUTE(TableMain[[#This Row],[Tags]],", ",",")&amp;",")),"Y","N")</f>
        <v>N</v>
      </c>
      <c r="P749" s="3" t="str">
        <f>IF(ISNUMBER(SEARCH(",Free To Play,",","&amp;SUBSTITUTE(TableMain[[#This Row],[Tags]],", ",",")&amp;",")),"Y","N")</f>
        <v>N</v>
      </c>
    </row>
    <row r="750" spans="1:16" x14ac:dyDescent="0.35">
      <c r="A750">
        <v>2124490</v>
      </c>
      <c r="B750" t="s">
        <v>1674</v>
      </c>
      <c r="C750" s="1">
        <v>45572</v>
      </c>
      <c r="D750">
        <v>514</v>
      </c>
      <c r="E750" t="b">
        <v>0</v>
      </c>
      <c r="F750" t="s">
        <v>416</v>
      </c>
      <c r="G750" t="s">
        <v>46</v>
      </c>
      <c r="H750">
        <v>750</v>
      </c>
      <c r="I750" t="s">
        <v>266</v>
      </c>
      <c r="J750" s="3" t="str">
        <f>IF(ISNUMBER(SEARCH(",Action,",","&amp;SUBSTITUTE(TableMain[[#This Row],[Tags]],", ",",")&amp;",")),"Y","N")</f>
        <v>Y</v>
      </c>
      <c r="K750" s="3" t="str">
        <f>IF(ISNUMBER(SEARCH(",Indie,",","&amp;SUBSTITUTE(TableMain[[#This Row],[Tags]],", ",",")&amp;",")),"Y","N")</f>
        <v>N</v>
      </c>
      <c r="L750" s="3" t="str">
        <f>IF(ISNUMBER(SEARCH(",Adventure,",","&amp;SUBSTITUTE(TableMain[[#This Row],[Tags]],", ",",")&amp;",")),"Y","N")</f>
        <v>Y</v>
      </c>
      <c r="M750" s="3" t="str">
        <f>IF(ISNUMBER(SEARCH(",Simulation,",","&amp;SUBSTITUTE(TableMain[[#This Row],[Tags]],", ",",")&amp;",")),"Y","N")</f>
        <v>N</v>
      </c>
      <c r="N750" s="3" t="str">
        <f>IF(ISNUMBER(SEARCH(",RPG,",","&amp;SUBSTITUTE(TableMain[[#This Row],[Tags]],", ",",")&amp;",")),"Y","N")</f>
        <v>N</v>
      </c>
      <c r="O750" s="3" t="str">
        <f>IF(ISNUMBER(SEARCH(",Strategy,",","&amp;SUBSTITUTE(TableMain[[#This Row],[Tags]],", ",",")&amp;",")),"Y","N")</f>
        <v>N</v>
      </c>
      <c r="P750" s="3" t="str">
        <f>IF(ISNUMBER(SEARCH(",Free To Play,",","&amp;SUBSTITUTE(TableMain[[#This Row],[Tags]],", ",",")&amp;",")),"Y","N")</f>
        <v>N</v>
      </c>
    </row>
    <row r="751" spans="1:16" x14ac:dyDescent="0.35">
      <c r="A751">
        <v>2069310</v>
      </c>
      <c r="B751" t="s">
        <v>1675</v>
      </c>
      <c r="C751" s="1">
        <v>44861</v>
      </c>
      <c r="D751">
        <v>514</v>
      </c>
      <c r="E751" t="b">
        <v>0</v>
      </c>
      <c r="F751" t="s">
        <v>1676</v>
      </c>
      <c r="G751" t="s">
        <v>1141</v>
      </c>
      <c r="H751">
        <v>750</v>
      </c>
      <c r="I751" t="s">
        <v>14</v>
      </c>
      <c r="J751" s="3" t="str">
        <f>IF(ISNUMBER(SEARCH(",Action,",","&amp;SUBSTITUTE(TableMain[[#This Row],[Tags]],", ",",")&amp;",")),"Y","N")</f>
        <v>N</v>
      </c>
      <c r="K751" s="3" t="str">
        <f>IF(ISNUMBER(SEARCH(",Indie,",","&amp;SUBSTITUTE(TableMain[[#This Row],[Tags]],", ",",")&amp;",")),"Y","N")</f>
        <v>Y</v>
      </c>
      <c r="L751" s="3" t="str">
        <f>IF(ISNUMBER(SEARCH(",Adventure,",","&amp;SUBSTITUTE(TableMain[[#This Row],[Tags]],", ",",")&amp;",")),"Y","N")</f>
        <v>N</v>
      </c>
      <c r="M751" s="3" t="str">
        <f>IF(ISNUMBER(SEARCH(",Simulation,",","&amp;SUBSTITUTE(TableMain[[#This Row],[Tags]],", ",",")&amp;",")),"Y","N")</f>
        <v>Y</v>
      </c>
      <c r="N751" s="3" t="str">
        <f>IF(ISNUMBER(SEARCH(",RPG,",","&amp;SUBSTITUTE(TableMain[[#This Row],[Tags]],", ",",")&amp;",")),"Y","N")</f>
        <v>N</v>
      </c>
      <c r="O751" s="3" t="str">
        <f>IF(ISNUMBER(SEARCH(",Strategy,",","&amp;SUBSTITUTE(TableMain[[#This Row],[Tags]],", ",",")&amp;",")),"Y","N")</f>
        <v>N</v>
      </c>
      <c r="P751" s="3" t="str">
        <f>IF(ISNUMBER(SEARCH(",Free To Play,",","&amp;SUBSTITUTE(TableMain[[#This Row],[Tags]],", ",",")&amp;",")),"Y","N")</f>
        <v>N</v>
      </c>
    </row>
    <row r="752" spans="1:16" x14ac:dyDescent="0.35">
      <c r="A752">
        <v>603850</v>
      </c>
      <c r="B752" t="s">
        <v>1677</v>
      </c>
      <c r="C752" s="1">
        <v>43425</v>
      </c>
      <c r="D752">
        <v>513</v>
      </c>
      <c r="E752" t="b">
        <v>0</v>
      </c>
      <c r="F752" t="s">
        <v>1678</v>
      </c>
      <c r="G752" t="s">
        <v>124</v>
      </c>
      <c r="H752">
        <v>753</v>
      </c>
      <c r="I752" t="s">
        <v>2082</v>
      </c>
      <c r="J752" s="3" t="str">
        <f>IF(ISNUMBER(SEARCH(",Action,",","&amp;SUBSTITUTE(TableMain[[#This Row],[Tags]],", ",",")&amp;",")),"Y","N")</f>
        <v>N</v>
      </c>
      <c r="K752" s="3" t="str">
        <f>IF(ISNUMBER(SEARCH(",Indie,",","&amp;SUBSTITUTE(TableMain[[#This Row],[Tags]],", ",",")&amp;",")),"Y","N")</f>
        <v>N</v>
      </c>
      <c r="L752" s="3" t="str">
        <f>IF(ISNUMBER(SEARCH(",Adventure,",","&amp;SUBSTITUTE(TableMain[[#This Row],[Tags]],", ",",")&amp;",")),"Y","N")</f>
        <v>N</v>
      </c>
      <c r="M752" s="3" t="str">
        <f>IF(ISNUMBER(SEARCH(",Simulation,",","&amp;SUBSTITUTE(TableMain[[#This Row],[Tags]],", ",",")&amp;",")),"Y","N")</f>
        <v>N</v>
      </c>
      <c r="N752" s="3" t="str">
        <f>IF(ISNUMBER(SEARCH(",RPG,",","&amp;SUBSTITUTE(TableMain[[#This Row],[Tags]],", ",",")&amp;",")),"Y","N")</f>
        <v>N</v>
      </c>
      <c r="O752" s="3" t="str">
        <f>IF(ISNUMBER(SEARCH(",Strategy,",","&amp;SUBSTITUTE(TableMain[[#This Row],[Tags]],", ",",")&amp;",")),"Y","N")</f>
        <v>Y</v>
      </c>
      <c r="P752" s="3" t="str">
        <f>IF(ISNUMBER(SEARCH(",Free To Play,",","&amp;SUBSTITUTE(TableMain[[#This Row],[Tags]],", ",",")&amp;",")),"Y","N")</f>
        <v>N</v>
      </c>
    </row>
    <row r="753" spans="1:16" x14ac:dyDescent="0.35">
      <c r="A753">
        <v>678950</v>
      </c>
      <c r="B753" t="s">
        <v>1679</v>
      </c>
      <c r="C753" s="1">
        <v>43126</v>
      </c>
      <c r="D753">
        <v>511</v>
      </c>
      <c r="E753" t="b">
        <v>0</v>
      </c>
      <c r="F753" t="s">
        <v>1680</v>
      </c>
      <c r="G753" t="s">
        <v>49</v>
      </c>
      <c r="H753">
        <v>754</v>
      </c>
      <c r="I753" t="s">
        <v>40</v>
      </c>
      <c r="J753" s="3" t="str">
        <f>IF(ISNUMBER(SEARCH(",Action,",","&amp;SUBSTITUTE(TableMain[[#This Row],[Tags]],", ",",")&amp;",")),"Y","N")</f>
        <v>Y</v>
      </c>
      <c r="K753" s="3" t="str">
        <f>IF(ISNUMBER(SEARCH(",Indie,",","&amp;SUBSTITUTE(TableMain[[#This Row],[Tags]],", ",",")&amp;",")),"Y","N")</f>
        <v>N</v>
      </c>
      <c r="L753" s="3" t="str">
        <f>IF(ISNUMBER(SEARCH(",Adventure,",","&amp;SUBSTITUTE(TableMain[[#This Row],[Tags]],", ",",")&amp;",")),"Y","N")</f>
        <v>N</v>
      </c>
      <c r="M753" s="3" t="str">
        <f>IF(ISNUMBER(SEARCH(",Simulation,",","&amp;SUBSTITUTE(TableMain[[#This Row],[Tags]],", ",",")&amp;",")),"Y","N")</f>
        <v>N</v>
      </c>
      <c r="N753" s="3" t="str">
        <f>IF(ISNUMBER(SEARCH(",RPG,",","&amp;SUBSTITUTE(TableMain[[#This Row],[Tags]],", ",",")&amp;",")),"Y","N")</f>
        <v>N</v>
      </c>
      <c r="O753" s="3" t="str">
        <f>IF(ISNUMBER(SEARCH(",Strategy,",","&amp;SUBSTITUTE(TableMain[[#This Row],[Tags]],", ",",")&amp;",")),"Y","N")</f>
        <v>N</v>
      </c>
      <c r="P753" s="3" t="str">
        <f>IF(ISNUMBER(SEARCH(",Free To Play,",","&amp;SUBSTITUTE(TableMain[[#This Row],[Tags]],", ",",")&amp;",")),"Y","N")</f>
        <v>N</v>
      </c>
    </row>
    <row r="754" spans="1:16" x14ac:dyDescent="0.35">
      <c r="A754">
        <v>2027330</v>
      </c>
      <c r="B754" t="s">
        <v>1681</v>
      </c>
      <c r="C754" s="1">
        <v>45128</v>
      </c>
      <c r="D754">
        <v>509</v>
      </c>
      <c r="E754" t="b">
        <v>0</v>
      </c>
      <c r="F754" t="s">
        <v>1682</v>
      </c>
      <c r="G754" t="s">
        <v>474</v>
      </c>
      <c r="H754">
        <v>755</v>
      </c>
      <c r="I754" t="s">
        <v>932</v>
      </c>
      <c r="J754" s="3" t="str">
        <f>IF(ISNUMBER(SEARCH(",Action,",","&amp;SUBSTITUTE(TableMain[[#This Row],[Tags]],", ",",")&amp;",")),"Y","N")</f>
        <v>Y</v>
      </c>
      <c r="K754" s="3" t="str">
        <f>IF(ISNUMBER(SEARCH(",Indie,",","&amp;SUBSTITUTE(TableMain[[#This Row],[Tags]],", ",",")&amp;",")),"Y","N")</f>
        <v>Y</v>
      </c>
      <c r="L754" s="3" t="str">
        <f>IF(ISNUMBER(SEARCH(",Adventure,",","&amp;SUBSTITUTE(TableMain[[#This Row],[Tags]],", ",",")&amp;",")),"Y","N")</f>
        <v>N</v>
      </c>
      <c r="M754" s="3" t="str">
        <f>IF(ISNUMBER(SEARCH(",Simulation,",","&amp;SUBSTITUTE(TableMain[[#This Row],[Tags]],", ",",")&amp;",")),"Y","N")</f>
        <v>Y</v>
      </c>
      <c r="N754" s="3" t="str">
        <f>IF(ISNUMBER(SEARCH(",RPG,",","&amp;SUBSTITUTE(TableMain[[#This Row],[Tags]],", ",",")&amp;",")),"Y","N")</f>
        <v>N</v>
      </c>
      <c r="O754" s="3" t="str">
        <f>IF(ISNUMBER(SEARCH(",Strategy,",","&amp;SUBSTITUTE(TableMain[[#This Row],[Tags]],", ",",")&amp;",")),"Y","N")</f>
        <v>N</v>
      </c>
      <c r="P754" s="3" t="str">
        <f>IF(ISNUMBER(SEARCH(",Free To Play,",","&amp;SUBSTITUTE(TableMain[[#This Row],[Tags]],", ",",")&amp;",")),"Y","N")</f>
        <v>N</v>
      </c>
    </row>
    <row r="755" spans="1:16" x14ac:dyDescent="0.35">
      <c r="A755">
        <v>1244090</v>
      </c>
      <c r="B755" t="s">
        <v>1683</v>
      </c>
      <c r="C755" s="1">
        <v>45166</v>
      </c>
      <c r="D755">
        <v>509</v>
      </c>
      <c r="E755" t="b">
        <v>0</v>
      </c>
      <c r="F755" t="s">
        <v>1684</v>
      </c>
      <c r="G755" t="s">
        <v>1685</v>
      </c>
      <c r="H755">
        <v>755</v>
      </c>
      <c r="I755" t="s">
        <v>110</v>
      </c>
      <c r="J755" s="3" t="str">
        <f>IF(ISNUMBER(SEARCH(",Action,",","&amp;SUBSTITUTE(TableMain[[#This Row],[Tags]],", ",",")&amp;",")),"Y","N")</f>
        <v>N</v>
      </c>
      <c r="K755" s="3" t="str">
        <f>IF(ISNUMBER(SEARCH(",Indie,",","&amp;SUBSTITUTE(TableMain[[#This Row],[Tags]],", ",",")&amp;",")),"Y","N")</f>
        <v>Y</v>
      </c>
      <c r="L755" s="3" t="str">
        <f>IF(ISNUMBER(SEARCH(",Adventure,",","&amp;SUBSTITUTE(TableMain[[#This Row],[Tags]],", ",",")&amp;",")),"Y","N")</f>
        <v>Y</v>
      </c>
      <c r="M755" s="3" t="str">
        <f>IF(ISNUMBER(SEARCH(",Simulation,",","&amp;SUBSTITUTE(TableMain[[#This Row],[Tags]],", ",",")&amp;",")),"Y","N")</f>
        <v>N</v>
      </c>
      <c r="N755" s="3" t="str">
        <f>IF(ISNUMBER(SEARCH(",RPG,",","&amp;SUBSTITUTE(TableMain[[#This Row],[Tags]],", ",",")&amp;",")),"Y","N")</f>
        <v>Y</v>
      </c>
      <c r="O755" s="3" t="str">
        <f>IF(ISNUMBER(SEARCH(",Strategy,",","&amp;SUBSTITUTE(TableMain[[#This Row],[Tags]],", ",",")&amp;",")),"Y","N")</f>
        <v>N</v>
      </c>
      <c r="P755" s="3" t="str">
        <f>IF(ISNUMBER(SEARCH(",Free To Play,",","&amp;SUBSTITUTE(TableMain[[#This Row],[Tags]],", ",",")&amp;",")),"Y","N")</f>
        <v>N</v>
      </c>
    </row>
    <row r="756" spans="1:16" x14ac:dyDescent="0.35">
      <c r="A756">
        <v>1169040</v>
      </c>
      <c r="B756" t="s">
        <v>1686</v>
      </c>
      <c r="C756" s="1">
        <v>45946</v>
      </c>
      <c r="D756">
        <v>507</v>
      </c>
      <c r="E756" t="b">
        <v>1</v>
      </c>
      <c r="F756" t="s">
        <v>1687</v>
      </c>
      <c r="G756" t="s">
        <v>138</v>
      </c>
      <c r="H756">
        <v>757</v>
      </c>
      <c r="I756" t="s">
        <v>110</v>
      </c>
      <c r="J756" s="3" t="str">
        <f>IF(ISNUMBER(SEARCH(",Action,",","&amp;SUBSTITUTE(TableMain[[#This Row],[Tags]],", ",",")&amp;",")),"Y","N")</f>
        <v>Y</v>
      </c>
      <c r="K756" s="3" t="str">
        <f>IF(ISNUMBER(SEARCH(",Indie,",","&amp;SUBSTITUTE(TableMain[[#This Row],[Tags]],", ",",")&amp;",")),"Y","N")</f>
        <v>Y</v>
      </c>
      <c r="L756" s="3" t="str">
        <f>IF(ISNUMBER(SEARCH(",Adventure,",","&amp;SUBSTITUTE(TableMain[[#This Row],[Tags]],", ",",")&amp;",")),"Y","N")</f>
        <v>Y</v>
      </c>
      <c r="M756" s="3" t="str">
        <f>IF(ISNUMBER(SEARCH(",Simulation,",","&amp;SUBSTITUTE(TableMain[[#This Row],[Tags]],", ",",")&amp;",")),"Y","N")</f>
        <v>N</v>
      </c>
      <c r="N756" s="3" t="str">
        <f>IF(ISNUMBER(SEARCH(",RPG,",","&amp;SUBSTITUTE(TableMain[[#This Row],[Tags]],", ",",")&amp;",")),"Y","N")</f>
        <v>Y</v>
      </c>
      <c r="O756" s="3" t="str">
        <f>IF(ISNUMBER(SEARCH(",Strategy,",","&amp;SUBSTITUTE(TableMain[[#This Row],[Tags]],", ",",")&amp;",")),"Y","N")</f>
        <v>N</v>
      </c>
      <c r="P756" s="3" t="str">
        <f>IF(ISNUMBER(SEARCH(",Free To Play,",","&amp;SUBSTITUTE(TableMain[[#This Row],[Tags]],", ",",")&amp;",")),"Y","N")</f>
        <v>N</v>
      </c>
    </row>
    <row r="757" spans="1:16" x14ac:dyDescent="0.35">
      <c r="A757">
        <v>1022450</v>
      </c>
      <c r="B757" t="s">
        <v>1688</v>
      </c>
      <c r="C757" s="1">
        <v>43746</v>
      </c>
      <c r="D757">
        <v>507</v>
      </c>
      <c r="E757" t="b">
        <v>0</v>
      </c>
      <c r="F757" t="s">
        <v>1689</v>
      </c>
      <c r="G757" t="s">
        <v>1690</v>
      </c>
      <c r="H757">
        <v>757</v>
      </c>
      <c r="I757" t="s">
        <v>133</v>
      </c>
      <c r="J757" s="3" t="str">
        <f>IF(ISNUMBER(SEARCH(",Action,",","&amp;SUBSTITUTE(TableMain[[#This Row],[Tags]],", ",",")&amp;",")),"Y","N")</f>
        <v>N</v>
      </c>
      <c r="K757" s="3" t="str">
        <f>IF(ISNUMBER(SEARCH(",Indie,",","&amp;SUBSTITUTE(TableMain[[#This Row],[Tags]],", ",",")&amp;",")),"Y","N")</f>
        <v>Y</v>
      </c>
      <c r="L757" s="3" t="str">
        <f>IF(ISNUMBER(SEARCH(",Adventure,",","&amp;SUBSTITUTE(TableMain[[#This Row],[Tags]],", ",",")&amp;",")),"Y","N")</f>
        <v>N</v>
      </c>
      <c r="M757" s="3" t="str">
        <f>IF(ISNUMBER(SEARCH(",Simulation,",","&amp;SUBSTITUTE(TableMain[[#This Row],[Tags]],", ",",")&amp;",")),"Y","N")</f>
        <v>N</v>
      </c>
      <c r="N757" s="3" t="str">
        <f>IF(ISNUMBER(SEARCH(",RPG,",","&amp;SUBSTITUTE(TableMain[[#This Row],[Tags]],", ",",")&amp;",")),"Y","N")</f>
        <v>N</v>
      </c>
      <c r="O757" s="3" t="str">
        <f>IF(ISNUMBER(SEARCH(",Strategy,",","&amp;SUBSTITUTE(TableMain[[#This Row],[Tags]],", ",",")&amp;",")),"Y","N")</f>
        <v>Y</v>
      </c>
      <c r="P757" s="3" t="str">
        <f>IF(ISNUMBER(SEARCH(",Free To Play,",","&amp;SUBSTITUTE(TableMain[[#This Row],[Tags]],", ",",")&amp;",")),"Y","N")</f>
        <v>Y</v>
      </c>
    </row>
    <row r="758" spans="1:16" x14ac:dyDescent="0.35">
      <c r="A758">
        <v>1682970</v>
      </c>
      <c r="B758" t="s">
        <v>1691</v>
      </c>
      <c r="C758" s="1">
        <v>44440</v>
      </c>
      <c r="D758">
        <v>507</v>
      </c>
      <c r="E758" t="b">
        <v>1</v>
      </c>
      <c r="F758" t="s">
        <v>1692</v>
      </c>
      <c r="G758" t="s">
        <v>1533</v>
      </c>
      <c r="H758">
        <v>757</v>
      </c>
      <c r="I758" t="s">
        <v>133</v>
      </c>
      <c r="J758" s="3" t="str">
        <f>IF(ISNUMBER(SEARCH(",Action,",","&amp;SUBSTITUTE(TableMain[[#This Row],[Tags]],", ",",")&amp;",")),"Y","N")</f>
        <v>Y</v>
      </c>
      <c r="K758" s="3" t="str">
        <f>IF(ISNUMBER(SEARCH(",Indie,",","&amp;SUBSTITUTE(TableMain[[#This Row],[Tags]],", ",",")&amp;",")),"Y","N")</f>
        <v>Y</v>
      </c>
      <c r="L758" s="3" t="str">
        <f>IF(ISNUMBER(SEARCH(",Adventure,",","&amp;SUBSTITUTE(TableMain[[#This Row],[Tags]],", ",",")&amp;",")),"Y","N")</f>
        <v>N</v>
      </c>
      <c r="M758" s="3" t="str">
        <f>IF(ISNUMBER(SEARCH(",Simulation,",","&amp;SUBSTITUTE(TableMain[[#This Row],[Tags]],", ",",")&amp;",")),"Y","N")</f>
        <v>Y</v>
      </c>
      <c r="N758" s="3" t="str">
        <f>IF(ISNUMBER(SEARCH(",RPG,",","&amp;SUBSTITUTE(TableMain[[#This Row],[Tags]],", ",",")&amp;",")),"Y","N")</f>
        <v>N</v>
      </c>
      <c r="O758" s="3" t="str">
        <f>IF(ISNUMBER(SEARCH(",Strategy,",","&amp;SUBSTITUTE(TableMain[[#This Row],[Tags]],", ",",")&amp;",")),"Y","N")</f>
        <v>N</v>
      </c>
      <c r="P758" s="3" t="str">
        <f>IF(ISNUMBER(SEARCH(",Free To Play,",","&amp;SUBSTITUTE(TableMain[[#This Row],[Tags]],", ",",")&amp;",")),"Y","N")</f>
        <v>N</v>
      </c>
    </row>
    <row r="759" spans="1:16" x14ac:dyDescent="0.35">
      <c r="A759">
        <v>464920</v>
      </c>
      <c r="B759" t="s">
        <v>1693</v>
      </c>
      <c r="C759" s="1">
        <v>43174</v>
      </c>
      <c r="D759">
        <v>507</v>
      </c>
      <c r="E759" t="b">
        <v>1</v>
      </c>
      <c r="F759" t="s">
        <v>1694</v>
      </c>
      <c r="G759" t="s">
        <v>100</v>
      </c>
      <c r="H759">
        <v>757</v>
      </c>
      <c r="I759" t="s">
        <v>110</v>
      </c>
      <c r="J759" s="3" t="str">
        <f>IF(ISNUMBER(SEARCH(",Action,",","&amp;SUBSTITUTE(TableMain[[#This Row],[Tags]],", ",",")&amp;",")),"Y","N")</f>
        <v>N</v>
      </c>
      <c r="K759" s="3" t="str">
        <f>IF(ISNUMBER(SEARCH(",Indie,",","&amp;SUBSTITUTE(TableMain[[#This Row],[Tags]],", ",",")&amp;",")),"Y","N")</f>
        <v>N</v>
      </c>
      <c r="L759" s="3" t="str">
        <f>IF(ISNUMBER(SEARCH(",Adventure,",","&amp;SUBSTITUTE(TableMain[[#This Row],[Tags]],", ",",")&amp;",")),"Y","N")</f>
        <v>N</v>
      </c>
      <c r="M759" s="3" t="str">
        <f>IF(ISNUMBER(SEARCH(",Simulation,",","&amp;SUBSTITUTE(TableMain[[#This Row],[Tags]],", ",",")&amp;",")),"Y","N")</f>
        <v>Y</v>
      </c>
      <c r="N759" s="3" t="str">
        <f>IF(ISNUMBER(SEARCH(",RPG,",","&amp;SUBSTITUTE(TableMain[[#This Row],[Tags]],", ",",")&amp;",")),"Y","N")</f>
        <v>N</v>
      </c>
      <c r="O759" s="3" t="str">
        <f>IF(ISNUMBER(SEARCH(",Strategy,",","&amp;SUBSTITUTE(TableMain[[#This Row],[Tags]],", ",",")&amp;",")),"Y","N")</f>
        <v>Y</v>
      </c>
      <c r="P759" s="3" t="str">
        <f>IF(ISNUMBER(SEARCH(",Free To Play,",","&amp;SUBSTITUTE(TableMain[[#This Row],[Tags]],", ",",")&amp;",")),"Y","N")</f>
        <v>N</v>
      </c>
    </row>
    <row r="760" spans="1:16" x14ac:dyDescent="0.35">
      <c r="A760">
        <v>1150690</v>
      </c>
      <c r="B760" t="s">
        <v>1695</v>
      </c>
      <c r="C760" s="1">
        <v>44190</v>
      </c>
      <c r="D760">
        <v>506</v>
      </c>
      <c r="E760" t="b">
        <v>1</v>
      </c>
      <c r="F760" t="s">
        <v>1696</v>
      </c>
      <c r="G760" t="s">
        <v>1685</v>
      </c>
      <c r="H760">
        <v>761</v>
      </c>
      <c r="I760" t="s">
        <v>341</v>
      </c>
      <c r="J760" s="3" t="str">
        <f>IF(ISNUMBER(SEARCH(",Action,",","&amp;SUBSTITUTE(TableMain[[#This Row],[Tags]],", ",",")&amp;",")),"Y","N")</f>
        <v>N</v>
      </c>
      <c r="K760" s="3" t="str">
        <f>IF(ISNUMBER(SEARCH(",Indie,",","&amp;SUBSTITUTE(TableMain[[#This Row],[Tags]],", ",",")&amp;",")),"Y","N")</f>
        <v>Y</v>
      </c>
      <c r="L760" s="3" t="str">
        <f>IF(ISNUMBER(SEARCH(",Adventure,",","&amp;SUBSTITUTE(TableMain[[#This Row],[Tags]],", ",",")&amp;",")),"Y","N")</f>
        <v>Y</v>
      </c>
      <c r="M760" s="3" t="str">
        <f>IF(ISNUMBER(SEARCH(",Simulation,",","&amp;SUBSTITUTE(TableMain[[#This Row],[Tags]],", ",",")&amp;",")),"Y","N")</f>
        <v>N</v>
      </c>
      <c r="N760" s="3" t="str">
        <f>IF(ISNUMBER(SEARCH(",RPG,",","&amp;SUBSTITUTE(TableMain[[#This Row],[Tags]],", ",",")&amp;",")),"Y","N")</f>
        <v>Y</v>
      </c>
      <c r="O760" s="3" t="str">
        <f>IF(ISNUMBER(SEARCH(",Strategy,",","&amp;SUBSTITUTE(TableMain[[#This Row],[Tags]],", ",",")&amp;",")),"Y","N")</f>
        <v>N</v>
      </c>
      <c r="P760" s="3" t="str">
        <f>IF(ISNUMBER(SEARCH(",Free To Play,",","&amp;SUBSTITUTE(TableMain[[#This Row],[Tags]],", ",",")&amp;",")),"Y","N")</f>
        <v>N</v>
      </c>
    </row>
    <row r="761" spans="1:16" x14ac:dyDescent="0.35">
      <c r="A761">
        <v>2440510</v>
      </c>
      <c r="B761" t="s">
        <v>1697</v>
      </c>
      <c r="C761" s="1">
        <v>45208</v>
      </c>
      <c r="D761">
        <v>506</v>
      </c>
      <c r="E761" t="b">
        <v>0</v>
      </c>
      <c r="F761" t="s">
        <v>1698</v>
      </c>
      <c r="G761" t="s">
        <v>1699</v>
      </c>
      <c r="H761">
        <v>761</v>
      </c>
      <c r="I761" t="s">
        <v>341</v>
      </c>
      <c r="J761" s="3" t="str">
        <f>IF(ISNUMBER(SEARCH(",Action,",","&amp;SUBSTITUTE(TableMain[[#This Row],[Tags]],", ",",")&amp;",")),"Y","N")</f>
        <v>N</v>
      </c>
      <c r="K761" s="3" t="str">
        <f>IF(ISNUMBER(SEARCH(",Indie,",","&amp;SUBSTITUTE(TableMain[[#This Row],[Tags]],", ",",")&amp;",")),"Y","N")</f>
        <v>N</v>
      </c>
      <c r="L761" s="3" t="str">
        <f>IF(ISNUMBER(SEARCH(",Adventure,",","&amp;SUBSTITUTE(TableMain[[#This Row],[Tags]],", ",",")&amp;",")),"Y","N")</f>
        <v>N</v>
      </c>
      <c r="M761" s="3" t="str">
        <f>IF(ISNUMBER(SEARCH(",Simulation,",","&amp;SUBSTITUTE(TableMain[[#This Row],[Tags]],", ",",")&amp;",")),"Y","N")</f>
        <v>N</v>
      </c>
      <c r="N761" s="3" t="str">
        <f>IF(ISNUMBER(SEARCH(",RPG,",","&amp;SUBSTITUTE(TableMain[[#This Row],[Tags]],", ",",")&amp;",")),"Y","N")</f>
        <v>N</v>
      </c>
      <c r="O761" s="3" t="str">
        <f>IF(ISNUMBER(SEARCH(",Strategy,",","&amp;SUBSTITUTE(TableMain[[#This Row],[Tags]],", ",",")&amp;",")),"Y","N")</f>
        <v>N</v>
      </c>
      <c r="P761" s="3" t="str">
        <f>IF(ISNUMBER(SEARCH(",Free To Play,",","&amp;SUBSTITUTE(TableMain[[#This Row],[Tags]],", ",",")&amp;",")),"Y","N")</f>
        <v>N</v>
      </c>
    </row>
    <row r="762" spans="1:16" x14ac:dyDescent="0.35">
      <c r="A762">
        <v>897330</v>
      </c>
      <c r="B762" t="s">
        <v>1700</v>
      </c>
      <c r="C762" s="1">
        <v>43329</v>
      </c>
      <c r="D762">
        <v>505</v>
      </c>
      <c r="E762" t="b">
        <v>1</v>
      </c>
      <c r="F762" t="s">
        <v>1494</v>
      </c>
      <c r="G762" t="s">
        <v>871</v>
      </c>
      <c r="H762">
        <v>763</v>
      </c>
      <c r="I762" t="s">
        <v>33</v>
      </c>
      <c r="J762" s="3" t="str">
        <f>IF(ISNUMBER(SEARCH(",Action,",","&amp;SUBSTITUTE(TableMain[[#This Row],[Tags]],", ",",")&amp;",")),"Y","N")</f>
        <v>N</v>
      </c>
      <c r="K762" s="3" t="str">
        <f>IF(ISNUMBER(SEARCH(",Indie,",","&amp;SUBSTITUTE(TableMain[[#This Row],[Tags]],", ",",")&amp;",")),"Y","N")</f>
        <v>Y</v>
      </c>
      <c r="L762" s="3" t="str">
        <f>IF(ISNUMBER(SEARCH(",Adventure,",","&amp;SUBSTITUTE(TableMain[[#This Row],[Tags]],", ",",")&amp;",")),"Y","N")</f>
        <v>N</v>
      </c>
      <c r="M762" s="3" t="str">
        <f>IF(ISNUMBER(SEARCH(",Simulation,",","&amp;SUBSTITUTE(TableMain[[#This Row],[Tags]],", ",",")&amp;",")),"Y","N")</f>
        <v>N</v>
      </c>
      <c r="N762" s="3" t="str">
        <f>IF(ISNUMBER(SEARCH(",RPG,",","&amp;SUBSTITUTE(TableMain[[#This Row],[Tags]],", ",",")&amp;",")),"Y","N")</f>
        <v>N</v>
      </c>
      <c r="O762" s="3" t="str">
        <f>IF(ISNUMBER(SEARCH(",Strategy,",","&amp;SUBSTITUTE(TableMain[[#This Row],[Tags]],", ",",")&amp;",")),"Y","N")</f>
        <v>N</v>
      </c>
      <c r="P762" s="3" t="str">
        <f>IF(ISNUMBER(SEARCH(",Free To Play,",","&amp;SUBSTITUTE(TableMain[[#This Row],[Tags]],", ",",")&amp;",")),"Y","N")</f>
        <v>Y</v>
      </c>
    </row>
    <row r="763" spans="1:16" x14ac:dyDescent="0.35">
      <c r="A763">
        <v>1239080</v>
      </c>
      <c r="B763" t="s">
        <v>1701</v>
      </c>
      <c r="C763" s="1">
        <v>45698</v>
      </c>
      <c r="D763">
        <v>505</v>
      </c>
      <c r="E763" t="b">
        <v>1</v>
      </c>
      <c r="F763" t="s">
        <v>1702</v>
      </c>
      <c r="G763" t="s">
        <v>498</v>
      </c>
      <c r="H763">
        <v>763</v>
      </c>
      <c r="I763" t="s">
        <v>57</v>
      </c>
      <c r="J763" s="3" t="str">
        <f>IF(ISNUMBER(SEARCH(",Action,",","&amp;SUBSTITUTE(TableMain[[#This Row],[Tags]],", ",",")&amp;",")),"Y","N")</f>
        <v>Y</v>
      </c>
      <c r="K763" s="3" t="str">
        <f>IF(ISNUMBER(SEARCH(",Indie,",","&amp;SUBSTITUTE(TableMain[[#This Row],[Tags]],", ",",")&amp;",")),"Y","N")</f>
        <v>Y</v>
      </c>
      <c r="L763" s="3" t="str">
        <f>IF(ISNUMBER(SEARCH(",Adventure,",","&amp;SUBSTITUTE(TableMain[[#This Row],[Tags]],", ",",")&amp;",")),"Y","N")</f>
        <v>N</v>
      </c>
      <c r="M763" s="3" t="str">
        <f>IF(ISNUMBER(SEARCH(",Simulation,",","&amp;SUBSTITUTE(TableMain[[#This Row],[Tags]],", ",",")&amp;",")),"Y","N")</f>
        <v>Y</v>
      </c>
      <c r="N763" s="3" t="str">
        <f>IF(ISNUMBER(SEARCH(",RPG,",","&amp;SUBSTITUTE(TableMain[[#This Row],[Tags]],", ",",")&amp;",")),"Y","N")</f>
        <v>N</v>
      </c>
      <c r="O763" s="3" t="str">
        <f>IF(ISNUMBER(SEARCH(",Strategy,",","&amp;SUBSTITUTE(TableMain[[#This Row],[Tags]],", ",",")&amp;",")),"Y","N")</f>
        <v>Y</v>
      </c>
      <c r="P763" s="3" t="str">
        <f>IF(ISNUMBER(SEARCH(",Free To Play,",","&amp;SUBSTITUTE(TableMain[[#This Row],[Tags]],", ",",")&amp;",")),"Y","N")</f>
        <v>N</v>
      </c>
    </row>
    <row r="764" spans="1:16" x14ac:dyDescent="0.35">
      <c r="A764">
        <v>2668510</v>
      </c>
      <c r="B764" t="s">
        <v>1703</v>
      </c>
      <c r="C764" s="1">
        <v>45594</v>
      </c>
      <c r="D764">
        <v>504</v>
      </c>
      <c r="E764" t="b">
        <v>0</v>
      </c>
      <c r="F764" t="s">
        <v>1704</v>
      </c>
      <c r="G764" t="s">
        <v>49</v>
      </c>
      <c r="H764">
        <v>765</v>
      </c>
      <c r="I764" t="s">
        <v>119</v>
      </c>
      <c r="J764" s="3" t="str">
        <f>IF(ISNUMBER(SEARCH(",Action,",","&amp;SUBSTITUTE(TableMain[[#This Row],[Tags]],", ",",")&amp;",")),"Y","N")</f>
        <v>Y</v>
      </c>
      <c r="K764" s="3" t="str">
        <f>IF(ISNUMBER(SEARCH(",Indie,",","&amp;SUBSTITUTE(TableMain[[#This Row],[Tags]],", ",",")&amp;",")),"Y","N")</f>
        <v>N</v>
      </c>
      <c r="L764" s="3" t="str">
        <f>IF(ISNUMBER(SEARCH(",Adventure,",","&amp;SUBSTITUTE(TableMain[[#This Row],[Tags]],", ",",")&amp;",")),"Y","N")</f>
        <v>N</v>
      </c>
      <c r="M764" s="3" t="str">
        <f>IF(ISNUMBER(SEARCH(",Simulation,",","&amp;SUBSTITUTE(TableMain[[#This Row],[Tags]],", ",",")&amp;",")),"Y","N")</f>
        <v>N</v>
      </c>
      <c r="N764" s="3" t="str">
        <f>IF(ISNUMBER(SEARCH(",RPG,",","&amp;SUBSTITUTE(TableMain[[#This Row],[Tags]],", ",",")&amp;",")),"Y","N")</f>
        <v>N</v>
      </c>
      <c r="O764" s="3" t="str">
        <f>IF(ISNUMBER(SEARCH(",Strategy,",","&amp;SUBSTITUTE(TableMain[[#This Row],[Tags]],", ",",")&amp;",")),"Y","N")</f>
        <v>N</v>
      </c>
      <c r="P764" s="3" t="str">
        <f>IF(ISNUMBER(SEARCH(",Free To Play,",","&amp;SUBSTITUTE(TableMain[[#This Row],[Tags]],", ",",")&amp;",")),"Y","N")</f>
        <v>N</v>
      </c>
    </row>
    <row r="765" spans="1:16" x14ac:dyDescent="0.35">
      <c r="A765">
        <v>1451190</v>
      </c>
      <c r="B765" t="s">
        <v>1705</v>
      </c>
      <c r="C765" s="1">
        <v>45573</v>
      </c>
      <c r="D765">
        <v>503</v>
      </c>
      <c r="E765" t="b">
        <v>0</v>
      </c>
      <c r="F765" t="s">
        <v>1706</v>
      </c>
      <c r="G765" t="s">
        <v>1707</v>
      </c>
      <c r="H765">
        <v>766</v>
      </c>
      <c r="I765" t="s">
        <v>405</v>
      </c>
      <c r="J765" s="3" t="str">
        <f>IF(ISNUMBER(SEARCH(",Action,",","&amp;SUBSTITUTE(TableMain[[#This Row],[Tags]],", ",",")&amp;",")),"Y","N")</f>
        <v>Y</v>
      </c>
      <c r="K765" s="3" t="str">
        <f>IF(ISNUMBER(SEARCH(",Indie,",","&amp;SUBSTITUTE(TableMain[[#This Row],[Tags]],", ",",")&amp;",")),"Y","N")</f>
        <v>N</v>
      </c>
      <c r="L765" s="3" t="str">
        <f>IF(ISNUMBER(SEARCH(",Adventure,",","&amp;SUBSTITUTE(TableMain[[#This Row],[Tags]],", ",",")&amp;",")),"Y","N")</f>
        <v>N</v>
      </c>
      <c r="M765" s="3" t="str">
        <f>IF(ISNUMBER(SEARCH(",Simulation,",","&amp;SUBSTITUTE(TableMain[[#This Row],[Tags]],", ",",")&amp;",")),"Y","N")</f>
        <v>Y</v>
      </c>
      <c r="N765" s="3" t="str">
        <f>IF(ISNUMBER(SEARCH(",RPG,",","&amp;SUBSTITUTE(TableMain[[#This Row],[Tags]],", ",",")&amp;",")),"Y","N")</f>
        <v>N</v>
      </c>
      <c r="O765" s="3" t="str">
        <f>IF(ISNUMBER(SEARCH(",Strategy,",","&amp;SUBSTITUTE(TableMain[[#This Row],[Tags]],", ",",")&amp;",")),"Y","N")</f>
        <v>N</v>
      </c>
      <c r="P765" s="3" t="str">
        <f>IF(ISNUMBER(SEARCH(",Free To Play,",","&amp;SUBSTITUTE(TableMain[[#This Row],[Tags]],", ",",")&amp;",")),"Y","N")</f>
        <v>N</v>
      </c>
    </row>
    <row r="766" spans="1:16" x14ac:dyDescent="0.35">
      <c r="A766">
        <v>24010</v>
      </c>
      <c r="B766" t="s">
        <v>1708</v>
      </c>
      <c r="C766" s="1">
        <v>42264</v>
      </c>
      <c r="D766">
        <v>503</v>
      </c>
      <c r="E766" t="b">
        <v>0</v>
      </c>
      <c r="F766" t="s">
        <v>1709</v>
      </c>
      <c r="G766" t="s">
        <v>239</v>
      </c>
      <c r="H766">
        <v>766</v>
      </c>
      <c r="I766" t="s">
        <v>33</v>
      </c>
      <c r="J766" s="3" t="str">
        <f>IF(ISNUMBER(SEARCH(",Action,",","&amp;SUBSTITUTE(TableMain[[#This Row],[Tags]],", ",",")&amp;",")),"Y","N")</f>
        <v>N</v>
      </c>
      <c r="K766" s="3" t="str">
        <f>IF(ISNUMBER(SEARCH(",Indie,",","&amp;SUBSTITUTE(TableMain[[#This Row],[Tags]],", ",",")&amp;",")),"Y","N")</f>
        <v>N</v>
      </c>
      <c r="L766" s="3" t="str">
        <f>IF(ISNUMBER(SEARCH(",Adventure,",","&amp;SUBSTITUTE(TableMain[[#This Row],[Tags]],", ",",")&amp;",")),"Y","N")</f>
        <v>N</v>
      </c>
      <c r="M766" s="3" t="str">
        <f>IF(ISNUMBER(SEARCH(",Simulation,",","&amp;SUBSTITUTE(TableMain[[#This Row],[Tags]],", ",",")&amp;",")),"Y","N")</f>
        <v>Y</v>
      </c>
      <c r="N766" s="3" t="str">
        <f>IF(ISNUMBER(SEARCH(",RPG,",","&amp;SUBSTITUTE(TableMain[[#This Row],[Tags]],", ",",")&amp;",")),"Y","N")</f>
        <v>N</v>
      </c>
      <c r="O766" s="3" t="str">
        <f>IF(ISNUMBER(SEARCH(",Strategy,",","&amp;SUBSTITUTE(TableMain[[#This Row],[Tags]],", ",",")&amp;",")),"Y","N")</f>
        <v>N</v>
      </c>
      <c r="P766" s="3" t="str">
        <f>IF(ISNUMBER(SEARCH(",Free To Play,",","&amp;SUBSTITUTE(TableMain[[#This Row],[Tags]],", ",",")&amp;",")),"Y","N")</f>
        <v>N</v>
      </c>
    </row>
    <row r="767" spans="1:16" x14ac:dyDescent="0.35">
      <c r="A767">
        <v>363150</v>
      </c>
      <c r="B767" t="s">
        <v>1710</v>
      </c>
      <c r="C767" s="1">
        <v>42396</v>
      </c>
      <c r="D767">
        <v>501</v>
      </c>
      <c r="E767" t="b">
        <v>0</v>
      </c>
      <c r="F767" t="s">
        <v>1091</v>
      </c>
      <c r="G767" t="s">
        <v>239</v>
      </c>
      <c r="H767">
        <v>768</v>
      </c>
      <c r="I767" t="s">
        <v>25</v>
      </c>
      <c r="J767" s="3" t="str">
        <f>IF(ISNUMBER(SEARCH(",Action,",","&amp;SUBSTITUTE(TableMain[[#This Row],[Tags]],", ",",")&amp;",")),"Y","N")</f>
        <v>N</v>
      </c>
      <c r="K767" s="3" t="str">
        <f>IF(ISNUMBER(SEARCH(",Indie,",","&amp;SUBSTITUTE(TableMain[[#This Row],[Tags]],", ",",")&amp;",")),"Y","N")</f>
        <v>N</v>
      </c>
      <c r="L767" s="3" t="str">
        <f>IF(ISNUMBER(SEARCH(",Adventure,",","&amp;SUBSTITUTE(TableMain[[#This Row],[Tags]],", ",",")&amp;",")),"Y","N")</f>
        <v>N</v>
      </c>
      <c r="M767" s="3" t="str">
        <f>IF(ISNUMBER(SEARCH(",Simulation,",","&amp;SUBSTITUTE(TableMain[[#This Row],[Tags]],", ",",")&amp;",")),"Y","N")</f>
        <v>Y</v>
      </c>
      <c r="N767" s="3" t="str">
        <f>IF(ISNUMBER(SEARCH(",RPG,",","&amp;SUBSTITUTE(TableMain[[#This Row],[Tags]],", ",",")&amp;",")),"Y","N")</f>
        <v>N</v>
      </c>
      <c r="O767" s="3" t="str">
        <f>IF(ISNUMBER(SEARCH(",Strategy,",","&amp;SUBSTITUTE(TableMain[[#This Row],[Tags]],", ",",")&amp;",")),"Y","N")</f>
        <v>N</v>
      </c>
      <c r="P767" s="3" t="str">
        <f>IF(ISNUMBER(SEARCH(",Free To Play,",","&amp;SUBSTITUTE(TableMain[[#This Row],[Tags]],", ",",")&amp;",")),"Y","N")</f>
        <v>N</v>
      </c>
    </row>
    <row r="768" spans="1:16" x14ac:dyDescent="0.35">
      <c r="A768">
        <v>1114150</v>
      </c>
      <c r="B768" t="s">
        <v>1711</v>
      </c>
      <c r="C768" s="1">
        <v>45533</v>
      </c>
      <c r="D768">
        <v>499</v>
      </c>
      <c r="E768" t="b">
        <v>1</v>
      </c>
      <c r="F768" t="s">
        <v>1712</v>
      </c>
      <c r="G768" t="s">
        <v>861</v>
      </c>
      <c r="H768">
        <v>769</v>
      </c>
      <c r="I768" t="s">
        <v>147</v>
      </c>
      <c r="J768" s="3" t="str">
        <f>IF(ISNUMBER(SEARCH(",Action,",","&amp;SUBSTITUTE(TableMain[[#This Row],[Tags]],", ",",")&amp;",")),"Y","N")</f>
        <v>N</v>
      </c>
      <c r="K768" s="3" t="str">
        <f>IF(ISNUMBER(SEARCH(",Indie,",","&amp;SUBSTITUTE(TableMain[[#This Row],[Tags]],", ",",")&amp;",")),"Y","N")</f>
        <v>N</v>
      </c>
      <c r="L768" s="3" t="str">
        <f>IF(ISNUMBER(SEARCH(",Adventure,",","&amp;SUBSTITUTE(TableMain[[#This Row],[Tags]],", ",",")&amp;",")),"Y","N")</f>
        <v>N</v>
      </c>
      <c r="M768" s="3" t="str">
        <f>IF(ISNUMBER(SEARCH(",Simulation,",","&amp;SUBSTITUTE(TableMain[[#This Row],[Tags]],", ",",")&amp;",")),"Y","N")</f>
        <v>Y</v>
      </c>
      <c r="N768" s="3" t="str">
        <f>IF(ISNUMBER(SEARCH(",RPG,",","&amp;SUBSTITUTE(TableMain[[#This Row],[Tags]],", ",",")&amp;",")),"Y","N")</f>
        <v>N</v>
      </c>
      <c r="O768" s="3" t="str">
        <f>IF(ISNUMBER(SEARCH(",Strategy,",","&amp;SUBSTITUTE(TableMain[[#This Row],[Tags]],", ",",")&amp;",")),"Y","N")</f>
        <v>N</v>
      </c>
      <c r="P768" s="3" t="str">
        <f>IF(ISNUMBER(SEARCH(",Free To Play,",","&amp;SUBSTITUTE(TableMain[[#This Row],[Tags]],", ",",")&amp;",")),"Y","N")</f>
        <v>N</v>
      </c>
    </row>
    <row r="769" spans="1:16" x14ac:dyDescent="0.35">
      <c r="A769">
        <v>2334730</v>
      </c>
      <c r="B769" t="s">
        <v>1713</v>
      </c>
      <c r="C769" s="1">
        <v>45244</v>
      </c>
      <c r="D769">
        <v>499</v>
      </c>
      <c r="E769" t="b">
        <v>1</v>
      </c>
      <c r="F769" t="s">
        <v>416</v>
      </c>
      <c r="G769" t="s">
        <v>1714</v>
      </c>
      <c r="H769">
        <v>769</v>
      </c>
      <c r="I769" t="s">
        <v>40</v>
      </c>
      <c r="J769" s="3" t="str">
        <f>IF(ISNUMBER(SEARCH(",Action,",","&amp;SUBSTITUTE(TableMain[[#This Row],[Tags]],", ",",")&amp;",")),"Y","N")</f>
        <v>Y</v>
      </c>
      <c r="K769" s="3" t="str">
        <f>IF(ISNUMBER(SEARCH(",Indie,",","&amp;SUBSTITUTE(TableMain[[#This Row],[Tags]],", ",",")&amp;",")),"Y","N")</f>
        <v>Y</v>
      </c>
      <c r="L769" s="3" t="str">
        <f>IF(ISNUMBER(SEARCH(",Adventure,",","&amp;SUBSTITUTE(TableMain[[#This Row],[Tags]],", ",",")&amp;",")),"Y","N")</f>
        <v>N</v>
      </c>
      <c r="M769" s="3" t="str">
        <f>IF(ISNUMBER(SEARCH(",Simulation,",","&amp;SUBSTITUTE(TableMain[[#This Row],[Tags]],", ",",")&amp;",")),"Y","N")</f>
        <v>N</v>
      </c>
      <c r="N769" s="3" t="str">
        <f>IF(ISNUMBER(SEARCH(",RPG,",","&amp;SUBSTITUTE(TableMain[[#This Row],[Tags]],", ",",")&amp;",")),"Y","N")</f>
        <v>Y</v>
      </c>
      <c r="O769" s="3" t="str">
        <f>IF(ISNUMBER(SEARCH(",Strategy,",","&amp;SUBSTITUTE(TableMain[[#This Row],[Tags]],", ",",")&amp;",")),"Y","N")</f>
        <v>N</v>
      </c>
      <c r="P769" s="3" t="str">
        <f>IF(ISNUMBER(SEARCH(",Free To Play,",","&amp;SUBSTITUTE(TableMain[[#This Row],[Tags]],", ",",")&amp;",")),"Y","N")</f>
        <v>N</v>
      </c>
    </row>
    <row r="770" spans="1:16" x14ac:dyDescent="0.35">
      <c r="A770">
        <v>1332010</v>
      </c>
      <c r="B770" t="s">
        <v>1715</v>
      </c>
      <c r="C770" s="1">
        <v>44761</v>
      </c>
      <c r="D770">
        <v>498</v>
      </c>
      <c r="E770" t="b">
        <v>1</v>
      </c>
      <c r="F770" t="s">
        <v>670</v>
      </c>
      <c r="G770" t="s">
        <v>652</v>
      </c>
      <c r="H770">
        <v>771</v>
      </c>
      <c r="I770" t="s">
        <v>133</v>
      </c>
      <c r="J770" s="3" t="str">
        <f>IF(ISNUMBER(SEARCH(",Action,",","&amp;SUBSTITUTE(TableMain[[#This Row],[Tags]],", ",",")&amp;",")),"Y","N")</f>
        <v>N</v>
      </c>
      <c r="K770" s="3" t="str">
        <f>IF(ISNUMBER(SEARCH(",Indie,",","&amp;SUBSTITUTE(TableMain[[#This Row],[Tags]],", ",",")&amp;",")),"Y","N")</f>
        <v>Y</v>
      </c>
      <c r="L770" s="3" t="str">
        <f>IF(ISNUMBER(SEARCH(",Adventure,",","&amp;SUBSTITUTE(TableMain[[#This Row],[Tags]],", ",",")&amp;",")),"Y","N")</f>
        <v>Y</v>
      </c>
      <c r="M770" s="3" t="str">
        <f>IF(ISNUMBER(SEARCH(",Simulation,",","&amp;SUBSTITUTE(TableMain[[#This Row],[Tags]],", ",",")&amp;",")),"Y","N")</f>
        <v>N</v>
      </c>
      <c r="N770" s="3" t="str">
        <f>IF(ISNUMBER(SEARCH(",RPG,",","&amp;SUBSTITUTE(TableMain[[#This Row],[Tags]],", ",",")&amp;",")),"Y","N")</f>
        <v>N</v>
      </c>
      <c r="O770" s="3" t="str">
        <f>IF(ISNUMBER(SEARCH(",Strategy,",","&amp;SUBSTITUTE(TableMain[[#This Row],[Tags]],", ",",")&amp;",")),"Y","N")</f>
        <v>N</v>
      </c>
      <c r="P770" s="3" t="str">
        <f>IF(ISNUMBER(SEARCH(",Free To Play,",","&amp;SUBSTITUTE(TableMain[[#This Row],[Tags]],", ",",")&amp;",")),"Y","N")</f>
        <v>N</v>
      </c>
    </row>
    <row r="771" spans="1:16" x14ac:dyDescent="0.35">
      <c r="A771">
        <v>2660460</v>
      </c>
      <c r="B771" t="s">
        <v>1716</v>
      </c>
      <c r="C771" s="1">
        <v>45758</v>
      </c>
      <c r="D771">
        <v>498</v>
      </c>
      <c r="E771" t="b">
        <v>0</v>
      </c>
      <c r="F771" t="s">
        <v>915</v>
      </c>
      <c r="G771" t="s">
        <v>858</v>
      </c>
      <c r="H771">
        <v>771</v>
      </c>
      <c r="I771" t="s">
        <v>33</v>
      </c>
      <c r="J771" s="3" t="str">
        <f>IF(ISNUMBER(SEARCH(",Action,",","&amp;SUBSTITUTE(TableMain[[#This Row],[Tags]],", ",",")&amp;",")),"Y","N")</f>
        <v>N</v>
      </c>
      <c r="K771" s="3" t="str">
        <f>IF(ISNUMBER(SEARCH(",Indie,",","&amp;SUBSTITUTE(TableMain[[#This Row],[Tags]],", ",",")&amp;",")),"Y","N")</f>
        <v>N</v>
      </c>
      <c r="L771" s="3" t="str">
        <f>IF(ISNUMBER(SEARCH(",Adventure,",","&amp;SUBSTITUTE(TableMain[[#This Row],[Tags]],", ",",")&amp;",")),"Y","N")</f>
        <v>N</v>
      </c>
      <c r="M771" s="3" t="str">
        <f>IF(ISNUMBER(SEARCH(",Simulation,",","&amp;SUBSTITUTE(TableMain[[#This Row],[Tags]],", ",",")&amp;",")),"Y","N")</f>
        <v>Y</v>
      </c>
      <c r="N771" s="3" t="str">
        <f>IF(ISNUMBER(SEARCH(",RPG,",","&amp;SUBSTITUTE(TableMain[[#This Row],[Tags]],", ",",")&amp;",")),"Y","N")</f>
        <v>N</v>
      </c>
      <c r="O771" s="3" t="str">
        <f>IF(ISNUMBER(SEARCH(",Strategy,",","&amp;SUBSTITUTE(TableMain[[#This Row],[Tags]],", ",",")&amp;",")),"Y","N")</f>
        <v>N</v>
      </c>
      <c r="P771" s="3" t="str">
        <f>IF(ISNUMBER(SEARCH(",Free To Play,",","&amp;SUBSTITUTE(TableMain[[#This Row],[Tags]],", ",",")&amp;",")),"Y","N")</f>
        <v>N</v>
      </c>
    </row>
    <row r="772" spans="1:16" x14ac:dyDescent="0.35">
      <c r="A772">
        <v>218230</v>
      </c>
      <c r="B772" t="s">
        <v>1717</v>
      </c>
      <c r="C772" s="1">
        <v>41233</v>
      </c>
      <c r="D772">
        <v>496</v>
      </c>
      <c r="E772" t="b">
        <v>0</v>
      </c>
      <c r="F772" t="s">
        <v>1718</v>
      </c>
      <c r="G772" t="s">
        <v>673</v>
      </c>
      <c r="H772">
        <v>773</v>
      </c>
      <c r="I772" t="s">
        <v>2095</v>
      </c>
      <c r="J772" s="3" t="str">
        <f>IF(ISNUMBER(SEARCH(",Action,",","&amp;SUBSTITUTE(TableMain[[#This Row],[Tags]],", ",",")&amp;",")),"Y","N")</f>
        <v>Y</v>
      </c>
      <c r="K772" s="3" t="str">
        <f>IF(ISNUMBER(SEARCH(",Indie,",","&amp;SUBSTITUTE(TableMain[[#This Row],[Tags]],", ",",")&amp;",")),"Y","N")</f>
        <v>N</v>
      </c>
      <c r="L772" s="3" t="str">
        <f>IF(ISNUMBER(SEARCH(",Adventure,",","&amp;SUBSTITUTE(TableMain[[#This Row],[Tags]],", ",",")&amp;",")),"Y","N")</f>
        <v>N</v>
      </c>
      <c r="M772" s="3" t="str">
        <f>IF(ISNUMBER(SEARCH(",Simulation,",","&amp;SUBSTITUTE(TableMain[[#This Row],[Tags]],", ",",")&amp;",")),"Y","N")</f>
        <v>N</v>
      </c>
      <c r="N772" s="3" t="str">
        <f>IF(ISNUMBER(SEARCH(",RPG,",","&amp;SUBSTITUTE(TableMain[[#This Row],[Tags]],", ",",")&amp;",")),"Y","N")</f>
        <v>N</v>
      </c>
      <c r="O772" s="3" t="str">
        <f>IF(ISNUMBER(SEARCH(",Strategy,",","&amp;SUBSTITUTE(TableMain[[#This Row],[Tags]],", ",",")&amp;",")),"Y","N")</f>
        <v>N</v>
      </c>
      <c r="P772" s="3" t="str">
        <f>IF(ISNUMBER(SEARCH(",Free To Play,",","&amp;SUBSTITUTE(TableMain[[#This Row],[Tags]],", ",",")&amp;",")),"Y","N")</f>
        <v>Y</v>
      </c>
    </row>
    <row r="773" spans="1:16" x14ac:dyDescent="0.35">
      <c r="A773">
        <v>2288150</v>
      </c>
      <c r="B773" t="s">
        <v>1719</v>
      </c>
      <c r="C773" s="1">
        <v>45588</v>
      </c>
      <c r="D773">
        <v>496</v>
      </c>
      <c r="E773" t="b">
        <v>0</v>
      </c>
      <c r="F773" t="s">
        <v>1720</v>
      </c>
      <c r="G773" t="s">
        <v>100</v>
      </c>
      <c r="H773">
        <v>773</v>
      </c>
      <c r="I773" t="s">
        <v>175</v>
      </c>
      <c r="J773" s="3" t="str">
        <f>IF(ISNUMBER(SEARCH(",Action,",","&amp;SUBSTITUTE(TableMain[[#This Row],[Tags]],", ",",")&amp;",")),"Y","N")</f>
        <v>N</v>
      </c>
      <c r="K773" s="3" t="str">
        <f>IF(ISNUMBER(SEARCH(",Indie,",","&amp;SUBSTITUTE(TableMain[[#This Row],[Tags]],", ",",")&amp;",")),"Y","N")</f>
        <v>N</v>
      </c>
      <c r="L773" s="3" t="str">
        <f>IF(ISNUMBER(SEARCH(",Adventure,",","&amp;SUBSTITUTE(TableMain[[#This Row],[Tags]],", ",",")&amp;",")),"Y","N")</f>
        <v>N</v>
      </c>
      <c r="M773" s="3" t="str">
        <f>IF(ISNUMBER(SEARCH(",Simulation,",","&amp;SUBSTITUTE(TableMain[[#This Row],[Tags]],", ",",")&amp;",")),"Y","N")</f>
        <v>Y</v>
      </c>
      <c r="N773" s="3" t="str">
        <f>IF(ISNUMBER(SEARCH(",RPG,",","&amp;SUBSTITUTE(TableMain[[#This Row],[Tags]],", ",",")&amp;",")),"Y","N")</f>
        <v>N</v>
      </c>
      <c r="O773" s="3" t="str">
        <f>IF(ISNUMBER(SEARCH(",Strategy,",","&amp;SUBSTITUTE(TableMain[[#This Row],[Tags]],", ",",")&amp;",")),"Y","N")</f>
        <v>Y</v>
      </c>
      <c r="P773" s="3" t="str">
        <f>IF(ISNUMBER(SEARCH(",Free To Play,",","&amp;SUBSTITUTE(TableMain[[#This Row],[Tags]],", ",",")&amp;",")),"Y","N")</f>
        <v>N</v>
      </c>
    </row>
    <row r="774" spans="1:16" x14ac:dyDescent="0.35">
      <c r="A774">
        <v>502520</v>
      </c>
      <c r="B774" t="s">
        <v>1721</v>
      </c>
      <c r="C774" s="1">
        <v>42930</v>
      </c>
      <c r="D774">
        <v>495</v>
      </c>
      <c r="E774" t="b">
        <v>1</v>
      </c>
      <c r="F774" t="s">
        <v>467</v>
      </c>
      <c r="G774" t="s">
        <v>160</v>
      </c>
      <c r="H774">
        <v>775</v>
      </c>
      <c r="I774" t="s">
        <v>133</v>
      </c>
      <c r="J774" s="3" t="str">
        <f>IF(ISNUMBER(SEARCH(",Action,",","&amp;SUBSTITUTE(TableMain[[#This Row],[Tags]],", ",",")&amp;",")),"Y","N")</f>
        <v>N</v>
      </c>
      <c r="K774" s="3" t="str">
        <f>IF(ISNUMBER(SEARCH(",Indie,",","&amp;SUBSTITUTE(TableMain[[#This Row],[Tags]],", ",",")&amp;",")),"Y","N")</f>
        <v>Y</v>
      </c>
      <c r="L774" s="3" t="str">
        <f>IF(ISNUMBER(SEARCH(",Adventure,",","&amp;SUBSTITUTE(TableMain[[#This Row],[Tags]],", ",",")&amp;",")),"Y","N")</f>
        <v>N</v>
      </c>
      <c r="M774" s="3" t="str">
        <f>IF(ISNUMBER(SEARCH(",Simulation,",","&amp;SUBSTITUTE(TableMain[[#This Row],[Tags]],", ",",")&amp;",")),"Y","N")</f>
        <v>Y</v>
      </c>
      <c r="N774" s="3" t="str">
        <f>IF(ISNUMBER(SEARCH(",RPG,",","&amp;SUBSTITUTE(TableMain[[#This Row],[Tags]],", ",",")&amp;",")),"Y","N")</f>
        <v>N</v>
      </c>
      <c r="O774" s="3" t="str">
        <f>IF(ISNUMBER(SEARCH(",Strategy,",","&amp;SUBSTITUTE(TableMain[[#This Row],[Tags]],", ",",")&amp;",")),"Y","N")</f>
        <v>Y</v>
      </c>
      <c r="P774" s="3" t="str">
        <f>IF(ISNUMBER(SEARCH(",Free To Play,",","&amp;SUBSTITUTE(TableMain[[#This Row],[Tags]],", ",",")&amp;",")),"Y","N")</f>
        <v>N</v>
      </c>
    </row>
    <row r="775" spans="1:16" x14ac:dyDescent="0.35">
      <c r="A775">
        <v>268850</v>
      </c>
      <c r="B775" t="s">
        <v>1722</v>
      </c>
      <c r="C775" s="1">
        <v>41836</v>
      </c>
      <c r="D775">
        <v>494</v>
      </c>
      <c r="E775" t="b">
        <v>0</v>
      </c>
      <c r="F775" t="s">
        <v>108</v>
      </c>
      <c r="G775" t="s">
        <v>571</v>
      </c>
      <c r="H775">
        <v>776</v>
      </c>
      <c r="I775" t="s">
        <v>958</v>
      </c>
      <c r="J775" s="3" t="str">
        <f>IF(ISNUMBER(SEARCH(",Action,",","&amp;SUBSTITUTE(TableMain[[#This Row],[Tags]],", ",",")&amp;",")),"Y","N")</f>
        <v>N</v>
      </c>
      <c r="K775" s="3" t="str">
        <f>IF(ISNUMBER(SEARCH(",Indie,",","&amp;SUBSTITUTE(TableMain[[#This Row],[Tags]],", ",",")&amp;",")),"Y","N")</f>
        <v>N</v>
      </c>
      <c r="L775" s="3" t="str">
        <f>IF(ISNUMBER(SEARCH(",Adventure,",","&amp;SUBSTITUTE(TableMain[[#This Row],[Tags]],", ",",")&amp;",")),"Y","N")</f>
        <v>N</v>
      </c>
      <c r="M775" s="3" t="str">
        <f>IF(ISNUMBER(SEARCH(",Simulation,",","&amp;SUBSTITUTE(TableMain[[#This Row],[Tags]],", ",",")&amp;",")),"Y","N")</f>
        <v>N</v>
      </c>
      <c r="N775" s="3" t="str">
        <f>IF(ISNUMBER(SEARCH(",RPG,",","&amp;SUBSTITUTE(TableMain[[#This Row],[Tags]],", ",",")&amp;",")),"Y","N")</f>
        <v>N</v>
      </c>
      <c r="O775" s="3" t="str">
        <f>IF(ISNUMBER(SEARCH(",Strategy,",","&amp;SUBSTITUTE(TableMain[[#This Row],[Tags]],", ",",")&amp;",")),"Y","N")</f>
        <v>N</v>
      </c>
      <c r="P775" s="3" t="str">
        <f>IF(ISNUMBER(SEARCH(",Free To Play,",","&amp;SUBSTITUTE(TableMain[[#This Row],[Tags]],", ",",")&amp;",")),"Y","N")</f>
        <v>N</v>
      </c>
    </row>
    <row r="776" spans="1:16" x14ac:dyDescent="0.35">
      <c r="A776">
        <v>1593350</v>
      </c>
      <c r="B776" t="s">
        <v>1723</v>
      </c>
      <c r="C776" s="1">
        <v>44482</v>
      </c>
      <c r="D776">
        <v>494</v>
      </c>
      <c r="E776" t="b">
        <v>1</v>
      </c>
      <c r="F776" t="s">
        <v>1091</v>
      </c>
      <c r="G776" t="s">
        <v>1724</v>
      </c>
      <c r="H776">
        <v>776</v>
      </c>
      <c r="I776" t="s">
        <v>53</v>
      </c>
      <c r="J776" s="3" t="str">
        <f>IF(ISNUMBER(SEARCH(",Action,",","&amp;SUBSTITUTE(TableMain[[#This Row],[Tags]],", ",",")&amp;",")),"Y","N")</f>
        <v>N</v>
      </c>
      <c r="K776" s="3" t="str">
        <f>IF(ISNUMBER(SEARCH(",Indie,",","&amp;SUBSTITUTE(TableMain[[#This Row],[Tags]],", ",",")&amp;",")),"Y","N")</f>
        <v>Y</v>
      </c>
      <c r="L776" s="3" t="str">
        <f>IF(ISNUMBER(SEARCH(",Adventure,",","&amp;SUBSTITUTE(TableMain[[#This Row],[Tags]],", ",",")&amp;",")),"Y","N")</f>
        <v>N</v>
      </c>
      <c r="M776" s="3" t="str">
        <f>IF(ISNUMBER(SEARCH(",Simulation,",","&amp;SUBSTITUTE(TableMain[[#This Row],[Tags]],", ",",")&amp;",")),"Y","N")</f>
        <v>N</v>
      </c>
      <c r="N776" s="3" t="str">
        <f>IF(ISNUMBER(SEARCH(",RPG,",","&amp;SUBSTITUTE(TableMain[[#This Row],[Tags]],", ",",")&amp;",")),"Y","N")</f>
        <v>N</v>
      </c>
      <c r="O776" s="3" t="str">
        <f>IF(ISNUMBER(SEARCH(",Strategy,",","&amp;SUBSTITUTE(TableMain[[#This Row],[Tags]],", ",",")&amp;",")),"Y","N")</f>
        <v>N</v>
      </c>
      <c r="P776" s="3" t="str">
        <f>IF(ISNUMBER(SEARCH(",Free To Play,",","&amp;SUBSTITUTE(TableMain[[#This Row],[Tags]],", ",",")&amp;",")),"Y","N")</f>
        <v>N</v>
      </c>
    </row>
    <row r="777" spans="1:16" x14ac:dyDescent="0.35">
      <c r="A777">
        <v>2009350</v>
      </c>
      <c r="B777" t="s">
        <v>1725</v>
      </c>
      <c r="C777" s="1">
        <v>44865</v>
      </c>
      <c r="D777">
        <v>493</v>
      </c>
      <c r="E777" t="b">
        <v>0</v>
      </c>
      <c r="F777" t="s">
        <v>1726</v>
      </c>
      <c r="G777" t="s">
        <v>1727</v>
      </c>
      <c r="H777">
        <v>778</v>
      </c>
      <c r="I777" t="s">
        <v>29</v>
      </c>
      <c r="J777" s="3" t="str">
        <f>IF(ISNUMBER(SEARCH(",Action,",","&amp;SUBSTITUTE(TableMain[[#This Row],[Tags]],", ",",")&amp;",")),"Y","N")</f>
        <v>N</v>
      </c>
      <c r="K777" s="3" t="str">
        <f>IF(ISNUMBER(SEARCH(",Indie,",","&amp;SUBSTITUTE(TableMain[[#This Row],[Tags]],", ",",")&amp;",")),"Y","N")</f>
        <v>N</v>
      </c>
      <c r="L777" s="3" t="str">
        <f>IF(ISNUMBER(SEARCH(",Adventure,",","&amp;SUBSTITUTE(TableMain[[#This Row],[Tags]],", ",",")&amp;",")),"Y","N")</f>
        <v>Y</v>
      </c>
      <c r="M777" s="3" t="str">
        <f>IF(ISNUMBER(SEARCH(",Simulation,",","&amp;SUBSTITUTE(TableMain[[#This Row],[Tags]],", ",",")&amp;",")),"Y","N")</f>
        <v>Y</v>
      </c>
      <c r="N777" s="3" t="str">
        <f>IF(ISNUMBER(SEARCH(",RPG,",","&amp;SUBSTITUTE(TableMain[[#This Row],[Tags]],", ",",")&amp;",")),"Y","N")</f>
        <v>N</v>
      </c>
      <c r="O777" s="3" t="str">
        <f>IF(ISNUMBER(SEARCH(",Strategy,",","&amp;SUBSTITUTE(TableMain[[#This Row],[Tags]],", ",",")&amp;",")),"Y","N")</f>
        <v>Y</v>
      </c>
      <c r="P777" s="3" t="str">
        <f>IF(ISNUMBER(SEARCH(",Free To Play,",","&amp;SUBSTITUTE(TableMain[[#This Row],[Tags]],", ",",")&amp;",")),"Y","N")</f>
        <v>N</v>
      </c>
    </row>
    <row r="778" spans="1:16" x14ac:dyDescent="0.35">
      <c r="A778">
        <v>1197260</v>
      </c>
      <c r="B778" t="s">
        <v>1728</v>
      </c>
      <c r="C778" s="1">
        <v>45991</v>
      </c>
      <c r="D778">
        <v>491</v>
      </c>
      <c r="E778" t="b">
        <v>0</v>
      </c>
      <c r="F778" t="s">
        <v>1729</v>
      </c>
      <c r="G778" t="s">
        <v>1730</v>
      </c>
      <c r="H778">
        <v>779</v>
      </c>
      <c r="I778" t="s">
        <v>53</v>
      </c>
      <c r="J778" s="3" t="str">
        <f>IF(ISNUMBER(SEARCH(",Action,",","&amp;SUBSTITUTE(TableMain[[#This Row],[Tags]],", ",",")&amp;",")),"Y","N")</f>
        <v>Y</v>
      </c>
      <c r="K778" s="3" t="str">
        <f>IF(ISNUMBER(SEARCH(",Indie,",","&amp;SUBSTITUTE(TableMain[[#This Row],[Tags]],", ",",")&amp;",")),"Y","N")</f>
        <v>Y</v>
      </c>
      <c r="L778" s="3" t="str">
        <f>IF(ISNUMBER(SEARCH(",Adventure,",","&amp;SUBSTITUTE(TableMain[[#This Row],[Tags]],", ",",")&amp;",")),"Y","N")</f>
        <v>N</v>
      </c>
      <c r="M778" s="3" t="str">
        <f>IF(ISNUMBER(SEARCH(",Simulation,",","&amp;SUBSTITUTE(TableMain[[#This Row],[Tags]],", ",",")&amp;",")),"Y","N")</f>
        <v>N</v>
      </c>
      <c r="N778" s="3" t="str">
        <f>IF(ISNUMBER(SEARCH(",RPG,",","&amp;SUBSTITUTE(TableMain[[#This Row],[Tags]],", ",",")&amp;",")),"Y","N")</f>
        <v>N</v>
      </c>
      <c r="O778" s="3" t="str">
        <f>IF(ISNUMBER(SEARCH(",Strategy,",","&amp;SUBSTITUTE(TableMain[[#This Row],[Tags]],", ",",")&amp;",")),"Y","N")</f>
        <v>Y</v>
      </c>
      <c r="P778" s="3" t="str">
        <f>IF(ISNUMBER(SEARCH(",Free To Play,",","&amp;SUBSTITUTE(TableMain[[#This Row],[Tags]],", ",",")&amp;",")),"Y","N")</f>
        <v>Y</v>
      </c>
    </row>
    <row r="779" spans="1:16" x14ac:dyDescent="0.35">
      <c r="A779">
        <v>2292800</v>
      </c>
      <c r="B779" t="s">
        <v>1731</v>
      </c>
      <c r="C779" s="1">
        <v>45792</v>
      </c>
      <c r="D779">
        <v>490</v>
      </c>
      <c r="E779" t="b">
        <v>1</v>
      </c>
      <c r="F779" t="s">
        <v>1732</v>
      </c>
      <c r="G779" t="s">
        <v>785</v>
      </c>
      <c r="H779">
        <v>780</v>
      </c>
      <c r="I779" t="s">
        <v>304</v>
      </c>
      <c r="J779" s="3" t="str">
        <f>IF(ISNUMBER(SEARCH(",Action,",","&amp;SUBSTITUTE(TableMain[[#This Row],[Tags]],", ",",")&amp;",")),"Y","N")</f>
        <v>N</v>
      </c>
      <c r="K779" s="3" t="str">
        <f>IF(ISNUMBER(SEARCH(",Indie,",","&amp;SUBSTITUTE(TableMain[[#This Row],[Tags]],", ",",")&amp;",")),"Y","N")</f>
        <v>N</v>
      </c>
      <c r="L779" s="3" t="str">
        <f>IF(ISNUMBER(SEARCH(",Adventure,",","&amp;SUBSTITUTE(TableMain[[#This Row],[Tags]],", ",",")&amp;",")),"Y","N")</f>
        <v>N</v>
      </c>
      <c r="M779" s="3" t="str">
        <f>IF(ISNUMBER(SEARCH(",Simulation,",","&amp;SUBSTITUTE(TableMain[[#This Row],[Tags]],", ",",")&amp;",")),"Y","N")</f>
        <v>Y</v>
      </c>
      <c r="N779" s="3" t="str">
        <f>IF(ISNUMBER(SEARCH(",RPG,",","&amp;SUBSTITUTE(TableMain[[#This Row],[Tags]],", ",",")&amp;",")),"Y","N")</f>
        <v>N</v>
      </c>
      <c r="O779" s="3" t="str">
        <f>IF(ISNUMBER(SEARCH(",Strategy,",","&amp;SUBSTITUTE(TableMain[[#This Row],[Tags]],", ",",")&amp;",")),"Y","N")</f>
        <v>Y</v>
      </c>
      <c r="P779" s="3" t="str">
        <f>IF(ISNUMBER(SEARCH(",Free To Play,",","&amp;SUBSTITUTE(TableMain[[#This Row],[Tags]],", ",",")&amp;",")),"Y","N")</f>
        <v>N</v>
      </c>
    </row>
    <row r="780" spans="1:16" x14ac:dyDescent="0.35">
      <c r="A780">
        <v>42960</v>
      </c>
      <c r="B780" t="s">
        <v>1733</v>
      </c>
      <c r="C780" s="1">
        <v>40420</v>
      </c>
      <c r="D780">
        <v>490</v>
      </c>
      <c r="E780" t="b">
        <v>0</v>
      </c>
      <c r="F780" t="s">
        <v>636</v>
      </c>
      <c r="G780" t="s">
        <v>124</v>
      </c>
      <c r="H780">
        <v>780</v>
      </c>
      <c r="I780" t="s">
        <v>57</v>
      </c>
      <c r="J780" s="3" t="str">
        <f>IF(ISNUMBER(SEARCH(",Action,",","&amp;SUBSTITUTE(TableMain[[#This Row],[Tags]],", ",",")&amp;",")),"Y","N")</f>
        <v>N</v>
      </c>
      <c r="K780" s="3" t="str">
        <f>IF(ISNUMBER(SEARCH(",Indie,",","&amp;SUBSTITUTE(TableMain[[#This Row],[Tags]],", ",",")&amp;",")),"Y","N")</f>
        <v>N</v>
      </c>
      <c r="L780" s="3" t="str">
        <f>IF(ISNUMBER(SEARCH(",Adventure,",","&amp;SUBSTITUTE(TableMain[[#This Row],[Tags]],", ",",")&amp;",")),"Y","N")</f>
        <v>N</v>
      </c>
      <c r="M780" s="3" t="str">
        <f>IF(ISNUMBER(SEARCH(",Simulation,",","&amp;SUBSTITUTE(TableMain[[#This Row],[Tags]],", ",",")&amp;",")),"Y","N")</f>
        <v>N</v>
      </c>
      <c r="N780" s="3" t="str">
        <f>IF(ISNUMBER(SEARCH(",RPG,",","&amp;SUBSTITUTE(TableMain[[#This Row],[Tags]],", ",",")&amp;",")),"Y","N")</f>
        <v>N</v>
      </c>
      <c r="O780" s="3" t="str">
        <f>IF(ISNUMBER(SEARCH(",Strategy,",","&amp;SUBSTITUTE(TableMain[[#This Row],[Tags]],", ",",")&amp;",")),"Y","N")</f>
        <v>Y</v>
      </c>
      <c r="P780" s="3" t="str">
        <f>IF(ISNUMBER(SEARCH(",Free To Play,",","&amp;SUBSTITUTE(TableMain[[#This Row],[Tags]],", ",",")&amp;",")),"Y","N")</f>
        <v>N</v>
      </c>
    </row>
    <row r="781" spans="1:16" x14ac:dyDescent="0.35">
      <c r="A781">
        <v>2014780</v>
      </c>
      <c r="B781" t="s">
        <v>1734</v>
      </c>
      <c r="C781" s="1">
        <v>44912</v>
      </c>
      <c r="D781">
        <v>489</v>
      </c>
      <c r="E781" t="b">
        <v>1</v>
      </c>
      <c r="F781" t="s">
        <v>1735</v>
      </c>
      <c r="G781" t="s">
        <v>239</v>
      </c>
      <c r="H781">
        <v>782</v>
      </c>
      <c r="I781" t="s">
        <v>2082</v>
      </c>
      <c r="J781" s="3" t="str">
        <f>IF(ISNUMBER(SEARCH(",Action,",","&amp;SUBSTITUTE(TableMain[[#This Row],[Tags]],", ",",")&amp;",")),"Y","N")</f>
        <v>N</v>
      </c>
      <c r="K781" s="3" t="str">
        <f>IF(ISNUMBER(SEARCH(",Indie,",","&amp;SUBSTITUTE(TableMain[[#This Row],[Tags]],", ",",")&amp;",")),"Y","N")</f>
        <v>N</v>
      </c>
      <c r="L781" s="3" t="str">
        <f>IF(ISNUMBER(SEARCH(",Adventure,",","&amp;SUBSTITUTE(TableMain[[#This Row],[Tags]],", ",",")&amp;",")),"Y","N")</f>
        <v>N</v>
      </c>
      <c r="M781" s="3" t="str">
        <f>IF(ISNUMBER(SEARCH(",Simulation,",","&amp;SUBSTITUTE(TableMain[[#This Row],[Tags]],", ",",")&amp;",")),"Y","N")</f>
        <v>Y</v>
      </c>
      <c r="N781" s="3" t="str">
        <f>IF(ISNUMBER(SEARCH(",RPG,",","&amp;SUBSTITUTE(TableMain[[#This Row],[Tags]],", ",",")&amp;",")),"Y","N")</f>
        <v>N</v>
      </c>
      <c r="O781" s="3" t="str">
        <f>IF(ISNUMBER(SEARCH(",Strategy,",","&amp;SUBSTITUTE(TableMain[[#This Row],[Tags]],", ",",")&amp;",")),"Y","N")</f>
        <v>N</v>
      </c>
      <c r="P781" s="3" t="str">
        <f>IF(ISNUMBER(SEARCH(",Free To Play,",","&amp;SUBSTITUTE(TableMain[[#This Row],[Tags]],", ",",")&amp;",")),"Y","N")</f>
        <v>N</v>
      </c>
    </row>
    <row r="782" spans="1:16" x14ac:dyDescent="0.35">
      <c r="A782">
        <v>220240</v>
      </c>
      <c r="B782" t="s">
        <v>1736</v>
      </c>
      <c r="C782" s="1">
        <v>41247</v>
      </c>
      <c r="D782">
        <v>488</v>
      </c>
      <c r="E782" t="b">
        <v>0</v>
      </c>
      <c r="F782" t="s">
        <v>1604</v>
      </c>
      <c r="G782" t="s">
        <v>46</v>
      </c>
      <c r="H782">
        <v>783</v>
      </c>
      <c r="I782" t="s">
        <v>2095</v>
      </c>
      <c r="J782" s="3" t="str">
        <f>IF(ISNUMBER(SEARCH(",Action,",","&amp;SUBSTITUTE(TableMain[[#This Row],[Tags]],", ",",")&amp;",")),"Y","N")</f>
        <v>Y</v>
      </c>
      <c r="K782" s="3" t="str">
        <f>IF(ISNUMBER(SEARCH(",Indie,",","&amp;SUBSTITUTE(TableMain[[#This Row],[Tags]],", ",",")&amp;",")),"Y","N")</f>
        <v>N</v>
      </c>
      <c r="L782" s="3" t="str">
        <f>IF(ISNUMBER(SEARCH(",Adventure,",","&amp;SUBSTITUTE(TableMain[[#This Row],[Tags]],", ",",")&amp;",")),"Y","N")</f>
        <v>Y</v>
      </c>
      <c r="M782" s="3" t="str">
        <f>IF(ISNUMBER(SEARCH(",Simulation,",","&amp;SUBSTITUTE(TableMain[[#This Row],[Tags]],", ",",")&amp;",")),"Y","N")</f>
        <v>N</v>
      </c>
      <c r="N782" s="3" t="str">
        <f>IF(ISNUMBER(SEARCH(",RPG,",","&amp;SUBSTITUTE(TableMain[[#This Row],[Tags]],", ",",")&amp;",")),"Y","N")</f>
        <v>N</v>
      </c>
      <c r="O782" s="3" t="str">
        <f>IF(ISNUMBER(SEARCH(",Strategy,",","&amp;SUBSTITUTE(TableMain[[#This Row],[Tags]],", ",",")&amp;",")),"Y","N")</f>
        <v>N</v>
      </c>
      <c r="P782" s="3" t="str">
        <f>IF(ISNUMBER(SEARCH(",Free To Play,",","&amp;SUBSTITUTE(TableMain[[#This Row],[Tags]],", ",",")&amp;",")),"Y","N")</f>
        <v>N</v>
      </c>
    </row>
    <row r="783" spans="1:16" x14ac:dyDescent="0.35">
      <c r="A783">
        <v>2408820</v>
      </c>
      <c r="B783" t="s">
        <v>1737</v>
      </c>
      <c r="C783" s="1">
        <v>45616</v>
      </c>
      <c r="D783">
        <v>487</v>
      </c>
      <c r="E783" t="b">
        <v>0</v>
      </c>
      <c r="F783" t="s">
        <v>1738</v>
      </c>
      <c r="G783" t="s">
        <v>695</v>
      </c>
      <c r="H783">
        <v>784</v>
      </c>
      <c r="I783" t="s">
        <v>184</v>
      </c>
      <c r="J783" s="3" t="str">
        <f>IF(ISNUMBER(SEARCH(",Action,",","&amp;SUBSTITUTE(TableMain[[#This Row],[Tags]],", ",",")&amp;",")),"Y","N")</f>
        <v>N</v>
      </c>
      <c r="K783" s="3" t="str">
        <f>IF(ISNUMBER(SEARCH(",Indie,",","&amp;SUBSTITUTE(TableMain[[#This Row],[Tags]],", ",",")&amp;",")),"Y","N")</f>
        <v>Y</v>
      </c>
      <c r="L783" s="3" t="str">
        <f>IF(ISNUMBER(SEARCH(",Adventure,",","&amp;SUBSTITUTE(TableMain[[#This Row],[Tags]],", ",",")&amp;",")),"Y","N")</f>
        <v>Y</v>
      </c>
      <c r="M783" s="3" t="str">
        <f>IF(ISNUMBER(SEARCH(",Simulation,",","&amp;SUBSTITUTE(TableMain[[#This Row],[Tags]],", ",",")&amp;",")),"Y","N")</f>
        <v>Y</v>
      </c>
      <c r="N783" s="3" t="str">
        <f>IF(ISNUMBER(SEARCH(",RPG,",","&amp;SUBSTITUTE(TableMain[[#This Row],[Tags]],", ",",")&amp;",")),"Y","N")</f>
        <v>Y</v>
      </c>
      <c r="O783" s="3" t="str">
        <f>IF(ISNUMBER(SEARCH(",Strategy,",","&amp;SUBSTITUTE(TableMain[[#This Row],[Tags]],", ",",")&amp;",")),"Y","N")</f>
        <v>N</v>
      </c>
      <c r="P783" s="3" t="str">
        <f>IF(ISNUMBER(SEARCH(",Free To Play,",","&amp;SUBSTITUTE(TableMain[[#This Row],[Tags]],", ",",")&amp;",")),"Y","N")</f>
        <v>N</v>
      </c>
    </row>
    <row r="784" spans="1:16" x14ac:dyDescent="0.35">
      <c r="A784">
        <v>769560</v>
      </c>
      <c r="B784" t="s">
        <v>1739</v>
      </c>
      <c r="C784" s="1">
        <v>43671</v>
      </c>
      <c r="D784">
        <v>487</v>
      </c>
      <c r="E784" t="b">
        <v>0</v>
      </c>
      <c r="F784" t="s">
        <v>1494</v>
      </c>
      <c r="G784" t="s">
        <v>1740</v>
      </c>
      <c r="H784">
        <v>784</v>
      </c>
      <c r="I784" t="s">
        <v>14</v>
      </c>
      <c r="J784" s="3" t="str">
        <f>IF(ISNUMBER(SEARCH(",Action,",","&amp;SUBSTITUTE(TableMain[[#This Row],[Tags]],", ",",")&amp;",")),"Y","N")</f>
        <v>N</v>
      </c>
      <c r="K784" s="3" t="str">
        <f>IF(ISNUMBER(SEARCH(",Indie,",","&amp;SUBSTITUTE(TableMain[[#This Row],[Tags]],", ",",")&amp;",")),"Y","N")</f>
        <v>Y</v>
      </c>
      <c r="L784" s="3" t="str">
        <f>IF(ISNUMBER(SEARCH(",Adventure,",","&amp;SUBSTITUTE(TableMain[[#This Row],[Tags]],", ",",")&amp;",")),"Y","N")</f>
        <v>Y</v>
      </c>
      <c r="M784" s="3" t="str">
        <f>IF(ISNUMBER(SEARCH(",Simulation,",","&amp;SUBSTITUTE(TableMain[[#This Row],[Tags]],", ",",")&amp;",")),"Y","N")</f>
        <v>N</v>
      </c>
      <c r="N784" s="3" t="str">
        <f>IF(ISNUMBER(SEARCH(",RPG,",","&amp;SUBSTITUTE(TableMain[[#This Row],[Tags]],", ",",")&amp;",")),"Y","N")</f>
        <v>N</v>
      </c>
      <c r="O784" s="3" t="str">
        <f>IF(ISNUMBER(SEARCH(",Strategy,",","&amp;SUBSTITUTE(TableMain[[#This Row],[Tags]],", ",",")&amp;",")),"Y","N")</f>
        <v>Y</v>
      </c>
      <c r="P784" s="3" t="str">
        <f>IF(ISNUMBER(SEARCH(",Free To Play,",","&amp;SUBSTITUTE(TableMain[[#This Row],[Tags]],", ",",")&amp;",")),"Y","N")</f>
        <v>Y</v>
      </c>
    </row>
    <row r="785" spans="1:16" x14ac:dyDescent="0.35">
      <c r="A785">
        <v>314160</v>
      </c>
      <c r="B785" t="s">
        <v>1741</v>
      </c>
      <c r="C785" s="1">
        <v>41991</v>
      </c>
      <c r="D785">
        <v>486</v>
      </c>
      <c r="E785" t="b">
        <v>0</v>
      </c>
      <c r="F785" t="s">
        <v>1742</v>
      </c>
      <c r="G785" t="s">
        <v>239</v>
      </c>
      <c r="H785">
        <v>786</v>
      </c>
      <c r="I785" t="s">
        <v>438</v>
      </c>
      <c r="J785" s="3" t="str">
        <f>IF(ISNUMBER(SEARCH(",Action,",","&amp;SUBSTITUTE(TableMain[[#This Row],[Tags]],", ",",")&amp;",")),"Y","N")</f>
        <v>N</v>
      </c>
      <c r="K785" s="3" t="str">
        <f>IF(ISNUMBER(SEARCH(",Indie,",","&amp;SUBSTITUTE(TableMain[[#This Row],[Tags]],", ",",")&amp;",")),"Y","N")</f>
        <v>N</v>
      </c>
      <c r="L785" s="3" t="str">
        <f>IF(ISNUMBER(SEARCH(",Adventure,",","&amp;SUBSTITUTE(TableMain[[#This Row],[Tags]],", ",",")&amp;",")),"Y","N")</f>
        <v>N</v>
      </c>
      <c r="M785" s="3" t="str">
        <f>IF(ISNUMBER(SEARCH(",Simulation,",","&amp;SUBSTITUTE(TableMain[[#This Row],[Tags]],", ",",")&amp;",")),"Y","N")</f>
        <v>Y</v>
      </c>
      <c r="N785" s="3" t="str">
        <f>IF(ISNUMBER(SEARCH(",RPG,",","&amp;SUBSTITUTE(TableMain[[#This Row],[Tags]],", ",",")&amp;",")),"Y","N")</f>
        <v>N</v>
      </c>
      <c r="O785" s="3" t="str">
        <f>IF(ISNUMBER(SEARCH(",Strategy,",","&amp;SUBSTITUTE(TableMain[[#This Row],[Tags]],", ",",")&amp;",")),"Y","N")</f>
        <v>N</v>
      </c>
      <c r="P785" s="3" t="str">
        <f>IF(ISNUMBER(SEARCH(",Free To Play,",","&amp;SUBSTITUTE(TableMain[[#This Row],[Tags]],", ",",")&amp;",")),"Y","N")</f>
        <v>N</v>
      </c>
    </row>
    <row r="786" spans="1:16" x14ac:dyDescent="0.35">
      <c r="A786">
        <v>621830</v>
      </c>
      <c r="B786" t="s">
        <v>1743</v>
      </c>
      <c r="C786" s="1">
        <v>42993</v>
      </c>
      <c r="D786">
        <v>484</v>
      </c>
      <c r="E786" t="b">
        <v>0</v>
      </c>
      <c r="F786" t="s">
        <v>1744</v>
      </c>
      <c r="G786" t="s">
        <v>1699</v>
      </c>
      <c r="H786">
        <v>787</v>
      </c>
      <c r="I786" t="s">
        <v>133</v>
      </c>
      <c r="J786" s="3" t="str">
        <f>IF(ISNUMBER(SEARCH(",Action,",","&amp;SUBSTITUTE(TableMain[[#This Row],[Tags]],", ",",")&amp;",")),"Y","N")</f>
        <v>N</v>
      </c>
      <c r="K786" s="3" t="str">
        <f>IF(ISNUMBER(SEARCH(",Indie,",","&amp;SUBSTITUTE(TableMain[[#This Row],[Tags]],", ",",")&amp;",")),"Y","N")</f>
        <v>N</v>
      </c>
      <c r="L786" s="3" t="str">
        <f>IF(ISNUMBER(SEARCH(",Adventure,",","&amp;SUBSTITUTE(TableMain[[#This Row],[Tags]],", ",",")&amp;",")),"Y","N")</f>
        <v>N</v>
      </c>
      <c r="M786" s="3" t="str">
        <f>IF(ISNUMBER(SEARCH(",Simulation,",","&amp;SUBSTITUTE(TableMain[[#This Row],[Tags]],", ",",")&amp;",")),"Y","N")</f>
        <v>N</v>
      </c>
      <c r="N786" s="3" t="str">
        <f>IF(ISNUMBER(SEARCH(",RPG,",","&amp;SUBSTITUTE(TableMain[[#This Row],[Tags]],", ",",")&amp;",")),"Y","N")</f>
        <v>N</v>
      </c>
      <c r="O786" s="3" t="str">
        <f>IF(ISNUMBER(SEARCH(",Strategy,",","&amp;SUBSTITUTE(TableMain[[#This Row],[Tags]],", ",",")&amp;",")),"Y","N")</f>
        <v>N</v>
      </c>
      <c r="P786" s="3" t="str">
        <f>IF(ISNUMBER(SEARCH(",Free To Play,",","&amp;SUBSTITUTE(TableMain[[#This Row],[Tags]],", ",",")&amp;",")),"Y","N")</f>
        <v>N</v>
      </c>
    </row>
    <row r="787" spans="1:16" x14ac:dyDescent="0.35">
      <c r="A787">
        <v>493490</v>
      </c>
      <c r="B787" t="s">
        <v>1745</v>
      </c>
      <c r="C787" s="1">
        <v>42677</v>
      </c>
      <c r="D787">
        <v>484</v>
      </c>
      <c r="E787" t="b">
        <v>0</v>
      </c>
      <c r="F787" t="s">
        <v>1746</v>
      </c>
      <c r="G787" t="s">
        <v>1141</v>
      </c>
      <c r="H787">
        <v>787</v>
      </c>
      <c r="I787" t="s">
        <v>2093</v>
      </c>
      <c r="J787" s="3" t="str">
        <f>IF(ISNUMBER(SEARCH(",Action,",","&amp;SUBSTITUTE(TableMain[[#This Row],[Tags]],", ",",")&amp;",")),"Y","N")</f>
        <v>N</v>
      </c>
      <c r="K787" s="3" t="str">
        <f>IF(ISNUMBER(SEARCH(",Indie,",","&amp;SUBSTITUTE(TableMain[[#This Row],[Tags]],", ",",")&amp;",")),"Y","N")</f>
        <v>Y</v>
      </c>
      <c r="L787" s="3" t="str">
        <f>IF(ISNUMBER(SEARCH(",Adventure,",","&amp;SUBSTITUTE(TableMain[[#This Row],[Tags]],", ",",")&amp;",")),"Y","N")</f>
        <v>N</v>
      </c>
      <c r="M787" s="3" t="str">
        <f>IF(ISNUMBER(SEARCH(",Simulation,",","&amp;SUBSTITUTE(TableMain[[#This Row],[Tags]],", ",",")&amp;",")),"Y","N")</f>
        <v>Y</v>
      </c>
      <c r="N787" s="3" t="str">
        <f>IF(ISNUMBER(SEARCH(",RPG,",","&amp;SUBSTITUTE(TableMain[[#This Row],[Tags]],", ",",")&amp;",")),"Y","N")</f>
        <v>N</v>
      </c>
      <c r="O787" s="3" t="str">
        <f>IF(ISNUMBER(SEARCH(",Strategy,",","&amp;SUBSTITUTE(TableMain[[#This Row],[Tags]],", ",",")&amp;",")),"Y","N")</f>
        <v>N</v>
      </c>
      <c r="P787" s="3" t="str">
        <f>IF(ISNUMBER(SEARCH(",Free To Play,",","&amp;SUBSTITUTE(TableMain[[#This Row],[Tags]],", ",",")&amp;",")),"Y","N")</f>
        <v>N</v>
      </c>
    </row>
    <row r="788" spans="1:16" x14ac:dyDescent="0.35">
      <c r="A788">
        <v>799600</v>
      </c>
      <c r="B788" t="s">
        <v>1747</v>
      </c>
      <c r="C788" s="1">
        <v>44858</v>
      </c>
      <c r="D788">
        <v>482</v>
      </c>
      <c r="E788" t="b">
        <v>0</v>
      </c>
      <c r="F788" t="s">
        <v>1748</v>
      </c>
      <c r="G788" t="s">
        <v>785</v>
      </c>
      <c r="H788">
        <v>789</v>
      </c>
      <c r="I788" t="s">
        <v>2082</v>
      </c>
      <c r="J788" s="3" t="str">
        <f>IF(ISNUMBER(SEARCH(",Action,",","&amp;SUBSTITUTE(TableMain[[#This Row],[Tags]],", ",",")&amp;",")),"Y","N")</f>
        <v>N</v>
      </c>
      <c r="K788" s="3" t="str">
        <f>IF(ISNUMBER(SEARCH(",Indie,",","&amp;SUBSTITUTE(TableMain[[#This Row],[Tags]],", ",",")&amp;",")),"Y","N")</f>
        <v>N</v>
      </c>
      <c r="L788" s="3" t="str">
        <f>IF(ISNUMBER(SEARCH(",Adventure,",","&amp;SUBSTITUTE(TableMain[[#This Row],[Tags]],", ",",")&amp;",")),"Y","N")</f>
        <v>N</v>
      </c>
      <c r="M788" s="3" t="str">
        <f>IF(ISNUMBER(SEARCH(",Simulation,",","&amp;SUBSTITUTE(TableMain[[#This Row],[Tags]],", ",",")&amp;",")),"Y","N")</f>
        <v>Y</v>
      </c>
      <c r="N788" s="3" t="str">
        <f>IF(ISNUMBER(SEARCH(",RPG,",","&amp;SUBSTITUTE(TableMain[[#This Row],[Tags]],", ",",")&amp;",")),"Y","N")</f>
        <v>N</v>
      </c>
      <c r="O788" s="3" t="str">
        <f>IF(ISNUMBER(SEARCH(",Strategy,",","&amp;SUBSTITUTE(TableMain[[#This Row],[Tags]],", ",",")&amp;",")),"Y","N")</f>
        <v>Y</v>
      </c>
      <c r="P788" s="3" t="str">
        <f>IF(ISNUMBER(SEARCH(",Free To Play,",","&amp;SUBSTITUTE(TableMain[[#This Row],[Tags]],", ",",")&amp;",")),"Y","N")</f>
        <v>N</v>
      </c>
    </row>
    <row r="789" spans="1:16" x14ac:dyDescent="0.35">
      <c r="A789">
        <v>268650</v>
      </c>
      <c r="B789" t="s">
        <v>1749</v>
      </c>
      <c r="C789" s="1">
        <v>44141</v>
      </c>
      <c r="D789">
        <v>482</v>
      </c>
      <c r="E789" t="b">
        <v>1</v>
      </c>
      <c r="F789" t="s">
        <v>1750</v>
      </c>
      <c r="G789" t="s">
        <v>1751</v>
      </c>
      <c r="H789">
        <v>789</v>
      </c>
      <c r="I789" t="s">
        <v>110</v>
      </c>
      <c r="J789" s="3" t="str">
        <f>IF(ISNUMBER(SEARCH(",Action,",","&amp;SUBSTITUTE(TableMain[[#This Row],[Tags]],", ",",")&amp;",")),"Y","N")</f>
        <v>Y</v>
      </c>
      <c r="K789" s="3" t="str">
        <f>IF(ISNUMBER(SEARCH(",Indie,",","&amp;SUBSTITUTE(TableMain[[#This Row],[Tags]],", ",",")&amp;",")),"Y","N")</f>
        <v>Y</v>
      </c>
      <c r="L789" s="3" t="str">
        <f>IF(ISNUMBER(SEARCH(",Adventure,",","&amp;SUBSTITUTE(TableMain[[#This Row],[Tags]],", ",",")&amp;",")),"Y","N")</f>
        <v>Y</v>
      </c>
      <c r="M789" s="3" t="str">
        <f>IF(ISNUMBER(SEARCH(",Simulation,",","&amp;SUBSTITUTE(TableMain[[#This Row],[Tags]],", ",",")&amp;",")),"Y","N")</f>
        <v>Y</v>
      </c>
      <c r="N789" s="3" t="str">
        <f>IF(ISNUMBER(SEARCH(",RPG,",","&amp;SUBSTITUTE(TableMain[[#This Row],[Tags]],", ",",")&amp;",")),"Y","N")</f>
        <v>N</v>
      </c>
      <c r="O789" s="3" t="str">
        <f>IF(ISNUMBER(SEARCH(",Strategy,",","&amp;SUBSTITUTE(TableMain[[#This Row],[Tags]],", ",",")&amp;",")),"Y","N")</f>
        <v>Y</v>
      </c>
      <c r="P789" s="3" t="str">
        <f>IF(ISNUMBER(SEARCH(",Free To Play,",","&amp;SUBSTITUTE(TableMain[[#This Row],[Tags]],", ",",")&amp;",")),"Y","N")</f>
        <v>N</v>
      </c>
    </row>
    <row r="790" spans="1:16" x14ac:dyDescent="0.35">
      <c r="A790">
        <v>2772750</v>
      </c>
      <c r="B790" t="s">
        <v>1752</v>
      </c>
      <c r="C790" s="1">
        <v>45588</v>
      </c>
      <c r="D790">
        <v>481</v>
      </c>
      <c r="E790" t="b">
        <v>1</v>
      </c>
      <c r="F790" t="s">
        <v>1753</v>
      </c>
      <c r="G790" t="s">
        <v>100</v>
      </c>
      <c r="H790">
        <v>791</v>
      </c>
      <c r="I790" t="s">
        <v>110</v>
      </c>
      <c r="J790" s="3" t="str">
        <f>IF(ISNUMBER(SEARCH(",Action,",","&amp;SUBSTITUTE(TableMain[[#This Row],[Tags]],", ",",")&amp;",")),"Y","N")</f>
        <v>N</v>
      </c>
      <c r="K790" s="3" t="str">
        <f>IF(ISNUMBER(SEARCH(",Indie,",","&amp;SUBSTITUTE(TableMain[[#This Row],[Tags]],", ",",")&amp;",")),"Y","N")</f>
        <v>N</v>
      </c>
      <c r="L790" s="3" t="str">
        <f>IF(ISNUMBER(SEARCH(",Adventure,",","&amp;SUBSTITUTE(TableMain[[#This Row],[Tags]],", ",",")&amp;",")),"Y","N")</f>
        <v>N</v>
      </c>
      <c r="M790" s="3" t="str">
        <f>IF(ISNUMBER(SEARCH(",Simulation,",","&amp;SUBSTITUTE(TableMain[[#This Row],[Tags]],", ",",")&amp;",")),"Y","N")</f>
        <v>Y</v>
      </c>
      <c r="N790" s="3" t="str">
        <f>IF(ISNUMBER(SEARCH(",RPG,",","&amp;SUBSTITUTE(TableMain[[#This Row],[Tags]],", ",",")&amp;",")),"Y","N")</f>
        <v>N</v>
      </c>
      <c r="O790" s="3" t="str">
        <f>IF(ISNUMBER(SEARCH(",Strategy,",","&amp;SUBSTITUTE(TableMain[[#This Row],[Tags]],", ",",")&amp;",")),"Y","N")</f>
        <v>Y</v>
      </c>
      <c r="P790" s="3" t="str">
        <f>IF(ISNUMBER(SEARCH(",Free To Play,",","&amp;SUBSTITUTE(TableMain[[#This Row],[Tags]],", ",",")&amp;",")),"Y","N")</f>
        <v>N</v>
      </c>
    </row>
    <row r="791" spans="1:16" x14ac:dyDescent="0.35">
      <c r="A791">
        <v>1686940</v>
      </c>
      <c r="B791" t="s">
        <v>1754</v>
      </c>
      <c r="C791" s="1">
        <v>45246</v>
      </c>
      <c r="D791">
        <v>480</v>
      </c>
      <c r="E791" t="b">
        <v>0</v>
      </c>
      <c r="F791" t="s">
        <v>1755</v>
      </c>
      <c r="G791" t="s">
        <v>49</v>
      </c>
      <c r="H791">
        <v>792</v>
      </c>
      <c r="I791" t="s">
        <v>513</v>
      </c>
      <c r="J791" s="3" t="str">
        <f>IF(ISNUMBER(SEARCH(",Action,",","&amp;SUBSTITUTE(TableMain[[#This Row],[Tags]],", ",",")&amp;",")),"Y","N")</f>
        <v>Y</v>
      </c>
      <c r="K791" s="3" t="str">
        <f>IF(ISNUMBER(SEARCH(",Indie,",","&amp;SUBSTITUTE(TableMain[[#This Row],[Tags]],", ",",")&amp;",")),"Y","N")</f>
        <v>N</v>
      </c>
      <c r="L791" s="3" t="str">
        <f>IF(ISNUMBER(SEARCH(",Adventure,",","&amp;SUBSTITUTE(TableMain[[#This Row],[Tags]],", ",",")&amp;",")),"Y","N")</f>
        <v>N</v>
      </c>
      <c r="M791" s="3" t="str">
        <f>IF(ISNUMBER(SEARCH(",Simulation,",","&amp;SUBSTITUTE(TableMain[[#This Row],[Tags]],", ",",")&amp;",")),"Y","N")</f>
        <v>N</v>
      </c>
      <c r="N791" s="3" t="str">
        <f>IF(ISNUMBER(SEARCH(",RPG,",","&amp;SUBSTITUTE(TableMain[[#This Row],[Tags]],", ",",")&amp;",")),"Y","N")</f>
        <v>N</v>
      </c>
      <c r="O791" s="3" t="str">
        <f>IF(ISNUMBER(SEARCH(",Strategy,",","&amp;SUBSTITUTE(TableMain[[#This Row],[Tags]],", ",",")&amp;",")),"Y","N")</f>
        <v>N</v>
      </c>
      <c r="P791" s="3" t="str">
        <f>IF(ISNUMBER(SEARCH(",Free To Play,",","&amp;SUBSTITUTE(TableMain[[#This Row],[Tags]],", ",",")&amp;",")),"Y","N")</f>
        <v>N</v>
      </c>
    </row>
    <row r="792" spans="1:16" x14ac:dyDescent="0.35">
      <c r="A792">
        <v>20920</v>
      </c>
      <c r="B792" t="s">
        <v>1756</v>
      </c>
      <c r="C792" s="1">
        <v>41015</v>
      </c>
      <c r="D792">
        <v>479</v>
      </c>
      <c r="E792" t="b">
        <v>1</v>
      </c>
      <c r="F792" t="s">
        <v>1757</v>
      </c>
      <c r="G792" t="s">
        <v>132</v>
      </c>
      <c r="H792">
        <v>793</v>
      </c>
      <c r="I792" t="s">
        <v>2084</v>
      </c>
      <c r="J792" s="3" t="str">
        <f>IF(ISNUMBER(SEARCH(",Action,",","&amp;SUBSTITUTE(TableMain[[#This Row],[Tags]],", ",",")&amp;",")),"Y","N")</f>
        <v>N</v>
      </c>
      <c r="K792" s="3" t="str">
        <f>IF(ISNUMBER(SEARCH(",Indie,",","&amp;SUBSTITUTE(TableMain[[#This Row],[Tags]],", ",",")&amp;",")),"Y","N")</f>
        <v>N</v>
      </c>
      <c r="L792" s="3" t="str">
        <f>IF(ISNUMBER(SEARCH(",Adventure,",","&amp;SUBSTITUTE(TableMain[[#This Row],[Tags]],", ",",")&amp;",")),"Y","N")</f>
        <v>N</v>
      </c>
      <c r="M792" s="3" t="str">
        <f>IF(ISNUMBER(SEARCH(",Simulation,",","&amp;SUBSTITUTE(TableMain[[#This Row],[Tags]],", ",",")&amp;",")),"Y","N")</f>
        <v>N</v>
      </c>
      <c r="N792" s="3" t="str">
        <f>IF(ISNUMBER(SEARCH(",RPG,",","&amp;SUBSTITUTE(TableMain[[#This Row],[Tags]],", ",",")&amp;",")),"Y","N")</f>
        <v>Y</v>
      </c>
      <c r="O792" s="3" t="str">
        <f>IF(ISNUMBER(SEARCH(",Strategy,",","&amp;SUBSTITUTE(TableMain[[#This Row],[Tags]],", ",",")&amp;",")),"Y","N")</f>
        <v>N</v>
      </c>
      <c r="P792" s="3" t="str">
        <f>IF(ISNUMBER(SEARCH(",Free To Play,",","&amp;SUBSTITUTE(TableMain[[#This Row],[Tags]],", ",",")&amp;",")),"Y","N")</f>
        <v>N</v>
      </c>
    </row>
    <row r="793" spans="1:16" x14ac:dyDescent="0.35">
      <c r="A793">
        <v>774361</v>
      </c>
      <c r="B793" t="s">
        <v>1758</v>
      </c>
      <c r="C793" s="1">
        <v>43718</v>
      </c>
      <c r="D793">
        <v>479</v>
      </c>
      <c r="E793" t="b">
        <v>1</v>
      </c>
      <c r="F793" t="s">
        <v>445</v>
      </c>
      <c r="G793" t="s">
        <v>446</v>
      </c>
      <c r="H793">
        <v>793</v>
      </c>
      <c r="I793" t="s">
        <v>110</v>
      </c>
      <c r="J793" s="3" t="str">
        <f>IF(ISNUMBER(SEARCH(",Action,",","&amp;SUBSTITUTE(TableMain[[#This Row],[Tags]],", ",",")&amp;",")),"Y","N")</f>
        <v>Y</v>
      </c>
      <c r="K793" s="3" t="str">
        <f>IF(ISNUMBER(SEARCH(",Indie,",","&amp;SUBSTITUTE(TableMain[[#This Row],[Tags]],", ",",")&amp;",")),"Y","N")</f>
        <v>Y</v>
      </c>
      <c r="L793" s="3" t="str">
        <f>IF(ISNUMBER(SEARCH(",Adventure,",","&amp;SUBSTITUTE(TableMain[[#This Row],[Tags]],", ",",")&amp;",")),"Y","N")</f>
        <v>Y</v>
      </c>
      <c r="M793" s="3" t="str">
        <f>IF(ISNUMBER(SEARCH(",Simulation,",","&amp;SUBSTITUTE(TableMain[[#This Row],[Tags]],", ",",")&amp;",")),"Y","N")</f>
        <v>N</v>
      </c>
      <c r="N793" s="3" t="str">
        <f>IF(ISNUMBER(SEARCH(",RPG,",","&amp;SUBSTITUTE(TableMain[[#This Row],[Tags]],", ",",")&amp;",")),"Y","N")</f>
        <v>N</v>
      </c>
      <c r="O793" s="3" t="str">
        <f>IF(ISNUMBER(SEARCH(",Strategy,",","&amp;SUBSTITUTE(TableMain[[#This Row],[Tags]],", ",",")&amp;",")),"Y","N")</f>
        <v>N</v>
      </c>
      <c r="P793" s="3" t="str">
        <f>IF(ISNUMBER(SEARCH(",Free To Play,",","&amp;SUBSTITUTE(TableMain[[#This Row],[Tags]],", ",",")&amp;",")),"Y","N")</f>
        <v>N</v>
      </c>
    </row>
    <row r="794" spans="1:16" x14ac:dyDescent="0.35">
      <c r="A794">
        <v>242920</v>
      </c>
      <c r="B794" t="s">
        <v>1759</v>
      </c>
      <c r="C794" s="1">
        <v>41688</v>
      </c>
      <c r="D794">
        <v>477</v>
      </c>
      <c r="E794" t="b">
        <v>0</v>
      </c>
      <c r="F794" t="s">
        <v>658</v>
      </c>
      <c r="G794" t="s">
        <v>160</v>
      </c>
      <c r="H794">
        <v>795</v>
      </c>
      <c r="I794" t="s">
        <v>833</v>
      </c>
      <c r="J794" s="3" t="str">
        <f>IF(ISNUMBER(SEARCH(",Action,",","&amp;SUBSTITUTE(TableMain[[#This Row],[Tags]],", ",",")&amp;",")),"Y","N")</f>
        <v>N</v>
      </c>
      <c r="K794" s="3" t="str">
        <f>IF(ISNUMBER(SEARCH(",Indie,",","&amp;SUBSTITUTE(TableMain[[#This Row],[Tags]],", ",",")&amp;",")),"Y","N")</f>
        <v>Y</v>
      </c>
      <c r="L794" s="3" t="str">
        <f>IF(ISNUMBER(SEARCH(",Adventure,",","&amp;SUBSTITUTE(TableMain[[#This Row],[Tags]],", ",",")&amp;",")),"Y","N")</f>
        <v>N</v>
      </c>
      <c r="M794" s="3" t="str">
        <f>IF(ISNUMBER(SEARCH(",Simulation,",","&amp;SUBSTITUTE(TableMain[[#This Row],[Tags]],", ",",")&amp;",")),"Y","N")</f>
        <v>Y</v>
      </c>
      <c r="N794" s="3" t="str">
        <f>IF(ISNUMBER(SEARCH(",RPG,",","&amp;SUBSTITUTE(TableMain[[#This Row],[Tags]],", ",",")&amp;",")),"Y","N")</f>
        <v>N</v>
      </c>
      <c r="O794" s="3" t="str">
        <f>IF(ISNUMBER(SEARCH(",Strategy,",","&amp;SUBSTITUTE(TableMain[[#This Row],[Tags]],", ",",")&amp;",")),"Y","N")</f>
        <v>Y</v>
      </c>
      <c r="P794" s="3" t="str">
        <f>IF(ISNUMBER(SEARCH(",Free To Play,",","&amp;SUBSTITUTE(TableMain[[#This Row],[Tags]],", ",",")&amp;",")),"Y","N")</f>
        <v>N</v>
      </c>
    </row>
    <row r="795" spans="1:16" x14ac:dyDescent="0.35">
      <c r="A795">
        <v>3238670</v>
      </c>
      <c r="B795" t="s">
        <v>1760</v>
      </c>
      <c r="C795" s="1">
        <v>45777</v>
      </c>
      <c r="D795">
        <v>476</v>
      </c>
      <c r="E795" t="b">
        <v>0</v>
      </c>
      <c r="F795" t="s">
        <v>42</v>
      </c>
      <c r="G795" t="s">
        <v>1761</v>
      </c>
      <c r="H795">
        <v>796</v>
      </c>
      <c r="I795" t="s">
        <v>833</v>
      </c>
      <c r="J795" s="3" t="str">
        <f>IF(ISNUMBER(SEARCH(",Action,",","&amp;SUBSTITUTE(TableMain[[#This Row],[Tags]],", ",",")&amp;",")),"Y","N")</f>
        <v>Y</v>
      </c>
      <c r="K795" s="3" t="str">
        <f>IF(ISNUMBER(SEARCH(",Indie,",","&amp;SUBSTITUTE(TableMain[[#This Row],[Tags]],", ",",")&amp;",")),"Y","N")</f>
        <v>Y</v>
      </c>
      <c r="L795" s="3" t="str">
        <f>IF(ISNUMBER(SEARCH(",Adventure,",","&amp;SUBSTITUTE(TableMain[[#This Row],[Tags]],", ",",")&amp;",")),"Y","N")</f>
        <v>N</v>
      </c>
      <c r="M795" s="3" t="str">
        <f>IF(ISNUMBER(SEARCH(",Simulation,",","&amp;SUBSTITUTE(TableMain[[#This Row],[Tags]],", ",",")&amp;",")),"Y","N")</f>
        <v>N</v>
      </c>
      <c r="N795" s="3" t="str">
        <f>IF(ISNUMBER(SEARCH(",RPG,",","&amp;SUBSTITUTE(TableMain[[#This Row],[Tags]],", ",",")&amp;",")),"Y","N")</f>
        <v>Y</v>
      </c>
      <c r="O795" s="3" t="str">
        <f>IF(ISNUMBER(SEARCH(",Strategy,",","&amp;SUBSTITUTE(TableMain[[#This Row],[Tags]],", ",",")&amp;",")),"Y","N")</f>
        <v>N</v>
      </c>
      <c r="P795" s="3" t="str">
        <f>IF(ISNUMBER(SEARCH(",Free To Play,",","&amp;SUBSTITUTE(TableMain[[#This Row],[Tags]],", ",",")&amp;",")),"Y","N")</f>
        <v>N</v>
      </c>
    </row>
    <row r="796" spans="1:16" x14ac:dyDescent="0.35">
      <c r="A796">
        <v>597180</v>
      </c>
      <c r="B796" t="s">
        <v>1762</v>
      </c>
      <c r="C796" s="1">
        <v>44699</v>
      </c>
      <c r="D796">
        <v>474</v>
      </c>
      <c r="E796" t="b">
        <v>1</v>
      </c>
      <c r="F796" t="s">
        <v>1763</v>
      </c>
      <c r="G796" t="s">
        <v>229</v>
      </c>
      <c r="H796">
        <v>797</v>
      </c>
      <c r="I796" t="s">
        <v>53</v>
      </c>
      <c r="J796" s="3" t="str">
        <f>IF(ISNUMBER(SEARCH(",Action,",","&amp;SUBSTITUTE(TableMain[[#This Row],[Tags]],", ",",")&amp;",")),"Y","N")</f>
        <v>N</v>
      </c>
      <c r="K796" s="3" t="str">
        <f>IF(ISNUMBER(SEARCH(",Indie,",","&amp;SUBSTITUTE(TableMain[[#This Row],[Tags]],", ",",")&amp;",")),"Y","N")</f>
        <v>N</v>
      </c>
      <c r="L796" s="3" t="str">
        <f>IF(ISNUMBER(SEARCH(",Adventure,",","&amp;SUBSTITUTE(TableMain[[#This Row],[Tags]],", ",",")&amp;",")),"Y","N")</f>
        <v>N</v>
      </c>
      <c r="M796" s="3" t="str">
        <f>IF(ISNUMBER(SEARCH(",Simulation,",","&amp;SUBSTITUTE(TableMain[[#This Row],[Tags]],", ",",")&amp;",")),"Y","N")</f>
        <v>Y</v>
      </c>
      <c r="N796" s="3" t="str">
        <f>IF(ISNUMBER(SEARCH(",RPG,",","&amp;SUBSTITUTE(TableMain[[#This Row],[Tags]],", ",",")&amp;",")),"Y","N")</f>
        <v>Y</v>
      </c>
      <c r="O796" s="3" t="str">
        <f>IF(ISNUMBER(SEARCH(",Strategy,",","&amp;SUBSTITUTE(TableMain[[#This Row],[Tags]],", ",",")&amp;",")),"Y","N")</f>
        <v>Y</v>
      </c>
      <c r="P796" s="3" t="str">
        <f>IF(ISNUMBER(SEARCH(",Free To Play,",","&amp;SUBSTITUTE(TableMain[[#This Row],[Tags]],", ",",")&amp;",")),"Y","N")</f>
        <v>N</v>
      </c>
    </row>
    <row r="797" spans="1:16" x14ac:dyDescent="0.35">
      <c r="A797">
        <v>850190</v>
      </c>
      <c r="B797" t="s">
        <v>1764</v>
      </c>
      <c r="C797" s="1">
        <v>45337</v>
      </c>
      <c r="D797">
        <v>474</v>
      </c>
      <c r="E797" t="b">
        <v>0</v>
      </c>
      <c r="F797" t="s">
        <v>1765</v>
      </c>
      <c r="G797" t="s">
        <v>1766</v>
      </c>
      <c r="H797">
        <v>797</v>
      </c>
      <c r="I797" t="s">
        <v>25</v>
      </c>
      <c r="J797" s="3" t="str">
        <f>IF(ISNUMBER(SEARCH(",Action,",","&amp;SUBSTITUTE(TableMain[[#This Row],[Tags]],", ",",")&amp;",")),"Y","N")</f>
        <v>N</v>
      </c>
      <c r="K797" s="3" t="str">
        <f>IF(ISNUMBER(SEARCH(",Indie,",","&amp;SUBSTITUTE(TableMain[[#This Row],[Tags]],", ",",")&amp;",")),"Y","N")</f>
        <v>N</v>
      </c>
      <c r="L797" s="3" t="str">
        <f>IF(ISNUMBER(SEARCH(",Adventure,",","&amp;SUBSTITUTE(TableMain[[#This Row],[Tags]],", ",",")&amp;",")),"Y","N")</f>
        <v>Y</v>
      </c>
      <c r="M797" s="3" t="str">
        <f>IF(ISNUMBER(SEARCH(",Simulation,",","&amp;SUBSTITUTE(TableMain[[#This Row],[Tags]],", ",",")&amp;",")),"Y","N")</f>
        <v>Y</v>
      </c>
      <c r="N797" s="3" t="str">
        <f>IF(ISNUMBER(SEARCH(",RPG,",","&amp;SUBSTITUTE(TableMain[[#This Row],[Tags]],", ",",")&amp;",")),"Y","N")</f>
        <v>N</v>
      </c>
      <c r="O797" s="3" t="str">
        <f>IF(ISNUMBER(SEARCH(",Strategy,",","&amp;SUBSTITUTE(TableMain[[#This Row],[Tags]],", ",",")&amp;",")),"Y","N")</f>
        <v>N</v>
      </c>
      <c r="P797" s="3" t="str">
        <f>IF(ISNUMBER(SEARCH(",Free To Play,",","&amp;SUBSTITUTE(TableMain[[#This Row],[Tags]],", ",",")&amp;",")),"Y","N")</f>
        <v>N</v>
      </c>
    </row>
    <row r="798" spans="1:16" x14ac:dyDescent="0.35">
      <c r="A798">
        <v>224260</v>
      </c>
      <c r="B798" t="s">
        <v>1767</v>
      </c>
      <c r="C798" s="1">
        <v>41578</v>
      </c>
      <c r="D798">
        <v>473</v>
      </c>
      <c r="E798" t="b">
        <v>0</v>
      </c>
      <c r="F798" t="s">
        <v>1768</v>
      </c>
      <c r="G798" t="s">
        <v>232</v>
      </c>
      <c r="H798">
        <v>799</v>
      </c>
      <c r="I798" t="s">
        <v>2084</v>
      </c>
      <c r="J798" s="3" t="str">
        <f>IF(ISNUMBER(SEARCH(",Action,",","&amp;SUBSTITUTE(TableMain[[#This Row],[Tags]],", ",",")&amp;",")),"Y","N")</f>
        <v>Y</v>
      </c>
      <c r="K798" s="3" t="str">
        <f>IF(ISNUMBER(SEARCH(",Indie,",","&amp;SUBSTITUTE(TableMain[[#This Row],[Tags]],", ",",")&amp;",")),"Y","N")</f>
        <v>Y</v>
      </c>
      <c r="L798" s="3" t="str">
        <f>IF(ISNUMBER(SEARCH(",Adventure,",","&amp;SUBSTITUTE(TableMain[[#This Row],[Tags]],", ",",")&amp;",")),"Y","N")</f>
        <v>N</v>
      </c>
      <c r="M798" s="3" t="str">
        <f>IF(ISNUMBER(SEARCH(",Simulation,",","&amp;SUBSTITUTE(TableMain[[#This Row],[Tags]],", ",",")&amp;",")),"Y","N")</f>
        <v>N</v>
      </c>
      <c r="N798" s="3" t="str">
        <f>IF(ISNUMBER(SEARCH(",RPG,",","&amp;SUBSTITUTE(TableMain[[#This Row],[Tags]],", ",",")&amp;",")),"Y","N")</f>
        <v>N</v>
      </c>
      <c r="O798" s="3" t="str">
        <f>IF(ISNUMBER(SEARCH(",Strategy,",","&amp;SUBSTITUTE(TableMain[[#This Row],[Tags]],", ",",")&amp;",")),"Y","N")</f>
        <v>N</v>
      </c>
      <c r="P798" s="3" t="str">
        <f>IF(ISNUMBER(SEARCH(",Free To Play,",","&amp;SUBSTITUTE(TableMain[[#This Row],[Tags]],", ",",")&amp;",")),"Y","N")</f>
        <v>Y</v>
      </c>
    </row>
    <row r="799" spans="1:16" x14ac:dyDescent="0.35">
      <c r="A799">
        <v>2080690</v>
      </c>
      <c r="B799" t="s">
        <v>1769</v>
      </c>
      <c r="C799" s="1">
        <v>45163</v>
      </c>
      <c r="D799">
        <v>472</v>
      </c>
      <c r="E799" t="b">
        <v>0</v>
      </c>
      <c r="F799" t="s">
        <v>1416</v>
      </c>
      <c r="G799" t="s">
        <v>288</v>
      </c>
      <c r="H799">
        <v>800</v>
      </c>
      <c r="I799" t="s">
        <v>14</v>
      </c>
      <c r="J799" s="3" t="str">
        <f>IF(ISNUMBER(SEARCH(",Action,",","&amp;SUBSTITUTE(TableMain[[#This Row],[Tags]],", ",",")&amp;",")),"Y","N")</f>
        <v>Y</v>
      </c>
      <c r="K799" s="3" t="str">
        <f>IF(ISNUMBER(SEARCH(",Indie,",","&amp;SUBSTITUTE(TableMain[[#This Row],[Tags]],", ",",")&amp;",")),"Y","N")</f>
        <v>Y</v>
      </c>
      <c r="L799" s="3" t="str">
        <f>IF(ISNUMBER(SEARCH(",Adventure,",","&amp;SUBSTITUTE(TableMain[[#This Row],[Tags]],", ",",")&amp;",")),"Y","N")</f>
        <v>N</v>
      </c>
      <c r="M799" s="3" t="str">
        <f>IF(ISNUMBER(SEARCH(",Simulation,",","&amp;SUBSTITUTE(TableMain[[#This Row],[Tags]],", ",",")&amp;",")),"Y","N")</f>
        <v>N</v>
      </c>
      <c r="N799" s="3" t="str">
        <f>IF(ISNUMBER(SEARCH(",RPG,",","&amp;SUBSTITUTE(TableMain[[#This Row],[Tags]],", ",",")&amp;",")),"Y","N")</f>
        <v>N</v>
      </c>
      <c r="O799" s="3" t="str">
        <f>IF(ISNUMBER(SEARCH(",Strategy,",","&amp;SUBSTITUTE(TableMain[[#This Row],[Tags]],", ",",")&amp;",")),"Y","N")</f>
        <v>N</v>
      </c>
      <c r="P799" s="3" t="str">
        <f>IF(ISNUMBER(SEARCH(",Free To Play,",","&amp;SUBSTITUTE(TableMain[[#This Row],[Tags]],", ",",")&amp;",")),"Y","N")</f>
        <v>N</v>
      </c>
    </row>
    <row r="800" spans="1:16" x14ac:dyDescent="0.35">
      <c r="A800">
        <v>2163330</v>
      </c>
      <c r="B800" t="s">
        <v>1770</v>
      </c>
      <c r="C800" s="1">
        <v>45120</v>
      </c>
      <c r="D800">
        <v>472</v>
      </c>
      <c r="E800" t="b">
        <v>0</v>
      </c>
      <c r="F800" t="s">
        <v>1771</v>
      </c>
      <c r="G800" t="s">
        <v>1714</v>
      </c>
      <c r="H800">
        <v>800</v>
      </c>
      <c r="I800" t="s">
        <v>36</v>
      </c>
      <c r="J800" s="3" t="str">
        <f>IF(ISNUMBER(SEARCH(",Action,",","&amp;SUBSTITUTE(TableMain[[#This Row],[Tags]],", ",",")&amp;",")),"Y","N")</f>
        <v>Y</v>
      </c>
      <c r="K800" s="3" t="str">
        <f>IF(ISNUMBER(SEARCH(",Indie,",","&amp;SUBSTITUTE(TableMain[[#This Row],[Tags]],", ",",")&amp;",")),"Y","N")</f>
        <v>Y</v>
      </c>
      <c r="L800" s="3" t="str">
        <f>IF(ISNUMBER(SEARCH(",Adventure,",","&amp;SUBSTITUTE(TableMain[[#This Row],[Tags]],", ",",")&amp;",")),"Y","N")</f>
        <v>N</v>
      </c>
      <c r="M800" s="3" t="str">
        <f>IF(ISNUMBER(SEARCH(",Simulation,",","&amp;SUBSTITUTE(TableMain[[#This Row],[Tags]],", ",",")&amp;",")),"Y","N")</f>
        <v>N</v>
      </c>
      <c r="N800" s="3" t="str">
        <f>IF(ISNUMBER(SEARCH(",RPG,",","&amp;SUBSTITUTE(TableMain[[#This Row],[Tags]],", ",",")&amp;",")),"Y","N")</f>
        <v>Y</v>
      </c>
      <c r="O800" s="3" t="str">
        <f>IF(ISNUMBER(SEARCH(",Strategy,",","&amp;SUBSTITUTE(TableMain[[#This Row],[Tags]],", ",",")&amp;",")),"Y","N")</f>
        <v>N</v>
      </c>
      <c r="P800" s="3" t="str">
        <f>IF(ISNUMBER(SEARCH(",Free To Play,",","&amp;SUBSTITUTE(TableMain[[#This Row],[Tags]],", ",",")&amp;",")),"Y","N")</f>
        <v>N</v>
      </c>
    </row>
    <row r="801" spans="1:16" x14ac:dyDescent="0.35">
      <c r="A801">
        <v>1235140</v>
      </c>
      <c r="B801" t="s">
        <v>1772</v>
      </c>
      <c r="C801" s="1">
        <v>44145</v>
      </c>
      <c r="D801">
        <v>470</v>
      </c>
      <c r="E801" t="b">
        <v>0</v>
      </c>
      <c r="F801" t="s">
        <v>629</v>
      </c>
      <c r="G801" t="s">
        <v>208</v>
      </c>
      <c r="H801">
        <v>802</v>
      </c>
      <c r="I801" t="s">
        <v>18</v>
      </c>
      <c r="J801" s="3" t="str">
        <f>IF(ISNUMBER(SEARCH(",Action,",","&amp;SUBSTITUTE(TableMain[[#This Row],[Tags]],", ",",")&amp;",")),"Y","N")</f>
        <v>Y</v>
      </c>
      <c r="K801" s="3" t="str">
        <f>IF(ISNUMBER(SEARCH(",Indie,",","&amp;SUBSTITUTE(TableMain[[#This Row],[Tags]],", ",",")&amp;",")),"Y","N")</f>
        <v>N</v>
      </c>
      <c r="L801" s="3" t="str">
        <f>IF(ISNUMBER(SEARCH(",Adventure,",","&amp;SUBSTITUTE(TableMain[[#This Row],[Tags]],", ",",")&amp;",")),"Y","N")</f>
        <v>Y</v>
      </c>
      <c r="M801" s="3" t="str">
        <f>IF(ISNUMBER(SEARCH(",Simulation,",","&amp;SUBSTITUTE(TableMain[[#This Row],[Tags]],", ",",")&amp;",")),"Y","N")</f>
        <v>N</v>
      </c>
      <c r="N801" s="3" t="str">
        <f>IF(ISNUMBER(SEARCH(",RPG,",","&amp;SUBSTITUTE(TableMain[[#This Row],[Tags]],", ",",")&amp;",")),"Y","N")</f>
        <v>Y</v>
      </c>
      <c r="O801" s="3" t="str">
        <f>IF(ISNUMBER(SEARCH(",Strategy,",","&amp;SUBSTITUTE(TableMain[[#This Row],[Tags]],", ",",")&amp;",")),"Y","N")</f>
        <v>N</v>
      </c>
      <c r="P801" s="3" t="str">
        <f>IF(ISNUMBER(SEARCH(",Free To Play,",","&amp;SUBSTITUTE(TableMain[[#This Row],[Tags]],", ",",")&amp;",")),"Y","N")</f>
        <v>N</v>
      </c>
    </row>
    <row r="802" spans="1:16" x14ac:dyDescent="0.35">
      <c r="A802">
        <v>2328480</v>
      </c>
      <c r="B802" t="s">
        <v>1773</v>
      </c>
      <c r="C802" s="1">
        <v>45785</v>
      </c>
      <c r="D802">
        <v>470</v>
      </c>
      <c r="E802" t="b">
        <v>0</v>
      </c>
      <c r="F802" t="s">
        <v>681</v>
      </c>
      <c r="G802" t="s">
        <v>1774</v>
      </c>
      <c r="H802">
        <v>802</v>
      </c>
      <c r="I802" t="s">
        <v>36</v>
      </c>
      <c r="J802" s="3" t="str">
        <f>IF(ISNUMBER(SEARCH(",Action,",","&amp;SUBSTITUTE(TableMain[[#This Row],[Tags]],", ",",")&amp;",")),"Y","N")</f>
        <v>N</v>
      </c>
      <c r="K802" s="3" t="str">
        <f>IF(ISNUMBER(SEARCH(",Indie,",","&amp;SUBSTITUTE(TableMain[[#This Row],[Tags]],", ",",")&amp;",")),"Y","N")</f>
        <v>N</v>
      </c>
      <c r="L802" s="3" t="str">
        <f>IF(ISNUMBER(SEARCH(",Adventure,",","&amp;SUBSTITUTE(TableMain[[#This Row],[Tags]],", ",",")&amp;",")),"Y","N")</f>
        <v>N</v>
      </c>
      <c r="M802" s="3" t="str">
        <f>IF(ISNUMBER(SEARCH(",Simulation,",","&amp;SUBSTITUTE(TableMain[[#This Row],[Tags]],", ",",")&amp;",")),"Y","N")</f>
        <v>N</v>
      </c>
      <c r="N802" s="3" t="str">
        <f>IF(ISNUMBER(SEARCH(",RPG,",","&amp;SUBSTITUTE(TableMain[[#This Row],[Tags]],", ",",")&amp;",")),"Y","N")</f>
        <v>N</v>
      </c>
      <c r="O802" s="3" t="str">
        <f>IF(ISNUMBER(SEARCH(",Strategy,",","&amp;SUBSTITUTE(TableMain[[#This Row],[Tags]],", ",",")&amp;",")),"Y","N")</f>
        <v>Y</v>
      </c>
      <c r="P802" s="3" t="str">
        <f>IF(ISNUMBER(SEARCH(",Free To Play,",","&amp;SUBSTITUTE(TableMain[[#This Row],[Tags]],", ",",")&amp;",")),"Y","N")</f>
        <v>N</v>
      </c>
    </row>
    <row r="803" spans="1:16" x14ac:dyDescent="0.35">
      <c r="A803">
        <v>794260</v>
      </c>
      <c r="B803" t="s">
        <v>1775</v>
      </c>
      <c r="C803" s="1">
        <v>44698</v>
      </c>
      <c r="D803">
        <v>469</v>
      </c>
      <c r="E803" t="b">
        <v>0</v>
      </c>
      <c r="F803" t="s">
        <v>1776</v>
      </c>
      <c r="G803" t="s">
        <v>132</v>
      </c>
      <c r="H803">
        <v>804</v>
      </c>
      <c r="I803" t="s">
        <v>133</v>
      </c>
      <c r="J803" s="3" t="str">
        <f>IF(ISNUMBER(SEARCH(",Action,",","&amp;SUBSTITUTE(TableMain[[#This Row],[Tags]],", ",",")&amp;",")),"Y","N")</f>
        <v>N</v>
      </c>
      <c r="K803" s="3" t="str">
        <f>IF(ISNUMBER(SEARCH(",Indie,",","&amp;SUBSTITUTE(TableMain[[#This Row],[Tags]],", ",",")&amp;",")),"Y","N")</f>
        <v>N</v>
      </c>
      <c r="L803" s="3" t="str">
        <f>IF(ISNUMBER(SEARCH(",Adventure,",","&amp;SUBSTITUTE(TableMain[[#This Row],[Tags]],", ",",")&amp;",")),"Y","N")</f>
        <v>N</v>
      </c>
      <c r="M803" s="3" t="str">
        <f>IF(ISNUMBER(SEARCH(",Simulation,",","&amp;SUBSTITUTE(TableMain[[#This Row],[Tags]],", ",",")&amp;",")),"Y","N")</f>
        <v>N</v>
      </c>
      <c r="N803" s="3" t="str">
        <f>IF(ISNUMBER(SEARCH(",RPG,",","&amp;SUBSTITUTE(TableMain[[#This Row],[Tags]],", ",",")&amp;",")),"Y","N")</f>
        <v>Y</v>
      </c>
      <c r="O803" s="3" t="str">
        <f>IF(ISNUMBER(SEARCH(",Strategy,",","&amp;SUBSTITUTE(TableMain[[#This Row],[Tags]],", ",",")&amp;",")),"Y","N")</f>
        <v>N</v>
      </c>
      <c r="P803" s="3" t="str">
        <f>IF(ISNUMBER(SEARCH(",Free To Play,",","&amp;SUBSTITUTE(TableMain[[#This Row],[Tags]],", ",",")&amp;",")),"Y","N")</f>
        <v>N</v>
      </c>
    </row>
    <row r="804" spans="1:16" x14ac:dyDescent="0.35">
      <c r="A804">
        <v>834910</v>
      </c>
      <c r="B804" t="s">
        <v>1777</v>
      </c>
      <c r="C804" s="1">
        <v>43456</v>
      </c>
      <c r="D804">
        <v>468</v>
      </c>
      <c r="E804" t="b">
        <v>0</v>
      </c>
      <c r="F804" t="s">
        <v>1778</v>
      </c>
      <c r="G804" t="s">
        <v>187</v>
      </c>
      <c r="H804">
        <v>805</v>
      </c>
      <c r="I804" t="s">
        <v>133</v>
      </c>
      <c r="J804" s="3" t="str">
        <f>IF(ISNUMBER(SEARCH(",Action,",","&amp;SUBSTITUTE(TableMain[[#This Row],[Tags]],", ",",")&amp;",")),"Y","N")</f>
        <v>Y</v>
      </c>
      <c r="K804" s="3" t="str">
        <f>IF(ISNUMBER(SEARCH(",Indie,",","&amp;SUBSTITUTE(TableMain[[#This Row],[Tags]],", ",",")&amp;",")),"Y","N")</f>
        <v>N</v>
      </c>
      <c r="L804" s="3" t="str">
        <f>IF(ISNUMBER(SEARCH(",Adventure,",","&amp;SUBSTITUTE(TableMain[[#This Row],[Tags]],", ",",")&amp;",")),"Y","N")</f>
        <v>Y</v>
      </c>
      <c r="M804" s="3" t="str">
        <f>IF(ISNUMBER(SEARCH(",Simulation,",","&amp;SUBSTITUTE(TableMain[[#This Row],[Tags]],", ",",")&amp;",")),"Y","N")</f>
        <v>N</v>
      </c>
      <c r="N804" s="3" t="str">
        <f>IF(ISNUMBER(SEARCH(",RPG,",","&amp;SUBSTITUTE(TableMain[[#This Row],[Tags]],", ",",")&amp;",")),"Y","N")</f>
        <v>Y</v>
      </c>
      <c r="O804" s="3" t="str">
        <f>IF(ISNUMBER(SEARCH(",Strategy,",","&amp;SUBSTITUTE(TableMain[[#This Row],[Tags]],", ",",")&amp;",")),"Y","N")</f>
        <v>N</v>
      </c>
      <c r="P804" s="3" t="str">
        <f>IF(ISNUMBER(SEARCH(",Free To Play,",","&amp;SUBSTITUTE(TableMain[[#This Row],[Tags]],", ",",")&amp;",")),"Y","N")</f>
        <v>N</v>
      </c>
    </row>
    <row r="805" spans="1:16" x14ac:dyDescent="0.35">
      <c r="A805">
        <v>1659420</v>
      </c>
      <c r="B805" t="s">
        <v>1779</v>
      </c>
      <c r="C805" s="1">
        <v>44853</v>
      </c>
      <c r="D805">
        <v>467</v>
      </c>
      <c r="E805" t="b">
        <v>0</v>
      </c>
      <c r="F805" t="s">
        <v>1780</v>
      </c>
      <c r="G805" t="s">
        <v>346</v>
      </c>
      <c r="H805">
        <v>806</v>
      </c>
      <c r="I805" t="s">
        <v>53</v>
      </c>
      <c r="J805" s="3" t="str">
        <f>IF(ISNUMBER(SEARCH(",Action,",","&amp;SUBSTITUTE(TableMain[[#This Row],[Tags]],", ",",")&amp;",")),"Y","N")</f>
        <v>N</v>
      </c>
      <c r="K805" s="3" t="str">
        <f>IF(ISNUMBER(SEARCH(",Indie,",","&amp;SUBSTITUTE(TableMain[[#This Row],[Tags]],", ",",")&amp;",")),"Y","N")</f>
        <v>N</v>
      </c>
      <c r="L805" s="3" t="str">
        <f>IF(ISNUMBER(SEARCH(",Adventure,",","&amp;SUBSTITUTE(TableMain[[#This Row],[Tags]],", ",",")&amp;",")),"Y","N")</f>
        <v>Y</v>
      </c>
      <c r="M805" s="3" t="str">
        <f>IF(ISNUMBER(SEARCH(",Simulation,",","&amp;SUBSTITUTE(TableMain[[#This Row],[Tags]],", ",",")&amp;",")),"Y","N")</f>
        <v>N</v>
      </c>
      <c r="N805" s="3" t="str">
        <f>IF(ISNUMBER(SEARCH(",RPG,",","&amp;SUBSTITUTE(TableMain[[#This Row],[Tags]],", ",",")&amp;",")),"Y","N")</f>
        <v>N</v>
      </c>
      <c r="O805" s="3" t="str">
        <f>IF(ISNUMBER(SEARCH(",Strategy,",","&amp;SUBSTITUTE(TableMain[[#This Row],[Tags]],", ",",")&amp;",")),"Y","N")</f>
        <v>N</v>
      </c>
      <c r="P805" s="3" t="str">
        <f>IF(ISNUMBER(SEARCH(",Free To Play,",","&amp;SUBSTITUTE(TableMain[[#This Row],[Tags]],", ",",")&amp;",")),"Y","N")</f>
        <v>N</v>
      </c>
    </row>
    <row r="806" spans="1:16" x14ac:dyDescent="0.35">
      <c r="A806">
        <v>668580</v>
      </c>
      <c r="B806" t="s">
        <v>1781</v>
      </c>
      <c r="C806" s="1">
        <v>44977</v>
      </c>
      <c r="D806">
        <v>466</v>
      </c>
      <c r="E806" t="b">
        <v>0</v>
      </c>
      <c r="F806" t="s">
        <v>1782</v>
      </c>
      <c r="G806" t="s">
        <v>208</v>
      </c>
      <c r="H806">
        <v>807</v>
      </c>
      <c r="I806" t="s">
        <v>816</v>
      </c>
      <c r="J806" s="3" t="str">
        <f>IF(ISNUMBER(SEARCH(",Action,",","&amp;SUBSTITUTE(TableMain[[#This Row],[Tags]],", ",",")&amp;",")),"Y","N")</f>
        <v>Y</v>
      </c>
      <c r="K806" s="3" t="str">
        <f>IF(ISNUMBER(SEARCH(",Indie,",","&amp;SUBSTITUTE(TableMain[[#This Row],[Tags]],", ",",")&amp;",")),"Y","N")</f>
        <v>N</v>
      </c>
      <c r="L806" s="3" t="str">
        <f>IF(ISNUMBER(SEARCH(",Adventure,",","&amp;SUBSTITUTE(TableMain[[#This Row],[Tags]],", ",",")&amp;",")),"Y","N")</f>
        <v>Y</v>
      </c>
      <c r="M806" s="3" t="str">
        <f>IF(ISNUMBER(SEARCH(",Simulation,",","&amp;SUBSTITUTE(TableMain[[#This Row],[Tags]],", ",",")&amp;",")),"Y","N")</f>
        <v>N</v>
      </c>
      <c r="N806" s="3" t="str">
        <f>IF(ISNUMBER(SEARCH(",RPG,",","&amp;SUBSTITUTE(TableMain[[#This Row],[Tags]],", ",",")&amp;",")),"Y","N")</f>
        <v>Y</v>
      </c>
      <c r="O806" s="3" t="str">
        <f>IF(ISNUMBER(SEARCH(",Strategy,",","&amp;SUBSTITUTE(TableMain[[#This Row],[Tags]],", ",",")&amp;",")),"Y","N")</f>
        <v>N</v>
      </c>
      <c r="P806" s="3" t="str">
        <f>IF(ISNUMBER(SEARCH(",Free To Play,",","&amp;SUBSTITUTE(TableMain[[#This Row],[Tags]],", ",",")&amp;",")),"Y","N")</f>
        <v>N</v>
      </c>
    </row>
    <row r="807" spans="1:16" x14ac:dyDescent="0.35">
      <c r="A807">
        <v>602880</v>
      </c>
      <c r="B807" t="s">
        <v>1783</v>
      </c>
      <c r="C807" s="1">
        <v>42822</v>
      </c>
      <c r="D807">
        <v>465</v>
      </c>
      <c r="E807" t="b">
        <v>0</v>
      </c>
      <c r="F807" t="s">
        <v>1784</v>
      </c>
      <c r="G807" t="s">
        <v>446</v>
      </c>
      <c r="H807">
        <v>808</v>
      </c>
      <c r="I807" t="s">
        <v>14</v>
      </c>
      <c r="J807" s="3" t="str">
        <f>IF(ISNUMBER(SEARCH(",Action,",","&amp;SUBSTITUTE(TableMain[[#This Row],[Tags]],", ",",")&amp;",")),"Y","N")</f>
        <v>Y</v>
      </c>
      <c r="K807" s="3" t="str">
        <f>IF(ISNUMBER(SEARCH(",Indie,",","&amp;SUBSTITUTE(TableMain[[#This Row],[Tags]],", ",",")&amp;",")),"Y","N")</f>
        <v>Y</v>
      </c>
      <c r="L807" s="3" t="str">
        <f>IF(ISNUMBER(SEARCH(",Adventure,",","&amp;SUBSTITUTE(TableMain[[#This Row],[Tags]],", ",",")&amp;",")),"Y","N")</f>
        <v>Y</v>
      </c>
      <c r="M807" s="3" t="str">
        <f>IF(ISNUMBER(SEARCH(",Simulation,",","&amp;SUBSTITUTE(TableMain[[#This Row],[Tags]],", ",",")&amp;",")),"Y","N")</f>
        <v>N</v>
      </c>
      <c r="N807" s="3" t="str">
        <f>IF(ISNUMBER(SEARCH(",RPG,",","&amp;SUBSTITUTE(TableMain[[#This Row],[Tags]],", ",",")&amp;",")),"Y","N")</f>
        <v>N</v>
      </c>
      <c r="O807" s="3" t="str">
        <f>IF(ISNUMBER(SEARCH(",Strategy,",","&amp;SUBSTITUTE(TableMain[[#This Row],[Tags]],", ",",")&amp;",")),"Y","N")</f>
        <v>N</v>
      </c>
      <c r="P807" s="3" t="str">
        <f>IF(ISNUMBER(SEARCH(",Free To Play,",","&amp;SUBSTITUTE(TableMain[[#This Row],[Tags]],", ",",")&amp;",")),"Y","N")</f>
        <v>N</v>
      </c>
    </row>
    <row r="808" spans="1:16" x14ac:dyDescent="0.35">
      <c r="A808">
        <v>1272320</v>
      </c>
      <c r="B808" t="s">
        <v>1785</v>
      </c>
      <c r="C808" s="1">
        <v>45569</v>
      </c>
      <c r="D808">
        <v>464</v>
      </c>
      <c r="E808" t="b">
        <v>0</v>
      </c>
      <c r="F808" t="s">
        <v>1335</v>
      </c>
      <c r="G808" t="s">
        <v>160</v>
      </c>
      <c r="H808">
        <v>809</v>
      </c>
      <c r="I808" t="s">
        <v>36</v>
      </c>
      <c r="J808" s="3" t="str">
        <f>IF(ISNUMBER(SEARCH(",Action,",","&amp;SUBSTITUTE(TableMain[[#This Row],[Tags]],", ",",")&amp;",")),"Y","N")</f>
        <v>N</v>
      </c>
      <c r="K808" s="3" t="str">
        <f>IF(ISNUMBER(SEARCH(",Indie,",","&amp;SUBSTITUTE(TableMain[[#This Row],[Tags]],", ",",")&amp;",")),"Y","N")</f>
        <v>Y</v>
      </c>
      <c r="L808" s="3" t="str">
        <f>IF(ISNUMBER(SEARCH(",Adventure,",","&amp;SUBSTITUTE(TableMain[[#This Row],[Tags]],", ",",")&amp;",")),"Y","N")</f>
        <v>N</v>
      </c>
      <c r="M808" s="3" t="str">
        <f>IF(ISNUMBER(SEARCH(",Simulation,",","&amp;SUBSTITUTE(TableMain[[#This Row],[Tags]],", ",",")&amp;",")),"Y","N")</f>
        <v>Y</v>
      </c>
      <c r="N808" s="3" t="str">
        <f>IF(ISNUMBER(SEARCH(",RPG,",","&amp;SUBSTITUTE(TableMain[[#This Row],[Tags]],", ",",")&amp;",")),"Y","N")</f>
        <v>N</v>
      </c>
      <c r="O808" s="3" t="str">
        <f>IF(ISNUMBER(SEARCH(",Strategy,",","&amp;SUBSTITUTE(TableMain[[#This Row],[Tags]],", ",",")&amp;",")),"Y","N")</f>
        <v>Y</v>
      </c>
      <c r="P808" s="3" t="str">
        <f>IF(ISNUMBER(SEARCH(",Free To Play,",","&amp;SUBSTITUTE(TableMain[[#This Row],[Tags]],", ",",")&amp;",")),"Y","N")</f>
        <v>N</v>
      </c>
    </row>
    <row r="809" spans="1:16" x14ac:dyDescent="0.35">
      <c r="A809">
        <v>1331550</v>
      </c>
      <c r="B809" t="s">
        <v>1786</v>
      </c>
      <c r="C809" s="1">
        <v>44995</v>
      </c>
      <c r="D809">
        <v>460</v>
      </c>
      <c r="E809" t="b">
        <v>1</v>
      </c>
      <c r="F809" t="s">
        <v>290</v>
      </c>
      <c r="G809" t="s">
        <v>891</v>
      </c>
      <c r="H809">
        <v>810</v>
      </c>
      <c r="I809" t="s">
        <v>36</v>
      </c>
      <c r="J809" s="3" t="str">
        <f>IF(ISNUMBER(SEARCH(",Action,",","&amp;SUBSTITUTE(TableMain[[#This Row],[Tags]],", ",",")&amp;",")),"Y","N")</f>
        <v>N</v>
      </c>
      <c r="K809" s="3" t="str">
        <f>IF(ISNUMBER(SEARCH(",Indie,",","&amp;SUBSTITUTE(TableMain[[#This Row],[Tags]],", ",",")&amp;",")),"Y","N")</f>
        <v>Y</v>
      </c>
      <c r="L809" s="3" t="str">
        <f>IF(ISNUMBER(SEARCH(",Adventure,",","&amp;SUBSTITUTE(TableMain[[#This Row],[Tags]],", ",",")&amp;",")),"Y","N")</f>
        <v>N</v>
      </c>
      <c r="M809" s="3" t="str">
        <f>IF(ISNUMBER(SEARCH(",Simulation,",","&amp;SUBSTITUTE(TableMain[[#This Row],[Tags]],", ",",")&amp;",")),"Y","N")</f>
        <v>Y</v>
      </c>
      <c r="N809" s="3" t="str">
        <f>IF(ISNUMBER(SEARCH(",RPG,",","&amp;SUBSTITUTE(TableMain[[#This Row],[Tags]],", ",",")&amp;",")),"Y","N")</f>
        <v>N</v>
      </c>
      <c r="O809" s="3" t="str">
        <f>IF(ISNUMBER(SEARCH(",Strategy,",","&amp;SUBSTITUTE(TableMain[[#This Row],[Tags]],", ",",")&amp;",")),"Y","N")</f>
        <v>N</v>
      </c>
      <c r="P809" s="3" t="str">
        <f>IF(ISNUMBER(SEARCH(",Free To Play,",","&amp;SUBSTITUTE(TableMain[[#This Row],[Tags]],", ",",")&amp;",")),"Y","N")</f>
        <v>N</v>
      </c>
    </row>
    <row r="810" spans="1:16" x14ac:dyDescent="0.35">
      <c r="A810">
        <v>205710</v>
      </c>
      <c r="B810" t="s">
        <v>1787</v>
      </c>
      <c r="C810" s="1">
        <v>41256</v>
      </c>
      <c r="D810">
        <v>456</v>
      </c>
      <c r="E810" t="b">
        <v>0</v>
      </c>
      <c r="F810" t="s">
        <v>1485</v>
      </c>
      <c r="G810" t="s">
        <v>322</v>
      </c>
      <c r="H810">
        <v>811</v>
      </c>
      <c r="I810" t="s">
        <v>36</v>
      </c>
      <c r="J810" s="3" t="str">
        <f>IF(ISNUMBER(SEARCH(",Action,",","&amp;SUBSTITUTE(TableMain[[#This Row],[Tags]],", ",",")&amp;",")),"Y","N")</f>
        <v>N</v>
      </c>
      <c r="K810" s="3" t="str">
        <f>IF(ISNUMBER(SEARCH(",Indie,",","&amp;SUBSTITUTE(TableMain[[#This Row],[Tags]],", ",",")&amp;",")),"Y","N")</f>
        <v>N</v>
      </c>
      <c r="L810" s="3" t="str">
        <f>IF(ISNUMBER(SEARCH(",Adventure,",","&amp;SUBSTITUTE(TableMain[[#This Row],[Tags]],", ",",")&amp;",")),"Y","N")</f>
        <v>N</v>
      </c>
      <c r="M810" s="3" t="str">
        <f>IF(ISNUMBER(SEARCH(",Simulation,",","&amp;SUBSTITUTE(TableMain[[#This Row],[Tags]],", ",",")&amp;",")),"Y","N")</f>
        <v>N</v>
      </c>
      <c r="N810" s="3" t="str">
        <f>IF(ISNUMBER(SEARCH(",RPG,",","&amp;SUBSTITUTE(TableMain[[#This Row],[Tags]],", ",",")&amp;",")),"Y","N")</f>
        <v>Y</v>
      </c>
      <c r="O810" s="3" t="str">
        <f>IF(ISNUMBER(SEARCH(",Strategy,",","&amp;SUBSTITUTE(TableMain[[#This Row],[Tags]],", ",",")&amp;",")),"Y","N")</f>
        <v>N</v>
      </c>
      <c r="P810" s="3" t="str">
        <f>IF(ISNUMBER(SEARCH(",Free To Play,",","&amp;SUBSTITUTE(TableMain[[#This Row],[Tags]],", ",",")&amp;",")),"Y","N")</f>
        <v>Y</v>
      </c>
    </row>
    <row r="811" spans="1:16" x14ac:dyDescent="0.35">
      <c r="A811">
        <v>1960270</v>
      </c>
      <c r="B811" t="s">
        <v>1788</v>
      </c>
      <c r="C811" s="1">
        <v>45426</v>
      </c>
      <c r="D811">
        <v>455</v>
      </c>
      <c r="E811" t="b">
        <v>0</v>
      </c>
      <c r="F811" t="s">
        <v>681</v>
      </c>
      <c r="G811" t="s">
        <v>132</v>
      </c>
      <c r="H811">
        <v>812</v>
      </c>
      <c r="I811" t="s">
        <v>175</v>
      </c>
      <c r="J811" s="3" t="str">
        <f>IF(ISNUMBER(SEARCH(",Action,",","&amp;SUBSTITUTE(TableMain[[#This Row],[Tags]],", ",",")&amp;",")),"Y","N")</f>
        <v>N</v>
      </c>
      <c r="K811" s="3" t="str">
        <f>IF(ISNUMBER(SEARCH(",Indie,",","&amp;SUBSTITUTE(TableMain[[#This Row],[Tags]],", ",",")&amp;",")),"Y","N")</f>
        <v>N</v>
      </c>
      <c r="L811" s="3" t="str">
        <f>IF(ISNUMBER(SEARCH(",Adventure,",","&amp;SUBSTITUTE(TableMain[[#This Row],[Tags]],", ",",")&amp;",")),"Y","N")</f>
        <v>N</v>
      </c>
      <c r="M811" s="3" t="str">
        <f>IF(ISNUMBER(SEARCH(",Simulation,",","&amp;SUBSTITUTE(TableMain[[#This Row],[Tags]],", ",",")&amp;",")),"Y","N")</f>
        <v>N</v>
      </c>
      <c r="N811" s="3" t="str">
        <f>IF(ISNUMBER(SEARCH(",RPG,",","&amp;SUBSTITUTE(TableMain[[#This Row],[Tags]],", ",",")&amp;",")),"Y","N")</f>
        <v>Y</v>
      </c>
      <c r="O811" s="3" t="str">
        <f>IF(ISNUMBER(SEARCH(",Strategy,",","&amp;SUBSTITUTE(TableMain[[#This Row],[Tags]],", ",",")&amp;",")),"Y","N")</f>
        <v>N</v>
      </c>
      <c r="P811" s="3" t="str">
        <f>IF(ISNUMBER(SEARCH(",Free To Play,",","&amp;SUBSTITUTE(TableMain[[#This Row],[Tags]],", ",",")&amp;",")),"Y","N")</f>
        <v>N</v>
      </c>
    </row>
    <row r="812" spans="1:16" x14ac:dyDescent="0.35">
      <c r="A812">
        <v>1683150</v>
      </c>
      <c r="B812" t="s">
        <v>1789</v>
      </c>
      <c r="C812" s="1">
        <v>45267</v>
      </c>
      <c r="D812">
        <v>455</v>
      </c>
      <c r="E812" t="b">
        <v>0</v>
      </c>
      <c r="F812" t="s">
        <v>1790</v>
      </c>
      <c r="G812" t="s">
        <v>785</v>
      </c>
      <c r="H812">
        <v>812</v>
      </c>
      <c r="I812" t="s">
        <v>175</v>
      </c>
      <c r="J812" s="3" t="str">
        <f>IF(ISNUMBER(SEARCH(",Action,",","&amp;SUBSTITUTE(TableMain[[#This Row],[Tags]],", ",",")&amp;",")),"Y","N")</f>
        <v>N</v>
      </c>
      <c r="K812" s="3" t="str">
        <f>IF(ISNUMBER(SEARCH(",Indie,",","&amp;SUBSTITUTE(TableMain[[#This Row],[Tags]],", ",",")&amp;",")),"Y","N")</f>
        <v>N</v>
      </c>
      <c r="L812" s="3" t="str">
        <f>IF(ISNUMBER(SEARCH(",Adventure,",","&amp;SUBSTITUTE(TableMain[[#This Row],[Tags]],", ",",")&amp;",")),"Y","N")</f>
        <v>N</v>
      </c>
      <c r="M812" s="3" t="str">
        <f>IF(ISNUMBER(SEARCH(",Simulation,",","&amp;SUBSTITUTE(TableMain[[#This Row],[Tags]],", ",",")&amp;",")),"Y","N")</f>
        <v>Y</v>
      </c>
      <c r="N812" s="3" t="str">
        <f>IF(ISNUMBER(SEARCH(",RPG,",","&amp;SUBSTITUTE(TableMain[[#This Row],[Tags]],", ",",")&amp;",")),"Y","N")</f>
        <v>N</v>
      </c>
      <c r="O812" s="3" t="str">
        <f>IF(ISNUMBER(SEARCH(",Strategy,",","&amp;SUBSTITUTE(TableMain[[#This Row],[Tags]],", ",",")&amp;",")),"Y","N")</f>
        <v>Y</v>
      </c>
      <c r="P812" s="3" t="str">
        <f>IF(ISNUMBER(SEARCH(",Free To Play,",","&amp;SUBSTITUTE(TableMain[[#This Row],[Tags]],", ",",")&amp;",")),"Y","N")</f>
        <v>N</v>
      </c>
    </row>
    <row r="813" spans="1:16" x14ac:dyDescent="0.35">
      <c r="A813">
        <v>1222690</v>
      </c>
      <c r="B813" t="s">
        <v>1791</v>
      </c>
      <c r="C813" s="1">
        <v>43986</v>
      </c>
      <c r="D813">
        <v>454</v>
      </c>
      <c r="E813" t="b">
        <v>0</v>
      </c>
      <c r="F813" t="s">
        <v>1792</v>
      </c>
      <c r="G813" t="s">
        <v>1316</v>
      </c>
      <c r="H813">
        <v>814</v>
      </c>
      <c r="I813" t="s">
        <v>40</v>
      </c>
      <c r="J813" s="3" t="str">
        <f>IF(ISNUMBER(SEARCH(",Action,",","&amp;SUBSTITUTE(TableMain[[#This Row],[Tags]],", ",",")&amp;",")),"Y","N")</f>
        <v>Y</v>
      </c>
      <c r="K813" s="3" t="str">
        <f>IF(ISNUMBER(SEARCH(",Indie,",","&amp;SUBSTITUTE(TableMain[[#This Row],[Tags]],", ",",")&amp;",")),"Y","N")</f>
        <v>N</v>
      </c>
      <c r="L813" s="3" t="str">
        <f>IF(ISNUMBER(SEARCH(",Adventure,",","&amp;SUBSTITUTE(TableMain[[#This Row],[Tags]],", ",",")&amp;",")),"Y","N")</f>
        <v>Y</v>
      </c>
      <c r="M813" s="3" t="str">
        <f>IF(ISNUMBER(SEARCH(",Simulation,",","&amp;SUBSTITUTE(TableMain[[#This Row],[Tags]],", ",",")&amp;",")),"Y","N")</f>
        <v>N</v>
      </c>
      <c r="N813" s="3" t="str">
        <f>IF(ISNUMBER(SEARCH(",RPG,",","&amp;SUBSTITUTE(TableMain[[#This Row],[Tags]],", ",",")&amp;",")),"Y","N")</f>
        <v>Y</v>
      </c>
      <c r="O813" s="3" t="str">
        <f>IF(ISNUMBER(SEARCH(",Strategy,",","&amp;SUBSTITUTE(TableMain[[#This Row],[Tags]],", ",",")&amp;",")),"Y","N")</f>
        <v>Y</v>
      </c>
      <c r="P813" s="3" t="str">
        <f>IF(ISNUMBER(SEARCH(",Free To Play,",","&amp;SUBSTITUTE(TableMain[[#This Row],[Tags]],", ",",")&amp;",")),"Y","N")</f>
        <v>N</v>
      </c>
    </row>
    <row r="814" spans="1:16" x14ac:dyDescent="0.35">
      <c r="A814">
        <v>2124120</v>
      </c>
      <c r="B814" t="s">
        <v>1793</v>
      </c>
      <c r="C814" s="1">
        <v>45593</v>
      </c>
      <c r="D814">
        <v>451</v>
      </c>
      <c r="E814" t="b">
        <v>0</v>
      </c>
      <c r="F814" t="s">
        <v>416</v>
      </c>
      <c r="G814" t="s">
        <v>1794</v>
      </c>
      <c r="H814">
        <v>815</v>
      </c>
      <c r="I814" t="s">
        <v>371</v>
      </c>
      <c r="J814" s="3" t="str">
        <f>IF(ISNUMBER(SEARCH(",Action,",","&amp;SUBSTITUTE(TableMain[[#This Row],[Tags]],", ",",")&amp;",")),"Y","N")</f>
        <v>Y</v>
      </c>
      <c r="K814" s="3" t="str">
        <f>IF(ISNUMBER(SEARCH(",Indie,",","&amp;SUBSTITUTE(TableMain[[#This Row],[Tags]],", ",",")&amp;",")),"Y","N")</f>
        <v>Y</v>
      </c>
      <c r="L814" s="3" t="str">
        <f>IF(ISNUMBER(SEARCH(",Adventure,",","&amp;SUBSTITUTE(TableMain[[#This Row],[Tags]],", ",",")&amp;",")),"Y","N")</f>
        <v>Y</v>
      </c>
      <c r="M814" s="3" t="str">
        <f>IF(ISNUMBER(SEARCH(",Simulation,",","&amp;SUBSTITUTE(TableMain[[#This Row],[Tags]],", ",",")&amp;",")),"Y","N")</f>
        <v>Y</v>
      </c>
      <c r="N814" s="3" t="str">
        <f>IF(ISNUMBER(SEARCH(",RPG,",","&amp;SUBSTITUTE(TableMain[[#This Row],[Tags]],", ",",")&amp;",")),"Y","N")</f>
        <v>Y</v>
      </c>
      <c r="O814" s="3" t="str">
        <f>IF(ISNUMBER(SEARCH(",Strategy,",","&amp;SUBSTITUTE(TableMain[[#This Row],[Tags]],", ",",")&amp;",")),"Y","N")</f>
        <v>N</v>
      </c>
      <c r="P814" s="3" t="str">
        <f>IF(ISNUMBER(SEARCH(",Free To Play,",","&amp;SUBSTITUTE(TableMain[[#This Row],[Tags]],", ",",")&amp;",")),"Y","N")</f>
        <v>N</v>
      </c>
    </row>
    <row r="815" spans="1:16" x14ac:dyDescent="0.35">
      <c r="A815">
        <v>1881700</v>
      </c>
      <c r="B815" t="s">
        <v>1795</v>
      </c>
      <c r="C815" s="1">
        <v>45090</v>
      </c>
      <c r="D815">
        <v>451</v>
      </c>
      <c r="E815" t="b">
        <v>0</v>
      </c>
      <c r="F815" t="s">
        <v>1796</v>
      </c>
      <c r="G815" t="s">
        <v>585</v>
      </c>
      <c r="H815">
        <v>815</v>
      </c>
      <c r="I815" t="s">
        <v>36</v>
      </c>
      <c r="J815" s="3" t="str">
        <f>IF(ISNUMBER(SEARCH(",Action,",","&amp;SUBSTITUTE(TableMain[[#This Row],[Tags]],", ",",")&amp;",")),"Y","N")</f>
        <v>N</v>
      </c>
      <c r="K815" s="3" t="str">
        <f>IF(ISNUMBER(SEARCH(",Indie,",","&amp;SUBSTITUTE(TableMain[[#This Row],[Tags]],", ",",")&amp;",")),"Y","N")</f>
        <v>N</v>
      </c>
      <c r="L815" s="3" t="str">
        <f>IF(ISNUMBER(SEARCH(",Adventure,",","&amp;SUBSTITUTE(TableMain[[#This Row],[Tags]],", ",",")&amp;",")),"Y","N")</f>
        <v>Y</v>
      </c>
      <c r="M815" s="3" t="str">
        <f>IF(ISNUMBER(SEARCH(",Simulation,",","&amp;SUBSTITUTE(TableMain[[#This Row],[Tags]],", ",",")&amp;",")),"Y","N")</f>
        <v>N</v>
      </c>
      <c r="N815" s="3" t="str">
        <f>IF(ISNUMBER(SEARCH(",RPG,",","&amp;SUBSTITUTE(TableMain[[#This Row],[Tags]],", ",",")&amp;",")),"Y","N")</f>
        <v>Y</v>
      </c>
      <c r="O815" s="3" t="str">
        <f>IF(ISNUMBER(SEARCH(",Strategy,",","&amp;SUBSTITUTE(TableMain[[#This Row],[Tags]],", ",",")&amp;",")),"Y","N")</f>
        <v>N</v>
      </c>
      <c r="P815" s="3" t="str">
        <f>IF(ISNUMBER(SEARCH(",Free To Play,",","&amp;SUBSTITUTE(TableMain[[#This Row],[Tags]],", ",",")&amp;",")),"Y","N")</f>
        <v>Y</v>
      </c>
    </row>
    <row r="816" spans="1:16" x14ac:dyDescent="0.35">
      <c r="A816">
        <v>1333350</v>
      </c>
      <c r="B816" t="s">
        <v>1797</v>
      </c>
      <c r="C816" s="1">
        <v>44057</v>
      </c>
      <c r="D816">
        <v>450</v>
      </c>
      <c r="E816" t="b">
        <v>1</v>
      </c>
      <c r="F816" t="s">
        <v>1798</v>
      </c>
      <c r="G816" t="s">
        <v>1799</v>
      </c>
      <c r="H816">
        <v>817</v>
      </c>
      <c r="I816" t="s">
        <v>2082</v>
      </c>
      <c r="J816" s="3" t="str">
        <f>IF(ISNUMBER(SEARCH(",Action,",","&amp;SUBSTITUTE(TableMain[[#This Row],[Tags]],", ",",")&amp;",")),"Y","N")</f>
        <v>N</v>
      </c>
      <c r="K816" s="3" t="str">
        <f>IF(ISNUMBER(SEARCH(",Indie,",","&amp;SUBSTITUTE(TableMain[[#This Row],[Tags]],", ",",")&amp;",")),"Y","N")</f>
        <v>N</v>
      </c>
      <c r="L816" s="3" t="str">
        <f>IF(ISNUMBER(SEARCH(",Adventure,",","&amp;SUBSTITUTE(TableMain[[#This Row],[Tags]],", ",",")&amp;",")),"Y","N")</f>
        <v>Y</v>
      </c>
      <c r="M816" s="3" t="str">
        <f>IF(ISNUMBER(SEARCH(",Simulation,",","&amp;SUBSTITUTE(TableMain[[#This Row],[Tags]],", ",",")&amp;",")),"Y","N")</f>
        <v>N</v>
      </c>
      <c r="N816" s="3" t="str">
        <f>IF(ISNUMBER(SEARCH(",RPG,",","&amp;SUBSTITUTE(TableMain[[#This Row],[Tags]],", ",",")&amp;",")),"Y","N")</f>
        <v>Y</v>
      </c>
      <c r="O816" s="3" t="str">
        <f>IF(ISNUMBER(SEARCH(",Strategy,",","&amp;SUBSTITUTE(TableMain[[#This Row],[Tags]],", ",",")&amp;",")),"Y","N")</f>
        <v>Y</v>
      </c>
      <c r="P816" s="3" t="str">
        <f>IF(ISNUMBER(SEARCH(",Free To Play,",","&amp;SUBSTITUTE(TableMain[[#This Row],[Tags]],", ",",")&amp;",")),"Y","N")</f>
        <v>Y</v>
      </c>
    </row>
    <row r="817" spans="1:16" x14ac:dyDescent="0.35">
      <c r="A817">
        <v>418460</v>
      </c>
      <c r="B817" t="s">
        <v>1800</v>
      </c>
      <c r="C817" s="1">
        <v>42885</v>
      </c>
      <c r="D817">
        <v>449</v>
      </c>
      <c r="E817" t="b">
        <v>0</v>
      </c>
      <c r="F817" t="s">
        <v>1801</v>
      </c>
      <c r="G817" t="s">
        <v>1802</v>
      </c>
      <c r="H817">
        <v>818</v>
      </c>
      <c r="I817" t="s">
        <v>304</v>
      </c>
      <c r="J817" s="3" t="str">
        <f>IF(ISNUMBER(SEARCH(",Action,",","&amp;SUBSTITUTE(TableMain[[#This Row],[Tags]],", ",",")&amp;",")),"Y","N")</f>
        <v>Y</v>
      </c>
      <c r="K817" s="3" t="str">
        <f>IF(ISNUMBER(SEARCH(",Indie,",","&amp;SUBSTITUTE(TableMain[[#This Row],[Tags]],", ",",")&amp;",")),"Y","N")</f>
        <v>N</v>
      </c>
      <c r="L817" s="3" t="str">
        <f>IF(ISNUMBER(SEARCH(",Adventure,",","&amp;SUBSTITUTE(TableMain[[#This Row],[Tags]],", ",",")&amp;",")),"Y","N")</f>
        <v>N</v>
      </c>
      <c r="M817" s="3" t="str">
        <f>IF(ISNUMBER(SEARCH(",Simulation,",","&amp;SUBSTITUTE(TableMain[[#This Row],[Tags]],", ",",")&amp;",")),"Y","N")</f>
        <v>Y</v>
      </c>
      <c r="N817" s="3" t="str">
        <f>IF(ISNUMBER(SEARCH(",RPG,",","&amp;SUBSTITUTE(TableMain[[#This Row],[Tags]],", ",",")&amp;",")),"Y","N")</f>
        <v>N</v>
      </c>
      <c r="O817" s="3" t="str">
        <f>IF(ISNUMBER(SEARCH(",Strategy,",","&amp;SUBSTITUTE(TableMain[[#This Row],[Tags]],", ",",")&amp;",")),"Y","N")</f>
        <v>Y</v>
      </c>
      <c r="P817" s="3" t="str">
        <f>IF(ISNUMBER(SEARCH(",Free To Play,",","&amp;SUBSTITUTE(TableMain[[#This Row],[Tags]],", ",",")&amp;",")),"Y","N")</f>
        <v>N</v>
      </c>
    </row>
    <row r="818" spans="1:16" x14ac:dyDescent="0.35">
      <c r="A818">
        <v>1267540</v>
      </c>
      <c r="B818" t="s">
        <v>1803</v>
      </c>
      <c r="C818" s="1">
        <v>44455</v>
      </c>
      <c r="D818">
        <v>448</v>
      </c>
      <c r="E818" t="b">
        <v>0</v>
      </c>
      <c r="F818" t="s">
        <v>1804</v>
      </c>
      <c r="G818" t="s">
        <v>420</v>
      </c>
      <c r="H818">
        <v>819</v>
      </c>
      <c r="I818" t="s">
        <v>53</v>
      </c>
      <c r="J818" s="3" t="str">
        <f>IF(ISNUMBER(SEARCH(",Action,",","&amp;SUBSTITUTE(TableMain[[#This Row],[Tags]],", ",",")&amp;",")),"Y","N")</f>
        <v>N</v>
      </c>
      <c r="K818" s="3" t="str">
        <f>IF(ISNUMBER(SEARCH(",Indie,",","&amp;SUBSTITUTE(TableMain[[#This Row],[Tags]],", ",",")&amp;",")),"Y","N")</f>
        <v>N</v>
      </c>
      <c r="L818" s="3" t="str">
        <f>IF(ISNUMBER(SEARCH(",Adventure,",","&amp;SUBSTITUTE(TableMain[[#This Row],[Tags]],", ",",")&amp;",")),"Y","N")</f>
        <v>N</v>
      </c>
      <c r="M818" s="3" t="str">
        <f>IF(ISNUMBER(SEARCH(",Simulation,",","&amp;SUBSTITUTE(TableMain[[#This Row],[Tags]],", ",",")&amp;",")),"Y","N")</f>
        <v>Y</v>
      </c>
      <c r="N818" s="3" t="str">
        <f>IF(ISNUMBER(SEARCH(",RPG,",","&amp;SUBSTITUTE(TableMain[[#This Row],[Tags]],", ",",")&amp;",")),"Y","N")</f>
        <v>N</v>
      </c>
      <c r="O818" s="3" t="str">
        <f>IF(ISNUMBER(SEARCH(",Strategy,",","&amp;SUBSTITUTE(TableMain[[#This Row],[Tags]],", ",",")&amp;",")),"Y","N")</f>
        <v>N</v>
      </c>
      <c r="P818" s="3" t="str">
        <f>IF(ISNUMBER(SEARCH(",Free To Play,",","&amp;SUBSTITUTE(TableMain[[#This Row],[Tags]],", ",",")&amp;",")),"Y","N")</f>
        <v>N</v>
      </c>
    </row>
    <row r="819" spans="1:16" x14ac:dyDescent="0.35">
      <c r="A819">
        <v>1274570</v>
      </c>
      <c r="B819" t="s">
        <v>1805</v>
      </c>
      <c r="C819" s="1">
        <v>44224</v>
      </c>
      <c r="D819">
        <v>447</v>
      </c>
      <c r="E819" t="b">
        <v>1</v>
      </c>
      <c r="F819" t="s">
        <v>1806</v>
      </c>
      <c r="G819" t="s">
        <v>792</v>
      </c>
      <c r="H819">
        <v>820</v>
      </c>
      <c r="I819" t="s">
        <v>33</v>
      </c>
      <c r="J819" s="3" t="str">
        <f>IF(ISNUMBER(SEARCH(",Action,",","&amp;SUBSTITUTE(TableMain[[#This Row],[Tags]],", ",",")&amp;",")),"Y","N")</f>
        <v>N</v>
      </c>
      <c r="K819" s="3" t="str">
        <f>IF(ISNUMBER(SEARCH(",Indie,",","&amp;SUBSTITUTE(TableMain[[#This Row],[Tags]],", ",",")&amp;",")),"Y","N")</f>
        <v>Y</v>
      </c>
      <c r="L819" s="3" t="str">
        <f>IF(ISNUMBER(SEARCH(",Adventure,",","&amp;SUBSTITUTE(TableMain[[#This Row],[Tags]],", ",",")&amp;",")),"Y","N")</f>
        <v>N</v>
      </c>
      <c r="M819" s="3" t="str">
        <f>IF(ISNUMBER(SEARCH(",Simulation,",","&amp;SUBSTITUTE(TableMain[[#This Row],[Tags]],", ",",")&amp;",")),"Y","N")</f>
        <v>N</v>
      </c>
      <c r="N819" s="3" t="str">
        <f>IF(ISNUMBER(SEARCH(",RPG,",","&amp;SUBSTITUTE(TableMain[[#This Row],[Tags]],", ",",")&amp;",")),"Y","N")</f>
        <v>N</v>
      </c>
      <c r="O819" s="3" t="str">
        <f>IF(ISNUMBER(SEARCH(",Strategy,",","&amp;SUBSTITUTE(TableMain[[#This Row],[Tags]],", ",",")&amp;",")),"Y","N")</f>
        <v>N</v>
      </c>
      <c r="P819" s="3" t="str">
        <f>IF(ISNUMBER(SEARCH(",Free To Play,",","&amp;SUBSTITUTE(TableMain[[#This Row],[Tags]],", ",",")&amp;",")),"Y","N")</f>
        <v>N</v>
      </c>
    </row>
    <row r="820" spans="1:16" x14ac:dyDescent="0.35">
      <c r="A820">
        <v>333420</v>
      </c>
      <c r="B820" t="s">
        <v>1807</v>
      </c>
      <c r="C820" s="1">
        <v>42633</v>
      </c>
      <c r="D820">
        <v>446</v>
      </c>
      <c r="E820" t="b">
        <v>0</v>
      </c>
      <c r="F820" t="s">
        <v>1808</v>
      </c>
      <c r="G820" t="s">
        <v>948</v>
      </c>
      <c r="H820">
        <v>821</v>
      </c>
      <c r="I820" t="s">
        <v>304</v>
      </c>
      <c r="J820" s="3" t="str">
        <f>IF(ISNUMBER(SEARCH(",Action,",","&amp;SUBSTITUTE(TableMain[[#This Row],[Tags]],", ",",")&amp;",")),"Y","N")</f>
        <v>Y</v>
      </c>
      <c r="K820" s="3" t="str">
        <f>IF(ISNUMBER(SEARCH(",Indie,",","&amp;SUBSTITUTE(TableMain[[#This Row],[Tags]],", ",",")&amp;",")),"Y","N")</f>
        <v>N</v>
      </c>
      <c r="L820" s="3" t="str">
        <f>IF(ISNUMBER(SEARCH(",Adventure,",","&amp;SUBSTITUTE(TableMain[[#This Row],[Tags]],", ",",")&amp;",")),"Y","N")</f>
        <v>Y</v>
      </c>
      <c r="M820" s="3" t="str">
        <f>IF(ISNUMBER(SEARCH(",Simulation,",","&amp;SUBSTITUTE(TableMain[[#This Row],[Tags]],", ",",")&amp;",")),"Y","N")</f>
        <v>N</v>
      </c>
      <c r="N820" s="3" t="str">
        <f>IF(ISNUMBER(SEARCH(",RPG,",","&amp;SUBSTITUTE(TableMain[[#This Row],[Tags]],", ",",")&amp;",")),"Y","N")</f>
        <v>N</v>
      </c>
      <c r="O820" s="3" t="str">
        <f>IF(ISNUMBER(SEARCH(",Strategy,",","&amp;SUBSTITUTE(TableMain[[#This Row],[Tags]],", ",",")&amp;",")),"Y","N")</f>
        <v>Y</v>
      </c>
      <c r="P820" s="3" t="str">
        <f>IF(ISNUMBER(SEARCH(",Free To Play,",","&amp;SUBSTITUTE(TableMain[[#This Row],[Tags]],", ",",")&amp;",")),"Y","N")</f>
        <v>N</v>
      </c>
    </row>
    <row r="821" spans="1:16" x14ac:dyDescent="0.35">
      <c r="A821">
        <v>1536610</v>
      </c>
      <c r="B821" t="s">
        <v>1809</v>
      </c>
      <c r="C821" s="1">
        <v>44287</v>
      </c>
      <c r="D821">
        <v>445</v>
      </c>
      <c r="E821" t="b">
        <v>1</v>
      </c>
      <c r="F821" t="s">
        <v>1810</v>
      </c>
      <c r="G821" t="s">
        <v>454</v>
      </c>
      <c r="H821">
        <v>822</v>
      </c>
      <c r="I821" t="s">
        <v>184</v>
      </c>
      <c r="J821" s="3" t="str">
        <f>IF(ISNUMBER(SEARCH(",Action,",","&amp;SUBSTITUTE(TableMain[[#This Row],[Tags]],", ",",")&amp;",")),"Y","N")</f>
        <v>N</v>
      </c>
      <c r="K821" s="3" t="str">
        <f>IF(ISNUMBER(SEARCH(",Indie,",","&amp;SUBSTITUTE(TableMain[[#This Row],[Tags]],", ",",")&amp;",")),"Y","N")</f>
        <v>Y</v>
      </c>
      <c r="L821" s="3" t="str">
        <f>IF(ISNUMBER(SEARCH(",Adventure,",","&amp;SUBSTITUTE(TableMain[[#This Row],[Tags]],", ",",")&amp;",")),"Y","N")</f>
        <v>N</v>
      </c>
      <c r="M821" s="3" t="str">
        <f>IF(ISNUMBER(SEARCH(",Simulation,",","&amp;SUBSTITUTE(TableMain[[#This Row],[Tags]],", ",",")&amp;",")),"Y","N")</f>
        <v>Y</v>
      </c>
      <c r="N821" s="3" t="str">
        <f>IF(ISNUMBER(SEARCH(",RPG,",","&amp;SUBSTITUTE(TableMain[[#This Row],[Tags]],", ",",")&amp;",")),"Y","N")</f>
        <v>N</v>
      </c>
      <c r="O821" s="3" t="str">
        <f>IF(ISNUMBER(SEARCH(",Strategy,",","&amp;SUBSTITUTE(TableMain[[#This Row],[Tags]],", ",",")&amp;",")),"Y","N")</f>
        <v>N</v>
      </c>
      <c r="P821" s="3" t="str">
        <f>IF(ISNUMBER(SEARCH(",Free To Play,",","&amp;SUBSTITUTE(TableMain[[#This Row],[Tags]],", ",",")&amp;",")),"Y","N")</f>
        <v>Y</v>
      </c>
    </row>
    <row r="822" spans="1:16" x14ac:dyDescent="0.35">
      <c r="A822">
        <v>2358260</v>
      </c>
      <c r="B822" t="s">
        <v>1811</v>
      </c>
      <c r="C822" s="1">
        <v>45203</v>
      </c>
      <c r="D822">
        <v>445</v>
      </c>
      <c r="E822" t="b">
        <v>0</v>
      </c>
      <c r="F822" t="s">
        <v>1812</v>
      </c>
      <c r="G822" t="s">
        <v>78</v>
      </c>
      <c r="H822">
        <v>822</v>
      </c>
      <c r="I822" t="s">
        <v>184</v>
      </c>
      <c r="J822" s="3" t="str">
        <f>IF(ISNUMBER(SEARCH(",Action,",","&amp;SUBSTITUTE(TableMain[[#This Row],[Tags]],", ",",")&amp;",")),"Y","N")</f>
        <v>N</v>
      </c>
      <c r="K822" s="3" t="str">
        <f>IF(ISNUMBER(SEARCH(",Indie,",","&amp;SUBSTITUTE(TableMain[[#This Row],[Tags]],", ",",")&amp;",")),"Y","N")</f>
        <v>N</v>
      </c>
      <c r="L822" s="3" t="str">
        <f>IF(ISNUMBER(SEARCH(",Adventure,",","&amp;SUBSTITUTE(TableMain[[#This Row],[Tags]],", ",",")&amp;",")),"Y","N")</f>
        <v>N</v>
      </c>
      <c r="M822" s="3" t="str">
        <f>IF(ISNUMBER(SEARCH(",Simulation,",","&amp;SUBSTITUTE(TableMain[[#This Row],[Tags]],", ",",")&amp;",")),"Y","N")</f>
        <v>Y</v>
      </c>
      <c r="N822" s="3" t="str">
        <f>IF(ISNUMBER(SEARCH(",RPG,",","&amp;SUBSTITUTE(TableMain[[#This Row],[Tags]],", ",",")&amp;",")),"Y","N")</f>
        <v>N</v>
      </c>
      <c r="O822" s="3" t="str">
        <f>IF(ISNUMBER(SEARCH(",Strategy,",","&amp;SUBSTITUTE(TableMain[[#This Row],[Tags]],", ",",")&amp;",")),"Y","N")</f>
        <v>N</v>
      </c>
      <c r="P822" s="3" t="str">
        <f>IF(ISNUMBER(SEARCH(",Free To Play,",","&amp;SUBSTITUTE(TableMain[[#This Row],[Tags]],", ",",")&amp;",")),"Y","N")</f>
        <v>N</v>
      </c>
    </row>
    <row r="823" spans="1:16" x14ac:dyDescent="0.35">
      <c r="A823">
        <v>204360</v>
      </c>
      <c r="B823" t="s">
        <v>1813</v>
      </c>
      <c r="C823" s="1">
        <v>41178</v>
      </c>
      <c r="D823">
        <v>443</v>
      </c>
      <c r="E823" t="b">
        <v>1</v>
      </c>
      <c r="F823" t="s">
        <v>1814</v>
      </c>
      <c r="G823" t="s">
        <v>1252</v>
      </c>
      <c r="H823">
        <v>824</v>
      </c>
      <c r="I823" t="s">
        <v>33</v>
      </c>
      <c r="J823" s="3" t="str">
        <f>IF(ISNUMBER(SEARCH(",Action,",","&amp;SUBSTITUTE(TableMain[[#This Row],[Tags]],", ",",")&amp;",")),"Y","N")</f>
        <v>Y</v>
      </c>
      <c r="K823" s="3" t="str">
        <f>IF(ISNUMBER(SEARCH(",Indie,",","&amp;SUBSTITUTE(TableMain[[#This Row],[Tags]],", ",",")&amp;",")),"Y","N")</f>
        <v>Y</v>
      </c>
      <c r="L823" s="3" t="str">
        <f>IF(ISNUMBER(SEARCH(",Adventure,",","&amp;SUBSTITUTE(TableMain[[#This Row],[Tags]],", ",",")&amp;",")),"Y","N")</f>
        <v>Y</v>
      </c>
      <c r="M823" s="3" t="str">
        <f>IF(ISNUMBER(SEARCH(",Simulation,",","&amp;SUBSTITUTE(TableMain[[#This Row],[Tags]],", ",",")&amp;",")),"Y","N")</f>
        <v>N</v>
      </c>
      <c r="N823" s="3" t="str">
        <f>IF(ISNUMBER(SEARCH(",RPG,",","&amp;SUBSTITUTE(TableMain[[#This Row],[Tags]],", ",",")&amp;",")),"Y","N")</f>
        <v>Y</v>
      </c>
      <c r="O823" s="3" t="str">
        <f>IF(ISNUMBER(SEARCH(",Strategy,",","&amp;SUBSTITUTE(TableMain[[#This Row],[Tags]],", ",",")&amp;",")),"Y","N")</f>
        <v>N</v>
      </c>
      <c r="P823" s="3" t="str">
        <f>IF(ISNUMBER(SEARCH(",Free To Play,",","&amp;SUBSTITUTE(TableMain[[#This Row],[Tags]],", ",",")&amp;",")),"Y","N")</f>
        <v>N</v>
      </c>
    </row>
    <row r="824" spans="1:16" x14ac:dyDescent="0.35">
      <c r="A824">
        <v>678960</v>
      </c>
      <c r="B824" t="s">
        <v>1815</v>
      </c>
      <c r="C824" s="1">
        <v>43734</v>
      </c>
      <c r="D824">
        <v>443</v>
      </c>
      <c r="E824" t="b">
        <v>0</v>
      </c>
      <c r="F824" t="s">
        <v>1816</v>
      </c>
      <c r="G824" t="s">
        <v>24</v>
      </c>
      <c r="H824">
        <v>824</v>
      </c>
      <c r="I824" t="s">
        <v>133</v>
      </c>
      <c r="J824" s="3" t="str">
        <f>IF(ISNUMBER(SEARCH(",Action,",","&amp;SUBSTITUTE(TableMain[[#This Row],[Tags]],", ",",")&amp;",")),"Y","N")</f>
        <v>Y</v>
      </c>
      <c r="K824" s="3" t="str">
        <f>IF(ISNUMBER(SEARCH(",Indie,",","&amp;SUBSTITUTE(TableMain[[#This Row],[Tags]],", ",",")&amp;",")),"Y","N")</f>
        <v>N</v>
      </c>
      <c r="L824" s="3" t="str">
        <f>IF(ISNUMBER(SEARCH(",Adventure,",","&amp;SUBSTITUTE(TableMain[[#This Row],[Tags]],", ",",")&amp;",")),"Y","N")</f>
        <v>N</v>
      </c>
      <c r="M824" s="3" t="str">
        <f>IF(ISNUMBER(SEARCH(",Simulation,",","&amp;SUBSTITUTE(TableMain[[#This Row],[Tags]],", ",",")&amp;",")),"Y","N")</f>
        <v>N</v>
      </c>
      <c r="N824" s="3" t="str">
        <f>IF(ISNUMBER(SEARCH(",RPG,",","&amp;SUBSTITUTE(TableMain[[#This Row],[Tags]],", ",",")&amp;",")),"Y","N")</f>
        <v>Y</v>
      </c>
      <c r="O824" s="3" t="str">
        <f>IF(ISNUMBER(SEARCH(",Strategy,",","&amp;SUBSTITUTE(TableMain[[#This Row],[Tags]],", ",",")&amp;",")),"Y","N")</f>
        <v>N</v>
      </c>
      <c r="P824" s="3" t="str">
        <f>IF(ISNUMBER(SEARCH(",Free To Play,",","&amp;SUBSTITUTE(TableMain[[#This Row],[Tags]],", ",",")&amp;",")),"Y","N")</f>
        <v>N</v>
      </c>
    </row>
    <row r="825" spans="1:16" x14ac:dyDescent="0.35">
      <c r="A825">
        <v>337410</v>
      </c>
      <c r="B825" t="s">
        <v>1817</v>
      </c>
      <c r="C825" s="1">
        <v>41997</v>
      </c>
      <c r="D825">
        <v>441</v>
      </c>
      <c r="E825" t="b">
        <v>0</v>
      </c>
      <c r="F825" t="s">
        <v>1818</v>
      </c>
      <c r="G825" t="s">
        <v>322</v>
      </c>
      <c r="H825">
        <v>826</v>
      </c>
      <c r="I825" t="s">
        <v>967</v>
      </c>
      <c r="J825" s="3" t="str">
        <f>IF(ISNUMBER(SEARCH(",Action,",","&amp;SUBSTITUTE(TableMain[[#This Row],[Tags]],", ",",")&amp;",")),"Y","N")</f>
        <v>N</v>
      </c>
      <c r="K825" s="3" t="str">
        <f>IF(ISNUMBER(SEARCH(",Indie,",","&amp;SUBSTITUTE(TableMain[[#This Row],[Tags]],", ",",")&amp;",")),"Y","N")</f>
        <v>N</v>
      </c>
      <c r="L825" s="3" t="str">
        <f>IF(ISNUMBER(SEARCH(",Adventure,",","&amp;SUBSTITUTE(TableMain[[#This Row],[Tags]],", ",",")&amp;",")),"Y","N")</f>
        <v>N</v>
      </c>
      <c r="M825" s="3" t="str">
        <f>IF(ISNUMBER(SEARCH(",Simulation,",","&amp;SUBSTITUTE(TableMain[[#This Row],[Tags]],", ",",")&amp;",")),"Y","N")</f>
        <v>N</v>
      </c>
      <c r="N825" s="3" t="str">
        <f>IF(ISNUMBER(SEARCH(",RPG,",","&amp;SUBSTITUTE(TableMain[[#This Row],[Tags]],", ",",")&amp;",")),"Y","N")</f>
        <v>Y</v>
      </c>
      <c r="O825" s="3" t="str">
        <f>IF(ISNUMBER(SEARCH(",Strategy,",","&amp;SUBSTITUTE(TableMain[[#This Row],[Tags]],", ",",")&amp;",")),"Y","N")</f>
        <v>N</v>
      </c>
      <c r="P825" s="3" t="str">
        <f>IF(ISNUMBER(SEARCH(",Free To Play,",","&amp;SUBSTITUTE(TableMain[[#This Row],[Tags]],", ",",")&amp;",")),"Y","N")</f>
        <v>Y</v>
      </c>
    </row>
    <row r="826" spans="1:16" x14ac:dyDescent="0.35">
      <c r="A826">
        <v>1170950</v>
      </c>
      <c r="B826" t="s">
        <v>1819</v>
      </c>
      <c r="C826" s="1">
        <v>44586</v>
      </c>
      <c r="D826">
        <v>440</v>
      </c>
      <c r="E826" t="b">
        <v>0</v>
      </c>
      <c r="F826" t="s">
        <v>1820</v>
      </c>
      <c r="G826" t="s">
        <v>1821</v>
      </c>
      <c r="H826">
        <v>827</v>
      </c>
      <c r="I826" t="s">
        <v>36</v>
      </c>
      <c r="J826" s="3" t="str">
        <f>IF(ISNUMBER(SEARCH(",Action,",","&amp;SUBSTITUTE(TableMain[[#This Row],[Tags]],", ",",")&amp;",")),"Y","N")</f>
        <v>Y</v>
      </c>
      <c r="K826" s="3" t="str">
        <f>IF(ISNUMBER(SEARCH(",Indie,",","&amp;SUBSTITUTE(TableMain[[#This Row],[Tags]],", ",",")&amp;",")),"Y","N")</f>
        <v>Y</v>
      </c>
      <c r="L826" s="3" t="str">
        <f>IF(ISNUMBER(SEARCH(",Adventure,",","&amp;SUBSTITUTE(TableMain[[#This Row],[Tags]],", ",",")&amp;",")),"Y","N")</f>
        <v>N</v>
      </c>
      <c r="M826" s="3" t="str">
        <f>IF(ISNUMBER(SEARCH(",Simulation,",","&amp;SUBSTITUTE(TableMain[[#This Row],[Tags]],", ",",")&amp;",")),"Y","N")</f>
        <v>N</v>
      </c>
      <c r="N826" s="3" t="str">
        <f>IF(ISNUMBER(SEARCH(",RPG,",","&amp;SUBSTITUTE(TableMain[[#This Row],[Tags]],", ",",")&amp;",")),"Y","N")</f>
        <v>Y</v>
      </c>
      <c r="O826" s="3" t="str">
        <f>IF(ISNUMBER(SEARCH(",Strategy,",","&amp;SUBSTITUTE(TableMain[[#This Row],[Tags]],", ",",")&amp;",")),"Y","N")</f>
        <v>N</v>
      </c>
      <c r="P826" s="3" t="str">
        <f>IF(ISNUMBER(SEARCH(",Free To Play,",","&amp;SUBSTITUTE(TableMain[[#This Row],[Tags]],", ",",")&amp;",")),"Y","N")</f>
        <v>N</v>
      </c>
    </row>
    <row r="827" spans="1:16" x14ac:dyDescent="0.35">
      <c r="A827">
        <v>1559600</v>
      </c>
      <c r="B827" t="s">
        <v>1822</v>
      </c>
      <c r="C827" s="1">
        <v>45800</v>
      </c>
      <c r="D827">
        <v>440</v>
      </c>
      <c r="E827" t="b">
        <v>0</v>
      </c>
      <c r="F827" t="s">
        <v>681</v>
      </c>
      <c r="G827" t="s">
        <v>239</v>
      </c>
      <c r="H827">
        <v>827</v>
      </c>
      <c r="I827" t="s">
        <v>133</v>
      </c>
      <c r="J827" s="3" t="str">
        <f>IF(ISNUMBER(SEARCH(",Action,",","&amp;SUBSTITUTE(TableMain[[#This Row],[Tags]],", ",",")&amp;",")),"Y","N")</f>
        <v>N</v>
      </c>
      <c r="K827" s="3" t="str">
        <f>IF(ISNUMBER(SEARCH(",Indie,",","&amp;SUBSTITUTE(TableMain[[#This Row],[Tags]],", ",",")&amp;",")),"Y","N")</f>
        <v>N</v>
      </c>
      <c r="L827" s="3" t="str">
        <f>IF(ISNUMBER(SEARCH(",Adventure,",","&amp;SUBSTITUTE(TableMain[[#This Row],[Tags]],", ",",")&amp;",")),"Y","N")</f>
        <v>N</v>
      </c>
      <c r="M827" s="3" t="str">
        <f>IF(ISNUMBER(SEARCH(",Simulation,",","&amp;SUBSTITUTE(TableMain[[#This Row],[Tags]],", ",",")&amp;",")),"Y","N")</f>
        <v>Y</v>
      </c>
      <c r="N827" s="3" t="str">
        <f>IF(ISNUMBER(SEARCH(",RPG,",","&amp;SUBSTITUTE(TableMain[[#This Row],[Tags]],", ",",")&amp;",")),"Y","N")</f>
        <v>N</v>
      </c>
      <c r="O827" s="3" t="str">
        <f>IF(ISNUMBER(SEARCH(",Strategy,",","&amp;SUBSTITUTE(TableMain[[#This Row],[Tags]],", ",",")&amp;",")),"Y","N")</f>
        <v>N</v>
      </c>
      <c r="P827" s="3" t="str">
        <f>IF(ISNUMBER(SEARCH(",Free To Play,",","&amp;SUBSTITUTE(TableMain[[#This Row],[Tags]],", ",",")&amp;",")),"Y","N")</f>
        <v>N</v>
      </c>
    </row>
    <row r="828" spans="1:16" x14ac:dyDescent="0.35">
      <c r="A828">
        <v>2168680</v>
      </c>
      <c r="B828" t="s">
        <v>1823</v>
      </c>
      <c r="C828" s="1">
        <v>45214</v>
      </c>
      <c r="D828">
        <v>438</v>
      </c>
      <c r="E828" t="b">
        <v>0</v>
      </c>
      <c r="F828" t="s">
        <v>1824</v>
      </c>
      <c r="G828" t="s">
        <v>1825</v>
      </c>
      <c r="H828">
        <v>829</v>
      </c>
      <c r="I828" t="s">
        <v>958</v>
      </c>
      <c r="J828" s="3" t="str">
        <f>IF(ISNUMBER(SEARCH(",Action,",","&amp;SUBSTITUTE(TableMain[[#This Row],[Tags]],", ",",")&amp;",")),"Y","N")</f>
        <v>Y</v>
      </c>
      <c r="K828" s="3" t="str">
        <f>IF(ISNUMBER(SEARCH(",Indie,",","&amp;SUBSTITUTE(TableMain[[#This Row],[Tags]],", ",",")&amp;",")),"Y","N")</f>
        <v>Y</v>
      </c>
      <c r="L828" s="3" t="str">
        <f>IF(ISNUMBER(SEARCH(",Adventure,",","&amp;SUBSTITUTE(TableMain[[#This Row],[Tags]],", ",",")&amp;",")),"Y","N")</f>
        <v>N</v>
      </c>
      <c r="M828" s="3" t="str">
        <f>IF(ISNUMBER(SEARCH(",Simulation,",","&amp;SUBSTITUTE(TableMain[[#This Row],[Tags]],", ",",")&amp;",")),"Y","N")</f>
        <v>Y</v>
      </c>
      <c r="N828" s="3" t="str">
        <f>IF(ISNUMBER(SEARCH(",RPG,",","&amp;SUBSTITUTE(TableMain[[#This Row],[Tags]],", ",",")&amp;",")),"Y","N")</f>
        <v>N</v>
      </c>
      <c r="O828" s="3" t="str">
        <f>IF(ISNUMBER(SEARCH(",Strategy,",","&amp;SUBSTITUTE(TableMain[[#This Row],[Tags]],", ",",")&amp;",")),"Y","N")</f>
        <v>N</v>
      </c>
      <c r="P828" s="3" t="str">
        <f>IF(ISNUMBER(SEARCH(",Free To Play,",","&amp;SUBSTITUTE(TableMain[[#This Row],[Tags]],", ",",")&amp;",")),"Y","N")</f>
        <v>N</v>
      </c>
    </row>
    <row r="829" spans="1:16" x14ac:dyDescent="0.35">
      <c r="A829">
        <v>274170</v>
      </c>
      <c r="B829" t="s">
        <v>1826</v>
      </c>
      <c r="C829" s="1">
        <v>42073</v>
      </c>
      <c r="D829">
        <v>437</v>
      </c>
      <c r="E829" t="b">
        <v>1</v>
      </c>
      <c r="F829" t="s">
        <v>1827</v>
      </c>
      <c r="G829" t="s">
        <v>116</v>
      </c>
      <c r="H829">
        <v>830</v>
      </c>
      <c r="I829" t="s">
        <v>2082</v>
      </c>
      <c r="J829" s="3" t="str">
        <f>IF(ISNUMBER(SEARCH(",Action,",","&amp;SUBSTITUTE(TableMain[[#This Row],[Tags]],", ",",")&amp;",")),"Y","N")</f>
        <v>Y</v>
      </c>
      <c r="K829" s="3" t="str">
        <f>IF(ISNUMBER(SEARCH(",Indie,",","&amp;SUBSTITUTE(TableMain[[#This Row],[Tags]],", ",",")&amp;",")),"Y","N")</f>
        <v>Y</v>
      </c>
      <c r="L829" s="3" t="str">
        <f>IF(ISNUMBER(SEARCH(",Adventure,",","&amp;SUBSTITUTE(TableMain[[#This Row],[Tags]],", ",",")&amp;",")),"Y","N")</f>
        <v>N</v>
      </c>
      <c r="M829" s="3" t="str">
        <f>IF(ISNUMBER(SEARCH(",Simulation,",","&amp;SUBSTITUTE(TableMain[[#This Row],[Tags]],", ",",")&amp;",")),"Y","N")</f>
        <v>N</v>
      </c>
      <c r="N829" s="3" t="str">
        <f>IF(ISNUMBER(SEARCH(",RPG,",","&amp;SUBSTITUTE(TableMain[[#This Row],[Tags]],", ",",")&amp;",")),"Y","N")</f>
        <v>N</v>
      </c>
      <c r="O829" s="3" t="str">
        <f>IF(ISNUMBER(SEARCH(",Strategy,",","&amp;SUBSTITUTE(TableMain[[#This Row],[Tags]],", ",",")&amp;",")),"Y","N")</f>
        <v>N</v>
      </c>
      <c r="P829" s="3" t="str">
        <f>IF(ISNUMBER(SEARCH(",Free To Play,",","&amp;SUBSTITUTE(TableMain[[#This Row],[Tags]],", ",",")&amp;",")),"Y","N")</f>
        <v>N</v>
      </c>
    </row>
    <row r="830" spans="1:16" x14ac:dyDescent="0.35">
      <c r="A830">
        <v>261640</v>
      </c>
      <c r="B830" t="s">
        <v>1828</v>
      </c>
      <c r="C830" s="1">
        <v>41925</v>
      </c>
      <c r="D830">
        <v>437</v>
      </c>
      <c r="E830" t="b">
        <v>1</v>
      </c>
      <c r="F830" t="s">
        <v>1829</v>
      </c>
      <c r="G830" t="s">
        <v>24</v>
      </c>
      <c r="H830">
        <v>830</v>
      </c>
      <c r="I830" t="s">
        <v>486</v>
      </c>
      <c r="J830" s="3" t="str">
        <f>IF(ISNUMBER(SEARCH(",Action,",","&amp;SUBSTITUTE(TableMain[[#This Row],[Tags]],", ",",")&amp;",")),"Y","N")</f>
        <v>Y</v>
      </c>
      <c r="K830" s="3" t="str">
        <f>IF(ISNUMBER(SEARCH(",Indie,",","&amp;SUBSTITUTE(TableMain[[#This Row],[Tags]],", ",",")&amp;",")),"Y","N")</f>
        <v>N</v>
      </c>
      <c r="L830" s="3" t="str">
        <f>IF(ISNUMBER(SEARCH(",Adventure,",","&amp;SUBSTITUTE(TableMain[[#This Row],[Tags]],", ",",")&amp;",")),"Y","N")</f>
        <v>N</v>
      </c>
      <c r="M830" s="3" t="str">
        <f>IF(ISNUMBER(SEARCH(",Simulation,",","&amp;SUBSTITUTE(TableMain[[#This Row],[Tags]],", ",",")&amp;",")),"Y","N")</f>
        <v>N</v>
      </c>
      <c r="N830" s="3" t="str">
        <f>IF(ISNUMBER(SEARCH(",RPG,",","&amp;SUBSTITUTE(TableMain[[#This Row],[Tags]],", ",",")&amp;",")),"Y","N")</f>
        <v>Y</v>
      </c>
      <c r="O830" s="3" t="str">
        <f>IF(ISNUMBER(SEARCH(",Strategy,",","&amp;SUBSTITUTE(TableMain[[#This Row],[Tags]],", ",",")&amp;",")),"Y","N")</f>
        <v>N</v>
      </c>
      <c r="P830" s="3" t="str">
        <f>IF(ISNUMBER(SEARCH(",Free To Play,",","&amp;SUBSTITUTE(TableMain[[#This Row],[Tags]],", ",",")&amp;",")),"Y","N")</f>
        <v>N</v>
      </c>
    </row>
    <row r="831" spans="1:16" x14ac:dyDescent="0.35">
      <c r="A831">
        <v>368260</v>
      </c>
      <c r="B831" t="s">
        <v>1830</v>
      </c>
      <c r="C831" s="1">
        <v>44896</v>
      </c>
      <c r="D831">
        <v>436</v>
      </c>
      <c r="E831" t="b">
        <v>0</v>
      </c>
      <c r="F831" t="s">
        <v>1831</v>
      </c>
      <c r="G831" t="s">
        <v>844</v>
      </c>
      <c r="H831">
        <v>832</v>
      </c>
      <c r="I831" t="s">
        <v>486</v>
      </c>
      <c r="J831" s="3" t="str">
        <f>IF(ISNUMBER(SEARCH(",Action,",","&amp;SUBSTITUTE(TableMain[[#This Row],[Tags]],", ",",")&amp;",")),"Y","N")</f>
        <v>N</v>
      </c>
      <c r="K831" s="3" t="str">
        <f>IF(ISNUMBER(SEARCH(",Indie,",","&amp;SUBSTITUTE(TableMain[[#This Row],[Tags]],", ",",")&amp;",")),"Y","N")</f>
        <v>N</v>
      </c>
      <c r="L831" s="3" t="str">
        <f>IF(ISNUMBER(SEARCH(",Adventure,",","&amp;SUBSTITUTE(TableMain[[#This Row],[Tags]],", ",",")&amp;",")),"Y","N")</f>
        <v>N</v>
      </c>
      <c r="M831" s="3" t="str">
        <f>IF(ISNUMBER(SEARCH(",Simulation,",","&amp;SUBSTITUTE(TableMain[[#This Row],[Tags]],", ",",")&amp;",")),"Y","N")</f>
        <v>N</v>
      </c>
      <c r="N831" s="3" t="str">
        <f>IF(ISNUMBER(SEARCH(",RPG,",","&amp;SUBSTITUTE(TableMain[[#This Row],[Tags]],", ",",")&amp;",")),"Y","N")</f>
        <v>Y</v>
      </c>
      <c r="O831" s="3" t="str">
        <f>IF(ISNUMBER(SEARCH(",Strategy,",","&amp;SUBSTITUTE(TableMain[[#This Row],[Tags]],", ",",")&amp;",")),"Y","N")</f>
        <v>Y</v>
      </c>
      <c r="P831" s="3" t="str">
        <f>IF(ISNUMBER(SEARCH(",Free To Play,",","&amp;SUBSTITUTE(TableMain[[#This Row],[Tags]],", ",",")&amp;",")),"Y","N")</f>
        <v>N</v>
      </c>
    </row>
    <row r="832" spans="1:16" x14ac:dyDescent="0.35">
      <c r="A832">
        <v>3404470</v>
      </c>
      <c r="B832" t="s">
        <v>1832</v>
      </c>
      <c r="C832" s="1">
        <v>45790</v>
      </c>
      <c r="D832">
        <v>436</v>
      </c>
      <c r="E832" t="b">
        <v>1</v>
      </c>
      <c r="F832" t="s">
        <v>681</v>
      </c>
      <c r="G832" t="s">
        <v>164</v>
      </c>
      <c r="H832">
        <v>832</v>
      </c>
      <c r="I832" t="s">
        <v>513</v>
      </c>
      <c r="J832" s="3" t="str">
        <f>IF(ISNUMBER(SEARCH(",Action,",","&amp;SUBSTITUTE(TableMain[[#This Row],[Tags]],", ",",")&amp;",")),"Y","N")</f>
        <v>N</v>
      </c>
      <c r="K832" s="3" t="str">
        <f>IF(ISNUMBER(SEARCH(",Indie,",","&amp;SUBSTITUTE(TableMain[[#This Row],[Tags]],", ",",")&amp;",")),"Y","N")</f>
        <v>Y</v>
      </c>
      <c r="L832" s="3" t="str">
        <f>IF(ISNUMBER(SEARCH(",Adventure,",","&amp;SUBSTITUTE(TableMain[[#This Row],[Tags]],", ",",")&amp;",")),"Y","N")</f>
        <v>N</v>
      </c>
      <c r="M832" s="3" t="str">
        <f>IF(ISNUMBER(SEARCH(",Simulation,",","&amp;SUBSTITUTE(TableMain[[#This Row],[Tags]],", ",",")&amp;",")),"Y","N")</f>
        <v>Y</v>
      </c>
      <c r="N832" s="3" t="str">
        <f>IF(ISNUMBER(SEARCH(",RPG,",","&amp;SUBSTITUTE(TableMain[[#This Row],[Tags]],", ",",")&amp;",")),"Y","N")</f>
        <v>N</v>
      </c>
      <c r="O832" s="3" t="str">
        <f>IF(ISNUMBER(SEARCH(",Strategy,",","&amp;SUBSTITUTE(TableMain[[#This Row],[Tags]],", ",",")&amp;",")),"Y","N")</f>
        <v>N</v>
      </c>
      <c r="P832" s="3" t="str">
        <f>IF(ISNUMBER(SEARCH(",Free To Play,",","&amp;SUBSTITUTE(TableMain[[#This Row],[Tags]],", ",",")&amp;",")),"Y","N")</f>
        <v>N</v>
      </c>
    </row>
    <row r="833" spans="1:16" x14ac:dyDescent="0.35">
      <c r="A833">
        <v>251060</v>
      </c>
      <c r="B833" t="s">
        <v>1833</v>
      </c>
      <c r="C833" s="1">
        <v>41746</v>
      </c>
      <c r="D833">
        <v>434</v>
      </c>
      <c r="E833" t="b">
        <v>1</v>
      </c>
      <c r="F833" t="s">
        <v>1834</v>
      </c>
      <c r="G833" t="s">
        <v>160</v>
      </c>
      <c r="H833">
        <v>834</v>
      </c>
      <c r="I833" t="s">
        <v>2084</v>
      </c>
      <c r="J833" s="3" t="str">
        <f>IF(ISNUMBER(SEARCH(",Action,",","&amp;SUBSTITUTE(TableMain[[#This Row],[Tags]],", ",",")&amp;",")),"Y","N")</f>
        <v>N</v>
      </c>
      <c r="K833" s="3" t="str">
        <f>IF(ISNUMBER(SEARCH(",Indie,",","&amp;SUBSTITUTE(TableMain[[#This Row],[Tags]],", ",",")&amp;",")),"Y","N")</f>
        <v>Y</v>
      </c>
      <c r="L833" s="3" t="str">
        <f>IF(ISNUMBER(SEARCH(",Adventure,",","&amp;SUBSTITUTE(TableMain[[#This Row],[Tags]],", ",",")&amp;",")),"Y","N")</f>
        <v>N</v>
      </c>
      <c r="M833" s="3" t="str">
        <f>IF(ISNUMBER(SEARCH(",Simulation,",","&amp;SUBSTITUTE(TableMain[[#This Row],[Tags]],", ",",")&amp;",")),"Y","N")</f>
        <v>Y</v>
      </c>
      <c r="N833" s="3" t="str">
        <f>IF(ISNUMBER(SEARCH(",RPG,",","&amp;SUBSTITUTE(TableMain[[#This Row],[Tags]],", ",",")&amp;",")),"Y","N")</f>
        <v>N</v>
      </c>
      <c r="O833" s="3" t="str">
        <f>IF(ISNUMBER(SEARCH(",Strategy,",","&amp;SUBSTITUTE(TableMain[[#This Row],[Tags]],", ",",")&amp;",")),"Y","N")</f>
        <v>Y</v>
      </c>
      <c r="P833" s="3" t="str">
        <f>IF(ISNUMBER(SEARCH(",Free To Play,",","&amp;SUBSTITUTE(TableMain[[#This Row],[Tags]],", ",",")&amp;",")),"Y","N")</f>
        <v>N</v>
      </c>
    </row>
    <row r="834" spans="1:16" x14ac:dyDescent="0.35">
      <c r="A834">
        <v>10090</v>
      </c>
      <c r="B834" t="s">
        <v>1835</v>
      </c>
      <c r="C834" s="1">
        <v>39770</v>
      </c>
      <c r="D834">
        <v>433</v>
      </c>
      <c r="E834" t="b">
        <v>0</v>
      </c>
      <c r="F834" t="s">
        <v>1836</v>
      </c>
      <c r="G834" t="s">
        <v>49</v>
      </c>
      <c r="H834">
        <v>835</v>
      </c>
      <c r="I834" t="s">
        <v>2084</v>
      </c>
      <c r="J834" s="3" t="str">
        <f>IF(ISNUMBER(SEARCH(",Action,",","&amp;SUBSTITUTE(TableMain[[#This Row],[Tags]],", ",",")&amp;",")),"Y","N")</f>
        <v>Y</v>
      </c>
      <c r="K834" s="3" t="str">
        <f>IF(ISNUMBER(SEARCH(",Indie,",","&amp;SUBSTITUTE(TableMain[[#This Row],[Tags]],", ",",")&amp;",")),"Y","N")</f>
        <v>N</v>
      </c>
      <c r="L834" s="3" t="str">
        <f>IF(ISNUMBER(SEARCH(",Adventure,",","&amp;SUBSTITUTE(TableMain[[#This Row],[Tags]],", ",",")&amp;",")),"Y","N")</f>
        <v>N</v>
      </c>
      <c r="M834" s="3" t="str">
        <f>IF(ISNUMBER(SEARCH(",Simulation,",","&amp;SUBSTITUTE(TableMain[[#This Row],[Tags]],", ",",")&amp;",")),"Y","N")</f>
        <v>N</v>
      </c>
      <c r="N834" s="3" t="str">
        <f>IF(ISNUMBER(SEARCH(",RPG,",","&amp;SUBSTITUTE(TableMain[[#This Row],[Tags]],", ",",")&amp;",")),"Y","N")</f>
        <v>N</v>
      </c>
      <c r="O834" s="3" t="str">
        <f>IF(ISNUMBER(SEARCH(",Strategy,",","&amp;SUBSTITUTE(TableMain[[#This Row],[Tags]],", ",",")&amp;",")),"Y","N")</f>
        <v>N</v>
      </c>
      <c r="P834" s="3" t="str">
        <f>IF(ISNUMBER(SEARCH(",Free To Play,",","&amp;SUBSTITUTE(TableMain[[#This Row],[Tags]],", ",",")&amp;",")),"Y","N")</f>
        <v>N</v>
      </c>
    </row>
    <row r="835" spans="1:16" x14ac:dyDescent="0.35">
      <c r="A835">
        <v>458750</v>
      </c>
      <c r="B835" t="s">
        <v>1837</v>
      </c>
      <c r="C835" s="1">
        <v>42512</v>
      </c>
      <c r="D835">
        <v>433</v>
      </c>
      <c r="E835" t="b">
        <v>1</v>
      </c>
      <c r="F835" t="s">
        <v>1838</v>
      </c>
      <c r="G835" t="s">
        <v>1839</v>
      </c>
      <c r="H835">
        <v>835</v>
      </c>
      <c r="I835" t="s">
        <v>2084</v>
      </c>
      <c r="J835" s="3" t="str">
        <f>IF(ISNUMBER(SEARCH(",Action,",","&amp;SUBSTITUTE(TableMain[[#This Row],[Tags]],", ",",")&amp;",")),"Y","N")</f>
        <v>N</v>
      </c>
      <c r="K835" s="3" t="str">
        <f>IF(ISNUMBER(SEARCH(",Indie,",","&amp;SUBSTITUTE(TableMain[[#This Row],[Tags]],", ",",")&amp;",")),"Y","N")</f>
        <v>N</v>
      </c>
      <c r="L835" s="3" t="str">
        <f>IF(ISNUMBER(SEARCH(",Adventure,",","&amp;SUBSTITUTE(TableMain[[#This Row],[Tags]],", ",",")&amp;",")),"Y","N")</f>
        <v>N</v>
      </c>
      <c r="M835" s="3" t="str">
        <f>IF(ISNUMBER(SEARCH(",Simulation,",","&amp;SUBSTITUTE(TableMain[[#This Row],[Tags]],", ",",")&amp;",")),"Y","N")</f>
        <v>N</v>
      </c>
      <c r="N835" s="3" t="str">
        <f>IF(ISNUMBER(SEARCH(",RPG,",","&amp;SUBSTITUTE(TableMain[[#This Row],[Tags]],", ",",")&amp;",")),"Y","N")</f>
        <v>N</v>
      </c>
      <c r="O835" s="3" t="str">
        <f>IF(ISNUMBER(SEARCH(",Strategy,",","&amp;SUBSTITUTE(TableMain[[#This Row],[Tags]],", ",",")&amp;",")),"Y","N")</f>
        <v>N</v>
      </c>
      <c r="P835" s="3" t="str">
        <f>IF(ISNUMBER(SEARCH(",Free To Play,",","&amp;SUBSTITUTE(TableMain[[#This Row],[Tags]],", ",",")&amp;",")),"Y","N")</f>
        <v>N</v>
      </c>
    </row>
    <row r="836" spans="1:16" x14ac:dyDescent="0.35">
      <c r="A836">
        <v>694280</v>
      </c>
      <c r="B836" t="s">
        <v>1840</v>
      </c>
      <c r="C836" s="1">
        <v>44245</v>
      </c>
      <c r="D836">
        <v>431</v>
      </c>
      <c r="E836" t="b">
        <v>0</v>
      </c>
      <c r="F836" t="s">
        <v>1841</v>
      </c>
      <c r="G836" t="s">
        <v>49</v>
      </c>
      <c r="H836">
        <v>837</v>
      </c>
      <c r="I836" t="s">
        <v>932</v>
      </c>
      <c r="J836" s="3" t="str">
        <f>IF(ISNUMBER(SEARCH(",Action,",","&amp;SUBSTITUTE(TableMain[[#This Row],[Tags]],", ",",")&amp;",")),"Y","N")</f>
        <v>Y</v>
      </c>
      <c r="K836" s="3" t="str">
        <f>IF(ISNUMBER(SEARCH(",Indie,",","&amp;SUBSTITUTE(TableMain[[#This Row],[Tags]],", ",",")&amp;",")),"Y","N")</f>
        <v>N</v>
      </c>
      <c r="L836" s="3" t="str">
        <f>IF(ISNUMBER(SEARCH(",Adventure,",","&amp;SUBSTITUTE(TableMain[[#This Row],[Tags]],", ",",")&amp;",")),"Y","N")</f>
        <v>N</v>
      </c>
      <c r="M836" s="3" t="str">
        <f>IF(ISNUMBER(SEARCH(",Simulation,",","&amp;SUBSTITUTE(TableMain[[#This Row],[Tags]],", ",",")&amp;",")),"Y","N")</f>
        <v>N</v>
      </c>
      <c r="N836" s="3" t="str">
        <f>IF(ISNUMBER(SEARCH(",RPG,",","&amp;SUBSTITUTE(TableMain[[#This Row],[Tags]],", ",",")&amp;",")),"Y","N")</f>
        <v>N</v>
      </c>
      <c r="O836" s="3" t="str">
        <f>IF(ISNUMBER(SEARCH(",Strategy,",","&amp;SUBSTITUTE(TableMain[[#This Row],[Tags]],", ",",")&amp;",")),"Y","N")</f>
        <v>N</v>
      </c>
      <c r="P836" s="3" t="str">
        <f>IF(ISNUMBER(SEARCH(",Free To Play,",","&amp;SUBSTITUTE(TableMain[[#This Row],[Tags]],", ",",")&amp;",")),"Y","N")</f>
        <v>N</v>
      </c>
    </row>
    <row r="837" spans="1:16" x14ac:dyDescent="0.35">
      <c r="A837">
        <v>211500</v>
      </c>
      <c r="B837" t="s">
        <v>1842</v>
      </c>
      <c r="C837" s="1">
        <v>41317</v>
      </c>
      <c r="D837">
        <v>431</v>
      </c>
      <c r="E837" t="b">
        <v>0</v>
      </c>
      <c r="F837" t="s">
        <v>1843</v>
      </c>
      <c r="G837" t="s">
        <v>1844</v>
      </c>
      <c r="H837">
        <v>837</v>
      </c>
      <c r="I837" t="s">
        <v>33</v>
      </c>
      <c r="J837" s="3" t="str">
        <f>IF(ISNUMBER(SEARCH(",Action,",","&amp;SUBSTITUTE(TableMain[[#This Row],[Tags]],", ",",")&amp;",")),"Y","N")</f>
        <v>N</v>
      </c>
      <c r="K837" s="3" t="str">
        <f>IF(ISNUMBER(SEARCH(",Indie,",","&amp;SUBSTITUTE(TableMain[[#This Row],[Tags]],", ",",")&amp;",")),"Y","N")</f>
        <v>N</v>
      </c>
      <c r="L837" s="3" t="str">
        <f>IF(ISNUMBER(SEARCH(",Adventure,",","&amp;SUBSTITUTE(TableMain[[#This Row],[Tags]],", ",",")&amp;",")),"Y","N")</f>
        <v>N</v>
      </c>
      <c r="M837" s="3" t="str">
        <f>IF(ISNUMBER(SEARCH(",Simulation,",","&amp;SUBSTITUTE(TableMain[[#This Row],[Tags]],", ",",")&amp;",")),"Y","N")</f>
        <v>Y</v>
      </c>
      <c r="N837" s="3" t="str">
        <f>IF(ISNUMBER(SEARCH(",RPG,",","&amp;SUBSTITUTE(TableMain[[#This Row],[Tags]],", ",",")&amp;",")),"Y","N")</f>
        <v>N</v>
      </c>
      <c r="O837" s="3" t="str">
        <f>IF(ISNUMBER(SEARCH(",Strategy,",","&amp;SUBSTITUTE(TableMain[[#This Row],[Tags]],", ",",")&amp;",")),"Y","N")</f>
        <v>N</v>
      </c>
      <c r="P837" s="3" t="str">
        <f>IF(ISNUMBER(SEARCH(",Free To Play,",","&amp;SUBSTITUTE(TableMain[[#This Row],[Tags]],", ",",")&amp;",")),"Y","N")</f>
        <v>Y</v>
      </c>
    </row>
    <row r="838" spans="1:16" x14ac:dyDescent="0.35">
      <c r="A838">
        <v>846770</v>
      </c>
      <c r="B838" t="s">
        <v>1845</v>
      </c>
      <c r="C838" s="1">
        <v>44516</v>
      </c>
      <c r="D838">
        <v>431</v>
      </c>
      <c r="E838" t="b">
        <v>1</v>
      </c>
      <c r="F838" t="s">
        <v>373</v>
      </c>
      <c r="G838" t="s">
        <v>504</v>
      </c>
      <c r="H838">
        <v>837</v>
      </c>
      <c r="I838" t="s">
        <v>25</v>
      </c>
      <c r="J838" s="3" t="str">
        <f>IF(ISNUMBER(SEARCH(",Action,",","&amp;SUBSTITUTE(TableMain[[#This Row],[Tags]],", ",",")&amp;",")),"Y","N")</f>
        <v>Y</v>
      </c>
      <c r="K838" s="3" t="str">
        <f>IF(ISNUMBER(SEARCH(",Indie,",","&amp;SUBSTITUTE(TableMain[[#This Row],[Tags]],", ",",")&amp;",")),"Y","N")</f>
        <v>Y</v>
      </c>
      <c r="L838" s="3" t="str">
        <f>IF(ISNUMBER(SEARCH(",Adventure,",","&amp;SUBSTITUTE(TableMain[[#This Row],[Tags]],", ",",")&amp;",")),"Y","N")</f>
        <v>Y</v>
      </c>
      <c r="M838" s="3" t="str">
        <f>IF(ISNUMBER(SEARCH(",Simulation,",","&amp;SUBSTITUTE(TableMain[[#This Row],[Tags]],", ",",")&amp;",")),"Y","N")</f>
        <v>Y</v>
      </c>
      <c r="N838" s="3" t="str">
        <f>IF(ISNUMBER(SEARCH(",RPG,",","&amp;SUBSTITUTE(TableMain[[#This Row],[Tags]],", ",",")&amp;",")),"Y","N")</f>
        <v>Y</v>
      </c>
      <c r="O838" s="3" t="str">
        <f>IF(ISNUMBER(SEARCH(",Strategy,",","&amp;SUBSTITUTE(TableMain[[#This Row],[Tags]],", ",",")&amp;",")),"Y","N")</f>
        <v>N</v>
      </c>
      <c r="P838" s="3" t="str">
        <f>IF(ISNUMBER(SEARCH(",Free To Play,",","&amp;SUBSTITUTE(TableMain[[#This Row],[Tags]],", ",",")&amp;",")),"Y","N")</f>
        <v>N</v>
      </c>
    </row>
    <row r="839" spans="1:16" x14ac:dyDescent="0.35">
      <c r="A839">
        <v>780290</v>
      </c>
      <c r="B839" t="s">
        <v>1846</v>
      </c>
      <c r="C839" s="1">
        <v>44489</v>
      </c>
      <c r="D839">
        <v>430</v>
      </c>
      <c r="E839" t="b">
        <v>1</v>
      </c>
      <c r="F839" t="s">
        <v>1847</v>
      </c>
      <c r="G839" t="s">
        <v>56</v>
      </c>
      <c r="H839">
        <v>840</v>
      </c>
      <c r="I839" t="s">
        <v>25</v>
      </c>
      <c r="J839" s="3" t="str">
        <f>IF(ISNUMBER(SEARCH(",Action,",","&amp;SUBSTITUTE(TableMain[[#This Row],[Tags]],", ",",")&amp;",")),"Y","N")</f>
        <v>N</v>
      </c>
      <c r="K839" s="3" t="str">
        <f>IF(ISNUMBER(SEARCH(",Indie,",","&amp;SUBSTITUTE(TableMain[[#This Row],[Tags]],", ",",")&amp;",")),"Y","N")</f>
        <v>N</v>
      </c>
      <c r="L839" s="3" t="str">
        <f>IF(ISNUMBER(SEARCH(",Adventure,",","&amp;SUBSTITUTE(TableMain[[#This Row],[Tags]],", ",",")&amp;",")),"Y","N")</f>
        <v>Y</v>
      </c>
      <c r="M839" s="3" t="str">
        <f>IF(ISNUMBER(SEARCH(",Simulation,",","&amp;SUBSTITUTE(TableMain[[#This Row],[Tags]],", ",",")&amp;",")),"Y","N")</f>
        <v>N</v>
      </c>
      <c r="N839" s="3" t="str">
        <f>IF(ISNUMBER(SEARCH(",RPG,",","&amp;SUBSTITUTE(TableMain[[#This Row],[Tags]],", ",",")&amp;",")),"Y","N")</f>
        <v>Y</v>
      </c>
      <c r="O839" s="3" t="str">
        <f>IF(ISNUMBER(SEARCH(",Strategy,",","&amp;SUBSTITUTE(TableMain[[#This Row],[Tags]],", ",",")&amp;",")),"Y","N")</f>
        <v>Y</v>
      </c>
      <c r="P839" s="3" t="str">
        <f>IF(ISNUMBER(SEARCH(",Free To Play,",","&amp;SUBSTITUTE(TableMain[[#This Row],[Tags]],", ",",")&amp;",")),"Y","N")</f>
        <v>N</v>
      </c>
    </row>
    <row r="840" spans="1:16" x14ac:dyDescent="0.35">
      <c r="A840">
        <v>1588010</v>
      </c>
      <c r="B840" t="s">
        <v>1848</v>
      </c>
      <c r="C840" s="1">
        <v>44847</v>
      </c>
      <c r="D840">
        <v>430</v>
      </c>
      <c r="E840" t="b">
        <v>0</v>
      </c>
      <c r="F840" t="s">
        <v>1849</v>
      </c>
      <c r="G840" t="s">
        <v>823</v>
      </c>
      <c r="H840">
        <v>840</v>
      </c>
      <c r="I840" t="s">
        <v>57</v>
      </c>
      <c r="J840" s="3" t="str">
        <f>IF(ISNUMBER(SEARCH(",Action,",","&amp;SUBSTITUTE(TableMain[[#This Row],[Tags]],", ",",")&amp;",")),"Y","N")</f>
        <v>N</v>
      </c>
      <c r="K840" s="3" t="str">
        <f>IF(ISNUMBER(SEARCH(",Indie,",","&amp;SUBSTITUTE(TableMain[[#This Row],[Tags]],", ",",")&amp;",")),"Y","N")</f>
        <v>N</v>
      </c>
      <c r="L840" s="3" t="str">
        <f>IF(ISNUMBER(SEARCH(",Adventure,",","&amp;SUBSTITUTE(TableMain[[#This Row],[Tags]],", ",",")&amp;",")),"Y","N")</f>
        <v>N</v>
      </c>
      <c r="M840" s="3" t="str">
        <f>IF(ISNUMBER(SEARCH(",Simulation,",","&amp;SUBSTITUTE(TableMain[[#This Row],[Tags]],", ",",")&amp;",")),"Y","N")</f>
        <v>Y</v>
      </c>
      <c r="N840" s="3" t="str">
        <f>IF(ISNUMBER(SEARCH(",RPG,",","&amp;SUBSTITUTE(TableMain[[#This Row],[Tags]],", ",",")&amp;",")),"Y","N")</f>
        <v>Y</v>
      </c>
      <c r="O840" s="3" t="str">
        <f>IF(ISNUMBER(SEARCH(",Strategy,",","&amp;SUBSTITUTE(TableMain[[#This Row],[Tags]],", ",",")&amp;",")),"Y","N")</f>
        <v>N</v>
      </c>
      <c r="P840" s="3" t="str">
        <f>IF(ISNUMBER(SEARCH(",Free To Play,",","&amp;SUBSTITUTE(TableMain[[#This Row],[Tags]],", ",",")&amp;",")),"Y","N")</f>
        <v>N</v>
      </c>
    </row>
    <row r="841" spans="1:16" x14ac:dyDescent="0.35">
      <c r="A841">
        <v>692890</v>
      </c>
      <c r="B841" t="s">
        <v>1850</v>
      </c>
      <c r="C841" s="1">
        <v>45237</v>
      </c>
      <c r="D841">
        <v>429</v>
      </c>
      <c r="E841" t="b">
        <v>0</v>
      </c>
      <c r="F841" t="s">
        <v>1851</v>
      </c>
      <c r="G841" t="s">
        <v>116</v>
      </c>
      <c r="H841">
        <v>842</v>
      </c>
      <c r="I841" t="s">
        <v>53</v>
      </c>
      <c r="J841" s="3" t="str">
        <f>IF(ISNUMBER(SEARCH(",Action,",","&amp;SUBSTITUTE(TableMain[[#This Row],[Tags]],", ",",")&amp;",")),"Y","N")</f>
        <v>Y</v>
      </c>
      <c r="K841" s="3" t="str">
        <f>IF(ISNUMBER(SEARCH(",Indie,",","&amp;SUBSTITUTE(TableMain[[#This Row],[Tags]],", ",",")&amp;",")),"Y","N")</f>
        <v>Y</v>
      </c>
      <c r="L841" s="3" t="str">
        <f>IF(ISNUMBER(SEARCH(",Adventure,",","&amp;SUBSTITUTE(TableMain[[#This Row],[Tags]],", ",",")&amp;",")),"Y","N")</f>
        <v>N</v>
      </c>
      <c r="M841" s="3" t="str">
        <f>IF(ISNUMBER(SEARCH(",Simulation,",","&amp;SUBSTITUTE(TableMain[[#This Row],[Tags]],", ",",")&amp;",")),"Y","N")</f>
        <v>N</v>
      </c>
      <c r="N841" s="3" t="str">
        <f>IF(ISNUMBER(SEARCH(",RPG,",","&amp;SUBSTITUTE(TableMain[[#This Row],[Tags]],", ",",")&amp;",")),"Y","N")</f>
        <v>N</v>
      </c>
      <c r="O841" s="3" t="str">
        <f>IF(ISNUMBER(SEARCH(",Strategy,",","&amp;SUBSTITUTE(TableMain[[#This Row],[Tags]],", ",",")&amp;",")),"Y","N")</f>
        <v>N</v>
      </c>
      <c r="P841" s="3" t="str">
        <f>IF(ISNUMBER(SEARCH(",Free To Play,",","&amp;SUBSTITUTE(TableMain[[#This Row],[Tags]],", ",",")&amp;",")),"Y","N")</f>
        <v>N</v>
      </c>
    </row>
    <row r="842" spans="1:16" x14ac:dyDescent="0.35">
      <c r="A842">
        <v>756800</v>
      </c>
      <c r="B842" t="s">
        <v>1852</v>
      </c>
      <c r="C842" s="1">
        <v>44993</v>
      </c>
      <c r="D842">
        <v>429</v>
      </c>
      <c r="E842" t="b">
        <v>0</v>
      </c>
      <c r="F842" t="s">
        <v>1853</v>
      </c>
      <c r="G842" t="s">
        <v>926</v>
      </c>
      <c r="H842">
        <v>842</v>
      </c>
      <c r="I842" t="s">
        <v>36</v>
      </c>
      <c r="J842" s="3" t="str">
        <f>IF(ISNUMBER(SEARCH(",Action,",","&amp;SUBSTITUTE(TableMain[[#This Row],[Tags]],", ",",")&amp;",")),"Y","N")</f>
        <v>Y</v>
      </c>
      <c r="K842" s="3" t="str">
        <f>IF(ISNUMBER(SEARCH(",Indie,",","&amp;SUBSTITUTE(TableMain[[#This Row],[Tags]],", ",",")&amp;",")),"Y","N")</f>
        <v>N</v>
      </c>
      <c r="L842" s="3" t="str">
        <f>IF(ISNUMBER(SEARCH(",Adventure,",","&amp;SUBSTITUTE(TableMain[[#This Row],[Tags]],", ",",")&amp;",")),"Y","N")</f>
        <v>Y</v>
      </c>
      <c r="M842" s="3" t="str">
        <f>IF(ISNUMBER(SEARCH(",Simulation,",","&amp;SUBSTITUTE(TableMain[[#This Row],[Tags]],", ",",")&amp;",")),"Y","N")</f>
        <v>Y</v>
      </c>
      <c r="N842" s="3" t="str">
        <f>IF(ISNUMBER(SEARCH(",RPG,",","&amp;SUBSTITUTE(TableMain[[#This Row],[Tags]],", ",",")&amp;",")),"Y","N")</f>
        <v>N</v>
      </c>
      <c r="O842" s="3" t="str">
        <f>IF(ISNUMBER(SEARCH(",Strategy,",","&amp;SUBSTITUTE(TableMain[[#This Row],[Tags]],", ",",")&amp;",")),"Y","N")</f>
        <v>N</v>
      </c>
      <c r="P842" s="3" t="str">
        <f>IF(ISNUMBER(SEARCH(",Free To Play,",","&amp;SUBSTITUTE(TableMain[[#This Row],[Tags]],", ",",")&amp;",")),"Y","N")</f>
        <v>N</v>
      </c>
    </row>
    <row r="843" spans="1:16" x14ac:dyDescent="0.35">
      <c r="A843">
        <v>3400000</v>
      </c>
      <c r="B843" t="s">
        <v>1854</v>
      </c>
      <c r="C843" s="1">
        <v>45791</v>
      </c>
      <c r="D843">
        <v>429</v>
      </c>
      <c r="E843" t="b">
        <v>0</v>
      </c>
      <c r="F843" t="s">
        <v>1855</v>
      </c>
      <c r="G843" t="s">
        <v>46</v>
      </c>
      <c r="H843">
        <v>842</v>
      </c>
      <c r="I843" t="s">
        <v>29</v>
      </c>
      <c r="J843" s="3" t="str">
        <f>IF(ISNUMBER(SEARCH(",Action,",","&amp;SUBSTITUTE(TableMain[[#This Row],[Tags]],", ",",")&amp;",")),"Y","N")</f>
        <v>Y</v>
      </c>
      <c r="K843" s="3" t="str">
        <f>IF(ISNUMBER(SEARCH(",Indie,",","&amp;SUBSTITUTE(TableMain[[#This Row],[Tags]],", ",",")&amp;",")),"Y","N")</f>
        <v>N</v>
      </c>
      <c r="L843" s="3" t="str">
        <f>IF(ISNUMBER(SEARCH(",Adventure,",","&amp;SUBSTITUTE(TableMain[[#This Row],[Tags]],", ",",")&amp;",")),"Y","N")</f>
        <v>Y</v>
      </c>
      <c r="M843" s="3" t="str">
        <f>IF(ISNUMBER(SEARCH(",Simulation,",","&amp;SUBSTITUTE(TableMain[[#This Row],[Tags]],", ",",")&amp;",")),"Y","N")</f>
        <v>N</v>
      </c>
      <c r="N843" s="3" t="str">
        <f>IF(ISNUMBER(SEARCH(",RPG,",","&amp;SUBSTITUTE(TableMain[[#This Row],[Tags]],", ",",")&amp;",")),"Y","N")</f>
        <v>N</v>
      </c>
      <c r="O843" s="3" t="str">
        <f>IF(ISNUMBER(SEARCH(",Strategy,",","&amp;SUBSTITUTE(TableMain[[#This Row],[Tags]],", ",",")&amp;",")),"Y","N")</f>
        <v>N</v>
      </c>
      <c r="P843" s="3" t="str">
        <f>IF(ISNUMBER(SEARCH(",Free To Play,",","&amp;SUBSTITUTE(TableMain[[#This Row],[Tags]],", ",",")&amp;",")),"Y","N")</f>
        <v>N</v>
      </c>
    </row>
    <row r="844" spans="1:16" x14ac:dyDescent="0.35">
      <c r="A844">
        <v>617290</v>
      </c>
      <c r="B844" t="s">
        <v>1856</v>
      </c>
      <c r="C844" s="1">
        <v>43696</v>
      </c>
      <c r="D844">
        <v>429</v>
      </c>
      <c r="E844" t="b">
        <v>0</v>
      </c>
      <c r="F844" t="s">
        <v>1191</v>
      </c>
      <c r="G844" t="s">
        <v>208</v>
      </c>
      <c r="H844">
        <v>842</v>
      </c>
      <c r="I844" t="s">
        <v>33</v>
      </c>
      <c r="J844" s="3" t="str">
        <f>IF(ISNUMBER(SEARCH(",Action,",","&amp;SUBSTITUTE(TableMain[[#This Row],[Tags]],", ",",")&amp;",")),"Y","N")</f>
        <v>Y</v>
      </c>
      <c r="K844" s="3" t="str">
        <f>IF(ISNUMBER(SEARCH(",Indie,",","&amp;SUBSTITUTE(TableMain[[#This Row],[Tags]],", ",",")&amp;",")),"Y","N")</f>
        <v>N</v>
      </c>
      <c r="L844" s="3" t="str">
        <f>IF(ISNUMBER(SEARCH(",Adventure,",","&amp;SUBSTITUTE(TableMain[[#This Row],[Tags]],", ",",")&amp;",")),"Y","N")</f>
        <v>Y</v>
      </c>
      <c r="M844" s="3" t="str">
        <f>IF(ISNUMBER(SEARCH(",Simulation,",","&amp;SUBSTITUTE(TableMain[[#This Row],[Tags]],", ",",")&amp;",")),"Y","N")</f>
        <v>N</v>
      </c>
      <c r="N844" s="3" t="str">
        <f>IF(ISNUMBER(SEARCH(",RPG,",","&amp;SUBSTITUTE(TableMain[[#This Row],[Tags]],", ",",")&amp;",")),"Y","N")</f>
        <v>Y</v>
      </c>
      <c r="O844" s="3" t="str">
        <f>IF(ISNUMBER(SEARCH(",Strategy,",","&amp;SUBSTITUTE(TableMain[[#This Row],[Tags]],", ",",")&amp;",")),"Y","N")</f>
        <v>N</v>
      </c>
      <c r="P844" s="3" t="str">
        <f>IF(ISNUMBER(SEARCH(",Free To Play,",","&amp;SUBSTITUTE(TableMain[[#This Row],[Tags]],", ",",")&amp;",")),"Y","N")</f>
        <v>N</v>
      </c>
    </row>
    <row r="845" spans="1:16" x14ac:dyDescent="0.35">
      <c r="A845">
        <v>527230</v>
      </c>
      <c r="B845" t="s">
        <v>1857</v>
      </c>
      <c r="C845" s="1">
        <v>43209</v>
      </c>
      <c r="D845">
        <v>428</v>
      </c>
      <c r="E845" t="b">
        <v>1</v>
      </c>
      <c r="F845" t="s">
        <v>1858</v>
      </c>
      <c r="G845" t="s">
        <v>720</v>
      </c>
      <c r="H845">
        <v>846</v>
      </c>
      <c r="I845" t="s">
        <v>14</v>
      </c>
      <c r="J845" s="3" t="str">
        <f>IF(ISNUMBER(SEARCH(",Action,",","&amp;SUBSTITUTE(TableMain[[#This Row],[Tags]],", ",",")&amp;",")),"Y","N")</f>
        <v>N</v>
      </c>
      <c r="K845" s="3" t="str">
        <f>IF(ISNUMBER(SEARCH(",Indie,",","&amp;SUBSTITUTE(TableMain[[#This Row],[Tags]],", ",",")&amp;",")),"Y","N")</f>
        <v>Y</v>
      </c>
      <c r="L845" s="3" t="str">
        <f>IF(ISNUMBER(SEARCH(",Adventure,",","&amp;SUBSTITUTE(TableMain[[#This Row],[Tags]],", ",",")&amp;",")),"Y","N")</f>
        <v>Y</v>
      </c>
      <c r="M845" s="3" t="str">
        <f>IF(ISNUMBER(SEARCH(",Simulation,",","&amp;SUBSTITUTE(TableMain[[#This Row],[Tags]],", ",",")&amp;",")),"Y","N")</f>
        <v>N</v>
      </c>
      <c r="N845" s="3" t="str">
        <f>IF(ISNUMBER(SEARCH(",RPG,",","&amp;SUBSTITUTE(TableMain[[#This Row],[Tags]],", ",",")&amp;",")),"Y","N")</f>
        <v>Y</v>
      </c>
      <c r="O845" s="3" t="str">
        <f>IF(ISNUMBER(SEARCH(",Strategy,",","&amp;SUBSTITUTE(TableMain[[#This Row],[Tags]],", ",",")&amp;",")),"Y","N")</f>
        <v>Y</v>
      </c>
      <c r="P845" s="3" t="str">
        <f>IF(ISNUMBER(SEARCH(",Free To Play,",","&amp;SUBSTITUTE(TableMain[[#This Row],[Tags]],", ",",")&amp;",")),"Y","N")</f>
        <v>N</v>
      </c>
    </row>
    <row r="846" spans="1:16" x14ac:dyDescent="0.35">
      <c r="A846">
        <v>698780</v>
      </c>
      <c r="B846" t="s">
        <v>1859</v>
      </c>
      <c r="C846" s="1">
        <v>43014</v>
      </c>
      <c r="D846">
        <v>427</v>
      </c>
      <c r="E846" t="b">
        <v>1</v>
      </c>
      <c r="F846" t="s">
        <v>1860</v>
      </c>
      <c r="G846" t="s">
        <v>1861</v>
      </c>
      <c r="H846">
        <v>847</v>
      </c>
      <c r="I846" t="s">
        <v>2084</v>
      </c>
      <c r="J846" s="3" t="str">
        <f>IF(ISNUMBER(SEARCH(",Action,",","&amp;SUBSTITUTE(TableMain[[#This Row],[Tags]],", ",",")&amp;",")),"Y","N")</f>
        <v>N</v>
      </c>
      <c r="K846" s="3" t="str">
        <f>IF(ISNUMBER(SEARCH(",Indie,",","&amp;SUBSTITUTE(TableMain[[#This Row],[Tags]],", ",",")&amp;",")),"Y","N")</f>
        <v>Y</v>
      </c>
      <c r="L846" s="3" t="str">
        <f>IF(ISNUMBER(SEARCH(",Adventure,",","&amp;SUBSTITUTE(TableMain[[#This Row],[Tags]],", ",",")&amp;",")),"Y","N")</f>
        <v>N</v>
      </c>
      <c r="M846" s="3" t="str">
        <f>IF(ISNUMBER(SEARCH(",Simulation,",","&amp;SUBSTITUTE(TableMain[[#This Row],[Tags]],", ",",")&amp;",")),"Y","N")</f>
        <v>N</v>
      </c>
      <c r="N846" s="3" t="str">
        <f>IF(ISNUMBER(SEARCH(",RPG,",","&amp;SUBSTITUTE(TableMain[[#This Row],[Tags]],", ",",")&amp;",")),"Y","N")</f>
        <v>N</v>
      </c>
      <c r="O846" s="3" t="str">
        <f>IF(ISNUMBER(SEARCH(",Strategy,",","&amp;SUBSTITUTE(TableMain[[#This Row],[Tags]],", ",",")&amp;",")),"Y","N")</f>
        <v>N</v>
      </c>
      <c r="P846" s="3" t="str">
        <f>IF(ISNUMBER(SEARCH(",Free To Play,",","&amp;SUBSTITUTE(TableMain[[#This Row],[Tags]],", ",",")&amp;",")),"Y","N")</f>
        <v>Y</v>
      </c>
    </row>
    <row r="847" spans="1:16" x14ac:dyDescent="0.35">
      <c r="A847">
        <v>3213850</v>
      </c>
      <c r="B847" t="s">
        <v>1862</v>
      </c>
      <c r="C847" s="1">
        <v>45777</v>
      </c>
      <c r="D847">
        <v>426</v>
      </c>
      <c r="E847" t="b">
        <v>1</v>
      </c>
      <c r="F847" t="s">
        <v>456</v>
      </c>
      <c r="G847" t="s">
        <v>1863</v>
      </c>
      <c r="H847">
        <v>848</v>
      </c>
      <c r="I847" t="s">
        <v>53</v>
      </c>
      <c r="J847" s="3" t="str">
        <f>IF(ISNUMBER(SEARCH(",Action,",","&amp;SUBSTITUTE(TableMain[[#This Row],[Tags]],", ",",")&amp;",")),"Y","N")</f>
        <v>Y</v>
      </c>
      <c r="K847" s="3" t="str">
        <f>IF(ISNUMBER(SEARCH(",Indie,",","&amp;SUBSTITUTE(TableMain[[#This Row],[Tags]],", ",",")&amp;",")),"Y","N")</f>
        <v>Y</v>
      </c>
      <c r="L847" s="3" t="str">
        <f>IF(ISNUMBER(SEARCH(",Adventure,",","&amp;SUBSTITUTE(TableMain[[#This Row],[Tags]],", ",",")&amp;",")),"Y","N")</f>
        <v>Y</v>
      </c>
      <c r="M847" s="3" t="str">
        <f>IF(ISNUMBER(SEARCH(",Simulation,",","&amp;SUBSTITUTE(TableMain[[#This Row],[Tags]],", ",",")&amp;",")),"Y","N")</f>
        <v>Y</v>
      </c>
      <c r="N847" s="3" t="str">
        <f>IF(ISNUMBER(SEARCH(",RPG,",","&amp;SUBSTITUTE(TableMain[[#This Row],[Tags]],", ",",")&amp;",")),"Y","N")</f>
        <v>Y</v>
      </c>
      <c r="O847" s="3" t="str">
        <f>IF(ISNUMBER(SEARCH(",Strategy,",","&amp;SUBSTITUTE(TableMain[[#This Row],[Tags]],", ",",")&amp;",")),"Y","N")</f>
        <v>N</v>
      </c>
      <c r="P847" s="3" t="str">
        <f>IF(ISNUMBER(SEARCH(",Free To Play,",","&amp;SUBSTITUTE(TableMain[[#This Row],[Tags]],", ",",")&amp;",")),"Y","N")</f>
        <v>Y</v>
      </c>
    </row>
    <row r="848" spans="1:16" x14ac:dyDescent="0.35">
      <c r="A848">
        <v>1265820</v>
      </c>
      <c r="B848" t="s">
        <v>1864</v>
      </c>
      <c r="C848" s="1">
        <v>44532</v>
      </c>
      <c r="D848">
        <v>426</v>
      </c>
      <c r="E848" t="b">
        <v>0</v>
      </c>
      <c r="F848" t="s">
        <v>719</v>
      </c>
      <c r="G848" t="s">
        <v>183</v>
      </c>
      <c r="H848">
        <v>848</v>
      </c>
      <c r="I848" t="s">
        <v>2082</v>
      </c>
      <c r="J848" s="3" t="str">
        <f>IF(ISNUMBER(SEARCH(",Action,",","&amp;SUBSTITUTE(TableMain[[#This Row],[Tags]],", ",",")&amp;",")),"Y","N")</f>
        <v>Y</v>
      </c>
      <c r="K848" s="3" t="str">
        <f>IF(ISNUMBER(SEARCH(",Indie,",","&amp;SUBSTITUTE(TableMain[[#This Row],[Tags]],", ",",")&amp;",")),"Y","N")</f>
        <v>N</v>
      </c>
      <c r="L848" s="3" t="str">
        <f>IF(ISNUMBER(SEARCH(",Adventure,",","&amp;SUBSTITUTE(TableMain[[#This Row],[Tags]],", ",",")&amp;",")),"Y","N")</f>
        <v>N</v>
      </c>
      <c r="M848" s="3" t="str">
        <f>IF(ISNUMBER(SEARCH(",Simulation,",","&amp;SUBSTITUTE(TableMain[[#This Row],[Tags]],", ",",")&amp;",")),"Y","N")</f>
        <v>N</v>
      </c>
      <c r="N848" s="3" t="str">
        <f>IF(ISNUMBER(SEARCH(",RPG,",","&amp;SUBSTITUTE(TableMain[[#This Row],[Tags]],", ",",")&amp;",")),"Y","N")</f>
        <v>N</v>
      </c>
      <c r="O848" s="3" t="str">
        <f>IF(ISNUMBER(SEARCH(",Strategy,",","&amp;SUBSTITUTE(TableMain[[#This Row],[Tags]],", ",",")&amp;",")),"Y","N")</f>
        <v>Y</v>
      </c>
      <c r="P848" s="3" t="str">
        <f>IF(ISNUMBER(SEARCH(",Free To Play,",","&amp;SUBSTITUTE(TableMain[[#This Row],[Tags]],", ",",")&amp;",")),"Y","N")</f>
        <v>N</v>
      </c>
    </row>
    <row r="849" spans="1:16" x14ac:dyDescent="0.35">
      <c r="A849">
        <v>307780</v>
      </c>
      <c r="B849" t="s">
        <v>1865</v>
      </c>
      <c r="C849" s="1">
        <v>42107</v>
      </c>
      <c r="D849">
        <v>426</v>
      </c>
      <c r="E849" t="b">
        <v>0</v>
      </c>
      <c r="F849" t="s">
        <v>1866</v>
      </c>
      <c r="G849" t="s">
        <v>49</v>
      </c>
      <c r="H849">
        <v>848</v>
      </c>
      <c r="I849" t="s">
        <v>2091</v>
      </c>
      <c r="J849" s="3" t="str">
        <f>IF(ISNUMBER(SEARCH(",Action,",","&amp;SUBSTITUTE(TableMain[[#This Row],[Tags]],", ",",")&amp;",")),"Y","N")</f>
        <v>Y</v>
      </c>
      <c r="K849" s="3" t="str">
        <f>IF(ISNUMBER(SEARCH(",Indie,",","&amp;SUBSTITUTE(TableMain[[#This Row],[Tags]],", ",",")&amp;",")),"Y","N")</f>
        <v>N</v>
      </c>
      <c r="L849" s="3" t="str">
        <f>IF(ISNUMBER(SEARCH(",Adventure,",","&amp;SUBSTITUTE(TableMain[[#This Row],[Tags]],", ",",")&amp;",")),"Y","N")</f>
        <v>N</v>
      </c>
      <c r="M849" s="3" t="str">
        <f>IF(ISNUMBER(SEARCH(",Simulation,",","&amp;SUBSTITUTE(TableMain[[#This Row],[Tags]],", ",",")&amp;",")),"Y","N")</f>
        <v>N</v>
      </c>
      <c r="N849" s="3" t="str">
        <f>IF(ISNUMBER(SEARCH(",RPG,",","&amp;SUBSTITUTE(TableMain[[#This Row],[Tags]],", ",",")&amp;",")),"Y","N")</f>
        <v>N</v>
      </c>
      <c r="O849" s="3" t="str">
        <f>IF(ISNUMBER(SEARCH(",Strategy,",","&amp;SUBSTITUTE(TableMain[[#This Row],[Tags]],", ",",")&amp;",")),"Y","N")</f>
        <v>N</v>
      </c>
      <c r="P849" s="3" t="str">
        <f>IF(ISNUMBER(SEARCH(",Free To Play,",","&amp;SUBSTITUTE(TableMain[[#This Row],[Tags]],", ",",")&amp;",")),"Y","N")</f>
        <v>N</v>
      </c>
    </row>
    <row r="850" spans="1:16" x14ac:dyDescent="0.35">
      <c r="A850">
        <v>333640</v>
      </c>
      <c r="B850" t="s">
        <v>1867</v>
      </c>
      <c r="C850" s="1">
        <v>45631</v>
      </c>
      <c r="D850">
        <v>425</v>
      </c>
      <c r="E850" t="b">
        <v>1</v>
      </c>
      <c r="F850" t="s">
        <v>1868</v>
      </c>
      <c r="G850" t="s">
        <v>720</v>
      </c>
      <c r="H850">
        <v>851</v>
      </c>
      <c r="I850" t="s">
        <v>53</v>
      </c>
      <c r="J850" s="3" t="str">
        <f>IF(ISNUMBER(SEARCH(",Action,",","&amp;SUBSTITUTE(TableMain[[#This Row],[Tags]],", ",",")&amp;",")),"Y","N")</f>
        <v>N</v>
      </c>
      <c r="K850" s="3" t="str">
        <f>IF(ISNUMBER(SEARCH(",Indie,",","&amp;SUBSTITUTE(TableMain[[#This Row],[Tags]],", ",",")&amp;",")),"Y","N")</f>
        <v>Y</v>
      </c>
      <c r="L850" s="3" t="str">
        <f>IF(ISNUMBER(SEARCH(",Adventure,",","&amp;SUBSTITUTE(TableMain[[#This Row],[Tags]],", ",",")&amp;",")),"Y","N")</f>
        <v>Y</v>
      </c>
      <c r="M850" s="3" t="str">
        <f>IF(ISNUMBER(SEARCH(",Simulation,",","&amp;SUBSTITUTE(TableMain[[#This Row],[Tags]],", ",",")&amp;",")),"Y","N")</f>
        <v>N</v>
      </c>
      <c r="N850" s="3" t="str">
        <f>IF(ISNUMBER(SEARCH(",RPG,",","&amp;SUBSTITUTE(TableMain[[#This Row],[Tags]],", ",",")&amp;",")),"Y","N")</f>
        <v>Y</v>
      </c>
      <c r="O850" s="3" t="str">
        <f>IF(ISNUMBER(SEARCH(",Strategy,",","&amp;SUBSTITUTE(TableMain[[#This Row],[Tags]],", ",",")&amp;",")),"Y","N")</f>
        <v>Y</v>
      </c>
      <c r="P850" s="3" t="str">
        <f>IF(ISNUMBER(SEARCH(",Free To Play,",","&amp;SUBSTITUTE(TableMain[[#This Row],[Tags]],", ",",")&amp;",")),"Y","N")</f>
        <v>N</v>
      </c>
    </row>
    <row r="851" spans="1:16" x14ac:dyDescent="0.35">
      <c r="A851">
        <v>1072420</v>
      </c>
      <c r="B851" t="s">
        <v>1869</v>
      </c>
      <c r="C851" s="1">
        <v>43809</v>
      </c>
      <c r="D851">
        <v>425</v>
      </c>
      <c r="E851" t="b">
        <v>0</v>
      </c>
      <c r="F851" t="s">
        <v>1870</v>
      </c>
      <c r="G851" t="s">
        <v>208</v>
      </c>
      <c r="H851">
        <v>851</v>
      </c>
      <c r="I851" t="s">
        <v>53</v>
      </c>
      <c r="J851" s="3" t="str">
        <f>IF(ISNUMBER(SEARCH(",Action,",","&amp;SUBSTITUTE(TableMain[[#This Row],[Tags]],", ",",")&amp;",")),"Y","N")</f>
        <v>Y</v>
      </c>
      <c r="K851" s="3" t="str">
        <f>IF(ISNUMBER(SEARCH(",Indie,",","&amp;SUBSTITUTE(TableMain[[#This Row],[Tags]],", ",",")&amp;",")),"Y","N")</f>
        <v>N</v>
      </c>
      <c r="L851" s="3" t="str">
        <f>IF(ISNUMBER(SEARCH(",Adventure,",","&amp;SUBSTITUTE(TableMain[[#This Row],[Tags]],", ",",")&amp;",")),"Y","N")</f>
        <v>Y</v>
      </c>
      <c r="M851" s="3" t="str">
        <f>IF(ISNUMBER(SEARCH(",Simulation,",","&amp;SUBSTITUTE(TableMain[[#This Row],[Tags]],", ",",")&amp;",")),"Y","N")</f>
        <v>N</v>
      </c>
      <c r="N851" s="3" t="str">
        <f>IF(ISNUMBER(SEARCH(",RPG,",","&amp;SUBSTITUTE(TableMain[[#This Row],[Tags]],", ",",")&amp;",")),"Y","N")</f>
        <v>Y</v>
      </c>
      <c r="O851" s="3" t="str">
        <f>IF(ISNUMBER(SEARCH(",Strategy,",","&amp;SUBSTITUTE(TableMain[[#This Row],[Tags]],", ",",")&amp;",")),"Y","N")</f>
        <v>N</v>
      </c>
      <c r="P851" s="3" t="str">
        <f>IF(ISNUMBER(SEARCH(",Free To Play,",","&amp;SUBSTITUTE(TableMain[[#This Row],[Tags]],", ",",")&amp;",")),"Y","N")</f>
        <v>N</v>
      </c>
    </row>
    <row r="852" spans="1:16" x14ac:dyDescent="0.35">
      <c r="A852">
        <v>2427410</v>
      </c>
      <c r="B852" t="s">
        <v>1871</v>
      </c>
      <c r="C852" s="1">
        <v>45797</v>
      </c>
      <c r="D852">
        <v>424</v>
      </c>
      <c r="E852" t="b">
        <v>0</v>
      </c>
      <c r="F852" t="s">
        <v>1872</v>
      </c>
      <c r="G852" t="s">
        <v>208</v>
      </c>
      <c r="H852">
        <v>853</v>
      </c>
      <c r="I852" t="s">
        <v>18</v>
      </c>
      <c r="J852" s="3" t="str">
        <f>IF(ISNUMBER(SEARCH(",Action,",","&amp;SUBSTITUTE(TableMain[[#This Row],[Tags]],", ",",")&amp;",")),"Y","N")</f>
        <v>Y</v>
      </c>
      <c r="K852" s="3" t="str">
        <f>IF(ISNUMBER(SEARCH(",Indie,",","&amp;SUBSTITUTE(TableMain[[#This Row],[Tags]],", ",",")&amp;",")),"Y","N")</f>
        <v>N</v>
      </c>
      <c r="L852" s="3" t="str">
        <f>IF(ISNUMBER(SEARCH(",Adventure,",","&amp;SUBSTITUTE(TableMain[[#This Row],[Tags]],", ",",")&amp;",")),"Y","N")</f>
        <v>Y</v>
      </c>
      <c r="M852" s="3" t="str">
        <f>IF(ISNUMBER(SEARCH(",Simulation,",","&amp;SUBSTITUTE(TableMain[[#This Row],[Tags]],", ",",")&amp;",")),"Y","N")</f>
        <v>N</v>
      </c>
      <c r="N852" s="3" t="str">
        <f>IF(ISNUMBER(SEARCH(",RPG,",","&amp;SUBSTITUTE(TableMain[[#This Row],[Tags]],", ",",")&amp;",")),"Y","N")</f>
        <v>Y</v>
      </c>
      <c r="O852" s="3" t="str">
        <f>IF(ISNUMBER(SEARCH(",Strategy,",","&amp;SUBSTITUTE(TableMain[[#This Row],[Tags]],", ",",")&amp;",")),"Y","N")</f>
        <v>N</v>
      </c>
      <c r="P852" s="3" t="str">
        <f>IF(ISNUMBER(SEARCH(",Free To Play,",","&amp;SUBSTITUTE(TableMain[[#This Row],[Tags]],", ",",")&amp;",")),"Y","N")</f>
        <v>N</v>
      </c>
    </row>
    <row r="853" spans="1:16" x14ac:dyDescent="0.35">
      <c r="A853">
        <v>1105670</v>
      </c>
      <c r="B853" t="s">
        <v>1873</v>
      </c>
      <c r="C853" s="1">
        <v>44994</v>
      </c>
      <c r="D853">
        <v>424</v>
      </c>
      <c r="E853" t="b">
        <v>0</v>
      </c>
      <c r="F853" t="s">
        <v>1874</v>
      </c>
      <c r="G853" t="s">
        <v>1653</v>
      </c>
      <c r="H853">
        <v>853</v>
      </c>
      <c r="I853" t="s">
        <v>40</v>
      </c>
      <c r="J853" s="3" t="str">
        <f>IF(ISNUMBER(SEARCH(",Action,",","&amp;SUBSTITUTE(TableMain[[#This Row],[Tags]],", ",",")&amp;",")),"Y","N")</f>
        <v>Y</v>
      </c>
      <c r="K853" s="3" t="str">
        <f>IF(ISNUMBER(SEARCH(",Indie,",","&amp;SUBSTITUTE(TableMain[[#This Row],[Tags]],", ",",")&amp;",")),"Y","N")</f>
        <v>Y</v>
      </c>
      <c r="L853" s="3" t="str">
        <f>IF(ISNUMBER(SEARCH(",Adventure,",","&amp;SUBSTITUTE(TableMain[[#This Row],[Tags]],", ",",")&amp;",")),"Y","N")</f>
        <v>N</v>
      </c>
      <c r="M853" s="3" t="str">
        <f>IF(ISNUMBER(SEARCH(",Simulation,",","&amp;SUBSTITUTE(TableMain[[#This Row],[Tags]],", ",",")&amp;",")),"Y","N")</f>
        <v>N</v>
      </c>
      <c r="N853" s="3" t="str">
        <f>IF(ISNUMBER(SEARCH(",RPG,",","&amp;SUBSTITUTE(TableMain[[#This Row],[Tags]],", ",",")&amp;",")),"Y","N")</f>
        <v>Y</v>
      </c>
      <c r="O853" s="3" t="str">
        <f>IF(ISNUMBER(SEARCH(",Strategy,",","&amp;SUBSTITUTE(TableMain[[#This Row],[Tags]],", ",",")&amp;",")),"Y","N")</f>
        <v>Y</v>
      </c>
      <c r="P853" s="3" t="str">
        <f>IF(ISNUMBER(SEARCH(",Free To Play,",","&amp;SUBSTITUTE(TableMain[[#This Row],[Tags]],", ",",")&amp;",")),"Y","N")</f>
        <v>N</v>
      </c>
    </row>
    <row r="854" spans="1:16" x14ac:dyDescent="0.35">
      <c r="A854">
        <v>32370</v>
      </c>
      <c r="B854" t="s">
        <v>1875</v>
      </c>
      <c r="C854" s="1">
        <v>40061</v>
      </c>
      <c r="D854">
        <v>424</v>
      </c>
      <c r="E854" t="b">
        <v>1</v>
      </c>
      <c r="F854" t="s">
        <v>1091</v>
      </c>
      <c r="G854" t="s">
        <v>896</v>
      </c>
      <c r="H854">
        <v>853</v>
      </c>
      <c r="I854" t="s">
        <v>2084</v>
      </c>
      <c r="J854" s="3" t="str">
        <f>IF(ISNUMBER(SEARCH(",Action,",","&amp;SUBSTITUTE(TableMain[[#This Row],[Tags]],", ",",")&amp;",")),"Y","N")</f>
        <v>N</v>
      </c>
      <c r="K854" s="3" t="str">
        <f>IF(ISNUMBER(SEARCH(",Indie,",","&amp;SUBSTITUTE(TableMain[[#This Row],[Tags]],", ",",")&amp;",")),"Y","N")</f>
        <v>N</v>
      </c>
      <c r="L854" s="3" t="str">
        <f>IF(ISNUMBER(SEARCH(",Adventure,",","&amp;SUBSTITUTE(TableMain[[#This Row],[Tags]],", ",",")&amp;",")),"Y","N")</f>
        <v>Y</v>
      </c>
      <c r="M854" s="3" t="str">
        <f>IF(ISNUMBER(SEARCH(",Simulation,",","&amp;SUBSTITUTE(TableMain[[#This Row],[Tags]],", ",",")&amp;",")),"Y","N")</f>
        <v>N</v>
      </c>
      <c r="N854" s="3" t="str">
        <f>IF(ISNUMBER(SEARCH(",RPG,",","&amp;SUBSTITUTE(TableMain[[#This Row],[Tags]],", ",",")&amp;",")),"Y","N")</f>
        <v>Y</v>
      </c>
      <c r="O854" s="3" t="str">
        <f>IF(ISNUMBER(SEARCH(",Strategy,",","&amp;SUBSTITUTE(TableMain[[#This Row],[Tags]],", ",",")&amp;",")),"Y","N")</f>
        <v>N</v>
      </c>
      <c r="P854" s="3" t="str">
        <f>IF(ISNUMBER(SEARCH(",Free To Play,",","&amp;SUBSTITUTE(TableMain[[#This Row],[Tags]],", ",",")&amp;",")),"Y","N")</f>
        <v>N</v>
      </c>
    </row>
    <row r="855" spans="1:16" x14ac:dyDescent="0.35">
      <c r="A855">
        <v>410340</v>
      </c>
      <c r="B855" t="s">
        <v>1876</v>
      </c>
      <c r="C855" s="1">
        <v>43356</v>
      </c>
      <c r="D855">
        <v>423</v>
      </c>
      <c r="E855" t="b">
        <v>1</v>
      </c>
      <c r="F855" t="s">
        <v>1877</v>
      </c>
      <c r="G855" t="s">
        <v>301</v>
      </c>
      <c r="H855">
        <v>856</v>
      </c>
      <c r="I855" t="s">
        <v>36</v>
      </c>
      <c r="J855" s="3" t="str">
        <f>IF(ISNUMBER(SEARCH(",Action,",","&amp;SUBSTITUTE(TableMain[[#This Row],[Tags]],", ",",")&amp;",")),"Y","N")</f>
        <v>N</v>
      </c>
      <c r="K855" s="3" t="str">
        <f>IF(ISNUMBER(SEARCH(",Indie,",","&amp;SUBSTITUTE(TableMain[[#This Row],[Tags]],", ",",")&amp;",")),"Y","N")</f>
        <v>Y</v>
      </c>
      <c r="L855" s="3" t="str">
        <f>IF(ISNUMBER(SEARCH(",Adventure,",","&amp;SUBSTITUTE(TableMain[[#This Row],[Tags]],", ",",")&amp;",")),"Y","N")</f>
        <v>N</v>
      </c>
      <c r="M855" s="3" t="str">
        <f>IF(ISNUMBER(SEARCH(",Simulation,",","&amp;SUBSTITUTE(TableMain[[#This Row],[Tags]],", ",",")&amp;",")),"Y","N")</f>
        <v>Y</v>
      </c>
      <c r="N855" s="3" t="str">
        <f>IF(ISNUMBER(SEARCH(",RPG,",","&amp;SUBSTITUTE(TableMain[[#This Row],[Tags]],", ",",")&amp;",")),"Y","N")</f>
        <v>N</v>
      </c>
      <c r="O855" s="3" t="str">
        <f>IF(ISNUMBER(SEARCH(",Strategy,",","&amp;SUBSTITUTE(TableMain[[#This Row],[Tags]],", ",",")&amp;",")),"Y","N")</f>
        <v>N</v>
      </c>
      <c r="P855" s="3" t="str">
        <f>IF(ISNUMBER(SEARCH(",Free To Play,",","&amp;SUBSTITUTE(TableMain[[#This Row],[Tags]],", ",",")&amp;",")),"Y","N")</f>
        <v>N</v>
      </c>
    </row>
    <row r="856" spans="1:16" x14ac:dyDescent="0.35">
      <c r="A856">
        <v>620980</v>
      </c>
      <c r="B856" t="s">
        <v>1878</v>
      </c>
      <c r="C856" s="1">
        <v>43606</v>
      </c>
      <c r="D856">
        <v>423</v>
      </c>
      <c r="E856" t="b">
        <v>0</v>
      </c>
      <c r="F856" t="s">
        <v>1879</v>
      </c>
      <c r="G856" t="s">
        <v>792</v>
      </c>
      <c r="H856">
        <v>856</v>
      </c>
      <c r="I856" t="s">
        <v>53</v>
      </c>
      <c r="J856" s="3" t="str">
        <f>IF(ISNUMBER(SEARCH(",Action,",","&amp;SUBSTITUTE(TableMain[[#This Row],[Tags]],", ",",")&amp;",")),"Y","N")</f>
        <v>N</v>
      </c>
      <c r="K856" s="3" t="str">
        <f>IF(ISNUMBER(SEARCH(",Indie,",","&amp;SUBSTITUTE(TableMain[[#This Row],[Tags]],", ",",")&amp;",")),"Y","N")</f>
        <v>Y</v>
      </c>
      <c r="L856" s="3" t="str">
        <f>IF(ISNUMBER(SEARCH(",Adventure,",","&amp;SUBSTITUTE(TableMain[[#This Row],[Tags]],", ",",")&amp;",")),"Y","N")</f>
        <v>N</v>
      </c>
      <c r="M856" s="3" t="str">
        <f>IF(ISNUMBER(SEARCH(",Simulation,",","&amp;SUBSTITUTE(TableMain[[#This Row],[Tags]],", ",",")&amp;",")),"Y","N")</f>
        <v>N</v>
      </c>
      <c r="N856" s="3" t="str">
        <f>IF(ISNUMBER(SEARCH(",RPG,",","&amp;SUBSTITUTE(TableMain[[#This Row],[Tags]],", ",",")&amp;",")),"Y","N")</f>
        <v>N</v>
      </c>
      <c r="O856" s="3" t="str">
        <f>IF(ISNUMBER(SEARCH(",Strategy,",","&amp;SUBSTITUTE(TableMain[[#This Row],[Tags]],", ",",")&amp;",")),"Y","N")</f>
        <v>N</v>
      </c>
      <c r="P856" s="3" t="str">
        <f>IF(ISNUMBER(SEARCH(",Free To Play,",","&amp;SUBSTITUTE(TableMain[[#This Row],[Tags]],", ",",")&amp;",")),"Y","N")</f>
        <v>N</v>
      </c>
    </row>
    <row r="857" spans="1:16" x14ac:dyDescent="0.35">
      <c r="A857">
        <v>2406770</v>
      </c>
      <c r="B857" t="s">
        <v>1880</v>
      </c>
      <c r="C857" s="1">
        <v>45450</v>
      </c>
      <c r="D857">
        <v>422</v>
      </c>
      <c r="E857" t="b">
        <v>0</v>
      </c>
      <c r="F857" t="s">
        <v>1881</v>
      </c>
      <c r="G857" t="s">
        <v>1882</v>
      </c>
      <c r="H857">
        <v>858</v>
      </c>
      <c r="I857" t="s">
        <v>50</v>
      </c>
      <c r="J857" s="3" t="str">
        <f>IF(ISNUMBER(SEARCH(",Action,",","&amp;SUBSTITUTE(TableMain[[#This Row],[Tags]],", ",",")&amp;",")),"Y","N")</f>
        <v>Y</v>
      </c>
      <c r="K857" s="3" t="str">
        <f>IF(ISNUMBER(SEARCH(",Indie,",","&amp;SUBSTITUTE(TableMain[[#This Row],[Tags]],", ",",")&amp;",")),"Y","N")</f>
        <v>Y</v>
      </c>
      <c r="L857" s="3" t="str">
        <f>IF(ISNUMBER(SEARCH(",Adventure,",","&amp;SUBSTITUTE(TableMain[[#This Row],[Tags]],", ",",")&amp;",")),"Y","N")</f>
        <v>N</v>
      </c>
      <c r="M857" s="3" t="str">
        <f>IF(ISNUMBER(SEARCH(",Simulation,",","&amp;SUBSTITUTE(TableMain[[#This Row],[Tags]],", ",",")&amp;",")),"Y","N")</f>
        <v>Y</v>
      </c>
      <c r="N857" s="3" t="str">
        <f>IF(ISNUMBER(SEARCH(",RPG,",","&amp;SUBSTITUTE(TableMain[[#This Row],[Tags]],", ",",")&amp;",")),"Y","N")</f>
        <v>N</v>
      </c>
      <c r="O857" s="3" t="str">
        <f>IF(ISNUMBER(SEARCH(",Strategy,",","&amp;SUBSTITUTE(TableMain[[#This Row],[Tags]],", ",",")&amp;",")),"Y","N")</f>
        <v>Y</v>
      </c>
      <c r="P857" s="3" t="str">
        <f>IF(ISNUMBER(SEARCH(",Free To Play,",","&amp;SUBSTITUTE(TableMain[[#This Row],[Tags]],", ",",")&amp;",")),"Y","N")</f>
        <v>N</v>
      </c>
    </row>
    <row r="858" spans="1:16" x14ac:dyDescent="0.35">
      <c r="A858">
        <v>1629520</v>
      </c>
      <c r="B858" t="s">
        <v>1883</v>
      </c>
      <c r="C858" s="1">
        <v>44873</v>
      </c>
      <c r="D858">
        <v>422</v>
      </c>
      <c r="E858" t="b">
        <v>1</v>
      </c>
      <c r="F858" t="s">
        <v>1884</v>
      </c>
      <c r="G858" t="s">
        <v>1041</v>
      </c>
      <c r="H858">
        <v>858</v>
      </c>
      <c r="I858" t="s">
        <v>14</v>
      </c>
      <c r="J858" s="3" t="str">
        <f>IF(ISNUMBER(SEARCH(",Action,",","&amp;SUBSTITUTE(TableMain[[#This Row],[Tags]],", ",",")&amp;",")),"Y","N")</f>
        <v>N</v>
      </c>
      <c r="K858" s="3" t="str">
        <f>IF(ISNUMBER(SEARCH(",Indie,",","&amp;SUBSTITUTE(TableMain[[#This Row],[Tags]],", ",",")&amp;",")),"Y","N")</f>
        <v>Y</v>
      </c>
      <c r="L858" s="3" t="str">
        <f>IF(ISNUMBER(SEARCH(",Adventure,",","&amp;SUBSTITUTE(TableMain[[#This Row],[Tags]],", ",",")&amp;",")),"Y","N")</f>
        <v>N</v>
      </c>
      <c r="M858" s="3" t="str">
        <f>IF(ISNUMBER(SEARCH(",Simulation,",","&amp;SUBSTITUTE(TableMain[[#This Row],[Tags]],", ",",")&amp;",")),"Y","N")</f>
        <v>N</v>
      </c>
      <c r="N858" s="3" t="str">
        <f>IF(ISNUMBER(SEARCH(",RPG,",","&amp;SUBSTITUTE(TableMain[[#This Row],[Tags]],", ",",")&amp;",")),"Y","N")</f>
        <v>N</v>
      </c>
      <c r="O858" s="3" t="str">
        <f>IF(ISNUMBER(SEARCH(",Strategy,",","&amp;SUBSTITUTE(TableMain[[#This Row],[Tags]],", ",",")&amp;",")),"Y","N")</f>
        <v>N</v>
      </c>
      <c r="P858" s="3" t="str">
        <f>IF(ISNUMBER(SEARCH(",Free To Play,",","&amp;SUBSTITUTE(TableMain[[#This Row],[Tags]],", ",",")&amp;",")),"Y","N")</f>
        <v>N</v>
      </c>
    </row>
    <row r="859" spans="1:16" x14ac:dyDescent="0.35">
      <c r="A859">
        <v>253710</v>
      </c>
      <c r="B859" t="s">
        <v>1885</v>
      </c>
      <c r="C859" s="1">
        <v>41793</v>
      </c>
      <c r="D859">
        <v>417</v>
      </c>
      <c r="E859" t="b">
        <v>0</v>
      </c>
      <c r="F859" t="s">
        <v>1886</v>
      </c>
      <c r="G859" t="s">
        <v>1887</v>
      </c>
      <c r="H859">
        <v>860</v>
      </c>
      <c r="I859" t="s">
        <v>2088</v>
      </c>
      <c r="J859" s="3" t="str">
        <f>IF(ISNUMBER(SEARCH(",Action,",","&amp;SUBSTITUTE(TableMain[[#This Row],[Tags]],", ",",")&amp;",")),"Y","N")</f>
        <v>Y</v>
      </c>
      <c r="K859" s="3" t="str">
        <f>IF(ISNUMBER(SEARCH(",Indie,",","&amp;SUBSTITUTE(TableMain[[#This Row],[Tags]],", ",",")&amp;",")),"Y","N")</f>
        <v>N</v>
      </c>
      <c r="L859" s="3" t="str">
        <f>IF(ISNUMBER(SEARCH(",Adventure,",","&amp;SUBSTITUTE(TableMain[[#This Row],[Tags]],", ",",")&amp;",")),"Y","N")</f>
        <v>Y</v>
      </c>
      <c r="M859" s="3" t="str">
        <f>IF(ISNUMBER(SEARCH(",Simulation,",","&amp;SUBSTITUTE(TableMain[[#This Row],[Tags]],", ",",")&amp;",")),"Y","N")</f>
        <v>Y</v>
      </c>
      <c r="N859" s="3" t="str">
        <f>IF(ISNUMBER(SEARCH(",RPG,",","&amp;SUBSTITUTE(TableMain[[#This Row],[Tags]],", ",",")&amp;",")),"Y","N")</f>
        <v>N</v>
      </c>
      <c r="O859" s="3" t="str">
        <f>IF(ISNUMBER(SEARCH(",Strategy,",","&amp;SUBSTITUTE(TableMain[[#This Row],[Tags]],", ",",")&amp;",")),"Y","N")</f>
        <v>N</v>
      </c>
      <c r="P859" s="3" t="str">
        <f>IF(ISNUMBER(SEARCH(",Free To Play,",","&amp;SUBSTITUTE(TableMain[[#This Row],[Tags]],", ",",")&amp;",")),"Y","N")</f>
        <v>Y</v>
      </c>
    </row>
    <row r="860" spans="1:16" x14ac:dyDescent="0.35">
      <c r="A860">
        <v>201810</v>
      </c>
      <c r="B860" t="s">
        <v>1888</v>
      </c>
      <c r="C860" s="1">
        <v>41778</v>
      </c>
      <c r="D860">
        <v>417</v>
      </c>
      <c r="E860" t="b">
        <v>0</v>
      </c>
      <c r="F860" t="s">
        <v>1889</v>
      </c>
      <c r="G860" t="s">
        <v>49</v>
      </c>
      <c r="H860">
        <v>860</v>
      </c>
      <c r="I860" t="s">
        <v>2084</v>
      </c>
      <c r="J860" s="3" t="str">
        <f>IF(ISNUMBER(SEARCH(",Action,",","&amp;SUBSTITUTE(TableMain[[#This Row],[Tags]],", ",",")&amp;",")),"Y","N")</f>
        <v>Y</v>
      </c>
      <c r="K860" s="3" t="str">
        <f>IF(ISNUMBER(SEARCH(",Indie,",","&amp;SUBSTITUTE(TableMain[[#This Row],[Tags]],", ",",")&amp;",")),"Y","N")</f>
        <v>N</v>
      </c>
      <c r="L860" s="3" t="str">
        <f>IF(ISNUMBER(SEARCH(",Adventure,",","&amp;SUBSTITUTE(TableMain[[#This Row],[Tags]],", ",",")&amp;",")),"Y","N")</f>
        <v>N</v>
      </c>
      <c r="M860" s="3" t="str">
        <f>IF(ISNUMBER(SEARCH(",Simulation,",","&amp;SUBSTITUTE(TableMain[[#This Row],[Tags]],", ",",")&amp;",")),"Y","N")</f>
        <v>N</v>
      </c>
      <c r="N860" s="3" t="str">
        <f>IF(ISNUMBER(SEARCH(",RPG,",","&amp;SUBSTITUTE(TableMain[[#This Row],[Tags]],", ",",")&amp;",")),"Y","N")</f>
        <v>N</v>
      </c>
      <c r="O860" s="3" t="str">
        <f>IF(ISNUMBER(SEARCH(",Strategy,",","&amp;SUBSTITUTE(TableMain[[#This Row],[Tags]],", ",",")&amp;",")),"Y","N")</f>
        <v>N</v>
      </c>
      <c r="P860" s="3" t="str">
        <f>IF(ISNUMBER(SEARCH(",Free To Play,",","&amp;SUBSTITUTE(TableMain[[#This Row],[Tags]],", ",",")&amp;",")),"Y","N")</f>
        <v>N</v>
      </c>
    </row>
    <row r="861" spans="1:16" x14ac:dyDescent="0.35">
      <c r="A861">
        <v>239030</v>
      </c>
      <c r="B861" t="s">
        <v>1890</v>
      </c>
      <c r="C861" s="1">
        <v>41494</v>
      </c>
      <c r="D861">
        <v>416</v>
      </c>
      <c r="E861" t="b">
        <v>1</v>
      </c>
      <c r="F861" t="s">
        <v>1891</v>
      </c>
      <c r="G861" t="s">
        <v>652</v>
      </c>
      <c r="H861">
        <v>862</v>
      </c>
      <c r="I861" t="s">
        <v>2084</v>
      </c>
      <c r="J861" s="3" t="str">
        <f>IF(ISNUMBER(SEARCH(",Action,",","&amp;SUBSTITUTE(TableMain[[#This Row],[Tags]],", ",",")&amp;",")),"Y","N")</f>
        <v>N</v>
      </c>
      <c r="K861" s="3" t="str">
        <f>IF(ISNUMBER(SEARCH(",Indie,",","&amp;SUBSTITUTE(TableMain[[#This Row],[Tags]],", ",",")&amp;",")),"Y","N")</f>
        <v>Y</v>
      </c>
      <c r="L861" s="3" t="str">
        <f>IF(ISNUMBER(SEARCH(",Adventure,",","&amp;SUBSTITUTE(TableMain[[#This Row],[Tags]],", ",",")&amp;",")),"Y","N")</f>
        <v>Y</v>
      </c>
      <c r="M861" s="3" t="str">
        <f>IF(ISNUMBER(SEARCH(",Simulation,",","&amp;SUBSTITUTE(TableMain[[#This Row],[Tags]],", ",",")&amp;",")),"Y","N")</f>
        <v>N</v>
      </c>
      <c r="N861" s="3" t="str">
        <f>IF(ISNUMBER(SEARCH(",RPG,",","&amp;SUBSTITUTE(TableMain[[#This Row],[Tags]],", ",",")&amp;",")),"Y","N")</f>
        <v>N</v>
      </c>
      <c r="O861" s="3" t="str">
        <f>IF(ISNUMBER(SEARCH(",Strategy,",","&amp;SUBSTITUTE(TableMain[[#This Row],[Tags]],", ",",")&amp;",")),"Y","N")</f>
        <v>N</v>
      </c>
      <c r="P861" s="3" t="str">
        <f>IF(ISNUMBER(SEARCH(",Free To Play,",","&amp;SUBSTITUTE(TableMain[[#This Row],[Tags]],", ",",")&amp;",")),"Y","N")</f>
        <v>N</v>
      </c>
    </row>
    <row r="862" spans="1:16" x14ac:dyDescent="0.35">
      <c r="A862">
        <v>2739590</v>
      </c>
      <c r="B862" t="s">
        <v>1892</v>
      </c>
      <c r="C862" s="1">
        <v>45435</v>
      </c>
      <c r="D862">
        <v>416</v>
      </c>
      <c r="E862" t="b">
        <v>0</v>
      </c>
      <c r="F862" t="s">
        <v>915</v>
      </c>
      <c r="G862" t="s">
        <v>1893</v>
      </c>
      <c r="H862">
        <v>862</v>
      </c>
      <c r="I862" t="s">
        <v>304</v>
      </c>
      <c r="J862" s="3" t="str">
        <f>IF(ISNUMBER(SEARCH(",Action,",","&amp;SUBSTITUTE(TableMain[[#This Row],[Tags]],", ",",")&amp;",")),"Y","N")</f>
        <v>Y</v>
      </c>
      <c r="K862" s="3" t="str">
        <f>IF(ISNUMBER(SEARCH(",Indie,",","&amp;SUBSTITUTE(TableMain[[#This Row],[Tags]],", ",",")&amp;",")),"Y","N")</f>
        <v>Y</v>
      </c>
      <c r="L862" s="3" t="str">
        <f>IF(ISNUMBER(SEARCH(",Adventure,",","&amp;SUBSTITUTE(TableMain[[#This Row],[Tags]],", ",",")&amp;",")),"Y","N")</f>
        <v>N</v>
      </c>
      <c r="M862" s="3" t="str">
        <f>IF(ISNUMBER(SEARCH(",Simulation,",","&amp;SUBSTITUTE(TableMain[[#This Row],[Tags]],", ",",")&amp;",")),"Y","N")</f>
        <v>Y</v>
      </c>
      <c r="N862" s="3" t="str">
        <f>IF(ISNUMBER(SEARCH(",RPG,",","&amp;SUBSTITUTE(TableMain[[#This Row],[Tags]],", ",",")&amp;",")),"Y","N")</f>
        <v>Y</v>
      </c>
      <c r="O862" s="3" t="str">
        <f>IF(ISNUMBER(SEARCH(",Strategy,",","&amp;SUBSTITUTE(TableMain[[#This Row],[Tags]],", ",",")&amp;",")),"Y","N")</f>
        <v>N</v>
      </c>
      <c r="P862" s="3" t="str">
        <f>IF(ISNUMBER(SEARCH(",Free To Play,",","&amp;SUBSTITUTE(TableMain[[#This Row],[Tags]],", ",",")&amp;",")),"Y","N")</f>
        <v>N</v>
      </c>
    </row>
    <row r="863" spans="1:16" x14ac:dyDescent="0.35">
      <c r="A863">
        <v>1969870</v>
      </c>
      <c r="B863" t="s">
        <v>1894</v>
      </c>
      <c r="C863" s="1">
        <v>44762</v>
      </c>
      <c r="D863">
        <v>413</v>
      </c>
      <c r="E863" t="b">
        <v>0</v>
      </c>
      <c r="F863" t="s">
        <v>1895</v>
      </c>
      <c r="G863" t="s">
        <v>17</v>
      </c>
      <c r="H863">
        <v>864</v>
      </c>
      <c r="I863" t="s">
        <v>25</v>
      </c>
      <c r="J863" s="3" t="str">
        <f>IF(ISNUMBER(SEARCH(",Action,",","&amp;SUBSTITUTE(TableMain[[#This Row],[Tags]],", ",",")&amp;",")),"Y","N")</f>
        <v>Y</v>
      </c>
      <c r="K863" s="3" t="str">
        <f>IF(ISNUMBER(SEARCH(",Indie,",","&amp;SUBSTITUTE(TableMain[[#This Row],[Tags]],", ",",")&amp;",")),"Y","N")</f>
        <v>N</v>
      </c>
      <c r="L863" s="3" t="str">
        <f>IF(ISNUMBER(SEARCH(",Adventure,",","&amp;SUBSTITUTE(TableMain[[#This Row],[Tags]],", ",",")&amp;",")),"Y","N")</f>
        <v>Y</v>
      </c>
      <c r="M863" s="3" t="str">
        <f>IF(ISNUMBER(SEARCH(",Simulation,",","&amp;SUBSTITUTE(TableMain[[#This Row],[Tags]],", ",",")&amp;",")),"Y","N")</f>
        <v>N</v>
      </c>
      <c r="N863" s="3" t="str">
        <f>IF(ISNUMBER(SEARCH(",RPG,",","&amp;SUBSTITUTE(TableMain[[#This Row],[Tags]],", ",",")&amp;",")),"Y","N")</f>
        <v>N</v>
      </c>
      <c r="O863" s="3" t="str">
        <f>IF(ISNUMBER(SEARCH(",Strategy,",","&amp;SUBSTITUTE(TableMain[[#This Row],[Tags]],", ",",")&amp;",")),"Y","N")</f>
        <v>N</v>
      </c>
      <c r="P863" s="3" t="str">
        <f>IF(ISNUMBER(SEARCH(",Free To Play,",","&amp;SUBSTITUTE(TableMain[[#This Row],[Tags]],", ",",")&amp;",")),"Y","N")</f>
        <v>Y</v>
      </c>
    </row>
    <row r="864" spans="1:16" x14ac:dyDescent="0.35">
      <c r="A864">
        <v>551170</v>
      </c>
      <c r="B864" t="s">
        <v>1896</v>
      </c>
      <c r="C864" s="1">
        <v>43208</v>
      </c>
      <c r="D864">
        <v>412</v>
      </c>
      <c r="E864" t="b">
        <v>0</v>
      </c>
      <c r="F864" t="s">
        <v>1897</v>
      </c>
      <c r="G864" t="s">
        <v>56</v>
      </c>
      <c r="H864">
        <v>865</v>
      </c>
      <c r="I864" t="s">
        <v>110</v>
      </c>
      <c r="J864" s="3" t="str">
        <f>IF(ISNUMBER(SEARCH(",Action,",","&amp;SUBSTITUTE(TableMain[[#This Row],[Tags]],", ",",")&amp;",")),"Y","N")</f>
        <v>N</v>
      </c>
      <c r="K864" s="3" t="str">
        <f>IF(ISNUMBER(SEARCH(",Indie,",","&amp;SUBSTITUTE(TableMain[[#This Row],[Tags]],", ",",")&amp;",")),"Y","N")</f>
        <v>N</v>
      </c>
      <c r="L864" s="3" t="str">
        <f>IF(ISNUMBER(SEARCH(",Adventure,",","&amp;SUBSTITUTE(TableMain[[#This Row],[Tags]],", ",",")&amp;",")),"Y","N")</f>
        <v>Y</v>
      </c>
      <c r="M864" s="3" t="str">
        <f>IF(ISNUMBER(SEARCH(",Simulation,",","&amp;SUBSTITUTE(TableMain[[#This Row],[Tags]],", ",",")&amp;",")),"Y","N")</f>
        <v>N</v>
      </c>
      <c r="N864" s="3" t="str">
        <f>IF(ISNUMBER(SEARCH(",RPG,",","&amp;SUBSTITUTE(TableMain[[#This Row],[Tags]],", ",",")&amp;",")),"Y","N")</f>
        <v>Y</v>
      </c>
      <c r="O864" s="3" t="str">
        <f>IF(ISNUMBER(SEARCH(",Strategy,",","&amp;SUBSTITUTE(TableMain[[#This Row],[Tags]],", ",",")&amp;",")),"Y","N")</f>
        <v>Y</v>
      </c>
      <c r="P864" s="3" t="str">
        <f>IF(ISNUMBER(SEARCH(",Free To Play,",","&amp;SUBSTITUTE(TableMain[[#This Row],[Tags]],", ",",")&amp;",")),"Y","N")</f>
        <v>N</v>
      </c>
    </row>
    <row r="865" spans="1:16" x14ac:dyDescent="0.35">
      <c r="A865">
        <v>3314070</v>
      </c>
      <c r="B865" t="s">
        <v>1898</v>
      </c>
      <c r="C865" s="1">
        <v>45688</v>
      </c>
      <c r="D865">
        <v>412</v>
      </c>
      <c r="E865" t="b">
        <v>0</v>
      </c>
      <c r="F865" t="s">
        <v>915</v>
      </c>
      <c r="G865" t="s">
        <v>239</v>
      </c>
      <c r="H865">
        <v>865</v>
      </c>
      <c r="I865" t="s">
        <v>133</v>
      </c>
      <c r="J865" s="3" t="str">
        <f>IF(ISNUMBER(SEARCH(",Action,",","&amp;SUBSTITUTE(TableMain[[#This Row],[Tags]],", ",",")&amp;",")),"Y","N")</f>
        <v>N</v>
      </c>
      <c r="K865" s="3" t="str">
        <f>IF(ISNUMBER(SEARCH(",Indie,",","&amp;SUBSTITUTE(TableMain[[#This Row],[Tags]],", ",",")&amp;",")),"Y","N")</f>
        <v>N</v>
      </c>
      <c r="L865" s="3" t="str">
        <f>IF(ISNUMBER(SEARCH(",Adventure,",","&amp;SUBSTITUTE(TableMain[[#This Row],[Tags]],", ",",")&amp;",")),"Y","N")</f>
        <v>N</v>
      </c>
      <c r="M865" s="3" t="str">
        <f>IF(ISNUMBER(SEARCH(",Simulation,",","&amp;SUBSTITUTE(TableMain[[#This Row],[Tags]],", ",",")&amp;",")),"Y","N")</f>
        <v>Y</v>
      </c>
      <c r="N865" s="3" t="str">
        <f>IF(ISNUMBER(SEARCH(",RPG,",","&amp;SUBSTITUTE(TableMain[[#This Row],[Tags]],", ",",")&amp;",")),"Y","N")</f>
        <v>N</v>
      </c>
      <c r="O865" s="3" t="str">
        <f>IF(ISNUMBER(SEARCH(",Strategy,",","&amp;SUBSTITUTE(TableMain[[#This Row],[Tags]],", ",",")&amp;",")),"Y","N")</f>
        <v>N</v>
      </c>
      <c r="P865" s="3" t="str">
        <f>IF(ISNUMBER(SEARCH(",Free To Play,",","&amp;SUBSTITUTE(TableMain[[#This Row],[Tags]],", ",",")&amp;",")),"Y","N")</f>
        <v>N</v>
      </c>
    </row>
    <row r="866" spans="1:16" x14ac:dyDescent="0.35">
      <c r="A866">
        <v>1124300</v>
      </c>
      <c r="B866" t="s">
        <v>1899</v>
      </c>
      <c r="C866" s="1">
        <v>44425</v>
      </c>
      <c r="D866">
        <v>411</v>
      </c>
      <c r="E866" t="b">
        <v>1</v>
      </c>
      <c r="F866" t="s">
        <v>1900</v>
      </c>
      <c r="G866" t="s">
        <v>124</v>
      </c>
      <c r="H866">
        <v>867</v>
      </c>
      <c r="I866" t="s">
        <v>53</v>
      </c>
      <c r="J866" s="3" t="str">
        <f>IF(ISNUMBER(SEARCH(",Action,",","&amp;SUBSTITUTE(TableMain[[#This Row],[Tags]],", ",",")&amp;",")),"Y","N")</f>
        <v>N</v>
      </c>
      <c r="K866" s="3" t="str">
        <f>IF(ISNUMBER(SEARCH(",Indie,",","&amp;SUBSTITUTE(TableMain[[#This Row],[Tags]],", ",",")&amp;",")),"Y","N")</f>
        <v>N</v>
      </c>
      <c r="L866" s="3" t="str">
        <f>IF(ISNUMBER(SEARCH(",Adventure,",","&amp;SUBSTITUTE(TableMain[[#This Row],[Tags]],", ",",")&amp;",")),"Y","N")</f>
        <v>N</v>
      </c>
      <c r="M866" s="3" t="str">
        <f>IF(ISNUMBER(SEARCH(",Simulation,",","&amp;SUBSTITUTE(TableMain[[#This Row],[Tags]],", ",",")&amp;",")),"Y","N")</f>
        <v>N</v>
      </c>
      <c r="N866" s="3" t="str">
        <f>IF(ISNUMBER(SEARCH(",RPG,",","&amp;SUBSTITUTE(TableMain[[#This Row],[Tags]],", ",",")&amp;",")),"Y","N")</f>
        <v>N</v>
      </c>
      <c r="O866" s="3" t="str">
        <f>IF(ISNUMBER(SEARCH(",Strategy,",","&amp;SUBSTITUTE(TableMain[[#This Row],[Tags]],", ",",")&amp;",")),"Y","N")</f>
        <v>Y</v>
      </c>
      <c r="P866" s="3" t="str">
        <f>IF(ISNUMBER(SEARCH(",Free To Play,",","&amp;SUBSTITUTE(TableMain[[#This Row],[Tags]],", ",",")&amp;",")),"Y","N")</f>
        <v>N</v>
      </c>
    </row>
    <row r="867" spans="1:16" x14ac:dyDescent="0.35">
      <c r="A867">
        <v>2780980</v>
      </c>
      <c r="B867" t="s">
        <v>1901</v>
      </c>
      <c r="C867" s="1">
        <v>45979</v>
      </c>
      <c r="D867">
        <v>411</v>
      </c>
      <c r="E867" t="b">
        <v>0</v>
      </c>
      <c r="F867" t="s">
        <v>1902</v>
      </c>
      <c r="G867" t="s">
        <v>1300</v>
      </c>
      <c r="H867">
        <v>867</v>
      </c>
      <c r="I867" t="s">
        <v>304</v>
      </c>
      <c r="J867" s="3" t="str">
        <f>IF(ISNUMBER(SEARCH(",Action,",","&amp;SUBSTITUTE(TableMain[[#This Row],[Tags]],", ",",")&amp;",")),"Y","N")</f>
        <v>Y</v>
      </c>
      <c r="K867" s="3" t="str">
        <f>IF(ISNUMBER(SEARCH(",Indie,",","&amp;SUBSTITUTE(TableMain[[#This Row],[Tags]],", ",",")&amp;",")),"Y","N")</f>
        <v>Y</v>
      </c>
      <c r="L867" s="3" t="str">
        <f>IF(ISNUMBER(SEARCH(",Adventure,",","&amp;SUBSTITUTE(TableMain[[#This Row],[Tags]],", ",",")&amp;",")),"Y","N")</f>
        <v>N</v>
      </c>
      <c r="M867" s="3" t="str">
        <f>IF(ISNUMBER(SEARCH(",Simulation,",","&amp;SUBSTITUTE(TableMain[[#This Row],[Tags]],", ",",")&amp;",")),"Y","N")</f>
        <v>N</v>
      </c>
      <c r="N867" s="3" t="str">
        <f>IF(ISNUMBER(SEARCH(",RPG,",","&amp;SUBSTITUTE(TableMain[[#This Row],[Tags]],", ",",")&amp;",")),"Y","N")</f>
        <v>N</v>
      </c>
      <c r="O867" s="3" t="str">
        <f>IF(ISNUMBER(SEARCH(",Strategy,",","&amp;SUBSTITUTE(TableMain[[#This Row],[Tags]],", ",",")&amp;",")),"Y","N")</f>
        <v>Y</v>
      </c>
      <c r="P867" s="3" t="str">
        <f>IF(ISNUMBER(SEARCH(",Free To Play,",","&amp;SUBSTITUTE(TableMain[[#This Row],[Tags]],", ",",")&amp;",")),"Y","N")</f>
        <v>N</v>
      </c>
    </row>
    <row r="868" spans="1:16" x14ac:dyDescent="0.35">
      <c r="A868">
        <v>383150</v>
      </c>
      <c r="B868" t="s">
        <v>1903</v>
      </c>
      <c r="C868" s="1">
        <v>42521</v>
      </c>
      <c r="D868">
        <v>410</v>
      </c>
      <c r="E868" t="b">
        <v>0</v>
      </c>
      <c r="F868" t="s">
        <v>1904</v>
      </c>
      <c r="G868" t="s">
        <v>49</v>
      </c>
      <c r="H868">
        <v>869</v>
      </c>
      <c r="I868" t="s">
        <v>133</v>
      </c>
      <c r="J868" s="3" t="str">
        <f>IF(ISNUMBER(SEARCH(",Action,",","&amp;SUBSTITUTE(TableMain[[#This Row],[Tags]],", ",",")&amp;",")),"Y","N")</f>
        <v>Y</v>
      </c>
      <c r="K868" s="3" t="str">
        <f>IF(ISNUMBER(SEARCH(",Indie,",","&amp;SUBSTITUTE(TableMain[[#This Row],[Tags]],", ",",")&amp;",")),"Y","N")</f>
        <v>N</v>
      </c>
      <c r="L868" s="3" t="str">
        <f>IF(ISNUMBER(SEARCH(",Adventure,",","&amp;SUBSTITUTE(TableMain[[#This Row],[Tags]],", ",",")&amp;",")),"Y","N")</f>
        <v>N</v>
      </c>
      <c r="M868" s="3" t="str">
        <f>IF(ISNUMBER(SEARCH(",Simulation,",","&amp;SUBSTITUTE(TableMain[[#This Row],[Tags]],", ",",")&amp;",")),"Y","N")</f>
        <v>N</v>
      </c>
      <c r="N868" s="3" t="str">
        <f>IF(ISNUMBER(SEARCH(",RPG,",","&amp;SUBSTITUTE(TableMain[[#This Row],[Tags]],", ",",")&amp;",")),"Y","N")</f>
        <v>N</v>
      </c>
      <c r="O868" s="3" t="str">
        <f>IF(ISNUMBER(SEARCH(",Strategy,",","&amp;SUBSTITUTE(TableMain[[#This Row],[Tags]],", ",",")&amp;",")),"Y","N")</f>
        <v>N</v>
      </c>
      <c r="P868" s="3" t="str">
        <f>IF(ISNUMBER(SEARCH(",Free To Play,",","&amp;SUBSTITUTE(TableMain[[#This Row],[Tags]],", ",",")&amp;",")),"Y","N")</f>
        <v>N</v>
      </c>
    </row>
    <row r="869" spans="1:16" x14ac:dyDescent="0.35">
      <c r="A869">
        <v>1875830</v>
      </c>
      <c r="B869" t="s">
        <v>1905</v>
      </c>
      <c r="C869" s="1">
        <v>45456</v>
      </c>
      <c r="D869">
        <v>410</v>
      </c>
      <c r="E869" t="b">
        <v>0</v>
      </c>
      <c r="F869" t="s">
        <v>416</v>
      </c>
      <c r="G869" t="s">
        <v>896</v>
      </c>
      <c r="H869">
        <v>869</v>
      </c>
      <c r="I869" t="s">
        <v>133</v>
      </c>
      <c r="J869" s="3" t="str">
        <f>IF(ISNUMBER(SEARCH(",Action,",","&amp;SUBSTITUTE(TableMain[[#This Row],[Tags]],", ",",")&amp;",")),"Y","N")</f>
        <v>N</v>
      </c>
      <c r="K869" s="3" t="str">
        <f>IF(ISNUMBER(SEARCH(",Indie,",","&amp;SUBSTITUTE(TableMain[[#This Row],[Tags]],", ",",")&amp;",")),"Y","N")</f>
        <v>N</v>
      </c>
      <c r="L869" s="3" t="str">
        <f>IF(ISNUMBER(SEARCH(",Adventure,",","&amp;SUBSTITUTE(TableMain[[#This Row],[Tags]],", ",",")&amp;",")),"Y","N")</f>
        <v>Y</v>
      </c>
      <c r="M869" s="3" t="str">
        <f>IF(ISNUMBER(SEARCH(",Simulation,",","&amp;SUBSTITUTE(TableMain[[#This Row],[Tags]],", ",",")&amp;",")),"Y","N")</f>
        <v>N</v>
      </c>
      <c r="N869" s="3" t="str">
        <f>IF(ISNUMBER(SEARCH(",RPG,",","&amp;SUBSTITUTE(TableMain[[#This Row],[Tags]],", ",",")&amp;",")),"Y","N")</f>
        <v>Y</v>
      </c>
      <c r="O869" s="3" t="str">
        <f>IF(ISNUMBER(SEARCH(",Strategy,",","&amp;SUBSTITUTE(TableMain[[#This Row],[Tags]],", ",",")&amp;",")),"Y","N")</f>
        <v>N</v>
      </c>
      <c r="P869" s="3" t="str">
        <f>IF(ISNUMBER(SEARCH(",Free To Play,",","&amp;SUBSTITUTE(TableMain[[#This Row],[Tags]],", ",",")&amp;",")),"Y","N")</f>
        <v>N</v>
      </c>
    </row>
    <row r="870" spans="1:16" x14ac:dyDescent="0.35">
      <c r="A870">
        <v>1488200</v>
      </c>
      <c r="B870" t="s">
        <v>1906</v>
      </c>
      <c r="C870" s="1">
        <v>44722</v>
      </c>
      <c r="D870">
        <v>409</v>
      </c>
      <c r="E870" t="b">
        <v>0</v>
      </c>
      <c r="F870" t="s">
        <v>853</v>
      </c>
      <c r="G870" t="s">
        <v>720</v>
      </c>
      <c r="H870">
        <v>871</v>
      </c>
      <c r="I870" t="s">
        <v>14</v>
      </c>
      <c r="J870" s="3" t="str">
        <f>IF(ISNUMBER(SEARCH(",Action,",","&amp;SUBSTITUTE(TableMain[[#This Row],[Tags]],", ",",")&amp;",")),"Y","N")</f>
        <v>N</v>
      </c>
      <c r="K870" s="3" t="str">
        <f>IF(ISNUMBER(SEARCH(",Indie,",","&amp;SUBSTITUTE(TableMain[[#This Row],[Tags]],", ",",")&amp;",")),"Y","N")</f>
        <v>Y</v>
      </c>
      <c r="L870" s="3" t="str">
        <f>IF(ISNUMBER(SEARCH(",Adventure,",","&amp;SUBSTITUTE(TableMain[[#This Row],[Tags]],", ",",")&amp;",")),"Y","N")</f>
        <v>Y</v>
      </c>
      <c r="M870" s="3" t="str">
        <f>IF(ISNUMBER(SEARCH(",Simulation,",","&amp;SUBSTITUTE(TableMain[[#This Row],[Tags]],", ",",")&amp;",")),"Y","N")</f>
        <v>N</v>
      </c>
      <c r="N870" s="3" t="str">
        <f>IF(ISNUMBER(SEARCH(",RPG,",","&amp;SUBSTITUTE(TableMain[[#This Row],[Tags]],", ",",")&amp;",")),"Y","N")</f>
        <v>Y</v>
      </c>
      <c r="O870" s="3" t="str">
        <f>IF(ISNUMBER(SEARCH(",Strategy,",","&amp;SUBSTITUTE(TableMain[[#This Row],[Tags]],", ",",")&amp;",")),"Y","N")</f>
        <v>Y</v>
      </c>
      <c r="P870" s="3" t="str">
        <f>IF(ISNUMBER(SEARCH(",Free To Play,",","&amp;SUBSTITUTE(TableMain[[#This Row],[Tags]],", ",",")&amp;",")),"Y","N")</f>
        <v>N</v>
      </c>
    </row>
    <row r="871" spans="1:16" x14ac:dyDescent="0.35">
      <c r="A871">
        <v>1144400</v>
      </c>
      <c r="B871" t="s">
        <v>1907</v>
      </c>
      <c r="C871" s="1">
        <v>43875</v>
      </c>
      <c r="D871">
        <v>406</v>
      </c>
      <c r="E871" t="b">
        <v>0</v>
      </c>
      <c r="F871" t="s">
        <v>1339</v>
      </c>
      <c r="G871" t="s">
        <v>1908</v>
      </c>
      <c r="H871">
        <v>872</v>
      </c>
      <c r="I871" t="s">
        <v>14</v>
      </c>
      <c r="J871" s="3" t="str">
        <f>IF(ISNUMBER(SEARCH(",Action,",","&amp;SUBSTITUTE(TableMain[[#This Row],[Tags]],", ",",")&amp;",")),"Y","N")</f>
        <v>N</v>
      </c>
      <c r="K871" s="3" t="str">
        <f>IF(ISNUMBER(SEARCH(",Indie,",","&amp;SUBSTITUTE(TableMain[[#This Row],[Tags]],", ",",")&amp;",")),"Y","N")</f>
        <v>N</v>
      </c>
      <c r="L871" s="3" t="str">
        <f>IF(ISNUMBER(SEARCH(",Adventure,",","&amp;SUBSTITUTE(TableMain[[#This Row],[Tags]],", ",",")&amp;",")),"Y","N")</f>
        <v>Y</v>
      </c>
      <c r="M871" s="3" t="str">
        <f>IF(ISNUMBER(SEARCH(",Simulation,",","&amp;SUBSTITUTE(TableMain[[#This Row],[Tags]],", ",",")&amp;",")),"Y","N")</f>
        <v>N</v>
      </c>
      <c r="N871" s="3" t="str">
        <f>IF(ISNUMBER(SEARCH(",RPG,",","&amp;SUBSTITUTE(TableMain[[#This Row],[Tags]],", ",",")&amp;",")),"Y","N")</f>
        <v>N</v>
      </c>
      <c r="O871" s="3" t="str">
        <f>IF(ISNUMBER(SEARCH(",Strategy,",","&amp;SUBSTITUTE(TableMain[[#This Row],[Tags]],", ",",")&amp;",")),"Y","N")</f>
        <v>N</v>
      </c>
      <c r="P871" s="3" t="str">
        <f>IF(ISNUMBER(SEARCH(",Free To Play,",","&amp;SUBSTITUTE(TableMain[[#This Row],[Tags]],", ",",")&amp;",")),"Y","N")</f>
        <v>N</v>
      </c>
    </row>
    <row r="872" spans="1:16" x14ac:dyDescent="0.35">
      <c r="A872">
        <v>1458140</v>
      </c>
      <c r="B872" t="s">
        <v>1909</v>
      </c>
      <c r="C872" s="1">
        <v>45343</v>
      </c>
      <c r="D872">
        <v>406</v>
      </c>
      <c r="E872" t="b">
        <v>0</v>
      </c>
      <c r="F872" t="s">
        <v>1853</v>
      </c>
      <c r="G872" t="s">
        <v>1249</v>
      </c>
      <c r="H872">
        <v>872</v>
      </c>
      <c r="I872" t="s">
        <v>833</v>
      </c>
      <c r="J872" s="3" t="str">
        <f>IF(ISNUMBER(SEARCH(",Action,",","&amp;SUBSTITUTE(TableMain[[#This Row],[Tags]],", ",",")&amp;",")),"Y","N")</f>
        <v>Y</v>
      </c>
      <c r="K872" s="3" t="str">
        <f>IF(ISNUMBER(SEARCH(",Indie,",","&amp;SUBSTITUTE(TableMain[[#This Row],[Tags]],", ",",")&amp;",")),"Y","N")</f>
        <v>Y</v>
      </c>
      <c r="L872" s="3" t="str">
        <f>IF(ISNUMBER(SEARCH(",Adventure,",","&amp;SUBSTITUTE(TableMain[[#This Row],[Tags]],", ",",")&amp;",")),"Y","N")</f>
        <v>Y</v>
      </c>
      <c r="M872" s="3" t="str">
        <f>IF(ISNUMBER(SEARCH(",Simulation,",","&amp;SUBSTITUTE(TableMain[[#This Row],[Tags]],", ",",")&amp;",")),"Y","N")</f>
        <v>Y</v>
      </c>
      <c r="N872" s="3" t="str">
        <f>IF(ISNUMBER(SEARCH(",RPG,",","&amp;SUBSTITUTE(TableMain[[#This Row],[Tags]],", ",",")&amp;",")),"Y","N")</f>
        <v>N</v>
      </c>
      <c r="O872" s="3" t="str">
        <f>IF(ISNUMBER(SEARCH(",Strategy,",","&amp;SUBSTITUTE(TableMain[[#This Row],[Tags]],", ",",")&amp;",")),"Y","N")</f>
        <v>N</v>
      </c>
      <c r="P872" s="3" t="str">
        <f>IF(ISNUMBER(SEARCH(",Free To Play,",","&amp;SUBSTITUTE(TableMain[[#This Row],[Tags]],", ",",")&amp;",")),"Y","N")</f>
        <v>N</v>
      </c>
    </row>
    <row r="873" spans="1:16" x14ac:dyDescent="0.35">
      <c r="A873">
        <v>223710</v>
      </c>
      <c r="B873" t="s">
        <v>1910</v>
      </c>
      <c r="C873" s="1">
        <v>41389</v>
      </c>
      <c r="D873">
        <v>405</v>
      </c>
      <c r="E873" t="b">
        <v>0</v>
      </c>
      <c r="F873" t="s">
        <v>1911</v>
      </c>
      <c r="G873" t="s">
        <v>446</v>
      </c>
      <c r="H873">
        <v>874</v>
      </c>
      <c r="I873" t="s">
        <v>2084</v>
      </c>
      <c r="J873" s="3" t="str">
        <f>IF(ISNUMBER(SEARCH(",Action,",","&amp;SUBSTITUTE(TableMain[[#This Row],[Tags]],", ",",")&amp;",")),"Y","N")</f>
        <v>Y</v>
      </c>
      <c r="K873" s="3" t="str">
        <f>IF(ISNUMBER(SEARCH(",Indie,",","&amp;SUBSTITUTE(TableMain[[#This Row],[Tags]],", ",",")&amp;",")),"Y","N")</f>
        <v>Y</v>
      </c>
      <c r="L873" s="3" t="str">
        <f>IF(ISNUMBER(SEARCH(",Adventure,",","&amp;SUBSTITUTE(TableMain[[#This Row],[Tags]],", ",",")&amp;",")),"Y","N")</f>
        <v>Y</v>
      </c>
      <c r="M873" s="3" t="str">
        <f>IF(ISNUMBER(SEARCH(",Simulation,",","&amp;SUBSTITUTE(TableMain[[#This Row],[Tags]],", ",",")&amp;",")),"Y","N")</f>
        <v>N</v>
      </c>
      <c r="N873" s="3" t="str">
        <f>IF(ISNUMBER(SEARCH(",RPG,",","&amp;SUBSTITUTE(TableMain[[#This Row],[Tags]],", ",",")&amp;",")),"Y","N")</f>
        <v>N</v>
      </c>
      <c r="O873" s="3" t="str">
        <f>IF(ISNUMBER(SEARCH(",Strategy,",","&amp;SUBSTITUTE(TableMain[[#This Row],[Tags]],", ",",")&amp;",")),"Y","N")</f>
        <v>N</v>
      </c>
      <c r="P873" s="3" t="str">
        <f>IF(ISNUMBER(SEARCH(",Free To Play,",","&amp;SUBSTITUTE(TableMain[[#This Row],[Tags]],", ",",")&amp;",")),"Y","N")</f>
        <v>N</v>
      </c>
    </row>
    <row r="874" spans="1:16" x14ac:dyDescent="0.35">
      <c r="A874">
        <v>219150</v>
      </c>
      <c r="B874" t="s">
        <v>1912</v>
      </c>
      <c r="C874" s="1">
        <v>41205</v>
      </c>
      <c r="D874">
        <v>404</v>
      </c>
      <c r="E874" t="b">
        <v>1</v>
      </c>
      <c r="F874" t="s">
        <v>1522</v>
      </c>
      <c r="G874" t="s">
        <v>116</v>
      </c>
      <c r="H874">
        <v>875</v>
      </c>
      <c r="I874" t="s">
        <v>2084</v>
      </c>
      <c r="J874" s="3" t="str">
        <f>IF(ISNUMBER(SEARCH(",Action,",","&amp;SUBSTITUTE(TableMain[[#This Row],[Tags]],", ",",")&amp;",")),"Y","N")</f>
        <v>Y</v>
      </c>
      <c r="K874" s="3" t="str">
        <f>IF(ISNUMBER(SEARCH(",Indie,",","&amp;SUBSTITUTE(TableMain[[#This Row],[Tags]],", ",",")&amp;",")),"Y","N")</f>
        <v>Y</v>
      </c>
      <c r="L874" s="3" t="str">
        <f>IF(ISNUMBER(SEARCH(",Adventure,",","&amp;SUBSTITUTE(TableMain[[#This Row],[Tags]],", ",",")&amp;",")),"Y","N")</f>
        <v>N</v>
      </c>
      <c r="M874" s="3" t="str">
        <f>IF(ISNUMBER(SEARCH(",Simulation,",","&amp;SUBSTITUTE(TableMain[[#This Row],[Tags]],", ",",")&amp;",")),"Y","N")</f>
        <v>N</v>
      </c>
      <c r="N874" s="3" t="str">
        <f>IF(ISNUMBER(SEARCH(",RPG,",","&amp;SUBSTITUTE(TableMain[[#This Row],[Tags]],", ",",")&amp;",")),"Y","N")</f>
        <v>N</v>
      </c>
      <c r="O874" s="3" t="str">
        <f>IF(ISNUMBER(SEARCH(",Strategy,",","&amp;SUBSTITUTE(TableMain[[#This Row],[Tags]],", ",",")&amp;",")),"Y","N")</f>
        <v>N</v>
      </c>
      <c r="P874" s="3" t="str">
        <f>IF(ISNUMBER(SEARCH(",Free To Play,",","&amp;SUBSTITUTE(TableMain[[#This Row],[Tags]],", ",",")&amp;",")),"Y","N")</f>
        <v>N</v>
      </c>
    </row>
    <row r="875" spans="1:16" x14ac:dyDescent="0.35">
      <c r="A875">
        <v>39510</v>
      </c>
      <c r="B875" t="s">
        <v>1913</v>
      </c>
      <c r="C875" s="1">
        <v>38685</v>
      </c>
      <c r="D875">
        <v>404</v>
      </c>
      <c r="E875" t="b">
        <v>0</v>
      </c>
      <c r="F875" t="s">
        <v>915</v>
      </c>
      <c r="G875" t="s">
        <v>24</v>
      </c>
      <c r="H875">
        <v>875</v>
      </c>
      <c r="I875" t="s">
        <v>2083</v>
      </c>
      <c r="J875" s="3" t="str">
        <f>IF(ISNUMBER(SEARCH(",Action,",","&amp;SUBSTITUTE(TableMain[[#This Row],[Tags]],", ",",")&amp;",")),"Y","N")</f>
        <v>Y</v>
      </c>
      <c r="K875" s="3" t="str">
        <f>IF(ISNUMBER(SEARCH(",Indie,",","&amp;SUBSTITUTE(TableMain[[#This Row],[Tags]],", ",",")&amp;",")),"Y","N")</f>
        <v>N</v>
      </c>
      <c r="L875" s="3" t="str">
        <f>IF(ISNUMBER(SEARCH(",Adventure,",","&amp;SUBSTITUTE(TableMain[[#This Row],[Tags]],", ",",")&amp;",")),"Y","N")</f>
        <v>N</v>
      </c>
      <c r="M875" s="3" t="str">
        <f>IF(ISNUMBER(SEARCH(",Simulation,",","&amp;SUBSTITUTE(TableMain[[#This Row],[Tags]],", ",",")&amp;",")),"Y","N")</f>
        <v>N</v>
      </c>
      <c r="N875" s="3" t="str">
        <f>IF(ISNUMBER(SEARCH(",RPG,",","&amp;SUBSTITUTE(TableMain[[#This Row],[Tags]],", ",",")&amp;",")),"Y","N")</f>
        <v>Y</v>
      </c>
      <c r="O875" s="3" t="str">
        <f>IF(ISNUMBER(SEARCH(",Strategy,",","&amp;SUBSTITUTE(TableMain[[#This Row],[Tags]],", ",",")&amp;",")),"Y","N")</f>
        <v>N</v>
      </c>
      <c r="P875" s="3" t="str">
        <f>IF(ISNUMBER(SEARCH(",Free To Play,",","&amp;SUBSTITUTE(TableMain[[#This Row],[Tags]],", ",",")&amp;",")),"Y","N")</f>
        <v>N</v>
      </c>
    </row>
    <row r="876" spans="1:16" x14ac:dyDescent="0.35">
      <c r="A876">
        <v>1637320</v>
      </c>
      <c r="B876" t="s">
        <v>1914</v>
      </c>
      <c r="C876" s="1">
        <v>44831</v>
      </c>
      <c r="D876">
        <v>402</v>
      </c>
      <c r="E876" t="b">
        <v>1</v>
      </c>
      <c r="F876" t="s">
        <v>1915</v>
      </c>
      <c r="G876" t="s">
        <v>476</v>
      </c>
      <c r="H876">
        <v>877</v>
      </c>
      <c r="I876" t="s">
        <v>14</v>
      </c>
      <c r="J876" s="3" t="str">
        <f>IF(ISNUMBER(SEARCH(",Action,",","&amp;SUBSTITUTE(TableMain[[#This Row],[Tags]],", ",",")&amp;",")),"Y","N")</f>
        <v>Y</v>
      </c>
      <c r="K876" s="3" t="str">
        <f>IF(ISNUMBER(SEARCH(",Indie,",","&amp;SUBSTITUTE(TableMain[[#This Row],[Tags]],", ",",")&amp;",")),"Y","N")</f>
        <v>Y</v>
      </c>
      <c r="L876" s="3" t="str">
        <f>IF(ISNUMBER(SEARCH(",Adventure,",","&amp;SUBSTITUTE(TableMain[[#This Row],[Tags]],", ",",")&amp;",")),"Y","N")</f>
        <v>Y</v>
      </c>
      <c r="M876" s="3" t="str">
        <f>IF(ISNUMBER(SEARCH(",Simulation,",","&amp;SUBSTITUTE(TableMain[[#This Row],[Tags]],", ",",")&amp;",")),"Y","N")</f>
        <v>Y</v>
      </c>
      <c r="N876" s="3" t="str">
        <f>IF(ISNUMBER(SEARCH(",RPG,",","&amp;SUBSTITUTE(TableMain[[#This Row],[Tags]],", ",",")&amp;",")),"Y","N")</f>
        <v>N</v>
      </c>
      <c r="O876" s="3" t="str">
        <f>IF(ISNUMBER(SEARCH(",Strategy,",","&amp;SUBSTITUTE(TableMain[[#This Row],[Tags]],", ",",")&amp;",")),"Y","N")</f>
        <v>N</v>
      </c>
      <c r="P876" s="3" t="str">
        <f>IF(ISNUMBER(SEARCH(",Free To Play,",","&amp;SUBSTITUTE(TableMain[[#This Row],[Tags]],", ",",")&amp;",")),"Y","N")</f>
        <v>N</v>
      </c>
    </row>
    <row r="877" spans="1:16" x14ac:dyDescent="0.35">
      <c r="A877">
        <v>237310</v>
      </c>
      <c r="B877" t="s">
        <v>1916</v>
      </c>
      <c r="C877" s="1">
        <v>41822</v>
      </c>
      <c r="D877">
        <v>401</v>
      </c>
      <c r="E877" t="b">
        <v>0</v>
      </c>
      <c r="F877" t="s">
        <v>1917</v>
      </c>
      <c r="G877" t="s">
        <v>330</v>
      </c>
      <c r="H877">
        <v>878</v>
      </c>
      <c r="I877" t="s">
        <v>2082</v>
      </c>
      <c r="J877" s="3" t="str">
        <f>IF(ISNUMBER(SEARCH(",Action,",","&amp;SUBSTITUTE(TableMain[[#This Row],[Tags]],", ",",")&amp;",")),"Y","N")</f>
        <v>Y</v>
      </c>
      <c r="K877" s="3" t="str">
        <f>IF(ISNUMBER(SEARCH(",Indie,",","&amp;SUBSTITUTE(TableMain[[#This Row],[Tags]],", ",",")&amp;",")),"Y","N")</f>
        <v>N</v>
      </c>
      <c r="L877" s="3" t="str">
        <f>IF(ISNUMBER(SEARCH(",Adventure,",","&amp;SUBSTITUTE(TableMain[[#This Row],[Tags]],", ",",")&amp;",")),"Y","N")</f>
        <v>Y</v>
      </c>
      <c r="M877" s="3" t="str">
        <f>IF(ISNUMBER(SEARCH(",Simulation,",","&amp;SUBSTITUTE(TableMain[[#This Row],[Tags]],", ",",")&amp;",")),"Y","N")</f>
        <v>N</v>
      </c>
      <c r="N877" s="3" t="str">
        <f>IF(ISNUMBER(SEARCH(",RPG,",","&amp;SUBSTITUTE(TableMain[[#This Row],[Tags]],", ",",")&amp;",")),"Y","N")</f>
        <v>Y</v>
      </c>
      <c r="O877" s="3" t="str">
        <f>IF(ISNUMBER(SEARCH(",Strategy,",","&amp;SUBSTITUTE(TableMain[[#This Row],[Tags]],", ",",")&amp;",")),"Y","N")</f>
        <v>N</v>
      </c>
      <c r="P877" s="3" t="str">
        <f>IF(ISNUMBER(SEARCH(",Free To Play,",","&amp;SUBSTITUTE(TableMain[[#This Row],[Tags]],", ",",")&amp;",")),"Y","N")</f>
        <v>Y</v>
      </c>
    </row>
    <row r="878" spans="1:16" x14ac:dyDescent="0.35">
      <c r="A878">
        <v>265970</v>
      </c>
      <c r="B878" t="s">
        <v>1918</v>
      </c>
      <c r="C878" s="1">
        <v>42082</v>
      </c>
      <c r="D878">
        <v>401</v>
      </c>
      <c r="E878" t="b">
        <v>1</v>
      </c>
      <c r="F878" t="s">
        <v>1919</v>
      </c>
      <c r="G878" t="s">
        <v>844</v>
      </c>
      <c r="H878">
        <v>878</v>
      </c>
      <c r="I878" t="s">
        <v>2084</v>
      </c>
      <c r="J878" s="3" t="str">
        <f>IF(ISNUMBER(SEARCH(",Action,",","&amp;SUBSTITUTE(TableMain[[#This Row],[Tags]],", ",",")&amp;",")),"Y","N")</f>
        <v>N</v>
      </c>
      <c r="K878" s="3" t="str">
        <f>IF(ISNUMBER(SEARCH(",Indie,",","&amp;SUBSTITUTE(TableMain[[#This Row],[Tags]],", ",",")&amp;",")),"Y","N")</f>
        <v>N</v>
      </c>
      <c r="L878" s="3" t="str">
        <f>IF(ISNUMBER(SEARCH(",Adventure,",","&amp;SUBSTITUTE(TableMain[[#This Row],[Tags]],", ",",")&amp;",")),"Y","N")</f>
        <v>N</v>
      </c>
      <c r="M878" s="3" t="str">
        <f>IF(ISNUMBER(SEARCH(",Simulation,",","&amp;SUBSTITUTE(TableMain[[#This Row],[Tags]],", ",",")&amp;",")),"Y","N")</f>
        <v>N</v>
      </c>
      <c r="N878" s="3" t="str">
        <f>IF(ISNUMBER(SEARCH(",RPG,",","&amp;SUBSTITUTE(TableMain[[#This Row],[Tags]],", ",",")&amp;",")),"Y","N")</f>
        <v>Y</v>
      </c>
      <c r="O878" s="3" t="str">
        <f>IF(ISNUMBER(SEARCH(",Strategy,",","&amp;SUBSTITUTE(TableMain[[#This Row],[Tags]],", ",",")&amp;",")),"Y","N")</f>
        <v>Y</v>
      </c>
      <c r="P878" s="3" t="str">
        <f>IF(ISNUMBER(SEARCH(",Free To Play,",","&amp;SUBSTITUTE(TableMain[[#This Row],[Tags]],", ",",")&amp;",")),"Y","N")</f>
        <v>N</v>
      </c>
    </row>
    <row r="879" spans="1:16" x14ac:dyDescent="0.35">
      <c r="A879">
        <v>463530</v>
      </c>
      <c r="B879" t="s">
        <v>1920</v>
      </c>
      <c r="C879" s="1">
        <v>45450</v>
      </c>
      <c r="D879">
        <v>399</v>
      </c>
      <c r="E879" t="b">
        <v>1</v>
      </c>
      <c r="F879" t="s">
        <v>324</v>
      </c>
      <c r="G879" t="s">
        <v>100</v>
      </c>
      <c r="H879">
        <v>880</v>
      </c>
      <c r="I879" t="s">
        <v>110</v>
      </c>
      <c r="J879" s="3" t="str">
        <f>IF(ISNUMBER(SEARCH(",Action,",","&amp;SUBSTITUTE(TableMain[[#This Row],[Tags]],", ",",")&amp;",")),"Y","N")</f>
        <v>N</v>
      </c>
      <c r="K879" s="3" t="str">
        <f>IF(ISNUMBER(SEARCH(",Indie,",","&amp;SUBSTITUTE(TableMain[[#This Row],[Tags]],", ",",")&amp;",")),"Y","N")</f>
        <v>N</v>
      </c>
      <c r="L879" s="3" t="str">
        <f>IF(ISNUMBER(SEARCH(",Adventure,",","&amp;SUBSTITUTE(TableMain[[#This Row],[Tags]],", ",",")&amp;",")),"Y","N")</f>
        <v>N</v>
      </c>
      <c r="M879" s="3" t="str">
        <f>IF(ISNUMBER(SEARCH(",Simulation,",","&amp;SUBSTITUTE(TableMain[[#This Row],[Tags]],", ",",")&amp;",")),"Y","N")</f>
        <v>Y</v>
      </c>
      <c r="N879" s="3" t="str">
        <f>IF(ISNUMBER(SEARCH(",RPG,",","&amp;SUBSTITUTE(TableMain[[#This Row],[Tags]],", ",",")&amp;",")),"Y","N")</f>
        <v>N</v>
      </c>
      <c r="O879" s="3" t="str">
        <f>IF(ISNUMBER(SEARCH(",Strategy,",","&amp;SUBSTITUTE(TableMain[[#This Row],[Tags]],", ",",")&amp;",")),"Y","N")</f>
        <v>Y</v>
      </c>
      <c r="P879" s="3" t="str">
        <f>IF(ISNUMBER(SEARCH(",Free To Play,",","&amp;SUBSTITUTE(TableMain[[#This Row],[Tags]],", ",",")&amp;",")),"Y","N")</f>
        <v>N</v>
      </c>
    </row>
    <row r="880" spans="1:16" x14ac:dyDescent="0.35">
      <c r="A880">
        <v>10180</v>
      </c>
      <c r="B880" t="s">
        <v>1921</v>
      </c>
      <c r="C880" s="1">
        <v>40128</v>
      </c>
      <c r="D880">
        <v>399</v>
      </c>
      <c r="E880" t="b">
        <v>1</v>
      </c>
      <c r="F880" t="s">
        <v>1922</v>
      </c>
      <c r="G880" t="s">
        <v>49</v>
      </c>
      <c r="H880">
        <v>880</v>
      </c>
      <c r="I880" t="s">
        <v>2088</v>
      </c>
      <c r="J880" s="3" t="str">
        <f>IF(ISNUMBER(SEARCH(",Action,",","&amp;SUBSTITUTE(TableMain[[#This Row],[Tags]],", ",",")&amp;",")),"Y","N")</f>
        <v>Y</v>
      </c>
      <c r="K880" s="3" t="str">
        <f>IF(ISNUMBER(SEARCH(",Indie,",","&amp;SUBSTITUTE(TableMain[[#This Row],[Tags]],", ",",")&amp;",")),"Y","N")</f>
        <v>N</v>
      </c>
      <c r="L880" s="3" t="str">
        <f>IF(ISNUMBER(SEARCH(",Adventure,",","&amp;SUBSTITUTE(TableMain[[#This Row],[Tags]],", ",",")&amp;",")),"Y","N")</f>
        <v>N</v>
      </c>
      <c r="M880" s="3" t="str">
        <f>IF(ISNUMBER(SEARCH(",Simulation,",","&amp;SUBSTITUTE(TableMain[[#This Row],[Tags]],", ",",")&amp;",")),"Y","N")</f>
        <v>N</v>
      </c>
      <c r="N880" s="3" t="str">
        <f>IF(ISNUMBER(SEARCH(",RPG,",","&amp;SUBSTITUTE(TableMain[[#This Row],[Tags]],", ",",")&amp;",")),"Y","N")</f>
        <v>N</v>
      </c>
      <c r="O880" s="3" t="str">
        <f>IF(ISNUMBER(SEARCH(",Strategy,",","&amp;SUBSTITUTE(TableMain[[#This Row],[Tags]],", ",",")&amp;",")),"Y","N")</f>
        <v>N</v>
      </c>
      <c r="P880" s="3" t="str">
        <f>IF(ISNUMBER(SEARCH(",Free To Play,",","&amp;SUBSTITUTE(TableMain[[#This Row],[Tags]],", ",",")&amp;",")),"Y","N")</f>
        <v>N</v>
      </c>
    </row>
    <row r="881" spans="1:16" x14ac:dyDescent="0.35">
      <c r="A881">
        <v>1971650</v>
      </c>
      <c r="B881" t="s">
        <v>1923</v>
      </c>
      <c r="C881" s="1">
        <v>44981</v>
      </c>
      <c r="D881">
        <v>398</v>
      </c>
      <c r="E881" t="b">
        <v>0</v>
      </c>
      <c r="F881" t="s">
        <v>324</v>
      </c>
      <c r="G881" t="s">
        <v>132</v>
      </c>
      <c r="H881">
        <v>882</v>
      </c>
      <c r="I881" t="s">
        <v>53</v>
      </c>
      <c r="J881" s="3" t="str">
        <f>IF(ISNUMBER(SEARCH(",Action,",","&amp;SUBSTITUTE(TableMain[[#This Row],[Tags]],", ",",")&amp;",")),"Y","N")</f>
        <v>N</v>
      </c>
      <c r="K881" s="3" t="str">
        <f>IF(ISNUMBER(SEARCH(",Indie,",","&amp;SUBSTITUTE(TableMain[[#This Row],[Tags]],", ",",")&amp;",")),"Y","N")</f>
        <v>N</v>
      </c>
      <c r="L881" s="3" t="str">
        <f>IF(ISNUMBER(SEARCH(",Adventure,",","&amp;SUBSTITUTE(TableMain[[#This Row],[Tags]],", ",",")&amp;",")),"Y","N")</f>
        <v>N</v>
      </c>
      <c r="M881" s="3" t="str">
        <f>IF(ISNUMBER(SEARCH(",Simulation,",","&amp;SUBSTITUTE(TableMain[[#This Row],[Tags]],", ",",")&amp;",")),"Y","N")</f>
        <v>N</v>
      </c>
      <c r="N881" s="3" t="str">
        <f>IF(ISNUMBER(SEARCH(",RPG,",","&amp;SUBSTITUTE(TableMain[[#This Row],[Tags]],", ",",")&amp;",")),"Y","N")</f>
        <v>Y</v>
      </c>
      <c r="O881" s="3" t="str">
        <f>IF(ISNUMBER(SEARCH(",Strategy,",","&amp;SUBSTITUTE(TableMain[[#This Row],[Tags]],", ",",")&amp;",")),"Y","N")</f>
        <v>N</v>
      </c>
      <c r="P881" s="3" t="str">
        <f>IF(ISNUMBER(SEARCH(",Free To Play,",","&amp;SUBSTITUTE(TableMain[[#This Row],[Tags]],", ",",")&amp;",")),"Y","N")</f>
        <v>N</v>
      </c>
    </row>
    <row r="882" spans="1:16" x14ac:dyDescent="0.35">
      <c r="A882">
        <v>1096530</v>
      </c>
      <c r="B882" t="s">
        <v>1924</v>
      </c>
      <c r="C882" s="1">
        <v>44343</v>
      </c>
      <c r="D882">
        <v>396</v>
      </c>
      <c r="E882" t="b">
        <v>1</v>
      </c>
      <c r="F882" t="s">
        <v>1925</v>
      </c>
      <c r="G882" t="s">
        <v>56</v>
      </c>
      <c r="H882">
        <v>883</v>
      </c>
      <c r="I882" t="s">
        <v>593</v>
      </c>
      <c r="J882" s="3" t="str">
        <f>IF(ISNUMBER(SEARCH(",Action,",","&amp;SUBSTITUTE(TableMain[[#This Row],[Tags]],", ",",")&amp;",")),"Y","N")</f>
        <v>N</v>
      </c>
      <c r="K882" s="3" t="str">
        <f>IF(ISNUMBER(SEARCH(",Indie,",","&amp;SUBSTITUTE(TableMain[[#This Row],[Tags]],", ",",")&amp;",")),"Y","N")</f>
        <v>N</v>
      </c>
      <c r="L882" s="3" t="str">
        <f>IF(ISNUMBER(SEARCH(",Adventure,",","&amp;SUBSTITUTE(TableMain[[#This Row],[Tags]],", ",",")&amp;",")),"Y","N")</f>
        <v>Y</v>
      </c>
      <c r="M882" s="3" t="str">
        <f>IF(ISNUMBER(SEARCH(",Simulation,",","&amp;SUBSTITUTE(TableMain[[#This Row],[Tags]],", ",",")&amp;",")),"Y","N")</f>
        <v>N</v>
      </c>
      <c r="N882" s="3" t="str">
        <f>IF(ISNUMBER(SEARCH(",RPG,",","&amp;SUBSTITUTE(TableMain[[#This Row],[Tags]],", ",",")&amp;",")),"Y","N")</f>
        <v>Y</v>
      </c>
      <c r="O882" s="3" t="str">
        <f>IF(ISNUMBER(SEARCH(",Strategy,",","&amp;SUBSTITUTE(TableMain[[#This Row],[Tags]],", ",",")&amp;",")),"Y","N")</f>
        <v>Y</v>
      </c>
      <c r="P882" s="3" t="str">
        <f>IF(ISNUMBER(SEARCH(",Free To Play,",","&amp;SUBSTITUTE(TableMain[[#This Row],[Tags]],", ",",")&amp;",")),"Y","N")</f>
        <v>N</v>
      </c>
    </row>
    <row r="883" spans="1:16" x14ac:dyDescent="0.35">
      <c r="A883">
        <v>47810</v>
      </c>
      <c r="B883" t="s">
        <v>1926</v>
      </c>
      <c r="C883" s="1">
        <v>40477</v>
      </c>
      <c r="D883">
        <v>394</v>
      </c>
      <c r="E883" t="b">
        <v>0</v>
      </c>
      <c r="F883" t="s">
        <v>915</v>
      </c>
      <c r="G883" t="s">
        <v>132</v>
      </c>
      <c r="H883">
        <v>884</v>
      </c>
      <c r="I883" t="s">
        <v>2095</v>
      </c>
      <c r="J883" s="3" t="str">
        <f>IF(ISNUMBER(SEARCH(",Action,",","&amp;SUBSTITUTE(TableMain[[#This Row],[Tags]],", ",",")&amp;",")),"Y","N")</f>
        <v>N</v>
      </c>
      <c r="K883" s="3" t="str">
        <f>IF(ISNUMBER(SEARCH(",Indie,",","&amp;SUBSTITUTE(TableMain[[#This Row],[Tags]],", ",",")&amp;",")),"Y","N")</f>
        <v>N</v>
      </c>
      <c r="L883" s="3" t="str">
        <f>IF(ISNUMBER(SEARCH(",Adventure,",","&amp;SUBSTITUTE(TableMain[[#This Row],[Tags]],", ",",")&amp;",")),"Y","N")</f>
        <v>N</v>
      </c>
      <c r="M883" s="3" t="str">
        <f>IF(ISNUMBER(SEARCH(",Simulation,",","&amp;SUBSTITUTE(TableMain[[#This Row],[Tags]],", ",",")&amp;",")),"Y","N")</f>
        <v>N</v>
      </c>
      <c r="N883" s="3" t="str">
        <f>IF(ISNUMBER(SEARCH(",RPG,",","&amp;SUBSTITUTE(TableMain[[#This Row],[Tags]],", ",",")&amp;",")),"Y","N")</f>
        <v>Y</v>
      </c>
      <c r="O883" s="3" t="str">
        <f>IF(ISNUMBER(SEARCH(",Strategy,",","&amp;SUBSTITUTE(TableMain[[#This Row],[Tags]],", ",",")&amp;",")),"Y","N")</f>
        <v>N</v>
      </c>
      <c r="P883" s="3" t="str">
        <f>IF(ISNUMBER(SEARCH(",Free To Play,",","&amp;SUBSTITUTE(TableMain[[#This Row],[Tags]],", ",",")&amp;",")),"Y","N")</f>
        <v>N</v>
      </c>
    </row>
    <row r="884" spans="1:16" x14ac:dyDescent="0.35">
      <c r="A884">
        <v>2138710</v>
      </c>
      <c r="B884" t="s">
        <v>1927</v>
      </c>
      <c r="C884" s="1">
        <v>45013</v>
      </c>
      <c r="D884">
        <v>394</v>
      </c>
      <c r="E884" t="b">
        <v>0</v>
      </c>
      <c r="F884" t="s">
        <v>416</v>
      </c>
      <c r="G884" t="s">
        <v>116</v>
      </c>
      <c r="H884">
        <v>884</v>
      </c>
      <c r="I884" t="s">
        <v>33</v>
      </c>
      <c r="J884" s="3" t="str">
        <f>IF(ISNUMBER(SEARCH(",Action,",","&amp;SUBSTITUTE(TableMain[[#This Row],[Tags]],", ",",")&amp;",")),"Y","N")</f>
        <v>Y</v>
      </c>
      <c r="K884" s="3" t="str">
        <f>IF(ISNUMBER(SEARCH(",Indie,",","&amp;SUBSTITUTE(TableMain[[#This Row],[Tags]],", ",",")&amp;",")),"Y","N")</f>
        <v>Y</v>
      </c>
      <c r="L884" s="3" t="str">
        <f>IF(ISNUMBER(SEARCH(",Adventure,",","&amp;SUBSTITUTE(TableMain[[#This Row],[Tags]],", ",",")&amp;",")),"Y","N")</f>
        <v>N</v>
      </c>
      <c r="M884" s="3" t="str">
        <f>IF(ISNUMBER(SEARCH(",Simulation,",","&amp;SUBSTITUTE(TableMain[[#This Row],[Tags]],", ",",")&amp;",")),"Y","N")</f>
        <v>N</v>
      </c>
      <c r="N884" s="3" t="str">
        <f>IF(ISNUMBER(SEARCH(",RPG,",","&amp;SUBSTITUTE(TableMain[[#This Row],[Tags]],", ",",")&amp;",")),"Y","N")</f>
        <v>N</v>
      </c>
      <c r="O884" s="3" t="str">
        <f>IF(ISNUMBER(SEARCH(",Strategy,",","&amp;SUBSTITUTE(TableMain[[#This Row],[Tags]],", ",",")&amp;",")),"Y","N")</f>
        <v>N</v>
      </c>
      <c r="P884" s="3" t="str">
        <f>IF(ISNUMBER(SEARCH(",Free To Play,",","&amp;SUBSTITUTE(TableMain[[#This Row],[Tags]],", ",",")&amp;",")),"Y","N")</f>
        <v>N</v>
      </c>
    </row>
    <row r="885" spans="1:16" x14ac:dyDescent="0.35">
      <c r="A885">
        <v>342200</v>
      </c>
      <c r="B885" t="s">
        <v>1928</v>
      </c>
      <c r="C885" s="1">
        <v>42348</v>
      </c>
      <c r="D885">
        <v>392</v>
      </c>
      <c r="E885" t="b">
        <v>0</v>
      </c>
      <c r="F885" t="s">
        <v>1929</v>
      </c>
      <c r="G885" t="s">
        <v>316</v>
      </c>
      <c r="H885">
        <v>886</v>
      </c>
      <c r="I885" t="s">
        <v>2091</v>
      </c>
      <c r="J885" s="3" t="str">
        <f>IF(ISNUMBER(SEARCH(",Action,",","&amp;SUBSTITUTE(TableMain[[#This Row],[Tags]],", ",",")&amp;",")),"Y","N")</f>
        <v>Y</v>
      </c>
      <c r="K885" s="3" t="str">
        <f>IF(ISNUMBER(SEARCH(",Indie,",","&amp;SUBSTITUTE(TableMain[[#This Row],[Tags]],", ",",")&amp;",")),"Y","N")</f>
        <v>N</v>
      </c>
      <c r="L885" s="3" t="str">
        <f>IF(ISNUMBER(SEARCH(",Adventure,",","&amp;SUBSTITUTE(TableMain[[#This Row],[Tags]],", ",",")&amp;",")),"Y","N")</f>
        <v>N</v>
      </c>
      <c r="M885" s="3" t="str">
        <f>IF(ISNUMBER(SEARCH(",Simulation,",","&amp;SUBSTITUTE(TableMain[[#This Row],[Tags]],", ",",")&amp;",")),"Y","N")</f>
        <v>Y</v>
      </c>
      <c r="N885" s="3" t="str">
        <f>IF(ISNUMBER(SEARCH(",RPG,",","&amp;SUBSTITUTE(TableMain[[#This Row],[Tags]],", ",",")&amp;",")),"Y","N")</f>
        <v>N</v>
      </c>
      <c r="O885" s="3" t="str">
        <f>IF(ISNUMBER(SEARCH(",Strategy,",","&amp;SUBSTITUTE(TableMain[[#This Row],[Tags]],", ",",")&amp;",")),"Y","N")</f>
        <v>Y</v>
      </c>
      <c r="P885" s="3" t="str">
        <f>IF(ISNUMBER(SEARCH(",Free To Play,",","&amp;SUBSTITUTE(TableMain[[#This Row],[Tags]],", ",",")&amp;",")),"Y","N")</f>
        <v>Y</v>
      </c>
    </row>
    <row r="886" spans="1:16" x14ac:dyDescent="0.35">
      <c r="A886">
        <v>371970</v>
      </c>
      <c r="B886" t="s">
        <v>1930</v>
      </c>
      <c r="C886" s="1">
        <v>42178</v>
      </c>
      <c r="D886">
        <v>390</v>
      </c>
      <c r="E886" t="b">
        <v>1</v>
      </c>
      <c r="F886" t="s">
        <v>1931</v>
      </c>
      <c r="G886" t="s">
        <v>138</v>
      </c>
      <c r="H886">
        <v>887</v>
      </c>
      <c r="I886" t="s">
        <v>2087</v>
      </c>
      <c r="J886" s="3" t="str">
        <f>IF(ISNUMBER(SEARCH(",Action,",","&amp;SUBSTITUTE(TableMain[[#This Row],[Tags]],", ",",")&amp;",")),"Y","N")</f>
        <v>Y</v>
      </c>
      <c r="K886" s="3" t="str">
        <f>IF(ISNUMBER(SEARCH(",Indie,",","&amp;SUBSTITUTE(TableMain[[#This Row],[Tags]],", ",",")&amp;",")),"Y","N")</f>
        <v>Y</v>
      </c>
      <c r="L886" s="3" t="str">
        <f>IF(ISNUMBER(SEARCH(",Adventure,",","&amp;SUBSTITUTE(TableMain[[#This Row],[Tags]],", ",",")&amp;",")),"Y","N")</f>
        <v>Y</v>
      </c>
      <c r="M886" s="3" t="str">
        <f>IF(ISNUMBER(SEARCH(",Simulation,",","&amp;SUBSTITUTE(TableMain[[#This Row],[Tags]],", ",",")&amp;",")),"Y","N")</f>
        <v>N</v>
      </c>
      <c r="N886" s="3" t="str">
        <f>IF(ISNUMBER(SEARCH(",RPG,",","&amp;SUBSTITUTE(TableMain[[#This Row],[Tags]],", ",",")&amp;",")),"Y","N")</f>
        <v>Y</v>
      </c>
      <c r="O886" s="3" t="str">
        <f>IF(ISNUMBER(SEARCH(",Strategy,",","&amp;SUBSTITUTE(TableMain[[#This Row],[Tags]],", ",",")&amp;",")),"Y","N")</f>
        <v>N</v>
      </c>
      <c r="P886" s="3" t="str">
        <f>IF(ISNUMBER(SEARCH(",Free To Play,",","&amp;SUBSTITUTE(TableMain[[#This Row],[Tags]],", ",",")&amp;",")),"Y","N")</f>
        <v>N</v>
      </c>
    </row>
    <row r="887" spans="1:16" x14ac:dyDescent="0.35">
      <c r="A887">
        <v>2370570</v>
      </c>
      <c r="B887" t="s">
        <v>1932</v>
      </c>
      <c r="C887" s="1">
        <v>45054</v>
      </c>
      <c r="D887">
        <v>389</v>
      </c>
      <c r="E887" t="b">
        <v>0</v>
      </c>
      <c r="F887" t="s">
        <v>1933</v>
      </c>
      <c r="G887" t="s">
        <v>1934</v>
      </c>
      <c r="H887">
        <v>888</v>
      </c>
      <c r="I887" t="s">
        <v>304</v>
      </c>
      <c r="J887" s="3" t="str">
        <f>IF(ISNUMBER(SEARCH(",Action,",","&amp;SUBSTITUTE(TableMain[[#This Row],[Tags]],", ",",")&amp;",")),"Y","N")</f>
        <v>N</v>
      </c>
      <c r="K887" s="3" t="str">
        <f>IF(ISNUMBER(SEARCH(",Indie,",","&amp;SUBSTITUTE(TableMain[[#This Row],[Tags]],", ",",")&amp;",")),"Y","N")</f>
        <v>Y</v>
      </c>
      <c r="L887" s="3" t="str">
        <f>IF(ISNUMBER(SEARCH(",Adventure,",","&amp;SUBSTITUTE(TableMain[[#This Row],[Tags]],", ",",")&amp;",")),"Y","N")</f>
        <v>N</v>
      </c>
      <c r="M887" s="3" t="str">
        <f>IF(ISNUMBER(SEARCH(",Simulation,",","&amp;SUBSTITUTE(TableMain[[#This Row],[Tags]],", ",",")&amp;",")),"Y","N")</f>
        <v>N</v>
      </c>
      <c r="N887" s="3" t="str">
        <f>IF(ISNUMBER(SEARCH(",RPG,",","&amp;SUBSTITUTE(TableMain[[#This Row],[Tags]],", ",",")&amp;",")),"Y","N")</f>
        <v>N</v>
      </c>
      <c r="O887" s="3" t="str">
        <f>IF(ISNUMBER(SEARCH(",Strategy,",","&amp;SUBSTITUTE(TableMain[[#This Row],[Tags]],", ",",")&amp;",")),"Y","N")</f>
        <v>N</v>
      </c>
      <c r="P887" s="3" t="str">
        <f>IF(ISNUMBER(SEARCH(",Free To Play,",","&amp;SUBSTITUTE(TableMain[[#This Row],[Tags]],", ",",")&amp;",")),"Y","N")</f>
        <v>N</v>
      </c>
    </row>
    <row r="888" spans="1:16" x14ac:dyDescent="0.35">
      <c r="A888">
        <v>243470</v>
      </c>
      <c r="B888" t="s">
        <v>1935</v>
      </c>
      <c r="C888" s="1">
        <v>41785</v>
      </c>
      <c r="D888">
        <v>388</v>
      </c>
      <c r="E888" t="b">
        <v>0</v>
      </c>
      <c r="F888" t="s">
        <v>1936</v>
      </c>
      <c r="G888" t="s">
        <v>46</v>
      </c>
      <c r="H888">
        <v>889</v>
      </c>
      <c r="I888" t="s">
        <v>967</v>
      </c>
      <c r="J888" s="3" t="str">
        <f>IF(ISNUMBER(SEARCH(",Action,",","&amp;SUBSTITUTE(TableMain[[#This Row],[Tags]],", ",",")&amp;",")),"Y","N")</f>
        <v>Y</v>
      </c>
      <c r="K888" s="3" t="str">
        <f>IF(ISNUMBER(SEARCH(",Indie,",","&amp;SUBSTITUTE(TableMain[[#This Row],[Tags]],", ",",")&amp;",")),"Y","N")</f>
        <v>N</v>
      </c>
      <c r="L888" s="3" t="str">
        <f>IF(ISNUMBER(SEARCH(",Adventure,",","&amp;SUBSTITUTE(TableMain[[#This Row],[Tags]],", ",",")&amp;",")),"Y","N")</f>
        <v>Y</v>
      </c>
      <c r="M888" s="3" t="str">
        <f>IF(ISNUMBER(SEARCH(",Simulation,",","&amp;SUBSTITUTE(TableMain[[#This Row],[Tags]],", ",",")&amp;",")),"Y","N")</f>
        <v>N</v>
      </c>
      <c r="N888" s="3" t="str">
        <f>IF(ISNUMBER(SEARCH(",RPG,",","&amp;SUBSTITUTE(TableMain[[#This Row],[Tags]],", ",",")&amp;",")),"Y","N")</f>
        <v>N</v>
      </c>
      <c r="O888" s="3" t="str">
        <f>IF(ISNUMBER(SEARCH(",Strategy,",","&amp;SUBSTITUTE(TableMain[[#This Row],[Tags]],", ",",")&amp;",")),"Y","N")</f>
        <v>N</v>
      </c>
      <c r="P888" s="3" t="str">
        <f>IF(ISNUMBER(SEARCH(",Free To Play,",","&amp;SUBSTITUTE(TableMain[[#This Row],[Tags]],", ",",")&amp;",")),"Y","N")</f>
        <v>N</v>
      </c>
    </row>
    <row r="889" spans="1:16" x14ac:dyDescent="0.35">
      <c r="A889">
        <v>78000</v>
      </c>
      <c r="B889" t="s">
        <v>1937</v>
      </c>
      <c r="C889" s="1">
        <v>40519</v>
      </c>
      <c r="D889">
        <v>387</v>
      </c>
      <c r="E889" t="b">
        <v>1</v>
      </c>
      <c r="F889" t="s">
        <v>658</v>
      </c>
      <c r="G889" t="s">
        <v>1287</v>
      </c>
      <c r="H889">
        <v>890</v>
      </c>
      <c r="I889" t="s">
        <v>2084</v>
      </c>
      <c r="J889" s="3" t="str">
        <f>IF(ISNUMBER(SEARCH(",Action,",","&amp;SUBSTITUTE(TableMain[[#This Row],[Tags]],", ",",")&amp;",")),"Y","N")</f>
        <v>N</v>
      </c>
      <c r="K889" s="3" t="str">
        <f>IF(ISNUMBER(SEARCH(",Indie,",","&amp;SUBSTITUTE(TableMain[[#This Row],[Tags]],", ",",")&amp;",")),"Y","N")</f>
        <v>N</v>
      </c>
      <c r="L889" s="3" t="str">
        <f>IF(ISNUMBER(SEARCH(",Adventure,",","&amp;SUBSTITUTE(TableMain[[#This Row],[Tags]],", ",",")&amp;",")),"Y","N")</f>
        <v>N</v>
      </c>
      <c r="M889" s="3" t="str">
        <f>IF(ISNUMBER(SEARCH(",Simulation,",","&amp;SUBSTITUTE(TableMain[[#This Row],[Tags]],", ",",")&amp;",")),"Y","N")</f>
        <v>N</v>
      </c>
      <c r="N889" s="3" t="str">
        <f>IF(ISNUMBER(SEARCH(",RPG,",","&amp;SUBSTITUTE(TableMain[[#This Row],[Tags]],", ",",")&amp;",")),"Y","N")</f>
        <v>N</v>
      </c>
      <c r="O889" s="3" t="str">
        <f>IF(ISNUMBER(SEARCH(",Strategy,",","&amp;SUBSTITUTE(TableMain[[#This Row],[Tags]],", ",",")&amp;",")),"Y","N")</f>
        <v>Y</v>
      </c>
      <c r="P889" s="3" t="str">
        <f>IF(ISNUMBER(SEARCH(",Free To Play,",","&amp;SUBSTITUTE(TableMain[[#This Row],[Tags]],", ",",")&amp;",")),"Y","N")</f>
        <v>N</v>
      </c>
    </row>
    <row r="890" spans="1:16" x14ac:dyDescent="0.35">
      <c r="A890">
        <v>868360</v>
      </c>
      <c r="B890" t="s">
        <v>1938</v>
      </c>
      <c r="C890" s="1">
        <v>43403</v>
      </c>
      <c r="D890">
        <v>387</v>
      </c>
      <c r="E890" t="b">
        <v>1</v>
      </c>
      <c r="F890" t="s">
        <v>1939</v>
      </c>
      <c r="G890" t="s">
        <v>160</v>
      </c>
      <c r="H890">
        <v>890</v>
      </c>
      <c r="I890" t="s">
        <v>304</v>
      </c>
      <c r="J890" s="3" t="str">
        <f>IF(ISNUMBER(SEARCH(",Action,",","&amp;SUBSTITUTE(TableMain[[#This Row],[Tags]],", ",",")&amp;",")),"Y","N")</f>
        <v>N</v>
      </c>
      <c r="K890" s="3" t="str">
        <f>IF(ISNUMBER(SEARCH(",Indie,",","&amp;SUBSTITUTE(TableMain[[#This Row],[Tags]],", ",",")&amp;",")),"Y","N")</f>
        <v>Y</v>
      </c>
      <c r="L890" s="3" t="str">
        <f>IF(ISNUMBER(SEARCH(",Adventure,",","&amp;SUBSTITUTE(TableMain[[#This Row],[Tags]],", ",",")&amp;",")),"Y","N")</f>
        <v>N</v>
      </c>
      <c r="M890" s="3" t="str">
        <f>IF(ISNUMBER(SEARCH(",Simulation,",","&amp;SUBSTITUTE(TableMain[[#This Row],[Tags]],", ",",")&amp;",")),"Y","N")</f>
        <v>Y</v>
      </c>
      <c r="N890" s="3" t="str">
        <f>IF(ISNUMBER(SEARCH(",RPG,",","&amp;SUBSTITUTE(TableMain[[#This Row],[Tags]],", ",",")&amp;",")),"Y","N")</f>
        <v>N</v>
      </c>
      <c r="O890" s="3" t="str">
        <f>IF(ISNUMBER(SEARCH(",Strategy,",","&amp;SUBSTITUTE(TableMain[[#This Row],[Tags]],", ",",")&amp;",")),"Y","N")</f>
        <v>Y</v>
      </c>
      <c r="P890" s="3" t="str">
        <f>IF(ISNUMBER(SEARCH(",Free To Play,",","&amp;SUBSTITUTE(TableMain[[#This Row],[Tags]],", ",",")&amp;",")),"Y","N")</f>
        <v>N</v>
      </c>
    </row>
    <row r="891" spans="1:16" x14ac:dyDescent="0.35">
      <c r="A891">
        <v>373420</v>
      </c>
      <c r="B891" t="s">
        <v>1940</v>
      </c>
      <c r="C891" s="1">
        <v>42304</v>
      </c>
      <c r="D891">
        <v>387</v>
      </c>
      <c r="E891" t="b">
        <v>1</v>
      </c>
      <c r="F891" t="s">
        <v>1941</v>
      </c>
      <c r="G891" t="s">
        <v>720</v>
      </c>
      <c r="H891">
        <v>890</v>
      </c>
      <c r="I891" t="s">
        <v>110</v>
      </c>
      <c r="J891" s="3" t="str">
        <f>IF(ISNUMBER(SEARCH(",Action,",","&amp;SUBSTITUTE(TableMain[[#This Row],[Tags]],", ",",")&amp;",")),"Y","N")</f>
        <v>N</v>
      </c>
      <c r="K891" s="3" t="str">
        <f>IF(ISNUMBER(SEARCH(",Indie,",","&amp;SUBSTITUTE(TableMain[[#This Row],[Tags]],", ",",")&amp;",")),"Y","N")</f>
        <v>Y</v>
      </c>
      <c r="L891" s="3" t="str">
        <f>IF(ISNUMBER(SEARCH(",Adventure,",","&amp;SUBSTITUTE(TableMain[[#This Row],[Tags]],", ",",")&amp;",")),"Y","N")</f>
        <v>Y</v>
      </c>
      <c r="M891" s="3" t="str">
        <f>IF(ISNUMBER(SEARCH(",Simulation,",","&amp;SUBSTITUTE(TableMain[[#This Row],[Tags]],", ",",")&amp;",")),"Y","N")</f>
        <v>N</v>
      </c>
      <c r="N891" s="3" t="str">
        <f>IF(ISNUMBER(SEARCH(",RPG,",","&amp;SUBSTITUTE(TableMain[[#This Row],[Tags]],", ",",")&amp;",")),"Y","N")</f>
        <v>Y</v>
      </c>
      <c r="O891" s="3" t="str">
        <f>IF(ISNUMBER(SEARCH(",Strategy,",","&amp;SUBSTITUTE(TableMain[[#This Row],[Tags]],", ",",")&amp;",")),"Y","N")</f>
        <v>Y</v>
      </c>
      <c r="P891" s="3" t="str">
        <f>IF(ISNUMBER(SEARCH(",Free To Play,",","&amp;SUBSTITUTE(TableMain[[#This Row],[Tags]],", ",",")&amp;",")),"Y","N")</f>
        <v>N</v>
      </c>
    </row>
    <row r="892" spans="1:16" x14ac:dyDescent="0.35">
      <c r="A892">
        <v>39140</v>
      </c>
      <c r="B892" t="s">
        <v>1942</v>
      </c>
      <c r="C892" s="1">
        <v>41459</v>
      </c>
      <c r="D892">
        <v>386</v>
      </c>
      <c r="E892" t="b">
        <v>0</v>
      </c>
      <c r="F892" t="s">
        <v>1696</v>
      </c>
      <c r="G892" t="s">
        <v>132</v>
      </c>
      <c r="H892">
        <v>893</v>
      </c>
      <c r="I892" t="s">
        <v>2082</v>
      </c>
      <c r="J892" s="3" t="str">
        <f>IF(ISNUMBER(SEARCH(",Action,",","&amp;SUBSTITUTE(TableMain[[#This Row],[Tags]],", ",",")&amp;",")),"Y","N")</f>
        <v>N</v>
      </c>
      <c r="K892" s="3" t="str">
        <f>IF(ISNUMBER(SEARCH(",Indie,",","&amp;SUBSTITUTE(TableMain[[#This Row],[Tags]],", ",",")&amp;",")),"Y","N")</f>
        <v>N</v>
      </c>
      <c r="L892" s="3" t="str">
        <f>IF(ISNUMBER(SEARCH(",Adventure,",","&amp;SUBSTITUTE(TableMain[[#This Row],[Tags]],", ",",")&amp;",")),"Y","N")</f>
        <v>N</v>
      </c>
      <c r="M892" s="3" t="str">
        <f>IF(ISNUMBER(SEARCH(",Simulation,",","&amp;SUBSTITUTE(TableMain[[#This Row],[Tags]],", ",",")&amp;",")),"Y","N")</f>
        <v>N</v>
      </c>
      <c r="N892" s="3" t="str">
        <f>IF(ISNUMBER(SEARCH(",RPG,",","&amp;SUBSTITUTE(TableMain[[#This Row],[Tags]],", ",",")&amp;",")),"Y","N")</f>
        <v>Y</v>
      </c>
      <c r="O892" s="3" t="str">
        <f>IF(ISNUMBER(SEARCH(",Strategy,",","&amp;SUBSTITUTE(TableMain[[#This Row],[Tags]],", ",",")&amp;",")),"Y","N")</f>
        <v>N</v>
      </c>
      <c r="P892" s="3" t="str">
        <f>IF(ISNUMBER(SEARCH(",Free To Play,",","&amp;SUBSTITUTE(TableMain[[#This Row],[Tags]],", ",",")&amp;",")),"Y","N")</f>
        <v>N</v>
      </c>
    </row>
    <row r="893" spans="1:16" x14ac:dyDescent="0.35">
      <c r="A893">
        <v>1700870</v>
      </c>
      <c r="B893" t="s">
        <v>1943</v>
      </c>
      <c r="C893" s="1">
        <v>44756</v>
      </c>
      <c r="D893">
        <v>386</v>
      </c>
      <c r="E893" t="b">
        <v>0</v>
      </c>
      <c r="F893" t="s">
        <v>1944</v>
      </c>
      <c r="G893" t="s">
        <v>1945</v>
      </c>
      <c r="H893">
        <v>893</v>
      </c>
      <c r="I893" t="s">
        <v>304</v>
      </c>
      <c r="J893" s="3" t="str">
        <f>IF(ISNUMBER(SEARCH(",Action,",","&amp;SUBSTITUTE(TableMain[[#This Row],[Tags]],", ",",")&amp;",")),"Y","N")</f>
        <v>N</v>
      </c>
      <c r="K893" s="3" t="str">
        <f>IF(ISNUMBER(SEARCH(",Indie,",","&amp;SUBSTITUTE(TableMain[[#This Row],[Tags]],", ",",")&amp;",")),"Y","N")</f>
        <v>N</v>
      </c>
      <c r="L893" s="3" t="str">
        <f>IF(ISNUMBER(SEARCH(",Adventure,",","&amp;SUBSTITUTE(TableMain[[#This Row],[Tags]],", ",",")&amp;",")),"Y","N")</f>
        <v>N</v>
      </c>
      <c r="M893" s="3" t="str">
        <f>IF(ISNUMBER(SEARCH(",Simulation,",","&amp;SUBSTITUTE(TableMain[[#This Row],[Tags]],", ",",")&amp;",")),"Y","N")</f>
        <v>Y</v>
      </c>
      <c r="N893" s="3" t="str">
        <f>IF(ISNUMBER(SEARCH(",RPG,",","&amp;SUBSTITUTE(TableMain[[#This Row],[Tags]],", ",",")&amp;",")),"Y","N")</f>
        <v>Y</v>
      </c>
      <c r="O893" s="3" t="str">
        <f>IF(ISNUMBER(SEARCH(",Strategy,",","&amp;SUBSTITUTE(TableMain[[#This Row],[Tags]],", ",",")&amp;",")),"Y","N")</f>
        <v>Y</v>
      </c>
      <c r="P893" s="3" t="str">
        <f>IF(ISNUMBER(SEARCH(",Free To Play,",","&amp;SUBSTITUTE(TableMain[[#This Row],[Tags]],", ",",")&amp;",")),"Y","N")</f>
        <v>N</v>
      </c>
    </row>
    <row r="894" spans="1:16" x14ac:dyDescent="0.35">
      <c r="A894">
        <v>2849080</v>
      </c>
      <c r="B894" t="s">
        <v>1946</v>
      </c>
      <c r="C894" s="1">
        <v>45498</v>
      </c>
      <c r="D894">
        <v>386</v>
      </c>
      <c r="E894" t="b">
        <v>1</v>
      </c>
      <c r="F894" t="s">
        <v>853</v>
      </c>
      <c r="G894" t="s">
        <v>205</v>
      </c>
      <c r="H894">
        <v>893</v>
      </c>
      <c r="I894" t="s">
        <v>1949</v>
      </c>
      <c r="J894" s="3" t="str">
        <f>IF(ISNUMBER(SEARCH(",Action,",","&amp;SUBSTITUTE(TableMain[[#This Row],[Tags]],", ",",")&amp;",")),"Y","N")</f>
        <v>N</v>
      </c>
      <c r="K894" s="3" t="str">
        <f>IF(ISNUMBER(SEARCH(",Indie,",","&amp;SUBSTITUTE(TableMain[[#This Row],[Tags]],", ",",")&amp;",")),"Y","N")</f>
        <v>Y</v>
      </c>
      <c r="L894" s="3" t="str">
        <f>IF(ISNUMBER(SEARCH(",Adventure,",","&amp;SUBSTITUTE(TableMain[[#This Row],[Tags]],", ",",")&amp;",")),"Y","N")</f>
        <v>N</v>
      </c>
      <c r="M894" s="3" t="str">
        <f>IF(ISNUMBER(SEARCH(",Simulation,",","&amp;SUBSTITUTE(TableMain[[#This Row],[Tags]],", ",",")&amp;",")),"Y","N")</f>
        <v>N</v>
      </c>
      <c r="N894" s="3" t="str">
        <f>IF(ISNUMBER(SEARCH(",RPG,",","&amp;SUBSTITUTE(TableMain[[#This Row],[Tags]],", ",",")&amp;",")),"Y","N")</f>
        <v>N</v>
      </c>
      <c r="O894" s="3" t="str">
        <f>IF(ISNUMBER(SEARCH(",Strategy,",","&amp;SUBSTITUTE(TableMain[[#This Row],[Tags]],", ",",")&amp;",")),"Y","N")</f>
        <v>Y</v>
      </c>
      <c r="P894" s="3" t="str">
        <f>IF(ISNUMBER(SEARCH(",Free To Play,",","&amp;SUBSTITUTE(TableMain[[#This Row],[Tags]],", ",",")&amp;",")),"Y","N")</f>
        <v>N</v>
      </c>
    </row>
    <row r="895" spans="1:16" x14ac:dyDescent="0.35">
      <c r="A895">
        <v>1340990</v>
      </c>
      <c r="B895" t="s">
        <v>1947</v>
      </c>
      <c r="C895" s="1">
        <v>45726</v>
      </c>
      <c r="D895">
        <v>385</v>
      </c>
      <c r="E895" t="b">
        <v>0</v>
      </c>
      <c r="F895" t="s">
        <v>1948</v>
      </c>
      <c r="G895" t="s">
        <v>208</v>
      </c>
      <c r="H895">
        <v>896</v>
      </c>
      <c r="I895" t="s">
        <v>1949</v>
      </c>
      <c r="J895" s="3" t="str">
        <f>IF(ISNUMBER(SEARCH(",Action,",","&amp;SUBSTITUTE(TableMain[[#This Row],[Tags]],", ",",")&amp;",")),"Y","N")</f>
        <v>Y</v>
      </c>
      <c r="K895" s="3" t="str">
        <f>IF(ISNUMBER(SEARCH(",Indie,",","&amp;SUBSTITUTE(TableMain[[#This Row],[Tags]],", ",",")&amp;",")),"Y","N")</f>
        <v>N</v>
      </c>
      <c r="L895" s="3" t="str">
        <f>IF(ISNUMBER(SEARCH(",Adventure,",","&amp;SUBSTITUTE(TableMain[[#This Row],[Tags]],", ",",")&amp;",")),"Y","N")</f>
        <v>Y</v>
      </c>
      <c r="M895" s="3" t="str">
        <f>IF(ISNUMBER(SEARCH(",Simulation,",","&amp;SUBSTITUTE(TableMain[[#This Row],[Tags]],", ",",")&amp;",")),"Y","N")</f>
        <v>N</v>
      </c>
      <c r="N895" s="3" t="str">
        <f>IF(ISNUMBER(SEARCH(",RPG,",","&amp;SUBSTITUTE(TableMain[[#This Row],[Tags]],", ",",")&amp;",")),"Y","N")</f>
        <v>Y</v>
      </c>
      <c r="O895" s="3" t="str">
        <f>IF(ISNUMBER(SEARCH(",Strategy,",","&amp;SUBSTITUTE(TableMain[[#This Row],[Tags]],", ",",")&amp;",")),"Y","N")</f>
        <v>N</v>
      </c>
      <c r="P895" s="3" t="str">
        <f>IF(ISNUMBER(SEARCH(",Free To Play,",","&amp;SUBSTITUTE(TableMain[[#This Row],[Tags]],", ",",")&amp;",")),"Y","N")</f>
        <v>N</v>
      </c>
    </row>
    <row r="896" spans="1:16" x14ac:dyDescent="0.35">
      <c r="A896">
        <v>349040</v>
      </c>
      <c r="B896" t="s">
        <v>1950</v>
      </c>
      <c r="C896" s="1">
        <v>42404</v>
      </c>
      <c r="D896">
        <v>384</v>
      </c>
      <c r="E896" t="b">
        <v>0</v>
      </c>
      <c r="F896" t="s">
        <v>1951</v>
      </c>
      <c r="G896" t="s">
        <v>46</v>
      </c>
      <c r="H896">
        <v>897</v>
      </c>
      <c r="I896" t="s">
        <v>199</v>
      </c>
      <c r="J896" s="3" t="str">
        <f>IF(ISNUMBER(SEARCH(",Action,",","&amp;SUBSTITUTE(TableMain[[#This Row],[Tags]],", ",",")&amp;",")),"Y","N")</f>
        <v>Y</v>
      </c>
      <c r="K896" s="3" t="str">
        <f>IF(ISNUMBER(SEARCH(",Indie,",","&amp;SUBSTITUTE(TableMain[[#This Row],[Tags]],", ",",")&amp;",")),"Y","N")</f>
        <v>N</v>
      </c>
      <c r="L896" s="3" t="str">
        <f>IF(ISNUMBER(SEARCH(",Adventure,",","&amp;SUBSTITUTE(TableMain[[#This Row],[Tags]],", ",",")&amp;",")),"Y","N")</f>
        <v>Y</v>
      </c>
      <c r="M896" s="3" t="str">
        <f>IF(ISNUMBER(SEARCH(",Simulation,",","&amp;SUBSTITUTE(TableMain[[#This Row],[Tags]],", ",",")&amp;",")),"Y","N")</f>
        <v>N</v>
      </c>
      <c r="N896" s="3" t="str">
        <f>IF(ISNUMBER(SEARCH(",RPG,",","&amp;SUBSTITUTE(TableMain[[#This Row],[Tags]],", ",",")&amp;",")),"Y","N")</f>
        <v>N</v>
      </c>
      <c r="O896" s="3" t="str">
        <f>IF(ISNUMBER(SEARCH(",Strategy,",","&amp;SUBSTITUTE(TableMain[[#This Row],[Tags]],", ",",")&amp;",")),"Y","N")</f>
        <v>N</v>
      </c>
      <c r="P896" s="3" t="str">
        <f>IF(ISNUMBER(SEARCH(",Free To Play,",","&amp;SUBSTITUTE(TableMain[[#This Row],[Tags]],", ",",")&amp;",")),"Y","N")</f>
        <v>N</v>
      </c>
    </row>
    <row r="897" spans="1:16" x14ac:dyDescent="0.35">
      <c r="A897">
        <v>1286220</v>
      </c>
      <c r="B897" t="s">
        <v>1952</v>
      </c>
      <c r="C897" s="1">
        <v>45608</v>
      </c>
      <c r="D897">
        <v>384</v>
      </c>
      <c r="E897" t="b">
        <v>0</v>
      </c>
      <c r="F897" t="s">
        <v>890</v>
      </c>
      <c r="G897" t="s">
        <v>1537</v>
      </c>
      <c r="H897">
        <v>897</v>
      </c>
      <c r="I897" t="s">
        <v>199</v>
      </c>
      <c r="J897" s="3" t="str">
        <f>IF(ISNUMBER(SEARCH(",Action,",","&amp;SUBSTITUTE(TableMain[[#This Row],[Tags]],", ",",")&amp;",")),"Y","N")</f>
        <v>Y</v>
      </c>
      <c r="K897" s="3" t="str">
        <f>IF(ISNUMBER(SEARCH(",Indie,",","&amp;SUBSTITUTE(TableMain[[#This Row],[Tags]],", ",",")&amp;",")),"Y","N")</f>
        <v>N</v>
      </c>
      <c r="L897" s="3" t="str">
        <f>IF(ISNUMBER(SEARCH(",Adventure,",","&amp;SUBSTITUTE(TableMain[[#This Row],[Tags]],", ",",")&amp;",")),"Y","N")</f>
        <v>N</v>
      </c>
      <c r="M897" s="3" t="str">
        <f>IF(ISNUMBER(SEARCH(",Simulation,",","&amp;SUBSTITUTE(TableMain[[#This Row],[Tags]],", ",",")&amp;",")),"Y","N")</f>
        <v>Y</v>
      </c>
      <c r="N897" s="3" t="str">
        <f>IF(ISNUMBER(SEARCH(",RPG,",","&amp;SUBSTITUTE(TableMain[[#This Row],[Tags]],", ",",")&amp;",")),"Y","N")</f>
        <v>N</v>
      </c>
      <c r="O897" s="3" t="str">
        <f>IF(ISNUMBER(SEARCH(",Strategy,",","&amp;SUBSTITUTE(TableMain[[#This Row],[Tags]],", ",",")&amp;",")),"Y","N")</f>
        <v>Y</v>
      </c>
      <c r="P897" s="3" t="str">
        <f>IF(ISNUMBER(SEARCH(",Free To Play,",","&amp;SUBSTITUTE(TableMain[[#This Row],[Tags]],", ",",")&amp;",")),"Y","N")</f>
        <v>N</v>
      </c>
    </row>
    <row r="898" spans="1:16" x14ac:dyDescent="0.35">
      <c r="A898">
        <v>2767520</v>
      </c>
      <c r="B898" t="s">
        <v>1953</v>
      </c>
      <c r="C898" s="1">
        <v>45343</v>
      </c>
      <c r="D898">
        <v>383</v>
      </c>
      <c r="E898" t="b">
        <v>0</v>
      </c>
      <c r="F898" t="s">
        <v>681</v>
      </c>
      <c r="G898" t="s">
        <v>1954</v>
      </c>
      <c r="H898">
        <v>899</v>
      </c>
      <c r="I898" t="s">
        <v>833</v>
      </c>
      <c r="J898" s="3" t="str">
        <f>IF(ISNUMBER(SEARCH(",Action,",","&amp;SUBSTITUTE(TableMain[[#This Row],[Tags]],", ",",")&amp;",")),"Y","N")</f>
        <v>N</v>
      </c>
      <c r="K898" s="3" t="str">
        <f>IF(ISNUMBER(SEARCH(",Indie,",","&amp;SUBSTITUTE(TableMain[[#This Row],[Tags]],", ",",")&amp;",")),"Y","N")</f>
        <v>Y</v>
      </c>
      <c r="L898" s="3" t="str">
        <f>IF(ISNUMBER(SEARCH(",Adventure,",","&amp;SUBSTITUTE(TableMain[[#This Row],[Tags]],", ",",")&amp;",")),"Y","N")</f>
        <v>N</v>
      </c>
      <c r="M898" s="3" t="str">
        <f>IF(ISNUMBER(SEARCH(",Simulation,",","&amp;SUBSTITUTE(TableMain[[#This Row],[Tags]],", ",",")&amp;",")),"Y","N")</f>
        <v>Y</v>
      </c>
      <c r="N898" s="3" t="str">
        <f>IF(ISNUMBER(SEARCH(",RPG,",","&amp;SUBSTITUTE(TableMain[[#This Row],[Tags]],", ",",")&amp;",")),"Y","N")</f>
        <v>N</v>
      </c>
      <c r="O898" s="3" t="str">
        <f>IF(ISNUMBER(SEARCH(",Strategy,",","&amp;SUBSTITUTE(TableMain[[#This Row],[Tags]],", ",",")&amp;",")),"Y","N")</f>
        <v>N</v>
      </c>
      <c r="P898" s="3" t="str">
        <f>IF(ISNUMBER(SEARCH(",Free To Play,",","&amp;SUBSTITUTE(TableMain[[#This Row],[Tags]],", ",",")&amp;",")),"Y","N")</f>
        <v>N</v>
      </c>
    </row>
    <row r="899" spans="1:16" x14ac:dyDescent="0.35">
      <c r="A899">
        <v>2140510</v>
      </c>
      <c r="B899" t="s">
        <v>1955</v>
      </c>
      <c r="C899" s="1">
        <v>45163</v>
      </c>
      <c r="D899">
        <v>382</v>
      </c>
      <c r="E899" t="b">
        <v>1</v>
      </c>
      <c r="F899" t="s">
        <v>1291</v>
      </c>
      <c r="G899" t="s">
        <v>1956</v>
      </c>
      <c r="H899">
        <v>900</v>
      </c>
      <c r="I899" t="s">
        <v>25</v>
      </c>
      <c r="J899" s="3" t="str">
        <f>IF(ISNUMBER(SEARCH(",Action,",","&amp;SUBSTITUTE(TableMain[[#This Row],[Tags]],", ",",")&amp;",")),"Y","N")</f>
        <v>Y</v>
      </c>
      <c r="K899" s="3" t="str">
        <f>IF(ISNUMBER(SEARCH(",Indie,",","&amp;SUBSTITUTE(TableMain[[#This Row],[Tags]],", ",",")&amp;",")),"Y","N")</f>
        <v>N</v>
      </c>
      <c r="L899" s="3" t="str">
        <f>IF(ISNUMBER(SEARCH(",Adventure,",","&amp;SUBSTITUTE(TableMain[[#This Row],[Tags]],", ",",")&amp;",")),"Y","N")</f>
        <v>N</v>
      </c>
      <c r="M899" s="3" t="str">
        <f>IF(ISNUMBER(SEARCH(",Simulation,",","&amp;SUBSTITUTE(TableMain[[#This Row],[Tags]],", ",",")&amp;",")),"Y","N")</f>
        <v>N</v>
      </c>
      <c r="N899" s="3" t="str">
        <f>IF(ISNUMBER(SEARCH(",RPG,",","&amp;SUBSTITUTE(TableMain[[#This Row],[Tags]],", ",",")&amp;",")),"Y","N")</f>
        <v>Y</v>
      </c>
      <c r="O899" s="3" t="str">
        <f>IF(ISNUMBER(SEARCH(",Strategy,",","&amp;SUBSTITUTE(TableMain[[#This Row],[Tags]],", ",",")&amp;",")),"Y","N")</f>
        <v>Y</v>
      </c>
      <c r="P899" s="3" t="str">
        <f>IF(ISNUMBER(SEARCH(",Free To Play,",","&amp;SUBSTITUTE(TableMain[[#This Row],[Tags]],", ",",")&amp;",")),"Y","N")</f>
        <v>Y</v>
      </c>
    </row>
    <row r="900" spans="1:16" x14ac:dyDescent="0.35">
      <c r="A900">
        <v>269950</v>
      </c>
      <c r="B900" t="s">
        <v>1957</v>
      </c>
      <c r="C900" s="1">
        <v>42824</v>
      </c>
      <c r="D900">
        <v>381</v>
      </c>
      <c r="E900" t="b">
        <v>1</v>
      </c>
      <c r="F900" t="s">
        <v>1958</v>
      </c>
      <c r="G900" t="s">
        <v>239</v>
      </c>
      <c r="H900">
        <v>901</v>
      </c>
      <c r="I900" t="s">
        <v>161</v>
      </c>
      <c r="J900" s="3" t="str">
        <f>IF(ISNUMBER(SEARCH(",Action,",","&amp;SUBSTITUTE(TableMain[[#This Row],[Tags]],", ",",")&amp;",")),"Y","N")</f>
        <v>N</v>
      </c>
      <c r="K900" s="3" t="str">
        <f>IF(ISNUMBER(SEARCH(",Indie,",","&amp;SUBSTITUTE(TableMain[[#This Row],[Tags]],", ",",")&amp;",")),"Y","N")</f>
        <v>N</v>
      </c>
      <c r="L900" s="3" t="str">
        <f>IF(ISNUMBER(SEARCH(",Adventure,",","&amp;SUBSTITUTE(TableMain[[#This Row],[Tags]],", ",",")&amp;",")),"Y","N")</f>
        <v>N</v>
      </c>
      <c r="M900" s="3" t="str">
        <f>IF(ISNUMBER(SEARCH(",Simulation,",","&amp;SUBSTITUTE(TableMain[[#This Row],[Tags]],", ",",")&amp;",")),"Y","N")</f>
        <v>Y</v>
      </c>
      <c r="N900" s="3" t="str">
        <f>IF(ISNUMBER(SEARCH(",RPG,",","&amp;SUBSTITUTE(TableMain[[#This Row],[Tags]],", ",",")&amp;",")),"Y","N")</f>
        <v>N</v>
      </c>
      <c r="O900" s="3" t="str">
        <f>IF(ISNUMBER(SEARCH(",Strategy,",","&amp;SUBSTITUTE(TableMain[[#This Row],[Tags]],", ",",")&amp;",")),"Y","N")</f>
        <v>N</v>
      </c>
      <c r="P900" s="3" t="str">
        <f>IF(ISNUMBER(SEARCH(",Free To Play,",","&amp;SUBSTITUTE(TableMain[[#This Row],[Tags]],", ",",")&amp;",")),"Y","N")</f>
        <v>N</v>
      </c>
    </row>
    <row r="901" spans="1:16" x14ac:dyDescent="0.35">
      <c r="A901">
        <v>410900</v>
      </c>
      <c r="B901" t="s">
        <v>1959</v>
      </c>
      <c r="C901" s="1">
        <v>42844</v>
      </c>
      <c r="D901">
        <v>379</v>
      </c>
      <c r="E901" t="b">
        <v>0</v>
      </c>
      <c r="F901" t="s">
        <v>1960</v>
      </c>
      <c r="G901" t="s">
        <v>1961</v>
      </c>
      <c r="H901">
        <v>902</v>
      </c>
      <c r="I901" t="s">
        <v>1964</v>
      </c>
      <c r="J901" s="3" t="str">
        <f>IF(ISNUMBER(SEARCH(",Action,",","&amp;SUBSTITUTE(TableMain[[#This Row],[Tags]],", ",",")&amp;",")),"Y","N")</f>
        <v>Y</v>
      </c>
      <c r="K901" s="3" t="str">
        <f>IF(ISNUMBER(SEARCH(",Indie,",","&amp;SUBSTITUTE(TableMain[[#This Row],[Tags]],", ",",")&amp;",")),"Y","N")</f>
        <v>Y</v>
      </c>
      <c r="L901" s="3" t="str">
        <f>IF(ISNUMBER(SEARCH(",Adventure,",","&amp;SUBSTITUTE(TableMain[[#This Row],[Tags]],", ",",")&amp;",")),"Y","N")</f>
        <v>N</v>
      </c>
      <c r="M901" s="3" t="str">
        <f>IF(ISNUMBER(SEARCH(",Simulation,",","&amp;SUBSTITUTE(TableMain[[#This Row],[Tags]],", ",",")&amp;",")),"Y","N")</f>
        <v>N</v>
      </c>
      <c r="N901" s="3" t="str">
        <f>IF(ISNUMBER(SEARCH(",RPG,",","&amp;SUBSTITUTE(TableMain[[#This Row],[Tags]],", ",",")&amp;",")),"Y","N")</f>
        <v>N</v>
      </c>
      <c r="O901" s="3" t="str">
        <f>IF(ISNUMBER(SEARCH(",Strategy,",","&amp;SUBSTITUTE(TableMain[[#This Row],[Tags]],", ",",")&amp;",")),"Y","N")</f>
        <v>Y</v>
      </c>
      <c r="P901" s="3" t="str">
        <f>IF(ISNUMBER(SEARCH(",Free To Play,",","&amp;SUBSTITUTE(TableMain[[#This Row],[Tags]],", ",",")&amp;",")),"Y","N")</f>
        <v>N</v>
      </c>
    </row>
    <row r="902" spans="1:16" x14ac:dyDescent="0.35">
      <c r="A902">
        <v>2828860</v>
      </c>
      <c r="B902" t="s">
        <v>1962</v>
      </c>
      <c r="C902" s="1">
        <v>45559</v>
      </c>
      <c r="D902">
        <v>379</v>
      </c>
      <c r="E902" t="b">
        <v>0</v>
      </c>
      <c r="F902" t="s">
        <v>1963</v>
      </c>
      <c r="G902" t="s">
        <v>97</v>
      </c>
      <c r="H902">
        <v>902</v>
      </c>
      <c r="I902" t="s">
        <v>1964</v>
      </c>
      <c r="J902" s="3" t="str">
        <f>IF(ISNUMBER(SEARCH(",Action,",","&amp;SUBSTITUTE(TableMain[[#This Row],[Tags]],", ",",")&amp;",")),"Y","N")</f>
        <v>Y</v>
      </c>
      <c r="K902" s="3" t="str">
        <f>IF(ISNUMBER(SEARCH(",Indie,",","&amp;SUBSTITUTE(TableMain[[#This Row],[Tags]],", ",",")&amp;",")),"Y","N")</f>
        <v>N</v>
      </c>
      <c r="L902" s="3" t="str">
        <f>IF(ISNUMBER(SEARCH(",Adventure,",","&amp;SUBSTITUTE(TableMain[[#This Row],[Tags]],", ",",")&amp;",")),"Y","N")</f>
        <v>N</v>
      </c>
      <c r="M902" s="3" t="str">
        <f>IF(ISNUMBER(SEARCH(",Simulation,",","&amp;SUBSTITUTE(TableMain[[#This Row],[Tags]],", ",",")&amp;",")),"Y","N")</f>
        <v>N</v>
      </c>
      <c r="N902" s="3" t="str">
        <f>IF(ISNUMBER(SEARCH(",RPG,",","&amp;SUBSTITUTE(TableMain[[#This Row],[Tags]],", ",",")&amp;",")),"Y","N")</f>
        <v>N</v>
      </c>
      <c r="O902" s="3" t="str">
        <f>IF(ISNUMBER(SEARCH(",Strategy,",","&amp;SUBSTITUTE(TableMain[[#This Row],[Tags]],", ",",")&amp;",")),"Y","N")</f>
        <v>N</v>
      </c>
      <c r="P902" s="3" t="str">
        <f>IF(ISNUMBER(SEARCH(",Free To Play,",","&amp;SUBSTITUTE(TableMain[[#This Row],[Tags]],", ",",")&amp;",")),"Y","N")</f>
        <v>N</v>
      </c>
    </row>
    <row r="903" spans="1:16" x14ac:dyDescent="0.35">
      <c r="A903">
        <v>1295500</v>
      </c>
      <c r="B903" t="s">
        <v>1965</v>
      </c>
      <c r="C903" s="1">
        <v>44399</v>
      </c>
      <c r="D903">
        <v>378</v>
      </c>
      <c r="E903" t="b">
        <v>0</v>
      </c>
      <c r="F903" t="s">
        <v>1966</v>
      </c>
      <c r="G903" t="s">
        <v>124</v>
      </c>
      <c r="H903">
        <v>904</v>
      </c>
      <c r="I903" t="s">
        <v>304</v>
      </c>
      <c r="J903" s="3" t="str">
        <f>IF(ISNUMBER(SEARCH(",Action,",","&amp;SUBSTITUTE(TableMain[[#This Row],[Tags]],", ",",")&amp;",")),"Y","N")</f>
        <v>N</v>
      </c>
      <c r="K903" s="3" t="str">
        <f>IF(ISNUMBER(SEARCH(",Indie,",","&amp;SUBSTITUTE(TableMain[[#This Row],[Tags]],", ",",")&amp;",")),"Y","N")</f>
        <v>N</v>
      </c>
      <c r="L903" s="3" t="str">
        <f>IF(ISNUMBER(SEARCH(",Adventure,",","&amp;SUBSTITUTE(TableMain[[#This Row],[Tags]],", ",",")&amp;",")),"Y","N")</f>
        <v>N</v>
      </c>
      <c r="M903" s="3" t="str">
        <f>IF(ISNUMBER(SEARCH(",Simulation,",","&amp;SUBSTITUTE(TableMain[[#This Row],[Tags]],", ",",")&amp;",")),"Y","N")</f>
        <v>N</v>
      </c>
      <c r="N903" s="3" t="str">
        <f>IF(ISNUMBER(SEARCH(",RPG,",","&amp;SUBSTITUTE(TableMain[[#This Row],[Tags]],", ",",")&amp;",")),"Y","N")</f>
        <v>N</v>
      </c>
      <c r="O903" s="3" t="str">
        <f>IF(ISNUMBER(SEARCH(",Strategy,",","&amp;SUBSTITUTE(TableMain[[#This Row],[Tags]],", ",",")&amp;",")),"Y","N")</f>
        <v>Y</v>
      </c>
      <c r="P903" s="3" t="str">
        <f>IF(ISNUMBER(SEARCH(",Free To Play,",","&amp;SUBSTITUTE(TableMain[[#This Row],[Tags]],", ",",")&amp;",")),"Y","N")</f>
        <v>N</v>
      </c>
    </row>
    <row r="904" spans="1:16" x14ac:dyDescent="0.35">
      <c r="A904">
        <v>228280</v>
      </c>
      <c r="B904" t="s">
        <v>1967</v>
      </c>
      <c r="C904" s="1">
        <v>41290</v>
      </c>
      <c r="D904">
        <v>378</v>
      </c>
      <c r="E904" t="b">
        <v>1</v>
      </c>
      <c r="F904" t="s">
        <v>1968</v>
      </c>
      <c r="G904" t="s">
        <v>896</v>
      </c>
      <c r="H904">
        <v>904</v>
      </c>
      <c r="I904" t="s">
        <v>2082</v>
      </c>
      <c r="J904" s="3" t="str">
        <f>IF(ISNUMBER(SEARCH(",Action,",","&amp;SUBSTITUTE(TableMain[[#This Row],[Tags]],", ",",")&amp;",")),"Y","N")</f>
        <v>N</v>
      </c>
      <c r="K904" s="3" t="str">
        <f>IF(ISNUMBER(SEARCH(",Indie,",","&amp;SUBSTITUTE(TableMain[[#This Row],[Tags]],", ",",")&amp;",")),"Y","N")</f>
        <v>N</v>
      </c>
      <c r="L904" s="3" t="str">
        <f>IF(ISNUMBER(SEARCH(",Adventure,",","&amp;SUBSTITUTE(TableMain[[#This Row],[Tags]],", ",",")&amp;",")),"Y","N")</f>
        <v>Y</v>
      </c>
      <c r="M904" s="3" t="str">
        <f>IF(ISNUMBER(SEARCH(",Simulation,",","&amp;SUBSTITUTE(TableMain[[#This Row],[Tags]],", ",",")&amp;",")),"Y","N")</f>
        <v>N</v>
      </c>
      <c r="N904" s="3" t="str">
        <f>IF(ISNUMBER(SEARCH(",RPG,",","&amp;SUBSTITUTE(TableMain[[#This Row],[Tags]],", ",",")&amp;",")),"Y","N")</f>
        <v>Y</v>
      </c>
      <c r="O904" s="3" t="str">
        <f>IF(ISNUMBER(SEARCH(",Strategy,",","&amp;SUBSTITUTE(TableMain[[#This Row],[Tags]],", ",",")&amp;",")),"Y","N")</f>
        <v>N</v>
      </c>
      <c r="P904" s="3" t="str">
        <f>IF(ISNUMBER(SEARCH(",Free To Play,",","&amp;SUBSTITUTE(TableMain[[#This Row],[Tags]],", ",",")&amp;",")),"Y","N")</f>
        <v>N</v>
      </c>
    </row>
    <row r="905" spans="1:16" x14ac:dyDescent="0.35">
      <c r="A905">
        <v>7940</v>
      </c>
      <c r="B905" t="s">
        <v>1969</v>
      </c>
      <c r="C905" s="1">
        <v>43051</v>
      </c>
      <c r="D905">
        <v>377</v>
      </c>
      <c r="E905" t="b">
        <v>1</v>
      </c>
      <c r="F905" t="s">
        <v>1405</v>
      </c>
      <c r="G905" t="s">
        <v>49</v>
      </c>
      <c r="H905">
        <v>906</v>
      </c>
      <c r="I905" t="s">
        <v>2084</v>
      </c>
      <c r="J905" s="3" t="str">
        <f>IF(ISNUMBER(SEARCH(",Action,",","&amp;SUBSTITUTE(TableMain[[#This Row],[Tags]],", ",",")&amp;",")),"Y","N")</f>
        <v>Y</v>
      </c>
      <c r="K905" s="3" t="str">
        <f>IF(ISNUMBER(SEARCH(",Indie,",","&amp;SUBSTITUTE(TableMain[[#This Row],[Tags]],", ",",")&amp;",")),"Y","N")</f>
        <v>N</v>
      </c>
      <c r="L905" s="3" t="str">
        <f>IF(ISNUMBER(SEARCH(",Adventure,",","&amp;SUBSTITUTE(TableMain[[#This Row],[Tags]],", ",",")&amp;",")),"Y","N")</f>
        <v>N</v>
      </c>
      <c r="M905" s="3" t="str">
        <f>IF(ISNUMBER(SEARCH(",Simulation,",","&amp;SUBSTITUTE(TableMain[[#This Row],[Tags]],", ",",")&amp;",")),"Y","N")</f>
        <v>N</v>
      </c>
      <c r="N905" s="3" t="str">
        <f>IF(ISNUMBER(SEARCH(",RPG,",","&amp;SUBSTITUTE(TableMain[[#This Row],[Tags]],", ",",")&amp;",")),"Y","N")</f>
        <v>N</v>
      </c>
      <c r="O905" s="3" t="str">
        <f>IF(ISNUMBER(SEARCH(",Strategy,",","&amp;SUBSTITUTE(TableMain[[#This Row],[Tags]],", ",",")&amp;",")),"Y","N")</f>
        <v>N</v>
      </c>
      <c r="P905" s="3" t="str">
        <f>IF(ISNUMBER(SEARCH(",Free To Play,",","&amp;SUBSTITUTE(TableMain[[#This Row],[Tags]],", ",",")&amp;",")),"Y","N")</f>
        <v>N</v>
      </c>
    </row>
    <row r="906" spans="1:16" x14ac:dyDescent="0.35">
      <c r="A906">
        <v>1817190</v>
      </c>
      <c r="B906" t="s">
        <v>1970</v>
      </c>
      <c r="C906" s="1">
        <v>44883</v>
      </c>
      <c r="D906">
        <v>377</v>
      </c>
      <c r="E906" t="b">
        <v>0</v>
      </c>
      <c r="F906" t="s">
        <v>1072</v>
      </c>
      <c r="G906" t="s">
        <v>46</v>
      </c>
      <c r="H906">
        <v>906</v>
      </c>
      <c r="I906" t="s">
        <v>18</v>
      </c>
      <c r="J906" s="3" t="str">
        <f>IF(ISNUMBER(SEARCH(",Action,",","&amp;SUBSTITUTE(TableMain[[#This Row],[Tags]],", ",",")&amp;",")),"Y","N")</f>
        <v>Y</v>
      </c>
      <c r="K906" s="3" t="str">
        <f>IF(ISNUMBER(SEARCH(",Indie,",","&amp;SUBSTITUTE(TableMain[[#This Row],[Tags]],", ",",")&amp;",")),"Y","N")</f>
        <v>N</v>
      </c>
      <c r="L906" s="3" t="str">
        <f>IF(ISNUMBER(SEARCH(",Adventure,",","&amp;SUBSTITUTE(TableMain[[#This Row],[Tags]],", ",",")&amp;",")),"Y","N")</f>
        <v>Y</v>
      </c>
      <c r="M906" s="3" t="str">
        <f>IF(ISNUMBER(SEARCH(",Simulation,",","&amp;SUBSTITUTE(TableMain[[#This Row],[Tags]],", ",",")&amp;",")),"Y","N")</f>
        <v>N</v>
      </c>
      <c r="N906" s="3" t="str">
        <f>IF(ISNUMBER(SEARCH(",RPG,",","&amp;SUBSTITUTE(TableMain[[#This Row],[Tags]],", ",",")&amp;",")),"Y","N")</f>
        <v>N</v>
      </c>
      <c r="O906" s="3" t="str">
        <f>IF(ISNUMBER(SEARCH(",Strategy,",","&amp;SUBSTITUTE(TableMain[[#This Row],[Tags]],", ",",")&amp;",")),"Y","N")</f>
        <v>N</v>
      </c>
      <c r="P906" s="3" t="str">
        <f>IF(ISNUMBER(SEARCH(",Free To Play,",","&amp;SUBSTITUTE(TableMain[[#This Row],[Tags]],", ",",")&amp;",")),"Y","N")</f>
        <v>N</v>
      </c>
    </row>
    <row r="907" spans="1:16" x14ac:dyDescent="0.35">
      <c r="A907">
        <v>1017180</v>
      </c>
      <c r="B907" t="s">
        <v>1971</v>
      </c>
      <c r="C907" s="1">
        <v>43733</v>
      </c>
      <c r="D907">
        <v>377</v>
      </c>
      <c r="E907" t="b">
        <v>0</v>
      </c>
      <c r="F907" t="s">
        <v>1972</v>
      </c>
      <c r="G907" t="s">
        <v>1973</v>
      </c>
      <c r="H907">
        <v>906</v>
      </c>
      <c r="I907" t="s">
        <v>133</v>
      </c>
      <c r="J907" s="3" t="str">
        <f>IF(ISNUMBER(SEARCH(",Action,",","&amp;SUBSTITUTE(TableMain[[#This Row],[Tags]],", ",",")&amp;",")),"Y","N")</f>
        <v>Y</v>
      </c>
      <c r="K907" s="3" t="str">
        <f>IF(ISNUMBER(SEARCH(",Indie,",","&amp;SUBSTITUTE(TableMain[[#This Row],[Tags]],", ",",")&amp;",")),"Y","N")</f>
        <v>Y</v>
      </c>
      <c r="L907" s="3" t="str">
        <f>IF(ISNUMBER(SEARCH(",Adventure,",","&amp;SUBSTITUTE(TableMain[[#This Row],[Tags]],", ",",")&amp;",")),"Y","N")</f>
        <v>Y</v>
      </c>
      <c r="M907" s="3" t="str">
        <f>IF(ISNUMBER(SEARCH(",Simulation,",","&amp;SUBSTITUTE(TableMain[[#This Row],[Tags]],", ",",")&amp;",")),"Y","N")</f>
        <v>Y</v>
      </c>
      <c r="N907" s="3" t="str">
        <f>IF(ISNUMBER(SEARCH(",RPG,",","&amp;SUBSTITUTE(TableMain[[#This Row],[Tags]],", ",",")&amp;",")),"Y","N")</f>
        <v>N</v>
      </c>
      <c r="O907" s="3" t="str">
        <f>IF(ISNUMBER(SEARCH(",Strategy,",","&amp;SUBSTITUTE(TableMain[[#This Row],[Tags]],", ",",")&amp;",")),"Y","N")</f>
        <v>N</v>
      </c>
      <c r="P907" s="3" t="str">
        <f>IF(ISNUMBER(SEARCH(",Free To Play,",","&amp;SUBSTITUTE(TableMain[[#This Row],[Tags]],", ",",")&amp;",")),"Y","N")</f>
        <v>N</v>
      </c>
    </row>
    <row r="908" spans="1:16" x14ac:dyDescent="0.35">
      <c r="A908">
        <v>285900</v>
      </c>
      <c r="B908" t="s">
        <v>1974</v>
      </c>
      <c r="C908" s="1">
        <v>43081</v>
      </c>
      <c r="D908">
        <v>376</v>
      </c>
      <c r="E908" t="b">
        <v>1</v>
      </c>
      <c r="F908" t="s">
        <v>1975</v>
      </c>
      <c r="G908" t="s">
        <v>1502</v>
      </c>
      <c r="H908">
        <v>909</v>
      </c>
      <c r="I908" t="s">
        <v>40</v>
      </c>
      <c r="J908" s="3" t="str">
        <f>IF(ISNUMBER(SEARCH(",Action,",","&amp;SUBSTITUTE(TableMain[[#This Row],[Tags]],", ",",")&amp;",")),"Y","N")</f>
        <v>Y</v>
      </c>
      <c r="K908" s="3" t="str">
        <f>IF(ISNUMBER(SEARCH(",Indie,",","&amp;SUBSTITUTE(TableMain[[#This Row],[Tags]],", ",",")&amp;",")),"Y","N")</f>
        <v>Y</v>
      </c>
      <c r="L908" s="3" t="str">
        <f>IF(ISNUMBER(SEARCH(",Adventure,",","&amp;SUBSTITUTE(TableMain[[#This Row],[Tags]],", ",",")&amp;",")),"Y","N")</f>
        <v>Y</v>
      </c>
      <c r="M908" s="3" t="str">
        <f>IF(ISNUMBER(SEARCH(",Simulation,",","&amp;SUBSTITUTE(TableMain[[#This Row],[Tags]],", ",",")&amp;",")),"Y","N")</f>
        <v>Y</v>
      </c>
      <c r="N908" s="3" t="str">
        <f>IF(ISNUMBER(SEARCH(",RPG,",","&amp;SUBSTITUTE(TableMain[[#This Row],[Tags]],", ",",")&amp;",")),"Y","N")</f>
        <v>N</v>
      </c>
      <c r="O908" s="3" t="str">
        <f>IF(ISNUMBER(SEARCH(",Strategy,",","&amp;SUBSTITUTE(TableMain[[#This Row],[Tags]],", ",",")&amp;",")),"Y","N")</f>
        <v>N</v>
      </c>
      <c r="P908" s="3" t="str">
        <f>IF(ISNUMBER(SEARCH(",Free To Play,",","&amp;SUBSTITUTE(TableMain[[#This Row],[Tags]],", ",",")&amp;",")),"Y","N")</f>
        <v>N</v>
      </c>
    </row>
    <row r="909" spans="1:16" x14ac:dyDescent="0.35">
      <c r="A909">
        <v>1106840</v>
      </c>
      <c r="B909" t="s">
        <v>1976</v>
      </c>
      <c r="C909" s="1">
        <v>43959</v>
      </c>
      <c r="D909">
        <v>374</v>
      </c>
      <c r="E909" t="b">
        <v>0</v>
      </c>
      <c r="F909" t="s">
        <v>1977</v>
      </c>
      <c r="G909" t="s">
        <v>1410</v>
      </c>
      <c r="H909">
        <v>910</v>
      </c>
      <c r="I909" t="s">
        <v>53</v>
      </c>
      <c r="J909" s="3" t="str">
        <f>IF(ISNUMBER(SEARCH(",Action,",","&amp;SUBSTITUTE(TableMain[[#This Row],[Tags]],", ",",")&amp;",")),"Y","N")</f>
        <v>N</v>
      </c>
      <c r="K909" s="3" t="str">
        <f>IF(ISNUMBER(SEARCH(",Indie,",","&amp;SUBSTITUTE(TableMain[[#This Row],[Tags]],", ",",")&amp;",")),"Y","N")</f>
        <v>Y</v>
      </c>
      <c r="L909" s="3" t="str">
        <f>IF(ISNUMBER(SEARCH(",Adventure,",","&amp;SUBSTITUTE(TableMain[[#This Row],[Tags]],", ",",")&amp;",")),"Y","N")</f>
        <v>Y</v>
      </c>
      <c r="M909" s="3" t="str">
        <f>IF(ISNUMBER(SEARCH(",Simulation,",","&amp;SUBSTITUTE(TableMain[[#This Row],[Tags]],", ",",")&amp;",")),"Y","N")</f>
        <v>Y</v>
      </c>
      <c r="N909" s="3" t="str">
        <f>IF(ISNUMBER(SEARCH(",RPG,",","&amp;SUBSTITUTE(TableMain[[#This Row],[Tags]],", ",",")&amp;",")),"Y","N")</f>
        <v>N</v>
      </c>
      <c r="O909" s="3" t="str">
        <f>IF(ISNUMBER(SEARCH(",Strategy,",","&amp;SUBSTITUTE(TableMain[[#This Row],[Tags]],", ",",")&amp;",")),"Y","N")</f>
        <v>Y</v>
      </c>
      <c r="P909" s="3" t="str">
        <f>IF(ISNUMBER(SEARCH(",Free To Play,",","&amp;SUBSTITUTE(TableMain[[#This Row],[Tags]],", ",",")&amp;",")),"Y","N")</f>
        <v>N</v>
      </c>
    </row>
    <row r="910" spans="1:16" x14ac:dyDescent="0.35">
      <c r="A910">
        <v>1676840</v>
      </c>
      <c r="B910" t="s">
        <v>1978</v>
      </c>
      <c r="C910" s="1">
        <v>45232</v>
      </c>
      <c r="D910">
        <v>374</v>
      </c>
      <c r="E910" t="b">
        <v>0</v>
      </c>
      <c r="F910" t="s">
        <v>1979</v>
      </c>
      <c r="G910" t="s">
        <v>720</v>
      </c>
      <c r="H910">
        <v>910</v>
      </c>
      <c r="I910" t="s">
        <v>147</v>
      </c>
      <c r="J910" s="3" t="str">
        <f>IF(ISNUMBER(SEARCH(",Action,",","&amp;SUBSTITUTE(TableMain[[#This Row],[Tags]],", ",",")&amp;",")),"Y","N")</f>
        <v>N</v>
      </c>
      <c r="K910" s="3" t="str">
        <f>IF(ISNUMBER(SEARCH(",Indie,",","&amp;SUBSTITUTE(TableMain[[#This Row],[Tags]],", ",",")&amp;",")),"Y","N")</f>
        <v>Y</v>
      </c>
      <c r="L910" s="3" t="str">
        <f>IF(ISNUMBER(SEARCH(",Adventure,",","&amp;SUBSTITUTE(TableMain[[#This Row],[Tags]],", ",",")&amp;",")),"Y","N")</f>
        <v>Y</v>
      </c>
      <c r="M910" s="3" t="str">
        <f>IF(ISNUMBER(SEARCH(",Simulation,",","&amp;SUBSTITUTE(TableMain[[#This Row],[Tags]],", ",",")&amp;",")),"Y","N")</f>
        <v>N</v>
      </c>
      <c r="N910" s="3" t="str">
        <f>IF(ISNUMBER(SEARCH(",RPG,",","&amp;SUBSTITUTE(TableMain[[#This Row],[Tags]],", ",",")&amp;",")),"Y","N")</f>
        <v>Y</v>
      </c>
      <c r="O910" s="3" t="str">
        <f>IF(ISNUMBER(SEARCH(",Strategy,",","&amp;SUBSTITUTE(TableMain[[#This Row],[Tags]],", ",",")&amp;",")),"Y","N")</f>
        <v>Y</v>
      </c>
      <c r="P910" s="3" t="str">
        <f>IF(ISNUMBER(SEARCH(",Free To Play,",","&amp;SUBSTITUTE(TableMain[[#This Row],[Tags]],", ",",")&amp;",")),"Y","N")</f>
        <v>N</v>
      </c>
    </row>
    <row r="911" spans="1:16" x14ac:dyDescent="0.35">
      <c r="A911">
        <v>1611910</v>
      </c>
      <c r="B911" t="s">
        <v>1980</v>
      </c>
      <c r="C911" s="1">
        <v>44686</v>
      </c>
      <c r="D911">
        <v>373</v>
      </c>
      <c r="E911" t="b">
        <v>0</v>
      </c>
      <c r="F911" t="s">
        <v>324</v>
      </c>
      <c r="G911" t="s">
        <v>844</v>
      </c>
      <c r="H911">
        <v>912</v>
      </c>
      <c r="I911" t="s">
        <v>18</v>
      </c>
      <c r="J911" s="3" t="str">
        <f>IF(ISNUMBER(SEARCH(",Action,",","&amp;SUBSTITUTE(TableMain[[#This Row],[Tags]],", ",",")&amp;",")),"Y","N")</f>
        <v>N</v>
      </c>
      <c r="K911" s="3" t="str">
        <f>IF(ISNUMBER(SEARCH(",Indie,",","&amp;SUBSTITUTE(TableMain[[#This Row],[Tags]],", ",",")&amp;",")),"Y","N")</f>
        <v>N</v>
      </c>
      <c r="L911" s="3" t="str">
        <f>IF(ISNUMBER(SEARCH(",Adventure,",","&amp;SUBSTITUTE(TableMain[[#This Row],[Tags]],", ",",")&amp;",")),"Y","N")</f>
        <v>N</v>
      </c>
      <c r="M911" s="3" t="str">
        <f>IF(ISNUMBER(SEARCH(",Simulation,",","&amp;SUBSTITUTE(TableMain[[#This Row],[Tags]],", ",",")&amp;",")),"Y","N")</f>
        <v>N</v>
      </c>
      <c r="N911" s="3" t="str">
        <f>IF(ISNUMBER(SEARCH(",RPG,",","&amp;SUBSTITUTE(TableMain[[#This Row],[Tags]],", ",",")&amp;",")),"Y","N")</f>
        <v>Y</v>
      </c>
      <c r="O911" s="3" t="str">
        <f>IF(ISNUMBER(SEARCH(",Strategy,",","&amp;SUBSTITUTE(TableMain[[#This Row],[Tags]],", ",",")&amp;",")),"Y","N")</f>
        <v>Y</v>
      </c>
      <c r="P911" s="3" t="str">
        <f>IF(ISNUMBER(SEARCH(",Free To Play,",","&amp;SUBSTITUTE(TableMain[[#This Row],[Tags]],", ",",")&amp;",")),"Y","N")</f>
        <v>N</v>
      </c>
    </row>
    <row r="912" spans="1:16" x14ac:dyDescent="0.35">
      <c r="A912">
        <v>2239150</v>
      </c>
      <c r="B912" t="s">
        <v>1981</v>
      </c>
      <c r="C912" s="1">
        <v>45576</v>
      </c>
      <c r="D912">
        <v>373</v>
      </c>
      <c r="E912" t="b">
        <v>1</v>
      </c>
      <c r="F912" t="s">
        <v>1982</v>
      </c>
      <c r="G912" t="s">
        <v>1961</v>
      </c>
      <c r="H912">
        <v>912</v>
      </c>
      <c r="I912" t="s">
        <v>33</v>
      </c>
      <c r="J912" s="3" t="str">
        <f>IF(ISNUMBER(SEARCH(",Action,",","&amp;SUBSTITUTE(TableMain[[#This Row],[Tags]],", ",",")&amp;",")),"Y","N")</f>
        <v>Y</v>
      </c>
      <c r="K912" s="3" t="str">
        <f>IF(ISNUMBER(SEARCH(",Indie,",","&amp;SUBSTITUTE(TableMain[[#This Row],[Tags]],", ",",")&amp;",")),"Y","N")</f>
        <v>Y</v>
      </c>
      <c r="L912" s="3" t="str">
        <f>IF(ISNUMBER(SEARCH(",Adventure,",","&amp;SUBSTITUTE(TableMain[[#This Row],[Tags]],", ",",")&amp;",")),"Y","N")</f>
        <v>N</v>
      </c>
      <c r="M912" s="3" t="str">
        <f>IF(ISNUMBER(SEARCH(",Simulation,",","&amp;SUBSTITUTE(TableMain[[#This Row],[Tags]],", ",",")&amp;",")),"Y","N")</f>
        <v>N</v>
      </c>
      <c r="N912" s="3" t="str">
        <f>IF(ISNUMBER(SEARCH(",RPG,",","&amp;SUBSTITUTE(TableMain[[#This Row],[Tags]],", ",",")&amp;",")),"Y","N")</f>
        <v>N</v>
      </c>
      <c r="O912" s="3" t="str">
        <f>IF(ISNUMBER(SEARCH(",Strategy,",","&amp;SUBSTITUTE(TableMain[[#This Row],[Tags]],", ",",")&amp;",")),"Y","N")</f>
        <v>Y</v>
      </c>
      <c r="P912" s="3" t="str">
        <f>IF(ISNUMBER(SEARCH(",Free To Play,",","&amp;SUBSTITUTE(TableMain[[#This Row],[Tags]],", ",",")&amp;",")),"Y","N")</f>
        <v>N</v>
      </c>
    </row>
    <row r="913" spans="1:16" x14ac:dyDescent="0.35">
      <c r="A913">
        <v>289650</v>
      </c>
      <c r="B913" t="s">
        <v>1983</v>
      </c>
      <c r="C913" s="1">
        <v>41954</v>
      </c>
      <c r="D913">
        <v>373</v>
      </c>
      <c r="E913" t="b">
        <v>0</v>
      </c>
      <c r="F913" t="s">
        <v>1984</v>
      </c>
      <c r="G913" t="s">
        <v>46</v>
      </c>
      <c r="H913">
        <v>912</v>
      </c>
      <c r="I913" t="s">
        <v>2090</v>
      </c>
      <c r="J913" s="3" t="str">
        <f>IF(ISNUMBER(SEARCH(",Action,",","&amp;SUBSTITUTE(TableMain[[#This Row],[Tags]],", ",",")&amp;",")),"Y","N")</f>
        <v>Y</v>
      </c>
      <c r="K913" s="3" t="str">
        <f>IF(ISNUMBER(SEARCH(",Indie,",","&amp;SUBSTITUTE(TableMain[[#This Row],[Tags]],", ",",")&amp;",")),"Y","N")</f>
        <v>N</v>
      </c>
      <c r="L913" s="3" t="str">
        <f>IF(ISNUMBER(SEARCH(",Adventure,",","&amp;SUBSTITUTE(TableMain[[#This Row],[Tags]],", ",",")&amp;",")),"Y","N")</f>
        <v>Y</v>
      </c>
      <c r="M913" s="3" t="str">
        <f>IF(ISNUMBER(SEARCH(",Simulation,",","&amp;SUBSTITUTE(TableMain[[#This Row],[Tags]],", ",",")&amp;",")),"Y","N")</f>
        <v>N</v>
      </c>
      <c r="N913" s="3" t="str">
        <f>IF(ISNUMBER(SEARCH(",RPG,",","&amp;SUBSTITUTE(TableMain[[#This Row],[Tags]],", ",",")&amp;",")),"Y","N")</f>
        <v>N</v>
      </c>
      <c r="O913" s="3" t="str">
        <f>IF(ISNUMBER(SEARCH(",Strategy,",","&amp;SUBSTITUTE(TableMain[[#This Row],[Tags]],", ",",")&amp;",")),"Y","N")</f>
        <v>N</v>
      </c>
      <c r="P913" s="3" t="str">
        <f>IF(ISNUMBER(SEARCH(",Free To Play,",","&amp;SUBSTITUTE(TableMain[[#This Row],[Tags]],", ",",")&amp;",")),"Y","N")</f>
        <v>N</v>
      </c>
    </row>
    <row r="914" spans="1:16" x14ac:dyDescent="0.35">
      <c r="A914">
        <v>415200</v>
      </c>
      <c r="B914" t="s">
        <v>1985</v>
      </c>
      <c r="C914" s="1">
        <v>42683</v>
      </c>
      <c r="D914">
        <v>373</v>
      </c>
      <c r="E914" t="b">
        <v>1</v>
      </c>
      <c r="F914" t="s">
        <v>473</v>
      </c>
      <c r="G914" t="s">
        <v>1986</v>
      </c>
      <c r="H914">
        <v>912</v>
      </c>
      <c r="I914" t="s">
        <v>2093</v>
      </c>
      <c r="J914" s="3" t="str">
        <f>IF(ISNUMBER(SEARCH(",Action,",","&amp;SUBSTITUTE(TableMain[[#This Row],[Tags]],", ",",")&amp;",")),"Y","N")</f>
        <v>N</v>
      </c>
      <c r="K914" s="3" t="str">
        <f>IF(ISNUMBER(SEARCH(",Indie,",","&amp;SUBSTITUTE(TableMain[[#This Row],[Tags]],", ",",")&amp;",")),"Y","N")</f>
        <v>N</v>
      </c>
      <c r="L914" s="3" t="str">
        <f>IF(ISNUMBER(SEARCH(",Adventure,",","&amp;SUBSTITUTE(TableMain[[#This Row],[Tags]],", ",",")&amp;",")),"Y","N")</f>
        <v>N</v>
      </c>
      <c r="M914" s="3" t="str">
        <f>IF(ISNUMBER(SEARCH(",Simulation,",","&amp;SUBSTITUTE(TableMain[[#This Row],[Tags]],", ",",")&amp;",")),"Y","N")</f>
        <v>Y</v>
      </c>
      <c r="N914" s="3" t="str">
        <f>IF(ISNUMBER(SEARCH(",RPG,",","&amp;SUBSTITUTE(TableMain[[#This Row],[Tags]],", ",",")&amp;",")),"Y","N")</f>
        <v>N</v>
      </c>
      <c r="O914" s="3" t="str">
        <f>IF(ISNUMBER(SEARCH(",Strategy,",","&amp;SUBSTITUTE(TableMain[[#This Row],[Tags]],", ",",")&amp;",")),"Y","N")</f>
        <v>Y</v>
      </c>
      <c r="P914" s="3" t="str">
        <f>IF(ISNUMBER(SEARCH(",Free To Play,",","&amp;SUBSTITUTE(TableMain[[#This Row],[Tags]],", ",",")&amp;",")),"Y","N")</f>
        <v>N</v>
      </c>
    </row>
    <row r="915" spans="1:16" x14ac:dyDescent="0.35">
      <c r="A915">
        <v>2933130</v>
      </c>
      <c r="B915" t="s">
        <v>1987</v>
      </c>
      <c r="C915" s="1">
        <v>45531</v>
      </c>
      <c r="D915">
        <v>370</v>
      </c>
      <c r="E915" t="b">
        <v>0</v>
      </c>
      <c r="F915" t="s">
        <v>1009</v>
      </c>
      <c r="G915" t="s">
        <v>208</v>
      </c>
      <c r="H915">
        <v>916</v>
      </c>
      <c r="I915" t="s">
        <v>36</v>
      </c>
      <c r="J915" s="3" t="str">
        <f>IF(ISNUMBER(SEARCH(",Action,",","&amp;SUBSTITUTE(TableMain[[#This Row],[Tags]],", ",",")&amp;",")),"Y","N")</f>
        <v>Y</v>
      </c>
      <c r="K915" s="3" t="str">
        <f>IF(ISNUMBER(SEARCH(",Indie,",","&amp;SUBSTITUTE(TableMain[[#This Row],[Tags]],", ",",")&amp;",")),"Y","N")</f>
        <v>N</v>
      </c>
      <c r="L915" s="3" t="str">
        <f>IF(ISNUMBER(SEARCH(",Adventure,",","&amp;SUBSTITUTE(TableMain[[#This Row],[Tags]],", ",",")&amp;",")),"Y","N")</f>
        <v>Y</v>
      </c>
      <c r="M915" s="3" t="str">
        <f>IF(ISNUMBER(SEARCH(",Simulation,",","&amp;SUBSTITUTE(TableMain[[#This Row],[Tags]],", ",",")&amp;",")),"Y","N")</f>
        <v>N</v>
      </c>
      <c r="N915" s="3" t="str">
        <f>IF(ISNUMBER(SEARCH(",RPG,",","&amp;SUBSTITUTE(TableMain[[#This Row],[Tags]],", ",",")&amp;",")),"Y","N")</f>
        <v>Y</v>
      </c>
      <c r="O915" s="3" t="str">
        <f>IF(ISNUMBER(SEARCH(",Strategy,",","&amp;SUBSTITUTE(TableMain[[#This Row],[Tags]],", ",",")&amp;",")),"Y","N")</f>
        <v>N</v>
      </c>
      <c r="P915" s="3" t="str">
        <f>IF(ISNUMBER(SEARCH(",Free To Play,",","&amp;SUBSTITUTE(TableMain[[#This Row],[Tags]],", ",",")&amp;",")),"Y","N")</f>
        <v>N</v>
      </c>
    </row>
    <row r="916" spans="1:16" x14ac:dyDescent="0.35">
      <c r="A916">
        <v>269210</v>
      </c>
      <c r="B916" t="s">
        <v>1988</v>
      </c>
      <c r="C916" s="1">
        <v>41668</v>
      </c>
      <c r="D916">
        <v>369</v>
      </c>
      <c r="E916" t="b">
        <v>0</v>
      </c>
      <c r="F916" t="s">
        <v>1989</v>
      </c>
      <c r="G916" t="s">
        <v>28</v>
      </c>
      <c r="H916">
        <v>917</v>
      </c>
      <c r="I916" t="s">
        <v>967</v>
      </c>
      <c r="J916" s="3" t="str">
        <f>IF(ISNUMBER(SEARCH(",Action,",","&amp;SUBSTITUTE(TableMain[[#This Row],[Tags]],", ",",")&amp;",")),"Y","N")</f>
        <v>Y</v>
      </c>
      <c r="K916" s="3" t="str">
        <f>IF(ISNUMBER(SEARCH(",Indie,",","&amp;SUBSTITUTE(TableMain[[#This Row],[Tags]],", ",",")&amp;",")),"Y","N")</f>
        <v>Y</v>
      </c>
      <c r="L916" s="3" t="str">
        <f>IF(ISNUMBER(SEARCH(",Adventure,",","&amp;SUBSTITUTE(TableMain[[#This Row],[Tags]],", ",",")&amp;",")),"Y","N")</f>
        <v>Y</v>
      </c>
      <c r="M916" s="3" t="str">
        <f>IF(ISNUMBER(SEARCH(",Simulation,",","&amp;SUBSTITUTE(TableMain[[#This Row],[Tags]],", ",",")&amp;",")),"Y","N")</f>
        <v>N</v>
      </c>
      <c r="N916" s="3" t="str">
        <f>IF(ISNUMBER(SEARCH(",RPG,",","&amp;SUBSTITUTE(TableMain[[#This Row],[Tags]],", ",",")&amp;",")),"Y","N")</f>
        <v>Y</v>
      </c>
      <c r="O916" s="3" t="str">
        <f>IF(ISNUMBER(SEARCH(",Strategy,",","&amp;SUBSTITUTE(TableMain[[#This Row],[Tags]],", ",",")&amp;",")),"Y","N")</f>
        <v>N</v>
      </c>
      <c r="P916" s="3" t="str">
        <f>IF(ISNUMBER(SEARCH(",Free To Play,",","&amp;SUBSTITUTE(TableMain[[#This Row],[Tags]],", ",",")&amp;",")),"Y","N")</f>
        <v>N</v>
      </c>
    </row>
    <row r="917" spans="1:16" x14ac:dyDescent="0.35">
      <c r="A917">
        <v>273110</v>
      </c>
      <c r="B917" t="s">
        <v>1990</v>
      </c>
      <c r="C917" s="1">
        <v>41919</v>
      </c>
      <c r="D917">
        <v>369</v>
      </c>
      <c r="E917" t="b">
        <v>0</v>
      </c>
      <c r="F917" t="s">
        <v>1991</v>
      </c>
      <c r="G917" t="s">
        <v>1992</v>
      </c>
      <c r="H917">
        <v>917</v>
      </c>
      <c r="I917" t="s">
        <v>967</v>
      </c>
      <c r="J917" s="3" t="str">
        <f>IF(ISNUMBER(SEARCH(",Action,",","&amp;SUBSTITUTE(TableMain[[#This Row],[Tags]],", ",",")&amp;",")),"Y","N")</f>
        <v>Y</v>
      </c>
      <c r="K917" s="3" t="str">
        <f>IF(ISNUMBER(SEARCH(",Indie,",","&amp;SUBSTITUTE(TableMain[[#This Row],[Tags]],", ",",")&amp;",")),"Y","N")</f>
        <v>Y</v>
      </c>
      <c r="L917" s="3" t="str">
        <f>IF(ISNUMBER(SEARCH(",Adventure,",","&amp;SUBSTITUTE(TableMain[[#This Row],[Tags]],", ",",")&amp;",")),"Y","N")</f>
        <v>N</v>
      </c>
      <c r="M917" s="3" t="str">
        <f>IF(ISNUMBER(SEARCH(",Simulation,",","&amp;SUBSTITUTE(TableMain[[#This Row],[Tags]],", ",",")&amp;",")),"Y","N")</f>
        <v>N</v>
      </c>
      <c r="N917" s="3" t="str">
        <f>IF(ISNUMBER(SEARCH(",RPG,",","&amp;SUBSTITUTE(TableMain[[#This Row],[Tags]],", ",",")&amp;",")),"Y","N")</f>
        <v>N</v>
      </c>
      <c r="O917" s="3" t="str">
        <f>IF(ISNUMBER(SEARCH(",Strategy,",","&amp;SUBSTITUTE(TableMain[[#This Row],[Tags]],", ",",")&amp;",")),"Y","N")</f>
        <v>N</v>
      </c>
      <c r="P917" s="3" t="str">
        <f>IF(ISNUMBER(SEARCH(",Free To Play,",","&amp;SUBSTITUTE(TableMain[[#This Row],[Tags]],", ",",")&amp;",")),"Y","N")</f>
        <v>Y</v>
      </c>
    </row>
    <row r="918" spans="1:16" x14ac:dyDescent="0.35">
      <c r="A918">
        <v>2291060</v>
      </c>
      <c r="B918" t="s">
        <v>1993</v>
      </c>
      <c r="C918" s="1">
        <v>45498</v>
      </c>
      <c r="D918">
        <v>369</v>
      </c>
      <c r="E918" t="b">
        <v>0</v>
      </c>
      <c r="F918" t="s">
        <v>1085</v>
      </c>
      <c r="G918" t="s">
        <v>49</v>
      </c>
      <c r="H918">
        <v>917</v>
      </c>
      <c r="I918" t="s">
        <v>25</v>
      </c>
      <c r="J918" s="3" t="str">
        <f>IF(ISNUMBER(SEARCH(",Action,",","&amp;SUBSTITUTE(TableMain[[#This Row],[Tags]],", ",",")&amp;",")),"Y","N")</f>
        <v>Y</v>
      </c>
      <c r="K918" s="3" t="str">
        <f>IF(ISNUMBER(SEARCH(",Indie,",","&amp;SUBSTITUTE(TableMain[[#This Row],[Tags]],", ",",")&amp;",")),"Y","N")</f>
        <v>N</v>
      </c>
      <c r="L918" s="3" t="str">
        <f>IF(ISNUMBER(SEARCH(",Adventure,",","&amp;SUBSTITUTE(TableMain[[#This Row],[Tags]],", ",",")&amp;",")),"Y","N")</f>
        <v>N</v>
      </c>
      <c r="M918" s="3" t="str">
        <f>IF(ISNUMBER(SEARCH(",Simulation,",","&amp;SUBSTITUTE(TableMain[[#This Row],[Tags]],", ",",")&amp;",")),"Y","N")</f>
        <v>N</v>
      </c>
      <c r="N918" s="3" t="str">
        <f>IF(ISNUMBER(SEARCH(",RPG,",","&amp;SUBSTITUTE(TableMain[[#This Row],[Tags]],", ",",")&amp;",")),"Y","N")</f>
        <v>N</v>
      </c>
      <c r="O918" s="3" t="str">
        <f>IF(ISNUMBER(SEARCH(",Strategy,",","&amp;SUBSTITUTE(TableMain[[#This Row],[Tags]],", ",",")&amp;",")),"Y","N")</f>
        <v>N</v>
      </c>
      <c r="P918" s="3" t="str">
        <f>IF(ISNUMBER(SEARCH(",Free To Play,",","&amp;SUBSTITUTE(TableMain[[#This Row],[Tags]],", ",",")&amp;",")),"Y","N")</f>
        <v>N</v>
      </c>
    </row>
    <row r="919" spans="1:16" x14ac:dyDescent="0.35">
      <c r="A919">
        <v>1377380</v>
      </c>
      <c r="B919" t="s">
        <v>1994</v>
      </c>
      <c r="C919" s="1">
        <v>45443</v>
      </c>
      <c r="D919">
        <v>368</v>
      </c>
      <c r="E919" t="b">
        <v>0</v>
      </c>
      <c r="F919" t="s">
        <v>1995</v>
      </c>
      <c r="G919" t="s">
        <v>504</v>
      </c>
      <c r="H919">
        <v>920</v>
      </c>
      <c r="I919" t="s">
        <v>184</v>
      </c>
      <c r="J919" s="3" t="str">
        <f>IF(ISNUMBER(SEARCH(",Action,",","&amp;SUBSTITUTE(TableMain[[#This Row],[Tags]],", ",",")&amp;",")),"Y","N")</f>
        <v>Y</v>
      </c>
      <c r="K919" s="3" t="str">
        <f>IF(ISNUMBER(SEARCH(",Indie,",","&amp;SUBSTITUTE(TableMain[[#This Row],[Tags]],", ",",")&amp;",")),"Y","N")</f>
        <v>Y</v>
      </c>
      <c r="L919" s="3" t="str">
        <f>IF(ISNUMBER(SEARCH(",Adventure,",","&amp;SUBSTITUTE(TableMain[[#This Row],[Tags]],", ",",")&amp;",")),"Y","N")</f>
        <v>Y</v>
      </c>
      <c r="M919" s="3" t="str">
        <f>IF(ISNUMBER(SEARCH(",Simulation,",","&amp;SUBSTITUTE(TableMain[[#This Row],[Tags]],", ",",")&amp;",")),"Y","N")</f>
        <v>Y</v>
      </c>
      <c r="N919" s="3" t="str">
        <f>IF(ISNUMBER(SEARCH(",RPG,",","&amp;SUBSTITUTE(TableMain[[#This Row],[Tags]],", ",",")&amp;",")),"Y","N")</f>
        <v>Y</v>
      </c>
      <c r="O919" s="3" t="str">
        <f>IF(ISNUMBER(SEARCH(",Strategy,",","&amp;SUBSTITUTE(TableMain[[#This Row],[Tags]],", ",",")&amp;",")),"Y","N")</f>
        <v>N</v>
      </c>
      <c r="P919" s="3" t="str">
        <f>IF(ISNUMBER(SEARCH(",Free To Play,",","&amp;SUBSTITUTE(TableMain[[#This Row],[Tags]],", ",",")&amp;",")),"Y","N")</f>
        <v>N</v>
      </c>
    </row>
    <row r="920" spans="1:16" x14ac:dyDescent="0.35">
      <c r="A920">
        <v>2231450</v>
      </c>
      <c r="B920" t="s">
        <v>1996</v>
      </c>
      <c r="C920" s="1">
        <v>44952</v>
      </c>
      <c r="D920">
        <v>367</v>
      </c>
      <c r="E920" t="b">
        <v>0</v>
      </c>
      <c r="F920" t="s">
        <v>1684</v>
      </c>
      <c r="G920" t="s">
        <v>116</v>
      </c>
      <c r="H920">
        <v>921</v>
      </c>
      <c r="I920" t="s">
        <v>932</v>
      </c>
      <c r="J920" s="3" t="str">
        <f>IF(ISNUMBER(SEARCH(",Action,",","&amp;SUBSTITUTE(TableMain[[#This Row],[Tags]],", ",",")&amp;",")),"Y","N")</f>
        <v>Y</v>
      </c>
      <c r="K920" s="3" t="str">
        <f>IF(ISNUMBER(SEARCH(",Indie,",","&amp;SUBSTITUTE(TableMain[[#This Row],[Tags]],", ",",")&amp;",")),"Y","N")</f>
        <v>Y</v>
      </c>
      <c r="L920" s="3" t="str">
        <f>IF(ISNUMBER(SEARCH(",Adventure,",","&amp;SUBSTITUTE(TableMain[[#This Row],[Tags]],", ",",")&amp;",")),"Y","N")</f>
        <v>N</v>
      </c>
      <c r="M920" s="3" t="str">
        <f>IF(ISNUMBER(SEARCH(",Simulation,",","&amp;SUBSTITUTE(TableMain[[#This Row],[Tags]],", ",",")&amp;",")),"Y","N")</f>
        <v>N</v>
      </c>
      <c r="N920" s="3" t="str">
        <f>IF(ISNUMBER(SEARCH(",RPG,",","&amp;SUBSTITUTE(TableMain[[#This Row],[Tags]],", ",",")&amp;",")),"Y","N")</f>
        <v>N</v>
      </c>
      <c r="O920" s="3" t="str">
        <f>IF(ISNUMBER(SEARCH(",Strategy,",","&amp;SUBSTITUTE(TableMain[[#This Row],[Tags]],", ",",")&amp;",")),"Y","N")</f>
        <v>N</v>
      </c>
      <c r="P920" s="3" t="str">
        <f>IF(ISNUMBER(SEARCH(",Free To Play,",","&amp;SUBSTITUTE(TableMain[[#This Row],[Tags]],", ",",")&amp;",")),"Y","N")</f>
        <v>N</v>
      </c>
    </row>
    <row r="921" spans="1:16" x14ac:dyDescent="0.35">
      <c r="A921">
        <v>1455840</v>
      </c>
      <c r="B921" t="s">
        <v>1997</v>
      </c>
      <c r="C921" s="1">
        <v>44679</v>
      </c>
      <c r="D921">
        <v>365</v>
      </c>
      <c r="E921" t="b">
        <v>0</v>
      </c>
      <c r="F921" t="s">
        <v>1522</v>
      </c>
      <c r="G921" t="s">
        <v>190</v>
      </c>
      <c r="H921">
        <v>922</v>
      </c>
      <c r="I921" t="s">
        <v>932</v>
      </c>
      <c r="J921" s="3" t="str">
        <f>IF(ISNUMBER(SEARCH(",Action,",","&amp;SUBSTITUTE(TableMain[[#This Row],[Tags]],", ",",")&amp;",")),"Y","N")</f>
        <v>N</v>
      </c>
      <c r="K921" s="3" t="str">
        <f>IF(ISNUMBER(SEARCH(",Indie,",","&amp;SUBSTITUTE(TableMain[[#This Row],[Tags]],", ",",")&amp;",")),"Y","N")</f>
        <v>Y</v>
      </c>
      <c r="L921" s="3" t="str">
        <f>IF(ISNUMBER(SEARCH(",Adventure,",","&amp;SUBSTITUTE(TableMain[[#This Row],[Tags]],", ",",")&amp;",")),"Y","N")</f>
        <v>N</v>
      </c>
      <c r="M921" s="3" t="str">
        <f>IF(ISNUMBER(SEARCH(",Simulation,",","&amp;SUBSTITUTE(TableMain[[#This Row],[Tags]],", ",",")&amp;",")),"Y","N")</f>
        <v>Y</v>
      </c>
      <c r="N921" s="3" t="str">
        <f>IF(ISNUMBER(SEARCH(",RPG,",","&amp;SUBSTITUTE(TableMain[[#This Row],[Tags]],", ",",")&amp;",")),"Y","N")</f>
        <v>N</v>
      </c>
      <c r="O921" s="3" t="str">
        <f>IF(ISNUMBER(SEARCH(",Strategy,",","&amp;SUBSTITUTE(TableMain[[#This Row],[Tags]],", ",",")&amp;",")),"Y","N")</f>
        <v>Y</v>
      </c>
      <c r="P921" s="3" t="str">
        <f>IF(ISNUMBER(SEARCH(",Free To Play,",","&amp;SUBSTITUTE(TableMain[[#This Row],[Tags]],", ",",")&amp;",")),"Y","N")</f>
        <v>N</v>
      </c>
    </row>
    <row r="922" spans="1:16" x14ac:dyDescent="0.35">
      <c r="A922">
        <v>2842040</v>
      </c>
      <c r="B922" t="s">
        <v>1998</v>
      </c>
      <c r="C922" s="1">
        <v>45617</v>
      </c>
      <c r="D922">
        <v>364</v>
      </c>
      <c r="E922" t="b">
        <v>0</v>
      </c>
      <c r="F922" t="s">
        <v>1999</v>
      </c>
      <c r="G922" t="s">
        <v>46</v>
      </c>
      <c r="H922">
        <v>923</v>
      </c>
      <c r="I922" t="s">
        <v>113</v>
      </c>
      <c r="J922" s="3" t="str">
        <f>IF(ISNUMBER(SEARCH(",Action,",","&amp;SUBSTITUTE(TableMain[[#This Row],[Tags]],", ",",")&amp;",")),"Y","N")</f>
        <v>Y</v>
      </c>
      <c r="K922" s="3" t="str">
        <f>IF(ISNUMBER(SEARCH(",Indie,",","&amp;SUBSTITUTE(TableMain[[#This Row],[Tags]],", ",",")&amp;",")),"Y","N")</f>
        <v>N</v>
      </c>
      <c r="L922" s="3" t="str">
        <f>IF(ISNUMBER(SEARCH(",Adventure,",","&amp;SUBSTITUTE(TableMain[[#This Row],[Tags]],", ",",")&amp;",")),"Y","N")</f>
        <v>Y</v>
      </c>
      <c r="M922" s="3" t="str">
        <f>IF(ISNUMBER(SEARCH(",Simulation,",","&amp;SUBSTITUTE(TableMain[[#This Row],[Tags]],", ",",")&amp;",")),"Y","N")</f>
        <v>N</v>
      </c>
      <c r="N922" s="3" t="str">
        <f>IF(ISNUMBER(SEARCH(",RPG,",","&amp;SUBSTITUTE(TableMain[[#This Row],[Tags]],", ",",")&amp;",")),"Y","N")</f>
        <v>N</v>
      </c>
      <c r="O922" s="3" t="str">
        <f>IF(ISNUMBER(SEARCH(",Strategy,",","&amp;SUBSTITUTE(TableMain[[#This Row],[Tags]],", ",",")&amp;",")),"Y","N")</f>
        <v>N</v>
      </c>
      <c r="P922" s="3" t="str">
        <f>IF(ISNUMBER(SEARCH(",Free To Play,",","&amp;SUBSTITUTE(TableMain[[#This Row],[Tags]],", ",",")&amp;",")),"Y","N")</f>
        <v>N</v>
      </c>
    </row>
    <row r="923" spans="1:16" x14ac:dyDescent="0.35">
      <c r="A923">
        <v>409710</v>
      </c>
      <c r="B923" t="s">
        <v>2000</v>
      </c>
      <c r="C923" s="1">
        <v>42628</v>
      </c>
      <c r="D923">
        <v>364</v>
      </c>
      <c r="E923" t="b">
        <v>1</v>
      </c>
      <c r="F923" t="s">
        <v>2001</v>
      </c>
      <c r="G923" t="s">
        <v>24</v>
      </c>
      <c r="H923">
        <v>923</v>
      </c>
      <c r="I923" t="s">
        <v>133</v>
      </c>
      <c r="J923" s="3" t="str">
        <f>IF(ISNUMBER(SEARCH(",Action,",","&amp;SUBSTITUTE(TableMain[[#This Row],[Tags]],", ",",")&amp;",")),"Y","N")</f>
        <v>Y</v>
      </c>
      <c r="K923" s="3" t="str">
        <f>IF(ISNUMBER(SEARCH(",Indie,",","&amp;SUBSTITUTE(TableMain[[#This Row],[Tags]],", ",",")&amp;",")),"Y","N")</f>
        <v>N</v>
      </c>
      <c r="L923" s="3" t="str">
        <f>IF(ISNUMBER(SEARCH(",Adventure,",","&amp;SUBSTITUTE(TableMain[[#This Row],[Tags]],", ",",")&amp;",")),"Y","N")</f>
        <v>N</v>
      </c>
      <c r="M923" s="3" t="str">
        <f>IF(ISNUMBER(SEARCH(",Simulation,",","&amp;SUBSTITUTE(TableMain[[#This Row],[Tags]],", ",",")&amp;",")),"Y","N")</f>
        <v>N</v>
      </c>
      <c r="N923" s="3" t="str">
        <f>IF(ISNUMBER(SEARCH(",RPG,",","&amp;SUBSTITUTE(TableMain[[#This Row],[Tags]],", ",",")&amp;",")),"Y","N")</f>
        <v>Y</v>
      </c>
      <c r="O923" s="3" t="str">
        <f>IF(ISNUMBER(SEARCH(",Strategy,",","&amp;SUBSTITUTE(TableMain[[#This Row],[Tags]],", ",",")&amp;",")),"Y","N")</f>
        <v>N</v>
      </c>
      <c r="P923" s="3" t="str">
        <f>IF(ISNUMBER(SEARCH(",Free To Play,",","&amp;SUBSTITUTE(TableMain[[#This Row],[Tags]],", ",",")&amp;",")),"Y","N")</f>
        <v>N</v>
      </c>
    </row>
    <row r="924" spans="1:16" x14ac:dyDescent="0.35">
      <c r="A924">
        <v>843380</v>
      </c>
      <c r="B924" t="s">
        <v>2002</v>
      </c>
      <c r="C924" s="1">
        <v>44434</v>
      </c>
      <c r="D924">
        <v>364</v>
      </c>
      <c r="E924" t="b">
        <v>1</v>
      </c>
      <c r="F924" t="s">
        <v>2003</v>
      </c>
      <c r="G924" t="s">
        <v>2004</v>
      </c>
      <c r="H924">
        <v>923</v>
      </c>
      <c r="I924" t="s">
        <v>119</v>
      </c>
      <c r="J924" s="3" t="str">
        <f>IF(ISNUMBER(SEARCH(",Action,",","&amp;SUBSTITUTE(TableMain[[#This Row],[Tags]],", ",",")&amp;",")),"Y","N")</f>
        <v>Y</v>
      </c>
      <c r="K924" s="3" t="str">
        <f>IF(ISNUMBER(SEARCH(",Indie,",","&amp;SUBSTITUTE(TableMain[[#This Row],[Tags]],", ",",")&amp;",")),"Y","N")</f>
        <v>Y</v>
      </c>
      <c r="L924" s="3" t="str">
        <f>IF(ISNUMBER(SEARCH(",Adventure,",","&amp;SUBSTITUTE(TableMain[[#This Row],[Tags]],", ",",")&amp;",")),"Y","N")</f>
        <v>Y</v>
      </c>
      <c r="M924" s="3" t="str">
        <f>IF(ISNUMBER(SEARCH(",Simulation,",","&amp;SUBSTITUTE(TableMain[[#This Row],[Tags]],", ",",")&amp;",")),"Y","N")</f>
        <v>N</v>
      </c>
      <c r="N924" s="3" t="str">
        <f>IF(ISNUMBER(SEARCH(",RPG,",","&amp;SUBSTITUTE(TableMain[[#This Row],[Tags]],", ",",")&amp;",")),"Y","N")</f>
        <v>N</v>
      </c>
      <c r="O924" s="3" t="str">
        <f>IF(ISNUMBER(SEARCH(",Strategy,",","&amp;SUBSTITUTE(TableMain[[#This Row],[Tags]],", ",",")&amp;",")),"Y","N")</f>
        <v>N</v>
      </c>
      <c r="P924" s="3" t="str">
        <f>IF(ISNUMBER(SEARCH(",Free To Play,",","&amp;SUBSTITUTE(TableMain[[#This Row],[Tags]],", ",",")&amp;",")),"Y","N")</f>
        <v>Y</v>
      </c>
    </row>
    <row r="925" spans="1:16" x14ac:dyDescent="0.35">
      <c r="A925">
        <v>1084160</v>
      </c>
      <c r="B925" t="s">
        <v>2005</v>
      </c>
      <c r="C925" s="1">
        <v>45121</v>
      </c>
      <c r="D925">
        <v>363</v>
      </c>
      <c r="E925" t="b">
        <v>0</v>
      </c>
      <c r="F925" t="s">
        <v>993</v>
      </c>
      <c r="G925" t="s">
        <v>183</v>
      </c>
      <c r="H925">
        <v>926</v>
      </c>
      <c r="I925" t="s">
        <v>119</v>
      </c>
      <c r="J925" s="3" t="str">
        <f>IF(ISNUMBER(SEARCH(",Action,",","&amp;SUBSTITUTE(TableMain[[#This Row],[Tags]],", ",",")&amp;",")),"Y","N")</f>
        <v>Y</v>
      </c>
      <c r="K925" s="3" t="str">
        <f>IF(ISNUMBER(SEARCH(",Indie,",","&amp;SUBSTITUTE(TableMain[[#This Row],[Tags]],", ",",")&amp;",")),"Y","N")</f>
        <v>N</v>
      </c>
      <c r="L925" s="3" t="str">
        <f>IF(ISNUMBER(SEARCH(",Adventure,",","&amp;SUBSTITUTE(TableMain[[#This Row],[Tags]],", ",",")&amp;",")),"Y","N")</f>
        <v>N</v>
      </c>
      <c r="M925" s="3" t="str">
        <f>IF(ISNUMBER(SEARCH(",Simulation,",","&amp;SUBSTITUTE(TableMain[[#This Row],[Tags]],", ",",")&amp;",")),"Y","N")</f>
        <v>N</v>
      </c>
      <c r="N925" s="3" t="str">
        <f>IF(ISNUMBER(SEARCH(",RPG,",","&amp;SUBSTITUTE(TableMain[[#This Row],[Tags]],", ",",")&amp;",")),"Y","N")</f>
        <v>N</v>
      </c>
      <c r="O925" s="3" t="str">
        <f>IF(ISNUMBER(SEARCH(",Strategy,",","&amp;SUBSTITUTE(TableMain[[#This Row],[Tags]],", ",",")&amp;",")),"Y","N")</f>
        <v>Y</v>
      </c>
      <c r="P925" s="3" t="str">
        <f>IF(ISNUMBER(SEARCH(",Free To Play,",","&amp;SUBSTITUTE(TableMain[[#This Row],[Tags]],", ",",")&amp;",")),"Y","N")</f>
        <v>N</v>
      </c>
    </row>
    <row r="926" spans="1:16" x14ac:dyDescent="0.35">
      <c r="A926">
        <v>760160</v>
      </c>
      <c r="B926" t="s">
        <v>2006</v>
      </c>
      <c r="C926" s="1">
        <v>44678</v>
      </c>
      <c r="D926">
        <v>362</v>
      </c>
      <c r="E926" t="b">
        <v>0</v>
      </c>
      <c r="F926" t="s">
        <v>2007</v>
      </c>
      <c r="G926" t="s">
        <v>10</v>
      </c>
      <c r="H926">
        <v>927</v>
      </c>
      <c r="I926" t="s">
        <v>371</v>
      </c>
      <c r="J926" s="3" t="str">
        <f>IF(ISNUMBER(SEARCH(",Action,",","&amp;SUBSTITUTE(TableMain[[#This Row],[Tags]],", ",",")&amp;",")),"Y","N")</f>
        <v>Y</v>
      </c>
      <c r="K926" s="3" t="str">
        <f>IF(ISNUMBER(SEARCH(",Indie,",","&amp;SUBSTITUTE(TableMain[[#This Row],[Tags]],", ",",")&amp;",")),"Y","N")</f>
        <v>N</v>
      </c>
      <c r="L926" s="3" t="str">
        <f>IF(ISNUMBER(SEARCH(",Adventure,",","&amp;SUBSTITUTE(TableMain[[#This Row],[Tags]],", ",",")&amp;",")),"Y","N")</f>
        <v>N</v>
      </c>
      <c r="M926" s="3" t="str">
        <f>IF(ISNUMBER(SEARCH(",Simulation,",","&amp;SUBSTITUTE(TableMain[[#This Row],[Tags]],", ",",")&amp;",")),"Y","N")</f>
        <v>N</v>
      </c>
      <c r="N926" s="3" t="str">
        <f>IF(ISNUMBER(SEARCH(",RPG,",","&amp;SUBSTITUTE(TableMain[[#This Row],[Tags]],", ",",")&amp;",")),"Y","N")</f>
        <v>N</v>
      </c>
      <c r="O926" s="3" t="str">
        <f>IF(ISNUMBER(SEARCH(",Strategy,",","&amp;SUBSTITUTE(TableMain[[#This Row],[Tags]],", ",",")&amp;",")),"Y","N")</f>
        <v>N</v>
      </c>
      <c r="P926" s="3" t="str">
        <f>IF(ISNUMBER(SEARCH(",Free To Play,",","&amp;SUBSTITUTE(TableMain[[#This Row],[Tags]],", ",",")&amp;",")),"Y","N")</f>
        <v>Y</v>
      </c>
    </row>
    <row r="927" spans="1:16" x14ac:dyDescent="0.35">
      <c r="A927">
        <v>952060</v>
      </c>
      <c r="B927" t="s">
        <v>2008</v>
      </c>
      <c r="C927" s="1">
        <v>43923</v>
      </c>
      <c r="D927">
        <v>362</v>
      </c>
      <c r="E927" t="b">
        <v>0</v>
      </c>
      <c r="F927" t="s">
        <v>2009</v>
      </c>
      <c r="G927" t="s">
        <v>49</v>
      </c>
      <c r="H927">
        <v>927</v>
      </c>
      <c r="I927" t="s">
        <v>53</v>
      </c>
      <c r="J927" s="3" t="str">
        <f>IF(ISNUMBER(SEARCH(",Action,",","&amp;SUBSTITUTE(TableMain[[#This Row],[Tags]],", ",",")&amp;",")),"Y","N")</f>
        <v>Y</v>
      </c>
      <c r="K927" s="3" t="str">
        <f>IF(ISNUMBER(SEARCH(",Indie,",","&amp;SUBSTITUTE(TableMain[[#This Row],[Tags]],", ",",")&amp;",")),"Y","N")</f>
        <v>N</v>
      </c>
      <c r="L927" s="3" t="str">
        <f>IF(ISNUMBER(SEARCH(",Adventure,",","&amp;SUBSTITUTE(TableMain[[#This Row],[Tags]],", ",",")&amp;",")),"Y","N")</f>
        <v>N</v>
      </c>
      <c r="M927" s="3" t="str">
        <f>IF(ISNUMBER(SEARCH(",Simulation,",","&amp;SUBSTITUTE(TableMain[[#This Row],[Tags]],", ",",")&amp;",")),"Y","N")</f>
        <v>N</v>
      </c>
      <c r="N927" s="3" t="str">
        <f>IF(ISNUMBER(SEARCH(",RPG,",","&amp;SUBSTITUTE(TableMain[[#This Row],[Tags]],", ",",")&amp;",")),"Y","N")</f>
        <v>N</v>
      </c>
      <c r="O927" s="3" t="str">
        <f>IF(ISNUMBER(SEARCH(",Strategy,",","&amp;SUBSTITUTE(TableMain[[#This Row],[Tags]],", ",",")&amp;",")),"Y","N")</f>
        <v>N</v>
      </c>
      <c r="P927" s="3" t="str">
        <f>IF(ISNUMBER(SEARCH(",Free To Play,",","&amp;SUBSTITUTE(TableMain[[#This Row],[Tags]],", ",",")&amp;",")),"Y","N")</f>
        <v>N</v>
      </c>
    </row>
    <row r="928" spans="1:16" x14ac:dyDescent="0.35">
      <c r="A928">
        <v>17480</v>
      </c>
      <c r="B928" t="s">
        <v>2010</v>
      </c>
      <c r="C928" s="1">
        <v>39821</v>
      </c>
      <c r="D928">
        <v>362</v>
      </c>
      <c r="E928" t="b">
        <v>0</v>
      </c>
      <c r="F928" t="s">
        <v>890</v>
      </c>
      <c r="G928" t="s">
        <v>183</v>
      </c>
      <c r="H928">
        <v>927</v>
      </c>
      <c r="I928" t="s">
        <v>2084</v>
      </c>
      <c r="J928" s="3" t="str">
        <f>IF(ISNUMBER(SEARCH(",Action,",","&amp;SUBSTITUTE(TableMain[[#This Row],[Tags]],", ",",")&amp;",")),"Y","N")</f>
        <v>Y</v>
      </c>
      <c r="K928" s="3" t="str">
        <f>IF(ISNUMBER(SEARCH(",Indie,",","&amp;SUBSTITUTE(TableMain[[#This Row],[Tags]],", ",",")&amp;",")),"Y","N")</f>
        <v>N</v>
      </c>
      <c r="L928" s="3" t="str">
        <f>IF(ISNUMBER(SEARCH(",Adventure,",","&amp;SUBSTITUTE(TableMain[[#This Row],[Tags]],", ",",")&amp;",")),"Y","N")</f>
        <v>N</v>
      </c>
      <c r="M928" s="3" t="str">
        <f>IF(ISNUMBER(SEARCH(",Simulation,",","&amp;SUBSTITUTE(TableMain[[#This Row],[Tags]],", ",",")&amp;",")),"Y","N")</f>
        <v>N</v>
      </c>
      <c r="N928" s="3" t="str">
        <f>IF(ISNUMBER(SEARCH(",RPG,",","&amp;SUBSTITUTE(TableMain[[#This Row],[Tags]],", ",",")&amp;",")),"Y","N")</f>
        <v>N</v>
      </c>
      <c r="O928" s="3" t="str">
        <f>IF(ISNUMBER(SEARCH(",Strategy,",","&amp;SUBSTITUTE(TableMain[[#This Row],[Tags]],", ",",")&amp;",")),"Y","N")</f>
        <v>Y</v>
      </c>
      <c r="P928" s="3" t="str">
        <f>IF(ISNUMBER(SEARCH(",Free To Play,",","&amp;SUBSTITUTE(TableMain[[#This Row],[Tags]],", ",",")&amp;",")),"Y","N")</f>
        <v>N</v>
      </c>
    </row>
    <row r="929" spans="1:16" x14ac:dyDescent="0.35">
      <c r="A929">
        <v>3330250</v>
      </c>
      <c r="B929" t="s">
        <v>2011</v>
      </c>
      <c r="C929" s="1">
        <v>45784</v>
      </c>
      <c r="D929">
        <v>361</v>
      </c>
      <c r="E929" t="b">
        <v>1</v>
      </c>
      <c r="F929" t="s">
        <v>681</v>
      </c>
      <c r="G929" t="s">
        <v>519</v>
      </c>
      <c r="H929">
        <v>930</v>
      </c>
      <c r="I929" t="s">
        <v>33</v>
      </c>
      <c r="J929" s="3" t="str">
        <f>IF(ISNUMBER(SEARCH(",Action,",","&amp;SUBSTITUTE(TableMain[[#This Row],[Tags]],", ",",")&amp;",")),"Y","N")</f>
        <v>N</v>
      </c>
      <c r="K929" s="3" t="str">
        <f>IF(ISNUMBER(SEARCH(",Indie,",","&amp;SUBSTITUTE(TableMain[[#This Row],[Tags]],", ",",")&amp;",")),"Y","N")</f>
        <v>N</v>
      </c>
      <c r="L929" s="3" t="str">
        <f>IF(ISNUMBER(SEARCH(",Adventure,",","&amp;SUBSTITUTE(TableMain[[#This Row],[Tags]],", ",",")&amp;",")),"Y","N")</f>
        <v>N</v>
      </c>
      <c r="M929" s="3" t="str">
        <f>IF(ISNUMBER(SEARCH(",Simulation,",","&amp;SUBSTITUTE(TableMain[[#This Row],[Tags]],", ",",")&amp;",")),"Y","N")</f>
        <v>N</v>
      </c>
      <c r="N929" s="3" t="str">
        <f>IF(ISNUMBER(SEARCH(",RPG,",","&amp;SUBSTITUTE(TableMain[[#This Row],[Tags]],", ",",")&amp;",")),"Y","N")</f>
        <v>N</v>
      </c>
      <c r="O929" s="3" t="str">
        <f>IF(ISNUMBER(SEARCH(",Strategy,",","&amp;SUBSTITUTE(TableMain[[#This Row],[Tags]],", ",",")&amp;",")),"Y","N")</f>
        <v>N</v>
      </c>
      <c r="P929" s="3" t="str">
        <f>IF(ISNUMBER(SEARCH(",Free To Play,",","&amp;SUBSTITUTE(TableMain[[#This Row],[Tags]],", ",",")&amp;",")),"Y","N")</f>
        <v>N</v>
      </c>
    </row>
    <row r="930" spans="1:16" x14ac:dyDescent="0.35">
      <c r="A930">
        <v>2218750</v>
      </c>
      <c r="B930" t="s">
        <v>2012</v>
      </c>
      <c r="C930" s="1">
        <v>45559</v>
      </c>
      <c r="D930">
        <v>361</v>
      </c>
      <c r="E930" t="b">
        <v>0</v>
      </c>
      <c r="F930" t="s">
        <v>2013</v>
      </c>
      <c r="G930" t="s">
        <v>731</v>
      </c>
      <c r="H930">
        <v>930</v>
      </c>
      <c r="I930" t="s">
        <v>25</v>
      </c>
      <c r="J930" s="3" t="str">
        <f>IF(ISNUMBER(SEARCH(",Action,",","&amp;SUBSTITUTE(TableMain[[#This Row],[Tags]],", ",",")&amp;",")),"Y","N")</f>
        <v>Y</v>
      </c>
      <c r="K930" s="3" t="str">
        <f>IF(ISNUMBER(SEARCH(",Indie,",","&amp;SUBSTITUTE(TableMain[[#This Row],[Tags]],", ",",")&amp;",")),"Y","N")</f>
        <v>Y</v>
      </c>
      <c r="L930" s="3" t="str">
        <f>IF(ISNUMBER(SEARCH(",Adventure,",","&amp;SUBSTITUTE(TableMain[[#This Row],[Tags]],", ",",")&amp;",")),"Y","N")</f>
        <v>N</v>
      </c>
      <c r="M930" s="3" t="str">
        <f>IF(ISNUMBER(SEARCH(",Simulation,",","&amp;SUBSTITUTE(TableMain[[#This Row],[Tags]],", ",",")&amp;",")),"Y","N")</f>
        <v>N</v>
      </c>
      <c r="N930" s="3" t="str">
        <f>IF(ISNUMBER(SEARCH(",RPG,",","&amp;SUBSTITUTE(TableMain[[#This Row],[Tags]],", ",",")&amp;",")),"Y","N")</f>
        <v>Y</v>
      </c>
      <c r="O930" s="3" t="str">
        <f>IF(ISNUMBER(SEARCH(",Strategy,",","&amp;SUBSTITUTE(TableMain[[#This Row],[Tags]],", ",",")&amp;",")),"Y","N")</f>
        <v>N</v>
      </c>
      <c r="P930" s="3" t="str">
        <f>IF(ISNUMBER(SEARCH(",Free To Play,",","&amp;SUBSTITUTE(TableMain[[#This Row],[Tags]],", ",",")&amp;",")),"Y","N")</f>
        <v>N</v>
      </c>
    </row>
    <row r="931" spans="1:16" x14ac:dyDescent="0.35">
      <c r="A931">
        <v>800270</v>
      </c>
      <c r="B931" t="s">
        <v>2014</v>
      </c>
      <c r="C931" s="1">
        <v>43390</v>
      </c>
      <c r="D931">
        <v>361</v>
      </c>
      <c r="E931" t="b">
        <v>1</v>
      </c>
      <c r="F931" t="s">
        <v>2015</v>
      </c>
      <c r="G931" t="s">
        <v>124</v>
      </c>
      <c r="H931">
        <v>930</v>
      </c>
      <c r="I931" t="s">
        <v>133</v>
      </c>
      <c r="J931" s="3" t="str">
        <f>IF(ISNUMBER(SEARCH(",Action,",","&amp;SUBSTITUTE(TableMain[[#This Row],[Tags]],", ",",")&amp;",")),"Y","N")</f>
        <v>N</v>
      </c>
      <c r="K931" s="3" t="str">
        <f>IF(ISNUMBER(SEARCH(",Indie,",","&amp;SUBSTITUTE(TableMain[[#This Row],[Tags]],", ",",")&amp;",")),"Y","N")</f>
        <v>N</v>
      </c>
      <c r="L931" s="3" t="str">
        <f>IF(ISNUMBER(SEARCH(",Adventure,",","&amp;SUBSTITUTE(TableMain[[#This Row],[Tags]],", ",",")&amp;",")),"Y","N")</f>
        <v>N</v>
      </c>
      <c r="M931" s="3" t="str">
        <f>IF(ISNUMBER(SEARCH(",Simulation,",","&amp;SUBSTITUTE(TableMain[[#This Row],[Tags]],", ",",")&amp;",")),"Y","N")</f>
        <v>N</v>
      </c>
      <c r="N931" s="3" t="str">
        <f>IF(ISNUMBER(SEARCH(",RPG,",","&amp;SUBSTITUTE(TableMain[[#This Row],[Tags]],", ",",")&amp;",")),"Y","N")</f>
        <v>N</v>
      </c>
      <c r="O931" s="3" t="str">
        <f>IF(ISNUMBER(SEARCH(",Strategy,",","&amp;SUBSTITUTE(TableMain[[#This Row],[Tags]],", ",",")&amp;",")),"Y","N")</f>
        <v>Y</v>
      </c>
      <c r="P931" s="3" t="str">
        <f>IF(ISNUMBER(SEARCH(",Free To Play,",","&amp;SUBSTITUTE(TableMain[[#This Row],[Tags]],", ",",")&amp;",")),"Y","N")</f>
        <v>N</v>
      </c>
    </row>
    <row r="932" spans="1:16" x14ac:dyDescent="0.35">
      <c r="A932">
        <v>392110</v>
      </c>
      <c r="B932" t="s">
        <v>2016</v>
      </c>
      <c r="C932" s="1">
        <v>42873</v>
      </c>
      <c r="D932">
        <v>359</v>
      </c>
      <c r="E932" t="b">
        <v>1</v>
      </c>
      <c r="F932" t="s">
        <v>2017</v>
      </c>
      <c r="G932" t="s">
        <v>124</v>
      </c>
      <c r="H932">
        <v>933</v>
      </c>
      <c r="I932" t="s">
        <v>68</v>
      </c>
      <c r="J932" s="3" t="str">
        <f>IF(ISNUMBER(SEARCH(",Action,",","&amp;SUBSTITUTE(TableMain[[#This Row],[Tags]],", ",",")&amp;",")),"Y","N")</f>
        <v>N</v>
      </c>
      <c r="K932" s="3" t="str">
        <f>IF(ISNUMBER(SEARCH(",Indie,",","&amp;SUBSTITUTE(TableMain[[#This Row],[Tags]],", ",",")&amp;",")),"Y","N")</f>
        <v>N</v>
      </c>
      <c r="L932" s="3" t="str">
        <f>IF(ISNUMBER(SEARCH(",Adventure,",","&amp;SUBSTITUTE(TableMain[[#This Row],[Tags]],", ",",")&amp;",")),"Y","N")</f>
        <v>N</v>
      </c>
      <c r="M932" s="3" t="str">
        <f>IF(ISNUMBER(SEARCH(",Simulation,",","&amp;SUBSTITUTE(TableMain[[#This Row],[Tags]],", ",",")&amp;",")),"Y","N")</f>
        <v>N</v>
      </c>
      <c r="N932" s="3" t="str">
        <f>IF(ISNUMBER(SEARCH(",RPG,",","&amp;SUBSTITUTE(TableMain[[#This Row],[Tags]],", ",",")&amp;",")),"Y","N")</f>
        <v>N</v>
      </c>
      <c r="O932" s="3" t="str">
        <f>IF(ISNUMBER(SEARCH(",Strategy,",","&amp;SUBSTITUTE(TableMain[[#This Row],[Tags]],", ",",")&amp;",")),"Y","N")</f>
        <v>Y</v>
      </c>
      <c r="P932" s="3" t="str">
        <f>IF(ISNUMBER(SEARCH(",Free To Play,",","&amp;SUBSTITUTE(TableMain[[#This Row],[Tags]],", ",",")&amp;",")),"Y","N")</f>
        <v>N</v>
      </c>
    </row>
    <row r="933" spans="1:16" x14ac:dyDescent="0.35">
      <c r="A933">
        <v>1796470</v>
      </c>
      <c r="B933" t="s">
        <v>2018</v>
      </c>
      <c r="C933" s="1">
        <v>45748</v>
      </c>
      <c r="D933">
        <v>358</v>
      </c>
      <c r="E933" t="b">
        <v>1</v>
      </c>
      <c r="F933" t="s">
        <v>238</v>
      </c>
      <c r="G933" t="s">
        <v>2019</v>
      </c>
      <c r="H933">
        <v>934</v>
      </c>
      <c r="I933" t="s">
        <v>33</v>
      </c>
      <c r="J933" s="3" t="str">
        <f>IF(ISNUMBER(SEARCH(",Action,",","&amp;SUBSTITUTE(TableMain[[#This Row],[Tags]],", ",",")&amp;",")),"Y","N")</f>
        <v>Y</v>
      </c>
      <c r="K933" s="3" t="str">
        <f>IF(ISNUMBER(SEARCH(",Indie,",","&amp;SUBSTITUTE(TableMain[[#This Row],[Tags]],", ",",")&amp;",")),"Y","N")</f>
        <v>Y</v>
      </c>
      <c r="L933" s="3" t="str">
        <f>IF(ISNUMBER(SEARCH(",Adventure,",","&amp;SUBSTITUTE(TableMain[[#This Row],[Tags]],", ",",")&amp;",")),"Y","N")</f>
        <v>Y</v>
      </c>
      <c r="M933" s="3" t="str">
        <f>IF(ISNUMBER(SEARCH(",Simulation,",","&amp;SUBSTITUTE(TableMain[[#This Row],[Tags]],", ",",")&amp;",")),"Y","N")</f>
        <v>N</v>
      </c>
      <c r="N933" s="3" t="str">
        <f>IF(ISNUMBER(SEARCH(",RPG,",","&amp;SUBSTITUTE(TableMain[[#This Row],[Tags]],", ",",")&amp;",")),"Y","N")</f>
        <v>N</v>
      </c>
      <c r="O933" s="3" t="str">
        <f>IF(ISNUMBER(SEARCH(",Strategy,",","&amp;SUBSTITUTE(TableMain[[#This Row],[Tags]],", ",",")&amp;",")),"Y","N")</f>
        <v>N</v>
      </c>
      <c r="P933" s="3" t="str">
        <f>IF(ISNUMBER(SEARCH(",Free To Play,",","&amp;SUBSTITUTE(TableMain[[#This Row],[Tags]],", ",",")&amp;",")),"Y","N")</f>
        <v>N</v>
      </c>
    </row>
    <row r="934" spans="1:16" x14ac:dyDescent="0.35">
      <c r="A934">
        <v>1088790</v>
      </c>
      <c r="B934" t="s">
        <v>2020</v>
      </c>
      <c r="C934" s="1">
        <v>44482</v>
      </c>
      <c r="D934">
        <v>358</v>
      </c>
      <c r="E934" t="b">
        <v>1</v>
      </c>
      <c r="F934" t="s">
        <v>2021</v>
      </c>
      <c r="G934" t="s">
        <v>100</v>
      </c>
      <c r="H934">
        <v>934</v>
      </c>
      <c r="I934" t="s">
        <v>40</v>
      </c>
      <c r="J934" s="3" t="str">
        <f>IF(ISNUMBER(SEARCH(",Action,",","&amp;SUBSTITUTE(TableMain[[#This Row],[Tags]],", ",",")&amp;",")),"Y","N")</f>
        <v>N</v>
      </c>
      <c r="K934" s="3" t="str">
        <f>IF(ISNUMBER(SEARCH(",Indie,",","&amp;SUBSTITUTE(TableMain[[#This Row],[Tags]],", ",",")&amp;",")),"Y","N")</f>
        <v>N</v>
      </c>
      <c r="L934" s="3" t="str">
        <f>IF(ISNUMBER(SEARCH(",Adventure,",","&amp;SUBSTITUTE(TableMain[[#This Row],[Tags]],", ",",")&amp;",")),"Y","N")</f>
        <v>N</v>
      </c>
      <c r="M934" s="3" t="str">
        <f>IF(ISNUMBER(SEARCH(",Simulation,",","&amp;SUBSTITUTE(TableMain[[#This Row],[Tags]],", ",",")&amp;",")),"Y","N")</f>
        <v>Y</v>
      </c>
      <c r="N934" s="3" t="str">
        <f>IF(ISNUMBER(SEARCH(",RPG,",","&amp;SUBSTITUTE(TableMain[[#This Row],[Tags]],", ",",")&amp;",")),"Y","N")</f>
        <v>N</v>
      </c>
      <c r="O934" s="3" t="str">
        <f>IF(ISNUMBER(SEARCH(",Strategy,",","&amp;SUBSTITUTE(TableMain[[#This Row],[Tags]],", ",",")&amp;",")),"Y","N")</f>
        <v>Y</v>
      </c>
      <c r="P934" s="3" t="str">
        <f>IF(ISNUMBER(SEARCH(",Free To Play,",","&amp;SUBSTITUTE(TableMain[[#This Row],[Tags]],", ",",")&amp;",")),"Y","N")</f>
        <v>N</v>
      </c>
    </row>
    <row r="935" spans="1:16" x14ac:dyDescent="0.35">
      <c r="A935">
        <v>1372110</v>
      </c>
      <c r="B935" t="s">
        <v>2022</v>
      </c>
      <c r="C935" s="1">
        <v>44805</v>
      </c>
      <c r="D935">
        <v>357</v>
      </c>
      <c r="E935" t="b">
        <v>0</v>
      </c>
      <c r="F935" t="s">
        <v>2023</v>
      </c>
      <c r="G935" t="s">
        <v>49</v>
      </c>
      <c r="H935">
        <v>936</v>
      </c>
      <c r="I935" t="s">
        <v>53</v>
      </c>
      <c r="J935" s="3" t="str">
        <f>IF(ISNUMBER(SEARCH(",Action,",","&amp;SUBSTITUTE(TableMain[[#This Row],[Tags]],", ",",")&amp;",")),"Y","N")</f>
        <v>Y</v>
      </c>
      <c r="K935" s="3" t="str">
        <f>IF(ISNUMBER(SEARCH(",Indie,",","&amp;SUBSTITUTE(TableMain[[#This Row],[Tags]],", ",",")&amp;",")),"Y","N")</f>
        <v>N</v>
      </c>
      <c r="L935" s="3" t="str">
        <f>IF(ISNUMBER(SEARCH(",Adventure,",","&amp;SUBSTITUTE(TableMain[[#This Row],[Tags]],", ",",")&amp;",")),"Y","N")</f>
        <v>N</v>
      </c>
      <c r="M935" s="3" t="str">
        <f>IF(ISNUMBER(SEARCH(",Simulation,",","&amp;SUBSTITUTE(TableMain[[#This Row],[Tags]],", ",",")&amp;",")),"Y","N")</f>
        <v>N</v>
      </c>
      <c r="N935" s="3" t="str">
        <f>IF(ISNUMBER(SEARCH(",RPG,",","&amp;SUBSTITUTE(TableMain[[#This Row],[Tags]],", ",",")&amp;",")),"Y","N")</f>
        <v>N</v>
      </c>
      <c r="O935" s="3" t="str">
        <f>IF(ISNUMBER(SEARCH(",Strategy,",","&amp;SUBSTITUTE(TableMain[[#This Row],[Tags]],", ",",")&amp;",")),"Y","N")</f>
        <v>N</v>
      </c>
      <c r="P935" s="3" t="str">
        <f>IF(ISNUMBER(SEARCH(",Free To Play,",","&amp;SUBSTITUTE(TableMain[[#This Row],[Tags]],", ",",")&amp;",")),"Y","N")</f>
        <v>N</v>
      </c>
    </row>
    <row r="936" spans="1:16" x14ac:dyDescent="0.35">
      <c r="A936">
        <v>230290</v>
      </c>
      <c r="B936" t="s">
        <v>2024</v>
      </c>
      <c r="C936" s="1">
        <v>42240</v>
      </c>
      <c r="D936">
        <v>357</v>
      </c>
      <c r="E936" t="b">
        <v>1</v>
      </c>
      <c r="F936" t="s">
        <v>2025</v>
      </c>
      <c r="G936" t="s">
        <v>1086</v>
      </c>
      <c r="H936">
        <v>936</v>
      </c>
      <c r="I936" t="s">
        <v>2082</v>
      </c>
      <c r="J936" s="3" t="str">
        <f>IF(ISNUMBER(SEARCH(",Action,",","&amp;SUBSTITUTE(TableMain[[#This Row],[Tags]],", ",",")&amp;",")),"Y","N")</f>
        <v>N</v>
      </c>
      <c r="K936" s="3" t="str">
        <f>IF(ISNUMBER(SEARCH(",Indie,",","&amp;SUBSTITUTE(TableMain[[#This Row],[Tags]],", ",",")&amp;",")),"Y","N")</f>
        <v>Y</v>
      </c>
      <c r="L936" s="3" t="str">
        <f>IF(ISNUMBER(SEARCH(",Adventure,",","&amp;SUBSTITUTE(TableMain[[#This Row],[Tags]],", ",",")&amp;",")),"Y","N")</f>
        <v>N</v>
      </c>
      <c r="M936" s="3" t="str">
        <f>IF(ISNUMBER(SEARCH(",Simulation,",","&amp;SUBSTITUTE(TableMain[[#This Row],[Tags]],", ",",")&amp;",")),"Y","N")</f>
        <v>Y</v>
      </c>
      <c r="N936" s="3" t="str">
        <f>IF(ISNUMBER(SEARCH(",RPG,",","&amp;SUBSTITUTE(TableMain[[#This Row],[Tags]],", ",",")&amp;",")),"Y","N")</f>
        <v>N</v>
      </c>
      <c r="O936" s="3" t="str">
        <f>IF(ISNUMBER(SEARCH(",Strategy,",","&amp;SUBSTITUTE(TableMain[[#This Row],[Tags]],", ",",")&amp;",")),"Y","N")</f>
        <v>N</v>
      </c>
      <c r="P936" s="3" t="str">
        <f>IF(ISNUMBER(SEARCH(",Free To Play,",","&amp;SUBSTITUTE(TableMain[[#This Row],[Tags]],", ",",")&amp;",")),"Y","N")</f>
        <v>N</v>
      </c>
    </row>
    <row r="937" spans="1:16" x14ac:dyDescent="0.35">
      <c r="A937">
        <v>42680</v>
      </c>
      <c r="B937" t="s">
        <v>2026</v>
      </c>
      <c r="C937" s="1">
        <v>40855</v>
      </c>
      <c r="D937">
        <v>357</v>
      </c>
      <c r="E937" t="b">
        <v>0</v>
      </c>
      <c r="F937" t="s">
        <v>1922</v>
      </c>
      <c r="G937" t="s">
        <v>49</v>
      </c>
      <c r="H937">
        <v>936</v>
      </c>
      <c r="I937" t="s">
        <v>119</v>
      </c>
      <c r="J937" s="3" t="str">
        <f>IF(ISNUMBER(SEARCH(",Action,",","&amp;SUBSTITUTE(TableMain[[#This Row],[Tags]],", ",",")&amp;",")),"Y","N")</f>
        <v>Y</v>
      </c>
      <c r="K937" s="3" t="str">
        <f>IF(ISNUMBER(SEARCH(",Indie,",","&amp;SUBSTITUTE(TableMain[[#This Row],[Tags]],", ",",")&amp;",")),"Y","N")</f>
        <v>N</v>
      </c>
      <c r="L937" s="3" t="str">
        <f>IF(ISNUMBER(SEARCH(",Adventure,",","&amp;SUBSTITUTE(TableMain[[#This Row],[Tags]],", ",",")&amp;",")),"Y","N")</f>
        <v>N</v>
      </c>
      <c r="M937" s="3" t="str">
        <f>IF(ISNUMBER(SEARCH(",Simulation,",","&amp;SUBSTITUTE(TableMain[[#This Row],[Tags]],", ",",")&amp;",")),"Y","N")</f>
        <v>N</v>
      </c>
      <c r="N937" s="3" t="str">
        <f>IF(ISNUMBER(SEARCH(",RPG,",","&amp;SUBSTITUTE(TableMain[[#This Row],[Tags]],", ",",")&amp;",")),"Y","N")</f>
        <v>N</v>
      </c>
      <c r="O937" s="3" t="str">
        <f>IF(ISNUMBER(SEARCH(",Strategy,",","&amp;SUBSTITUTE(TableMain[[#This Row],[Tags]],", ",",")&amp;",")),"Y","N")</f>
        <v>N</v>
      </c>
      <c r="P937" s="3" t="str">
        <f>IF(ISNUMBER(SEARCH(",Free To Play,",","&amp;SUBSTITUTE(TableMain[[#This Row],[Tags]],", ",",")&amp;",")),"Y","N")</f>
        <v>N</v>
      </c>
    </row>
    <row r="938" spans="1:16" x14ac:dyDescent="0.35">
      <c r="A938">
        <v>266410</v>
      </c>
      <c r="B938" t="s">
        <v>2027</v>
      </c>
      <c r="C938" s="1">
        <v>42016</v>
      </c>
      <c r="D938">
        <v>354</v>
      </c>
      <c r="E938" t="b">
        <v>0</v>
      </c>
      <c r="F938" t="s">
        <v>2028</v>
      </c>
      <c r="G938" t="s">
        <v>861</v>
      </c>
      <c r="H938">
        <v>939</v>
      </c>
      <c r="I938" t="s">
        <v>967</v>
      </c>
      <c r="J938" s="3" t="str">
        <f>IF(ISNUMBER(SEARCH(",Action,",","&amp;SUBSTITUTE(TableMain[[#This Row],[Tags]],", ",",")&amp;",")),"Y","N")</f>
        <v>N</v>
      </c>
      <c r="K938" s="3" t="str">
        <f>IF(ISNUMBER(SEARCH(",Indie,",","&amp;SUBSTITUTE(TableMain[[#This Row],[Tags]],", ",",")&amp;",")),"Y","N")</f>
        <v>N</v>
      </c>
      <c r="L938" s="3" t="str">
        <f>IF(ISNUMBER(SEARCH(",Adventure,",","&amp;SUBSTITUTE(TableMain[[#This Row],[Tags]],", ",",")&amp;",")),"Y","N")</f>
        <v>N</v>
      </c>
      <c r="M938" s="3" t="str">
        <f>IF(ISNUMBER(SEARCH(",Simulation,",","&amp;SUBSTITUTE(TableMain[[#This Row],[Tags]],", ",",")&amp;",")),"Y","N")</f>
        <v>Y</v>
      </c>
      <c r="N938" s="3" t="str">
        <f>IF(ISNUMBER(SEARCH(",RPG,",","&amp;SUBSTITUTE(TableMain[[#This Row],[Tags]],", ",",")&amp;",")),"Y","N")</f>
        <v>N</v>
      </c>
      <c r="O938" s="3" t="str">
        <f>IF(ISNUMBER(SEARCH(",Strategy,",","&amp;SUBSTITUTE(TableMain[[#This Row],[Tags]],", ",",")&amp;",")),"Y","N")</f>
        <v>N</v>
      </c>
      <c r="P938" s="3" t="str">
        <f>IF(ISNUMBER(SEARCH(",Free To Play,",","&amp;SUBSTITUTE(TableMain[[#This Row],[Tags]],", ",",")&amp;",")),"Y","N")</f>
        <v>N</v>
      </c>
    </row>
    <row r="939" spans="1:16" x14ac:dyDescent="0.35">
      <c r="A939">
        <v>2064650</v>
      </c>
      <c r="B939" t="s">
        <v>2029</v>
      </c>
      <c r="C939" s="1">
        <v>44853</v>
      </c>
      <c r="D939">
        <v>354</v>
      </c>
      <c r="E939" t="b">
        <v>0</v>
      </c>
      <c r="F939" t="s">
        <v>1796</v>
      </c>
      <c r="G939" t="s">
        <v>974</v>
      </c>
      <c r="H939">
        <v>939</v>
      </c>
      <c r="I939" t="s">
        <v>932</v>
      </c>
      <c r="J939" s="3" t="str">
        <f>IF(ISNUMBER(SEARCH(",Action,",","&amp;SUBSTITUTE(TableMain[[#This Row],[Tags]],", ",",")&amp;",")),"Y","N")</f>
        <v>Y</v>
      </c>
      <c r="K939" s="3" t="str">
        <f>IF(ISNUMBER(SEARCH(",Indie,",","&amp;SUBSTITUTE(TableMain[[#This Row],[Tags]],", ",",")&amp;",")),"Y","N")</f>
        <v>N</v>
      </c>
      <c r="L939" s="3" t="str">
        <f>IF(ISNUMBER(SEARCH(",Adventure,",","&amp;SUBSTITUTE(TableMain[[#This Row],[Tags]],", ",",")&amp;",")),"Y","N")</f>
        <v>N</v>
      </c>
      <c r="M939" s="3" t="str">
        <f>IF(ISNUMBER(SEARCH(",Simulation,",","&amp;SUBSTITUTE(TableMain[[#This Row],[Tags]],", ",",")&amp;",")),"Y","N")</f>
        <v>N</v>
      </c>
      <c r="N939" s="3" t="str">
        <f>IF(ISNUMBER(SEARCH(",RPG,",","&amp;SUBSTITUTE(TableMain[[#This Row],[Tags]],", ",",")&amp;",")),"Y","N")</f>
        <v>Y</v>
      </c>
      <c r="O939" s="3" t="str">
        <f>IF(ISNUMBER(SEARCH(",Strategy,",","&amp;SUBSTITUTE(TableMain[[#This Row],[Tags]],", ",",")&amp;",")),"Y","N")</f>
        <v>N</v>
      </c>
      <c r="P939" s="3" t="str">
        <f>IF(ISNUMBER(SEARCH(",Free To Play,",","&amp;SUBSTITUTE(TableMain[[#This Row],[Tags]],", ",",")&amp;",")),"Y","N")</f>
        <v>Y</v>
      </c>
    </row>
    <row r="940" spans="1:16" x14ac:dyDescent="0.35">
      <c r="A940">
        <v>571740</v>
      </c>
      <c r="B940" t="s">
        <v>2030</v>
      </c>
      <c r="C940" s="1">
        <v>45156</v>
      </c>
      <c r="D940">
        <v>352</v>
      </c>
      <c r="E940" t="b">
        <v>1</v>
      </c>
      <c r="F940" t="s">
        <v>2031</v>
      </c>
      <c r="G940" t="s">
        <v>1954</v>
      </c>
      <c r="H940">
        <v>941</v>
      </c>
      <c r="I940" t="s">
        <v>133</v>
      </c>
      <c r="J940" s="3" t="str">
        <f>IF(ISNUMBER(SEARCH(",Action,",","&amp;SUBSTITUTE(TableMain[[#This Row],[Tags]],", ",",")&amp;",")),"Y","N")</f>
        <v>N</v>
      </c>
      <c r="K940" s="3" t="str">
        <f>IF(ISNUMBER(SEARCH(",Indie,",","&amp;SUBSTITUTE(TableMain[[#This Row],[Tags]],", ",",")&amp;",")),"Y","N")</f>
        <v>Y</v>
      </c>
      <c r="L940" s="3" t="str">
        <f>IF(ISNUMBER(SEARCH(",Adventure,",","&amp;SUBSTITUTE(TableMain[[#This Row],[Tags]],", ",",")&amp;",")),"Y","N")</f>
        <v>N</v>
      </c>
      <c r="M940" s="3" t="str">
        <f>IF(ISNUMBER(SEARCH(",Simulation,",","&amp;SUBSTITUTE(TableMain[[#This Row],[Tags]],", ",",")&amp;",")),"Y","N")</f>
        <v>Y</v>
      </c>
      <c r="N940" s="3" t="str">
        <f>IF(ISNUMBER(SEARCH(",RPG,",","&amp;SUBSTITUTE(TableMain[[#This Row],[Tags]],", ",",")&amp;",")),"Y","N")</f>
        <v>N</v>
      </c>
      <c r="O940" s="3" t="str">
        <f>IF(ISNUMBER(SEARCH(",Strategy,",","&amp;SUBSTITUTE(TableMain[[#This Row],[Tags]],", ",",")&amp;",")),"Y","N")</f>
        <v>N</v>
      </c>
      <c r="P940" s="3" t="str">
        <f>IF(ISNUMBER(SEARCH(",Free To Play,",","&amp;SUBSTITUTE(TableMain[[#This Row],[Tags]],", ",",")&amp;",")),"Y","N")</f>
        <v>N</v>
      </c>
    </row>
    <row r="941" spans="1:16" x14ac:dyDescent="0.35">
      <c r="A941">
        <v>236110</v>
      </c>
      <c r="B941" t="s">
        <v>2032</v>
      </c>
      <c r="C941" s="1">
        <v>42906</v>
      </c>
      <c r="D941">
        <v>351</v>
      </c>
      <c r="E941" t="b">
        <v>0</v>
      </c>
      <c r="F941" t="s">
        <v>2033</v>
      </c>
      <c r="G941" t="s">
        <v>2034</v>
      </c>
      <c r="H941">
        <v>942</v>
      </c>
      <c r="I941" t="s">
        <v>110</v>
      </c>
      <c r="J941" s="3" t="str">
        <f>IF(ISNUMBER(SEARCH(",Action,",","&amp;SUBSTITUTE(TableMain[[#This Row],[Tags]],", ",",")&amp;",")),"Y","N")</f>
        <v>Y</v>
      </c>
      <c r="K941" s="3" t="str">
        <f>IF(ISNUMBER(SEARCH(",Indie,",","&amp;SUBSTITUTE(TableMain[[#This Row],[Tags]],", ",",")&amp;",")),"Y","N")</f>
        <v>Y</v>
      </c>
      <c r="L941" s="3" t="str">
        <f>IF(ISNUMBER(SEARCH(",Adventure,",","&amp;SUBSTITUTE(TableMain[[#This Row],[Tags]],", ",",")&amp;",")),"Y","N")</f>
        <v>N</v>
      </c>
      <c r="M941" s="3" t="str">
        <f>IF(ISNUMBER(SEARCH(",Simulation,",","&amp;SUBSTITUTE(TableMain[[#This Row],[Tags]],", ",",")&amp;",")),"Y","N")</f>
        <v>N</v>
      </c>
      <c r="N941" s="3" t="str">
        <f>IF(ISNUMBER(SEARCH(",RPG,",","&amp;SUBSTITUTE(TableMain[[#This Row],[Tags]],", ",",")&amp;",")),"Y","N")</f>
        <v>Y</v>
      </c>
      <c r="O941" s="3" t="str">
        <f>IF(ISNUMBER(SEARCH(",Strategy,",","&amp;SUBSTITUTE(TableMain[[#This Row],[Tags]],", ",",")&amp;",")),"Y","N")</f>
        <v>Y</v>
      </c>
      <c r="P941" s="3" t="str">
        <f>IF(ISNUMBER(SEARCH(",Free To Play,",","&amp;SUBSTITUTE(TableMain[[#This Row],[Tags]],", ",",")&amp;",")),"Y","N")</f>
        <v>Y</v>
      </c>
    </row>
    <row r="942" spans="1:16" x14ac:dyDescent="0.35">
      <c r="A942">
        <v>996580</v>
      </c>
      <c r="B942" t="s">
        <v>2035</v>
      </c>
      <c r="C942" s="1">
        <v>43711</v>
      </c>
      <c r="D942">
        <v>351</v>
      </c>
      <c r="E942" t="b">
        <v>0</v>
      </c>
      <c r="F942" t="s">
        <v>445</v>
      </c>
      <c r="G942" t="s">
        <v>46</v>
      </c>
      <c r="H942">
        <v>942</v>
      </c>
      <c r="I942" t="s">
        <v>133</v>
      </c>
      <c r="J942" s="3" t="str">
        <f>IF(ISNUMBER(SEARCH(",Action,",","&amp;SUBSTITUTE(TableMain[[#This Row],[Tags]],", ",",")&amp;",")),"Y","N")</f>
        <v>Y</v>
      </c>
      <c r="K942" s="3" t="str">
        <f>IF(ISNUMBER(SEARCH(",Indie,",","&amp;SUBSTITUTE(TableMain[[#This Row],[Tags]],", ",",")&amp;",")),"Y","N")</f>
        <v>N</v>
      </c>
      <c r="L942" s="3" t="str">
        <f>IF(ISNUMBER(SEARCH(",Adventure,",","&amp;SUBSTITUTE(TableMain[[#This Row],[Tags]],", ",",")&amp;",")),"Y","N")</f>
        <v>Y</v>
      </c>
      <c r="M942" s="3" t="str">
        <f>IF(ISNUMBER(SEARCH(",Simulation,",","&amp;SUBSTITUTE(TableMain[[#This Row],[Tags]],", ",",")&amp;",")),"Y","N")</f>
        <v>N</v>
      </c>
      <c r="N942" s="3" t="str">
        <f>IF(ISNUMBER(SEARCH(",RPG,",","&amp;SUBSTITUTE(TableMain[[#This Row],[Tags]],", ",",")&amp;",")),"Y","N")</f>
        <v>N</v>
      </c>
      <c r="O942" s="3" t="str">
        <f>IF(ISNUMBER(SEARCH(",Strategy,",","&amp;SUBSTITUTE(TableMain[[#This Row],[Tags]],", ",",")&amp;",")),"Y","N")</f>
        <v>N</v>
      </c>
      <c r="P942" s="3" t="str">
        <f>IF(ISNUMBER(SEARCH(",Free To Play,",","&amp;SUBSTITUTE(TableMain[[#This Row],[Tags]],", ",",")&amp;",")),"Y","N")</f>
        <v>N</v>
      </c>
    </row>
    <row r="943" spans="1:16" x14ac:dyDescent="0.35">
      <c r="A943">
        <v>377840</v>
      </c>
      <c r="B943" t="s">
        <v>2036</v>
      </c>
      <c r="C943" s="1">
        <v>42474</v>
      </c>
      <c r="D943">
        <v>351</v>
      </c>
      <c r="E943" t="b">
        <v>0</v>
      </c>
      <c r="F943" t="s">
        <v>1339</v>
      </c>
      <c r="G943" t="s">
        <v>132</v>
      </c>
      <c r="H943">
        <v>942</v>
      </c>
      <c r="I943" t="s">
        <v>110</v>
      </c>
      <c r="J943" s="3" t="str">
        <f>IF(ISNUMBER(SEARCH(",Action,",","&amp;SUBSTITUTE(TableMain[[#This Row],[Tags]],", ",",")&amp;",")),"Y","N")</f>
        <v>N</v>
      </c>
      <c r="K943" s="3" t="str">
        <f>IF(ISNUMBER(SEARCH(",Indie,",","&amp;SUBSTITUTE(TableMain[[#This Row],[Tags]],", ",",")&amp;",")),"Y","N")</f>
        <v>N</v>
      </c>
      <c r="L943" s="3" t="str">
        <f>IF(ISNUMBER(SEARCH(",Adventure,",","&amp;SUBSTITUTE(TableMain[[#This Row],[Tags]],", ",",")&amp;",")),"Y","N")</f>
        <v>N</v>
      </c>
      <c r="M943" s="3" t="str">
        <f>IF(ISNUMBER(SEARCH(",Simulation,",","&amp;SUBSTITUTE(TableMain[[#This Row],[Tags]],", ",",")&amp;",")),"Y","N")</f>
        <v>N</v>
      </c>
      <c r="N943" s="3" t="str">
        <f>IF(ISNUMBER(SEARCH(",RPG,",","&amp;SUBSTITUTE(TableMain[[#This Row],[Tags]],", ",",")&amp;",")),"Y","N")</f>
        <v>Y</v>
      </c>
      <c r="O943" s="3" t="str">
        <f>IF(ISNUMBER(SEARCH(",Strategy,",","&amp;SUBSTITUTE(TableMain[[#This Row],[Tags]],", ",",")&amp;",")),"Y","N")</f>
        <v>N</v>
      </c>
      <c r="P943" s="3" t="str">
        <f>IF(ISNUMBER(SEARCH(",Free To Play,",","&amp;SUBSTITUTE(TableMain[[#This Row],[Tags]],", ",",")&amp;",")),"Y","N")</f>
        <v>N</v>
      </c>
    </row>
    <row r="944" spans="1:16" x14ac:dyDescent="0.35">
      <c r="A944">
        <v>3498270</v>
      </c>
      <c r="B944" t="s">
        <v>2037</v>
      </c>
      <c r="C944" s="1">
        <v>45793</v>
      </c>
      <c r="D944">
        <v>351</v>
      </c>
      <c r="E944" t="b">
        <v>0</v>
      </c>
      <c r="F944" t="s">
        <v>2038</v>
      </c>
      <c r="G944" t="s">
        <v>164</v>
      </c>
      <c r="H944">
        <v>942</v>
      </c>
      <c r="I944" t="s">
        <v>36</v>
      </c>
      <c r="J944" s="3" t="str">
        <f>IF(ISNUMBER(SEARCH(",Action,",","&amp;SUBSTITUTE(TableMain[[#This Row],[Tags]],", ",",")&amp;",")),"Y","N")</f>
        <v>N</v>
      </c>
      <c r="K944" s="3" t="str">
        <f>IF(ISNUMBER(SEARCH(",Indie,",","&amp;SUBSTITUTE(TableMain[[#This Row],[Tags]],", ",",")&amp;",")),"Y","N")</f>
        <v>Y</v>
      </c>
      <c r="L944" s="3" t="str">
        <f>IF(ISNUMBER(SEARCH(",Adventure,",","&amp;SUBSTITUTE(TableMain[[#This Row],[Tags]],", ",",")&amp;",")),"Y","N")</f>
        <v>N</v>
      </c>
      <c r="M944" s="3" t="str">
        <f>IF(ISNUMBER(SEARCH(",Simulation,",","&amp;SUBSTITUTE(TableMain[[#This Row],[Tags]],", ",",")&amp;",")),"Y","N")</f>
        <v>Y</v>
      </c>
      <c r="N944" s="3" t="str">
        <f>IF(ISNUMBER(SEARCH(",RPG,",","&amp;SUBSTITUTE(TableMain[[#This Row],[Tags]],", ",",")&amp;",")),"Y","N")</f>
        <v>N</v>
      </c>
      <c r="O944" s="3" t="str">
        <f>IF(ISNUMBER(SEARCH(",Strategy,",","&amp;SUBSTITUTE(TableMain[[#This Row],[Tags]],", ",",")&amp;",")),"Y","N")</f>
        <v>N</v>
      </c>
      <c r="P944" s="3" t="str">
        <f>IF(ISNUMBER(SEARCH(",Free To Play,",","&amp;SUBSTITUTE(TableMain[[#This Row],[Tags]],", ",",")&amp;",")),"Y","N")</f>
        <v>N</v>
      </c>
    </row>
    <row r="945" spans="1:16" x14ac:dyDescent="0.35">
      <c r="A945">
        <v>386940</v>
      </c>
      <c r="B945" t="s">
        <v>2039</v>
      </c>
      <c r="C945" s="1">
        <v>42433</v>
      </c>
      <c r="D945">
        <v>350</v>
      </c>
      <c r="E945" t="b">
        <v>1</v>
      </c>
      <c r="F945" t="s">
        <v>2040</v>
      </c>
      <c r="G945" t="s">
        <v>601</v>
      </c>
      <c r="H945">
        <v>946</v>
      </c>
      <c r="I945" t="s">
        <v>110</v>
      </c>
      <c r="J945" s="3" t="str">
        <f>IF(ISNUMBER(SEARCH(",Action,",","&amp;SUBSTITUTE(TableMain[[#This Row],[Tags]],", ",",")&amp;",")),"Y","N")</f>
        <v>Y</v>
      </c>
      <c r="K945" s="3" t="str">
        <f>IF(ISNUMBER(SEARCH(",Indie,",","&amp;SUBSTITUTE(TableMain[[#This Row],[Tags]],", ",",")&amp;",")),"Y","N")</f>
        <v>Y</v>
      </c>
      <c r="L945" s="3" t="str">
        <f>IF(ISNUMBER(SEARCH(",Adventure,",","&amp;SUBSTITUTE(TableMain[[#This Row],[Tags]],", ",",")&amp;",")),"Y","N")</f>
        <v>N</v>
      </c>
      <c r="M945" s="3" t="str">
        <f>IF(ISNUMBER(SEARCH(",Simulation,",","&amp;SUBSTITUTE(TableMain[[#This Row],[Tags]],", ",",")&amp;",")),"Y","N")</f>
        <v>N</v>
      </c>
      <c r="N945" s="3" t="str">
        <f>IF(ISNUMBER(SEARCH(",RPG,",","&amp;SUBSTITUTE(TableMain[[#This Row],[Tags]],", ",",")&amp;",")),"Y","N")</f>
        <v>N</v>
      </c>
      <c r="O945" s="3" t="str">
        <f>IF(ISNUMBER(SEARCH(",Strategy,",","&amp;SUBSTITUTE(TableMain[[#This Row],[Tags]],", ",",")&amp;",")),"Y","N")</f>
        <v>N</v>
      </c>
      <c r="P945" s="3" t="str">
        <f>IF(ISNUMBER(SEARCH(",Free To Play,",","&amp;SUBSTITUTE(TableMain[[#This Row],[Tags]],", ",",")&amp;",")),"Y","N")</f>
        <v>N</v>
      </c>
    </row>
    <row r="946" spans="1:16" x14ac:dyDescent="0.35">
      <c r="A946">
        <v>16900</v>
      </c>
      <c r="B946" t="s">
        <v>2041</v>
      </c>
      <c r="C946" s="1">
        <v>43326</v>
      </c>
      <c r="D946">
        <v>349</v>
      </c>
      <c r="E946" t="b">
        <v>0</v>
      </c>
      <c r="F946" t="s">
        <v>931</v>
      </c>
      <c r="G946" t="s">
        <v>1825</v>
      </c>
      <c r="H946">
        <v>947</v>
      </c>
      <c r="I946" t="s">
        <v>357</v>
      </c>
      <c r="J946" s="3" t="str">
        <f>IF(ISNUMBER(SEARCH(",Action,",","&amp;SUBSTITUTE(TableMain[[#This Row],[Tags]],", ",",")&amp;",")),"Y","N")</f>
        <v>Y</v>
      </c>
      <c r="K946" s="3" t="str">
        <f>IF(ISNUMBER(SEARCH(",Indie,",","&amp;SUBSTITUTE(TableMain[[#This Row],[Tags]],", ",",")&amp;",")),"Y","N")</f>
        <v>Y</v>
      </c>
      <c r="L946" s="3" t="str">
        <f>IF(ISNUMBER(SEARCH(",Adventure,",","&amp;SUBSTITUTE(TableMain[[#This Row],[Tags]],", ",",")&amp;",")),"Y","N")</f>
        <v>N</v>
      </c>
      <c r="M946" s="3" t="str">
        <f>IF(ISNUMBER(SEARCH(",Simulation,",","&amp;SUBSTITUTE(TableMain[[#This Row],[Tags]],", ",",")&amp;",")),"Y","N")</f>
        <v>Y</v>
      </c>
      <c r="N946" s="3" t="str">
        <f>IF(ISNUMBER(SEARCH(",RPG,",","&amp;SUBSTITUTE(TableMain[[#This Row],[Tags]],", ",",")&amp;",")),"Y","N")</f>
        <v>N</v>
      </c>
      <c r="O946" s="3" t="str">
        <f>IF(ISNUMBER(SEARCH(",Strategy,",","&amp;SUBSTITUTE(TableMain[[#This Row],[Tags]],", ",",")&amp;",")),"Y","N")</f>
        <v>N</v>
      </c>
      <c r="P946" s="3" t="str">
        <f>IF(ISNUMBER(SEARCH(",Free To Play,",","&amp;SUBSTITUTE(TableMain[[#This Row],[Tags]],", ",",")&amp;",")),"Y","N")</f>
        <v>N</v>
      </c>
    </row>
    <row r="947" spans="1:16" x14ac:dyDescent="0.35">
      <c r="A947">
        <v>1094780</v>
      </c>
      <c r="B947" t="s">
        <v>2042</v>
      </c>
      <c r="C947" s="1">
        <v>43765</v>
      </c>
      <c r="D947">
        <v>349</v>
      </c>
      <c r="E947" t="b">
        <v>0</v>
      </c>
      <c r="F947" t="s">
        <v>2043</v>
      </c>
      <c r="G947" t="s">
        <v>239</v>
      </c>
      <c r="H947">
        <v>947</v>
      </c>
      <c r="I947" t="s">
        <v>29</v>
      </c>
      <c r="J947" s="3" t="str">
        <f>IF(ISNUMBER(SEARCH(",Action,",","&amp;SUBSTITUTE(TableMain[[#This Row],[Tags]],", ",",")&amp;",")),"Y","N")</f>
        <v>N</v>
      </c>
      <c r="K947" s="3" t="str">
        <f>IF(ISNUMBER(SEARCH(",Indie,",","&amp;SUBSTITUTE(TableMain[[#This Row],[Tags]],", ",",")&amp;",")),"Y","N")</f>
        <v>N</v>
      </c>
      <c r="L947" s="3" t="str">
        <f>IF(ISNUMBER(SEARCH(",Adventure,",","&amp;SUBSTITUTE(TableMain[[#This Row],[Tags]],", ",",")&amp;",")),"Y","N")</f>
        <v>N</v>
      </c>
      <c r="M947" s="3" t="str">
        <f>IF(ISNUMBER(SEARCH(",Simulation,",","&amp;SUBSTITUTE(TableMain[[#This Row],[Tags]],", ",",")&amp;",")),"Y","N")</f>
        <v>Y</v>
      </c>
      <c r="N947" s="3" t="str">
        <f>IF(ISNUMBER(SEARCH(",RPG,",","&amp;SUBSTITUTE(TableMain[[#This Row],[Tags]],", ",",")&amp;",")),"Y","N")</f>
        <v>N</v>
      </c>
      <c r="O947" s="3" t="str">
        <f>IF(ISNUMBER(SEARCH(",Strategy,",","&amp;SUBSTITUTE(TableMain[[#This Row],[Tags]],", ",",")&amp;",")),"Y","N")</f>
        <v>N</v>
      </c>
      <c r="P947" s="3" t="str">
        <f>IF(ISNUMBER(SEARCH(",Free To Play,",","&amp;SUBSTITUTE(TableMain[[#This Row],[Tags]],", ",",")&amp;",")),"Y","N")</f>
        <v>N</v>
      </c>
    </row>
    <row r="948" spans="1:16" x14ac:dyDescent="0.35">
      <c r="A948">
        <v>1282730</v>
      </c>
      <c r="B948" t="s">
        <v>2044</v>
      </c>
      <c r="C948" s="1">
        <v>44259</v>
      </c>
      <c r="D948">
        <v>348</v>
      </c>
      <c r="E948" t="b">
        <v>1</v>
      </c>
      <c r="F948" t="s">
        <v>810</v>
      </c>
      <c r="G948" t="s">
        <v>516</v>
      </c>
      <c r="H948">
        <v>949</v>
      </c>
      <c r="I948" t="s">
        <v>110</v>
      </c>
      <c r="J948" s="3" t="str">
        <f>IF(ISNUMBER(SEARCH(",Action,",","&amp;SUBSTITUTE(TableMain[[#This Row],[Tags]],", ",",")&amp;",")),"Y","N")</f>
        <v>N</v>
      </c>
      <c r="K948" s="3" t="str">
        <f>IF(ISNUMBER(SEARCH(",Indie,",","&amp;SUBSTITUTE(TableMain[[#This Row],[Tags]],", ",",")&amp;",")),"Y","N")</f>
        <v>Y</v>
      </c>
      <c r="L948" s="3" t="str">
        <f>IF(ISNUMBER(SEARCH(",Adventure,",","&amp;SUBSTITUTE(TableMain[[#This Row],[Tags]],", ",",")&amp;",")),"Y","N")</f>
        <v>N</v>
      </c>
      <c r="M948" s="3" t="str">
        <f>IF(ISNUMBER(SEARCH(",Simulation,",","&amp;SUBSTITUTE(TableMain[[#This Row],[Tags]],", ",",")&amp;",")),"Y","N")</f>
        <v>N</v>
      </c>
      <c r="N948" s="3" t="str">
        <f>IF(ISNUMBER(SEARCH(",RPG,",","&amp;SUBSTITUTE(TableMain[[#This Row],[Tags]],", ",",")&amp;",")),"Y","N")</f>
        <v>Y</v>
      </c>
      <c r="O948" s="3" t="str">
        <f>IF(ISNUMBER(SEARCH(",Strategy,",","&amp;SUBSTITUTE(TableMain[[#This Row],[Tags]],", ",",")&amp;",")),"Y","N")</f>
        <v>Y</v>
      </c>
      <c r="P948" s="3" t="str">
        <f>IF(ISNUMBER(SEARCH(",Free To Play,",","&amp;SUBSTITUTE(TableMain[[#This Row],[Tags]],", ",",")&amp;",")),"Y","N")</f>
        <v>N</v>
      </c>
    </row>
    <row r="949" spans="1:16" x14ac:dyDescent="0.35">
      <c r="A949">
        <v>1948280</v>
      </c>
      <c r="B949" t="s">
        <v>2045</v>
      </c>
      <c r="C949" s="1">
        <v>44659</v>
      </c>
      <c r="D949">
        <v>347</v>
      </c>
      <c r="E949" t="b">
        <v>1</v>
      </c>
      <c r="F949" t="s">
        <v>942</v>
      </c>
      <c r="G949" t="s">
        <v>164</v>
      </c>
      <c r="H949">
        <v>950</v>
      </c>
      <c r="I949" t="s">
        <v>14</v>
      </c>
      <c r="J949" s="3" t="str">
        <f>IF(ISNUMBER(SEARCH(",Action,",","&amp;SUBSTITUTE(TableMain[[#This Row],[Tags]],", ",",")&amp;",")),"Y","N")</f>
        <v>N</v>
      </c>
      <c r="K949" s="3" t="str">
        <f>IF(ISNUMBER(SEARCH(",Indie,",","&amp;SUBSTITUTE(TableMain[[#This Row],[Tags]],", ",",")&amp;",")),"Y","N")</f>
        <v>Y</v>
      </c>
      <c r="L949" s="3" t="str">
        <f>IF(ISNUMBER(SEARCH(",Adventure,",","&amp;SUBSTITUTE(TableMain[[#This Row],[Tags]],", ",",")&amp;",")),"Y","N")</f>
        <v>N</v>
      </c>
      <c r="M949" s="3" t="str">
        <f>IF(ISNUMBER(SEARCH(",Simulation,",","&amp;SUBSTITUTE(TableMain[[#This Row],[Tags]],", ",",")&amp;",")),"Y","N")</f>
        <v>Y</v>
      </c>
      <c r="N949" s="3" t="str">
        <f>IF(ISNUMBER(SEARCH(",RPG,",","&amp;SUBSTITUTE(TableMain[[#This Row],[Tags]],", ",",")&amp;",")),"Y","N")</f>
        <v>N</v>
      </c>
      <c r="O949" s="3" t="str">
        <f>IF(ISNUMBER(SEARCH(",Strategy,",","&amp;SUBSTITUTE(TableMain[[#This Row],[Tags]],", ",",")&amp;",")),"Y","N")</f>
        <v>N</v>
      </c>
      <c r="P949" s="3" t="str">
        <f>IF(ISNUMBER(SEARCH(",Free To Play,",","&amp;SUBSTITUTE(TableMain[[#This Row],[Tags]],", ",",")&amp;",")),"Y","N")</f>
        <v>N</v>
      </c>
    </row>
    <row r="950" spans="1:16" x14ac:dyDescent="0.35">
      <c r="A950">
        <v>3373660</v>
      </c>
      <c r="B950" t="s">
        <v>2046</v>
      </c>
      <c r="C950" s="1">
        <v>45737</v>
      </c>
      <c r="D950">
        <v>346</v>
      </c>
      <c r="E950" t="b">
        <v>0</v>
      </c>
      <c r="F950" t="s">
        <v>681</v>
      </c>
      <c r="G950" t="s">
        <v>896</v>
      </c>
      <c r="H950">
        <v>951</v>
      </c>
      <c r="I950" t="s">
        <v>14</v>
      </c>
      <c r="J950" s="3" t="str">
        <f>IF(ISNUMBER(SEARCH(",Action,",","&amp;SUBSTITUTE(TableMain[[#This Row],[Tags]],", ",",")&amp;",")),"Y","N")</f>
        <v>N</v>
      </c>
      <c r="K950" s="3" t="str">
        <f>IF(ISNUMBER(SEARCH(",Indie,",","&amp;SUBSTITUTE(TableMain[[#This Row],[Tags]],", ",",")&amp;",")),"Y","N")</f>
        <v>N</v>
      </c>
      <c r="L950" s="3" t="str">
        <f>IF(ISNUMBER(SEARCH(",Adventure,",","&amp;SUBSTITUTE(TableMain[[#This Row],[Tags]],", ",",")&amp;",")),"Y","N")</f>
        <v>Y</v>
      </c>
      <c r="M950" s="3" t="str">
        <f>IF(ISNUMBER(SEARCH(",Simulation,",","&amp;SUBSTITUTE(TableMain[[#This Row],[Tags]],", ",",")&amp;",")),"Y","N")</f>
        <v>N</v>
      </c>
      <c r="N950" s="3" t="str">
        <f>IF(ISNUMBER(SEARCH(",RPG,",","&amp;SUBSTITUTE(TableMain[[#This Row],[Tags]],", ",",")&amp;",")),"Y","N")</f>
        <v>Y</v>
      </c>
      <c r="O950" s="3" t="str">
        <f>IF(ISNUMBER(SEARCH(",Strategy,",","&amp;SUBSTITUTE(TableMain[[#This Row],[Tags]],", ",",")&amp;",")),"Y","N")</f>
        <v>N</v>
      </c>
      <c r="P950" s="3" t="str">
        <f>IF(ISNUMBER(SEARCH(",Free To Play,",","&amp;SUBSTITUTE(TableMain[[#This Row],[Tags]],", ",",")&amp;",")),"Y","N")</f>
        <v>N</v>
      </c>
    </row>
    <row r="951" spans="1:16" x14ac:dyDescent="0.35">
      <c r="A951">
        <v>24810</v>
      </c>
      <c r="B951" t="s">
        <v>2047</v>
      </c>
      <c r="C951" s="1">
        <v>40130</v>
      </c>
      <c r="D951">
        <v>346</v>
      </c>
      <c r="E951" t="b">
        <v>0</v>
      </c>
      <c r="F951" t="s">
        <v>2048</v>
      </c>
      <c r="G951" t="s">
        <v>183</v>
      </c>
      <c r="H951">
        <v>951</v>
      </c>
      <c r="I951" t="s">
        <v>2084</v>
      </c>
      <c r="J951" s="3" t="str">
        <f>IF(ISNUMBER(SEARCH(",Action,",","&amp;SUBSTITUTE(TableMain[[#This Row],[Tags]],", ",",")&amp;",")),"Y","N")</f>
        <v>Y</v>
      </c>
      <c r="K951" s="3" t="str">
        <f>IF(ISNUMBER(SEARCH(",Indie,",","&amp;SUBSTITUTE(TableMain[[#This Row],[Tags]],", ",",")&amp;",")),"Y","N")</f>
        <v>N</v>
      </c>
      <c r="L951" s="3" t="str">
        <f>IF(ISNUMBER(SEARCH(",Adventure,",","&amp;SUBSTITUTE(TableMain[[#This Row],[Tags]],", ",",")&amp;",")),"Y","N")</f>
        <v>N</v>
      </c>
      <c r="M951" s="3" t="str">
        <f>IF(ISNUMBER(SEARCH(",Simulation,",","&amp;SUBSTITUTE(TableMain[[#This Row],[Tags]],", ",",")&amp;",")),"Y","N")</f>
        <v>N</v>
      </c>
      <c r="N951" s="3" t="str">
        <f>IF(ISNUMBER(SEARCH(",RPG,",","&amp;SUBSTITUTE(TableMain[[#This Row],[Tags]],", ",",")&amp;",")),"Y","N")</f>
        <v>N</v>
      </c>
      <c r="O951" s="3" t="str">
        <f>IF(ISNUMBER(SEARCH(",Strategy,",","&amp;SUBSTITUTE(TableMain[[#This Row],[Tags]],", ",",")&amp;",")),"Y","N")</f>
        <v>Y</v>
      </c>
      <c r="P951" s="3" t="str">
        <f>IF(ISNUMBER(SEARCH(",Free To Play,",","&amp;SUBSTITUTE(TableMain[[#This Row],[Tags]],", ",",")&amp;",")),"Y","N")</f>
        <v>N</v>
      </c>
    </row>
    <row r="952" spans="1:16" x14ac:dyDescent="0.35">
      <c r="A952">
        <v>1324780</v>
      </c>
      <c r="B952" t="s">
        <v>2049</v>
      </c>
      <c r="C952" s="1">
        <v>44567</v>
      </c>
      <c r="D952">
        <v>346</v>
      </c>
      <c r="E952" t="b">
        <v>1</v>
      </c>
      <c r="F952" t="s">
        <v>2050</v>
      </c>
      <c r="G952" t="s">
        <v>498</v>
      </c>
      <c r="H952">
        <v>951</v>
      </c>
      <c r="I952" t="s">
        <v>266</v>
      </c>
      <c r="J952" s="3" t="str">
        <f>IF(ISNUMBER(SEARCH(",Action,",","&amp;SUBSTITUTE(TableMain[[#This Row],[Tags]],", ",",")&amp;",")),"Y","N")</f>
        <v>Y</v>
      </c>
      <c r="K952" s="3" t="str">
        <f>IF(ISNUMBER(SEARCH(",Indie,",","&amp;SUBSTITUTE(TableMain[[#This Row],[Tags]],", ",",")&amp;",")),"Y","N")</f>
        <v>Y</v>
      </c>
      <c r="L952" s="3" t="str">
        <f>IF(ISNUMBER(SEARCH(",Adventure,",","&amp;SUBSTITUTE(TableMain[[#This Row],[Tags]],", ",",")&amp;",")),"Y","N")</f>
        <v>N</v>
      </c>
      <c r="M952" s="3" t="str">
        <f>IF(ISNUMBER(SEARCH(",Simulation,",","&amp;SUBSTITUTE(TableMain[[#This Row],[Tags]],", ",",")&amp;",")),"Y","N")</f>
        <v>Y</v>
      </c>
      <c r="N952" s="3" t="str">
        <f>IF(ISNUMBER(SEARCH(",RPG,",","&amp;SUBSTITUTE(TableMain[[#This Row],[Tags]],", ",",")&amp;",")),"Y","N")</f>
        <v>N</v>
      </c>
      <c r="O952" s="3" t="str">
        <f>IF(ISNUMBER(SEARCH(",Strategy,",","&amp;SUBSTITUTE(TableMain[[#This Row],[Tags]],", ",",")&amp;",")),"Y","N")</f>
        <v>Y</v>
      </c>
      <c r="P952" s="3" t="str">
        <f>IF(ISNUMBER(SEARCH(",Free To Play,",","&amp;SUBSTITUTE(TableMain[[#This Row],[Tags]],", ",",")&amp;",")),"Y","N")</f>
        <v>N</v>
      </c>
    </row>
    <row r="953" spans="1:16" x14ac:dyDescent="0.35">
      <c r="A953">
        <v>2280</v>
      </c>
      <c r="B953" t="s">
        <v>2051</v>
      </c>
      <c r="C953" s="1">
        <v>39297</v>
      </c>
      <c r="D953">
        <v>345</v>
      </c>
      <c r="E953" t="b">
        <v>0</v>
      </c>
      <c r="F953" t="s">
        <v>2052</v>
      </c>
      <c r="G953" t="s">
        <v>49</v>
      </c>
      <c r="H953">
        <v>954</v>
      </c>
      <c r="I953" t="s">
        <v>2084</v>
      </c>
      <c r="J953" s="3" t="str">
        <f>IF(ISNUMBER(SEARCH(",Action,",","&amp;SUBSTITUTE(TableMain[[#This Row],[Tags]],", ",",")&amp;",")),"Y","N")</f>
        <v>Y</v>
      </c>
      <c r="K953" s="3" t="str">
        <f>IF(ISNUMBER(SEARCH(",Indie,",","&amp;SUBSTITUTE(TableMain[[#This Row],[Tags]],", ",",")&amp;",")),"Y","N")</f>
        <v>N</v>
      </c>
      <c r="L953" s="3" t="str">
        <f>IF(ISNUMBER(SEARCH(",Adventure,",","&amp;SUBSTITUTE(TableMain[[#This Row],[Tags]],", ",",")&amp;",")),"Y","N")</f>
        <v>N</v>
      </c>
      <c r="M953" s="3" t="str">
        <f>IF(ISNUMBER(SEARCH(",Simulation,",","&amp;SUBSTITUTE(TableMain[[#This Row],[Tags]],", ",",")&amp;",")),"Y","N")</f>
        <v>N</v>
      </c>
      <c r="N953" s="3" t="str">
        <f>IF(ISNUMBER(SEARCH(",RPG,",","&amp;SUBSTITUTE(TableMain[[#This Row],[Tags]],", ",",")&amp;",")),"Y","N")</f>
        <v>N</v>
      </c>
      <c r="O953" s="3" t="str">
        <f>IF(ISNUMBER(SEARCH(",Strategy,",","&amp;SUBSTITUTE(TableMain[[#This Row],[Tags]],", ",",")&amp;",")),"Y","N")</f>
        <v>N</v>
      </c>
      <c r="P953" s="3" t="str">
        <f>IF(ISNUMBER(SEARCH(",Free To Play,",","&amp;SUBSTITUTE(TableMain[[#This Row],[Tags]],", ",",")&amp;",")),"Y","N")</f>
        <v>N</v>
      </c>
    </row>
    <row r="954" spans="1:16" x14ac:dyDescent="0.35">
      <c r="A954">
        <v>1602000</v>
      </c>
      <c r="B954" t="s">
        <v>2053</v>
      </c>
      <c r="C954" s="1">
        <v>45797</v>
      </c>
      <c r="D954">
        <v>344</v>
      </c>
      <c r="E954" t="b">
        <v>0</v>
      </c>
      <c r="F954" t="s">
        <v>2054</v>
      </c>
      <c r="G954" t="s">
        <v>483</v>
      </c>
      <c r="H954">
        <v>955</v>
      </c>
      <c r="I954" t="s">
        <v>119</v>
      </c>
      <c r="J954" s="3" t="str">
        <f>IF(ISNUMBER(SEARCH(",Action,",","&amp;SUBSTITUTE(TableMain[[#This Row],[Tags]],", ",",")&amp;",")),"Y","N")</f>
        <v>N</v>
      </c>
      <c r="K954" s="3" t="str">
        <f>IF(ISNUMBER(SEARCH(",Indie,",","&amp;SUBSTITUTE(TableMain[[#This Row],[Tags]],", ",",")&amp;",")),"Y","N")</f>
        <v>Y</v>
      </c>
      <c r="L954" s="3" t="str">
        <f>IF(ISNUMBER(SEARCH(",Adventure,",","&amp;SUBSTITUTE(TableMain[[#This Row],[Tags]],", ",",")&amp;",")),"Y","N")</f>
        <v>N</v>
      </c>
      <c r="M954" s="3" t="str">
        <f>IF(ISNUMBER(SEARCH(",Simulation,",","&amp;SUBSTITUTE(TableMain[[#This Row],[Tags]],", ",",")&amp;",")),"Y","N")</f>
        <v>Y</v>
      </c>
      <c r="N954" s="3" t="str">
        <f>IF(ISNUMBER(SEARCH(",RPG,",","&amp;SUBSTITUTE(TableMain[[#This Row],[Tags]],", ",",")&amp;",")),"Y","N")</f>
        <v>N</v>
      </c>
      <c r="O954" s="3" t="str">
        <f>IF(ISNUMBER(SEARCH(",Strategy,",","&amp;SUBSTITUTE(TableMain[[#This Row],[Tags]],", ",",")&amp;",")),"Y","N")</f>
        <v>Y</v>
      </c>
      <c r="P954" s="3" t="str">
        <f>IF(ISNUMBER(SEARCH(",Free To Play,",","&amp;SUBSTITUTE(TableMain[[#This Row],[Tags]],", ",",")&amp;",")),"Y","N")</f>
        <v>N</v>
      </c>
    </row>
    <row r="955" spans="1:16" x14ac:dyDescent="0.35">
      <c r="A955">
        <v>2254890</v>
      </c>
      <c r="B955" t="s">
        <v>2055</v>
      </c>
      <c r="C955" s="1">
        <v>45570</v>
      </c>
      <c r="D955">
        <v>343</v>
      </c>
      <c r="E955" t="b">
        <v>0</v>
      </c>
      <c r="F955" t="s">
        <v>1206</v>
      </c>
      <c r="G955" t="s">
        <v>167</v>
      </c>
      <c r="H955">
        <v>956</v>
      </c>
      <c r="I955" t="s">
        <v>119</v>
      </c>
      <c r="J955" s="3" t="str">
        <f>IF(ISNUMBER(SEARCH(",Action,",","&amp;SUBSTITUTE(TableMain[[#This Row],[Tags]],", ",",")&amp;",")),"Y","N")</f>
        <v>Y</v>
      </c>
      <c r="K955" s="3" t="str">
        <f>IF(ISNUMBER(SEARCH(",Indie,",","&amp;SUBSTITUTE(TableMain[[#This Row],[Tags]],", ",",")&amp;",")),"Y","N")</f>
        <v>Y</v>
      </c>
      <c r="L955" s="3" t="str">
        <f>IF(ISNUMBER(SEARCH(",Adventure,",","&amp;SUBSTITUTE(TableMain[[#This Row],[Tags]],", ",",")&amp;",")),"Y","N")</f>
        <v>Y</v>
      </c>
      <c r="M955" s="3" t="str">
        <f>IF(ISNUMBER(SEARCH(",Simulation,",","&amp;SUBSTITUTE(TableMain[[#This Row],[Tags]],", ",",")&amp;",")),"Y","N")</f>
        <v>N</v>
      </c>
      <c r="N955" s="3" t="str">
        <f>IF(ISNUMBER(SEARCH(",RPG,",","&amp;SUBSTITUTE(TableMain[[#This Row],[Tags]],", ",",")&amp;",")),"Y","N")</f>
        <v>Y</v>
      </c>
      <c r="O955" s="3" t="str">
        <f>IF(ISNUMBER(SEARCH(",Strategy,",","&amp;SUBSTITUTE(TableMain[[#This Row],[Tags]],", ",",")&amp;",")),"Y","N")</f>
        <v>N</v>
      </c>
      <c r="P955" s="3" t="str">
        <f>IF(ISNUMBER(SEARCH(",Free To Play,",","&amp;SUBSTITUTE(TableMain[[#This Row],[Tags]],", ",",")&amp;",")),"Y","N")</f>
        <v>N</v>
      </c>
    </row>
    <row r="956" spans="1:16" x14ac:dyDescent="0.35">
      <c r="A956">
        <v>502500</v>
      </c>
      <c r="B956" t="s">
        <v>2056</v>
      </c>
      <c r="C956" s="1">
        <v>43496</v>
      </c>
      <c r="D956">
        <v>340</v>
      </c>
      <c r="E956" t="b">
        <v>0</v>
      </c>
      <c r="F956" t="s">
        <v>2057</v>
      </c>
      <c r="G956" t="s">
        <v>1482</v>
      </c>
      <c r="H956">
        <v>957</v>
      </c>
      <c r="I956" t="s">
        <v>53</v>
      </c>
      <c r="J956" s="3" t="str">
        <f>IF(ISNUMBER(SEARCH(",Action,",","&amp;SUBSTITUTE(TableMain[[#This Row],[Tags]],", ",",")&amp;",")),"Y","N")</f>
        <v>Y</v>
      </c>
      <c r="K956" s="3" t="str">
        <f>IF(ISNUMBER(SEARCH(",Indie,",","&amp;SUBSTITUTE(TableMain[[#This Row],[Tags]],", ",",")&amp;",")),"Y","N")</f>
        <v>N</v>
      </c>
      <c r="L956" s="3" t="str">
        <f>IF(ISNUMBER(SEARCH(",Adventure,",","&amp;SUBSTITUTE(TableMain[[#This Row],[Tags]],", ",",")&amp;",")),"Y","N")</f>
        <v>N</v>
      </c>
      <c r="M956" s="3" t="str">
        <f>IF(ISNUMBER(SEARCH(",Simulation,",","&amp;SUBSTITUTE(TableMain[[#This Row],[Tags]],", ",",")&amp;",")),"Y","N")</f>
        <v>Y</v>
      </c>
      <c r="N956" s="3" t="str">
        <f>IF(ISNUMBER(SEARCH(",RPG,",","&amp;SUBSTITUTE(TableMain[[#This Row],[Tags]],", ",",")&amp;",")),"Y","N")</f>
        <v>N</v>
      </c>
      <c r="O956" s="3" t="str">
        <f>IF(ISNUMBER(SEARCH(",Strategy,",","&amp;SUBSTITUTE(TableMain[[#This Row],[Tags]],", ",",")&amp;",")),"Y","N")</f>
        <v>N</v>
      </c>
      <c r="P956" s="3" t="str">
        <f>IF(ISNUMBER(SEARCH(",Free To Play,",","&amp;SUBSTITUTE(TableMain[[#This Row],[Tags]],", ",",")&amp;",")),"Y","N")</f>
        <v>N</v>
      </c>
    </row>
    <row r="957" spans="1:16" x14ac:dyDescent="0.35">
      <c r="A957">
        <v>2186320</v>
      </c>
      <c r="B957" t="s">
        <v>2058</v>
      </c>
      <c r="C957" s="1">
        <v>44974</v>
      </c>
      <c r="D957">
        <v>340</v>
      </c>
      <c r="E957" t="b">
        <v>1</v>
      </c>
      <c r="F957" t="s">
        <v>2059</v>
      </c>
      <c r="G957" t="s">
        <v>1086</v>
      </c>
      <c r="H957">
        <v>957</v>
      </c>
      <c r="I957" t="s">
        <v>408</v>
      </c>
      <c r="J957" s="3" t="str">
        <f>IF(ISNUMBER(SEARCH(",Action,",","&amp;SUBSTITUTE(TableMain[[#This Row],[Tags]],", ",",")&amp;",")),"Y","N")</f>
        <v>N</v>
      </c>
      <c r="K957" s="3" t="str">
        <f>IF(ISNUMBER(SEARCH(",Indie,",","&amp;SUBSTITUTE(TableMain[[#This Row],[Tags]],", ",",")&amp;",")),"Y","N")</f>
        <v>Y</v>
      </c>
      <c r="L957" s="3" t="str">
        <f>IF(ISNUMBER(SEARCH(",Adventure,",","&amp;SUBSTITUTE(TableMain[[#This Row],[Tags]],", ",",")&amp;",")),"Y","N")</f>
        <v>N</v>
      </c>
      <c r="M957" s="3" t="str">
        <f>IF(ISNUMBER(SEARCH(",Simulation,",","&amp;SUBSTITUTE(TableMain[[#This Row],[Tags]],", ",",")&amp;",")),"Y","N")</f>
        <v>Y</v>
      </c>
      <c r="N957" s="3" t="str">
        <f>IF(ISNUMBER(SEARCH(",RPG,",","&amp;SUBSTITUTE(TableMain[[#This Row],[Tags]],", ",",")&amp;",")),"Y","N")</f>
        <v>N</v>
      </c>
      <c r="O957" s="3" t="str">
        <f>IF(ISNUMBER(SEARCH(",Strategy,",","&amp;SUBSTITUTE(TableMain[[#This Row],[Tags]],", ",",")&amp;",")),"Y","N")</f>
        <v>N</v>
      </c>
      <c r="P957" s="3" t="str">
        <f>IF(ISNUMBER(SEARCH(",Free To Play,",","&amp;SUBSTITUTE(TableMain[[#This Row],[Tags]],", ",",")&amp;",")),"Y","N")</f>
        <v>N</v>
      </c>
    </row>
    <row r="958" spans="1:16" x14ac:dyDescent="0.35">
      <c r="A958">
        <v>637650</v>
      </c>
      <c r="B958" t="s">
        <v>2060</v>
      </c>
      <c r="C958" s="1">
        <v>43165</v>
      </c>
      <c r="D958">
        <v>339</v>
      </c>
      <c r="E958" t="b">
        <v>0</v>
      </c>
      <c r="F958" t="s">
        <v>2061</v>
      </c>
      <c r="G958" t="s">
        <v>132</v>
      </c>
      <c r="H958">
        <v>959</v>
      </c>
      <c r="I958" t="s">
        <v>53</v>
      </c>
      <c r="J958" s="3" t="str">
        <f>IF(ISNUMBER(SEARCH(",Action,",","&amp;SUBSTITUTE(TableMain[[#This Row],[Tags]],", ",",")&amp;",")),"Y","N")</f>
        <v>N</v>
      </c>
      <c r="K958" s="3" t="str">
        <f>IF(ISNUMBER(SEARCH(",Indie,",","&amp;SUBSTITUTE(TableMain[[#This Row],[Tags]],", ",",")&amp;",")),"Y","N")</f>
        <v>N</v>
      </c>
      <c r="L958" s="3" t="str">
        <f>IF(ISNUMBER(SEARCH(",Adventure,",","&amp;SUBSTITUTE(TableMain[[#This Row],[Tags]],", ",",")&amp;",")),"Y","N")</f>
        <v>N</v>
      </c>
      <c r="M958" s="3" t="str">
        <f>IF(ISNUMBER(SEARCH(",Simulation,",","&amp;SUBSTITUTE(TableMain[[#This Row],[Tags]],", ",",")&amp;",")),"Y","N")</f>
        <v>N</v>
      </c>
      <c r="N958" s="3" t="str">
        <f>IF(ISNUMBER(SEARCH(",RPG,",","&amp;SUBSTITUTE(TableMain[[#This Row],[Tags]],", ",",")&amp;",")),"Y","N")</f>
        <v>Y</v>
      </c>
      <c r="O958" s="3" t="str">
        <f>IF(ISNUMBER(SEARCH(",Strategy,",","&amp;SUBSTITUTE(TableMain[[#This Row],[Tags]],", ",",")&amp;",")),"Y","N")</f>
        <v>N</v>
      </c>
      <c r="P958" s="3" t="str">
        <f>IF(ISNUMBER(SEARCH(",Free To Play,",","&amp;SUBSTITUTE(TableMain[[#This Row],[Tags]],", ",",")&amp;",")),"Y","N")</f>
        <v>N</v>
      </c>
    </row>
    <row r="959" spans="1:16" x14ac:dyDescent="0.35">
      <c r="A959">
        <v>768200</v>
      </c>
      <c r="B959" t="s">
        <v>2062</v>
      </c>
      <c r="C959" s="1">
        <v>45337</v>
      </c>
      <c r="D959">
        <v>338</v>
      </c>
      <c r="E959" t="b">
        <v>0</v>
      </c>
      <c r="F959" t="s">
        <v>345</v>
      </c>
      <c r="G959" t="s">
        <v>138</v>
      </c>
      <c r="H959">
        <v>960</v>
      </c>
      <c r="I959" t="s">
        <v>119</v>
      </c>
      <c r="J959" s="3" t="str">
        <f>IF(ISNUMBER(SEARCH(",Action,",","&amp;SUBSTITUTE(TableMain[[#This Row],[Tags]],", ",",")&amp;",")),"Y","N")</f>
        <v>Y</v>
      </c>
      <c r="K959" s="3" t="str">
        <f>IF(ISNUMBER(SEARCH(",Indie,",","&amp;SUBSTITUTE(TableMain[[#This Row],[Tags]],", ",",")&amp;",")),"Y","N")</f>
        <v>Y</v>
      </c>
      <c r="L959" s="3" t="str">
        <f>IF(ISNUMBER(SEARCH(",Adventure,",","&amp;SUBSTITUTE(TableMain[[#This Row],[Tags]],", ",",")&amp;",")),"Y","N")</f>
        <v>Y</v>
      </c>
      <c r="M959" s="3" t="str">
        <f>IF(ISNUMBER(SEARCH(",Simulation,",","&amp;SUBSTITUTE(TableMain[[#This Row],[Tags]],", ",",")&amp;",")),"Y","N")</f>
        <v>N</v>
      </c>
      <c r="N959" s="3" t="str">
        <f>IF(ISNUMBER(SEARCH(",RPG,",","&amp;SUBSTITUTE(TableMain[[#This Row],[Tags]],", ",",")&amp;",")),"Y","N")</f>
        <v>Y</v>
      </c>
      <c r="O959" s="3" t="str">
        <f>IF(ISNUMBER(SEARCH(",Strategy,",","&amp;SUBSTITUTE(TableMain[[#This Row],[Tags]],", ",",")&amp;",")),"Y","N")</f>
        <v>N</v>
      </c>
      <c r="P959" s="3" t="str">
        <f>IF(ISNUMBER(SEARCH(",Free To Play,",","&amp;SUBSTITUTE(TableMain[[#This Row],[Tags]],", ",",")&amp;",")),"Y","N")</f>
        <v>N</v>
      </c>
    </row>
    <row r="960" spans="1:16" x14ac:dyDescent="0.35">
      <c r="A960">
        <v>1433140</v>
      </c>
      <c r="B960" t="s">
        <v>2063</v>
      </c>
      <c r="C960" s="1">
        <v>45156</v>
      </c>
      <c r="D960">
        <v>336</v>
      </c>
      <c r="E960" t="b">
        <v>0</v>
      </c>
      <c r="F960" t="s">
        <v>820</v>
      </c>
      <c r="G960" t="s">
        <v>116</v>
      </c>
      <c r="H960">
        <v>961</v>
      </c>
      <c r="I960" t="s">
        <v>405</v>
      </c>
      <c r="J960" s="3" t="str">
        <f>IF(ISNUMBER(SEARCH(",Action,",","&amp;SUBSTITUTE(TableMain[[#This Row],[Tags]],", ",",")&amp;",")),"Y","N")</f>
        <v>Y</v>
      </c>
      <c r="K960" s="3" t="str">
        <f>IF(ISNUMBER(SEARCH(",Indie,",","&amp;SUBSTITUTE(TableMain[[#This Row],[Tags]],", ",",")&amp;",")),"Y","N")</f>
        <v>Y</v>
      </c>
      <c r="L960" s="3" t="str">
        <f>IF(ISNUMBER(SEARCH(",Adventure,",","&amp;SUBSTITUTE(TableMain[[#This Row],[Tags]],", ",",")&amp;",")),"Y","N")</f>
        <v>N</v>
      </c>
      <c r="M960" s="3" t="str">
        <f>IF(ISNUMBER(SEARCH(",Simulation,",","&amp;SUBSTITUTE(TableMain[[#This Row],[Tags]],", ",",")&amp;",")),"Y","N")</f>
        <v>N</v>
      </c>
      <c r="N960" s="3" t="str">
        <f>IF(ISNUMBER(SEARCH(",RPG,",","&amp;SUBSTITUTE(TableMain[[#This Row],[Tags]],", ",",")&amp;",")),"Y","N")</f>
        <v>N</v>
      </c>
      <c r="O960" s="3" t="str">
        <f>IF(ISNUMBER(SEARCH(",Strategy,",","&amp;SUBSTITUTE(TableMain[[#This Row],[Tags]],", ",",")&amp;",")),"Y","N")</f>
        <v>N</v>
      </c>
      <c r="P960" s="3" t="str">
        <f>IF(ISNUMBER(SEARCH(",Free To Play,",","&amp;SUBSTITUTE(TableMain[[#This Row],[Tags]],", ",",")&amp;",")),"Y","N")</f>
        <v>N</v>
      </c>
    </row>
    <row r="961" spans="1:16" x14ac:dyDescent="0.35">
      <c r="A961">
        <v>32440</v>
      </c>
      <c r="B961" t="s">
        <v>2064</v>
      </c>
      <c r="C961" s="1">
        <v>40129</v>
      </c>
      <c r="D961">
        <v>334</v>
      </c>
      <c r="E961" t="b">
        <v>0</v>
      </c>
      <c r="F961" t="s">
        <v>2065</v>
      </c>
      <c r="G961" t="s">
        <v>346</v>
      </c>
      <c r="H961">
        <v>962</v>
      </c>
      <c r="I961" t="s">
        <v>2084</v>
      </c>
      <c r="J961" s="3" t="str">
        <f>IF(ISNUMBER(SEARCH(",Action,",","&amp;SUBSTITUTE(TableMain[[#This Row],[Tags]],", ",",")&amp;",")),"Y","N")</f>
        <v>N</v>
      </c>
      <c r="K961" s="3" t="str">
        <f>IF(ISNUMBER(SEARCH(",Indie,",","&amp;SUBSTITUTE(TableMain[[#This Row],[Tags]],", ",",")&amp;",")),"Y","N")</f>
        <v>N</v>
      </c>
      <c r="L961" s="3" t="str">
        <f>IF(ISNUMBER(SEARCH(",Adventure,",","&amp;SUBSTITUTE(TableMain[[#This Row],[Tags]],", ",",")&amp;",")),"Y","N")</f>
        <v>Y</v>
      </c>
      <c r="M961" s="3" t="str">
        <f>IF(ISNUMBER(SEARCH(",Simulation,",","&amp;SUBSTITUTE(TableMain[[#This Row],[Tags]],", ",",")&amp;",")),"Y","N")</f>
        <v>N</v>
      </c>
      <c r="N961" s="3" t="str">
        <f>IF(ISNUMBER(SEARCH(",RPG,",","&amp;SUBSTITUTE(TableMain[[#This Row],[Tags]],", ",",")&amp;",")),"Y","N")</f>
        <v>N</v>
      </c>
      <c r="O961" s="3" t="str">
        <f>IF(ISNUMBER(SEARCH(",Strategy,",","&amp;SUBSTITUTE(TableMain[[#This Row],[Tags]],", ",",")&amp;",")),"Y","N")</f>
        <v>N</v>
      </c>
      <c r="P961" s="3" t="str">
        <f>IF(ISNUMBER(SEARCH(",Free To Play,",","&amp;SUBSTITUTE(TableMain[[#This Row],[Tags]],", ",",")&amp;",")),"Y","N")</f>
        <v>N</v>
      </c>
    </row>
    <row r="962" spans="1:16" x14ac:dyDescent="0.35">
      <c r="A962">
        <v>1245560</v>
      </c>
      <c r="B962" t="s">
        <v>2066</v>
      </c>
      <c r="C962" s="1">
        <v>45041</v>
      </c>
      <c r="D962">
        <v>334</v>
      </c>
      <c r="E962" t="b">
        <v>1</v>
      </c>
      <c r="F962" t="s">
        <v>2067</v>
      </c>
      <c r="G962" t="s">
        <v>64</v>
      </c>
      <c r="H962">
        <v>962</v>
      </c>
      <c r="I962" t="s">
        <v>14</v>
      </c>
      <c r="J962" s="3" t="str">
        <f>IF(ISNUMBER(SEARCH(",Action,",","&amp;SUBSTITUTE(TableMain[[#This Row],[Tags]],", ",",")&amp;",")),"Y","N")</f>
        <v>N</v>
      </c>
      <c r="K962" s="3" t="str">
        <f>IF(ISNUMBER(SEARCH(",Indie,",","&amp;SUBSTITUTE(TableMain[[#This Row],[Tags]],", ",",")&amp;",")),"Y","N")</f>
        <v>Y</v>
      </c>
      <c r="L962" s="3" t="str">
        <f>IF(ISNUMBER(SEARCH(",Adventure,",","&amp;SUBSTITUTE(TableMain[[#This Row],[Tags]],", ",",")&amp;",")),"Y","N")</f>
        <v>N</v>
      </c>
      <c r="M962" s="3" t="str">
        <f>IF(ISNUMBER(SEARCH(",Simulation,",","&amp;SUBSTITUTE(TableMain[[#This Row],[Tags]],", ",",")&amp;",")),"Y","N")</f>
        <v>Y</v>
      </c>
      <c r="N962" s="3" t="str">
        <f>IF(ISNUMBER(SEARCH(",RPG,",","&amp;SUBSTITUTE(TableMain[[#This Row],[Tags]],", ",",")&amp;",")),"Y","N")</f>
        <v>Y</v>
      </c>
      <c r="O962" s="3" t="str">
        <f>IF(ISNUMBER(SEARCH(",Strategy,",","&amp;SUBSTITUTE(TableMain[[#This Row],[Tags]],", ",",")&amp;",")),"Y","N")</f>
        <v>N</v>
      </c>
      <c r="P962" s="3" t="str">
        <f>IF(ISNUMBER(SEARCH(",Free To Play,",","&amp;SUBSTITUTE(TableMain[[#This Row],[Tags]],", ",",")&amp;",")),"Y","N")</f>
        <v>N</v>
      </c>
    </row>
    <row r="963" spans="1:16" x14ac:dyDescent="0.35">
      <c r="A963">
        <v>979920</v>
      </c>
      <c r="B963" t="s">
        <v>2068</v>
      </c>
      <c r="C963" s="1">
        <v>43662</v>
      </c>
      <c r="D963">
        <v>334</v>
      </c>
      <c r="E963" t="b">
        <v>1</v>
      </c>
      <c r="F963" t="s">
        <v>2069</v>
      </c>
      <c r="G963" t="s">
        <v>2070</v>
      </c>
      <c r="H963">
        <v>962</v>
      </c>
      <c r="I963" t="s">
        <v>119</v>
      </c>
      <c r="J963" s="3" t="str">
        <f>IF(ISNUMBER(SEARCH(",Action,",","&amp;SUBSTITUTE(TableMain[[#This Row],[Tags]],", ",",")&amp;",")),"Y","N")</f>
        <v>N</v>
      </c>
      <c r="K963" s="3" t="str">
        <f>IF(ISNUMBER(SEARCH(",Indie,",","&amp;SUBSTITUTE(TableMain[[#This Row],[Tags]],", ",",")&amp;",")),"Y","N")</f>
        <v>N</v>
      </c>
      <c r="L963" s="3" t="str">
        <f>IF(ISNUMBER(SEARCH(",Adventure,",","&amp;SUBSTITUTE(TableMain[[#This Row],[Tags]],", ",",")&amp;",")),"Y","N")</f>
        <v>N</v>
      </c>
      <c r="M963" s="3" t="str">
        <f>IF(ISNUMBER(SEARCH(",Simulation,",","&amp;SUBSTITUTE(TableMain[[#This Row],[Tags]],", ",",")&amp;",")),"Y","N")</f>
        <v>Y</v>
      </c>
      <c r="N963" s="3" t="str">
        <f>IF(ISNUMBER(SEARCH(",RPG,",","&amp;SUBSTITUTE(TableMain[[#This Row],[Tags]],", ",",")&amp;",")),"Y","N")</f>
        <v>N</v>
      </c>
      <c r="O963" s="3" t="str">
        <f>IF(ISNUMBER(SEARCH(",Strategy,",","&amp;SUBSTITUTE(TableMain[[#This Row],[Tags]],", ",",")&amp;",")),"Y","N")</f>
        <v>Y</v>
      </c>
      <c r="P963" s="3" t="str">
        <f>IF(ISNUMBER(SEARCH(",Free To Play,",","&amp;SUBSTITUTE(TableMain[[#This Row],[Tags]],", ",",")&amp;",")),"Y","N")</f>
        <v>Y</v>
      </c>
    </row>
    <row r="964" spans="1:16" x14ac:dyDescent="0.35">
      <c r="A964">
        <v>1128920</v>
      </c>
      <c r="B964" t="s">
        <v>2071</v>
      </c>
      <c r="C964" s="1">
        <v>45022</v>
      </c>
      <c r="D964">
        <v>331</v>
      </c>
      <c r="E964" t="b">
        <v>1</v>
      </c>
      <c r="F964" t="s">
        <v>324</v>
      </c>
      <c r="G964" t="s">
        <v>945</v>
      </c>
      <c r="H964">
        <v>965</v>
      </c>
      <c r="I964" t="s">
        <v>119</v>
      </c>
      <c r="J964" s="3" t="str">
        <f>IF(ISNUMBER(SEARCH(",Action,",","&amp;SUBSTITUTE(TableMain[[#This Row],[Tags]],", ",",")&amp;",")),"Y","N")</f>
        <v>Y</v>
      </c>
      <c r="K964" s="3" t="str">
        <f>IF(ISNUMBER(SEARCH(",Indie,",","&amp;SUBSTITUTE(TableMain[[#This Row],[Tags]],", ",",")&amp;",")),"Y","N")</f>
        <v>N</v>
      </c>
      <c r="L964" s="3" t="str">
        <f>IF(ISNUMBER(SEARCH(",Adventure,",","&amp;SUBSTITUTE(TableMain[[#This Row],[Tags]],", ",",")&amp;",")),"Y","N")</f>
        <v>Y</v>
      </c>
      <c r="M964" s="3" t="str">
        <f>IF(ISNUMBER(SEARCH(",Simulation,",","&amp;SUBSTITUTE(TableMain[[#This Row],[Tags]],", ",",")&amp;",")),"Y","N")</f>
        <v>Y</v>
      </c>
      <c r="N964" s="3" t="str">
        <f>IF(ISNUMBER(SEARCH(",RPG,",","&amp;SUBSTITUTE(TableMain[[#This Row],[Tags]],", ",",")&amp;",")),"Y","N")</f>
        <v>Y</v>
      </c>
      <c r="O964" s="3" t="str">
        <f>IF(ISNUMBER(SEARCH(",Strategy,",","&amp;SUBSTITUTE(TableMain[[#This Row],[Tags]],", ",",")&amp;",")),"Y","N")</f>
        <v>N</v>
      </c>
      <c r="P964" s="3" t="str">
        <f>IF(ISNUMBER(SEARCH(",Free To Play,",","&amp;SUBSTITUTE(TableMain[[#This Row],[Tags]],", ",",")&amp;",")),"Y","N")</f>
        <v>N</v>
      </c>
    </row>
    <row r="965" spans="1:16" x14ac:dyDescent="0.35">
      <c r="A965">
        <v>24780</v>
      </c>
      <c r="B965" t="s">
        <v>2072</v>
      </c>
      <c r="C965" s="1">
        <v>40379</v>
      </c>
      <c r="D965">
        <v>331</v>
      </c>
      <c r="E965" t="b">
        <v>1</v>
      </c>
      <c r="F965" t="s">
        <v>915</v>
      </c>
      <c r="G965" t="s">
        <v>100</v>
      </c>
      <c r="H965">
        <v>965</v>
      </c>
      <c r="I965" t="s">
        <v>33</v>
      </c>
      <c r="J965" s="3" t="str">
        <f>IF(ISNUMBER(SEARCH(",Action,",","&amp;SUBSTITUTE(TableMain[[#This Row],[Tags]],", ",",")&amp;",")),"Y","N")</f>
        <v>N</v>
      </c>
      <c r="K965" s="3" t="str">
        <f>IF(ISNUMBER(SEARCH(",Indie,",","&amp;SUBSTITUTE(TableMain[[#This Row],[Tags]],", ",",")&amp;",")),"Y","N")</f>
        <v>N</v>
      </c>
      <c r="L965" s="3" t="str">
        <f>IF(ISNUMBER(SEARCH(",Adventure,",","&amp;SUBSTITUTE(TableMain[[#This Row],[Tags]],", ",",")&amp;",")),"Y","N")</f>
        <v>N</v>
      </c>
      <c r="M965" s="3" t="str">
        <f>IF(ISNUMBER(SEARCH(",Simulation,",","&amp;SUBSTITUTE(TableMain[[#This Row],[Tags]],", ",",")&amp;",")),"Y","N")</f>
        <v>Y</v>
      </c>
      <c r="N965" s="3" t="str">
        <f>IF(ISNUMBER(SEARCH(",RPG,",","&amp;SUBSTITUTE(TableMain[[#This Row],[Tags]],", ",",")&amp;",")),"Y","N")</f>
        <v>N</v>
      </c>
      <c r="O965" s="3" t="str">
        <f>IF(ISNUMBER(SEARCH(",Strategy,",","&amp;SUBSTITUTE(TableMain[[#This Row],[Tags]],", ",",")&amp;",")),"Y","N")</f>
        <v>Y</v>
      </c>
      <c r="P965" s="3" t="str">
        <f>IF(ISNUMBER(SEARCH(",Free To Play,",","&amp;SUBSTITUTE(TableMain[[#This Row],[Tags]],", ",",")&amp;",")),"Y","N")</f>
        <v>N</v>
      </c>
    </row>
    <row r="966" spans="1:16" x14ac:dyDescent="0.35">
      <c r="A966">
        <v>1547000</v>
      </c>
      <c r="B966" t="s">
        <v>2073</v>
      </c>
      <c r="C966" s="1">
        <v>44945</v>
      </c>
      <c r="D966">
        <v>330</v>
      </c>
      <c r="E966" t="b">
        <v>0</v>
      </c>
      <c r="F966" t="s">
        <v>2074</v>
      </c>
      <c r="G966" t="s">
        <v>46</v>
      </c>
      <c r="H966">
        <v>967</v>
      </c>
      <c r="I966" t="s">
        <v>33</v>
      </c>
      <c r="J966" s="3" t="str">
        <f>IF(ISNUMBER(SEARCH(",Action,",","&amp;SUBSTITUTE(TableMain[[#This Row],[Tags]],", ",",")&amp;",")),"Y","N")</f>
        <v>Y</v>
      </c>
      <c r="K966" s="3" t="str">
        <f>IF(ISNUMBER(SEARCH(",Indie,",","&amp;SUBSTITUTE(TableMain[[#This Row],[Tags]],", ",",")&amp;",")),"Y","N")</f>
        <v>N</v>
      </c>
      <c r="L966" s="3" t="str">
        <f>IF(ISNUMBER(SEARCH(",Adventure,",","&amp;SUBSTITUTE(TableMain[[#This Row],[Tags]],", ",",")&amp;",")),"Y","N")</f>
        <v>Y</v>
      </c>
      <c r="M966" s="3" t="str">
        <f>IF(ISNUMBER(SEARCH(",Simulation,",","&amp;SUBSTITUTE(TableMain[[#This Row],[Tags]],", ",",")&amp;",")),"Y","N")</f>
        <v>N</v>
      </c>
      <c r="N966" s="3" t="str">
        <f>IF(ISNUMBER(SEARCH(",RPG,",","&amp;SUBSTITUTE(TableMain[[#This Row],[Tags]],", ",",")&amp;",")),"Y","N")</f>
        <v>N</v>
      </c>
      <c r="O966" s="3" t="str">
        <f>IF(ISNUMBER(SEARCH(",Strategy,",","&amp;SUBSTITUTE(TableMain[[#This Row],[Tags]],", ",",")&amp;",")),"Y","N")</f>
        <v>N</v>
      </c>
      <c r="P966" s="3" t="str">
        <f>IF(ISNUMBER(SEARCH(",Free To Play,",","&amp;SUBSTITUTE(TableMain[[#This Row],[Tags]],", ",",")&amp;",")),"Y","N")</f>
        <v>N</v>
      </c>
    </row>
    <row r="967" spans="1:16" x14ac:dyDescent="0.35">
      <c r="A967">
        <v>1357210</v>
      </c>
      <c r="B967" t="s">
        <v>2075</v>
      </c>
      <c r="C967" s="1">
        <v>45218</v>
      </c>
      <c r="D967">
        <v>330</v>
      </c>
      <c r="E967" t="b">
        <v>0</v>
      </c>
      <c r="F967" t="s">
        <v>2076</v>
      </c>
      <c r="G967" t="s">
        <v>100</v>
      </c>
      <c r="H967">
        <v>967</v>
      </c>
      <c r="I967" t="s">
        <v>2085</v>
      </c>
      <c r="J967" s="3" t="str">
        <f>IF(ISNUMBER(SEARCH(",Action,",","&amp;SUBSTITUTE(TableMain[[#This Row],[Tags]],", ",",")&amp;",")),"Y","N")</f>
        <v>N</v>
      </c>
      <c r="K967" s="3" t="str">
        <f>IF(ISNUMBER(SEARCH(",Indie,",","&amp;SUBSTITUTE(TableMain[[#This Row],[Tags]],", ",",")&amp;",")),"Y","N")</f>
        <v>N</v>
      </c>
      <c r="L967" s="3" t="str">
        <f>IF(ISNUMBER(SEARCH(",Adventure,",","&amp;SUBSTITUTE(TableMain[[#This Row],[Tags]],", ",",")&amp;",")),"Y","N")</f>
        <v>N</v>
      </c>
      <c r="M967" s="3" t="str">
        <f>IF(ISNUMBER(SEARCH(",Simulation,",","&amp;SUBSTITUTE(TableMain[[#This Row],[Tags]],", ",",")&amp;",")),"Y","N")</f>
        <v>Y</v>
      </c>
      <c r="N967" s="3" t="str">
        <f>IF(ISNUMBER(SEARCH(",RPG,",","&amp;SUBSTITUTE(TableMain[[#This Row],[Tags]],", ",",")&amp;",")),"Y","N")</f>
        <v>N</v>
      </c>
      <c r="O967" s="3" t="str">
        <f>IF(ISNUMBER(SEARCH(",Strategy,",","&amp;SUBSTITUTE(TableMain[[#This Row],[Tags]],", ",",")&amp;",")),"Y","N")</f>
        <v>Y</v>
      </c>
      <c r="P967" s="3" t="str">
        <f>IF(ISNUMBER(SEARCH(",Free To Play,",","&amp;SUBSTITUTE(TableMain[[#This Row],[Tags]],", ",",")&amp;",")),"Y","N")</f>
        <v>N</v>
      </c>
    </row>
    <row r="968" spans="1:16" x14ac:dyDescent="0.35">
      <c r="A968">
        <v>1660080</v>
      </c>
      <c r="B968" t="s">
        <v>2077</v>
      </c>
      <c r="C968" s="1">
        <v>45672</v>
      </c>
      <c r="D968">
        <v>329</v>
      </c>
      <c r="E968" t="b">
        <v>0</v>
      </c>
      <c r="F968" t="s">
        <v>2078</v>
      </c>
      <c r="G968" t="s">
        <v>2079</v>
      </c>
      <c r="H968">
        <v>969</v>
      </c>
      <c r="I968" t="s">
        <v>816</v>
      </c>
      <c r="J968" s="3" t="str">
        <f>IF(ISNUMBER(SEARCH(",Action,",","&amp;SUBSTITUTE(TableMain[[#This Row],[Tags]],", ",",")&amp;",")),"Y","N")</f>
        <v>N</v>
      </c>
      <c r="K968" s="3" t="str">
        <f>IF(ISNUMBER(SEARCH(",Indie,",","&amp;SUBSTITUTE(TableMain[[#This Row],[Tags]],", ",",")&amp;",")),"Y","N")</f>
        <v>Y</v>
      </c>
      <c r="L968" s="3" t="str">
        <f>IF(ISNUMBER(SEARCH(",Adventure,",","&amp;SUBSTITUTE(TableMain[[#This Row],[Tags]],", ",",")&amp;",")),"Y","N")</f>
        <v>Y</v>
      </c>
      <c r="M968" s="3" t="str">
        <f>IF(ISNUMBER(SEARCH(",Simulation,",","&amp;SUBSTITUTE(TableMain[[#This Row],[Tags]],", ",",")&amp;",")),"Y","N")</f>
        <v>Y</v>
      </c>
      <c r="N968" s="3" t="str">
        <f>IF(ISNUMBER(SEARCH(",RPG,",","&amp;SUBSTITUTE(TableMain[[#This Row],[Tags]],", ",",")&amp;",")),"Y","N")</f>
        <v>N</v>
      </c>
      <c r="O968" s="3" t="str">
        <f>IF(ISNUMBER(SEARCH(",Strategy,",","&amp;SUBSTITUTE(TableMain[[#This Row],[Tags]],", ",",")&amp;",")),"Y","N")</f>
        <v>N</v>
      </c>
      <c r="P968" s="3" t="str">
        <f>IF(ISNUMBER(SEARCH(",Free To Play,",","&amp;SUBSTITUTE(TableMain[[#This Row],[Tags]],", ",",")&amp;",")),"Y","N")</f>
        <v>N</v>
      </c>
    </row>
    <row r="969" spans="1:16" x14ac:dyDescent="0.35">
      <c r="A969">
        <v>367500</v>
      </c>
      <c r="B969" t="s">
        <v>2080</v>
      </c>
      <c r="C969" s="1">
        <v>42384</v>
      </c>
      <c r="D969">
        <v>329</v>
      </c>
      <c r="E969" t="b">
        <v>0</v>
      </c>
      <c r="F969" t="s">
        <v>893</v>
      </c>
      <c r="G969" t="s">
        <v>208</v>
      </c>
      <c r="H969">
        <v>969</v>
      </c>
      <c r="I969" t="s">
        <v>2087</v>
      </c>
      <c r="J969" s="3" t="str">
        <f>IF(ISNUMBER(SEARCH(",Action,",","&amp;SUBSTITUTE(TableMain[[#This Row],[Tags]],", ",",")&amp;",")),"Y","N")</f>
        <v>Y</v>
      </c>
      <c r="K969" s="3" t="str">
        <f>IF(ISNUMBER(SEARCH(",Indie,",","&amp;SUBSTITUTE(TableMain[[#This Row],[Tags]],", ",",")&amp;",")),"Y","N")</f>
        <v>N</v>
      </c>
      <c r="L969" s="3" t="str">
        <f>IF(ISNUMBER(SEARCH(",Adventure,",","&amp;SUBSTITUTE(TableMain[[#This Row],[Tags]],", ",",")&amp;",")),"Y","N")</f>
        <v>Y</v>
      </c>
      <c r="M969" s="3" t="str">
        <f>IF(ISNUMBER(SEARCH(",Simulation,",","&amp;SUBSTITUTE(TableMain[[#This Row],[Tags]],", ",",")&amp;",")),"Y","N")</f>
        <v>N</v>
      </c>
      <c r="N969" s="3" t="str">
        <f>IF(ISNUMBER(SEARCH(",RPG,",","&amp;SUBSTITUTE(TableMain[[#This Row],[Tags]],", ",",")&amp;",")),"Y","N")</f>
        <v>Y</v>
      </c>
      <c r="O969" s="3" t="str">
        <f>IF(ISNUMBER(SEARCH(",Strategy,",","&amp;SUBSTITUTE(TableMain[[#This Row],[Tags]],", ",",")&amp;",")),"Y","N")</f>
        <v>N</v>
      </c>
      <c r="P969" s="3" t="str">
        <f>IF(ISNUMBER(SEARCH(",Free To Play,",","&amp;SUBSTITUTE(TableMain[[#This Row],[Tags]],", ",",")&amp;",")),"Y","N")</f>
        <v>N</v>
      </c>
    </row>
    <row r="970" spans="1:16" x14ac:dyDescent="0.35">
      <c r="A970">
        <v>1127500</v>
      </c>
      <c r="B970" t="s">
        <v>2081</v>
      </c>
      <c r="C970" s="1">
        <v>44397</v>
      </c>
      <c r="D970">
        <v>328</v>
      </c>
      <c r="E970" t="b">
        <v>1</v>
      </c>
      <c r="F970" t="s">
        <v>1982</v>
      </c>
      <c r="G970" t="s">
        <v>688</v>
      </c>
      <c r="H970">
        <v>971</v>
      </c>
      <c r="I970" t="s">
        <v>33</v>
      </c>
      <c r="J970" s="3" t="str">
        <f>IF(ISNUMBER(SEARCH(",Action,",","&amp;SUBSTITUTE(TableMain[[#This Row],[Tags]],", ",",")&amp;",")),"Y","N")</f>
        <v>N</v>
      </c>
      <c r="K970" s="3" t="str">
        <f>IF(ISNUMBER(SEARCH(",Indie,",","&amp;SUBSTITUTE(TableMain[[#This Row],[Tags]],", ",",")&amp;",")),"Y","N")</f>
        <v>N</v>
      </c>
      <c r="L970" s="3" t="str">
        <f>IF(ISNUMBER(SEARCH(",Adventure,",","&amp;SUBSTITUTE(TableMain[[#This Row],[Tags]],", ",",")&amp;",")),"Y","N")</f>
        <v>N</v>
      </c>
      <c r="M970" s="3" t="str">
        <f>IF(ISNUMBER(SEARCH(",Simulation,",","&amp;SUBSTITUTE(TableMain[[#This Row],[Tags]],", ",",")&amp;",")),"Y","N")</f>
        <v>Y</v>
      </c>
      <c r="N970" s="3" t="str">
        <f>IF(ISNUMBER(SEARCH(",RPG,",","&amp;SUBSTITUTE(TableMain[[#This Row],[Tags]],", ",",")&amp;",")),"Y","N")</f>
        <v>N</v>
      </c>
      <c r="O970" s="3" t="str">
        <f>IF(ISNUMBER(SEARCH(",Strategy,",","&amp;SUBSTITUTE(TableMain[[#This Row],[Tags]],", ",",")&amp;",")),"Y","N")</f>
        <v>Y</v>
      </c>
      <c r="P970" s="3" t="str">
        <f>IF(ISNUMBER(SEARCH(",Free To Play,",","&amp;SUBSTITUTE(TableMain[[#This Row],[Tags]],", ",",")&amp;",")),"Y","N")</f>
        <v>N</v>
      </c>
    </row>
  </sheetData>
  <conditionalFormatting sqref="J2:P970">
    <cfRule type="cellIs" dxfId="0" priority="1" operator="equal">
      <formula>"Y"</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8" sqref="A8"/>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FE8CE4-9978-47BC-8F6D-661043826F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Player_count</vt:lpstr>
      <vt:lpstr>TableMain (2)</vt:lpstr>
      <vt:lpstr>TableMain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Sridhar</dc:creator>
  <cp:lastModifiedBy>Rohan Sridhar</cp:lastModifiedBy>
  <dcterms:created xsi:type="dcterms:W3CDTF">2015-06-05T18:17:20Z</dcterms:created>
  <dcterms:modified xsi:type="dcterms:W3CDTF">2026-08-25T10:32:56Z</dcterms:modified>
</cp:coreProperties>
</file>