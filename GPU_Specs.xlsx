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rand\Music\Projects\PC Project\"/>
    </mc:Choice>
  </mc:AlternateContent>
  <xr:revisionPtr revIDLastSave="0" documentId="13_ncr:1_{0EF9C857-F4C4-4B30-B802-05307616D8FC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Sheet1" sheetId="2" r:id="rId1"/>
    <sheet name="PivotTable" sheetId="3" r:id="rId2"/>
    <sheet name="GPU MSRP History" sheetId="1" r:id="rId3"/>
  </sheets>
  <definedNames>
    <definedName name="_xlnm._FilterDatabase" localSheetId="2" hidden="1">'GPU MSRP History'!#REF!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0" i="1" l="1"/>
  <c r="H82" i="1"/>
  <c r="H67" i="1"/>
  <c r="H92" i="1"/>
  <c r="H91" i="1"/>
  <c r="H90" i="1"/>
  <c r="H89" i="1"/>
  <c r="H80" i="1"/>
  <c r="H79" i="1"/>
  <c r="H77" i="1"/>
  <c r="H75" i="1"/>
  <c r="H74" i="1"/>
  <c r="H94" i="1"/>
  <c r="H93" i="1"/>
  <c r="H86" i="1"/>
  <c r="H85" i="1"/>
  <c r="H84" i="1"/>
  <c r="H78" i="1"/>
  <c r="H76" i="1"/>
  <c r="H88" i="1"/>
  <c r="H87" i="1"/>
  <c r="H83" i="1"/>
  <c r="H73" i="1"/>
  <c r="H72" i="1"/>
  <c r="H71" i="1"/>
  <c r="H70" i="1"/>
  <c r="H69" i="1"/>
  <c r="H68" i="1"/>
  <c r="H106" i="1"/>
  <c r="H105" i="1"/>
  <c r="H104" i="1"/>
  <c r="H103" i="1"/>
  <c r="H101" i="1"/>
  <c r="H32" i="1"/>
  <c r="H102" i="1"/>
  <c r="H100" i="1"/>
  <c r="H111" i="1"/>
  <c r="H31" i="1"/>
  <c r="H29" i="1"/>
  <c r="H27" i="1"/>
  <c r="H24" i="1"/>
  <c r="H62" i="1"/>
  <c r="H60" i="1"/>
  <c r="H58" i="1"/>
  <c r="H23" i="1"/>
  <c r="H99" i="1"/>
  <c r="H98" i="1"/>
  <c r="H97" i="1"/>
  <c r="H96" i="1"/>
  <c r="H95" i="1"/>
  <c r="H108" i="1"/>
  <c r="H64" i="1"/>
  <c r="H63" i="1"/>
  <c r="H61" i="1"/>
  <c r="H59" i="1"/>
  <c r="H30" i="1"/>
  <c r="H26" i="1"/>
  <c r="H25" i="1"/>
  <c r="H55" i="1"/>
  <c r="H54" i="1"/>
  <c r="H52" i="1"/>
  <c r="H50" i="1"/>
  <c r="H28" i="1"/>
  <c r="H15" i="1"/>
  <c r="H14" i="1"/>
  <c r="H13" i="1"/>
  <c r="H34" i="1"/>
  <c r="H20" i="1"/>
  <c r="H53" i="1"/>
  <c r="H51" i="1"/>
  <c r="H33" i="1"/>
  <c r="H22" i="1"/>
  <c r="H18" i="1"/>
  <c r="H17" i="1"/>
  <c r="H16" i="1"/>
  <c r="H2" i="1"/>
  <c r="H11" i="1"/>
  <c r="H21" i="1"/>
  <c r="H109" i="1"/>
  <c r="H66" i="1"/>
  <c r="H81" i="1"/>
  <c r="H39" i="1"/>
  <c r="H43" i="1"/>
  <c r="H12" i="1"/>
  <c r="H56" i="1"/>
  <c r="H57" i="1"/>
  <c r="H8" i="1"/>
  <c r="H38" i="1"/>
  <c r="H45" i="1"/>
  <c r="H48" i="1"/>
  <c r="H7" i="1"/>
  <c r="H36" i="1"/>
  <c r="H37" i="1"/>
  <c r="H5" i="1"/>
  <c r="H44" i="1"/>
  <c r="H47" i="1"/>
  <c r="H65" i="1"/>
  <c r="H9" i="1"/>
  <c r="H40" i="1"/>
  <c r="H3" i="1"/>
  <c r="H4" i="1"/>
  <c r="H6" i="1"/>
  <c r="H19" i="1"/>
  <c r="H41" i="1"/>
  <c r="H46" i="1"/>
  <c r="H49" i="1"/>
  <c r="H107" i="1"/>
  <c r="H10" i="1"/>
  <c r="H42" i="1"/>
  <c r="H35" i="1"/>
</calcChain>
</file>

<file path=xl/sharedStrings.xml><?xml version="1.0" encoding="utf-8"?>
<sst xmlns="http://schemas.openxmlformats.org/spreadsheetml/2006/main" count="587" uniqueCount="164">
  <si>
    <t>GTX 1070</t>
  </si>
  <si>
    <t>GTX 1070 Ti</t>
  </si>
  <si>
    <t>GTX 1080</t>
  </si>
  <si>
    <t>GTX 1080 Ti</t>
  </si>
  <si>
    <t>RTX 2060</t>
  </si>
  <si>
    <t>RTX 2070</t>
  </si>
  <si>
    <t>RTX 2080</t>
  </si>
  <si>
    <t>RTX 2080 Ti</t>
  </si>
  <si>
    <t>RTX 3060</t>
  </si>
  <si>
    <t>RTX 3060 Ti</t>
  </si>
  <si>
    <t>RTX 3070</t>
  </si>
  <si>
    <t>RTX 3070 Ti</t>
  </si>
  <si>
    <t>RTX 3080 Ti</t>
  </si>
  <si>
    <t>RTX 3090</t>
  </si>
  <si>
    <t>RTX 3090 Ti</t>
  </si>
  <si>
    <t>RTX 4060</t>
  </si>
  <si>
    <t>RTX 4070</t>
  </si>
  <si>
    <t>RTX 4070 Ti</t>
  </si>
  <si>
    <t>RTX 4080</t>
  </si>
  <si>
    <t>RTX 4090</t>
  </si>
  <si>
    <t>RTX 5060</t>
  </si>
  <si>
    <t>RTX 5070</t>
  </si>
  <si>
    <t>RTX 5080</t>
  </si>
  <si>
    <t>RTX 5090</t>
  </si>
  <si>
    <t>RX 550</t>
  </si>
  <si>
    <t>RX 560</t>
  </si>
  <si>
    <t>RX 570</t>
  </si>
  <si>
    <t>RX 580</t>
  </si>
  <si>
    <t>RX 590</t>
  </si>
  <si>
    <t>RX 5500 XT</t>
  </si>
  <si>
    <t>RX 5600 XT</t>
  </si>
  <si>
    <t>RX 5700</t>
  </si>
  <si>
    <t>RX 5700 XT</t>
  </si>
  <si>
    <t>RX 6400</t>
  </si>
  <si>
    <t>RX 6500 XT</t>
  </si>
  <si>
    <t>RX 6600</t>
  </si>
  <si>
    <t>RX 6600 XT</t>
  </si>
  <si>
    <t>RX 6700 XT</t>
  </si>
  <si>
    <t>RX 6800</t>
  </si>
  <si>
    <t>RX 6800 XT</t>
  </si>
  <si>
    <t>RX 6900 XT</t>
  </si>
  <si>
    <t>RX 6950 XT</t>
  </si>
  <si>
    <t>RX 7600</t>
  </si>
  <si>
    <t>RX 7600 XT</t>
  </si>
  <si>
    <t>RX 7700 XT</t>
  </si>
  <si>
    <t>RX 7800 XT</t>
  </si>
  <si>
    <t>RX 7900 GRE</t>
  </si>
  <si>
    <t>RX 7900 XT</t>
  </si>
  <si>
    <t>RX 7900 XTX</t>
  </si>
  <si>
    <t>RX 9060 XT</t>
  </si>
  <si>
    <t>RX 9070 XT</t>
  </si>
  <si>
    <t>Performance(%)</t>
  </si>
  <si>
    <t>RTX 5070 Ti</t>
  </si>
  <si>
    <t>RTX 5060 Ti</t>
  </si>
  <si>
    <t>RTX 4060 Ti</t>
  </si>
  <si>
    <t>RTX 3080</t>
  </si>
  <si>
    <t>GTX 1060</t>
  </si>
  <si>
    <t>RTX 5050</t>
  </si>
  <si>
    <t>GTX 1660 Ti</t>
  </si>
  <si>
    <t>RTX 3050</t>
  </si>
  <si>
    <t>GTX 1660</t>
  </si>
  <si>
    <t>GTX 980 Ti</t>
  </si>
  <si>
    <t>GTX 980</t>
  </si>
  <si>
    <t>GTX 970</t>
  </si>
  <si>
    <t>Intel UHD Graphics</t>
  </si>
  <si>
    <t>Radeon Graphics</t>
  </si>
  <si>
    <t>RX 9070</t>
  </si>
  <si>
    <t>RX 6700</t>
  </si>
  <si>
    <t>R9 Fury X</t>
  </si>
  <si>
    <t>R9 Fury</t>
  </si>
  <si>
    <t>RX 480</t>
  </si>
  <si>
    <t>Availability</t>
  </si>
  <si>
    <t>Arc B580</t>
  </si>
  <si>
    <t>Arc A380</t>
  </si>
  <si>
    <t>Arc A750</t>
  </si>
  <si>
    <t>Arc A770</t>
  </si>
  <si>
    <t>Arc B570</t>
  </si>
  <si>
    <t>N</t>
  </si>
  <si>
    <t>Y</t>
  </si>
  <si>
    <t>RX 6750 XT</t>
  </si>
  <si>
    <t>GTX 1050</t>
  </si>
  <si>
    <t>GTX 1050 Ti</t>
  </si>
  <si>
    <t>GTX 1650</t>
  </si>
  <si>
    <t>VRAM(GB)</t>
  </si>
  <si>
    <t>Radeon Vega 11</t>
  </si>
  <si>
    <t>Radeon Vega 8</t>
  </si>
  <si>
    <t>RTX 4080 SUPER</t>
  </si>
  <si>
    <t>RTX 4070 Ti SUPER</t>
  </si>
  <si>
    <t>RTX 4070 SUPER</t>
  </si>
  <si>
    <t>RTX 2080 SUPER</t>
  </si>
  <si>
    <t>RTX 2070 SUPER</t>
  </si>
  <si>
    <t>RTX 2060 SUPER</t>
  </si>
  <si>
    <t>GTX 1660 SUPER</t>
  </si>
  <si>
    <t>GTX 1650 SUPER</t>
  </si>
  <si>
    <t>Launch_Year</t>
  </si>
  <si>
    <t>GPU_Model_Name</t>
  </si>
  <si>
    <t>Launch MSRP(USD)</t>
  </si>
  <si>
    <t>Series</t>
  </si>
  <si>
    <t>R9000</t>
  </si>
  <si>
    <t>R7000</t>
  </si>
  <si>
    <t>R6000</t>
  </si>
  <si>
    <t>R500</t>
  </si>
  <si>
    <t>R5000</t>
  </si>
  <si>
    <t>R400</t>
  </si>
  <si>
    <t>GF50</t>
  </si>
  <si>
    <t>GF40</t>
  </si>
  <si>
    <t>GF30</t>
  </si>
  <si>
    <t>GF20</t>
  </si>
  <si>
    <t>R GRAPHICS</t>
  </si>
  <si>
    <t>R9</t>
  </si>
  <si>
    <t>INT UHD</t>
  </si>
  <si>
    <t>GF9</t>
  </si>
  <si>
    <t>GF16</t>
  </si>
  <si>
    <t>GF10</t>
  </si>
  <si>
    <t>INT B</t>
  </si>
  <si>
    <t>INT A</t>
  </si>
  <si>
    <t>Bottom</t>
  </si>
  <si>
    <t>Class</t>
  </si>
  <si>
    <t>Mid</t>
  </si>
  <si>
    <t>Lower</t>
  </si>
  <si>
    <t>Top+</t>
  </si>
  <si>
    <t>Top</t>
  </si>
  <si>
    <t>APU</t>
  </si>
  <si>
    <t>GTX 750</t>
  </si>
  <si>
    <t>GF7</t>
  </si>
  <si>
    <t>Intel HD Graphics</t>
  </si>
  <si>
    <t>INT HD</t>
  </si>
  <si>
    <t>R VEGA 8</t>
  </si>
  <si>
    <t>R VEGA 11</t>
  </si>
  <si>
    <t>GTX 750 Ti</t>
  </si>
  <si>
    <t>GTX 760</t>
  </si>
  <si>
    <t>GTX 770</t>
  </si>
  <si>
    <t>GTX 780</t>
  </si>
  <si>
    <t>GTX 780 Ti</t>
  </si>
  <si>
    <t>GTX 950</t>
  </si>
  <si>
    <t>GTX 960</t>
  </si>
  <si>
    <t>GTX TITAN X</t>
  </si>
  <si>
    <t>R9 270</t>
  </si>
  <si>
    <t>R9 270X</t>
  </si>
  <si>
    <t>R9 280</t>
  </si>
  <si>
    <t>R9 280X</t>
  </si>
  <si>
    <t>R9 285</t>
  </si>
  <si>
    <t>R9 290</t>
  </si>
  <si>
    <t>R9 290X</t>
  </si>
  <si>
    <t>R9 380</t>
  </si>
  <si>
    <t>R9 380X</t>
  </si>
  <si>
    <t>R9 390</t>
  </si>
  <si>
    <t>R9 390X</t>
  </si>
  <si>
    <t>Mid+</t>
  </si>
  <si>
    <t>PricePerDollar</t>
  </si>
  <si>
    <t>Row Labels</t>
  </si>
  <si>
    <t>Grand Total</t>
  </si>
  <si>
    <t>Column Labels</t>
  </si>
  <si>
    <t>Launch Year</t>
  </si>
  <si>
    <t>Average of VRAM(GB)</t>
  </si>
  <si>
    <t>GPU Performance</t>
  </si>
  <si>
    <t>GPU Performance By Year</t>
  </si>
  <si>
    <t>AVG_GPU MSRP By Year</t>
  </si>
  <si>
    <t>Year</t>
  </si>
  <si>
    <t>Average of PricePerDollar</t>
  </si>
  <si>
    <t>GPU_Series</t>
  </si>
  <si>
    <t>Average of VRAM(GB) By Class</t>
  </si>
  <si>
    <t>(Multiple Items)</t>
  </si>
  <si>
    <t>Average of Performance(%)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</si>
</sst>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[$$-409]#,##0"/>
    <numFmt numFmtId="166" formatCode="0.0"/>
    <numFmt numFmtId="167" formatCode="m/d/yyyy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sz val="11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4F7"/>
      </patternFill>
    </fill>
    <fill>
      <patternFill patternType="solid">
        <fgColor theme="0"/>
        <bgColor rgb="FF1B365D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4" fillId="2" borderId="0" xfId="0" applyFont="1" applyFill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165" fontId="2" fillId="3" borderId="3" xfId="0" applyNumberFormat="1" applyFont="1" applyFill="1" applyBorder="1" applyAlignment="1">
      <alignment horizontal="right"/>
    </xf>
    <xf numFmtId="164" fontId="3" fillId="3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center"/>
    </xf>
    <xf numFmtId="165" fontId="2" fillId="4" borderId="3" xfId="0" applyNumberFormat="1" applyFont="1" applyFill="1" applyBorder="1" applyAlignment="1">
      <alignment horizontal="right"/>
    </xf>
    <xf numFmtId="0" fontId="0" fillId="3" borderId="3" xfId="0" applyFill="1" applyBorder="1"/>
    <xf numFmtId="0" fontId="3" fillId="4" borderId="3" xfId="0" applyFont="1" applyFill="1" applyBorder="1" applyAlignment="1">
      <alignment horizontal="left"/>
    </xf>
    <xf numFmtId="164" fontId="3" fillId="4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/>
    </xf>
    <xf numFmtId="165" fontId="2" fillId="3" borderId="3" xfId="0" applyNumberFormat="1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165" fontId="2" fillId="5" borderId="3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3" fillId="4" borderId="3" xfId="0" applyFont="1" applyFill="1" applyBorder="1" applyAlignment="1">
      <alignment horizontal="center" vertical="center"/>
    </xf>
    <xf numFmtId="165" fontId="3" fillId="3" borderId="3" xfId="0" applyNumberFormat="1" applyFont="1" applyFill="1" applyBorder="1" applyAlignment="1">
      <alignment horizontal="right"/>
    </xf>
    <xf numFmtId="164" fontId="3" fillId="3" borderId="5" xfId="0" applyNumberFormat="1" applyFont="1" applyFill="1" applyBorder="1" applyAlignment="1">
      <alignment horizontal="center" vertical="center"/>
    </xf>
    <xf numFmtId="164" fontId="3" fillId="4" borderId="5" xfId="0" applyNumberFormat="1" applyFont="1" applyFill="1" applyBorder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 wrapText="1"/>
    </xf>
    <xf numFmtId="2" fontId="2" fillId="3" borderId="3" xfId="0" applyNumberFormat="1" applyFont="1" applyFill="1" applyBorder="1" applyAlignment="1">
      <alignment horizontal="right"/>
    </xf>
    <xf numFmtId="2" fontId="2" fillId="5" borderId="3" xfId="0" applyNumberFormat="1" applyFont="1" applyFill="1" applyBorder="1" applyAlignment="1">
      <alignment horizontal="right"/>
    </xf>
    <xf numFmtId="2" fontId="2" fillId="3" borderId="5" xfId="0" applyNumberFormat="1" applyFont="1" applyFill="1" applyBorder="1" applyAlignment="1">
      <alignment horizontal="right"/>
    </xf>
    <xf numFmtId="2" fontId="2" fillId="4" borderId="5" xfId="0" applyNumberFormat="1" applyFont="1" applyFill="1" applyBorder="1" applyAlignment="1">
      <alignment horizontal="right"/>
    </xf>
    <xf numFmtId="2" fontId="2" fillId="4" borderId="3" xfId="0" applyNumberFormat="1" applyFont="1" applyFill="1" applyBorder="1" applyAlignment="1">
      <alignment horizontal="right"/>
    </xf>
    <xf numFmtId="2" fontId="2" fillId="3" borderId="3" xfId="0" applyNumberFormat="1" applyFont="1" applyFill="1" applyBorder="1" applyAlignment="1">
      <alignment horizontal="right" vertical="center"/>
    </xf>
    <xf numFmtId="2" fontId="0" fillId="0" borderId="0" xfId="0" applyNumberFormat="1"/>
    <xf numFmtId="0" fontId="2" fillId="5" borderId="3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2" fontId="3" fillId="3" borderId="3" xfId="0" applyNumberFormat="1" applyFont="1" applyFill="1" applyBorder="1" applyAlignment="1">
      <alignment horizontal="right"/>
    </xf>
    <xf numFmtId="0" fontId="2" fillId="3" borderId="6" xfId="0" applyFont="1" applyFill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  <xf numFmtId="167" fontId="2" fillId="3" borderId="3" xfId="0" applyNumberFormat="1" applyFont="1" applyFill="1" applyBorder="1" applyAlignment="1">
      <alignment horizontal="center"/>
    </xf>
    <xf numFmtId="167" fontId="2" fillId="4" borderId="3" xfId="0" applyNumberFormat="1" applyFont="1" applyFill="1" applyBorder="1" applyAlignment="1">
      <alignment horizontal="center"/>
    </xf>
    <xf numFmtId="167" fontId="2" fillId="3" borderId="3" xfId="0" applyNumberFormat="1" applyFont="1" applyFill="1" applyBorder="1" applyAlignment="1">
      <alignment horizontal="center" vertical="center"/>
    </xf>
    <xf numFmtId="167" fontId="2" fillId="5" borderId="3" xfId="0" applyNumberFormat="1" applyFont="1" applyFill="1" applyBorder="1" applyAlignment="1">
      <alignment horizontal="center"/>
    </xf>
    <xf numFmtId="167" fontId="3" fillId="3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\$#,##0.00"/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[$$-409]#,##0"/>
      <alignment horizontal="righ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7" formatCode="m/d/yyyy"/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B365D"/>
          <bgColor rgb="FF1B365D"/>
        </patternFill>
      </fill>
      <alignment horizontal="center" vertical="center" textRotation="0" wrapText="1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6" formatCode="0.0"/>
    </dxf>
    <dxf>
      <numFmt numFmtId="2" formatCode="0.00"/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BFD6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an Sridhar" refreshedDate="46255.620862152777" createdVersion="8" refreshedVersion="8" minRefreshableVersion="3" recordCount="110" xr:uid="{CEED097E-8B24-4F88-83AC-77EE44D65732}">
  <cacheSource type="worksheet">
    <worksheetSource name="TablePrice"/>
  </cacheSource>
  <cacheFields count="9">
    <cacheField name="GPU_Model_Name" numFmtId="0">
      <sharedItems count="110">
        <s v="RX 9070 XT"/>
        <s v="RX 9070"/>
        <s v="RX 9060 XT"/>
        <s v="RX 7900 XTX"/>
        <s v="RX 7900 XT"/>
        <s v="RX 7900 GRE"/>
        <s v="RX 7800 XT"/>
        <s v="RX 7700 XT"/>
        <s v="RX 7600 XT"/>
        <s v="RX 7600"/>
        <s v="RX 6950 XT"/>
        <s v="RX 6900 XT"/>
        <s v="RX 6800 XT"/>
        <s v="RX 6800"/>
        <s v="RX 6750 XT"/>
        <s v="RX 6700 XT"/>
        <s v="RX 6700"/>
        <s v="RX 6600 XT"/>
        <s v="RX 6600"/>
        <s v="RX 6500 XT"/>
        <s v="RX 6400"/>
        <s v="RX 590"/>
        <s v="RX 580"/>
        <s v="RX 5700 XT"/>
        <s v="RX 5700"/>
        <s v="RX 570"/>
        <s v="RX 5600 XT"/>
        <s v="RX 560"/>
        <s v="RX 5500 XT"/>
        <s v="RX 550"/>
        <s v="RX 480"/>
        <s v="RTX 5090"/>
        <s v="RTX 5080"/>
        <s v="RTX 5070 Ti"/>
        <s v="RTX 5070"/>
        <s v="RTX 5060 Ti"/>
        <s v="RTX 5060"/>
        <s v="RTX 5050"/>
        <s v="RTX 4090"/>
        <s v="RTX 4080 SUPER"/>
        <s v="RTX 4080"/>
        <s v="RTX 4070 Ti SUPER"/>
        <s v="RTX 4070 Ti"/>
        <s v="RTX 4070 SUPER"/>
        <s v="RTX 4070"/>
        <s v="RTX 4060 Ti"/>
        <s v="RTX 4060"/>
        <s v="RTX 3090 Ti"/>
        <s v="RTX 3090"/>
        <s v="RTX 3080 Ti"/>
        <s v="RTX 3080"/>
        <s v="RTX 3070 Ti"/>
        <s v="RTX 3070"/>
        <s v="RTX 3060 Ti"/>
        <s v="RTX 3060"/>
        <s v="RTX 3050"/>
        <s v="RTX 2080 Ti"/>
        <s v="RTX 2080 SUPER"/>
        <s v="RTX 2080"/>
        <s v="RTX 2070 SUPER"/>
        <s v="RTX 2070"/>
        <s v="RTX 2060 SUPER"/>
        <s v="RTX 2060"/>
        <s v="Radeon Vega 8"/>
        <s v="Radeon Vega 11"/>
        <s v="Radeon Graphics"/>
        <s v="R9 Fury X"/>
        <s v="R9 Fury"/>
        <s v="R9 390X"/>
        <s v="R9 390"/>
        <s v="R9 380X"/>
        <s v="R9 380"/>
        <s v="R9 290X"/>
        <s v="R9 290"/>
        <s v="R9 285"/>
        <s v="R9 280X"/>
        <s v="R9 280"/>
        <s v="R9 270X"/>
        <s v="R9 270"/>
        <s v="Intel UHD Graphics"/>
        <s v="Intel HD Graphics"/>
        <s v="GTX TITAN X"/>
        <s v="GTX 980 Ti"/>
        <s v="GTX 980"/>
        <s v="GTX 970"/>
        <s v="GTX 960"/>
        <s v="GTX 950"/>
        <s v="GTX 780 Ti"/>
        <s v="GTX 780"/>
        <s v="GTX 770"/>
        <s v="GTX 760"/>
        <s v="GTX 750 Ti"/>
        <s v="GTX 750"/>
        <s v="GTX 1660 Ti"/>
        <s v="GTX 1660 SUPER"/>
        <s v="GTX 1660"/>
        <s v="GTX 1650 SUPER"/>
        <s v="GTX 1650"/>
        <s v="GTX 1080 Ti"/>
        <s v="GTX 1080"/>
        <s v="GTX 1070 Ti"/>
        <s v="GTX 1070"/>
        <s v="GTX 1060"/>
        <s v="GTX 1050 Ti"/>
        <s v="GTX 1050"/>
        <s v="Arc B580"/>
        <s v="Arc B570"/>
        <s v="Arc A770"/>
        <s v="Arc A750"/>
        <s v="Arc A380"/>
      </sharedItems>
    </cacheField>
    <cacheField name="Class" numFmtId="0">
      <sharedItems count="7">
        <s v="Mid+"/>
        <s v="Mid"/>
        <s v="Top+"/>
        <s v="Top"/>
        <s v="Lower"/>
        <s v="Bottom"/>
        <s v="APU"/>
      </sharedItems>
    </cacheField>
    <cacheField name="Series" numFmtId="0">
      <sharedItems count="22">
        <s v="R9000"/>
        <s v="R7000"/>
        <s v="R6000"/>
        <s v="R500"/>
        <s v="R5000"/>
        <s v="R400"/>
        <s v="GF50"/>
        <s v="GF40"/>
        <s v="GF30"/>
        <s v="GF20"/>
        <s v="R VEGA 8"/>
        <s v="R VEGA 11"/>
        <s v="R GRAPHICS"/>
        <s v="R9"/>
        <s v="INT UHD"/>
        <s v="INT HD"/>
        <s v="GF9"/>
        <s v="GF7"/>
        <s v="GF16"/>
        <s v="GF10"/>
        <s v="INT B"/>
        <s v="INT A"/>
      </sharedItems>
    </cacheField>
    <cacheField name="VRAM(GB)" numFmtId="0">
      <sharedItems containsSemiMixedTypes="0" containsString="0" containsNumber="1" minValue="0.25" maxValue="32" count="15">
        <n v="16"/>
        <n v="24"/>
        <n v="20"/>
        <n v="12"/>
        <n v="8"/>
        <n v="10"/>
        <n v="4"/>
        <n v="6"/>
        <n v="32"/>
        <n v="11"/>
        <n v="0.5"/>
        <n v="1"/>
        <n v="0.25"/>
        <n v="2"/>
        <n v="3"/>
      </sharedItems>
    </cacheField>
    <cacheField name="Performance(%)" numFmtId="0">
      <sharedItems containsSemiMixedTypes="0" containsString="0" containsNumber="1" containsInteger="1" minValue="1" maxValue="125" count="23">
        <n v="90"/>
        <n v="85"/>
        <n v="80"/>
        <n v="75"/>
        <n v="70"/>
        <n v="60"/>
        <n v="30"/>
        <n v="25"/>
        <n v="35"/>
        <n v="55"/>
        <n v="10"/>
        <n v="5"/>
        <n v="125"/>
        <n v="95"/>
        <n v="100"/>
        <n v="65"/>
        <n v="45"/>
        <n v="2"/>
        <n v="1"/>
        <n v="40"/>
        <n v="20"/>
        <n v="15"/>
        <n v="50"/>
      </sharedItems>
      <fieldGroup base="4">
        <rangePr startNum="1" endNum="125" groupInterval="10"/>
        <groupItems count="15">
          <s v="&lt;1"/>
          <s v="1-10"/>
          <s v="11-20"/>
          <s v="21-30"/>
          <s v="31-40"/>
          <s v="41-50"/>
          <s v="51-60"/>
          <s v="61-70"/>
          <s v="71-80"/>
          <s v="81-90"/>
          <s v="91-100"/>
          <s v="101-110"/>
          <s v="111-120"/>
          <s v="121-130"/>
          <s v="&gt;131"/>
        </groupItems>
      </fieldGroup>
    </cacheField>
    <cacheField name="Launch_Year" numFmtId="0">
      <sharedItems containsSemiMixedTypes="0" containsString="0" containsNumber="1" containsInteger="1" minValue="2010" maxValue="2025" count="15">
        <n v="2025"/>
        <n v="2022"/>
        <n v="2024"/>
        <n v="2023"/>
        <n v="2020"/>
        <n v="2021"/>
        <n v="2018"/>
        <n v="2017"/>
        <n v="2019"/>
        <n v="2016"/>
        <n v="2011"/>
        <n v="2015"/>
        <n v="2013"/>
        <n v="2014"/>
        <n v="2010"/>
      </sharedItems>
    </cacheField>
    <cacheField name="Launch MSRP(USD)" numFmtId="165">
      <sharedItems containsSemiMixedTypes="0" containsString="0" containsNumber="1" containsInteger="1" minValue="59" maxValue="1999" count="44">
        <n v="499"/>
        <n v="550"/>
        <n v="359"/>
        <n v="999"/>
        <n v="899"/>
        <n v="549"/>
        <n v="449"/>
        <n v="329"/>
        <n v="269"/>
        <n v="1099"/>
        <n v="649"/>
        <n v="579"/>
        <n v="479"/>
        <n v="379"/>
        <n v="199"/>
        <n v="159"/>
        <n v="279"/>
        <n v="229"/>
        <n v="399"/>
        <n v="349"/>
        <n v="169"/>
        <n v="99"/>
        <n v="79"/>
        <n v="239"/>
        <n v="1999"/>
        <n v="749"/>
        <n v="429"/>
        <n v="299"/>
        <n v="249"/>
        <n v="1599"/>
        <n v="1199"/>
        <n v="799"/>
        <n v="599"/>
        <n v="1499"/>
        <n v="699"/>
        <n v="59"/>
        <n v="225"/>
        <n v="179"/>
        <n v="149"/>
        <n v="119"/>
        <n v="219"/>
        <n v="109"/>
        <n v="139"/>
        <n v="289"/>
      </sharedItems>
    </cacheField>
    <cacheField name="PricePerDollar" numFmtId="2">
      <sharedItems containsSemiMixedTypes="0" containsString="0" containsNumber="1" minValue="1.0101010101010102" maxValue="33.557046979865774" count="96">
        <n v="18.036072144288578"/>
        <n v="15.454545454545453"/>
        <n v="22.284122562674096"/>
        <n v="9.0090090090090094"/>
        <n v="9.4549499443826477"/>
        <n v="15.482695810564662"/>
        <n v="16.032064128256511"/>
        <n v="17.817371937639198"/>
        <n v="22.796352583586625"/>
        <n v="26.022304832713754"/>
        <n v="7.7343039126478619"/>
        <n v="8.508508508508509"/>
        <n v="12.326656394453005"/>
        <n v="13.81692573402418"/>
        <n v="15.030060120240481"/>
        <n v="15.657620041753653"/>
        <n v="21.276595744680851"/>
        <n v="18.469656992084431"/>
        <n v="18.237082066869302"/>
        <n v="15.075376884422109"/>
        <n v="15.723270440251572"/>
        <n v="12.544802867383511"/>
        <n v="13.100436681222707"/>
        <n v="17.543859649122805"/>
        <n v="17.191977077363894"/>
        <n v="14.792899408284024"/>
        <n v="19.713261648745519"/>
        <n v="10.1010101010101"/>
        <n v="17.751479289940828"/>
        <n v="6.3291139240506329"/>
        <n v="12.552301255230125"/>
        <n v="6.2531265632816417"/>
        <n v="9.5095095095095097"/>
        <n v="12.016021361815755"/>
        <n v="19.813519813519815"/>
        <n v="26.755852842809364"/>
        <n v="30.120481927710845"/>
        <n v="6.2539086929330825"/>
        <n v="7.5062552126772308"/>
        <n v="10.638297872340425"/>
        <n v="14.190317195325541"/>
        <n v="25.083612040133779"/>
        <n v="4.2521260630315156"/>
        <n v="5.6704469646430953"/>
        <n v="7.0892410341951626"/>
        <n v="12.160228898426324"/>
        <n v="13.35559265442404"/>
        <n v="18.796992481203006"/>
        <n v="19.756838905775076"/>
        <n v="18.072289156626507"/>
        <n v="8.0080080080080087"/>
        <n v="10.72961373390558"/>
        <n v="14.02805611222445"/>
        <n v="13.026052104208416"/>
        <n v="16.290726817042607"/>
        <n v="3.3898305084745761"/>
        <n v="5.0505050505050502"/>
        <n v="1.0101010101010102"/>
        <n v="6.1633281972265026"/>
        <n v="6.3752276867030968"/>
        <n v="6.9930069930069934"/>
        <n v="7.598784194528875"/>
        <n v="8.7336244541484707"/>
        <n v="8.8888888888888893"/>
        <n v="4.5537340619307827"/>
        <n v="6.2656641604010019"/>
        <n v="8.0321285140562253"/>
        <n v="6.6889632107023411"/>
        <n v="7.1684587813620064"/>
        <n v="7.5376884422110546"/>
        <n v="5.5865921787709496"/>
        <n v="4.0040040040040044"/>
        <n v="10.050251256281408"/>
        <n v="9.433962264150944"/>
        <n v="4.2918454935622314"/>
        <n v="3.8520801232665636"/>
        <n v="5.0125313283208017"/>
        <n v="6.024096385542169"/>
        <n v="6.7114093959731544"/>
        <n v="4.2016806722689077"/>
        <n v="17.921146953405017"/>
        <n v="19.650655021834059"/>
        <n v="18.264840182648399"/>
        <n v="22.012578616352201"/>
        <n v="16.778523489932887"/>
        <n v="10.014306151645208"/>
        <n v="10.016694490818031"/>
        <n v="12.24944320712695"/>
        <n v="13.192612137203167"/>
        <n v="12.048192771084338"/>
        <n v="18.348623853211009"/>
        <n v="10.791366906474821"/>
        <n v="31.963470319634702"/>
        <n v="18.624641833810887"/>
        <n v="20.761245674740483"/>
        <n v="33.557046979865774"/>
      </sharedItems>
    </cacheField>
    <cacheField name="Availability" numFmtId="0">
      <sharedItems count="2">
        <s v="Y"/>
        <s v="N"/>
      </sharedItems>
    </cacheField>
  </cacheFields>
  <extLst>
    <ext xmlns:x14="http://schemas.microsoft.com/office/spreadsheetml/2009/9/main" uri="{725AE2AE-9491-48be-B2B4-4EB974FC3084}">
      <x14:pivotCacheDefinition pivotCacheId="207732820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x v="0"/>
    <x v="0"/>
    <x v="0"/>
    <x v="0"/>
    <x v="0"/>
    <x v="0"/>
    <x v="0"/>
    <x v="0"/>
    <x v="0"/>
  </r>
  <r>
    <x v="1"/>
    <x v="0"/>
    <x v="0"/>
    <x v="0"/>
    <x v="1"/>
    <x v="0"/>
    <x v="1"/>
    <x v="1"/>
    <x v="0"/>
  </r>
  <r>
    <x v="2"/>
    <x v="1"/>
    <x v="0"/>
    <x v="0"/>
    <x v="2"/>
    <x v="0"/>
    <x v="2"/>
    <x v="2"/>
    <x v="0"/>
  </r>
  <r>
    <x v="3"/>
    <x v="2"/>
    <x v="1"/>
    <x v="1"/>
    <x v="0"/>
    <x v="1"/>
    <x v="3"/>
    <x v="3"/>
    <x v="0"/>
  </r>
  <r>
    <x v="4"/>
    <x v="2"/>
    <x v="1"/>
    <x v="2"/>
    <x v="1"/>
    <x v="1"/>
    <x v="4"/>
    <x v="4"/>
    <x v="0"/>
  </r>
  <r>
    <x v="5"/>
    <x v="2"/>
    <x v="1"/>
    <x v="0"/>
    <x v="1"/>
    <x v="2"/>
    <x v="5"/>
    <x v="5"/>
    <x v="0"/>
  </r>
  <r>
    <x v="6"/>
    <x v="3"/>
    <x v="1"/>
    <x v="0"/>
    <x v="2"/>
    <x v="3"/>
    <x v="0"/>
    <x v="6"/>
    <x v="0"/>
  </r>
  <r>
    <x v="7"/>
    <x v="0"/>
    <x v="1"/>
    <x v="3"/>
    <x v="2"/>
    <x v="3"/>
    <x v="6"/>
    <x v="7"/>
    <x v="0"/>
  </r>
  <r>
    <x v="8"/>
    <x v="1"/>
    <x v="1"/>
    <x v="0"/>
    <x v="3"/>
    <x v="2"/>
    <x v="7"/>
    <x v="8"/>
    <x v="0"/>
  </r>
  <r>
    <x v="9"/>
    <x v="1"/>
    <x v="1"/>
    <x v="4"/>
    <x v="4"/>
    <x v="3"/>
    <x v="8"/>
    <x v="9"/>
    <x v="0"/>
  </r>
  <r>
    <x v="10"/>
    <x v="2"/>
    <x v="2"/>
    <x v="0"/>
    <x v="1"/>
    <x v="1"/>
    <x v="9"/>
    <x v="10"/>
    <x v="1"/>
  </r>
  <r>
    <x v="11"/>
    <x v="2"/>
    <x v="2"/>
    <x v="0"/>
    <x v="1"/>
    <x v="4"/>
    <x v="3"/>
    <x v="11"/>
    <x v="1"/>
  </r>
  <r>
    <x v="12"/>
    <x v="3"/>
    <x v="2"/>
    <x v="0"/>
    <x v="2"/>
    <x v="4"/>
    <x v="10"/>
    <x v="12"/>
    <x v="1"/>
  </r>
  <r>
    <x v="13"/>
    <x v="3"/>
    <x v="2"/>
    <x v="0"/>
    <x v="2"/>
    <x v="4"/>
    <x v="11"/>
    <x v="13"/>
    <x v="1"/>
  </r>
  <r>
    <x v="14"/>
    <x v="0"/>
    <x v="2"/>
    <x v="3"/>
    <x v="3"/>
    <x v="5"/>
    <x v="0"/>
    <x v="14"/>
    <x v="1"/>
  </r>
  <r>
    <x v="15"/>
    <x v="0"/>
    <x v="2"/>
    <x v="3"/>
    <x v="3"/>
    <x v="5"/>
    <x v="12"/>
    <x v="15"/>
    <x v="1"/>
  </r>
  <r>
    <x v="16"/>
    <x v="0"/>
    <x v="2"/>
    <x v="5"/>
    <x v="4"/>
    <x v="5"/>
    <x v="7"/>
    <x v="16"/>
    <x v="1"/>
  </r>
  <r>
    <x v="17"/>
    <x v="1"/>
    <x v="2"/>
    <x v="4"/>
    <x v="4"/>
    <x v="5"/>
    <x v="13"/>
    <x v="17"/>
    <x v="0"/>
  </r>
  <r>
    <x v="18"/>
    <x v="1"/>
    <x v="2"/>
    <x v="4"/>
    <x v="5"/>
    <x v="5"/>
    <x v="7"/>
    <x v="18"/>
    <x v="0"/>
  </r>
  <r>
    <x v="19"/>
    <x v="4"/>
    <x v="2"/>
    <x v="6"/>
    <x v="6"/>
    <x v="1"/>
    <x v="14"/>
    <x v="19"/>
    <x v="0"/>
  </r>
  <r>
    <x v="20"/>
    <x v="5"/>
    <x v="2"/>
    <x v="6"/>
    <x v="7"/>
    <x v="1"/>
    <x v="15"/>
    <x v="20"/>
    <x v="0"/>
  </r>
  <r>
    <x v="21"/>
    <x v="1"/>
    <x v="3"/>
    <x v="4"/>
    <x v="8"/>
    <x v="6"/>
    <x v="16"/>
    <x v="21"/>
    <x v="1"/>
  </r>
  <r>
    <x v="22"/>
    <x v="1"/>
    <x v="3"/>
    <x v="4"/>
    <x v="6"/>
    <x v="7"/>
    <x v="17"/>
    <x v="22"/>
    <x v="1"/>
  </r>
  <r>
    <x v="23"/>
    <x v="0"/>
    <x v="4"/>
    <x v="4"/>
    <x v="4"/>
    <x v="8"/>
    <x v="18"/>
    <x v="23"/>
    <x v="1"/>
  </r>
  <r>
    <x v="24"/>
    <x v="0"/>
    <x v="4"/>
    <x v="4"/>
    <x v="5"/>
    <x v="8"/>
    <x v="19"/>
    <x v="24"/>
    <x v="1"/>
  </r>
  <r>
    <x v="25"/>
    <x v="4"/>
    <x v="3"/>
    <x v="4"/>
    <x v="7"/>
    <x v="7"/>
    <x v="20"/>
    <x v="25"/>
    <x v="1"/>
  </r>
  <r>
    <x v="26"/>
    <x v="1"/>
    <x v="4"/>
    <x v="7"/>
    <x v="9"/>
    <x v="4"/>
    <x v="16"/>
    <x v="26"/>
    <x v="1"/>
  </r>
  <r>
    <x v="27"/>
    <x v="4"/>
    <x v="3"/>
    <x v="6"/>
    <x v="10"/>
    <x v="7"/>
    <x v="21"/>
    <x v="27"/>
    <x v="1"/>
  </r>
  <r>
    <x v="28"/>
    <x v="4"/>
    <x v="4"/>
    <x v="4"/>
    <x v="6"/>
    <x v="8"/>
    <x v="20"/>
    <x v="28"/>
    <x v="1"/>
  </r>
  <r>
    <x v="29"/>
    <x v="5"/>
    <x v="3"/>
    <x v="6"/>
    <x v="11"/>
    <x v="7"/>
    <x v="22"/>
    <x v="29"/>
    <x v="1"/>
  </r>
  <r>
    <x v="30"/>
    <x v="1"/>
    <x v="5"/>
    <x v="4"/>
    <x v="6"/>
    <x v="9"/>
    <x v="23"/>
    <x v="30"/>
    <x v="1"/>
  </r>
  <r>
    <x v="31"/>
    <x v="2"/>
    <x v="6"/>
    <x v="8"/>
    <x v="12"/>
    <x v="0"/>
    <x v="24"/>
    <x v="31"/>
    <x v="0"/>
  </r>
  <r>
    <x v="32"/>
    <x v="3"/>
    <x v="6"/>
    <x v="0"/>
    <x v="13"/>
    <x v="0"/>
    <x v="3"/>
    <x v="32"/>
    <x v="0"/>
  </r>
  <r>
    <x v="33"/>
    <x v="0"/>
    <x v="6"/>
    <x v="0"/>
    <x v="0"/>
    <x v="0"/>
    <x v="25"/>
    <x v="33"/>
    <x v="0"/>
  </r>
  <r>
    <x v="34"/>
    <x v="0"/>
    <x v="6"/>
    <x v="3"/>
    <x v="1"/>
    <x v="0"/>
    <x v="5"/>
    <x v="5"/>
    <x v="0"/>
  </r>
  <r>
    <x v="35"/>
    <x v="1"/>
    <x v="6"/>
    <x v="0"/>
    <x v="1"/>
    <x v="0"/>
    <x v="26"/>
    <x v="34"/>
    <x v="0"/>
  </r>
  <r>
    <x v="36"/>
    <x v="1"/>
    <x v="6"/>
    <x v="4"/>
    <x v="2"/>
    <x v="0"/>
    <x v="27"/>
    <x v="35"/>
    <x v="0"/>
  </r>
  <r>
    <x v="37"/>
    <x v="4"/>
    <x v="6"/>
    <x v="4"/>
    <x v="3"/>
    <x v="0"/>
    <x v="28"/>
    <x v="36"/>
    <x v="0"/>
  </r>
  <r>
    <x v="38"/>
    <x v="2"/>
    <x v="7"/>
    <x v="1"/>
    <x v="14"/>
    <x v="1"/>
    <x v="29"/>
    <x v="37"/>
    <x v="0"/>
  </r>
  <r>
    <x v="39"/>
    <x v="3"/>
    <x v="7"/>
    <x v="0"/>
    <x v="0"/>
    <x v="2"/>
    <x v="3"/>
    <x v="3"/>
    <x v="0"/>
  </r>
  <r>
    <x v="40"/>
    <x v="3"/>
    <x v="7"/>
    <x v="0"/>
    <x v="0"/>
    <x v="1"/>
    <x v="30"/>
    <x v="38"/>
    <x v="0"/>
  </r>
  <r>
    <x v="41"/>
    <x v="0"/>
    <x v="7"/>
    <x v="0"/>
    <x v="1"/>
    <x v="2"/>
    <x v="31"/>
    <x v="39"/>
    <x v="0"/>
  </r>
  <r>
    <x v="42"/>
    <x v="0"/>
    <x v="7"/>
    <x v="3"/>
    <x v="1"/>
    <x v="3"/>
    <x v="31"/>
    <x v="39"/>
    <x v="0"/>
  </r>
  <r>
    <x v="43"/>
    <x v="0"/>
    <x v="7"/>
    <x v="3"/>
    <x v="1"/>
    <x v="2"/>
    <x v="32"/>
    <x v="40"/>
    <x v="0"/>
  </r>
  <r>
    <x v="44"/>
    <x v="0"/>
    <x v="7"/>
    <x v="3"/>
    <x v="1"/>
    <x v="3"/>
    <x v="32"/>
    <x v="40"/>
    <x v="0"/>
  </r>
  <r>
    <x v="45"/>
    <x v="1"/>
    <x v="7"/>
    <x v="0"/>
    <x v="2"/>
    <x v="3"/>
    <x v="0"/>
    <x v="6"/>
    <x v="0"/>
  </r>
  <r>
    <x v="46"/>
    <x v="1"/>
    <x v="7"/>
    <x v="4"/>
    <x v="3"/>
    <x v="3"/>
    <x v="27"/>
    <x v="41"/>
    <x v="0"/>
  </r>
  <r>
    <x v="47"/>
    <x v="2"/>
    <x v="8"/>
    <x v="1"/>
    <x v="1"/>
    <x v="1"/>
    <x v="24"/>
    <x v="42"/>
    <x v="0"/>
  </r>
  <r>
    <x v="48"/>
    <x v="2"/>
    <x v="8"/>
    <x v="1"/>
    <x v="1"/>
    <x v="4"/>
    <x v="33"/>
    <x v="43"/>
    <x v="1"/>
  </r>
  <r>
    <x v="49"/>
    <x v="2"/>
    <x v="8"/>
    <x v="3"/>
    <x v="1"/>
    <x v="5"/>
    <x v="30"/>
    <x v="44"/>
    <x v="1"/>
  </r>
  <r>
    <x v="50"/>
    <x v="3"/>
    <x v="8"/>
    <x v="3"/>
    <x v="1"/>
    <x v="4"/>
    <x v="34"/>
    <x v="45"/>
    <x v="1"/>
  </r>
  <r>
    <x v="51"/>
    <x v="0"/>
    <x v="8"/>
    <x v="4"/>
    <x v="2"/>
    <x v="5"/>
    <x v="32"/>
    <x v="46"/>
    <x v="1"/>
  </r>
  <r>
    <x v="52"/>
    <x v="0"/>
    <x v="8"/>
    <x v="4"/>
    <x v="2"/>
    <x v="4"/>
    <x v="0"/>
    <x v="6"/>
    <x v="1"/>
  </r>
  <r>
    <x v="53"/>
    <x v="1"/>
    <x v="8"/>
    <x v="4"/>
    <x v="3"/>
    <x v="4"/>
    <x v="18"/>
    <x v="47"/>
    <x v="1"/>
  </r>
  <r>
    <x v="54"/>
    <x v="1"/>
    <x v="8"/>
    <x v="3"/>
    <x v="15"/>
    <x v="5"/>
    <x v="7"/>
    <x v="48"/>
    <x v="0"/>
  </r>
  <r>
    <x v="55"/>
    <x v="4"/>
    <x v="8"/>
    <x v="4"/>
    <x v="16"/>
    <x v="5"/>
    <x v="28"/>
    <x v="49"/>
    <x v="0"/>
  </r>
  <r>
    <x v="56"/>
    <x v="2"/>
    <x v="9"/>
    <x v="9"/>
    <x v="2"/>
    <x v="6"/>
    <x v="3"/>
    <x v="50"/>
    <x v="1"/>
  </r>
  <r>
    <x v="57"/>
    <x v="3"/>
    <x v="9"/>
    <x v="4"/>
    <x v="3"/>
    <x v="8"/>
    <x v="34"/>
    <x v="51"/>
    <x v="1"/>
  </r>
  <r>
    <x v="58"/>
    <x v="3"/>
    <x v="9"/>
    <x v="4"/>
    <x v="3"/>
    <x v="6"/>
    <x v="34"/>
    <x v="51"/>
    <x v="1"/>
  </r>
  <r>
    <x v="59"/>
    <x v="0"/>
    <x v="9"/>
    <x v="4"/>
    <x v="4"/>
    <x v="8"/>
    <x v="0"/>
    <x v="52"/>
    <x v="1"/>
  </r>
  <r>
    <x v="60"/>
    <x v="0"/>
    <x v="9"/>
    <x v="4"/>
    <x v="15"/>
    <x v="6"/>
    <x v="0"/>
    <x v="53"/>
    <x v="1"/>
  </r>
  <r>
    <x v="61"/>
    <x v="1"/>
    <x v="9"/>
    <x v="4"/>
    <x v="15"/>
    <x v="8"/>
    <x v="18"/>
    <x v="54"/>
    <x v="1"/>
  </r>
  <r>
    <x v="62"/>
    <x v="1"/>
    <x v="9"/>
    <x v="7"/>
    <x v="5"/>
    <x v="8"/>
    <x v="19"/>
    <x v="24"/>
    <x v="1"/>
  </r>
  <r>
    <x v="63"/>
    <x v="6"/>
    <x v="10"/>
    <x v="10"/>
    <x v="17"/>
    <x v="7"/>
    <x v="35"/>
    <x v="55"/>
    <x v="0"/>
  </r>
  <r>
    <x v="64"/>
    <x v="6"/>
    <x v="11"/>
    <x v="11"/>
    <x v="11"/>
    <x v="8"/>
    <x v="21"/>
    <x v="56"/>
    <x v="0"/>
  </r>
  <r>
    <x v="65"/>
    <x v="6"/>
    <x v="12"/>
    <x v="12"/>
    <x v="18"/>
    <x v="10"/>
    <x v="21"/>
    <x v="57"/>
    <x v="1"/>
  </r>
  <r>
    <x v="66"/>
    <x v="2"/>
    <x v="13"/>
    <x v="6"/>
    <x v="19"/>
    <x v="11"/>
    <x v="10"/>
    <x v="58"/>
    <x v="1"/>
  </r>
  <r>
    <x v="67"/>
    <x v="3"/>
    <x v="13"/>
    <x v="6"/>
    <x v="8"/>
    <x v="11"/>
    <x v="5"/>
    <x v="59"/>
    <x v="1"/>
  </r>
  <r>
    <x v="68"/>
    <x v="3"/>
    <x v="13"/>
    <x v="4"/>
    <x v="6"/>
    <x v="11"/>
    <x v="26"/>
    <x v="60"/>
    <x v="1"/>
  </r>
  <r>
    <x v="69"/>
    <x v="0"/>
    <x v="13"/>
    <x v="4"/>
    <x v="7"/>
    <x v="11"/>
    <x v="7"/>
    <x v="61"/>
    <x v="1"/>
  </r>
  <r>
    <x v="70"/>
    <x v="1"/>
    <x v="13"/>
    <x v="6"/>
    <x v="20"/>
    <x v="11"/>
    <x v="17"/>
    <x v="62"/>
    <x v="1"/>
  </r>
  <r>
    <x v="71"/>
    <x v="1"/>
    <x v="13"/>
    <x v="6"/>
    <x v="20"/>
    <x v="11"/>
    <x v="36"/>
    <x v="63"/>
    <x v="1"/>
  </r>
  <r>
    <x v="72"/>
    <x v="3"/>
    <x v="13"/>
    <x v="6"/>
    <x v="7"/>
    <x v="12"/>
    <x v="5"/>
    <x v="64"/>
    <x v="1"/>
  </r>
  <r>
    <x v="73"/>
    <x v="0"/>
    <x v="13"/>
    <x v="6"/>
    <x v="7"/>
    <x v="12"/>
    <x v="18"/>
    <x v="65"/>
    <x v="1"/>
  </r>
  <r>
    <x v="74"/>
    <x v="1"/>
    <x v="13"/>
    <x v="13"/>
    <x v="20"/>
    <x v="13"/>
    <x v="28"/>
    <x v="66"/>
    <x v="1"/>
  </r>
  <r>
    <x v="75"/>
    <x v="0"/>
    <x v="13"/>
    <x v="14"/>
    <x v="20"/>
    <x v="12"/>
    <x v="27"/>
    <x v="67"/>
    <x v="1"/>
  </r>
  <r>
    <x v="76"/>
    <x v="1"/>
    <x v="13"/>
    <x v="14"/>
    <x v="20"/>
    <x v="13"/>
    <x v="16"/>
    <x v="68"/>
    <x v="1"/>
  </r>
  <r>
    <x v="77"/>
    <x v="4"/>
    <x v="13"/>
    <x v="13"/>
    <x v="21"/>
    <x v="12"/>
    <x v="14"/>
    <x v="69"/>
    <x v="1"/>
  </r>
  <r>
    <x v="78"/>
    <x v="4"/>
    <x v="13"/>
    <x v="13"/>
    <x v="10"/>
    <x v="12"/>
    <x v="37"/>
    <x v="70"/>
    <x v="1"/>
  </r>
  <r>
    <x v="79"/>
    <x v="6"/>
    <x v="14"/>
    <x v="10"/>
    <x v="17"/>
    <x v="7"/>
    <x v="35"/>
    <x v="55"/>
    <x v="0"/>
  </r>
  <r>
    <x v="80"/>
    <x v="6"/>
    <x v="15"/>
    <x v="12"/>
    <x v="18"/>
    <x v="14"/>
    <x v="21"/>
    <x v="57"/>
    <x v="1"/>
  </r>
  <r>
    <x v="81"/>
    <x v="2"/>
    <x v="16"/>
    <x v="3"/>
    <x v="19"/>
    <x v="11"/>
    <x v="3"/>
    <x v="71"/>
    <x v="1"/>
  </r>
  <r>
    <x v="82"/>
    <x v="2"/>
    <x v="16"/>
    <x v="7"/>
    <x v="19"/>
    <x v="13"/>
    <x v="10"/>
    <x v="58"/>
    <x v="1"/>
  </r>
  <r>
    <x v="83"/>
    <x v="3"/>
    <x v="16"/>
    <x v="6"/>
    <x v="8"/>
    <x v="13"/>
    <x v="5"/>
    <x v="59"/>
    <x v="1"/>
  </r>
  <r>
    <x v="84"/>
    <x v="0"/>
    <x v="16"/>
    <x v="6"/>
    <x v="7"/>
    <x v="13"/>
    <x v="7"/>
    <x v="61"/>
    <x v="1"/>
  </r>
  <r>
    <x v="85"/>
    <x v="1"/>
    <x v="16"/>
    <x v="13"/>
    <x v="20"/>
    <x v="11"/>
    <x v="14"/>
    <x v="72"/>
    <x v="1"/>
  </r>
  <r>
    <x v="86"/>
    <x v="4"/>
    <x v="16"/>
    <x v="13"/>
    <x v="21"/>
    <x v="11"/>
    <x v="15"/>
    <x v="73"/>
    <x v="1"/>
  </r>
  <r>
    <x v="87"/>
    <x v="2"/>
    <x v="17"/>
    <x v="14"/>
    <x v="6"/>
    <x v="12"/>
    <x v="34"/>
    <x v="74"/>
    <x v="1"/>
  </r>
  <r>
    <x v="88"/>
    <x v="3"/>
    <x v="17"/>
    <x v="14"/>
    <x v="7"/>
    <x v="12"/>
    <x v="10"/>
    <x v="75"/>
    <x v="1"/>
  </r>
  <r>
    <x v="89"/>
    <x v="0"/>
    <x v="17"/>
    <x v="13"/>
    <x v="20"/>
    <x v="12"/>
    <x v="18"/>
    <x v="76"/>
    <x v="1"/>
  </r>
  <r>
    <x v="90"/>
    <x v="1"/>
    <x v="17"/>
    <x v="13"/>
    <x v="21"/>
    <x v="12"/>
    <x v="28"/>
    <x v="77"/>
    <x v="1"/>
  </r>
  <r>
    <x v="91"/>
    <x v="4"/>
    <x v="17"/>
    <x v="13"/>
    <x v="10"/>
    <x v="13"/>
    <x v="38"/>
    <x v="78"/>
    <x v="1"/>
  </r>
  <r>
    <x v="92"/>
    <x v="4"/>
    <x v="17"/>
    <x v="11"/>
    <x v="11"/>
    <x v="13"/>
    <x v="39"/>
    <x v="79"/>
    <x v="1"/>
  </r>
  <r>
    <x v="93"/>
    <x v="1"/>
    <x v="18"/>
    <x v="7"/>
    <x v="22"/>
    <x v="8"/>
    <x v="16"/>
    <x v="80"/>
    <x v="1"/>
  </r>
  <r>
    <x v="94"/>
    <x v="1"/>
    <x v="18"/>
    <x v="7"/>
    <x v="16"/>
    <x v="8"/>
    <x v="17"/>
    <x v="81"/>
    <x v="1"/>
  </r>
  <r>
    <x v="95"/>
    <x v="1"/>
    <x v="18"/>
    <x v="7"/>
    <x v="19"/>
    <x v="8"/>
    <x v="40"/>
    <x v="82"/>
    <x v="1"/>
  </r>
  <r>
    <x v="96"/>
    <x v="4"/>
    <x v="18"/>
    <x v="6"/>
    <x v="8"/>
    <x v="8"/>
    <x v="15"/>
    <x v="83"/>
    <x v="1"/>
  </r>
  <r>
    <x v="97"/>
    <x v="4"/>
    <x v="18"/>
    <x v="6"/>
    <x v="7"/>
    <x v="8"/>
    <x v="38"/>
    <x v="84"/>
    <x v="1"/>
  </r>
  <r>
    <x v="98"/>
    <x v="2"/>
    <x v="19"/>
    <x v="9"/>
    <x v="4"/>
    <x v="7"/>
    <x v="34"/>
    <x v="85"/>
    <x v="1"/>
  </r>
  <r>
    <x v="99"/>
    <x v="3"/>
    <x v="19"/>
    <x v="4"/>
    <x v="5"/>
    <x v="9"/>
    <x v="32"/>
    <x v="86"/>
    <x v="1"/>
  </r>
  <r>
    <x v="100"/>
    <x v="0"/>
    <x v="19"/>
    <x v="4"/>
    <x v="9"/>
    <x v="7"/>
    <x v="6"/>
    <x v="87"/>
    <x v="1"/>
  </r>
  <r>
    <x v="101"/>
    <x v="1"/>
    <x v="19"/>
    <x v="4"/>
    <x v="22"/>
    <x v="9"/>
    <x v="13"/>
    <x v="88"/>
    <x v="1"/>
  </r>
  <r>
    <x v="102"/>
    <x v="1"/>
    <x v="19"/>
    <x v="7"/>
    <x v="6"/>
    <x v="9"/>
    <x v="28"/>
    <x v="89"/>
    <x v="1"/>
  </r>
  <r>
    <x v="103"/>
    <x v="4"/>
    <x v="19"/>
    <x v="6"/>
    <x v="20"/>
    <x v="9"/>
    <x v="41"/>
    <x v="90"/>
    <x v="1"/>
  </r>
  <r>
    <x v="104"/>
    <x v="4"/>
    <x v="19"/>
    <x v="13"/>
    <x v="21"/>
    <x v="9"/>
    <x v="42"/>
    <x v="91"/>
    <x v="1"/>
  </r>
  <r>
    <x v="105"/>
    <x v="1"/>
    <x v="20"/>
    <x v="3"/>
    <x v="3"/>
    <x v="2"/>
    <x v="28"/>
    <x v="36"/>
    <x v="0"/>
  </r>
  <r>
    <x v="106"/>
    <x v="1"/>
    <x v="20"/>
    <x v="5"/>
    <x v="4"/>
    <x v="0"/>
    <x v="40"/>
    <x v="92"/>
    <x v="0"/>
  </r>
  <r>
    <x v="107"/>
    <x v="1"/>
    <x v="21"/>
    <x v="0"/>
    <x v="15"/>
    <x v="1"/>
    <x v="19"/>
    <x v="93"/>
    <x v="0"/>
  </r>
  <r>
    <x v="108"/>
    <x v="1"/>
    <x v="21"/>
    <x v="4"/>
    <x v="5"/>
    <x v="1"/>
    <x v="43"/>
    <x v="94"/>
    <x v="0"/>
  </r>
  <r>
    <x v="109"/>
    <x v="4"/>
    <x v="21"/>
    <x v="7"/>
    <x v="22"/>
    <x v="1"/>
    <x v="38"/>
    <x v="9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91D395-8A77-44DC-8FED-F0125E685A2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aunch Year">
  <location ref="A3:G18" firstHeaderRow="1" firstDataRow="2" firstDataCol="1"/>
  <pivotFields count="9">
    <pivotField showAll="0"/>
    <pivotField axis="axisCol" showAll="0">
      <items count="8">
        <item h="1" x="6"/>
        <item h="1" x="5"/>
        <item x="4"/>
        <item x="1"/>
        <item x="0"/>
        <item x="3"/>
        <item x="2"/>
        <item t="default"/>
      </items>
    </pivotField>
    <pivotField showAll="0">
      <items count="23">
        <item x="19"/>
        <item x="18"/>
        <item x="9"/>
        <item x="8"/>
        <item x="7"/>
        <item x="6"/>
        <item x="17"/>
        <item x="16"/>
        <item x="21"/>
        <item x="20"/>
        <item x="15"/>
        <item x="14"/>
        <item x="12"/>
        <item x="11"/>
        <item x="10"/>
        <item x="5"/>
        <item x="3"/>
        <item x="4"/>
        <item x="2"/>
        <item x="1"/>
        <item x="13"/>
        <item x="0"/>
        <item t="default"/>
      </items>
    </pivotField>
    <pivotField showAll="0">
      <items count="16">
        <item x="12"/>
        <item x="10"/>
        <item x="11"/>
        <item x="13"/>
        <item x="14"/>
        <item x="6"/>
        <item x="7"/>
        <item x="4"/>
        <item x="5"/>
        <item x="9"/>
        <item x="3"/>
        <item x="0"/>
        <item x="2"/>
        <item x="1"/>
        <item x="8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16">
        <item x="14"/>
        <item x="10"/>
        <item x="12"/>
        <item x="13"/>
        <item x="11"/>
        <item x="9"/>
        <item x="7"/>
        <item x="6"/>
        <item x="8"/>
        <item x="4"/>
        <item x="5"/>
        <item x="1"/>
        <item x="3"/>
        <item x="2"/>
        <item x="0"/>
        <item t="default"/>
      </items>
    </pivotField>
    <pivotField dataField="1" numFmtId="165" showAll="0"/>
    <pivotField numFmtId="2" showAll="0"/>
    <pivotField showAll="0"/>
  </pivotFields>
  <rowFields count="1">
    <field x="5"/>
  </rowFields>
  <rowItems count="14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6">
    <i>
      <x v="2"/>
    </i>
    <i>
      <x v="3"/>
    </i>
    <i>
      <x v="4"/>
    </i>
    <i>
      <x v="5"/>
    </i>
    <i>
      <x v="6"/>
    </i>
    <i t="grand">
      <x/>
    </i>
  </colItems>
  <dataFields count="1">
    <dataField name="AVG_GPU MSRP By Year" fld="6" subtotal="average" baseField="5" baseItem="6" numFmtId="165"/>
  </dataFields>
  <conditionalFormats count="1">
    <conditionalFormat priority="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5" selected="0">
              <x v="2"/>
              <x v="3"/>
              <x v="4"/>
              <x v="5"/>
              <x v="6"/>
            </reference>
            <reference field="5" count="13"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529043-4737-4770-B8B0-EFCB3C7C3708}" name="PivotTable6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0:B27" firstHeaderRow="1" firstDataRow="1" firstDataCol="1"/>
  <pivotFields count="9">
    <pivotField showAll="0"/>
    <pivotField multipleItemSelectionAllowed="1" showAll="0">
      <items count="8">
        <item h="1" x="6"/>
        <item h="1" x="5"/>
        <item h="1" x="4"/>
        <item x="1"/>
        <item x="0"/>
        <item x="3"/>
        <item x="2"/>
        <item t="default"/>
      </items>
    </pivotField>
    <pivotField axis="axisRow" showAll="0" sortType="descending">
      <items count="23">
        <item h="1" sd="0" x="0"/>
        <item h="1" sd="0" x="13"/>
        <item h="1" sd="0" x="1"/>
        <item h="1" sd="0" x="2"/>
        <item h="1" sd="0" x="4"/>
        <item h="1" sd="0" x="3"/>
        <item h="1" sd="0" x="5"/>
        <item h="1" sd="0" x="10"/>
        <item h="1" sd="0" x="11"/>
        <item h="1" sd="0" x="12"/>
        <item h="1" sd="0" x="14"/>
        <item h="1" sd="0" x="15"/>
        <item h="1" sd="0" x="20"/>
        <item h="1" sd="0" x="21"/>
        <item h="1" sd="0" x="16"/>
        <item h="1" sd="0" x="17"/>
        <item sd="0" x="6"/>
        <item sd="0" x="7"/>
        <item sd="0" x="8"/>
        <item sd="0" x="9"/>
        <item sd="0" x="18"/>
        <item sd="0" x="19"/>
        <item t="default" sd="0"/>
      </items>
    </pivotField>
    <pivotField dataField="1"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6">
        <item x="14"/>
        <item x="10"/>
        <item x="12"/>
        <item x="13"/>
        <item x="11"/>
        <item x="9"/>
        <item x="7"/>
        <item x="6"/>
        <item x="8"/>
        <item x="4"/>
        <item x="5"/>
        <item x="1"/>
        <item x="3"/>
        <item x="2"/>
        <item x="0"/>
        <item t="default"/>
      </items>
    </pivotField>
    <pivotField numFmtId="165" showAll="0">
      <items count="45">
        <item x="35"/>
        <item x="22"/>
        <item x="21"/>
        <item x="41"/>
        <item x="39"/>
        <item x="42"/>
        <item x="38"/>
        <item x="15"/>
        <item x="20"/>
        <item x="37"/>
        <item x="14"/>
        <item x="40"/>
        <item x="36"/>
        <item x="17"/>
        <item x="23"/>
        <item x="28"/>
        <item x="8"/>
        <item x="16"/>
        <item x="43"/>
        <item x="27"/>
        <item x="7"/>
        <item x="19"/>
        <item x="2"/>
        <item x="13"/>
        <item x="18"/>
        <item x="26"/>
        <item x="6"/>
        <item x="12"/>
        <item x="0"/>
        <item x="5"/>
        <item x="1"/>
        <item x="11"/>
        <item x="32"/>
        <item x="10"/>
        <item x="34"/>
        <item x="25"/>
        <item x="31"/>
        <item x="4"/>
        <item x="3"/>
        <item x="9"/>
        <item x="30"/>
        <item x="33"/>
        <item x="29"/>
        <item x="24"/>
        <item t="default"/>
      </items>
    </pivotField>
    <pivotField numFmtId="2" showAll="0"/>
    <pivotField showAll="0">
      <items count="3">
        <item x="1"/>
        <item x="0"/>
        <item t="default"/>
      </items>
    </pivotField>
  </pivotFields>
  <rowFields count="1">
    <field x="2"/>
  </rowFields>
  <rowItems count="7"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Average of VRAM(GB)" fld="3" subtotal="average" baseField="2" baseItem="16" numFmtId="2"/>
  </dataFields>
  <formats count="2">
    <format dxfId="22">
      <pivotArea collapsedLevelsAreSubtotals="1" fieldPosition="0">
        <references count="1">
          <reference field="2" count="0"/>
        </references>
      </pivotArea>
    </format>
    <format dxfId="21">
      <pivotArea outline="0" collapsedLevelsAreSubtotals="1" fieldPosition="0"/>
    </format>
  </formats>
  <conditionalFormats count="1">
    <conditionalFormat priority="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8">
              <x v="14"/>
              <x v="15"/>
              <x v="16"/>
              <x v="17"/>
              <x v="18"/>
              <x v="19"/>
              <x v="20"/>
              <x v="2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5D7B62-D819-4165-B461-85FE08A45FB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PU_Series">
  <location ref="U3:V20" firstHeaderRow="1" firstDataRow="1" firstDataCol="1"/>
  <pivotFields count="9">
    <pivotField axis="axisRow" showAll="0">
      <items count="111"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axis="axisRow" showAll="0" sortType="ascending">
      <items count="23">
        <item h="1" sd="0" x="19"/>
        <item sd="0" x="18"/>
        <item sd="0" x="9"/>
        <item sd="0" x="8"/>
        <item sd="0" x="7"/>
        <item sd="0" x="6"/>
        <item sd="0" x="17"/>
        <item sd="0" x="16"/>
        <item sd="0" x="21"/>
        <item sd="0" x="20"/>
        <item h="1" sd="0" x="15"/>
        <item h="1" sd="0" x="14"/>
        <item h="1" sd="0" x="12"/>
        <item h="1" sd="0" x="11"/>
        <item h="1" sd="0" x="10"/>
        <item sd="0" x="5"/>
        <item sd="0" x="3"/>
        <item sd="0" x="4"/>
        <item sd="0" x="2"/>
        <item sd="0" x="1"/>
        <item sd="0" x="13"/>
        <item sd="0" x="0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16">
        <item h="1" x="14"/>
        <item h="1" x="10"/>
        <item h="1" x="12"/>
        <item h="1" x="13"/>
        <item h="1" x="11"/>
        <item x="9"/>
        <item x="7"/>
        <item x="6"/>
        <item x="8"/>
        <item x="4"/>
        <item x="5"/>
        <item x="1"/>
        <item x="3"/>
        <item x="2"/>
        <item x="0"/>
        <item t="default"/>
      </items>
    </pivotField>
    <pivotField numFmtId="165" showAll="0"/>
    <pivotField dataField="1" numFmtId="2" showAll="0">
      <items count="97">
        <item x="57"/>
        <item x="55"/>
        <item x="75"/>
        <item x="71"/>
        <item x="79"/>
        <item x="42"/>
        <item x="74"/>
        <item x="64"/>
        <item x="76"/>
        <item x="56"/>
        <item x="70"/>
        <item x="43"/>
        <item x="77"/>
        <item x="58"/>
        <item x="31"/>
        <item x="37"/>
        <item x="65"/>
        <item x="29"/>
        <item x="59"/>
        <item x="67"/>
        <item x="78"/>
        <item x="60"/>
        <item x="44"/>
        <item x="68"/>
        <item x="38"/>
        <item x="69"/>
        <item x="61"/>
        <item x="10"/>
        <item x="50"/>
        <item x="66"/>
        <item x="11"/>
        <item x="62"/>
        <item x="63"/>
        <item x="3"/>
        <item x="73"/>
        <item x="4"/>
        <item x="32"/>
        <item x="85"/>
        <item x="86"/>
        <item x="72"/>
        <item x="27"/>
        <item x="39"/>
        <item x="51"/>
        <item x="91"/>
        <item x="33"/>
        <item x="89"/>
        <item x="45"/>
        <item x="87"/>
        <item x="12"/>
        <item x="21"/>
        <item x="30"/>
        <item x="53"/>
        <item x="22"/>
        <item x="88"/>
        <item x="46"/>
        <item x="13"/>
        <item x="52"/>
        <item x="40"/>
        <item x="25"/>
        <item x="14"/>
        <item x="19"/>
        <item x="1"/>
        <item x="5"/>
        <item x="15"/>
        <item x="20"/>
        <item x="6"/>
        <item x="54"/>
        <item x="84"/>
        <item x="24"/>
        <item x="23"/>
        <item x="28"/>
        <item x="7"/>
        <item x="80"/>
        <item x="0"/>
        <item x="49"/>
        <item x="18"/>
        <item x="82"/>
        <item x="90"/>
        <item x="17"/>
        <item x="93"/>
        <item x="47"/>
        <item x="81"/>
        <item x="26"/>
        <item x="48"/>
        <item x="34"/>
        <item x="94"/>
        <item x="16"/>
        <item x="83"/>
        <item x="2"/>
        <item x="8"/>
        <item x="41"/>
        <item x="9"/>
        <item x="35"/>
        <item x="36"/>
        <item x="92"/>
        <item x="95"/>
        <item t="default"/>
      </items>
    </pivotField>
    <pivotField axis="axisRow" showAll="0">
      <items count="3">
        <item x="1"/>
        <item x="0"/>
        <item t="default"/>
      </items>
    </pivotField>
  </pivotFields>
  <rowFields count="3">
    <field x="2"/>
    <field x="0"/>
    <field x="8"/>
  </rowFields>
  <rowItems count="17">
    <i>
      <x v="6"/>
    </i>
    <i>
      <x v="20"/>
    </i>
    <i>
      <x v="7"/>
    </i>
    <i>
      <x v="16"/>
    </i>
    <i>
      <x v="15"/>
    </i>
    <i>
      <x v="4"/>
    </i>
    <i>
      <x v="3"/>
    </i>
    <i>
      <x v="2"/>
    </i>
    <i>
      <x v="18"/>
    </i>
    <i>
      <x v="19"/>
    </i>
    <i>
      <x v="5"/>
    </i>
    <i>
      <x v="17"/>
    </i>
    <i>
      <x v="21"/>
    </i>
    <i>
      <x v="1"/>
    </i>
    <i>
      <x v="8"/>
    </i>
    <i>
      <x v="9"/>
    </i>
    <i t="grand">
      <x/>
    </i>
  </rowItems>
  <colItems count="1">
    <i/>
  </colItems>
  <dataFields count="1">
    <dataField name="Average of PricePerDollar" fld="7" subtotal="average" baseField="2" baseItem="0" numFmtId="2"/>
  </dataFields>
  <conditionalFormats count="1">
    <conditionalFormat priority="1">
      <pivotAreas count="34"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0"/>
            </reference>
            <reference field="8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1"/>
            </reference>
            <reference field="8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2"/>
            </reference>
            <reference field="8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3"/>
            </reference>
            <reference field="8" count="2">
              <x v="0"/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4"/>
            </reference>
            <reference field="8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5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5"/>
            </reference>
            <reference field="8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6"/>
            </reference>
            <reference field="8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7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7"/>
            </reference>
            <reference field="8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8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8"/>
            </reference>
            <reference field="8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9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9"/>
            </reference>
            <reference field="8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15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15"/>
            </reference>
            <reference field="8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1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16"/>
            </reference>
            <reference field="8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17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17"/>
            </reference>
            <reference field="8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18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18"/>
            </reference>
            <reference field="8" count="2">
              <x v="0"/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19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19"/>
            </reference>
            <reference field="8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2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20"/>
            </reference>
            <reference field="8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2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 selected="0">
              <x v="21"/>
            </reference>
            <reference field="8" count="1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B7C45-E000-4789-8789-52AB297E1560}" name="PivotTable7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D20:E27" firstHeaderRow="1" firstDataRow="1" firstDataCol="1"/>
  <pivotFields count="9">
    <pivotField showAll="0"/>
    <pivotField multipleItemSelectionAllowed="1" showAll="0">
      <items count="8">
        <item h="1" x="6"/>
        <item h="1" x="5"/>
        <item h="1" x="4"/>
        <item x="1"/>
        <item x="0"/>
        <item x="3"/>
        <item x="2"/>
        <item t="default"/>
      </items>
    </pivotField>
    <pivotField axis="axisRow" showAll="0" sortType="descending">
      <items count="23">
        <item sd="0" x="0"/>
        <item h="1" sd="0" x="13"/>
        <item sd="0" x="1"/>
        <item sd="0" x="2"/>
        <item sd="0" x="4"/>
        <item sd="0" x="3"/>
        <item sd="0" x="5"/>
        <item h="1" sd="0" x="10"/>
        <item h="1" sd="0" x="11"/>
        <item h="1" sd="0" x="12"/>
        <item h="1" sd="0" x="14"/>
        <item h="1" sd="0" x="15"/>
        <item h="1" sd="0" x="20"/>
        <item h="1" sd="0" x="21"/>
        <item h="1" sd="0" x="16"/>
        <item h="1" sd="0" x="17"/>
        <item h="1" sd="0" x="6"/>
        <item h="1" sd="0" x="7"/>
        <item h="1" sd="0" x="8"/>
        <item h="1" sd="0" x="9"/>
        <item h="1" sd="0" x="18"/>
        <item h="1" sd="0" x="19"/>
        <item t="default" sd="0"/>
      </items>
    </pivotField>
    <pivotField dataField="1"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numFmtId="165" showAll="0"/>
    <pivotField numFmtId="2" showAll="0"/>
    <pivotField showAll="0"/>
  </pivotFields>
  <rowFields count="1">
    <field x="2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VRAM(GB)" fld="3" subtotal="average" baseField="2" baseItem="15"/>
  </dataFields>
  <formats count="6">
    <format dxfId="28">
      <pivotArea collapsedLevelsAreSubtotals="1" fieldPosition="0">
        <references count="1">
          <reference field="2" count="0"/>
        </references>
      </pivotArea>
    </format>
    <format dxfId="27">
      <pivotArea collapsedLevelsAreSubtotals="1" fieldPosition="0">
        <references count="1">
          <reference field="2" count="1">
            <x v="2"/>
          </reference>
        </references>
      </pivotArea>
    </format>
    <format dxfId="26">
      <pivotArea collapsedLevelsAreSubtotals="1" fieldPosition="0">
        <references count="1">
          <reference field="2" count="1">
            <x v="3"/>
          </reference>
        </references>
      </pivotArea>
    </format>
    <format dxfId="25">
      <pivotArea collapsedLevelsAreSubtotals="1" fieldPosition="0">
        <references count="1">
          <reference field="2" count="1">
            <x v="4"/>
          </reference>
        </references>
      </pivotArea>
    </format>
    <format dxfId="24">
      <pivotArea collapsedLevelsAreSubtotals="1" fieldPosition="0">
        <references count="1">
          <reference field="2" count="1">
            <x v="5"/>
          </reference>
        </references>
      </pivotArea>
    </format>
    <format dxfId="23">
      <pivotArea collapsedLevelsAreSubtotals="1" fieldPosition="0">
        <references count="1">
          <reference field="2" count="1">
            <x v="6"/>
          </reference>
        </references>
      </pivotArea>
    </format>
  </formats>
  <conditionalFormats count="1">
    <conditionalFormat priority="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6">
              <x v="0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45F21-5ECF-4D8B-8ABC-183DF5E566B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aunch Year" colHeaderCaption="Class">
  <location ref="J20:P35" firstHeaderRow="1" firstDataRow="2" firstDataCol="1"/>
  <pivotFields count="9">
    <pivotField showAll="0"/>
    <pivotField axis="axisCol" showAll="0">
      <items count="8">
        <item h="1" x="6"/>
        <item h="1" x="5"/>
        <item x="4"/>
        <item x="1"/>
        <item x="0"/>
        <item x="3"/>
        <item x="2"/>
        <item t="default"/>
      </items>
    </pivotField>
    <pivotField showAll="0"/>
    <pivotField showAll="0"/>
    <pivotField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16">
        <item x="14"/>
        <item x="10"/>
        <item x="12"/>
        <item x="13"/>
        <item x="11"/>
        <item x="9"/>
        <item x="7"/>
        <item x="6"/>
        <item x="8"/>
        <item x="4"/>
        <item x="5"/>
        <item x="1"/>
        <item x="3"/>
        <item x="2"/>
        <item x="0"/>
        <item t="default"/>
      </items>
    </pivotField>
    <pivotField numFmtId="165" showAll="0"/>
    <pivotField numFmtId="2" showAll="0"/>
    <pivotField showAll="0"/>
  </pivotFields>
  <rowFields count="1">
    <field x="5"/>
  </rowFields>
  <rowItems count="14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6">
    <i>
      <x v="2"/>
    </i>
    <i>
      <x v="3"/>
    </i>
    <i>
      <x v="4"/>
    </i>
    <i>
      <x v="5"/>
    </i>
    <i>
      <x v="6"/>
    </i>
    <i t="grand">
      <x/>
    </i>
  </colItems>
  <dataFields count="1">
    <dataField name="GPU Performance By Year" fld="4" subtotal="average" baseField="5" baseItem="5"/>
  </dataFields>
  <formats count="2">
    <format dxfId="30">
      <pivotArea collapsedLevelsAreSubtotals="1" fieldPosition="0">
        <references count="1">
          <reference field="5" count="13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29">
      <pivotArea grandRow="1" outline="0" collapsedLevelsAreSubtotals="1" fieldPosition="0"/>
    </format>
  </formats>
  <conditionalFormats count="1">
    <conditionalFormat priority="1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5" selected="0">
              <x v="2"/>
              <x v="3"/>
              <x v="4"/>
              <x v="5"/>
              <x v="6"/>
            </reference>
            <reference field="5" count="13"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31F0BF-0005-49B7-BED9-04F42A2ED0CB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GPU Performance" colHeaderCaption="Year">
  <location ref="I6:R13" firstHeaderRow="1" firstDataRow="2" firstDataCol="1"/>
  <pivotFields count="9">
    <pivotField showAll="0"/>
    <pivotField axis="axisRow" showAll="0">
      <items count="8">
        <item h="1" x="6"/>
        <item h="1" x="5"/>
        <item x="4"/>
        <item x="1"/>
        <item x="0"/>
        <item x="3"/>
        <item x="2"/>
        <item t="default"/>
      </items>
    </pivotField>
    <pivotField showAll="0"/>
    <pivotField dataField="1" showAll="0">
      <items count="16">
        <item h="1" x="12"/>
        <item h="1" x="10"/>
        <item x="11"/>
        <item x="13"/>
        <item x="14"/>
        <item x="6"/>
        <item x="7"/>
        <item x="4"/>
        <item x="5"/>
        <item x="9"/>
        <item x="3"/>
        <item x="0"/>
        <item x="2"/>
        <item x="1"/>
        <item x="8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showAll="0">
      <items count="16">
        <item h="1" x="14"/>
        <item h="1" x="10"/>
        <item h="1" x="12"/>
        <item h="1" x="13"/>
        <item h="1" x="11"/>
        <item h="1" x="9"/>
        <item h="1" x="7"/>
        <item x="6"/>
        <item x="8"/>
        <item x="4"/>
        <item x="5"/>
        <item x="1"/>
        <item x="3"/>
        <item x="2"/>
        <item x="0"/>
        <item t="default"/>
      </items>
    </pivotField>
    <pivotField numFmtId="165" showAll="0"/>
    <pivotField numFmtId="2" showAll="0"/>
    <pivotField showAll="0"/>
  </pivotFields>
  <rowFields count="1">
    <field x="1"/>
  </rowFields>
  <rowItems count="6"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9"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Average of VRAM(GB) By Class" fld="3" subtotal="average" baseField="4" baseItem="9"/>
  </dataFields>
  <formats count="2">
    <format dxfId="32">
      <pivotArea grandRow="1" outline="0" collapsedLevelsAreSubtotals="1" fieldPosition="0"/>
    </format>
    <format dxfId="31">
      <pivotArea collapsedLevelsAreSubtotals="1" fieldPosition="0">
        <references count="1">
          <reference field="1" count="0"/>
        </references>
      </pivotArea>
    </format>
  </formats>
  <conditionalFormats count="1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3D246-292B-49AD-9124-34B8556EAFB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0:H25" firstHeaderRow="1" firstDataRow="1" firstDataCol="1"/>
  <pivotFields count="9">
    <pivotField showAll="0"/>
    <pivotField axis="axisRow" showAll="0">
      <items count="8">
        <item x="6"/>
        <item x="5"/>
        <item x="4"/>
        <item x="1"/>
        <item x="0"/>
        <item x="3"/>
        <item x="2"/>
        <item t="default"/>
      </items>
    </pivotField>
    <pivotField axis="axisRow" showAll="0">
      <items count="23">
        <item h="1" x="19"/>
        <item h="1" x="18"/>
        <item h="1" x="9"/>
        <item h="1" x="8"/>
        <item h="1" x="7"/>
        <item h="1" x="6"/>
        <item h="1" x="17"/>
        <item h="1" x="16"/>
        <item x="21"/>
        <item sd="0" x="20"/>
        <item h="1" x="15"/>
        <item h="1" x="14"/>
        <item h="1" x="12"/>
        <item h="1" x="11"/>
        <item h="1" x="10"/>
        <item h="1" x="5"/>
        <item h="1" x="3"/>
        <item h="1" x="4"/>
        <item h="1" x="2"/>
        <item h="1" x="1"/>
        <item h="1" x="13"/>
        <item h="1" x="0"/>
        <item t="default"/>
      </items>
    </pivotField>
    <pivotField dataField="1"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numFmtId="165" showAll="0"/>
    <pivotField numFmtId="2" showAll="0"/>
    <pivotField showAll="0"/>
  </pivotFields>
  <rowFields count="2">
    <field x="2"/>
    <field x="1"/>
  </rowFields>
  <rowItems count="5">
    <i>
      <x v="8"/>
    </i>
    <i r="1">
      <x v="2"/>
    </i>
    <i r="1">
      <x v="3"/>
    </i>
    <i>
      <x v="9"/>
    </i>
    <i t="grand">
      <x/>
    </i>
  </rowItems>
  <colItems count="1">
    <i/>
  </colItems>
  <dataFields count="1">
    <dataField name="Average of VRAM(GB)" fld="3" subtotal="average" baseField="2" baseItem="8" numFmtId="2"/>
  </dataFields>
  <formats count="1">
    <format dxfId="33">
      <pivotArea outline="0" collapsedLevelsAreSubtotals="1" fieldPosition="0"/>
    </format>
  </formats>
  <conditionalFormats count="1"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2"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B815F-4338-4DA6-9729-6008ED37941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60" firstHeaderRow="0" firstDataRow="1" firstDataCol="1" rowPageCount="3" colPageCount="1"/>
  <pivotFields count="9">
    <pivotField axis="axisRow" showAll="0" sortType="descending">
      <items count="111"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8">
        <item x="6"/>
        <item x="5"/>
        <item x="4"/>
        <item x="1"/>
        <item x="0"/>
        <item x="3"/>
        <item x="2"/>
        <item t="default"/>
      </items>
    </pivotField>
    <pivotField showAll="0"/>
    <pivotField axis="axisPage" dataField="1" multipleItemSelectionAllowed="1" showAll="0">
      <items count="16">
        <item h="1" x="12"/>
        <item h="1" x="10"/>
        <item h="1" x="11"/>
        <item h="1" x="13"/>
        <item h="1" x="14"/>
        <item h="1" x="6"/>
        <item h="1" x="7"/>
        <item h="1" x="4"/>
        <item x="5"/>
        <item x="9"/>
        <item x="3"/>
        <item x="0"/>
        <item x="2"/>
        <item x="1"/>
        <item x="8"/>
        <item t="default"/>
      </items>
    </pivotField>
    <pivotField axis="axisPage" dataField="1" multipleItemSelectionAllowed="1" showAll="0">
      <items count="16">
        <item h="1" x="0"/>
        <item h="1" x="1"/>
        <item h="1" x="2"/>
        <item h="1" x="3"/>
        <item h="1" x="4"/>
        <item h="1" x="5"/>
        <item h="1"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numFmtId="165" showAll="0"/>
    <pivotField numFmtId="2" showAll="0"/>
    <pivotField axis="axisPage" multipleItemSelectionAllowed="1" showAll="0">
      <items count="3">
        <item h="1" x="1"/>
        <item x="0"/>
        <item t="default"/>
      </items>
    </pivotField>
  </pivotFields>
  <rowFields count="2">
    <field x="0"/>
    <field x="1"/>
  </rowFields>
  <rowItems count="55">
    <i>
      <x v="78"/>
    </i>
    <i r="1">
      <x v="6"/>
    </i>
    <i>
      <x v="71"/>
    </i>
    <i r="1">
      <x v="6"/>
    </i>
    <i>
      <x v="77"/>
    </i>
    <i r="1">
      <x v="5"/>
    </i>
    <i>
      <x v="106"/>
    </i>
    <i r="1">
      <x v="6"/>
    </i>
    <i>
      <x v="76"/>
    </i>
    <i r="1">
      <x v="4"/>
    </i>
    <i>
      <x v="69"/>
    </i>
    <i r="1">
      <x v="5"/>
    </i>
    <i>
      <x v="70"/>
    </i>
    <i r="1">
      <x v="5"/>
    </i>
    <i>
      <x v="109"/>
    </i>
    <i r="1">
      <x v="4"/>
    </i>
    <i>
      <x v="67"/>
    </i>
    <i r="1">
      <x v="4"/>
    </i>
    <i>
      <x v="104"/>
    </i>
    <i r="1">
      <x v="6"/>
    </i>
    <i>
      <x v="62"/>
    </i>
    <i r="1">
      <x v="6"/>
    </i>
    <i>
      <x v="65"/>
    </i>
    <i r="1">
      <x v="4"/>
    </i>
    <i>
      <x v="105"/>
    </i>
    <i r="1">
      <x v="6"/>
    </i>
    <i>
      <x v="68"/>
    </i>
    <i r="1">
      <x v="4"/>
    </i>
    <i>
      <x v="108"/>
    </i>
    <i r="1">
      <x v="4"/>
    </i>
    <i>
      <x v="66"/>
    </i>
    <i r="1">
      <x v="4"/>
    </i>
    <i>
      <x v="75"/>
    </i>
    <i r="1">
      <x v="4"/>
    </i>
    <i>
      <x v="74"/>
    </i>
    <i r="1">
      <x v="3"/>
    </i>
    <i>
      <x v="107"/>
    </i>
    <i r="1">
      <x v="3"/>
    </i>
    <i>
      <x v="103"/>
    </i>
    <i r="1">
      <x v="5"/>
    </i>
    <i>
      <x v="102"/>
    </i>
    <i r="1">
      <x v="4"/>
    </i>
    <i>
      <x v="64"/>
    </i>
    <i r="1">
      <x v="3"/>
    </i>
    <i>
      <x v="101"/>
    </i>
    <i r="1">
      <x v="3"/>
    </i>
    <i>
      <x v="4"/>
    </i>
    <i r="1">
      <x v="3"/>
    </i>
    <i>
      <x v="3"/>
    </i>
    <i r="1">
      <x v="3"/>
    </i>
    <i>
      <x v="55"/>
    </i>
    <i r="1">
      <x v="3"/>
    </i>
    <i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pageFields count="3">
    <pageField fld="4" hier="-1"/>
    <pageField fld="3" hier="-1"/>
    <pageField fld="8" hier="-1"/>
  </pageFields>
  <dataFields count="2">
    <dataField name="Average of Performance(%)" fld="4" subtotal="average" baseField="0" baseItem="2"/>
    <dataField name="Average of VRAM(GB)" fld="3" subtotal="average" baseField="0" baseItem="2"/>
  </dataFields>
  <conditionalFormats count="1">
    <conditionalFormat priority="1">
      <pivotAreas count="54">
        <pivotArea type="data" collapsedLevelsAreSubtotals="1" fieldPosition="0">
          <references count="1">
            <reference field="0" count="1">
              <x v="78"/>
            </reference>
          </references>
        </pivotArea>
        <pivotArea type="data" collapsedLevelsAreSubtotals="1" fieldPosition="0">
          <references count="2">
            <reference field="0" count="1" selected="0">
              <x v="78"/>
            </reference>
            <reference field="1" count="1">
              <x v="6"/>
            </reference>
          </references>
        </pivotArea>
        <pivotArea type="data" collapsedLevelsAreSubtotals="1" fieldPosition="0">
          <references count="1">
            <reference field="0" count="1">
              <x v="71"/>
            </reference>
          </references>
        </pivotArea>
        <pivotArea type="data" collapsedLevelsAreSubtotals="1" fieldPosition="0">
          <references count="2">
            <reference field="0" count="1" selected="0">
              <x v="71"/>
            </reference>
            <reference field="1" count="1">
              <x v="6"/>
            </reference>
          </references>
        </pivotArea>
        <pivotArea type="data" collapsedLevelsAreSubtotals="1" fieldPosition="0">
          <references count="1">
            <reference field="0" count="1">
              <x v="77"/>
            </reference>
          </references>
        </pivotArea>
        <pivotArea type="data" collapsedLevelsAreSubtotals="1" fieldPosition="0">
          <references count="2">
            <reference field="0" count="1" selected="0">
              <x v="77"/>
            </reference>
            <reference field="1" count="1">
              <x v="5"/>
            </reference>
          </references>
        </pivotArea>
        <pivotArea type="data" collapsedLevelsAreSubtotals="1" fieldPosition="0">
          <references count="1">
            <reference field="0" count="1">
              <x v="106"/>
            </reference>
          </references>
        </pivotArea>
        <pivotArea type="data" collapsedLevelsAreSubtotals="1" fieldPosition="0">
          <references count="2">
            <reference field="0" count="1" selected="0">
              <x v="106"/>
            </reference>
            <reference field="1" count="1">
              <x v="6"/>
            </reference>
          </references>
        </pivotArea>
        <pivotArea type="data" collapsedLevelsAreSubtotals="1" fieldPosition="0">
          <references count="1">
            <reference field="0" count="1">
              <x v="76"/>
            </reference>
          </references>
        </pivotArea>
        <pivotArea type="data" collapsedLevelsAreSubtotals="1" fieldPosition="0">
          <references count="2">
            <reference field="0" count="1" selected="0">
              <x v="76"/>
            </reference>
            <reference field="1" count="1">
              <x v="4"/>
            </reference>
          </references>
        </pivotArea>
        <pivotArea type="data" collapsedLevelsAreSubtotals="1" fieldPosition="0">
          <references count="1">
            <reference field="0" count="1">
              <x v="69"/>
            </reference>
          </references>
        </pivotArea>
        <pivotArea type="data" collapsedLevelsAreSubtotals="1" fieldPosition="0">
          <references count="2">
            <reference field="0" count="1" selected="0">
              <x v="69"/>
            </reference>
            <reference field="1" count="1">
              <x v="5"/>
            </reference>
          </references>
        </pivotArea>
        <pivotArea type="data" collapsedLevelsAreSubtotals="1" fieldPosition="0">
          <references count="1">
            <reference field="0" count="1">
              <x v="70"/>
            </reference>
          </references>
        </pivotArea>
        <pivotArea type="data" collapsedLevelsAreSubtotals="1" fieldPosition="0">
          <references count="2">
            <reference field="0" count="1" selected="0">
              <x v="70"/>
            </reference>
            <reference field="1" count="1">
              <x v="5"/>
            </reference>
          </references>
        </pivotArea>
        <pivotArea type="data" collapsedLevelsAreSubtotals="1" fieldPosition="0">
          <references count="1">
            <reference field="0" count="1">
              <x v="109"/>
            </reference>
          </references>
        </pivotArea>
        <pivotArea type="data" collapsedLevelsAreSubtotals="1" fieldPosition="0">
          <references count="2">
            <reference field="0" count="1" selected="0">
              <x v="109"/>
            </reference>
            <reference field="1" count="1">
              <x v="4"/>
            </reference>
          </references>
        </pivotArea>
        <pivotArea type="data" collapsedLevelsAreSubtotals="1" fieldPosition="0">
          <references count="1">
            <reference field="0" count="1">
              <x v="67"/>
            </reference>
          </references>
        </pivotArea>
        <pivotArea type="data" collapsedLevelsAreSubtotals="1" fieldPosition="0">
          <references count="2">
            <reference field="0" count="1" selected="0">
              <x v="67"/>
            </reference>
            <reference field="1" count="1">
              <x v="4"/>
            </reference>
          </references>
        </pivotArea>
        <pivotArea type="data" collapsedLevelsAreSubtotals="1" fieldPosition="0">
          <references count="1">
            <reference field="0" count="1">
              <x v="104"/>
            </reference>
          </references>
        </pivotArea>
        <pivotArea type="data" collapsedLevelsAreSubtotals="1" fieldPosition="0">
          <references count="2">
            <reference field="0" count="1" selected="0">
              <x v="104"/>
            </reference>
            <reference field="1" count="1">
              <x v="6"/>
            </reference>
          </references>
        </pivotArea>
        <pivotArea type="data" collapsedLevelsAreSubtotals="1" fieldPosition="0">
          <references count="1">
            <reference field="0" count="1">
              <x v="62"/>
            </reference>
          </references>
        </pivotArea>
        <pivotArea type="data" collapsedLevelsAreSubtotals="1" fieldPosition="0">
          <references count="2">
            <reference field="0" count="1" selected="0">
              <x v="62"/>
            </reference>
            <reference field="1" count="1">
              <x v="6"/>
            </reference>
          </references>
        </pivotArea>
        <pivotArea type="data" collapsedLevelsAreSubtotals="1" fieldPosition="0">
          <references count="1">
            <reference field="0" count="1">
              <x v="65"/>
            </reference>
          </references>
        </pivotArea>
        <pivotArea type="data" collapsedLevelsAreSubtotals="1" fieldPosition="0">
          <references count="2">
            <reference field="0" count="1" selected="0">
              <x v="65"/>
            </reference>
            <reference field="1" count="1">
              <x v="4"/>
            </reference>
          </references>
        </pivotArea>
        <pivotArea type="data" collapsedLevelsAreSubtotals="1" fieldPosition="0">
          <references count="1">
            <reference field="0" count="1">
              <x v="105"/>
            </reference>
          </references>
        </pivotArea>
        <pivotArea type="data" collapsedLevelsAreSubtotals="1" fieldPosition="0">
          <references count="2">
            <reference field="0" count="1" selected="0">
              <x v="105"/>
            </reference>
            <reference field="1" count="1">
              <x v="6"/>
            </reference>
          </references>
        </pivotArea>
        <pivotArea type="data" collapsedLevelsAreSubtotals="1" fieldPosition="0">
          <references count="1">
            <reference field="0" count="1">
              <x v="68"/>
            </reference>
          </references>
        </pivotArea>
        <pivotArea type="data" collapsedLevelsAreSubtotals="1" fieldPosition="0">
          <references count="2">
            <reference field="0" count="1" selected="0">
              <x v="68"/>
            </reference>
            <reference field="1" count="1">
              <x v="4"/>
            </reference>
          </references>
        </pivotArea>
        <pivotArea type="data" collapsedLevelsAreSubtotals="1" fieldPosition="0">
          <references count="1">
            <reference field="0" count="1">
              <x v="108"/>
            </reference>
          </references>
        </pivotArea>
        <pivotArea type="data" collapsedLevelsAreSubtotals="1" fieldPosition="0">
          <references count="2">
            <reference field="0" count="1" selected="0">
              <x v="108"/>
            </reference>
            <reference field="1" count="1">
              <x v="4"/>
            </reference>
          </references>
        </pivotArea>
        <pivotArea type="data" collapsedLevelsAreSubtotals="1" fieldPosition="0">
          <references count="1">
            <reference field="0" count="1">
              <x v="66"/>
            </reference>
          </references>
        </pivotArea>
        <pivotArea type="data" collapsedLevelsAreSubtotals="1" fieldPosition="0">
          <references count="2">
            <reference field="0" count="1" selected="0">
              <x v="66"/>
            </reference>
            <reference field="1" count="1">
              <x v="4"/>
            </reference>
          </references>
        </pivotArea>
        <pivotArea type="data" collapsedLevelsAreSubtotals="1" fieldPosition="0">
          <references count="1">
            <reference field="0" count="1">
              <x v="75"/>
            </reference>
          </references>
        </pivotArea>
        <pivotArea type="data" collapsedLevelsAreSubtotals="1" fieldPosition="0">
          <references count="2">
            <reference field="0" count="1" selected="0">
              <x v="75"/>
            </reference>
            <reference field="1" count="1">
              <x v="4"/>
            </reference>
          </references>
        </pivotArea>
        <pivotArea type="data" collapsedLevelsAreSubtotals="1" fieldPosition="0">
          <references count="1">
            <reference field="0" count="1">
              <x v="74"/>
            </reference>
          </references>
        </pivotArea>
        <pivotArea type="data" collapsedLevelsAreSubtotals="1" fieldPosition="0">
          <references count="2">
            <reference field="0" count="1" selected="0">
              <x v="74"/>
            </reference>
            <reference field="1" count="1">
              <x v="3"/>
            </reference>
          </references>
        </pivotArea>
        <pivotArea type="data" collapsedLevelsAreSubtotals="1" fieldPosition="0">
          <references count="1">
            <reference field="0" count="1">
              <x v="107"/>
            </reference>
          </references>
        </pivotArea>
        <pivotArea type="data" collapsedLevelsAreSubtotals="1" fieldPosition="0">
          <references count="2">
            <reference field="0" count="1" selected="0">
              <x v="107"/>
            </reference>
            <reference field="1" count="1">
              <x v="3"/>
            </reference>
          </references>
        </pivotArea>
        <pivotArea type="data" collapsedLevelsAreSubtotals="1" fieldPosition="0">
          <references count="1">
            <reference field="0" count="1">
              <x v="103"/>
            </reference>
          </references>
        </pivotArea>
        <pivotArea type="data" collapsedLevelsAreSubtotals="1" fieldPosition="0">
          <references count="2">
            <reference field="0" count="1" selected="0">
              <x v="103"/>
            </reference>
            <reference field="1" count="1">
              <x v="5"/>
            </reference>
          </references>
        </pivotArea>
        <pivotArea type="data" collapsedLevelsAreSubtotals="1" fieldPosition="0">
          <references count="1">
            <reference field="0" count="1">
              <x v="102"/>
            </reference>
          </references>
        </pivotArea>
        <pivotArea type="data" collapsedLevelsAreSubtotals="1" fieldPosition="0">
          <references count="2">
            <reference field="0" count="1" selected="0">
              <x v="102"/>
            </reference>
            <reference field="1" count="1">
              <x v="4"/>
            </reference>
          </references>
        </pivotArea>
        <pivotArea type="data" collapsedLevelsAreSubtotals="1" fieldPosition="0">
          <references count="1">
            <reference field="0" count="1">
              <x v="64"/>
            </reference>
          </references>
        </pivotArea>
        <pivotArea type="data" collapsedLevelsAreSubtotals="1" fieldPosition="0">
          <references count="2">
            <reference field="0" count="1" selected="0">
              <x v="64"/>
            </reference>
            <reference field="1" count="1">
              <x v="3"/>
            </reference>
          </references>
        </pivotArea>
        <pivotArea type="data" collapsedLevelsAreSubtotals="1" fieldPosition="0">
          <references count="1">
            <reference field="0" count="1">
              <x v="101"/>
            </reference>
          </references>
        </pivotArea>
        <pivotArea type="data" collapsedLevelsAreSubtotals="1" fieldPosition="0">
          <references count="2">
            <reference field="0" count="1" selected="0">
              <x v="101"/>
            </reference>
            <reference field="1" count="1">
              <x v="3"/>
            </reference>
          </references>
        </pivotArea>
        <pivotArea type="data" collapsedLevelsAreSubtotals="1" fieldPosition="0">
          <references count="1">
            <reference field="0" count="1">
              <x v="4"/>
            </reference>
          </references>
        </pivotArea>
        <pivotArea type="data" collapsedLevelsAreSubtotals="1" fieldPosition="0">
          <references count="2">
            <reference field="0" count="1" selected="0">
              <x v="4"/>
            </reference>
            <reference field="1" count="1">
              <x v="3"/>
            </reference>
          </references>
        </pivotArea>
        <pivotArea type="data" collapsedLevelsAreSubtotals="1" fieldPosition="0">
          <references count="1">
            <reference field="0" count="1">
              <x v="3"/>
            </reference>
          </references>
        </pivotArea>
        <pivotArea type="data" collapsedLevelsAreSubtotals="1" fieldPosition="0">
          <references count="2">
            <reference field="0" count="1" selected="0">
              <x v="3"/>
            </reference>
            <reference field="1" count="1">
              <x v="3"/>
            </reference>
          </references>
        </pivotArea>
        <pivotArea type="data" collapsedLevelsAreSubtotals="1" fieldPosition="0">
          <references count="1">
            <reference field="0" count="1">
              <x v="55"/>
            </reference>
          </references>
        </pivotArea>
        <pivotArea type="data" collapsedLevelsAreSubtotals="1" fieldPosition="0">
          <references count="2">
            <reference field="0" count="1" selected="0">
              <x v="55"/>
            </reference>
            <reference field="1" count="1">
              <x v="3"/>
            </reference>
          </references>
        </pivotArea>
        <pivotArea type="data" collapsedLevelsAreSubtotals="1" fieldPosition="0">
          <references count="1">
            <reference field="0" count="1">
              <x v="2"/>
            </reference>
          </references>
        </pivotArea>
        <pivotArea type="data" collapsedLevelsAreSubtotals="1" fieldPosition="0">
          <references count="2">
            <reference field="0" count="1" selected="0">
              <x v="2"/>
            </reference>
            <reference field="1" count="1"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B0058A-C9C2-479C-BF40-04F9026758BA}" name="TablePrice" displayName="TablePrice" ref="A1:I111" totalsRowShown="0" headerRowDxfId="20" tableBorderDxfId="19">
  <autoFilter ref="A1:I111" xr:uid="{83B0058A-C9C2-479C-BF40-04F9026758BA}">
    <filterColumn colId="8">
      <filters>
        <filter val="Y"/>
      </filters>
    </filterColumn>
  </autoFilter>
  <sortState xmlns:xlrd2="http://schemas.microsoft.com/office/spreadsheetml/2017/richdata2" ref="A2:I111">
    <sortCondition descending="1" ref="H1:H111"/>
  </sortState>
  <tableColumns count="9">
    <tableColumn id="2" xr3:uid="{8A06E5DA-8B4B-4A8C-B959-5BB8F2AD4021}" name="GPU_Model_Name" dataDxfId="18"/>
    <tableColumn id="4" xr3:uid="{5CA1B06B-71CE-4041-AA0C-E96ADC6B1A13}" name="Class" dataDxfId="17"/>
    <tableColumn id="1" xr3:uid="{9C420FFE-40A4-4BDA-95D7-1AD3B0D78B71}" name="Series"/>
    <tableColumn id="3" xr3:uid="{BA7EF673-89BF-47C5-BDAB-6D5501D048E8}" name="VRAM(GB)" dataDxfId="16"/>
    <tableColumn id="5" xr3:uid="{347A6C0F-6885-400A-8B34-FEC5AF35E7A2}" name="Performance(%)" dataDxfId="15"/>
    <tableColumn id="6" xr3:uid="{9869C154-E31F-4525-9E34-4F987FB7962E}" name="Launch_Year" dataDxfId="14"/>
    <tableColumn id="7" xr3:uid="{3D8A773A-39A4-4745-A16A-D3BE6F25EFD4}" name="Launch MSRP(USD)" dataDxfId="13"/>
    <tableColumn id="10" xr3:uid="{EBEEFD98-FE61-42FC-BFF6-698EEE9561A5}" name="PricePerDollar" dataDxfId="12">
      <calculatedColumnFormula>(E2/G2)*100</calculatedColumnFormula>
    </tableColumn>
    <tableColumn id="8" xr3:uid="{4CA72178-88E3-4506-B214-BAE18F2FD215}" name="Availability" dataDxfId="1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C070-00DD-476C-93AD-894D3A84F0E9}">
  <dimension ref="A3:V35"/>
  <sheetViews>
    <sheetView topLeftCell="A16" workbookViewId="0">
      <selection activeCell="G30" sqref="G30"/>
    </sheetView>
  </sheetViews>
  <sheetFormatPr defaultRowHeight="14.5" x14ac:dyDescent="0.35"/>
  <cols>
    <col min="1" max="1" width="12.36328125" bestFit="1" customWidth="1"/>
    <col min="2" max="2" width="19.1796875" bestFit="1" customWidth="1"/>
    <col min="3" max="3" width="4.81640625" bestFit="1" customWidth="1"/>
    <col min="4" max="4" width="12.36328125" bestFit="1" customWidth="1"/>
    <col min="5" max="5" width="19.1796875" bestFit="1" customWidth="1"/>
    <col min="6" max="6" width="6.36328125" bestFit="1" customWidth="1"/>
    <col min="7" max="7" width="12.36328125" bestFit="1" customWidth="1"/>
    <col min="8" max="8" width="19.1796875" bestFit="1" customWidth="1"/>
    <col min="9" max="9" width="27.1796875" customWidth="1"/>
    <col min="10" max="10" width="22.6328125" bestFit="1" customWidth="1"/>
    <col min="11" max="11" width="7.26953125" bestFit="1" customWidth="1"/>
    <col min="12" max="14" width="5.36328125" bestFit="1" customWidth="1"/>
    <col min="15" max="15" width="6.36328125" bestFit="1" customWidth="1"/>
    <col min="16" max="16" width="10.7265625" bestFit="1" customWidth="1"/>
    <col min="17" max="17" width="6.1796875" customWidth="1"/>
    <col min="18" max="18" width="10.26953125" customWidth="1"/>
    <col min="19" max="19" width="10.7265625" hidden="1" customWidth="1"/>
    <col min="20" max="20" width="5" bestFit="1" customWidth="1"/>
    <col min="21" max="21" width="12.6328125" bestFit="1" customWidth="1"/>
    <col min="22" max="22" width="22.36328125" bestFit="1" customWidth="1"/>
    <col min="23" max="23" width="1.81640625" bestFit="1" customWidth="1"/>
    <col min="24" max="24" width="10.7265625" bestFit="1" customWidth="1"/>
    <col min="25" max="25" width="5" bestFit="1" customWidth="1"/>
    <col min="26" max="27" width="4" bestFit="1" customWidth="1"/>
    <col min="28" max="28" width="6.6328125" bestFit="1" customWidth="1"/>
    <col min="29" max="29" width="10.81640625" bestFit="1" customWidth="1"/>
    <col min="30" max="31" width="4.90625" bestFit="1" customWidth="1"/>
    <col min="32" max="33" width="5.90625" bestFit="1" customWidth="1"/>
    <col min="34" max="34" width="2.90625" bestFit="1" customWidth="1"/>
    <col min="35" max="35" width="6.81640625" bestFit="1" customWidth="1"/>
    <col min="36" max="38" width="5" bestFit="1" customWidth="1"/>
    <col min="39" max="39" width="5.26953125" bestFit="1" customWidth="1"/>
    <col min="40" max="40" width="5.1796875" bestFit="1" customWidth="1"/>
    <col min="41" max="41" width="7.90625" bestFit="1" customWidth="1"/>
    <col min="42" max="42" width="9.453125" bestFit="1" customWidth="1"/>
    <col min="43" max="43" width="8.453125" bestFit="1" customWidth="1"/>
    <col min="44" max="46" width="5.90625" bestFit="1" customWidth="1"/>
    <col min="47" max="47" width="6.54296875" bestFit="1" customWidth="1"/>
    <col min="48" max="48" width="10.7265625" bestFit="1" customWidth="1"/>
    <col min="49" max="53" width="5.36328125" bestFit="1" customWidth="1"/>
    <col min="54" max="54" width="9.54296875" bestFit="1" customWidth="1"/>
    <col min="55" max="55" width="6.6328125" bestFit="1" customWidth="1"/>
    <col min="56" max="56" width="4.36328125" bestFit="1" customWidth="1"/>
    <col min="57" max="62" width="5.36328125" bestFit="1" customWidth="1"/>
    <col min="63" max="63" width="9.54296875" bestFit="1" customWidth="1"/>
    <col min="64" max="64" width="6.6328125" bestFit="1" customWidth="1"/>
    <col min="65" max="72" width="5.36328125" bestFit="1" customWidth="1"/>
    <col min="73" max="73" width="9.54296875" bestFit="1" customWidth="1"/>
    <col min="74" max="74" width="6.6328125" bestFit="1" customWidth="1"/>
    <col min="75" max="79" width="4.36328125" bestFit="1" customWidth="1"/>
    <col min="80" max="84" width="5.36328125" bestFit="1" customWidth="1"/>
    <col min="85" max="85" width="9.54296875" bestFit="1" customWidth="1"/>
    <col min="86" max="86" width="6.6328125" bestFit="1" customWidth="1"/>
    <col min="87" max="91" width="5.36328125" bestFit="1" customWidth="1"/>
    <col min="92" max="92" width="9.54296875" bestFit="1" customWidth="1"/>
    <col min="93" max="93" width="6.6328125" bestFit="1" customWidth="1"/>
    <col min="94" max="98" width="5.36328125" bestFit="1" customWidth="1"/>
    <col min="99" max="99" width="9.54296875" bestFit="1" customWidth="1"/>
    <col min="100" max="100" width="6.6328125" bestFit="1" customWidth="1"/>
    <col min="101" max="101" width="4.36328125" bestFit="1" customWidth="1"/>
    <col min="102" max="110" width="5.36328125" bestFit="1" customWidth="1"/>
    <col min="111" max="111" width="9.54296875" bestFit="1" customWidth="1"/>
    <col min="112" max="112" width="10.7265625" bestFit="1" customWidth="1"/>
  </cols>
  <sheetData>
    <row r="3" spans="1:22" x14ac:dyDescent="0.35">
      <c r="A3" s="46" t="s">
        <v>157</v>
      </c>
      <c r="B3" s="46" t="s">
        <v>152</v>
      </c>
      <c r="U3" s="46" t="s">
        <v>160</v>
      </c>
      <c r="V3" t="s">
        <v>159</v>
      </c>
    </row>
    <row r="4" spans="1:22" x14ac:dyDescent="0.35">
      <c r="A4" s="46" t="s">
        <v>153</v>
      </c>
      <c r="B4" t="s">
        <v>119</v>
      </c>
      <c r="C4" t="s">
        <v>118</v>
      </c>
      <c r="D4" t="s">
        <v>148</v>
      </c>
      <c r="E4" t="s">
        <v>121</v>
      </c>
      <c r="F4" t="s">
        <v>120</v>
      </c>
      <c r="G4" t="s">
        <v>151</v>
      </c>
      <c r="U4" s="47" t="s">
        <v>124</v>
      </c>
      <c r="V4" s="41">
        <v>5.0156072331556381</v>
      </c>
    </row>
    <row r="5" spans="1:22" x14ac:dyDescent="0.35">
      <c r="A5" s="47">
        <v>2013</v>
      </c>
      <c r="B5" s="49">
        <v>189</v>
      </c>
      <c r="C5" s="49">
        <v>249</v>
      </c>
      <c r="D5" s="49">
        <v>365.66666666666669</v>
      </c>
      <c r="E5" s="49">
        <v>599</v>
      </c>
      <c r="F5" s="49">
        <v>699</v>
      </c>
      <c r="G5" s="49">
        <v>402.33333333333331</v>
      </c>
      <c r="U5" s="47" t="s">
        <v>109</v>
      </c>
      <c r="V5" s="41">
        <v>6.9681607510720918</v>
      </c>
    </row>
    <row r="6" spans="1:22" x14ac:dyDescent="0.35">
      <c r="A6" s="47">
        <v>2014</v>
      </c>
      <c r="B6" s="49">
        <v>134</v>
      </c>
      <c r="C6" s="49">
        <v>264</v>
      </c>
      <c r="D6" s="49">
        <v>329</v>
      </c>
      <c r="E6" s="49">
        <v>549</v>
      </c>
      <c r="F6" s="49">
        <v>649</v>
      </c>
      <c r="G6" s="49">
        <v>331.85714285714283</v>
      </c>
      <c r="I6" s="46" t="s">
        <v>161</v>
      </c>
      <c r="J6" s="46" t="s">
        <v>158</v>
      </c>
      <c r="U6" s="47" t="s">
        <v>111</v>
      </c>
      <c r="V6" s="41">
        <v>7.2709262671491386</v>
      </c>
    </row>
    <row r="7" spans="1:22" x14ac:dyDescent="0.35">
      <c r="A7" s="47">
        <v>2015</v>
      </c>
      <c r="B7" s="49">
        <v>159</v>
      </c>
      <c r="C7" s="49">
        <v>217.66666666666666</v>
      </c>
      <c r="D7" s="49">
        <v>329</v>
      </c>
      <c r="E7" s="49">
        <v>489</v>
      </c>
      <c r="F7" s="49">
        <v>824</v>
      </c>
      <c r="G7" s="49">
        <v>418.55555555555554</v>
      </c>
      <c r="I7" s="46" t="s">
        <v>155</v>
      </c>
      <c r="J7">
        <v>2018</v>
      </c>
      <c r="K7">
        <v>2019</v>
      </c>
      <c r="L7">
        <v>2020</v>
      </c>
      <c r="M7">
        <v>2021</v>
      </c>
      <c r="N7">
        <v>2022</v>
      </c>
      <c r="O7">
        <v>2023</v>
      </c>
      <c r="P7">
        <v>2024</v>
      </c>
      <c r="Q7">
        <v>2025</v>
      </c>
      <c r="R7" t="s">
        <v>151</v>
      </c>
      <c r="U7" s="47" t="s">
        <v>101</v>
      </c>
      <c r="V7" s="41">
        <v>11.373652596390196</v>
      </c>
    </row>
    <row r="8" spans="1:22" x14ac:dyDescent="0.35">
      <c r="A8" s="47">
        <v>2016</v>
      </c>
      <c r="B8" s="49">
        <v>124</v>
      </c>
      <c r="C8" s="49">
        <v>289</v>
      </c>
      <c r="D8" s="49"/>
      <c r="E8" s="49">
        <v>599</v>
      </c>
      <c r="F8" s="49"/>
      <c r="G8" s="49">
        <v>285.66666666666669</v>
      </c>
      <c r="I8" s="47" t="s">
        <v>119</v>
      </c>
      <c r="J8" s="41"/>
      <c r="K8" s="41">
        <v>5.333333333333333</v>
      </c>
      <c r="L8" s="41"/>
      <c r="M8" s="41">
        <v>8</v>
      </c>
      <c r="N8" s="41">
        <v>5</v>
      </c>
      <c r="O8" s="41"/>
      <c r="P8" s="41"/>
      <c r="Q8" s="41">
        <v>8</v>
      </c>
      <c r="R8" s="41">
        <v>6</v>
      </c>
      <c r="U8" s="47" t="s">
        <v>103</v>
      </c>
      <c r="V8" s="41">
        <v>12.552301255230125</v>
      </c>
    </row>
    <row r="9" spans="1:22" x14ac:dyDescent="0.35">
      <c r="A9" s="47">
        <v>2017</v>
      </c>
      <c r="B9" s="49">
        <v>134</v>
      </c>
      <c r="C9" s="49">
        <v>229</v>
      </c>
      <c r="D9" s="49">
        <v>449</v>
      </c>
      <c r="E9" s="49"/>
      <c r="F9" s="49">
        <v>699</v>
      </c>
      <c r="G9" s="49">
        <v>329</v>
      </c>
      <c r="I9" s="47" t="s">
        <v>118</v>
      </c>
      <c r="J9" s="41">
        <v>8</v>
      </c>
      <c r="K9" s="41">
        <v>6.4</v>
      </c>
      <c r="L9" s="41">
        <v>7</v>
      </c>
      <c r="M9" s="41">
        <v>9.3333333333333339</v>
      </c>
      <c r="N9" s="41">
        <v>12</v>
      </c>
      <c r="O9" s="41">
        <v>10.666666666666666</v>
      </c>
      <c r="P9" s="41">
        <v>14</v>
      </c>
      <c r="Q9" s="41">
        <v>12.5</v>
      </c>
      <c r="R9" s="41">
        <v>9.8181818181818183</v>
      </c>
      <c r="U9" s="47" t="s">
        <v>105</v>
      </c>
      <c r="V9" s="41">
        <v>12.615786579815726</v>
      </c>
    </row>
    <row r="10" spans="1:22" x14ac:dyDescent="0.35">
      <c r="A10" s="47">
        <v>2018</v>
      </c>
      <c r="B10" s="49"/>
      <c r="C10" s="49">
        <v>279</v>
      </c>
      <c r="D10" s="49">
        <v>499</v>
      </c>
      <c r="E10" s="49">
        <v>699</v>
      </c>
      <c r="F10" s="49">
        <v>999</v>
      </c>
      <c r="G10" s="49">
        <v>619</v>
      </c>
      <c r="I10" s="47" t="s">
        <v>148</v>
      </c>
      <c r="J10" s="41">
        <v>8</v>
      </c>
      <c r="K10" s="41">
        <v>8</v>
      </c>
      <c r="L10" s="41">
        <v>8</v>
      </c>
      <c r="M10" s="41">
        <v>10.5</v>
      </c>
      <c r="N10" s="41"/>
      <c r="O10" s="41">
        <v>12</v>
      </c>
      <c r="P10" s="41">
        <v>14</v>
      </c>
      <c r="Q10" s="41">
        <v>15</v>
      </c>
      <c r="R10" s="41">
        <v>11.444444444444445</v>
      </c>
      <c r="U10" s="47" t="s">
        <v>106</v>
      </c>
      <c r="V10" s="41">
        <v>12.798424476286804</v>
      </c>
    </row>
    <row r="11" spans="1:22" x14ac:dyDescent="0.35">
      <c r="A11" s="47">
        <v>2019</v>
      </c>
      <c r="B11" s="49">
        <v>159</v>
      </c>
      <c r="C11" s="49">
        <v>295</v>
      </c>
      <c r="D11" s="49">
        <v>415.66666666666669</v>
      </c>
      <c r="E11" s="49">
        <v>699</v>
      </c>
      <c r="F11" s="49"/>
      <c r="G11" s="49">
        <v>324.83333333333331</v>
      </c>
      <c r="I11" s="47" t="s">
        <v>121</v>
      </c>
      <c r="J11" s="41">
        <v>8</v>
      </c>
      <c r="K11" s="41">
        <v>8</v>
      </c>
      <c r="L11" s="41">
        <v>14.666666666666666</v>
      </c>
      <c r="M11" s="41"/>
      <c r="N11" s="41">
        <v>16</v>
      </c>
      <c r="O11" s="41">
        <v>16</v>
      </c>
      <c r="P11" s="41">
        <v>16</v>
      </c>
      <c r="Q11" s="41">
        <v>16</v>
      </c>
      <c r="R11" s="41">
        <v>13.777777777777779</v>
      </c>
      <c r="U11" s="47" t="s">
        <v>107</v>
      </c>
      <c r="V11" s="41">
        <v>12.857721083808363</v>
      </c>
    </row>
    <row r="12" spans="1:22" x14ac:dyDescent="0.35">
      <c r="A12" s="47">
        <v>2020</v>
      </c>
      <c r="B12" s="49"/>
      <c r="C12" s="49">
        <v>339</v>
      </c>
      <c r="D12" s="49">
        <v>499</v>
      </c>
      <c r="E12" s="49">
        <v>642.33333333333337</v>
      </c>
      <c r="F12" s="49">
        <v>1249</v>
      </c>
      <c r="G12" s="49">
        <v>700.25</v>
      </c>
      <c r="I12" s="47" t="s">
        <v>120</v>
      </c>
      <c r="J12" s="41">
        <v>11</v>
      </c>
      <c r="K12" s="41"/>
      <c r="L12" s="41">
        <v>20</v>
      </c>
      <c r="M12" s="41">
        <v>12</v>
      </c>
      <c r="N12" s="41">
        <v>21.6</v>
      </c>
      <c r="O12" s="41"/>
      <c r="P12" s="41">
        <v>16</v>
      </c>
      <c r="Q12" s="41">
        <v>32</v>
      </c>
      <c r="R12" s="41">
        <v>19.90909090909091</v>
      </c>
      <c r="U12" s="47" t="s">
        <v>100</v>
      </c>
      <c r="V12" s="41">
        <v>14.714186985448725</v>
      </c>
    </row>
    <row r="13" spans="1:22" x14ac:dyDescent="0.35">
      <c r="A13" s="47">
        <v>2021</v>
      </c>
      <c r="B13" s="49">
        <v>249</v>
      </c>
      <c r="C13" s="49">
        <v>345.66666666666669</v>
      </c>
      <c r="D13" s="49">
        <v>476.5</v>
      </c>
      <c r="E13" s="49"/>
      <c r="F13" s="49">
        <v>1199</v>
      </c>
      <c r="G13" s="49">
        <v>487.88888888888891</v>
      </c>
      <c r="I13" s="47" t="s">
        <v>151</v>
      </c>
      <c r="J13" s="48">
        <v>8.75</v>
      </c>
      <c r="K13" s="48">
        <v>6.666666666666667</v>
      </c>
      <c r="L13" s="48">
        <v>13.25</v>
      </c>
      <c r="M13" s="48">
        <v>10</v>
      </c>
      <c r="N13" s="48">
        <v>15.8</v>
      </c>
      <c r="O13" s="48">
        <v>12</v>
      </c>
      <c r="P13" s="48">
        <v>14.666666666666666</v>
      </c>
      <c r="Q13" s="48">
        <v>15.090909090909092</v>
      </c>
      <c r="R13" s="48">
        <v>12.044776119402986</v>
      </c>
      <c r="U13" s="47" t="s">
        <v>99</v>
      </c>
      <c r="V13" s="41">
        <v>16.659249749450343</v>
      </c>
    </row>
    <row r="14" spans="1:22" x14ac:dyDescent="0.35">
      <c r="A14" s="47">
        <v>2022</v>
      </c>
      <c r="B14" s="49">
        <v>174</v>
      </c>
      <c r="C14" s="49">
        <v>319</v>
      </c>
      <c r="D14" s="49"/>
      <c r="E14" s="49">
        <v>1199</v>
      </c>
      <c r="F14" s="49">
        <v>1319</v>
      </c>
      <c r="G14" s="49">
        <v>878</v>
      </c>
      <c r="U14" s="47" t="s">
        <v>104</v>
      </c>
      <c r="V14" s="41">
        <v>17.135886832744511</v>
      </c>
    </row>
    <row r="15" spans="1:22" x14ac:dyDescent="0.35">
      <c r="A15" s="47">
        <v>2023</v>
      </c>
      <c r="B15" s="49"/>
      <c r="C15" s="49">
        <v>355.66666666666669</v>
      </c>
      <c r="D15" s="49">
        <v>615.66666666666663</v>
      </c>
      <c r="E15" s="49">
        <v>499</v>
      </c>
      <c r="F15" s="49"/>
      <c r="G15" s="49">
        <v>487.57142857142856</v>
      </c>
      <c r="U15" s="47" t="s">
        <v>102</v>
      </c>
      <c r="V15" s="41">
        <v>18.050144416293261</v>
      </c>
    </row>
    <row r="16" spans="1:22" x14ac:dyDescent="0.35">
      <c r="A16" s="47">
        <v>2024</v>
      </c>
      <c r="B16" s="49"/>
      <c r="C16" s="49">
        <v>289</v>
      </c>
      <c r="D16" s="49">
        <v>699</v>
      </c>
      <c r="E16" s="49">
        <v>999</v>
      </c>
      <c r="F16" s="49">
        <v>549</v>
      </c>
      <c r="G16" s="49">
        <v>587.33333333333337</v>
      </c>
      <c r="U16" s="47" t="s">
        <v>98</v>
      </c>
      <c r="V16" s="41">
        <v>18.591580053836044</v>
      </c>
    </row>
    <row r="17" spans="1:22" x14ac:dyDescent="0.35">
      <c r="A17" s="47">
        <v>2025</v>
      </c>
      <c r="B17" s="49">
        <v>249</v>
      </c>
      <c r="C17" s="49">
        <v>326.5</v>
      </c>
      <c r="D17" s="49">
        <v>586.75</v>
      </c>
      <c r="E17" s="49">
        <v>999</v>
      </c>
      <c r="F17" s="49">
        <v>1999</v>
      </c>
      <c r="G17" s="49">
        <v>627.27272727272725</v>
      </c>
      <c r="U17" s="47" t="s">
        <v>112</v>
      </c>
      <c r="V17" s="41">
        <v>18.925548852834517</v>
      </c>
    </row>
    <row r="18" spans="1:22" x14ac:dyDescent="0.35">
      <c r="A18" s="47" t="s">
        <v>151</v>
      </c>
      <c r="B18" s="49">
        <v>165.25</v>
      </c>
      <c r="C18" s="49">
        <v>299.5</v>
      </c>
      <c r="D18" s="49">
        <v>497.79166666666669</v>
      </c>
      <c r="E18" s="49">
        <v>689.66666666666663</v>
      </c>
      <c r="F18" s="49">
        <v>1095.875</v>
      </c>
      <c r="G18" s="49">
        <v>505.378640776699</v>
      </c>
      <c r="U18" s="47" t="s">
        <v>115</v>
      </c>
      <c r="V18" s="41">
        <v>24.314311496139045</v>
      </c>
    </row>
    <row r="19" spans="1:22" x14ac:dyDescent="0.35">
      <c r="U19" s="47" t="s">
        <v>114</v>
      </c>
      <c r="V19" s="41">
        <v>31.041976123672775</v>
      </c>
    </row>
    <row r="20" spans="1:22" x14ac:dyDescent="0.35">
      <c r="A20" s="46" t="s">
        <v>150</v>
      </c>
      <c r="B20" t="s">
        <v>154</v>
      </c>
      <c r="D20" s="46" t="s">
        <v>150</v>
      </c>
      <c r="E20" t="s">
        <v>154</v>
      </c>
      <c r="G20" s="46" t="s">
        <v>150</v>
      </c>
      <c r="H20" t="s">
        <v>154</v>
      </c>
      <c r="J20" s="46" t="s">
        <v>156</v>
      </c>
      <c r="K20" s="46" t="s">
        <v>117</v>
      </c>
      <c r="U20" s="47" t="s">
        <v>151</v>
      </c>
      <c r="V20" s="41">
        <v>13.352140447310655</v>
      </c>
    </row>
    <row r="21" spans="1:22" x14ac:dyDescent="0.35">
      <c r="A21" s="47" t="s">
        <v>104</v>
      </c>
      <c r="B21" s="41">
        <v>15.428571428571429</v>
      </c>
      <c r="D21" s="47" t="s">
        <v>98</v>
      </c>
      <c r="E21" s="41">
        <v>16</v>
      </c>
      <c r="G21" s="47" t="s">
        <v>115</v>
      </c>
      <c r="H21" s="41">
        <v>10</v>
      </c>
      <c r="J21" s="46" t="s">
        <v>153</v>
      </c>
      <c r="K21" t="s">
        <v>119</v>
      </c>
      <c r="L21" t="s">
        <v>118</v>
      </c>
      <c r="M21" t="s">
        <v>148</v>
      </c>
      <c r="N21" t="s">
        <v>121</v>
      </c>
      <c r="O21" t="s">
        <v>120</v>
      </c>
      <c r="P21" t="s">
        <v>151</v>
      </c>
    </row>
    <row r="22" spans="1:22" x14ac:dyDescent="0.35">
      <c r="A22" s="47" t="s">
        <v>105</v>
      </c>
      <c r="B22" s="41">
        <v>14.666666666666666</v>
      </c>
      <c r="D22" s="47" t="s">
        <v>99</v>
      </c>
      <c r="E22" s="41">
        <v>16</v>
      </c>
      <c r="G22" s="50" t="s">
        <v>119</v>
      </c>
      <c r="H22" s="41">
        <v>6</v>
      </c>
      <c r="J22" s="47">
        <v>2013</v>
      </c>
      <c r="K22" s="41">
        <v>12.5</v>
      </c>
      <c r="L22" s="41">
        <v>15</v>
      </c>
      <c r="M22" s="41">
        <v>21.666666666666668</v>
      </c>
      <c r="N22" s="41">
        <v>25</v>
      </c>
      <c r="O22" s="41">
        <v>30</v>
      </c>
      <c r="P22" s="41">
        <v>20.555555555555557</v>
      </c>
    </row>
    <row r="23" spans="1:22" x14ac:dyDescent="0.35">
      <c r="A23" s="47" t="s">
        <v>106</v>
      </c>
      <c r="B23" s="41">
        <v>12.888888888888889</v>
      </c>
      <c r="D23" s="47" t="s">
        <v>100</v>
      </c>
      <c r="E23" s="41">
        <v>11.090909090909092</v>
      </c>
      <c r="G23" s="50" t="s">
        <v>118</v>
      </c>
      <c r="H23" s="41">
        <v>12</v>
      </c>
      <c r="J23" s="47">
        <v>2014</v>
      </c>
      <c r="K23" s="41">
        <v>7.5</v>
      </c>
      <c r="L23" s="41">
        <v>20</v>
      </c>
      <c r="M23" s="41">
        <v>25</v>
      </c>
      <c r="N23" s="41">
        <v>35</v>
      </c>
      <c r="O23" s="41">
        <v>40</v>
      </c>
      <c r="P23" s="41">
        <v>22.142857142857142</v>
      </c>
    </row>
    <row r="24" spans="1:22" x14ac:dyDescent="0.35">
      <c r="A24" s="47" t="s">
        <v>107</v>
      </c>
      <c r="B24" s="41">
        <v>8.1428571428571423</v>
      </c>
      <c r="D24" s="47" t="s">
        <v>102</v>
      </c>
      <c r="E24" s="41">
        <v>7.5</v>
      </c>
      <c r="G24" s="47" t="s">
        <v>114</v>
      </c>
      <c r="H24" s="41">
        <v>11</v>
      </c>
      <c r="J24" s="47">
        <v>2015</v>
      </c>
      <c r="K24" s="41">
        <v>15</v>
      </c>
      <c r="L24" s="41">
        <v>20</v>
      </c>
      <c r="M24" s="41">
        <v>25</v>
      </c>
      <c r="N24" s="41">
        <v>32.5</v>
      </c>
      <c r="O24" s="41">
        <v>40</v>
      </c>
      <c r="P24" s="41">
        <v>27.222222222222221</v>
      </c>
    </row>
    <row r="25" spans="1:22" x14ac:dyDescent="0.35">
      <c r="A25" s="47" t="s">
        <v>112</v>
      </c>
      <c r="B25" s="41">
        <v>5.2</v>
      </c>
      <c r="D25" s="47" t="s">
        <v>101</v>
      </c>
      <c r="E25" s="41">
        <v>6.4</v>
      </c>
      <c r="G25" s="47" t="s">
        <v>151</v>
      </c>
      <c r="H25" s="41">
        <v>10.4</v>
      </c>
      <c r="J25" s="47">
        <v>2016</v>
      </c>
      <c r="K25" s="41">
        <v>17.5</v>
      </c>
      <c r="L25" s="41">
        <v>36.666666666666664</v>
      </c>
      <c r="M25" s="41"/>
      <c r="N25" s="41">
        <v>60</v>
      </c>
      <c r="O25" s="41"/>
      <c r="P25" s="41">
        <v>34.166666666666664</v>
      </c>
    </row>
    <row r="26" spans="1:22" x14ac:dyDescent="0.35">
      <c r="A26" s="47" t="s">
        <v>113</v>
      </c>
      <c r="B26" s="41">
        <v>6.7142857142857144</v>
      </c>
      <c r="D26" s="47" t="s">
        <v>103</v>
      </c>
      <c r="E26" s="41">
        <v>8</v>
      </c>
      <c r="J26" s="47">
        <v>2017</v>
      </c>
      <c r="K26" s="41">
        <v>17.5</v>
      </c>
      <c r="L26" s="41">
        <v>30</v>
      </c>
      <c r="M26" s="41">
        <v>55</v>
      </c>
      <c r="N26" s="41"/>
      <c r="O26" s="41">
        <v>70</v>
      </c>
      <c r="P26" s="41">
        <v>38</v>
      </c>
    </row>
    <row r="27" spans="1:22" x14ac:dyDescent="0.35">
      <c r="A27" s="47" t="s">
        <v>151</v>
      </c>
      <c r="B27" s="41">
        <v>11.045454545454545</v>
      </c>
      <c r="D27" s="47" t="s">
        <v>151</v>
      </c>
      <c r="E27">
        <v>11.35483870967742</v>
      </c>
      <c r="J27" s="47">
        <v>2018</v>
      </c>
      <c r="K27" s="41"/>
      <c r="L27" s="41">
        <v>35</v>
      </c>
      <c r="M27" s="41">
        <v>65</v>
      </c>
      <c r="N27" s="41">
        <v>75</v>
      </c>
      <c r="O27" s="41">
        <v>80</v>
      </c>
      <c r="P27" s="41">
        <v>63.75</v>
      </c>
    </row>
    <row r="28" spans="1:22" x14ac:dyDescent="0.35">
      <c r="J28" s="47">
        <v>2019</v>
      </c>
      <c r="K28" s="41">
        <v>30</v>
      </c>
      <c r="L28" s="41">
        <v>52</v>
      </c>
      <c r="M28" s="41">
        <v>66.666666666666671</v>
      </c>
      <c r="N28" s="41">
        <v>75</v>
      </c>
      <c r="O28" s="41"/>
      <c r="P28" s="41">
        <v>52.083333333333336</v>
      </c>
    </row>
    <row r="29" spans="1:22" x14ac:dyDescent="0.35">
      <c r="J29" s="47">
        <v>2020</v>
      </c>
      <c r="K29" s="41"/>
      <c r="L29" s="41">
        <v>65</v>
      </c>
      <c r="M29" s="41">
        <v>80</v>
      </c>
      <c r="N29" s="41">
        <v>81.666666666666671</v>
      </c>
      <c r="O29" s="41">
        <v>85</v>
      </c>
      <c r="P29" s="41">
        <v>78.125</v>
      </c>
    </row>
    <row r="30" spans="1:22" x14ac:dyDescent="0.35">
      <c r="J30" s="47">
        <v>2021</v>
      </c>
      <c r="K30" s="41">
        <v>45</v>
      </c>
      <c r="L30" s="41">
        <v>65</v>
      </c>
      <c r="M30" s="41">
        <v>75</v>
      </c>
      <c r="N30" s="41"/>
      <c r="O30" s="41">
        <v>85</v>
      </c>
      <c r="P30" s="41">
        <v>69.444444444444443</v>
      </c>
    </row>
    <row r="31" spans="1:22" x14ac:dyDescent="0.35">
      <c r="J31" s="47">
        <v>2022</v>
      </c>
      <c r="K31" s="41">
        <v>40</v>
      </c>
      <c r="L31" s="41">
        <v>62.5</v>
      </c>
      <c r="M31" s="41"/>
      <c r="N31" s="41">
        <v>90</v>
      </c>
      <c r="O31" s="41">
        <v>89</v>
      </c>
      <c r="P31" s="41">
        <v>74</v>
      </c>
    </row>
    <row r="32" spans="1:22" x14ac:dyDescent="0.35">
      <c r="J32" s="47">
        <v>2023</v>
      </c>
      <c r="K32" s="41"/>
      <c r="L32" s="41">
        <v>75</v>
      </c>
      <c r="M32" s="41">
        <v>83.333333333333329</v>
      </c>
      <c r="N32" s="41">
        <v>80</v>
      </c>
      <c r="O32" s="41"/>
      <c r="P32" s="41">
        <v>79.285714285714292</v>
      </c>
    </row>
    <row r="33" spans="10:16" x14ac:dyDescent="0.35">
      <c r="J33" s="47">
        <v>2024</v>
      </c>
      <c r="K33" s="41"/>
      <c r="L33" s="41">
        <v>75</v>
      </c>
      <c r="M33" s="41">
        <v>85</v>
      </c>
      <c r="N33" s="41">
        <v>90</v>
      </c>
      <c r="O33" s="41">
        <v>85</v>
      </c>
      <c r="P33" s="41">
        <v>82.5</v>
      </c>
    </row>
    <row r="34" spans="10:16" x14ac:dyDescent="0.35">
      <c r="J34" s="47">
        <v>2025</v>
      </c>
      <c r="K34" s="41">
        <v>75</v>
      </c>
      <c r="L34" s="41">
        <v>78.75</v>
      </c>
      <c r="M34" s="41">
        <v>87.5</v>
      </c>
      <c r="N34" s="41">
        <v>95</v>
      </c>
      <c r="O34" s="41">
        <v>125</v>
      </c>
      <c r="P34" s="41">
        <v>87.272727272727266</v>
      </c>
    </row>
    <row r="35" spans="10:16" x14ac:dyDescent="0.35">
      <c r="J35" s="47" t="s">
        <v>151</v>
      </c>
      <c r="K35" s="41">
        <v>25.9375</v>
      </c>
      <c r="L35" s="41">
        <v>52.8125</v>
      </c>
      <c r="M35" s="41">
        <v>66.041666666666671</v>
      </c>
      <c r="N35" s="41">
        <v>64</v>
      </c>
      <c r="O35" s="41">
        <v>75.625</v>
      </c>
      <c r="P35" s="41">
        <v>56.893203883495147</v>
      </c>
    </row>
  </sheetData>
  <conditionalFormatting pivot="1" sqref="K22:O3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5:F1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21:B2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21:E2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H21 H2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J8:R12">
    <cfRule type="colorScale" priority="4">
      <colorScale>
        <cfvo type="min"/>
        <cfvo type="max"/>
        <color rgb="FFF8696B"/>
        <color rgb="FFFCFCFF"/>
      </colorScale>
    </cfRule>
  </conditionalFormatting>
  <conditionalFormatting sqref="U1:U1048576">
    <cfRule type="cellIs" dxfId="35" priority="3" operator="equal">
      <formula>"N"</formula>
    </cfRule>
    <cfRule type="cellIs" dxfId="34" priority="2" operator="equal">
      <formula>"Y"</formula>
    </cfRule>
  </conditionalFormatting>
  <conditionalFormatting pivot="1" sqref="V17 V11 V10 V9 V14 V4 V6 V18 V19 V8 V7 V15 V12 V13 V5 V16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255D-4568-4481-B2AB-31275982F012}">
  <dimension ref="A1:C60"/>
  <sheetViews>
    <sheetView workbookViewId="0">
      <selection activeCell="E58" sqref="E58"/>
    </sheetView>
  </sheetViews>
  <sheetFormatPr defaultRowHeight="14.5" x14ac:dyDescent="0.35"/>
  <cols>
    <col min="1" max="1" width="18.08984375" bestFit="1" customWidth="1"/>
    <col min="2" max="2" width="24" bestFit="1" customWidth="1"/>
    <col min="3" max="3" width="19.1796875" bestFit="1" customWidth="1"/>
    <col min="4" max="4" width="5.81640625" bestFit="1" customWidth="1"/>
    <col min="5" max="5" width="5" bestFit="1" customWidth="1"/>
    <col min="6" max="6" width="19.1796875" bestFit="1" customWidth="1"/>
    <col min="7" max="7" width="11.81640625" bestFit="1" customWidth="1"/>
    <col min="8" max="8" width="4" bestFit="1" customWidth="1"/>
    <col min="9" max="9" width="11.81640625" bestFit="1" customWidth="1"/>
    <col min="10" max="10" width="28.81640625" bestFit="1" customWidth="1"/>
    <col min="11" max="11" width="24" bestFit="1" customWidth="1"/>
  </cols>
  <sheetData>
    <row r="1" spans="1:3" x14ac:dyDescent="0.35">
      <c r="A1" s="46" t="s">
        <v>51</v>
      </c>
      <c r="B1" t="s">
        <v>162</v>
      </c>
    </row>
    <row r="2" spans="1:3" x14ac:dyDescent="0.35">
      <c r="A2" s="46" t="s">
        <v>83</v>
      </c>
      <c r="B2" t="s">
        <v>162</v>
      </c>
    </row>
    <row r="3" spans="1:3" x14ac:dyDescent="0.35">
      <c r="A3" s="46" t="s">
        <v>71</v>
      </c>
      <c r="B3" t="s">
        <v>78</v>
      </c>
    </row>
    <row r="5" spans="1:3" x14ac:dyDescent="0.35">
      <c r="A5" s="46" t="s">
        <v>150</v>
      </c>
      <c r="B5" t="s">
        <v>163</v>
      </c>
      <c r="C5" t="s">
        <v>154</v>
      </c>
    </row>
    <row r="6" spans="1:3" x14ac:dyDescent="0.35">
      <c r="A6" s="47" t="s">
        <v>23</v>
      </c>
      <c r="B6">
        <v>125</v>
      </c>
      <c r="C6">
        <v>32</v>
      </c>
    </row>
    <row r="7" spans="1:3" x14ac:dyDescent="0.35">
      <c r="A7" s="50" t="s">
        <v>120</v>
      </c>
      <c r="B7">
        <v>125</v>
      </c>
      <c r="C7">
        <v>32</v>
      </c>
    </row>
    <row r="8" spans="1:3" x14ac:dyDescent="0.35">
      <c r="A8" s="47" t="s">
        <v>19</v>
      </c>
      <c r="B8">
        <v>100</v>
      </c>
      <c r="C8">
        <v>24</v>
      </c>
    </row>
    <row r="9" spans="1:3" x14ac:dyDescent="0.35">
      <c r="A9" s="50" t="s">
        <v>120</v>
      </c>
      <c r="B9">
        <v>100</v>
      </c>
      <c r="C9">
        <v>24</v>
      </c>
    </row>
    <row r="10" spans="1:3" x14ac:dyDescent="0.35">
      <c r="A10" s="47" t="s">
        <v>22</v>
      </c>
      <c r="B10">
        <v>95</v>
      </c>
      <c r="C10">
        <v>16</v>
      </c>
    </row>
    <row r="11" spans="1:3" x14ac:dyDescent="0.35">
      <c r="A11" s="50" t="s">
        <v>121</v>
      </c>
      <c r="B11">
        <v>95</v>
      </c>
      <c r="C11">
        <v>16</v>
      </c>
    </row>
    <row r="12" spans="1:3" x14ac:dyDescent="0.35">
      <c r="A12" s="47" t="s">
        <v>48</v>
      </c>
      <c r="B12">
        <v>90</v>
      </c>
      <c r="C12">
        <v>24</v>
      </c>
    </row>
    <row r="13" spans="1:3" x14ac:dyDescent="0.35">
      <c r="A13" s="50" t="s">
        <v>120</v>
      </c>
      <c r="B13">
        <v>90</v>
      </c>
      <c r="C13">
        <v>24</v>
      </c>
    </row>
    <row r="14" spans="1:3" x14ac:dyDescent="0.35">
      <c r="A14" s="47" t="s">
        <v>52</v>
      </c>
      <c r="B14">
        <v>90</v>
      </c>
      <c r="C14">
        <v>16</v>
      </c>
    </row>
    <row r="15" spans="1:3" x14ac:dyDescent="0.35">
      <c r="A15" s="50" t="s">
        <v>148</v>
      </c>
      <c r="B15">
        <v>90</v>
      </c>
      <c r="C15">
        <v>16</v>
      </c>
    </row>
    <row r="16" spans="1:3" x14ac:dyDescent="0.35">
      <c r="A16" s="47" t="s">
        <v>18</v>
      </c>
      <c r="B16">
        <v>90</v>
      </c>
      <c r="C16">
        <v>16</v>
      </c>
    </row>
    <row r="17" spans="1:3" x14ac:dyDescent="0.35">
      <c r="A17" s="50" t="s">
        <v>121</v>
      </c>
      <c r="B17">
        <v>90</v>
      </c>
      <c r="C17">
        <v>16</v>
      </c>
    </row>
    <row r="18" spans="1:3" x14ac:dyDescent="0.35">
      <c r="A18" s="47" t="s">
        <v>86</v>
      </c>
      <c r="B18">
        <v>90</v>
      </c>
      <c r="C18">
        <v>16</v>
      </c>
    </row>
    <row r="19" spans="1:3" x14ac:dyDescent="0.35">
      <c r="A19" s="50" t="s">
        <v>121</v>
      </c>
      <c r="B19">
        <v>90</v>
      </c>
      <c r="C19">
        <v>16</v>
      </c>
    </row>
    <row r="20" spans="1:3" x14ac:dyDescent="0.35">
      <c r="A20" s="47" t="s">
        <v>50</v>
      </c>
      <c r="B20">
        <v>90</v>
      </c>
      <c r="C20">
        <v>16</v>
      </c>
    </row>
    <row r="21" spans="1:3" x14ac:dyDescent="0.35">
      <c r="A21" s="50" t="s">
        <v>148</v>
      </c>
      <c r="B21">
        <v>90</v>
      </c>
      <c r="C21">
        <v>16</v>
      </c>
    </row>
    <row r="22" spans="1:3" x14ac:dyDescent="0.35">
      <c r="A22" s="47" t="s">
        <v>17</v>
      </c>
      <c r="B22">
        <v>85</v>
      </c>
      <c r="C22">
        <v>12</v>
      </c>
    </row>
    <row r="23" spans="1:3" x14ac:dyDescent="0.35">
      <c r="A23" s="50" t="s">
        <v>148</v>
      </c>
      <c r="B23">
        <v>85</v>
      </c>
      <c r="C23">
        <v>12</v>
      </c>
    </row>
    <row r="24" spans="1:3" x14ac:dyDescent="0.35">
      <c r="A24" s="47" t="s">
        <v>46</v>
      </c>
      <c r="B24">
        <v>85</v>
      </c>
      <c r="C24">
        <v>16</v>
      </c>
    </row>
    <row r="25" spans="1:3" x14ac:dyDescent="0.35">
      <c r="A25" s="50" t="s">
        <v>120</v>
      </c>
      <c r="B25">
        <v>85</v>
      </c>
      <c r="C25">
        <v>16</v>
      </c>
    </row>
    <row r="26" spans="1:3" x14ac:dyDescent="0.35">
      <c r="A26" s="47" t="s">
        <v>14</v>
      </c>
      <c r="B26">
        <v>85</v>
      </c>
      <c r="C26">
        <v>24</v>
      </c>
    </row>
    <row r="27" spans="1:3" x14ac:dyDescent="0.35">
      <c r="A27" s="50" t="s">
        <v>120</v>
      </c>
      <c r="B27">
        <v>85</v>
      </c>
      <c r="C27">
        <v>24</v>
      </c>
    </row>
    <row r="28" spans="1:3" x14ac:dyDescent="0.35">
      <c r="A28" s="47" t="s">
        <v>16</v>
      </c>
      <c r="B28">
        <v>85</v>
      </c>
      <c r="C28">
        <v>12</v>
      </c>
    </row>
    <row r="29" spans="1:3" x14ac:dyDescent="0.35">
      <c r="A29" s="50" t="s">
        <v>148</v>
      </c>
      <c r="B29">
        <v>85</v>
      </c>
      <c r="C29">
        <v>12</v>
      </c>
    </row>
    <row r="30" spans="1:3" x14ac:dyDescent="0.35">
      <c r="A30" s="47" t="s">
        <v>47</v>
      </c>
      <c r="B30">
        <v>85</v>
      </c>
      <c r="C30">
        <v>20</v>
      </c>
    </row>
    <row r="31" spans="1:3" x14ac:dyDescent="0.35">
      <c r="A31" s="50" t="s">
        <v>120</v>
      </c>
      <c r="B31">
        <v>85</v>
      </c>
      <c r="C31">
        <v>20</v>
      </c>
    </row>
    <row r="32" spans="1:3" x14ac:dyDescent="0.35">
      <c r="A32" s="47" t="s">
        <v>87</v>
      </c>
      <c r="B32">
        <v>85</v>
      </c>
      <c r="C32">
        <v>16</v>
      </c>
    </row>
    <row r="33" spans="1:3" x14ac:dyDescent="0.35">
      <c r="A33" s="50" t="s">
        <v>148</v>
      </c>
      <c r="B33">
        <v>85</v>
      </c>
      <c r="C33">
        <v>16</v>
      </c>
    </row>
    <row r="34" spans="1:3" x14ac:dyDescent="0.35">
      <c r="A34" s="47" t="s">
        <v>66</v>
      </c>
      <c r="B34">
        <v>85</v>
      </c>
      <c r="C34">
        <v>16</v>
      </c>
    </row>
    <row r="35" spans="1:3" x14ac:dyDescent="0.35">
      <c r="A35" s="50" t="s">
        <v>148</v>
      </c>
      <c r="B35">
        <v>85</v>
      </c>
      <c r="C35">
        <v>16</v>
      </c>
    </row>
    <row r="36" spans="1:3" x14ac:dyDescent="0.35">
      <c r="A36" s="47" t="s">
        <v>88</v>
      </c>
      <c r="B36">
        <v>85</v>
      </c>
      <c r="C36">
        <v>12</v>
      </c>
    </row>
    <row r="37" spans="1:3" x14ac:dyDescent="0.35">
      <c r="A37" s="50" t="s">
        <v>148</v>
      </c>
      <c r="B37">
        <v>85</v>
      </c>
      <c r="C37">
        <v>12</v>
      </c>
    </row>
    <row r="38" spans="1:3" x14ac:dyDescent="0.35">
      <c r="A38" s="47" t="s">
        <v>21</v>
      </c>
      <c r="B38">
        <v>85</v>
      </c>
      <c r="C38">
        <v>12</v>
      </c>
    </row>
    <row r="39" spans="1:3" x14ac:dyDescent="0.35">
      <c r="A39" s="50" t="s">
        <v>148</v>
      </c>
      <c r="B39">
        <v>85</v>
      </c>
      <c r="C39">
        <v>12</v>
      </c>
    </row>
    <row r="40" spans="1:3" x14ac:dyDescent="0.35">
      <c r="A40" s="47" t="s">
        <v>53</v>
      </c>
      <c r="B40">
        <v>85</v>
      </c>
      <c r="C40">
        <v>16</v>
      </c>
    </row>
    <row r="41" spans="1:3" x14ac:dyDescent="0.35">
      <c r="A41" s="50" t="s">
        <v>118</v>
      </c>
      <c r="B41">
        <v>85</v>
      </c>
      <c r="C41">
        <v>16</v>
      </c>
    </row>
    <row r="42" spans="1:3" x14ac:dyDescent="0.35">
      <c r="A42" s="47" t="s">
        <v>49</v>
      </c>
      <c r="B42">
        <v>80</v>
      </c>
      <c r="C42">
        <v>16</v>
      </c>
    </row>
    <row r="43" spans="1:3" x14ac:dyDescent="0.35">
      <c r="A43" s="50" t="s">
        <v>118</v>
      </c>
      <c r="B43">
        <v>80</v>
      </c>
      <c r="C43">
        <v>16</v>
      </c>
    </row>
    <row r="44" spans="1:3" x14ac:dyDescent="0.35">
      <c r="A44" s="47" t="s">
        <v>45</v>
      </c>
      <c r="B44">
        <v>80</v>
      </c>
      <c r="C44">
        <v>16</v>
      </c>
    </row>
    <row r="45" spans="1:3" x14ac:dyDescent="0.35">
      <c r="A45" s="50" t="s">
        <v>121</v>
      </c>
      <c r="B45">
        <v>80</v>
      </c>
      <c r="C45">
        <v>16</v>
      </c>
    </row>
    <row r="46" spans="1:3" x14ac:dyDescent="0.35">
      <c r="A46" s="47" t="s">
        <v>44</v>
      </c>
      <c r="B46">
        <v>80</v>
      </c>
      <c r="C46">
        <v>12</v>
      </c>
    </row>
    <row r="47" spans="1:3" x14ac:dyDescent="0.35">
      <c r="A47" s="50" t="s">
        <v>148</v>
      </c>
      <c r="B47">
        <v>80</v>
      </c>
      <c r="C47">
        <v>12</v>
      </c>
    </row>
    <row r="48" spans="1:3" x14ac:dyDescent="0.35">
      <c r="A48" s="47" t="s">
        <v>54</v>
      </c>
      <c r="B48">
        <v>80</v>
      </c>
      <c r="C48">
        <v>16</v>
      </c>
    </row>
    <row r="49" spans="1:3" x14ac:dyDescent="0.35">
      <c r="A49" s="50" t="s">
        <v>118</v>
      </c>
      <c r="B49">
        <v>80</v>
      </c>
      <c r="C49">
        <v>16</v>
      </c>
    </row>
    <row r="50" spans="1:3" x14ac:dyDescent="0.35">
      <c r="A50" s="47" t="s">
        <v>43</v>
      </c>
      <c r="B50">
        <v>75</v>
      </c>
      <c r="C50">
        <v>16</v>
      </c>
    </row>
    <row r="51" spans="1:3" x14ac:dyDescent="0.35">
      <c r="A51" s="50" t="s">
        <v>118</v>
      </c>
      <c r="B51">
        <v>75</v>
      </c>
      <c r="C51">
        <v>16</v>
      </c>
    </row>
    <row r="52" spans="1:3" x14ac:dyDescent="0.35">
      <c r="A52" s="47" t="s">
        <v>72</v>
      </c>
      <c r="B52">
        <v>75</v>
      </c>
      <c r="C52">
        <v>12</v>
      </c>
    </row>
    <row r="53" spans="1:3" x14ac:dyDescent="0.35">
      <c r="A53" s="50" t="s">
        <v>118</v>
      </c>
      <c r="B53">
        <v>75</v>
      </c>
      <c r="C53">
        <v>12</v>
      </c>
    </row>
    <row r="54" spans="1:3" x14ac:dyDescent="0.35">
      <c r="A54" s="47" t="s">
        <v>76</v>
      </c>
      <c r="B54">
        <v>70</v>
      </c>
      <c r="C54">
        <v>10</v>
      </c>
    </row>
    <row r="55" spans="1:3" x14ac:dyDescent="0.35">
      <c r="A55" s="50" t="s">
        <v>118</v>
      </c>
      <c r="B55">
        <v>70</v>
      </c>
      <c r="C55">
        <v>10</v>
      </c>
    </row>
    <row r="56" spans="1:3" x14ac:dyDescent="0.35">
      <c r="A56" s="47" t="s">
        <v>8</v>
      </c>
      <c r="B56">
        <v>65</v>
      </c>
      <c r="C56">
        <v>12</v>
      </c>
    </row>
    <row r="57" spans="1:3" x14ac:dyDescent="0.35">
      <c r="A57" s="50" t="s">
        <v>118</v>
      </c>
      <c r="B57">
        <v>65</v>
      </c>
      <c r="C57">
        <v>12</v>
      </c>
    </row>
    <row r="58" spans="1:3" x14ac:dyDescent="0.35">
      <c r="A58" s="47" t="s">
        <v>75</v>
      </c>
      <c r="B58">
        <v>65</v>
      </c>
      <c r="C58">
        <v>16</v>
      </c>
    </row>
    <row r="59" spans="1:3" x14ac:dyDescent="0.35">
      <c r="A59" s="50" t="s">
        <v>118</v>
      </c>
      <c r="B59">
        <v>65</v>
      </c>
      <c r="C59">
        <v>16</v>
      </c>
    </row>
    <row r="60" spans="1:3" x14ac:dyDescent="0.35">
      <c r="A60" s="47" t="s">
        <v>151</v>
      </c>
      <c r="B60">
        <v>84.81481481481481</v>
      </c>
      <c r="C60">
        <v>16.37037037037037</v>
      </c>
    </row>
  </sheetData>
  <conditionalFormatting pivot="1" sqref="B6:C6 B7:C7 B8:C8 B9:C9 B10:C10 B11:C11 B12:C12 B13:C13 B14:C14 B15:C15 B16:C16 B17:C17 B18:C18 B19:C19 B20:C20 B21:C21 B22:C22 B23:C23 B24:C24 B25:C25 B26:C26 B27:C27 B28:C28 B29:C29 B30:C30 B31:C31 B32:C32 B33:C33 B34:C34 B35:C35 B36:C36 B37:C37 B38:C38 B39:C39 B40:C40 B41:C41 B42:C42 B43:C43 B44:C44 B45:C45 B46:C46 B47:C47 B48:C48 B49:C49 B50:C50 B51:C51 B52:C52 B53:C53 B54:C54 B55:C55 B56:C56 B57:C57 B58:C58 B59:C5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"/>
  <sheetViews>
    <sheetView tabSelected="1" zoomScale="110" zoomScaleNormal="110" workbookViewId="0">
      <selection activeCell="A7" sqref="A7"/>
    </sheetView>
  </sheetViews>
  <sheetFormatPr defaultRowHeight="14.5" x14ac:dyDescent="0.35"/>
  <cols>
    <col min="1" max="1" width="21.08984375" bestFit="1" customWidth="1"/>
    <col min="2" max="2" width="9.90625" bestFit="1" customWidth="1"/>
    <col min="3" max="3" width="10.7265625" bestFit="1" customWidth="1"/>
    <col min="4" max="4" width="10.36328125" bestFit="1" customWidth="1"/>
    <col min="5" max="5" width="17" style="3" customWidth="1"/>
    <col min="6" max="6" width="14.08984375" customWidth="1"/>
    <col min="7" max="7" width="21.453125" customWidth="1"/>
    <col min="8" max="8" width="21.453125" style="41" customWidth="1"/>
    <col min="9" max="9" width="14.54296875" customWidth="1"/>
    <col min="10" max="10" width="24.7265625" customWidth="1"/>
  </cols>
  <sheetData>
    <row r="1" spans="1:9" ht="28" customHeight="1" x14ac:dyDescent="0.35">
      <c r="A1" s="5" t="s">
        <v>95</v>
      </c>
      <c r="B1" s="5" t="s">
        <v>117</v>
      </c>
      <c r="C1" s="5" t="s">
        <v>97</v>
      </c>
      <c r="D1" s="5" t="s">
        <v>83</v>
      </c>
      <c r="E1" s="1" t="s">
        <v>51</v>
      </c>
      <c r="F1" s="5" t="s">
        <v>94</v>
      </c>
      <c r="G1" s="5" t="s">
        <v>96</v>
      </c>
      <c r="H1" s="34" t="s">
        <v>149</v>
      </c>
      <c r="I1" s="5" t="s">
        <v>71</v>
      </c>
    </row>
    <row r="2" spans="1:9" s="4" customFormat="1" x14ac:dyDescent="0.35">
      <c r="A2" s="7" t="s">
        <v>73</v>
      </c>
      <c r="B2" s="17" t="s">
        <v>119</v>
      </c>
      <c r="C2" s="7" t="s">
        <v>115</v>
      </c>
      <c r="D2" s="10">
        <v>6</v>
      </c>
      <c r="E2" s="19">
        <v>50</v>
      </c>
      <c r="F2" s="51">
        <v>44562</v>
      </c>
      <c r="G2" s="11">
        <v>149</v>
      </c>
      <c r="H2" s="35">
        <f t="shared" ref="H2:H33" si="0">(E2/G2)*100</f>
        <v>33.557046979865774</v>
      </c>
      <c r="I2" s="12" t="s">
        <v>78</v>
      </c>
    </row>
    <row r="3" spans="1:9" s="4" customFormat="1" x14ac:dyDescent="0.35">
      <c r="A3" s="16" t="s">
        <v>76</v>
      </c>
      <c r="B3" s="20" t="s">
        <v>118</v>
      </c>
      <c r="C3" s="16" t="s">
        <v>114</v>
      </c>
      <c r="D3" s="10">
        <v>10</v>
      </c>
      <c r="E3" s="19">
        <v>70</v>
      </c>
      <c r="F3" s="51">
        <v>45658</v>
      </c>
      <c r="G3" s="11">
        <v>219</v>
      </c>
      <c r="H3" s="35">
        <f t="shared" si="0"/>
        <v>31.963470319634702</v>
      </c>
      <c r="I3" s="12" t="s">
        <v>78</v>
      </c>
    </row>
    <row r="4" spans="1:9" s="4" customFormat="1" x14ac:dyDescent="0.35">
      <c r="A4" s="20" t="s">
        <v>57</v>
      </c>
      <c r="B4" s="20" t="s">
        <v>119</v>
      </c>
      <c r="C4" s="20" t="s">
        <v>104</v>
      </c>
      <c r="D4" s="10">
        <v>8</v>
      </c>
      <c r="E4" s="19">
        <v>75</v>
      </c>
      <c r="F4" s="52">
        <v>45658</v>
      </c>
      <c r="G4" s="11">
        <v>249</v>
      </c>
      <c r="H4" s="35">
        <f t="shared" si="0"/>
        <v>30.120481927710845</v>
      </c>
      <c r="I4" s="18" t="s">
        <v>78</v>
      </c>
    </row>
    <row r="5" spans="1:9" s="4" customFormat="1" x14ac:dyDescent="0.35">
      <c r="A5" s="7" t="s">
        <v>72</v>
      </c>
      <c r="B5" s="20" t="s">
        <v>118</v>
      </c>
      <c r="C5" s="7" t="s">
        <v>114</v>
      </c>
      <c r="D5" s="10">
        <v>12</v>
      </c>
      <c r="E5" s="19">
        <v>75</v>
      </c>
      <c r="F5" s="51">
        <v>45292</v>
      </c>
      <c r="G5" s="11">
        <v>249</v>
      </c>
      <c r="H5" s="35">
        <f t="shared" si="0"/>
        <v>30.120481927710845</v>
      </c>
      <c r="I5" s="12" t="s">
        <v>78</v>
      </c>
    </row>
    <row r="6" spans="1:9" s="4" customFormat="1" x14ac:dyDescent="0.35">
      <c r="A6" s="20" t="s">
        <v>20</v>
      </c>
      <c r="B6" s="20" t="s">
        <v>118</v>
      </c>
      <c r="C6" s="20" t="s">
        <v>104</v>
      </c>
      <c r="D6" s="10">
        <v>8</v>
      </c>
      <c r="E6" s="9">
        <v>80</v>
      </c>
      <c r="F6" s="51">
        <v>45658</v>
      </c>
      <c r="G6" s="11">
        <v>299</v>
      </c>
      <c r="H6" s="35">
        <f t="shared" si="0"/>
        <v>26.755852842809364</v>
      </c>
      <c r="I6" s="18" t="s">
        <v>78</v>
      </c>
    </row>
    <row r="7" spans="1:9" x14ac:dyDescent="0.35">
      <c r="A7" s="20" t="s">
        <v>42</v>
      </c>
      <c r="B7" s="20" t="s">
        <v>118</v>
      </c>
      <c r="C7" s="20" t="s">
        <v>99</v>
      </c>
      <c r="D7" s="10">
        <v>8</v>
      </c>
      <c r="E7" s="19">
        <v>70</v>
      </c>
      <c r="F7" s="51">
        <v>44927</v>
      </c>
      <c r="G7" s="11">
        <v>269</v>
      </c>
      <c r="H7" s="35">
        <f t="shared" si="0"/>
        <v>26.022304832713754</v>
      </c>
      <c r="I7" s="12" t="s">
        <v>78</v>
      </c>
    </row>
    <row r="8" spans="1:9" x14ac:dyDescent="0.35">
      <c r="A8" s="20" t="s">
        <v>15</v>
      </c>
      <c r="B8" s="20" t="s">
        <v>118</v>
      </c>
      <c r="C8" s="20" t="s">
        <v>105</v>
      </c>
      <c r="D8" s="10">
        <v>8</v>
      </c>
      <c r="E8" s="19">
        <v>75</v>
      </c>
      <c r="F8" s="51">
        <v>44927</v>
      </c>
      <c r="G8" s="11">
        <v>299</v>
      </c>
      <c r="H8" s="35">
        <f t="shared" si="0"/>
        <v>25.083612040133779</v>
      </c>
      <c r="I8" s="18" t="s">
        <v>78</v>
      </c>
    </row>
    <row r="9" spans="1:9" x14ac:dyDescent="0.35">
      <c r="A9" s="13" t="s">
        <v>43</v>
      </c>
      <c r="B9" s="13" t="s">
        <v>118</v>
      </c>
      <c r="C9" s="13" t="s">
        <v>99</v>
      </c>
      <c r="D9" s="8">
        <v>16</v>
      </c>
      <c r="E9" s="9">
        <v>75</v>
      </c>
      <c r="F9" s="52">
        <v>45292</v>
      </c>
      <c r="G9" s="15">
        <v>329</v>
      </c>
      <c r="H9" s="39">
        <f t="shared" si="0"/>
        <v>22.796352583586625</v>
      </c>
      <c r="I9" s="12" t="s">
        <v>78</v>
      </c>
    </row>
    <row r="10" spans="1:9" x14ac:dyDescent="0.35">
      <c r="A10" s="13" t="s">
        <v>49</v>
      </c>
      <c r="B10" s="13" t="s">
        <v>118</v>
      </c>
      <c r="C10" s="13" t="s">
        <v>98</v>
      </c>
      <c r="D10" s="28">
        <v>16</v>
      </c>
      <c r="E10" s="9">
        <v>80</v>
      </c>
      <c r="F10" s="52">
        <v>45658</v>
      </c>
      <c r="G10" s="15">
        <v>359</v>
      </c>
      <c r="H10" s="39">
        <f t="shared" si="0"/>
        <v>22.284122562674096</v>
      </c>
      <c r="I10" s="12" t="s">
        <v>78</v>
      </c>
    </row>
    <row r="11" spans="1:9" x14ac:dyDescent="0.35">
      <c r="A11" s="16" t="s">
        <v>74</v>
      </c>
      <c r="B11" s="29" t="s">
        <v>118</v>
      </c>
      <c r="C11" s="16" t="s">
        <v>115</v>
      </c>
      <c r="D11" s="10">
        <v>8</v>
      </c>
      <c r="E11" s="19">
        <v>60</v>
      </c>
      <c r="F11" s="51">
        <v>44562</v>
      </c>
      <c r="G11" s="11">
        <v>289</v>
      </c>
      <c r="H11" s="35">
        <f t="shared" si="0"/>
        <v>20.761245674740483</v>
      </c>
      <c r="I11" s="12" t="s">
        <v>78</v>
      </c>
    </row>
    <row r="12" spans="1:9" hidden="1" x14ac:dyDescent="0.35">
      <c r="A12" s="13" t="s">
        <v>41</v>
      </c>
      <c r="B12" s="13" t="s">
        <v>120</v>
      </c>
      <c r="C12" s="13" t="s">
        <v>100</v>
      </c>
      <c r="D12" s="8">
        <v>16</v>
      </c>
      <c r="E12" s="9">
        <v>85</v>
      </c>
      <c r="F12" s="52">
        <v>44562</v>
      </c>
      <c r="G12" s="15">
        <v>1099</v>
      </c>
      <c r="H12" s="39">
        <f t="shared" si="0"/>
        <v>7.7343039126478619</v>
      </c>
      <c r="I12" s="12" t="s">
        <v>77</v>
      </c>
    </row>
    <row r="13" spans="1:9" hidden="1" x14ac:dyDescent="0.35">
      <c r="A13" s="20" t="s">
        <v>40</v>
      </c>
      <c r="B13" s="20" t="s">
        <v>120</v>
      </c>
      <c r="C13" s="20" t="s">
        <v>100</v>
      </c>
      <c r="D13" s="8">
        <v>16</v>
      </c>
      <c r="E13" s="19">
        <v>85</v>
      </c>
      <c r="F13" s="51">
        <v>43831</v>
      </c>
      <c r="G13" s="11">
        <v>999</v>
      </c>
      <c r="H13" s="35">
        <f t="shared" si="0"/>
        <v>8.508508508508509</v>
      </c>
      <c r="I13" s="12" t="s">
        <v>77</v>
      </c>
    </row>
    <row r="14" spans="1:9" hidden="1" x14ac:dyDescent="0.35">
      <c r="A14" s="13" t="s">
        <v>39</v>
      </c>
      <c r="B14" s="13" t="s">
        <v>121</v>
      </c>
      <c r="C14" s="13" t="s">
        <v>100</v>
      </c>
      <c r="D14" s="8">
        <v>16</v>
      </c>
      <c r="E14" s="9">
        <v>80</v>
      </c>
      <c r="F14" s="52">
        <v>43831</v>
      </c>
      <c r="G14" s="15">
        <v>649</v>
      </c>
      <c r="H14" s="39">
        <f t="shared" si="0"/>
        <v>12.326656394453005</v>
      </c>
      <c r="I14" s="12" t="s">
        <v>77</v>
      </c>
    </row>
    <row r="15" spans="1:9" hidden="1" x14ac:dyDescent="0.35">
      <c r="A15" s="20" t="s">
        <v>38</v>
      </c>
      <c r="B15" s="20" t="s">
        <v>121</v>
      </c>
      <c r="C15" s="20" t="s">
        <v>100</v>
      </c>
      <c r="D15" s="8">
        <v>16</v>
      </c>
      <c r="E15" s="9">
        <v>80</v>
      </c>
      <c r="F15" s="51">
        <v>43831</v>
      </c>
      <c r="G15" s="11">
        <v>579</v>
      </c>
      <c r="H15" s="35">
        <f t="shared" si="0"/>
        <v>13.81692573402418</v>
      </c>
      <c r="I15" s="12" t="s">
        <v>77</v>
      </c>
    </row>
    <row r="16" spans="1:9" hidden="1" x14ac:dyDescent="0.35">
      <c r="A16" s="17" t="s">
        <v>79</v>
      </c>
      <c r="B16" s="17" t="s">
        <v>148</v>
      </c>
      <c r="C16" s="17" t="s">
        <v>100</v>
      </c>
      <c r="D16" s="10">
        <v>12</v>
      </c>
      <c r="E16" s="9">
        <v>75</v>
      </c>
      <c r="F16" s="52">
        <v>44197</v>
      </c>
      <c r="G16" s="15">
        <v>499</v>
      </c>
      <c r="H16" s="39">
        <f t="shared" si="0"/>
        <v>15.030060120240481</v>
      </c>
      <c r="I16" s="12" t="s">
        <v>77</v>
      </c>
    </row>
    <row r="17" spans="1:9" hidden="1" x14ac:dyDescent="0.35">
      <c r="A17" s="13" t="s">
        <v>37</v>
      </c>
      <c r="B17" s="13" t="s">
        <v>148</v>
      </c>
      <c r="C17" s="13" t="s">
        <v>100</v>
      </c>
      <c r="D17" s="8">
        <v>12</v>
      </c>
      <c r="E17" s="9">
        <v>75</v>
      </c>
      <c r="F17" s="52">
        <v>44197</v>
      </c>
      <c r="G17" s="15">
        <v>479</v>
      </c>
      <c r="H17" s="39">
        <f t="shared" si="0"/>
        <v>15.657620041753653</v>
      </c>
      <c r="I17" s="22" t="s">
        <v>77</v>
      </c>
    </row>
    <row r="18" spans="1:9" hidden="1" x14ac:dyDescent="0.35">
      <c r="A18" s="17" t="s">
        <v>67</v>
      </c>
      <c r="B18" s="17" t="s">
        <v>148</v>
      </c>
      <c r="C18" s="17" t="s">
        <v>100</v>
      </c>
      <c r="D18" s="19">
        <v>10</v>
      </c>
      <c r="E18" s="19">
        <v>70</v>
      </c>
      <c r="F18" s="53">
        <v>44197</v>
      </c>
      <c r="G18" s="21">
        <v>329</v>
      </c>
      <c r="H18" s="40">
        <f t="shared" si="0"/>
        <v>21.276595744680851</v>
      </c>
      <c r="I18" s="22" t="s">
        <v>77</v>
      </c>
    </row>
    <row r="19" spans="1:9" x14ac:dyDescent="0.35">
      <c r="A19" s="20" t="s">
        <v>53</v>
      </c>
      <c r="B19" s="20" t="s">
        <v>118</v>
      </c>
      <c r="C19" s="20" t="s">
        <v>104</v>
      </c>
      <c r="D19" s="8">
        <v>16</v>
      </c>
      <c r="E19" s="9">
        <v>85</v>
      </c>
      <c r="F19" s="52">
        <v>45658</v>
      </c>
      <c r="G19" s="11">
        <v>429</v>
      </c>
      <c r="H19" s="35">
        <f t="shared" si="0"/>
        <v>19.813519813519815</v>
      </c>
      <c r="I19" s="18" t="s">
        <v>78</v>
      </c>
    </row>
    <row r="20" spans="1:9" x14ac:dyDescent="0.35">
      <c r="A20" s="20" t="s">
        <v>8</v>
      </c>
      <c r="B20" s="20" t="s">
        <v>118</v>
      </c>
      <c r="C20" s="20" t="s">
        <v>106</v>
      </c>
      <c r="D20" s="10">
        <v>12</v>
      </c>
      <c r="E20" s="9">
        <v>65</v>
      </c>
      <c r="F20" s="51">
        <v>44197</v>
      </c>
      <c r="G20" s="11">
        <v>329</v>
      </c>
      <c r="H20" s="35">
        <f t="shared" si="0"/>
        <v>19.756838905775076</v>
      </c>
      <c r="I20" s="12" t="s">
        <v>78</v>
      </c>
    </row>
    <row r="21" spans="1:9" x14ac:dyDescent="0.35">
      <c r="A21" s="7" t="s">
        <v>75</v>
      </c>
      <c r="B21" s="7" t="s">
        <v>118</v>
      </c>
      <c r="C21" s="7" t="s">
        <v>115</v>
      </c>
      <c r="D21" s="10">
        <v>16</v>
      </c>
      <c r="E21" s="19">
        <v>65</v>
      </c>
      <c r="F21" s="51">
        <v>44562</v>
      </c>
      <c r="G21" s="11">
        <v>349</v>
      </c>
      <c r="H21" s="35">
        <f t="shared" si="0"/>
        <v>18.624641833810887</v>
      </c>
      <c r="I21" s="12" t="s">
        <v>78</v>
      </c>
    </row>
    <row r="22" spans="1:9" x14ac:dyDescent="0.35">
      <c r="A22" s="20" t="s">
        <v>36</v>
      </c>
      <c r="B22" s="20" t="s">
        <v>118</v>
      </c>
      <c r="C22" s="20" t="s">
        <v>100</v>
      </c>
      <c r="D22" s="10">
        <v>8</v>
      </c>
      <c r="E22" s="19">
        <v>70</v>
      </c>
      <c r="F22" s="51">
        <v>44197</v>
      </c>
      <c r="G22" s="11">
        <v>379</v>
      </c>
      <c r="H22" s="35">
        <f t="shared" si="0"/>
        <v>18.469656992084431</v>
      </c>
      <c r="I22" s="12" t="s">
        <v>78</v>
      </c>
    </row>
    <row r="23" spans="1:9" hidden="1" x14ac:dyDescent="0.35">
      <c r="A23" s="20" t="s">
        <v>28</v>
      </c>
      <c r="B23" s="20" t="s">
        <v>118</v>
      </c>
      <c r="C23" s="20" t="s">
        <v>101</v>
      </c>
      <c r="D23" s="10">
        <v>8</v>
      </c>
      <c r="E23" s="19">
        <v>35</v>
      </c>
      <c r="F23" s="51">
        <v>43101</v>
      </c>
      <c r="G23" s="11">
        <v>279</v>
      </c>
      <c r="H23" s="35">
        <f t="shared" si="0"/>
        <v>12.544802867383511</v>
      </c>
      <c r="I23" s="12" t="s">
        <v>77</v>
      </c>
    </row>
    <row r="24" spans="1:9" hidden="1" x14ac:dyDescent="0.35">
      <c r="A24" s="13" t="s">
        <v>27</v>
      </c>
      <c r="B24" s="20" t="s">
        <v>118</v>
      </c>
      <c r="C24" s="13" t="s">
        <v>101</v>
      </c>
      <c r="D24" s="8">
        <v>8</v>
      </c>
      <c r="E24" s="9">
        <v>30</v>
      </c>
      <c r="F24" s="52">
        <v>42736</v>
      </c>
      <c r="G24" s="15">
        <v>229</v>
      </c>
      <c r="H24" s="39">
        <f t="shared" si="0"/>
        <v>13.100436681222707</v>
      </c>
      <c r="I24" s="12" t="s">
        <v>77</v>
      </c>
    </row>
    <row r="25" spans="1:9" hidden="1" x14ac:dyDescent="0.35">
      <c r="A25" s="43" t="s">
        <v>32</v>
      </c>
      <c r="B25" s="45" t="s">
        <v>148</v>
      </c>
      <c r="C25" s="20" t="s">
        <v>102</v>
      </c>
      <c r="D25" s="10">
        <v>8</v>
      </c>
      <c r="E25" s="19">
        <v>70</v>
      </c>
      <c r="F25" s="51">
        <v>43466</v>
      </c>
      <c r="G25" s="11">
        <v>399</v>
      </c>
      <c r="H25" s="37">
        <f t="shared" si="0"/>
        <v>17.543859649122805</v>
      </c>
      <c r="I25" s="32" t="s">
        <v>77</v>
      </c>
    </row>
    <row r="26" spans="1:9" hidden="1" x14ac:dyDescent="0.35">
      <c r="A26" s="13" t="s">
        <v>31</v>
      </c>
      <c r="B26" s="13" t="s">
        <v>148</v>
      </c>
      <c r="C26" s="13" t="s">
        <v>102</v>
      </c>
      <c r="D26" s="8">
        <v>8</v>
      </c>
      <c r="E26" s="9">
        <v>60</v>
      </c>
      <c r="F26" s="52">
        <v>43466</v>
      </c>
      <c r="G26" s="15">
        <v>349</v>
      </c>
      <c r="H26" s="38">
        <f t="shared" si="0"/>
        <v>17.191977077363894</v>
      </c>
      <c r="I26" s="32" t="s">
        <v>77</v>
      </c>
    </row>
    <row r="27" spans="1:9" hidden="1" x14ac:dyDescent="0.35">
      <c r="A27" s="7" t="s">
        <v>26</v>
      </c>
      <c r="B27" s="20" t="s">
        <v>119</v>
      </c>
      <c r="C27" s="20" t="s">
        <v>101</v>
      </c>
      <c r="D27" s="10">
        <v>8</v>
      </c>
      <c r="E27" s="19">
        <v>25</v>
      </c>
      <c r="F27" s="51">
        <v>42736</v>
      </c>
      <c r="G27" s="11">
        <v>169</v>
      </c>
      <c r="H27" s="37">
        <f t="shared" si="0"/>
        <v>14.792899408284024</v>
      </c>
      <c r="I27" s="32" t="s">
        <v>77</v>
      </c>
    </row>
    <row r="28" spans="1:9" hidden="1" x14ac:dyDescent="0.35">
      <c r="A28" s="20" t="s">
        <v>30</v>
      </c>
      <c r="B28" s="20" t="s">
        <v>118</v>
      </c>
      <c r="C28" s="20" t="s">
        <v>102</v>
      </c>
      <c r="D28" s="10">
        <v>6</v>
      </c>
      <c r="E28" s="19">
        <v>55</v>
      </c>
      <c r="F28" s="51">
        <v>43831</v>
      </c>
      <c r="G28" s="11">
        <v>279</v>
      </c>
      <c r="H28" s="37">
        <f t="shared" si="0"/>
        <v>19.713261648745519</v>
      </c>
      <c r="I28" s="32" t="s">
        <v>77</v>
      </c>
    </row>
    <row r="29" spans="1:9" hidden="1" x14ac:dyDescent="0.35">
      <c r="A29" s="13" t="s">
        <v>25</v>
      </c>
      <c r="B29" s="13" t="s">
        <v>119</v>
      </c>
      <c r="C29" s="13" t="s">
        <v>101</v>
      </c>
      <c r="D29" s="14">
        <v>4</v>
      </c>
      <c r="E29" s="9">
        <v>10</v>
      </c>
      <c r="F29" s="52">
        <v>42736</v>
      </c>
      <c r="G29" s="15">
        <v>99</v>
      </c>
      <c r="H29" s="38">
        <f t="shared" si="0"/>
        <v>10.1010101010101</v>
      </c>
      <c r="I29" s="32" t="s">
        <v>77</v>
      </c>
    </row>
    <row r="30" spans="1:9" hidden="1" x14ac:dyDescent="0.35">
      <c r="A30" s="13" t="s">
        <v>29</v>
      </c>
      <c r="B30" s="13" t="s">
        <v>119</v>
      </c>
      <c r="C30" s="13" t="s">
        <v>102</v>
      </c>
      <c r="D30" s="8">
        <v>8</v>
      </c>
      <c r="E30" s="9">
        <v>30</v>
      </c>
      <c r="F30" s="52">
        <v>43466</v>
      </c>
      <c r="G30" s="15">
        <v>169</v>
      </c>
      <c r="H30" s="38">
        <f t="shared" si="0"/>
        <v>17.751479289940828</v>
      </c>
      <c r="I30" s="32" t="s">
        <v>77</v>
      </c>
    </row>
    <row r="31" spans="1:9" hidden="1" x14ac:dyDescent="0.35">
      <c r="A31" s="7" t="s">
        <v>24</v>
      </c>
      <c r="B31" s="17" t="s">
        <v>116</v>
      </c>
      <c r="C31" s="7" t="s">
        <v>101</v>
      </c>
      <c r="D31" s="8">
        <v>4</v>
      </c>
      <c r="E31" s="9">
        <v>5</v>
      </c>
      <c r="F31" s="51">
        <v>42736</v>
      </c>
      <c r="G31" s="11">
        <v>79</v>
      </c>
      <c r="H31" s="37">
        <f t="shared" si="0"/>
        <v>6.3291139240506329</v>
      </c>
      <c r="I31" s="32" t="s">
        <v>77</v>
      </c>
    </row>
    <row r="32" spans="1:9" hidden="1" x14ac:dyDescent="0.35">
      <c r="A32" s="17" t="s">
        <v>70</v>
      </c>
      <c r="B32" s="20" t="s">
        <v>118</v>
      </c>
      <c r="C32" s="17" t="s">
        <v>103</v>
      </c>
      <c r="D32" s="8">
        <v>8</v>
      </c>
      <c r="E32" s="9">
        <v>30</v>
      </c>
      <c r="F32" s="52">
        <v>42370</v>
      </c>
      <c r="G32" s="15">
        <v>239</v>
      </c>
      <c r="H32" s="38">
        <f t="shared" si="0"/>
        <v>12.552301255230125</v>
      </c>
      <c r="I32" s="32" t="s">
        <v>77</v>
      </c>
    </row>
    <row r="33" spans="1:9" x14ac:dyDescent="0.35">
      <c r="A33" s="13" t="s">
        <v>35</v>
      </c>
      <c r="B33" s="13" t="s">
        <v>118</v>
      </c>
      <c r="C33" s="13" t="s">
        <v>100</v>
      </c>
      <c r="D33" s="8">
        <v>8</v>
      </c>
      <c r="E33" s="9">
        <v>60</v>
      </c>
      <c r="F33" s="52">
        <v>44197</v>
      </c>
      <c r="G33" s="15">
        <v>329</v>
      </c>
      <c r="H33" s="38">
        <f t="shared" si="0"/>
        <v>18.237082066869302</v>
      </c>
      <c r="I33" s="32" t="s">
        <v>78</v>
      </c>
    </row>
    <row r="34" spans="1:9" x14ac:dyDescent="0.35">
      <c r="A34" s="7" t="s">
        <v>59</v>
      </c>
      <c r="B34" s="7" t="s">
        <v>119</v>
      </c>
      <c r="C34" s="7" t="s">
        <v>106</v>
      </c>
      <c r="D34" s="8">
        <v>8</v>
      </c>
      <c r="E34" s="9">
        <v>45</v>
      </c>
      <c r="F34" s="51">
        <v>44197</v>
      </c>
      <c r="G34" s="15">
        <v>249</v>
      </c>
      <c r="H34" s="38">
        <f t="shared" ref="H34:H65" si="1">(E34/G34)*100</f>
        <v>18.072289156626507</v>
      </c>
      <c r="I34" s="32" t="s">
        <v>78</v>
      </c>
    </row>
    <row r="35" spans="1:9" x14ac:dyDescent="0.35">
      <c r="A35" s="20" t="s">
        <v>50</v>
      </c>
      <c r="B35" s="7" t="s">
        <v>148</v>
      </c>
      <c r="C35" s="20" t="s">
        <v>98</v>
      </c>
      <c r="D35" s="28">
        <v>16</v>
      </c>
      <c r="E35" s="19">
        <v>90</v>
      </c>
      <c r="F35" s="51">
        <v>45658</v>
      </c>
      <c r="G35" s="11">
        <v>499</v>
      </c>
      <c r="H35" s="37">
        <f t="shared" si="1"/>
        <v>18.036072144288578</v>
      </c>
      <c r="I35" s="32" t="s">
        <v>78</v>
      </c>
    </row>
    <row r="36" spans="1:9" x14ac:dyDescent="0.35">
      <c r="A36" s="20" t="s">
        <v>44</v>
      </c>
      <c r="B36" s="20" t="s">
        <v>148</v>
      </c>
      <c r="C36" s="20" t="s">
        <v>99</v>
      </c>
      <c r="D36" s="10">
        <v>12</v>
      </c>
      <c r="E36" s="9">
        <v>80</v>
      </c>
      <c r="F36" s="51">
        <v>44927</v>
      </c>
      <c r="G36" s="11">
        <v>449</v>
      </c>
      <c r="H36" s="37">
        <f t="shared" si="1"/>
        <v>17.817371937639198</v>
      </c>
      <c r="I36" s="32" t="s">
        <v>78</v>
      </c>
    </row>
    <row r="37" spans="1:9" x14ac:dyDescent="0.35">
      <c r="A37" s="13" t="s">
        <v>45</v>
      </c>
      <c r="B37" s="13" t="s">
        <v>121</v>
      </c>
      <c r="C37" s="13" t="s">
        <v>99</v>
      </c>
      <c r="D37" s="10">
        <v>16</v>
      </c>
      <c r="E37" s="9">
        <v>80</v>
      </c>
      <c r="F37" s="52">
        <v>44927</v>
      </c>
      <c r="G37" s="15">
        <v>499</v>
      </c>
      <c r="H37" s="38">
        <f t="shared" si="1"/>
        <v>16.032064128256511</v>
      </c>
      <c r="I37" s="32" t="s">
        <v>78</v>
      </c>
    </row>
    <row r="38" spans="1:9" x14ac:dyDescent="0.35">
      <c r="A38" s="20" t="s">
        <v>54</v>
      </c>
      <c r="B38" s="20" t="s">
        <v>118</v>
      </c>
      <c r="C38" s="20" t="s">
        <v>105</v>
      </c>
      <c r="D38" s="10">
        <v>16</v>
      </c>
      <c r="E38" s="9">
        <v>80</v>
      </c>
      <c r="F38" s="51">
        <v>44927</v>
      </c>
      <c r="G38" s="11">
        <v>499</v>
      </c>
      <c r="H38" s="37">
        <f t="shared" si="1"/>
        <v>16.032064128256511</v>
      </c>
      <c r="I38" s="33" t="s">
        <v>78</v>
      </c>
    </row>
    <row r="39" spans="1:9" x14ac:dyDescent="0.35">
      <c r="A39" s="13" t="s">
        <v>33</v>
      </c>
      <c r="B39" s="17" t="s">
        <v>116</v>
      </c>
      <c r="C39" s="13" t="s">
        <v>100</v>
      </c>
      <c r="D39" s="8">
        <v>4</v>
      </c>
      <c r="E39" s="19">
        <v>25</v>
      </c>
      <c r="F39" s="52">
        <v>44562</v>
      </c>
      <c r="G39" s="15">
        <v>159</v>
      </c>
      <c r="H39" s="38">
        <f t="shared" si="1"/>
        <v>15.723270440251572</v>
      </c>
      <c r="I39" s="32" t="s">
        <v>78</v>
      </c>
    </row>
    <row r="40" spans="1:9" x14ac:dyDescent="0.35">
      <c r="A40" s="20" t="s">
        <v>46</v>
      </c>
      <c r="B40" s="20" t="s">
        <v>120</v>
      </c>
      <c r="C40" s="20" t="s">
        <v>99</v>
      </c>
      <c r="D40" s="10">
        <v>16</v>
      </c>
      <c r="E40" s="19">
        <v>85</v>
      </c>
      <c r="F40" s="51">
        <v>45292</v>
      </c>
      <c r="G40" s="11">
        <v>549</v>
      </c>
      <c r="H40" s="35">
        <f t="shared" si="1"/>
        <v>15.482695810564662</v>
      </c>
      <c r="I40" s="12" t="s">
        <v>78</v>
      </c>
    </row>
    <row r="41" spans="1:9" x14ac:dyDescent="0.35">
      <c r="A41" s="13" t="s">
        <v>21</v>
      </c>
      <c r="B41" s="13" t="s">
        <v>148</v>
      </c>
      <c r="C41" s="13" t="s">
        <v>104</v>
      </c>
      <c r="D41" s="8">
        <v>12</v>
      </c>
      <c r="E41" s="9">
        <v>85</v>
      </c>
      <c r="F41" s="52">
        <v>45658</v>
      </c>
      <c r="G41" s="15">
        <v>549</v>
      </c>
      <c r="H41" s="39">
        <f t="shared" si="1"/>
        <v>15.482695810564662</v>
      </c>
      <c r="I41" s="18" t="s">
        <v>78</v>
      </c>
    </row>
    <row r="42" spans="1:9" x14ac:dyDescent="0.35">
      <c r="A42" s="7" t="s">
        <v>66</v>
      </c>
      <c r="B42" s="7" t="s">
        <v>148</v>
      </c>
      <c r="C42" s="7" t="s">
        <v>98</v>
      </c>
      <c r="D42" s="28">
        <v>16</v>
      </c>
      <c r="E42" s="19">
        <v>85</v>
      </c>
      <c r="F42" s="52">
        <v>45658</v>
      </c>
      <c r="G42" s="11">
        <v>550</v>
      </c>
      <c r="H42" s="35">
        <f t="shared" si="1"/>
        <v>15.454545454545453</v>
      </c>
      <c r="I42" s="12" t="s">
        <v>78</v>
      </c>
    </row>
    <row r="43" spans="1:9" x14ac:dyDescent="0.35">
      <c r="A43" s="20" t="s">
        <v>34</v>
      </c>
      <c r="B43" s="20" t="s">
        <v>119</v>
      </c>
      <c r="C43" s="20" t="s">
        <v>100</v>
      </c>
      <c r="D43" s="10">
        <v>4</v>
      </c>
      <c r="E43" s="19">
        <v>30</v>
      </c>
      <c r="F43" s="51">
        <v>44562</v>
      </c>
      <c r="G43" s="11">
        <v>199</v>
      </c>
      <c r="H43" s="35">
        <f t="shared" si="1"/>
        <v>15.075376884422109</v>
      </c>
      <c r="I43" s="12" t="s">
        <v>78</v>
      </c>
    </row>
    <row r="44" spans="1:9" x14ac:dyDescent="0.35">
      <c r="A44" s="20" t="s">
        <v>88</v>
      </c>
      <c r="B44" s="20" t="s">
        <v>148</v>
      </c>
      <c r="C44" s="20" t="s">
        <v>105</v>
      </c>
      <c r="D44" s="10">
        <v>12</v>
      </c>
      <c r="E44" s="19">
        <v>85</v>
      </c>
      <c r="F44" s="51">
        <v>45292</v>
      </c>
      <c r="G44" s="11">
        <v>599</v>
      </c>
      <c r="H44" s="35">
        <f t="shared" si="1"/>
        <v>14.190317195325541</v>
      </c>
      <c r="I44" s="18" t="s">
        <v>78</v>
      </c>
    </row>
    <row r="45" spans="1:9" x14ac:dyDescent="0.35">
      <c r="A45" s="13" t="s">
        <v>16</v>
      </c>
      <c r="B45" s="13" t="s">
        <v>148</v>
      </c>
      <c r="C45" s="13" t="s">
        <v>105</v>
      </c>
      <c r="D45" s="8">
        <v>12</v>
      </c>
      <c r="E45" s="9">
        <v>85</v>
      </c>
      <c r="F45" s="52">
        <v>44927</v>
      </c>
      <c r="G45" s="15">
        <v>599</v>
      </c>
      <c r="H45" s="39">
        <f t="shared" si="1"/>
        <v>14.190317195325541</v>
      </c>
      <c r="I45" s="18" t="s">
        <v>78</v>
      </c>
    </row>
    <row r="46" spans="1:9" x14ac:dyDescent="0.35">
      <c r="A46" s="20" t="s">
        <v>52</v>
      </c>
      <c r="B46" s="20" t="s">
        <v>148</v>
      </c>
      <c r="C46" s="20" t="s">
        <v>104</v>
      </c>
      <c r="D46" s="10">
        <v>16</v>
      </c>
      <c r="E46" s="19">
        <v>90</v>
      </c>
      <c r="F46" s="51">
        <v>45658</v>
      </c>
      <c r="G46" s="15">
        <v>749</v>
      </c>
      <c r="H46" s="39">
        <f t="shared" si="1"/>
        <v>12.016021361815755</v>
      </c>
      <c r="I46" s="18" t="s">
        <v>78</v>
      </c>
    </row>
    <row r="47" spans="1:9" x14ac:dyDescent="0.35">
      <c r="A47" s="20" t="s">
        <v>87</v>
      </c>
      <c r="B47" s="20" t="s">
        <v>148</v>
      </c>
      <c r="C47" s="20" t="s">
        <v>105</v>
      </c>
      <c r="D47" s="10">
        <v>16</v>
      </c>
      <c r="E47" s="19">
        <v>85</v>
      </c>
      <c r="F47" s="51">
        <v>45292</v>
      </c>
      <c r="G47" s="11">
        <v>799</v>
      </c>
      <c r="H47" s="35">
        <f t="shared" si="1"/>
        <v>10.638297872340425</v>
      </c>
      <c r="I47" s="18" t="s">
        <v>78</v>
      </c>
    </row>
    <row r="48" spans="1:9" x14ac:dyDescent="0.35">
      <c r="A48" s="13" t="s">
        <v>17</v>
      </c>
      <c r="B48" s="13" t="s">
        <v>148</v>
      </c>
      <c r="C48" s="13" t="s">
        <v>105</v>
      </c>
      <c r="D48" s="8">
        <v>12</v>
      </c>
      <c r="E48" s="9">
        <v>85</v>
      </c>
      <c r="F48" s="52">
        <v>44927</v>
      </c>
      <c r="G48" s="15">
        <v>799</v>
      </c>
      <c r="H48" s="39">
        <f t="shared" si="1"/>
        <v>10.638297872340425</v>
      </c>
      <c r="I48" s="18" t="s">
        <v>78</v>
      </c>
    </row>
    <row r="49" spans="1:9" x14ac:dyDescent="0.35">
      <c r="A49" s="20" t="s">
        <v>22</v>
      </c>
      <c r="B49" s="20" t="s">
        <v>121</v>
      </c>
      <c r="C49" s="20" t="s">
        <v>104</v>
      </c>
      <c r="D49" s="10">
        <v>16</v>
      </c>
      <c r="E49" s="19">
        <v>95</v>
      </c>
      <c r="F49" s="51">
        <v>45658</v>
      </c>
      <c r="G49" s="11">
        <v>999</v>
      </c>
      <c r="H49" s="35">
        <f t="shared" si="1"/>
        <v>9.5095095095095097</v>
      </c>
      <c r="I49" s="18" t="s">
        <v>78</v>
      </c>
    </row>
    <row r="50" spans="1:9" hidden="1" x14ac:dyDescent="0.35">
      <c r="A50" s="20" t="s">
        <v>13</v>
      </c>
      <c r="B50" s="20" t="s">
        <v>120</v>
      </c>
      <c r="C50" s="20" t="s">
        <v>106</v>
      </c>
      <c r="D50" s="10">
        <v>24</v>
      </c>
      <c r="E50" s="19">
        <v>85</v>
      </c>
      <c r="F50" s="51">
        <v>43831</v>
      </c>
      <c r="G50" s="11">
        <v>1499</v>
      </c>
      <c r="H50" s="35">
        <f t="shared" si="1"/>
        <v>5.6704469646430953</v>
      </c>
      <c r="I50" s="12" t="s">
        <v>77</v>
      </c>
    </row>
    <row r="51" spans="1:9" hidden="1" x14ac:dyDescent="0.35">
      <c r="A51" s="13" t="s">
        <v>12</v>
      </c>
      <c r="B51" s="17" t="s">
        <v>120</v>
      </c>
      <c r="C51" s="13" t="s">
        <v>106</v>
      </c>
      <c r="D51" s="8">
        <v>12</v>
      </c>
      <c r="E51" s="9">
        <v>85</v>
      </c>
      <c r="F51" s="52">
        <v>44197</v>
      </c>
      <c r="G51" s="15">
        <v>1199</v>
      </c>
      <c r="H51" s="39">
        <f t="shared" si="1"/>
        <v>7.0892410341951626</v>
      </c>
      <c r="I51" s="12" t="s">
        <v>77</v>
      </c>
    </row>
    <row r="52" spans="1:9" hidden="1" x14ac:dyDescent="0.35">
      <c r="A52" s="20" t="s">
        <v>55</v>
      </c>
      <c r="B52" s="20" t="s">
        <v>121</v>
      </c>
      <c r="C52" s="20" t="s">
        <v>106</v>
      </c>
      <c r="D52" s="10">
        <v>12</v>
      </c>
      <c r="E52" s="19">
        <v>85</v>
      </c>
      <c r="F52" s="51">
        <v>43831</v>
      </c>
      <c r="G52" s="11">
        <v>699</v>
      </c>
      <c r="H52" s="35">
        <f t="shared" si="1"/>
        <v>12.160228898426324</v>
      </c>
      <c r="I52" s="12" t="s">
        <v>77</v>
      </c>
    </row>
    <row r="53" spans="1:9" hidden="1" x14ac:dyDescent="0.35">
      <c r="A53" s="13" t="s">
        <v>11</v>
      </c>
      <c r="B53" s="13" t="s">
        <v>148</v>
      </c>
      <c r="C53" s="13" t="s">
        <v>106</v>
      </c>
      <c r="D53" s="8">
        <v>8</v>
      </c>
      <c r="E53" s="9">
        <v>80</v>
      </c>
      <c r="F53" s="52">
        <v>44197</v>
      </c>
      <c r="G53" s="15">
        <v>599</v>
      </c>
      <c r="H53" s="39">
        <f t="shared" si="1"/>
        <v>13.35559265442404</v>
      </c>
      <c r="I53" s="12" t="s">
        <v>77</v>
      </c>
    </row>
    <row r="54" spans="1:9" hidden="1" x14ac:dyDescent="0.35">
      <c r="A54" s="20" t="s">
        <v>10</v>
      </c>
      <c r="B54" s="20" t="s">
        <v>148</v>
      </c>
      <c r="C54" s="20" t="s">
        <v>106</v>
      </c>
      <c r="D54" s="10">
        <v>8</v>
      </c>
      <c r="E54" s="9">
        <v>80</v>
      </c>
      <c r="F54" s="51">
        <v>43831</v>
      </c>
      <c r="G54" s="11">
        <v>499</v>
      </c>
      <c r="H54" s="35">
        <f t="shared" si="1"/>
        <v>16.032064128256511</v>
      </c>
      <c r="I54" s="12" t="s">
        <v>77</v>
      </c>
    </row>
    <row r="55" spans="1:9" hidden="1" x14ac:dyDescent="0.35">
      <c r="A55" s="13" t="s">
        <v>9</v>
      </c>
      <c r="B55" s="13" t="s">
        <v>118</v>
      </c>
      <c r="C55" s="13" t="s">
        <v>106</v>
      </c>
      <c r="D55" s="8">
        <v>8</v>
      </c>
      <c r="E55" s="19">
        <v>75</v>
      </c>
      <c r="F55" s="52">
        <v>43831</v>
      </c>
      <c r="G55" s="15">
        <v>399</v>
      </c>
      <c r="H55" s="39">
        <f t="shared" si="1"/>
        <v>18.796992481203006</v>
      </c>
      <c r="I55" s="12" t="s">
        <v>77</v>
      </c>
    </row>
    <row r="56" spans="1:9" x14ac:dyDescent="0.35">
      <c r="A56" s="13" t="s">
        <v>47</v>
      </c>
      <c r="B56" s="13" t="s">
        <v>120</v>
      </c>
      <c r="C56" s="13" t="s">
        <v>99</v>
      </c>
      <c r="D56" s="8">
        <v>20</v>
      </c>
      <c r="E56" s="19">
        <v>85</v>
      </c>
      <c r="F56" s="52">
        <v>44562</v>
      </c>
      <c r="G56" s="15">
        <v>899</v>
      </c>
      <c r="H56" s="39">
        <f t="shared" si="1"/>
        <v>9.4549499443826477</v>
      </c>
      <c r="I56" s="12" t="s">
        <v>78</v>
      </c>
    </row>
    <row r="57" spans="1:9" x14ac:dyDescent="0.35">
      <c r="A57" s="20" t="s">
        <v>48</v>
      </c>
      <c r="B57" s="20" t="s">
        <v>120</v>
      </c>
      <c r="C57" s="20" t="s">
        <v>99</v>
      </c>
      <c r="D57" s="10">
        <v>24</v>
      </c>
      <c r="E57" s="19">
        <v>90</v>
      </c>
      <c r="F57" s="51">
        <v>44562</v>
      </c>
      <c r="G57" s="11">
        <v>999</v>
      </c>
      <c r="H57" s="35">
        <f t="shared" si="1"/>
        <v>9.0090090090090094</v>
      </c>
      <c r="I57" s="12" t="s">
        <v>78</v>
      </c>
    </row>
    <row r="58" spans="1:9" hidden="1" x14ac:dyDescent="0.35">
      <c r="A58" s="13" t="s">
        <v>7</v>
      </c>
      <c r="B58" s="17" t="s">
        <v>120</v>
      </c>
      <c r="C58" s="13" t="s">
        <v>107</v>
      </c>
      <c r="D58" s="8">
        <v>11</v>
      </c>
      <c r="E58" s="9">
        <v>80</v>
      </c>
      <c r="F58" s="52">
        <v>43101</v>
      </c>
      <c r="G58" s="15">
        <v>999</v>
      </c>
      <c r="H58" s="39">
        <f t="shared" si="1"/>
        <v>8.0080080080080087</v>
      </c>
      <c r="I58" s="18" t="s">
        <v>77</v>
      </c>
    </row>
    <row r="59" spans="1:9" hidden="1" x14ac:dyDescent="0.35">
      <c r="A59" s="20" t="s">
        <v>89</v>
      </c>
      <c r="B59" s="20" t="s">
        <v>121</v>
      </c>
      <c r="C59" s="20" t="s">
        <v>107</v>
      </c>
      <c r="D59" s="10">
        <v>8</v>
      </c>
      <c r="E59" s="19">
        <v>75</v>
      </c>
      <c r="F59" s="51">
        <v>43466</v>
      </c>
      <c r="G59" s="11">
        <v>699</v>
      </c>
      <c r="H59" s="35">
        <f t="shared" si="1"/>
        <v>10.72961373390558</v>
      </c>
      <c r="I59" s="18" t="s">
        <v>77</v>
      </c>
    </row>
    <row r="60" spans="1:9" hidden="1" x14ac:dyDescent="0.35">
      <c r="A60" s="13" t="s">
        <v>6</v>
      </c>
      <c r="B60" s="13" t="s">
        <v>121</v>
      </c>
      <c r="C60" s="13" t="s">
        <v>107</v>
      </c>
      <c r="D60" s="8">
        <v>8</v>
      </c>
      <c r="E60" s="19">
        <v>75</v>
      </c>
      <c r="F60" s="52">
        <v>43101</v>
      </c>
      <c r="G60" s="15">
        <v>699</v>
      </c>
      <c r="H60" s="39">
        <f t="shared" si="1"/>
        <v>10.72961373390558</v>
      </c>
      <c r="I60" s="18" t="s">
        <v>77</v>
      </c>
    </row>
    <row r="61" spans="1:9" hidden="1" x14ac:dyDescent="0.35">
      <c r="A61" s="20" t="s">
        <v>90</v>
      </c>
      <c r="B61" s="20" t="s">
        <v>148</v>
      </c>
      <c r="C61" s="20" t="s">
        <v>107</v>
      </c>
      <c r="D61" s="10">
        <v>8</v>
      </c>
      <c r="E61" s="19">
        <v>70</v>
      </c>
      <c r="F61" s="51">
        <v>43466</v>
      </c>
      <c r="G61" s="11">
        <v>499</v>
      </c>
      <c r="H61" s="35">
        <f t="shared" si="1"/>
        <v>14.02805611222445</v>
      </c>
      <c r="I61" s="18" t="s">
        <v>77</v>
      </c>
    </row>
    <row r="62" spans="1:9" hidden="1" x14ac:dyDescent="0.35">
      <c r="A62" s="13" t="s">
        <v>5</v>
      </c>
      <c r="B62" s="13" t="s">
        <v>148</v>
      </c>
      <c r="C62" s="13" t="s">
        <v>107</v>
      </c>
      <c r="D62" s="8">
        <v>8</v>
      </c>
      <c r="E62" s="9">
        <v>65</v>
      </c>
      <c r="F62" s="52">
        <v>43101</v>
      </c>
      <c r="G62" s="15">
        <v>499</v>
      </c>
      <c r="H62" s="39">
        <f t="shared" si="1"/>
        <v>13.026052104208416</v>
      </c>
      <c r="I62" s="18" t="s">
        <v>77</v>
      </c>
    </row>
    <row r="63" spans="1:9" hidden="1" x14ac:dyDescent="0.35">
      <c r="A63" s="20" t="s">
        <v>91</v>
      </c>
      <c r="B63" s="20" t="s">
        <v>118</v>
      </c>
      <c r="C63" s="20" t="s">
        <v>107</v>
      </c>
      <c r="D63" s="10">
        <v>8</v>
      </c>
      <c r="E63" s="9">
        <v>65</v>
      </c>
      <c r="F63" s="51">
        <v>43466</v>
      </c>
      <c r="G63" s="11">
        <v>399</v>
      </c>
      <c r="H63" s="35">
        <f t="shared" si="1"/>
        <v>16.290726817042607</v>
      </c>
      <c r="I63" s="18" t="s">
        <v>77</v>
      </c>
    </row>
    <row r="64" spans="1:9" hidden="1" x14ac:dyDescent="0.35">
      <c r="A64" s="13" t="s">
        <v>4</v>
      </c>
      <c r="B64" s="13" t="s">
        <v>118</v>
      </c>
      <c r="C64" s="13" t="s">
        <v>107</v>
      </c>
      <c r="D64" s="8">
        <v>6</v>
      </c>
      <c r="E64" s="9">
        <v>60</v>
      </c>
      <c r="F64" s="52">
        <v>43466</v>
      </c>
      <c r="G64" s="15">
        <v>349</v>
      </c>
      <c r="H64" s="39">
        <f t="shared" si="1"/>
        <v>17.191977077363894</v>
      </c>
      <c r="I64" s="18" t="s">
        <v>77</v>
      </c>
    </row>
    <row r="65" spans="1:9" x14ac:dyDescent="0.35">
      <c r="A65" s="7" t="s">
        <v>86</v>
      </c>
      <c r="B65" s="7" t="s">
        <v>121</v>
      </c>
      <c r="C65" s="7" t="s">
        <v>105</v>
      </c>
      <c r="D65" s="10">
        <v>16</v>
      </c>
      <c r="E65" s="19">
        <v>90</v>
      </c>
      <c r="F65" s="51">
        <v>45292</v>
      </c>
      <c r="G65" s="11">
        <v>999</v>
      </c>
      <c r="H65" s="35">
        <f t="shared" si="1"/>
        <v>9.0090090090090094</v>
      </c>
      <c r="I65" s="18" t="s">
        <v>78</v>
      </c>
    </row>
    <row r="66" spans="1:9" x14ac:dyDescent="0.35">
      <c r="A66" s="13" t="s">
        <v>18</v>
      </c>
      <c r="B66" s="13" t="s">
        <v>121</v>
      </c>
      <c r="C66" s="13" t="s">
        <v>105</v>
      </c>
      <c r="D66" s="8">
        <v>16</v>
      </c>
      <c r="E66" s="9">
        <v>90</v>
      </c>
      <c r="F66" s="52">
        <v>44562</v>
      </c>
      <c r="G66" s="15">
        <v>1199</v>
      </c>
      <c r="H66" s="39">
        <f t="shared" ref="H66:H97" si="2">(E66/G66)*100</f>
        <v>7.5062552126772308</v>
      </c>
      <c r="I66" s="18" t="s">
        <v>78</v>
      </c>
    </row>
    <row r="67" spans="1:9" hidden="1" x14ac:dyDescent="0.35">
      <c r="A67" s="16" t="s">
        <v>65</v>
      </c>
      <c r="B67" s="29" t="s">
        <v>122</v>
      </c>
      <c r="C67" s="16" t="s">
        <v>108</v>
      </c>
      <c r="D67" s="14">
        <v>0.25</v>
      </c>
      <c r="E67" s="9">
        <v>1</v>
      </c>
      <c r="F67" s="51">
        <v>40544</v>
      </c>
      <c r="G67" s="11">
        <v>99</v>
      </c>
      <c r="H67" s="35">
        <f t="shared" si="2"/>
        <v>1.0101010101010102</v>
      </c>
      <c r="I67" s="12" t="s">
        <v>77</v>
      </c>
    </row>
    <row r="68" spans="1:9" hidden="1" x14ac:dyDescent="0.35">
      <c r="A68" s="17" t="s">
        <v>68</v>
      </c>
      <c r="B68" s="17" t="s">
        <v>120</v>
      </c>
      <c r="C68" s="17" t="s">
        <v>109</v>
      </c>
      <c r="D68" s="8">
        <v>4</v>
      </c>
      <c r="E68" s="9">
        <v>40</v>
      </c>
      <c r="F68" s="52">
        <v>42005</v>
      </c>
      <c r="G68" s="15">
        <v>649</v>
      </c>
      <c r="H68" s="39">
        <f t="shared" si="2"/>
        <v>6.1633281972265026</v>
      </c>
      <c r="I68" s="12" t="s">
        <v>77</v>
      </c>
    </row>
    <row r="69" spans="1:9" hidden="1" x14ac:dyDescent="0.35">
      <c r="A69" s="17" t="s">
        <v>69</v>
      </c>
      <c r="B69" s="17" t="s">
        <v>121</v>
      </c>
      <c r="C69" s="17" t="s">
        <v>109</v>
      </c>
      <c r="D69" s="8">
        <v>4</v>
      </c>
      <c r="E69" s="9">
        <v>35</v>
      </c>
      <c r="F69" s="52">
        <v>42005</v>
      </c>
      <c r="G69" s="15">
        <v>549</v>
      </c>
      <c r="H69" s="39">
        <f t="shared" si="2"/>
        <v>6.3752276867030968</v>
      </c>
      <c r="I69" s="12" t="s">
        <v>77</v>
      </c>
    </row>
    <row r="70" spans="1:9" hidden="1" x14ac:dyDescent="0.35">
      <c r="A70" s="7" t="s">
        <v>147</v>
      </c>
      <c r="B70" s="17" t="s">
        <v>121</v>
      </c>
      <c r="C70" s="17" t="s">
        <v>109</v>
      </c>
      <c r="D70" s="8">
        <v>8</v>
      </c>
      <c r="E70" s="9">
        <v>30</v>
      </c>
      <c r="F70" s="51">
        <v>42005</v>
      </c>
      <c r="G70" s="11">
        <v>429</v>
      </c>
      <c r="H70" s="35">
        <f t="shared" si="2"/>
        <v>6.9930069930069934</v>
      </c>
      <c r="I70" s="12" t="s">
        <v>77</v>
      </c>
    </row>
    <row r="71" spans="1:9" hidden="1" x14ac:dyDescent="0.35">
      <c r="A71" s="42" t="s">
        <v>146</v>
      </c>
      <c r="B71" s="23" t="s">
        <v>148</v>
      </c>
      <c r="C71" s="17" t="s">
        <v>109</v>
      </c>
      <c r="D71" s="24">
        <v>8</v>
      </c>
      <c r="E71" s="25">
        <v>25</v>
      </c>
      <c r="F71" s="54">
        <v>42005</v>
      </c>
      <c r="G71" s="11">
        <v>329</v>
      </c>
      <c r="H71" s="35">
        <f t="shared" si="2"/>
        <v>7.598784194528875</v>
      </c>
      <c r="I71" s="12" t="s">
        <v>77</v>
      </c>
    </row>
    <row r="72" spans="1:9" hidden="1" x14ac:dyDescent="0.35">
      <c r="A72" s="20" t="s">
        <v>145</v>
      </c>
      <c r="B72" s="20" t="s">
        <v>118</v>
      </c>
      <c r="C72" s="17" t="s">
        <v>109</v>
      </c>
      <c r="D72" s="8">
        <v>4</v>
      </c>
      <c r="E72" s="9">
        <v>20</v>
      </c>
      <c r="F72" s="51">
        <v>42005</v>
      </c>
      <c r="G72" s="11">
        <v>229</v>
      </c>
      <c r="H72" s="35">
        <f t="shared" si="2"/>
        <v>8.7336244541484707</v>
      </c>
      <c r="I72" s="12" t="s">
        <v>77</v>
      </c>
    </row>
    <row r="73" spans="1:9" hidden="1" x14ac:dyDescent="0.35">
      <c r="A73" s="23" t="s">
        <v>144</v>
      </c>
      <c r="B73" s="20" t="s">
        <v>118</v>
      </c>
      <c r="C73" s="17" t="s">
        <v>109</v>
      </c>
      <c r="D73" s="24">
        <v>4</v>
      </c>
      <c r="E73" s="25">
        <v>20</v>
      </c>
      <c r="F73" s="54">
        <v>42005</v>
      </c>
      <c r="G73" s="11">
        <v>225</v>
      </c>
      <c r="H73" s="35">
        <f t="shared" si="2"/>
        <v>8.8888888888888893</v>
      </c>
      <c r="I73" s="12" t="s">
        <v>77</v>
      </c>
    </row>
    <row r="74" spans="1:9" hidden="1" x14ac:dyDescent="0.35">
      <c r="A74" s="7" t="s">
        <v>143</v>
      </c>
      <c r="B74" s="17" t="s">
        <v>121</v>
      </c>
      <c r="C74" s="17" t="s">
        <v>109</v>
      </c>
      <c r="D74" s="8">
        <v>4</v>
      </c>
      <c r="E74" s="9">
        <v>25</v>
      </c>
      <c r="F74" s="51">
        <v>41275</v>
      </c>
      <c r="G74" s="11">
        <v>549</v>
      </c>
      <c r="H74" s="35">
        <f t="shared" si="2"/>
        <v>4.5537340619307827</v>
      </c>
      <c r="I74" s="12" t="s">
        <v>77</v>
      </c>
    </row>
    <row r="75" spans="1:9" hidden="1" x14ac:dyDescent="0.35">
      <c r="A75" s="7" t="s">
        <v>142</v>
      </c>
      <c r="B75" s="23" t="s">
        <v>148</v>
      </c>
      <c r="C75" s="17" t="s">
        <v>109</v>
      </c>
      <c r="D75" s="8">
        <v>4</v>
      </c>
      <c r="E75" s="9">
        <v>25</v>
      </c>
      <c r="F75" s="51">
        <v>41275</v>
      </c>
      <c r="G75" s="11">
        <v>399</v>
      </c>
      <c r="H75" s="35">
        <f t="shared" si="2"/>
        <v>6.2656641604010019</v>
      </c>
      <c r="I75" s="12" t="s">
        <v>77</v>
      </c>
    </row>
    <row r="76" spans="1:9" hidden="1" x14ac:dyDescent="0.35">
      <c r="A76" s="20" t="s">
        <v>141</v>
      </c>
      <c r="B76" s="20" t="s">
        <v>118</v>
      </c>
      <c r="C76" s="17" t="s">
        <v>109</v>
      </c>
      <c r="D76" s="8">
        <v>2</v>
      </c>
      <c r="E76" s="9">
        <v>20</v>
      </c>
      <c r="F76" s="51">
        <v>41640</v>
      </c>
      <c r="G76" s="11">
        <v>249</v>
      </c>
      <c r="H76" s="35">
        <f t="shared" si="2"/>
        <v>8.0321285140562253</v>
      </c>
      <c r="I76" s="27" t="s">
        <v>77</v>
      </c>
    </row>
    <row r="77" spans="1:9" hidden="1" x14ac:dyDescent="0.35">
      <c r="A77" s="7" t="s">
        <v>140</v>
      </c>
      <c r="B77" s="23" t="s">
        <v>148</v>
      </c>
      <c r="C77" s="17" t="s">
        <v>109</v>
      </c>
      <c r="D77" s="8">
        <v>3</v>
      </c>
      <c r="E77" s="9">
        <v>20</v>
      </c>
      <c r="F77" s="51">
        <v>41275</v>
      </c>
      <c r="G77" s="11">
        <v>299</v>
      </c>
      <c r="H77" s="35">
        <f t="shared" si="2"/>
        <v>6.6889632107023411</v>
      </c>
      <c r="I77" s="12" t="s">
        <v>77</v>
      </c>
    </row>
    <row r="78" spans="1:9" hidden="1" x14ac:dyDescent="0.35">
      <c r="A78" s="20" t="s">
        <v>139</v>
      </c>
      <c r="B78" s="20" t="s">
        <v>118</v>
      </c>
      <c r="C78" s="17" t="s">
        <v>109</v>
      </c>
      <c r="D78" s="8">
        <v>3</v>
      </c>
      <c r="E78" s="9">
        <v>20</v>
      </c>
      <c r="F78" s="51">
        <v>41640</v>
      </c>
      <c r="G78" s="11">
        <v>279</v>
      </c>
      <c r="H78" s="35">
        <f t="shared" si="2"/>
        <v>7.1684587813620064</v>
      </c>
      <c r="I78" s="12" t="s">
        <v>77</v>
      </c>
    </row>
    <row r="79" spans="1:9" hidden="1" x14ac:dyDescent="0.35">
      <c r="A79" s="20" t="s">
        <v>138</v>
      </c>
      <c r="B79" s="17" t="s">
        <v>119</v>
      </c>
      <c r="C79" s="17" t="s">
        <v>109</v>
      </c>
      <c r="D79" s="8">
        <v>2</v>
      </c>
      <c r="E79" s="9">
        <v>15</v>
      </c>
      <c r="F79" s="51">
        <v>41275</v>
      </c>
      <c r="G79" s="11">
        <v>199</v>
      </c>
      <c r="H79" s="35">
        <f t="shared" si="2"/>
        <v>7.5376884422110546</v>
      </c>
      <c r="I79" s="12" t="s">
        <v>77</v>
      </c>
    </row>
    <row r="80" spans="1:9" hidden="1" x14ac:dyDescent="0.35">
      <c r="A80" s="7" t="s">
        <v>137</v>
      </c>
      <c r="B80" s="17" t="s">
        <v>119</v>
      </c>
      <c r="C80" s="17" t="s">
        <v>109</v>
      </c>
      <c r="D80" s="8">
        <v>2</v>
      </c>
      <c r="E80" s="9">
        <v>10</v>
      </c>
      <c r="F80" s="51">
        <v>41275</v>
      </c>
      <c r="G80" s="11">
        <v>179</v>
      </c>
      <c r="H80" s="35">
        <f t="shared" si="2"/>
        <v>5.5865921787709496</v>
      </c>
      <c r="I80" s="12" t="s">
        <v>77</v>
      </c>
    </row>
    <row r="81" spans="1:10" x14ac:dyDescent="0.35">
      <c r="A81" s="13" t="s">
        <v>19</v>
      </c>
      <c r="B81" s="13" t="s">
        <v>120</v>
      </c>
      <c r="C81" s="13" t="s">
        <v>105</v>
      </c>
      <c r="D81" s="8">
        <v>24</v>
      </c>
      <c r="E81" s="9">
        <v>100</v>
      </c>
      <c r="F81" s="52">
        <v>44562</v>
      </c>
      <c r="G81" s="15">
        <v>1599</v>
      </c>
      <c r="H81" s="39">
        <f t="shared" si="2"/>
        <v>6.2539086929330825</v>
      </c>
      <c r="I81" s="18" t="s">
        <v>78</v>
      </c>
    </row>
    <row r="82" spans="1:10" hidden="1" x14ac:dyDescent="0.35">
      <c r="A82" s="16" t="s">
        <v>125</v>
      </c>
      <c r="B82" s="29" t="s">
        <v>122</v>
      </c>
      <c r="C82" s="16" t="s">
        <v>126</v>
      </c>
      <c r="D82" s="14">
        <v>0.25</v>
      </c>
      <c r="E82" s="9">
        <v>1</v>
      </c>
      <c r="F82" s="51">
        <v>40179</v>
      </c>
      <c r="G82" s="11">
        <v>99</v>
      </c>
      <c r="H82" s="35">
        <f t="shared" si="2"/>
        <v>1.0101010101010102</v>
      </c>
      <c r="I82" s="12" t="s">
        <v>77</v>
      </c>
    </row>
    <row r="83" spans="1:10" hidden="1" x14ac:dyDescent="0.35">
      <c r="A83" s="20" t="s">
        <v>136</v>
      </c>
      <c r="B83" s="7" t="s">
        <v>120</v>
      </c>
      <c r="C83" s="17" t="s">
        <v>111</v>
      </c>
      <c r="D83" s="8">
        <v>12</v>
      </c>
      <c r="E83" s="9">
        <v>40</v>
      </c>
      <c r="F83" s="51">
        <v>42005</v>
      </c>
      <c r="G83" s="11">
        <v>999</v>
      </c>
      <c r="H83" s="35">
        <f t="shared" si="2"/>
        <v>4.0040040040040044</v>
      </c>
      <c r="I83" s="12" t="s">
        <v>77</v>
      </c>
    </row>
    <row r="84" spans="1:10" hidden="1" x14ac:dyDescent="0.35">
      <c r="A84" s="23" t="s">
        <v>61</v>
      </c>
      <c r="B84" s="23" t="s">
        <v>120</v>
      </c>
      <c r="C84" s="23" t="s">
        <v>111</v>
      </c>
      <c r="D84" s="24">
        <v>6</v>
      </c>
      <c r="E84" s="25">
        <v>40</v>
      </c>
      <c r="F84" s="54">
        <v>41640</v>
      </c>
      <c r="G84" s="26">
        <v>649</v>
      </c>
      <c r="H84" s="36">
        <f t="shared" si="2"/>
        <v>6.1633281972265026</v>
      </c>
      <c r="I84" s="27" t="s">
        <v>77</v>
      </c>
    </row>
    <row r="85" spans="1:10" hidden="1" x14ac:dyDescent="0.35">
      <c r="A85" s="23" t="s">
        <v>62</v>
      </c>
      <c r="B85" s="23" t="s">
        <v>121</v>
      </c>
      <c r="C85" s="23" t="s">
        <v>111</v>
      </c>
      <c r="D85" s="24">
        <v>4</v>
      </c>
      <c r="E85" s="25">
        <v>35</v>
      </c>
      <c r="F85" s="54">
        <v>41640</v>
      </c>
      <c r="G85" s="26">
        <v>549</v>
      </c>
      <c r="H85" s="36">
        <f t="shared" si="2"/>
        <v>6.3752276867030968</v>
      </c>
      <c r="I85" s="27" t="s">
        <v>77</v>
      </c>
    </row>
    <row r="86" spans="1:10" hidden="1" x14ac:dyDescent="0.35">
      <c r="A86" s="23" t="s">
        <v>63</v>
      </c>
      <c r="B86" s="23" t="s">
        <v>148</v>
      </c>
      <c r="C86" s="23" t="s">
        <v>111</v>
      </c>
      <c r="D86" s="24">
        <v>4</v>
      </c>
      <c r="E86" s="25">
        <v>25</v>
      </c>
      <c r="F86" s="54">
        <v>41640</v>
      </c>
      <c r="G86" s="26">
        <v>329</v>
      </c>
      <c r="H86" s="36">
        <f t="shared" si="2"/>
        <v>7.598784194528875</v>
      </c>
      <c r="I86" s="27" t="s">
        <v>77</v>
      </c>
    </row>
    <row r="87" spans="1:10" s="2" customFormat="1" hidden="1" x14ac:dyDescent="0.35">
      <c r="A87" s="7" t="s">
        <v>135</v>
      </c>
      <c r="B87" s="20" t="s">
        <v>118</v>
      </c>
      <c r="C87" s="17" t="s">
        <v>111</v>
      </c>
      <c r="D87" s="8">
        <v>2</v>
      </c>
      <c r="E87" s="9">
        <v>20</v>
      </c>
      <c r="F87" s="51">
        <v>42005</v>
      </c>
      <c r="G87" s="11">
        <v>199</v>
      </c>
      <c r="H87" s="35">
        <f t="shared" si="2"/>
        <v>10.050251256281408</v>
      </c>
      <c r="I87" s="12" t="s">
        <v>77</v>
      </c>
      <c r="J87" s="6"/>
    </row>
    <row r="88" spans="1:10" hidden="1" x14ac:dyDescent="0.35">
      <c r="A88" s="7" t="s">
        <v>134</v>
      </c>
      <c r="B88" s="17" t="s">
        <v>119</v>
      </c>
      <c r="C88" s="17" t="s">
        <v>111</v>
      </c>
      <c r="D88" s="8">
        <v>2</v>
      </c>
      <c r="E88" s="9">
        <v>15</v>
      </c>
      <c r="F88" s="51">
        <v>42005</v>
      </c>
      <c r="G88" s="11">
        <v>159</v>
      </c>
      <c r="H88" s="35">
        <f t="shared" si="2"/>
        <v>9.433962264150944</v>
      </c>
      <c r="I88" s="27" t="s">
        <v>77</v>
      </c>
    </row>
    <row r="89" spans="1:10" hidden="1" x14ac:dyDescent="0.35">
      <c r="A89" s="7" t="s">
        <v>133</v>
      </c>
      <c r="B89" s="7" t="s">
        <v>120</v>
      </c>
      <c r="C89" s="17" t="s">
        <v>124</v>
      </c>
      <c r="D89" s="8">
        <v>3</v>
      </c>
      <c r="E89" s="9">
        <v>30</v>
      </c>
      <c r="F89" s="51">
        <v>41275</v>
      </c>
      <c r="G89" s="11">
        <v>699</v>
      </c>
      <c r="H89" s="35">
        <f t="shared" si="2"/>
        <v>4.2918454935622314</v>
      </c>
      <c r="I89" s="12" t="s">
        <v>77</v>
      </c>
    </row>
    <row r="90" spans="1:10" hidden="1" x14ac:dyDescent="0.35">
      <c r="A90" s="7" t="s">
        <v>132</v>
      </c>
      <c r="B90" s="13" t="s">
        <v>121</v>
      </c>
      <c r="C90" s="17" t="s">
        <v>124</v>
      </c>
      <c r="D90" s="8">
        <v>3</v>
      </c>
      <c r="E90" s="9">
        <v>25</v>
      </c>
      <c r="F90" s="51">
        <v>41275</v>
      </c>
      <c r="G90" s="11">
        <v>649</v>
      </c>
      <c r="H90" s="35">
        <f t="shared" si="2"/>
        <v>3.8520801232665636</v>
      </c>
      <c r="I90" s="12" t="s">
        <v>77</v>
      </c>
    </row>
    <row r="91" spans="1:10" hidden="1" x14ac:dyDescent="0.35">
      <c r="A91" s="7" t="s">
        <v>131</v>
      </c>
      <c r="B91" s="7" t="s">
        <v>148</v>
      </c>
      <c r="C91" s="17" t="s">
        <v>124</v>
      </c>
      <c r="D91" s="8">
        <v>2</v>
      </c>
      <c r="E91" s="9">
        <v>20</v>
      </c>
      <c r="F91" s="51">
        <v>41275</v>
      </c>
      <c r="G91" s="11">
        <v>399</v>
      </c>
      <c r="H91" s="35">
        <f t="shared" si="2"/>
        <v>5.0125313283208017</v>
      </c>
      <c r="I91" s="12" t="s">
        <v>77</v>
      </c>
    </row>
    <row r="92" spans="1:10" hidden="1" x14ac:dyDescent="0.35">
      <c r="A92" s="7" t="s">
        <v>130</v>
      </c>
      <c r="B92" s="20" t="s">
        <v>118</v>
      </c>
      <c r="C92" s="17" t="s">
        <v>124</v>
      </c>
      <c r="D92" s="8">
        <v>2</v>
      </c>
      <c r="E92" s="9">
        <v>15</v>
      </c>
      <c r="F92" s="51">
        <v>41275</v>
      </c>
      <c r="G92" s="11">
        <v>249</v>
      </c>
      <c r="H92" s="35">
        <f t="shared" si="2"/>
        <v>6.024096385542169</v>
      </c>
      <c r="I92" s="12" t="s">
        <v>77</v>
      </c>
    </row>
    <row r="93" spans="1:10" hidden="1" x14ac:dyDescent="0.35">
      <c r="A93" s="7" t="s">
        <v>129</v>
      </c>
      <c r="B93" s="17" t="s">
        <v>119</v>
      </c>
      <c r="C93" s="17" t="s">
        <v>124</v>
      </c>
      <c r="D93" s="8">
        <v>2</v>
      </c>
      <c r="E93" s="9">
        <v>10</v>
      </c>
      <c r="F93" s="51">
        <v>41640</v>
      </c>
      <c r="G93" s="11">
        <v>149</v>
      </c>
      <c r="H93" s="35">
        <f t="shared" si="2"/>
        <v>6.7114093959731544</v>
      </c>
      <c r="I93" s="12" t="s">
        <v>77</v>
      </c>
    </row>
    <row r="94" spans="1:10" hidden="1" x14ac:dyDescent="0.35">
      <c r="A94" s="7" t="s">
        <v>123</v>
      </c>
      <c r="B94" s="17" t="s">
        <v>119</v>
      </c>
      <c r="C94" s="17" t="s">
        <v>124</v>
      </c>
      <c r="D94" s="8">
        <v>1</v>
      </c>
      <c r="E94" s="9">
        <v>5</v>
      </c>
      <c r="F94" s="51">
        <v>41640</v>
      </c>
      <c r="G94" s="11">
        <v>119</v>
      </c>
      <c r="H94" s="35">
        <f t="shared" si="2"/>
        <v>4.2016806722689077</v>
      </c>
      <c r="I94" s="12" t="s">
        <v>77</v>
      </c>
    </row>
    <row r="95" spans="1:10" hidden="1" x14ac:dyDescent="0.35">
      <c r="A95" s="20" t="s">
        <v>58</v>
      </c>
      <c r="B95" s="20" t="s">
        <v>118</v>
      </c>
      <c r="C95" s="20" t="s">
        <v>112</v>
      </c>
      <c r="D95" s="10">
        <v>6</v>
      </c>
      <c r="E95" s="19">
        <v>50</v>
      </c>
      <c r="F95" s="52">
        <v>43466</v>
      </c>
      <c r="G95" s="11">
        <v>279</v>
      </c>
      <c r="H95" s="35">
        <f t="shared" si="2"/>
        <v>17.921146953405017</v>
      </c>
      <c r="I95" s="18" t="s">
        <v>77</v>
      </c>
    </row>
    <row r="96" spans="1:10" hidden="1" x14ac:dyDescent="0.35">
      <c r="A96" s="20" t="s">
        <v>92</v>
      </c>
      <c r="B96" s="20" t="s">
        <v>118</v>
      </c>
      <c r="C96" s="20" t="s">
        <v>112</v>
      </c>
      <c r="D96" s="10">
        <v>6</v>
      </c>
      <c r="E96" s="19">
        <v>45</v>
      </c>
      <c r="F96" s="52">
        <v>43466</v>
      </c>
      <c r="G96" s="11">
        <v>229</v>
      </c>
      <c r="H96" s="35">
        <f t="shared" si="2"/>
        <v>19.650655021834059</v>
      </c>
      <c r="I96" s="18" t="s">
        <v>77</v>
      </c>
    </row>
    <row r="97" spans="1:9" hidden="1" x14ac:dyDescent="0.35">
      <c r="A97" s="7" t="s">
        <v>60</v>
      </c>
      <c r="B97" s="7" t="s">
        <v>118</v>
      </c>
      <c r="C97" s="7" t="s">
        <v>112</v>
      </c>
      <c r="D97" s="10">
        <v>6</v>
      </c>
      <c r="E97" s="19">
        <v>40</v>
      </c>
      <c r="F97" s="52">
        <v>43466</v>
      </c>
      <c r="G97" s="11">
        <v>219</v>
      </c>
      <c r="H97" s="35">
        <f t="shared" si="2"/>
        <v>18.264840182648399</v>
      </c>
      <c r="I97" s="18" t="s">
        <v>77</v>
      </c>
    </row>
    <row r="98" spans="1:9" hidden="1" x14ac:dyDescent="0.35">
      <c r="A98" s="7" t="s">
        <v>93</v>
      </c>
      <c r="B98" s="7" t="s">
        <v>119</v>
      </c>
      <c r="C98" s="7" t="s">
        <v>112</v>
      </c>
      <c r="D98" s="10">
        <v>4</v>
      </c>
      <c r="E98" s="19">
        <v>35</v>
      </c>
      <c r="F98" s="52">
        <v>43466</v>
      </c>
      <c r="G98" s="11">
        <v>159</v>
      </c>
      <c r="H98" s="35">
        <f t="shared" ref="H98:H111" si="3">(E98/G98)*100</f>
        <v>22.012578616352201</v>
      </c>
      <c r="I98" s="18" t="s">
        <v>77</v>
      </c>
    </row>
    <row r="99" spans="1:9" hidden="1" x14ac:dyDescent="0.35">
      <c r="A99" s="7" t="s">
        <v>82</v>
      </c>
      <c r="B99" s="7" t="s">
        <v>119</v>
      </c>
      <c r="C99" s="7" t="s">
        <v>112</v>
      </c>
      <c r="D99" s="10">
        <v>4</v>
      </c>
      <c r="E99" s="19">
        <v>25</v>
      </c>
      <c r="F99" s="52">
        <v>43466</v>
      </c>
      <c r="G99" s="11">
        <v>149</v>
      </c>
      <c r="H99" s="35">
        <f t="shared" si="3"/>
        <v>16.778523489932887</v>
      </c>
      <c r="I99" s="18" t="s">
        <v>77</v>
      </c>
    </row>
    <row r="100" spans="1:9" hidden="1" x14ac:dyDescent="0.35">
      <c r="A100" s="20" t="s">
        <v>3</v>
      </c>
      <c r="B100" s="7" t="s">
        <v>120</v>
      </c>
      <c r="C100" s="20" t="s">
        <v>113</v>
      </c>
      <c r="D100" s="10">
        <v>11</v>
      </c>
      <c r="E100" s="19">
        <v>70</v>
      </c>
      <c r="F100" s="51">
        <v>42736</v>
      </c>
      <c r="G100" s="11">
        <v>699</v>
      </c>
      <c r="H100" s="35">
        <f t="shared" si="3"/>
        <v>10.014306151645208</v>
      </c>
      <c r="I100" s="18" t="s">
        <v>77</v>
      </c>
    </row>
    <row r="101" spans="1:9" hidden="1" x14ac:dyDescent="0.35">
      <c r="A101" s="13" t="s">
        <v>2</v>
      </c>
      <c r="B101" s="13" t="s">
        <v>121</v>
      </c>
      <c r="C101" s="13" t="s">
        <v>113</v>
      </c>
      <c r="D101" s="8">
        <v>8</v>
      </c>
      <c r="E101" s="9">
        <v>60</v>
      </c>
      <c r="F101" s="52">
        <v>42370</v>
      </c>
      <c r="G101" s="15">
        <v>599</v>
      </c>
      <c r="H101" s="39">
        <f t="shared" si="3"/>
        <v>10.016694490818031</v>
      </c>
      <c r="I101" s="18" t="s">
        <v>77</v>
      </c>
    </row>
    <row r="102" spans="1:9" hidden="1" x14ac:dyDescent="0.35">
      <c r="A102" s="20" t="s">
        <v>1</v>
      </c>
      <c r="B102" s="20" t="s">
        <v>148</v>
      </c>
      <c r="C102" s="20" t="s">
        <v>113</v>
      </c>
      <c r="D102" s="10">
        <v>8</v>
      </c>
      <c r="E102" s="19">
        <v>55</v>
      </c>
      <c r="F102" s="51">
        <v>42736</v>
      </c>
      <c r="G102" s="11">
        <v>449</v>
      </c>
      <c r="H102" s="35">
        <f t="shared" si="3"/>
        <v>12.24944320712695</v>
      </c>
      <c r="I102" s="18" t="s">
        <v>77</v>
      </c>
    </row>
    <row r="103" spans="1:9" hidden="1" x14ac:dyDescent="0.35">
      <c r="A103" s="13" t="s">
        <v>0</v>
      </c>
      <c r="B103" s="20" t="s">
        <v>118</v>
      </c>
      <c r="C103" s="13" t="s">
        <v>113</v>
      </c>
      <c r="D103" s="8">
        <v>8</v>
      </c>
      <c r="E103" s="9">
        <v>50</v>
      </c>
      <c r="F103" s="52">
        <v>42370</v>
      </c>
      <c r="G103" s="15">
        <v>379</v>
      </c>
      <c r="H103" s="39">
        <f t="shared" si="3"/>
        <v>13.192612137203167</v>
      </c>
      <c r="I103" s="18" t="s">
        <v>77</v>
      </c>
    </row>
    <row r="104" spans="1:9" hidden="1" x14ac:dyDescent="0.35">
      <c r="A104" s="20" t="s">
        <v>56</v>
      </c>
      <c r="B104" s="20" t="s">
        <v>118</v>
      </c>
      <c r="C104" s="20" t="s">
        <v>113</v>
      </c>
      <c r="D104" s="10">
        <v>6</v>
      </c>
      <c r="E104" s="19">
        <v>30</v>
      </c>
      <c r="F104" s="51">
        <v>42370</v>
      </c>
      <c r="G104" s="11">
        <v>249</v>
      </c>
      <c r="H104" s="35">
        <f t="shared" si="3"/>
        <v>12.048192771084338</v>
      </c>
      <c r="I104" s="18" t="s">
        <v>77</v>
      </c>
    </row>
    <row r="105" spans="1:9" hidden="1" x14ac:dyDescent="0.35">
      <c r="A105" s="17" t="s">
        <v>81</v>
      </c>
      <c r="B105" s="17" t="s">
        <v>119</v>
      </c>
      <c r="C105" s="17" t="s">
        <v>113</v>
      </c>
      <c r="D105" s="8">
        <v>4</v>
      </c>
      <c r="E105" s="9">
        <v>20</v>
      </c>
      <c r="F105" s="52">
        <v>42370</v>
      </c>
      <c r="G105" s="15">
        <v>109</v>
      </c>
      <c r="H105" s="39">
        <f t="shared" si="3"/>
        <v>18.348623853211009</v>
      </c>
      <c r="I105" s="18" t="s">
        <v>77</v>
      </c>
    </row>
    <row r="106" spans="1:9" hidden="1" x14ac:dyDescent="0.35">
      <c r="A106" s="17" t="s">
        <v>80</v>
      </c>
      <c r="B106" s="17" t="s">
        <v>119</v>
      </c>
      <c r="C106" s="17" t="s">
        <v>113</v>
      </c>
      <c r="D106" s="8">
        <v>2</v>
      </c>
      <c r="E106" s="9">
        <v>15</v>
      </c>
      <c r="F106" s="52">
        <v>42370</v>
      </c>
      <c r="G106" s="15">
        <v>139</v>
      </c>
      <c r="H106" s="39">
        <f t="shared" si="3"/>
        <v>10.791366906474821</v>
      </c>
      <c r="I106" s="18" t="s">
        <v>77</v>
      </c>
    </row>
    <row r="107" spans="1:9" x14ac:dyDescent="0.35">
      <c r="A107" s="13" t="s">
        <v>23</v>
      </c>
      <c r="B107" s="13" t="s">
        <v>120</v>
      </c>
      <c r="C107" s="13" t="s">
        <v>104</v>
      </c>
      <c r="D107" s="8">
        <v>32</v>
      </c>
      <c r="E107" s="9">
        <v>125</v>
      </c>
      <c r="F107" s="52">
        <v>45658</v>
      </c>
      <c r="G107" s="15">
        <v>1999</v>
      </c>
      <c r="H107" s="39">
        <f t="shared" si="3"/>
        <v>6.2531265632816417</v>
      </c>
      <c r="I107" s="18" t="s">
        <v>78</v>
      </c>
    </row>
    <row r="108" spans="1:9" x14ac:dyDescent="0.35">
      <c r="A108" s="16" t="s">
        <v>84</v>
      </c>
      <c r="B108" s="29" t="s">
        <v>122</v>
      </c>
      <c r="C108" s="16" t="s">
        <v>128</v>
      </c>
      <c r="D108" s="14">
        <v>1</v>
      </c>
      <c r="E108" s="9">
        <v>5</v>
      </c>
      <c r="F108" s="51">
        <v>43466</v>
      </c>
      <c r="G108" s="11">
        <v>99</v>
      </c>
      <c r="H108" s="35">
        <f t="shared" si="3"/>
        <v>5.0505050505050502</v>
      </c>
      <c r="I108" s="12" t="s">
        <v>78</v>
      </c>
    </row>
    <row r="109" spans="1:9" x14ac:dyDescent="0.35">
      <c r="A109" s="13" t="s">
        <v>14</v>
      </c>
      <c r="B109" s="13" t="s">
        <v>120</v>
      </c>
      <c r="C109" s="13" t="s">
        <v>106</v>
      </c>
      <c r="D109" s="8">
        <v>24</v>
      </c>
      <c r="E109" s="9">
        <v>85</v>
      </c>
      <c r="F109" s="52">
        <v>44562</v>
      </c>
      <c r="G109" s="15">
        <v>1999</v>
      </c>
      <c r="H109" s="39">
        <f t="shared" si="3"/>
        <v>4.2521260630315156</v>
      </c>
      <c r="I109" s="18" t="s">
        <v>78</v>
      </c>
    </row>
    <row r="110" spans="1:9" x14ac:dyDescent="0.35">
      <c r="A110" s="16" t="s">
        <v>85</v>
      </c>
      <c r="B110" s="29" t="s">
        <v>122</v>
      </c>
      <c r="C110" s="16" t="s">
        <v>127</v>
      </c>
      <c r="D110" s="14">
        <v>0.5</v>
      </c>
      <c r="E110" s="9">
        <v>2</v>
      </c>
      <c r="F110" s="51">
        <v>42736</v>
      </c>
      <c r="G110" s="11">
        <v>59</v>
      </c>
      <c r="H110" s="35">
        <f t="shared" si="3"/>
        <v>3.3898305084745761</v>
      </c>
      <c r="I110" s="12" t="s">
        <v>78</v>
      </c>
    </row>
    <row r="111" spans="1:9" x14ac:dyDescent="0.35">
      <c r="A111" s="16" t="s">
        <v>64</v>
      </c>
      <c r="B111" s="29" t="s">
        <v>122</v>
      </c>
      <c r="C111" s="16" t="s">
        <v>110</v>
      </c>
      <c r="D111" s="14">
        <v>0.5</v>
      </c>
      <c r="E111" s="30">
        <v>2</v>
      </c>
      <c r="F111" s="55">
        <v>42736</v>
      </c>
      <c r="G111" s="31">
        <v>59</v>
      </c>
      <c r="H111" s="44">
        <f t="shared" si="3"/>
        <v>3.3898305084745761</v>
      </c>
      <c r="I111" s="12" t="s">
        <v>78</v>
      </c>
    </row>
  </sheetData>
  <phoneticPr fontId="5" type="noConversion"/>
  <conditionalFormatting sqref="B1:B1048576">
    <cfRule type="cellIs" dxfId="10" priority="1" operator="equal">
      <formula>"Mid+"</formula>
    </cfRule>
    <cfRule type="cellIs" dxfId="9" priority="3" operator="equal">
      <formula>"Bottom"</formula>
    </cfRule>
    <cfRule type="cellIs" dxfId="8" priority="4" operator="equal">
      <formula>"Lower"</formula>
    </cfRule>
    <cfRule type="cellIs" dxfId="7" priority="5" operator="equal">
      <formula>"Mid"</formula>
    </cfRule>
    <cfRule type="cellIs" dxfId="6" priority="6" operator="equal">
      <formula>"Upper-Mid"</formula>
    </cfRule>
    <cfRule type="cellIs" dxfId="5" priority="7" operator="equal">
      <formula>"Top"</formula>
    </cfRule>
    <cfRule type="cellIs" dxfId="4" priority="8" operator="equal">
      <formula>"Top+"</formula>
    </cfRule>
  </conditionalFormatting>
  <conditionalFormatting sqref="B2:B111">
    <cfRule type="cellIs" dxfId="3" priority="2" operator="equal">
      <formula>"APU"</formula>
    </cfRule>
  </conditionalFormatting>
  <conditionalFormatting sqref="I1:I1048576">
    <cfRule type="cellIs" dxfId="2" priority="13" operator="equal">
      <formula>"N"</formula>
    </cfRule>
    <cfRule type="cellIs" dxfId="1" priority="14" operator="equal">
      <formula>"Y"</formula>
    </cfRule>
    <cfRule type="cellIs" dxfId="0" priority="15" operator="equal">
      <formula>"Y"</formula>
    </cfRule>
  </conditionalFormatting>
  <conditionalFormatting sqref="K1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PivotTable</vt:lpstr>
      <vt:lpstr>GPU MSRP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Sridhar</cp:lastModifiedBy>
  <dcterms:created xsi:type="dcterms:W3CDTF">2026-08-18T13:46:39Z</dcterms:created>
  <dcterms:modified xsi:type="dcterms:W3CDTF">2026-09-18T10:43:53Z</dcterms:modified>
</cp:coreProperties>
</file>